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_Part2" sheetId="1" state="visible" r:id="rId1"/>
    <sheet xmlns:r="http://schemas.openxmlformats.org/officeDocument/2006/relationships" name="modules_advanced_quality_py" sheetId="2" state="visible" r:id="rId2"/>
    <sheet xmlns:r="http://schemas.openxmlformats.org/officeDocument/2006/relationships" name="modules_audio_analyzer_py" sheetId="3" state="visible" r:id="rId3"/>
    <sheet xmlns:r="http://schemas.openxmlformats.org/officeDocument/2006/relationships" name="modules_audio_classifier_py" sheetId="4" state="visible" r:id="rId4"/>
    <sheet xmlns:r="http://schemas.openxmlformats.org/officeDocument/2006/relationships" name="modules_auto_corrector_py" sheetId="5" state="visible" r:id="rId5"/>
    <sheet xmlns:r="http://schemas.openxmlformats.org/officeDocument/2006/relationships" name="modules_scene_understanding_py" sheetId="6" state="visible" r:id="rId6"/>
    <sheet xmlns:r="http://schemas.openxmlformats.org/officeDocument/2006/relationships" name="modules_subtitle_analyzer_py" sheetId="7" state="visible" r:id="rId7"/>
    <sheet xmlns:r="http://schemas.openxmlformats.org/officeDocument/2006/relationships" name="modules_video_analyzer_py" sheetId="8" state="visible" r:id="rId8"/>
    <sheet xmlns:r="http://schemas.openxmlformats.org/officeDocument/2006/relationships" name="plugins___init___py" sheetId="9" state="visible" r:id="rId9"/>
    <sheet xmlns:r="http://schemas.openxmlformats.org/officeDocument/2006/relationships" name="plugins_base_plugin_py" sheetId="10" state="visible" r:id="rId10"/>
    <sheet xmlns:r="http://schemas.openxmlformats.org/officeDocument/2006/relationships" name="plugins_correct___init___py" sheetId="11" state="visible" r:id="rId11"/>
    <sheet xmlns:r="http://schemas.openxmlformats.org/officeDocument/2006/relationships" name="plugins_correct_standard_transc" sheetId="12" state="visible" r:id="rId12"/>
    <sheet xmlns:r="http://schemas.openxmlformats.org/officeDocument/2006/relationships" name="plugins_correct_subtitle_align_" sheetId="13" state="visible" r:id="rId13"/>
    <sheet xmlns:r="http://schemas.openxmlformats.org/officeDocument/2006/relationships" name="plugins_correct_trim_black_plug" sheetId="14" state="visible" r:id="rId14"/>
    <sheet xmlns:r="http://schemas.openxmlformats.org/officeDocument/2006/relationships" name="plugins_quality___init___py" sheetId="15" state="visible" r:id="rId15"/>
    <sheet xmlns:r="http://schemas.openxmlformats.org/officeDocument/2006/relationships" name="plugins_quality_aspect_check_pl" sheetId="16" state="visible" r:id="rId16"/>
    <sheet xmlns:r="http://schemas.openxmlformats.org/officeDocument/2006/relationships" name="plugins_quality_black_frame_plu" sheetId="17" state="visible" r:id="rId17"/>
    <sheet xmlns:r="http://schemas.openxmlformats.org/officeDocument/2006/relationships" name="plugins_quality_blur_stutter_pl" sheetId="18" state="visible" r:id="rId18"/>
    <sheet xmlns:r="http://schemas.openxmlformats.org/officeDocument/2006/relationships" name="plugins_quality_brand_detect_pl" sheetId="19" state="visible" r:id="rId19"/>
    <sheet xmlns:r="http://schemas.openxmlformats.org/officeDocument/2006/relationships" name="plugins_quality_param_check_plu" sheetId="20" state="visible" r:id="rId20"/>
    <sheet xmlns:r="http://schemas.openxmlformats.org/officeDocument/2006/relationships" name="plugins_quality_subtitle_sync_p" sheetId="21" state="visible" r:id="rId21"/>
    <sheet xmlns:r="http://schemas.openxmlformats.org/officeDocument/2006/relationships" name="plugins_recognize___init___py" sheetId="22" state="visible" r:id="rId22"/>
    <sheet xmlns:r="http://schemas.openxmlformats.org/officeDocument/2006/relationships" name="plugins_recognize_audio_transcr" sheetId="23" state="visible" r:id="rId23"/>
    <sheet xmlns:r="http://schemas.openxmlformats.org/officeDocument/2006/relationships" name="plugins_recognize_bgm_classify_" sheetId="24" state="visible" r:id="rId24"/>
    <sheet xmlns:r="http://schemas.openxmlformats.org/officeDocument/2006/relationships" name="plugins_recognize_scene_tag_plu" sheetId="25" state="visible" r:id="rId25"/>
    <sheet xmlns:r="http://schemas.openxmlformats.org/officeDocument/2006/relationships" name="plugins_recognize_subtitle_ocr_" sheetId="26" state="visible" r:id="rId26"/>
    <sheet xmlns:r="http://schemas.openxmlformats.org/officeDocument/2006/relationships" name="plugins_recognize_video_split_p" sheetId="27" state="visible" r:id="rId27"/>
    <sheet xmlns:r="http://schemas.openxmlformats.org/officeDocument/2006/relationships" name="receive_py" sheetId="28" state="visible" r:id="rId28"/>
    <sheet xmlns:r="http://schemas.openxmlformats.org/officeDocument/2006/relationships" name="review_audit_py" sheetId="29" state="visible" r:id="rId29"/>
    <sheet xmlns:r="http://schemas.openxmlformats.org/officeDocument/2006/relationships" name="scripts_archive_db_py" sheetId="30" state="visible" r:id="rId30"/>
    <sheet xmlns:r="http://schemas.openxmlformats.org/officeDocument/2006/relationships" name="scripts_check_material_analysis" sheetId="31" state="visible" r:id="rId31"/>
    <sheet xmlns:r="http://schemas.openxmlformats.org/officeDocument/2006/relationships" name="scripts_check_smart_matching_py" sheetId="32" state="visible" r:id="rId32"/>
    <sheet xmlns:r="http://schemas.openxmlformats.org/officeDocument/2006/relationships" name="scripts_check_system_resources_" sheetId="33" state="visible" r:id="rId33"/>
    <sheet xmlns:r="http://schemas.openxmlformats.org/officeDocument/2006/relationships" name="self_evolver_py" sheetId="34" state="visible" r:id="rId34"/>
    <sheet xmlns:r="http://schemas.openxmlformats.org/officeDocument/2006/relationships" name="setup_wizard_py" sheetId="35" state="visible" r:id="rId35"/>
    <sheet xmlns:r="http://schemas.openxmlformats.org/officeDocument/2006/relationships" name="tasks___init___py" sheetId="36" state="visible" r:id="rId36"/>
    <sheet xmlns:r="http://schemas.openxmlformats.org/officeDocument/2006/relationships" name="tasks_task_queue_py" sheetId="37" state="visible" r:id="rId37"/>
    <sheet xmlns:r="http://schemas.openxmlformats.org/officeDocument/2006/relationships" name="test_model_execution_py" sheetId="38" state="visible" r:id="rId38"/>
    <sheet xmlns:r="http://schemas.openxmlformats.org/officeDocument/2006/relationships" name="tests___init___py" sheetId="39" state="visible" r:id="rId39"/>
    <sheet xmlns:r="http://schemas.openxmlformats.org/officeDocument/2006/relationships" name="tests_test_auto_upgrade_py" sheetId="40" state="visible" r:id="rId40"/>
    <sheet xmlns:r="http://schemas.openxmlformats.org/officeDocument/2006/relationships" name="tests_test_core_py" sheetId="41" state="visible" r:id="rId41"/>
    <sheet xmlns:r="http://schemas.openxmlformats.org/officeDocument/2006/relationships" name="tests_test_core_functions_py" sheetId="42" state="visible" r:id="rId42"/>
    <sheet xmlns:r="http://schemas.openxmlformats.org/officeDocument/2006/relationships" name="tests_test_local_models_py" sheetId="43" state="visible" r:id="rId43"/>
    <sheet xmlns:r="http://schemas.openxmlformats.org/officeDocument/2006/relationships" name="tests_test_v5_upgrade_py" sheetId="44" state="visible" r:id="rId44"/>
    <sheet xmlns:r="http://schemas.openxmlformats.org/officeDocument/2006/relationships" name="ui___init___py" sheetId="45" state="visible" r:id="rId45"/>
    <sheet xmlns:r="http://schemas.openxmlformats.org/officeDocument/2006/relationships" name="ui_background_scanner_window_py" sheetId="46" state="visible" r:id="rId46"/>
    <sheet xmlns:r="http://schemas.openxmlformats.org/officeDocument/2006/relationships" name="ui_components___init___py" sheetId="47" state="visible" r:id="rId47"/>
    <sheet xmlns:r="http://schemas.openxmlformats.org/officeDocument/2006/relationships" name="ui_components_folder_selector_p" sheetId="48" state="visible" r:id="rId48"/>
    <sheet xmlns:r="http://schemas.openxmlformats.org/officeDocument/2006/relationships" name="ui_components_progress_panel_py" sheetId="49" state="visible" r:id="rId49"/>
    <sheet xmlns:r="http://schemas.openxmlformats.org/officeDocument/2006/relationships" name="ui_components_script_input_area" sheetId="50" state="visible" r:id="rId50"/>
    <sheet xmlns:r="http://schemas.openxmlformats.org/officeDocument/2006/relationships" name="ui_desktop_py" sheetId="51" state="visible" r:id="rId51"/>
    <sheet xmlns:r="http://schemas.openxmlformats.org/officeDocument/2006/relationships" name="ui_frame_annotation_py" sheetId="52" state="visible" r:id="rId52"/>
    <sheet xmlns:r="http://schemas.openxmlformats.org/officeDocument/2006/relationships" name="ui_help_window_py" sheetId="53" state="visible" r:id="rId53"/>
    <sheet xmlns:r="http://schemas.openxmlformats.org/officeDocument/2006/relationships" name="ui_library_tab_py" sheetId="54" state="visible" r:id="rId54"/>
    <sheet xmlns:r="http://schemas.openxmlformats.org/officeDocument/2006/relationships" name="ui_library_tab_new_py" sheetId="55" state="visible" r:id="rId55"/>
    <sheet xmlns:r="http://schemas.openxmlformats.org/officeDocument/2006/relationships" name="ui_review_panel_py" sheetId="56" state="visible" r:id="rId56"/>
    <sheet xmlns:r="http://schemas.openxmlformats.org/officeDocument/2006/relationships" name="ui_rounded_button_py" sheetId="57" state="visible" r:id="rId57"/>
    <sheet xmlns:r="http://schemas.openxmlformats.org/officeDocument/2006/relationships" name="ui_settings_page_py" sheetId="58" state="visible" r:id="rId58"/>
    <sheet xmlns:r="http://schemas.openxmlformats.org/officeDocument/2006/relationships" name="ui_theme_py" sheetId="59" state="visible" r:id="rId59"/>
    <sheet xmlns:r="http://schemas.openxmlformats.org/officeDocument/2006/relationships" name="ui_virtual_scroll_py" sheetId="60" state="visible" r:id="rId60"/>
    <sheet xmlns:r="http://schemas.openxmlformats.org/officeDocument/2006/relationships" name="ui_web_py" sheetId="61" state="visible" r:id="rId61"/>
    <sheet xmlns:r="http://schemas.openxmlformats.org/officeDocument/2006/relationships" name="utils___init___py" sheetId="62" state="visible" r:id="rId62"/>
    <sheet xmlns:r="http://schemas.openxmlformats.org/officeDocument/2006/relationships" name="utils_cache_manager_py" sheetId="63" state="visible" r:id="rId63"/>
    <sheet xmlns:r="http://schemas.openxmlformats.org/officeDocument/2006/relationships" name="utils_error_helper_py" sheetId="64" state="visible" r:id="rId64"/>
    <sheet xmlns:r="http://schemas.openxmlformats.org/officeDocument/2006/relationships" name="utils_export_tool_py" sheetId="65" state="visible" r:id="rId65"/>
    <sheet xmlns:r="http://schemas.openxmlformats.org/officeDocument/2006/relationships" name="utils_ffmpeg_utils_py" sheetId="66" state="visible" r:id="rId66"/>
    <sheet xmlns:r="http://schemas.openxmlformats.org/officeDocument/2006/relationships" name="utils_helpers_py" sheetId="67" state="visible" r:id="rId67"/>
    <sheet xmlns:r="http://schemas.openxmlformats.org/officeDocument/2006/relationships" name="utils_knowledge_py" sheetId="68" state="visible" r:id="rId68"/>
    <sheet xmlns:r="http://schemas.openxmlformats.org/officeDocument/2006/relationships" name="utils_logger_py" sheetId="69" state="visible" r:id="rId69"/>
    <sheet xmlns:r="http://schemas.openxmlformats.org/officeDocument/2006/relationships" name="utils_logging_py" sheetId="70" state="visible" r:id="rId70"/>
    <sheet xmlns:r="http://schemas.openxmlformats.org/officeDocument/2006/relationships" name="utils_model_downloader_py" sheetId="71" state="visible" r:id="rId71"/>
    <sheet xmlns:r="http://schemas.openxmlformats.org/officeDocument/2006/relationships" name="utils_quality_scorer_py" sheetId="72" state="visible" r:id="rId72"/>
    <sheet xmlns:r="http://schemas.openxmlformats.org/officeDocument/2006/relationships" name="utils_retry_py" sheetId="73" state="visible" r:id="rId73"/>
    <sheet xmlns:r="http://schemas.openxmlformats.org/officeDocument/2006/relationships" name="utils_security_py" sheetId="74" state="visible" r:id="rId74"/>
    <sheet xmlns:r="http://schemas.openxmlformats.org/officeDocument/2006/relationships" name="utils_silent_subprocess_py" sheetId="75" state="visible" r:id="rId75"/>
    <sheet xmlns:r="http://schemas.openxmlformats.org/officeDocument/2006/relationships" name="utils_system_optimizer_py" sheetId="76" state="visible" r:id="rId76"/>
    <sheet xmlns:r="http://schemas.openxmlformats.org/officeDocument/2006/relationships" name="utils_text_filter_py" sheetId="77" state="visible" r:id="rId77"/>
    <sheet xmlns:r="http://schemas.openxmlformats.org/officeDocument/2006/relationships" name="utils_vector_store_py" sheetId="78" state="visible" r:id="rId78"/>
    <sheet xmlns:r="http://schemas.openxmlformats.org/officeDocument/2006/relationships" name="utils_vram_manager_py" sheetId="79" state="visible" r:id="rId79"/>
    <sheet xmlns:r="http://schemas.openxmlformats.org/officeDocument/2006/relationships" name="verify_models_py" sheetId="80" state="visible" r:id="rId80"/>
    <sheet xmlns:r="http://schemas.openxmlformats.org/officeDocument/2006/relationships" name="verify_models_force_py" sheetId="81" state="visible" r:id="rId81"/>
    <sheet xmlns:r="http://schemas.openxmlformats.org/officeDocument/2006/relationships" name="树剪_py" sheetId="82" state="visible" r:id="rId82"/>
    <sheet xmlns:r="http://schemas.openxmlformats.org/officeDocument/2006/relationships" name="DB_subtitle_learn_db" sheetId="83" state="visible" r:id="rId83"/>
    <sheet xmlns:r="http://schemas.openxmlformats.org/officeDocument/2006/relationships" name="DB_task_log_db" sheetId="84" state="visible" r:id="rId84"/>
    <sheet xmlns:r="http://schemas.openxmlformats.org/officeDocument/2006/relationships" name="CFG_generate_log_txt" sheetId="85" state="visible" r:id="rId85"/>
    <sheet xmlns:r="http://schemas.openxmlformats.org/officeDocument/2006/relationships" name="CFG_industry_taxonomy_json" sheetId="86" state="visible" r:id="rId86"/>
    <sheet xmlns:r="http://schemas.openxmlformats.org/officeDocument/2006/relationships" name="CFG_installer_iss" sheetId="87" state="visible" r:id="rId87"/>
    <sheet xmlns:r="http://schemas.openxmlformats.org/officeDocument/2006/relationships" name="CFG_learned_knowledge_json" sheetId="88" state="visible" r:id="rId88"/>
    <sheet xmlns:r="http://schemas.openxmlformats.org/officeDocument/2006/relationships" name="CFG_material_engine_v3_README_m" sheetId="89" state="visible" r:id="rId89"/>
    <sheet xmlns:r="http://schemas.openxmlformats.org/officeDocument/2006/relationships" name="CFG_material_engine_v5_scene_ch" sheetId="90" state="visible" r:id="rId90"/>
    <sheet xmlns:r="http://schemas.openxmlformats.org/officeDocument/2006/relationships" name="CFG_protected_words_json" sheetId="91" state="visible" r:id="rId91"/>
    <sheet xmlns:r="http://schemas.openxmlformats.org/officeDocument/2006/relationships" name="CFG_requirements_txt" sheetId="92" state="visible" r:id="rId92"/>
    <sheet xmlns:r="http://schemas.openxmlformats.org/officeDocument/2006/relationships" name="CFG_requirements_phase2_optimiz" sheetId="93" state="visible" r:id="rId93"/>
    <sheet xmlns:r="http://schemas.openxmlformats.org/officeDocument/2006/relationships" name="CFG_scan_checkpoint_json" sheetId="94" state="visible" r:id="rId94"/>
    <sheet xmlns:r="http://schemas.openxmlformats.org/officeDocument/2006/relationships" name="CFG_self_evolver_log_txt" sheetId="95" state="visible" r:id="rId95"/>
    <sheet xmlns:r="http://schemas.openxmlformats.org/officeDocument/2006/relationships" name="CFG_ui_folder_cache_json" sheetId="96" state="visible" r:id="rId96"/>
    <sheet xmlns:r="http://schemas.openxmlformats.org/officeDocument/2006/relationships" name="CFG_ui_folder_selection_json" sheetId="97" state="visible" r:id="rId97"/>
    <sheet xmlns:r="http://schemas.openxmlformats.org/officeDocument/2006/relationships" name="CFG_ui_generate_log_txt" sheetId="98" state="visible" r:id="rId98"/>
    <sheet xmlns:r="http://schemas.openxmlformats.org/officeDocument/2006/relationships" name="CFG_ui_recent_kw_json" sheetId="99" state="visible" r:id="rId99"/>
    <sheet xmlns:r="http://schemas.openxmlformats.org/officeDocument/2006/relationships" name="CFG_upgrade_log_txt" sheetId="100" state="visible" r:id="rId100"/>
    <sheet xmlns:r="http://schemas.openxmlformats.org/officeDocument/2006/relationships" name="CFG_强制下载模型_bat" sheetId="101" state="visible" r:id="rId101"/>
    <sheet xmlns:r="http://schemas.openxmlformats.org/officeDocument/2006/relationships" name="CFG_素材标签库_json" sheetId="102" state="visible" r:id="rId1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Consolas"/>
      <b val="1"/>
      <color rgb="001565C0"/>
      <sz val="10"/>
    </font>
    <font>
      <name val="Consolas"/>
      <color rgb="00888888"/>
      <sz val="8"/>
    </font>
    <font>
      <name val="Consolas"/>
      <sz val="9"/>
    </font>
    <font>
      <name val="Microsoft YaHei"/>
      <b val="1"/>
      <color rgb="002F5496"/>
      <sz val="11"/>
    </font>
    <font>
      <name val="Consolas"/>
      <sz val="8"/>
    </font>
    <font>
      <name val="Consolas"/>
      <b val="1"/>
      <color rgb="002E7D32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right" vertical="top"/>
    </xf>
    <xf numFmtId="0" fontId="7" fillId="3" borderId="0" applyAlignment="1" pivotButton="0" quotePrefix="0" xfId="0">
      <alignment vertical="top"/>
    </xf>
    <xf numFmtId="0" fontId="6" fillId="0" borderId="0" applyAlignment="1" pivotButton="0" quotePrefix="0" xfId="0">
      <alignment horizontal="right" vertical="top"/>
    </xf>
    <xf numFmtId="0" fontId="7" fillId="0" borderId="0" applyAlignment="1" pivotButton="0" quotePrefix="0" xfId="0">
      <alignment vertical="top"/>
    </xf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styles" Target="styles.xml" Id="rId103"/><Relationship Type="http://schemas.openxmlformats.org/officeDocument/2006/relationships/theme" Target="theme/theme1.xml" Id="rId10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0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树剪 TreeCut v3.0 - 代码第2部分 - 索引</t>
        </is>
      </c>
    </row>
    <row r="3">
      <c r="A3" s="2" t="inlineStr">
        <is>
          <t>序号</t>
        </is>
      </c>
      <c r="B3" s="2" t="inlineStr">
        <is>
          <t>文件路径</t>
        </is>
      </c>
      <c r="C3" s="2" t="inlineStr">
        <is>
          <t>目录</t>
        </is>
      </c>
      <c r="D3" s="2" t="inlineStr">
        <is>
          <t>行数</t>
        </is>
      </c>
      <c r="E3" s="2" t="inlineStr">
        <is>
          <t>大小(KB)</t>
        </is>
      </c>
      <c r="F3" s="2" t="inlineStr">
        <is>
          <t>类型</t>
        </is>
      </c>
    </row>
    <row r="4">
      <c r="A4" s="3" t="n">
        <v>1</v>
      </c>
      <c r="B4" s="3" t="inlineStr">
        <is>
          <t>modules\advanced_quality.py</t>
        </is>
      </c>
      <c r="C4" s="3" t="inlineStr">
        <is>
          <t>modules</t>
        </is>
      </c>
      <c r="D4" s="3" t="n">
        <v>311</v>
      </c>
      <c r="E4" s="3" t="n">
        <v>15.6</v>
      </c>
      <c r="F4" s="3" t="inlineStr">
        <is>
          <t>py</t>
        </is>
      </c>
    </row>
    <row r="5">
      <c r="A5" s="3" t="n">
        <v>2</v>
      </c>
      <c r="B5" s="3" t="inlineStr">
        <is>
          <t>modules\audio_analyzer.py</t>
        </is>
      </c>
      <c r="C5" s="3" t="inlineStr">
        <is>
          <t>modules</t>
        </is>
      </c>
      <c r="D5" s="3" t="n">
        <v>105</v>
      </c>
      <c r="E5" s="3" t="n">
        <v>4.4</v>
      </c>
      <c r="F5" s="3" t="inlineStr">
        <is>
          <t>py</t>
        </is>
      </c>
    </row>
    <row r="6">
      <c r="A6" s="3" t="n">
        <v>3</v>
      </c>
      <c r="B6" s="3" t="inlineStr">
        <is>
          <t>modules\audio_classifier.py</t>
        </is>
      </c>
      <c r="C6" s="3" t="inlineStr">
        <is>
          <t>modules</t>
        </is>
      </c>
      <c r="D6" s="3" t="n">
        <v>141</v>
      </c>
      <c r="E6" s="3" t="n">
        <v>6.4</v>
      </c>
      <c r="F6" s="3" t="inlineStr">
        <is>
          <t>py</t>
        </is>
      </c>
    </row>
    <row r="7">
      <c r="A7" s="3" t="n">
        <v>4</v>
      </c>
      <c r="B7" s="3" t="inlineStr">
        <is>
          <t>modules\auto_corrector.py</t>
        </is>
      </c>
      <c r="C7" s="3" t="inlineStr">
        <is>
          <t>modules</t>
        </is>
      </c>
      <c r="D7" s="3" t="n">
        <v>287</v>
      </c>
      <c r="E7" s="3" t="n">
        <v>13.5</v>
      </c>
      <c r="F7" s="3" t="inlineStr">
        <is>
          <t>py</t>
        </is>
      </c>
    </row>
    <row r="8">
      <c r="A8" s="3" t="n">
        <v>5</v>
      </c>
      <c r="B8" s="3" t="inlineStr">
        <is>
          <t>modules\scene_understanding.py</t>
        </is>
      </c>
      <c r="C8" s="3" t="inlineStr">
        <is>
          <t>modules</t>
        </is>
      </c>
      <c r="D8" s="3" t="n">
        <v>115</v>
      </c>
      <c r="E8" s="3" t="n">
        <v>5.3</v>
      </c>
      <c r="F8" s="3" t="inlineStr">
        <is>
          <t>py</t>
        </is>
      </c>
    </row>
    <row r="9">
      <c r="A9" s="3" t="n">
        <v>6</v>
      </c>
      <c r="B9" s="3" t="inlineStr">
        <is>
          <t>modules\subtitle_analyzer.py</t>
        </is>
      </c>
      <c r="C9" s="3" t="inlineStr">
        <is>
          <t>modules</t>
        </is>
      </c>
      <c r="D9" s="3" t="n">
        <v>175</v>
      </c>
      <c r="E9" s="3" t="n">
        <v>8.199999999999999</v>
      </c>
      <c r="F9" s="3" t="inlineStr">
        <is>
          <t>py</t>
        </is>
      </c>
    </row>
    <row r="10">
      <c r="A10" s="3" t="n">
        <v>7</v>
      </c>
      <c r="B10" s="3" t="inlineStr">
        <is>
          <t>modules\video_analyzer.py</t>
        </is>
      </c>
      <c r="C10" s="3" t="inlineStr">
        <is>
          <t>modules</t>
        </is>
      </c>
      <c r="D10" s="3" t="n">
        <v>187</v>
      </c>
      <c r="E10" s="3" t="n">
        <v>9</v>
      </c>
      <c r="F10" s="3" t="inlineStr">
        <is>
          <t>py</t>
        </is>
      </c>
    </row>
    <row r="11">
      <c r="A11" s="3" t="n">
        <v>8</v>
      </c>
      <c r="B11" s="3" t="inlineStr">
        <is>
          <t>plugins\__init__.py</t>
        </is>
      </c>
      <c r="C11" s="3" t="inlineStr">
        <is>
          <t>plugins</t>
        </is>
      </c>
      <c r="D11" s="3" t="n">
        <v>0</v>
      </c>
      <c r="E11" s="3" t="n">
        <v>0</v>
      </c>
      <c r="F11" s="3" t="inlineStr">
        <is>
          <t>py</t>
        </is>
      </c>
    </row>
    <row r="12">
      <c r="A12" s="3" t="n">
        <v>9</v>
      </c>
      <c r="B12" s="3" t="inlineStr">
        <is>
          <t>plugins\base_plugin.py</t>
        </is>
      </c>
      <c r="C12" s="3" t="inlineStr">
        <is>
          <t>plugins</t>
        </is>
      </c>
      <c r="D12" s="3" t="n">
        <v>20</v>
      </c>
      <c r="E12" s="3" t="n">
        <v>0.6</v>
      </c>
      <c r="F12" s="3" t="inlineStr">
        <is>
          <t>py</t>
        </is>
      </c>
    </row>
    <row r="13">
      <c r="A13" s="3" t="n">
        <v>10</v>
      </c>
      <c r="B13" s="3" t="inlineStr">
        <is>
          <t>plugins\correct\__init__.py</t>
        </is>
      </c>
      <c r="C13" s="3" t="inlineStr">
        <is>
          <t>plugins</t>
        </is>
      </c>
      <c r="D13" s="3" t="n">
        <v>0</v>
      </c>
      <c r="E13" s="3" t="n">
        <v>0</v>
      </c>
      <c r="F13" s="3" t="inlineStr">
        <is>
          <t>py</t>
        </is>
      </c>
    </row>
    <row r="14">
      <c r="A14" s="3" t="n">
        <v>11</v>
      </c>
      <c r="B14" s="3" t="inlineStr">
        <is>
          <t>plugins\correct\standard_transcode_plugin.py</t>
        </is>
      </c>
      <c r="C14" s="3" t="inlineStr">
        <is>
          <t>plugins</t>
        </is>
      </c>
      <c r="D14" s="3" t="n">
        <v>75</v>
      </c>
      <c r="E14" s="3" t="n">
        <v>3.3</v>
      </c>
      <c r="F14" s="3" t="inlineStr">
        <is>
          <t>py</t>
        </is>
      </c>
    </row>
    <row r="15">
      <c r="A15" s="3" t="n">
        <v>12</v>
      </c>
      <c r="B15" s="3" t="inlineStr">
        <is>
          <t>plugins\correct\subtitle_align_plugin.py</t>
        </is>
      </c>
      <c r="C15" s="3" t="inlineStr">
        <is>
          <t>plugins</t>
        </is>
      </c>
      <c r="D15" s="3" t="n">
        <v>41</v>
      </c>
      <c r="E15" s="3" t="n">
        <v>1.8</v>
      </c>
      <c r="F15" s="3" t="inlineStr">
        <is>
          <t>py</t>
        </is>
      </c>
    </row>
    <row r="16">
      <c r="A16" s="3" t="n">
        <v>13</v>
      </c>
      <c r="B16" s="3" t="inlineStr">
        <is>
          <t>plugins\correct\trim_black_plugin.py</t>
        </is>
      </c>
      <c r="C16" s="3" t="inlineStr">
        <is>
          <t>plugins</t>
        </is>
      </c>
      <c r="D16" s="3" t="n">
        <v>75</v>
      </c>
      <c r="E16" s="3" t="n">
        <v>3.8</v>
      </c>
      <c r="F16" s="3" t="inlineStr">
        <is>
          <t>py</t>
        </is>
      </c>
    </row>
    <row r="17">
      <c r="A17" s="3" t="n">
        <v>14</v>
      </c>
      <c r="B17" s="3" t="inlineStr">
        <is>
          <t>plugins\quality\__init__.py</t>
        </is>
      </c>
      <c r="C17" s="3" t="inlineStr">
        <is>
          <t>plugins</t>
        </is>
      </c>
      <c r="D17" s="3" t="n">
        <v>0</v>
      </c>
      <c r="E17" s="3" t="n">
        <v>0</v>
      </c>
      <c r="F17" s="3" t="inlineStr">
        <is>
          <t>py</t>
        </is>
      </c>
    </row>
    <row r="18">
      <c r="A18" s="3" t="n">
        <v>15</v>
      </c>
      <c r="B18" s="3" t="inlineStr">
        <is>
          <t>plugins\quality\aspect_check_plugin.py</t>
        </is>
      </c>
      <c r="C18" s="3" t="inlineStr">
        <is>
          <t>plugins</t>
        </is>
      </c>
      <c r="D18" s="3" t="n">
        <v>64</v>
      </c>
      <c r="E18" s="3" t="n">
        <v>3.1</v>
      </c>
      <c r="F18" s="3" t="inlineStr">
        <is>
          <t>py</t>
        </is>
      </c>
    </row>
    <row r="19">
      <c r="A19" s="3" t="n">
        <v>16</v>
      </c>
      <c r="B19" s="3" t="inlineStr">
        <is>
          <t>plugins\quality\black_frame_plugin.py</t>
        </is>
      </c>
      <c r="C19" s="3" t="inlineStr">
        <is>
          <t>plugins</t>
        </is>
      </c>
      <c r="D19" s="3" t="n">
        <v>72</v>
      </c>
      <c r="E19" s="3" t="n">
        <v>3.3</v>
      </c>
      <c r="F19" s="3" t="inlineStr">
        <is>
          <t>py</t>
        </is>
      </c>
    </row>
    <row r="20">
      <c r="A20" s="3" t="n">
        <v>17</v>
      </c>
      <c r="B20" s="3" t="inlineStr">
        <is>
          <t>plugins\quality\blur_stutter_plugin.py</t>
        </is>
      </c>
      <c r="C20" s="3" t="inlineStr">
        <is>
          <t>plugins</t>
        </is>
      </c>
      <c r="D20" s="3" t="n">
        <v>75</v>
      </c>
      <c r="E20" s="3" t="n">
        <v>3.9</v>
      </c>
      <c r="F20" s="3" t="inlineStr">
        <is>
          <t>py</t>
        </is>
      </c>
    </row>
    <row r="21">
      <c r="A21" s="3" t="n">
        <v>18</v>
      </c>
      <c r="B21" s="3" t="inlineStr">
        <is>
          <t>plugins\quality\brand_detect_plugin.py</t>
        </is>
      </c>
      <c r="C21" s="3" t="inlineStr">
        <is>
          <t>plugins</t>
        </is>
      </c>
      <c r="D21" s="3" t="n">
        <v>122</v>
      </c>
      <c r="E21" s="3" t="n">
        <v>5.9</v>
      </c>
      <c r="F21" s="3" t="inlineStr">
        <is>
          <t>py</t>
        </is>
      </c>
    </row>
    <row r="22">
      <c r="A22" s="3" t="n">
        <v>19</v>
      </c>
      <c r="B22" s="3" t="inlineStr">
        <is>
          <t>plugins\quality\param_check_plugin.py</t>
        </is>
      </c>
      <c r="C22" s="3" t="inlineStr">
        <is>
          <t>plugins</t>
        </is>
      </c>
      <c r="D22" s="3" t="n">
        <v>50</v>
      </c>
      <c r="E22" s="3" t="n">
        <v>2.8</v>
      </c>
      <c r="F22" s="3" t="inlineStr">
        <is>
          <t>py</t>
        </is>
      </c>
    </row>
    <row r="23">
      <c r="A23" s="3" t="n">
        <v>20</v>
      </c>
      <c r="B23" s="3" t="inlineStr">
        <is>
          <t>plugins\quality\subtitle_sync_plugin.py</t>
        </is>
      </c>
      <c r="C23" s="3" t="inlineStr">
        <is>
          <t>plugins</t>
        </is>
      </c>
      <c r="D23" s="3" t="n">
        <v>48</v>
      </c>
      <c r="E23" s="3" t="n">
        <v>2.4</v>
      </c>
      <c r="F23" s="3" t="inlineStr">
        <is>
          <t>py</t>
        </is>
      </c>
    </row>
    <row r="24">
      <c r="A24" s="3" t="n">
        <v>21</v>
      </c>
      <c r="B24" s="3" t="inlineStr">
        <is>
          <t>plugins\recognize\__init__.py</t>
        </is>
      </c>
      <c r="C24" s="3" t="inlineStr">
        <is>
          <t>plugins</t>
        </is>
      </c>
      <c r="D24" s="3" t="n">
        <v>0</v>
      </c>
      <c r="E24" s="3" t="n">
        <v>0</v>
      </c>
      <c r="F24" s="3" t="inlineStr">
        <is>
          <t>py</t>
        </is>
      </c>
    </row>
    <row r="25">
      <c r="A25" s="3" t="n">
        <v>22</v>
      </c>
      <c r="B25" s="3" t="inlineStr">
        <is>
          <t>plugins\recognize\audio_transcribe_plugin.py</t>
        </is>
      </c>
      <c r="C25" s="3" t="inlineStr">
        <is>
          <t>plugins</t>
        </is>
      </c>
      <c r="D25" s="3" t="n">
        <v>57</v>
      </c>
      <c r="E25" s="3" t="n">
        <v>2.6</v>
      </c>
      <c r="F25" s="3" t="inlineStr">
        <is>
          <t>py</t>
        </is>
      </c>
    </row>
    <row r="26">
      <c r="A26" s="3" t="n">
        <v>23</v>
      </c>
      <c r="B26" s="3" t="inlineStr">
        <is>
          <t>plugins\recognize\bgm_classify_plugin.py</t>
        </is>
      </c>
      <c r="C26" s="3" t="inlineStr">
        <is>
          <t>plugins</t>
        </is>
      </c>
      <c r="D26" s="3" t="n">
        <v>67</v>
      </c>
      <c r="E26" s="3" t="n">
        <v>3</v>
      </c>
      <c r="F26" s="3" t="inlineStr">
        <is>
          <t>py</t>
        </is>
      </c>
    </row>
    <row r="27">
      <c r="A27" s="3" t="n">
        <v>24</v>
      </c>
      <c r="B27" s="3" t="inlineStr">
        <is>
          <t>plugins\recognize\scene_tag_plugin.py</t>
        </is>
      </c>
      <c r="C27" s="3" t="inlineStr">
        <is>
          <t>plugins</t>
        </is>
      </c>
      <c r="D27" s="3" t="n">
        <v>74</v>
      </c>
      <c r="E27" s="3" t="n">
        <v>3.5</v>
      </c>
      <c r="F27" s="3" t="inlineStr">
        <is>
          <t>py</t>
        </is>
      </c>
    </row>
    <row r="28">
      <c r="A28" s="3" t="n">
        <v>25</v>
      </c>
      <c r="B28" s="3" t="inlineStr">
        <is>
          <t>plugins\recognize\subtitle_ocr_plugin.py</t>
        </is>
      </c>
      <c r="C28" s="3" t="inlineStr">
        <is>
          <t>plugins</t>
        </is>
      </c>
      <c r="D28" s="3" t="n">
        <v>100</v>
      </c>
      <c r="E28" s="3" t="n">
        <v>4.7</v>
      </c>
      <c r="F28" s="3" t="inlineStr">
        <is>
          <t>py</t>
        </is>
      </c>
    </row>
    <row r="29">
      <c r="A29" s="3" t="n">
        <v>26</v>
      </c>
      <c r="B29" s="3" t="inlineStr">
        <is>
          <t>plugins\recognize\video_split_plugin.py</t>
        </is>
      </c>
      <c r="C29" s="3" t="inlineStr">
        <is>
          <t>plugins</t>
        </is>
      </c>
      <c r="D29" s="3" t="n">
        <v>104</v>
      </c>
      <c r="E29" s="3" t="n">
        <v>5.4</v>
      </c>
      <c r="F29" s="3" t="inlineStr">
        <is>
          <t>py</t>
        </is>
      </c>
    </row>
    <row r="30">
      <c r="A30" s="3" t="n">
        <v>27</v>
      </c>
      <c r="B30" s="3" t="inlineStr">
        <is>
          <t>receive.py</t>
        </is>
      </c>
      <c r="C30" s="3" t="inlineStr">
        <is>
          <t>(根)</t>
        </is>
      </c>
      <c r="D30" s="3" t="n">
        <v>113</v>
      </c>
      <c r="E30" s="3" t="n">
        <v>3.3</v>
      </c>
      <c r="F30" s="3" t="inlineStr">
        <is>
          <t>py</t>
        </is>
      </c>
    </row>
    <row r="31">
      <c r="A31" s="3" t="n">
        <v>28</v>
      </c>
      <c r="B31" s="3" t="inlineStr">
        <is>
          <t>review_audit.py</t>
        </is>
      </c>
      <c r="C31" s="3" t="inlineStr">
        <is>
          <t>(根)</t>
        </is>
      </c>
      <c r="D31" s="3" t="n">
        <v>286</v>
      </c>
      <c r="E31" s="3" t="n">
        <v>12.8</v>
      </c>
      <c r="F31" s="3" t="inlineStr">
        <is>
          <t>py</t>
        </is>
      </c>
    </row>
    <row r="32">
      <c r="A32" s="3" t="n">
        <v>29</v>
      </c>
      <c r="B32" s="3" t="inlineStr">
        <is>
          <t>scripts\archive_db.py</t>
        </is>
      </c>
      <c r="C32" s="3" t="inlineStr">
        <is>
          <t>scripts</t>
        </is>
      </c>
      <c r="D32" s="3" t="n">
        <v>119</v>
      </c>
      <c r="E32" s="3" t="n">
        <v>3.8</v>
      </c>
      <c r="F32" s="3" t="inlineStr">
        <is>
          <t>py</t>
        </is>
      </c>
    </row>
    <row r="33">
      <c r="A33" s="3" t="n">
        <v>30</v>
      </c>
      <c r="B33" s="3" t="inlineStr">
        <is>
          <t>scripts\check_material_analysis.py</t>
        </is>
      </c>
      <c r="C33" s="3" t="inlineStr">
        <is>
          <t>scripts</t>
        </is>
      </c>
      <c r="D33" s="3" t="n">
        <v>56</v>
      </c>
      <c r="E33" s="3" t="n">
        <v>2.5</v>
      </c>
      <c r="F33" s="3" t="inlineStr">
        <is>
          <t>py</t>
        </is>
      </c>
    </row>
    <row r="34">
      <c r="A34" s="3" t="n">
        <v>31</v>
      </c>
      <c r="B34" s="3" t="inlineStr">
        <is>
          <t>scripts\check_smart_matching.py</t>
        </is>
      </c>
      <c r="C34" s="3" t="inlineStr">
        <is>
          <t>scripts</t>
        </is>
      </c>
      <c r="D34" s="3" t="n">
        <v>64</v>
      </c>
      <c r="E34" s="3" t="n">
        <v>2.7</v>
      </c>
      <c r="F34" s="3" t="inlineStr">
        <is>
          <t>py</t>
        </is>
      </c>
    </row>
    <row r="35">
      <c r="A35" s="3" t="n">
        <v>32</v>
      </c>
      <c r="B35" s="3" t="inlineStr">
        <is>
          <t>scripts\check_system_resources.py</t>
        </is>
      </c>
      <c r="C35" s="3" t="inlineStr">
        <is>
          <t>scripts</t>
        </is>
      </c>
      <c r="D35" s="3" t="n">
        <v>67</v>
      </c>
      <c r="E35" s="3" t="n">
        <v>2.3</v>
      </c>
      <c r="F35" s="3" t="inlineStr">
        <is>
          <t>py</t>
        </is>
      </c>
    </row>
    <row r="36">
      <c r="A36" s="3" t="n">
        <v>33</v>
      </c>
      <c r="B36" s="3" t="inlineStr">
        <is>
          <t>self_evolver.py</t>
        </is>
      </c>
      <c r="C36" s="3" t="inlineStr">
        <is>
          <t>(根)</t>
        </is>
      </c>
      <c r="D36" s="3" t="n">
        <v>1207</v>
      </c>
      <c r="E36" s="3" t="n">
        <v>46.4</v>
      </c>
      <c r="F36" s="3" t="inlineStr">
        <is>
          <t>py</t>
        </is>
      </c>
    </row>
    <row r="37">
      <c r="A37" s="3" t="n">
        <v>34</v>
      </c>
      <c r="B37" s="3" t="inlineStr">
        <is>
          <t>setup_wizard.py</t>
        </is>
      </c>
      <c r="C37" s="3" t="inlineStr">
        <is>
          <t>(根)</t>
        </is>
      </c>
      <c r="D37" s="3" t="n">
        <v>205</v>
      </c>
      <c r="E37" s="3" t="n">
        <v>9.4</v>
      </c>
      <c r="F37" s="3" t="inlineStr">
        <is>
          <t>py</t>
        </is>
      </c>
    </row>
    <row r="38">
      <c r="A38" s="3" t="n">
        <v>35</v>
      </c>
      <c r="B38" s="3" t="inlineStr">
        <is>
          <t>tasks\__init__.py</t>
        </is>
      </c>
      <c r="C38" s="3" t="inlineStr">
        <is>
          <t>tasks</t>
        </is>
      </c>
      <c r="D38" s="3" t="n">
        <v>0</v>
      </c>
      <c r="E38" s="3" t="n">
        <v>0</v>
      </c>
      <c r="F38" s="3" t="inlineStr">
        <is>
          <t>py</t>
        </is>
      </c>
    </row>
    <row r="39">
      <c r="A39" s="3" t="n">
        <v>36</v>
      </c>
      <c r="B39" s="3" t="inlineStr">
        <is>
          <t>tasks\task_queue.py</t>
        </is>
      </c>
      <c r="C39" s="3" t="inlineStr">
        <is>
          <t>tasks</t>
        </is>
      </c>
      <c r="D39" s="3" t="n">
        <v>101</v>
      </c>
      <c r="E39" s="3" t="n">
        <v>4.3</v>
      </c>
      <c r="F39" s="3" t="inlineStr">
        <is>
          <t>py</t>
        </is>
      </c>
    </row>
    <row r="40">
      <c r="A40" s="3" t="n">
        <v>37</v>
      </c>
      <c r="B40" s="3" t="inlineStr">
        <is>
          <t>test_model_execution.py</t>
        </is>
      </c>
      <c r="C40" s="3" t="inlineStr">
        <is>
          <t>(根)</t>
        </is>
      </c>
      <c r="D40" s="3" t="n">
        <v>313</v>
      </c>
      <c r="E40" s="3" t="n">
        <v>11.1</v>
      </c>
      <c r="F40" s="3" t="inlineStr">
        <is>
          <t>py</t>
        </is>
      </c>
    </row>
    <row r="41">
      <c r="A41" s="3" t="n">
        <v>38</v>
      </c>
      <c r="B41" s="3" t="inlineStr">
        <is>
          <t>tests\__init__.py</t>
        </is>
      </c>
      <c r="C41" s="3" t="inlineStr">
        <is>
          <t>tests</t>
        </is>
      </c>
      <c r="D41" s="3" t="n">
        <v>1</v>
      </c>
      <c r="E41" s="3" t="n">
        <v>0</v>
      </c>
      <c r="F41" s="3" t="inlineStr">
        <is>
          <t>py</t>
        </is>
      </c>
    </row>
    <row r="42">
      <c r="A42" s="3" t="n">
        <v>39</v>
      </c>
      <c r="B42" s="3" t="inlineStr">
        <is>
          <t>tests\test_auto_upgrade.py</t>
        </is>
      </c>
      <c r="C42" s="3" t="inlineStr">
        <is>
          <t>tests</t>
        </is>
      </c>
      <c r="D42" s="3" t="n">
        <v>199</v>
      </c>
      <c r="E42" s="3" t="n">
        <v>7.5</v>
      </c>
      <c r="F42" s="3" t="inlineStr">
        <is>
          <t>py</t>
        </is>
      </c>
    </row>
    <row r="43">
      <c r="A43" s="3" t="n">
        <v>40</v>
      </c>
      <c r="B43" s="3" t="inlineStr">
        <is>
          <t>tests\test_core.py</t>
        </is>
      </c>
      <c r="C43" s="3" t="inlineStr">
        <is>
          <t>tests</t>
        </is>
      </c>
      <c r="D43" s="3" t="n">
        <v>265</v>
      </c>
      <c r="E43" s="3" t="n">
        <v>9.699999999999999</v>
      </c>
      <c r="F43" s="3" t="inlineStr">
        <is>
          <t>py</t>
        </is>
      </c>
    </row>
    <row r="44">
      <c r="A44" s="3" t="n">
        <v>41</v>
      </c>
      <c r="B44" s="3" t="inlineStr">
        <is>
          <t>tests\test_core_functions.py</t>
        </is>
      </c>
      <c r="C44" s="3" t="inlineStr">
        <is>
          <t>tests</t>
        </is>
      </c>
      <c r="D44" s="3" t="n">
        <v>686</v>
      </c>
      <c r="E44" s="3" t="n">
        <v>30.1</v>
      </c>
      <c r="F44" s="3" t="inlineStr">
        <is>
          <t>py</t>
        </is>
      </c>
    </row>
    <row r="45">
      <c r="A45" s="3" t="n">
        <v>42</v>
      </c>
      <c r="B45" s="3" t="inlineStr">
        <is>
          <t>tests\test_local_models.py</t>
        </is>
      </c>
      <c r="C45" s="3" t="inlineStr">
        <is>
          <t>tests</t>
        </is>
      </c>
      <c r="D45" s="3" t="n">
        <v>43</v>
      </c>
      <c r="E45" s="3" t="n">
        <v>1.7</v>
      </c>
      <c r="F45" s="3" t="inlineStr">
        <is>
          <t>py</t>
        </is>
      </c>
    </row>
    <row r="46">
      <c r="A46" s="3" t="n">
        <v>43</v>
      </c>
      <c r="B46" s="3" t="inlineStr">
        <is>
          <t>tests\test_v5_upgrade.py</t>
        </is>
      </c>
      <c r="C46" s="3" t="inlineStr">
        <is>
          <t>tests</t>
        </is>
      </c>
      <c r="D46" s="3" t="n">
        <v>85</v>
      </c>
      <c r="E46" s="3" t="n">
        <v>3.1</v>
      </c>
      <c r="F46" s="3" t="inlineStr">
        <is>
          <t>py</t>
        </is>
      </c>
    </row>
    <row r="47">
      <c r="A47" s="3" t="n">
        <v>44</v>
      </c>
      <c r="B47" s="3" t="inlineStr">
        <is>
          <t>ui\__init__.py</t>
        </is>
      </c>
      <c r="C47" s="3" t="inlineStr">
        <is>
          <t>ui</t>
        </is>
      </c>
      <c r="D47" s="3" t="n">
        <v>1</v>
      </c>
      <c r="E47" s="3" t="n">
        <v>0</v>
      </c>
      <c r="F47" s="3" t="inlineStr">
        <is>
          <t>py</t>
        </is>
      </c>
    </row>
    <row r="48">
      <c r="A48" s="3" t="n">
        <v>45</v>
      </c>
      <c r="B48" s="3" t="inlineStr">
        <is>
          <t>ui\background_scanner_window.py</t>
        </is>
      </c>
      <c r="C48" s="3" t="inlineStr">
        <is>
          <t>ui</t>
        </is>
      </c>
      <c r="D48" s="3" t="n">
        <v>624</v>
      </c>
      <c r="E48" s="3" t="n">
        <v>24.5</v>
      </c>
      <c r="F48" s="3" t="inlineStr">
        <is>
          <t>py</t>
        </is>
      </c>
    </row>
    <row r="49">
      <c r="A49" s="3" t="n">
        <v>46</v>
      </c>
      <c r="B49" s="3" t="inlineStr">
        <is>
          <t>ui\components\__init__.py</t>
        </is>
      </c>
      <c r="C49" s="3" t="inlineStr">
        <is>
          <t>ui</t>
        </is>
      </c>
      <c r="D49" s="3" t="n">
        <v>1</v>
      </c>
      <c r="E49" s="3" t="n">
        <v>0</v>
      </c>
      <c r="F49" s="3" t="inlineStr">
        <is>
          <t>py</t>
        </is>
      </c>
    </row>
    <row r="50">
      <c r="A50" s="3" t="n">
        <v>47</v>
      </c>
      <c r="B50" s="3" t="inlineStr">
        <is>
          <t>ui\components\folder_selector.py</t>
        </is>
      </c>
      <c r="C50" s="3" t="inlineStr">
        <is>
          <t>ui</t>
        </is>
      </c>
      <c r="D50" s="3" t="n">
        <v>94</v>
      </c>
      <c r="E50" s="3" t="n">
        <v>3.5</v>
      </c>
      <c r="F50" s="3" t="inlineStr">
        <is>
          <t>py</t>
        </is>
      </c>
    </row>
    <row r="51">
      <c r="A51" s="3" t="n">
        <v>48</v>
      </c>
      <c r="B51" s="3" t="inlineStr">
        <is>
          <t>ui\components\progress_panel.py</t>
        </is>
      </c>
      <c r="C51" s="3" t="inlineStr">
        <is>
          <t>ui</t>
        </is>
      </c>
      <c r="D51" s="3" t="n">
        <v>35</v>
      </c>
      <c r="E51" s="3" t="n">
        <v>1.1</v>
      </c>
      <c r="F51" s="3" t="inlineStr">
        <is>
          <t>py</t>
        </is>
      </c>
    </row>
    <row r="52">
      <c r="A52" s="3" t="n">
        <v>49</v>
      </c>
      <c r="B52" s="3" t="inlineStr">
        <is>
          <t>ui\components\script_input_area.py</t>
        </is>
      </c>
      <c r="C52" s="3" t="inlineStr">
        <is>
          <t>ui</t>
        </is>
      </c>
      <c r="D52" s="3" t="n">
        <v>52</v>
      </c>
      <c r="E52" s="3" t="n">
        <v>2.1</v>
      </c>
      <c r="F52" s="3" t="inlineStr">
        <is>
          <t>py</t>
        </is>
      </c>
    </row>
    <row r="53">
      <c r="A53" s="3" t="n">
        <v>50</v>
      </c>
      <c r="B53" s="3" t="inlineStr">
        <is>
          <t>ui\desktop.py</t>
        </is>
      </c>
      <c r="C53" s="3" t="inlineStr">
        <is>
          <t>ui</t>
        </is>
      </c>
      <c r="D53" s="3" t="n">
        <v>1904</v>
      </c>
      <c r="E53" s="3" t="n">
        <v>98.2</v>
      </c>
      <c r="F53" s="3" t="inlineStr">
        <is>
          <t>py</t>
        </is>
      </c>
    </row>
    <row r="54">
      <c r="A54" s="3" t="n">
        <v>51</v>
      </c>
      <c r="B54" s="3" t="inlineStr">
        <is>
          <t>ui\frame_annotation.py</t>
        </is>
      </c>
      <c r="C54" s="3" t="inlineStr">
        <is>
          <t>ui</t>
        </is>
      </c>
      <c r="D54" s="3" t="n">
        <v>964</v>
      </c>
      <c r="E54" s="3" t="n">
        <v>45.2</v>
      </c>
      <c r="F54" s="3" t="inlineStr">
        <is>
          <t>py</t>
        </is>
      </c>
    </row>
    <row r="55">
      <c r="A55" s="3" t="n">
        <v>52</v>
      </c>
      <c r="B55" s="3" t="inlineStr">
        <is>
          <t>ui\help_window.py</t>
        </is>
      </c>
      <c r="C55" s="3" t="inlineStr">
        <is>
          <t>ui</t>
        </is>
      </c>
      <c r="D55" s="3" t="n">
        <v>92</v>
      </c>
      <c r="E55" s="3" t="n">
        <v>3.1</v>
      </c>
      <c r="F55" s="3" t="inlineStr">
        <is>
          <t>py</t>
        </is>
      </c>
    </row>
    <row r="56">
      <c r="A56" s="3" t="n">
        <v>53</v>
      </c>
      <c r="B56" s="3" t="inlineStr">
        <is>
          <t>ui\library_tab.py</t>
        </is>
      </c>
      <c r="C56" s="3" t="inlineStr">
        <is>
          <t>ui</t>
        </is>
      </c>
      <c r="D56" s="3" t="n">
        <v>218</v>
      </c>
      <c r="E56" s="3" t="n">
        <v>9</v>
      </c>
      <c r="F56" s="3" t="inlineStr">
        <is>
          <t>py</t>
        </is>
      </c>
    </row>
    <row r="57">
      <c r="A57" s="3" t="n">
        <v>54</v>
      </c>
      <c r="B57" s="3" t="inlineStr">
        <is>
          <t>ui\library_tab_new.py</t>
        </is>
      </c>
      <c r="C57" s="3" t="inlineStr">
        <is>
          <t>ui</t>
        </is>
      </c>
      <c r="D57" s="3" t="n">
        <v>800</v>
      </c>
      <c r="E57" s="3" t="n">
        <v>30.6</v>
      </c>
      <c r="F57" s="3" t="inlineStr">
        <is>
          <t>py</t>
        </is>
      </c>
    </row>
    <row r="58">
      <c r="A58" s="3" t="n">
        <v>55</v>
      </c>
      <c r="B58" s="3" t="inlineStr">
        <is>
          <t>ui\review_panel.py</t>
        </is>
      </c>
      <c r="C58" s="3" t="inlineStr">
        <is>
          <t>ui</t>
        </is>
      </c>
      <c r="D58" s="3" t="n">
        <v>295</v>
      </c>
      <c r="E58" s="3" t="n">
        <v>11.9</v>
      </c>
      <c r="F58" s="3" t="inlineStr">
        <is>
          <t>py</t>
        </is>
      </c>
    </row>
    <row r="59">
      <c r="A59" s="3" t="n">
        <v>56</v>
      </c>
      <c r="B59" s="3" t="inlineStr">
        <is>
          <t>ui\rounded_button.py</t>
        </is>
      </c>
      <c r="C59" s="3" t="inlineStr">
        <is>
          <t>ui</t>
        </is>
      </c>
      <c r="D59" s="3" t="n">
        <v>133</v>
      </c>
      <c r="E59" s="3" t="n">
        <v>4.1</v>
      </c>
      <c r="F59" s="3" t="inlineStr">
        <is>
          <t>py</t>
        </is>
      </c>
    </row>
    <row r="60">
      <c r="A60" s="3" t="n">
        <v>57</v>
      </c>
      <c r="B60" s="3" t="inlineStr">
        <is>
          <t>ui\settings_page.py</t>
        </is>
      </c>
      <c r="C60" s="3" t="inlineStr">
        <is>
          <t>ui</t>
        </is>
      </c>
      <c r="D60" s="3" t="n">
        <v>498</v>
      </c>
      <c r="E60" s="3" t="n">
        <v>21.7</v>
      </c>
      <c r="F60" s="3" t="inlineStr">
        <is>
          <t>py</t>
        </is>
      </c>
    </row>
    <row r="61">
      <c r="A61" s="3" t="n">
        <v>58</v>
      </c>
      <c r="B61" s="3" t="inlineStr">
        <is>
          <t>ui\theme.py</t>
        </is>
      </c>
      <c r="C61" s="3" t="inlineStr">
        <is>
          <t>ui</t>
        </is>
      </c>
      <c r="D61" s="3" t="n">
        <v>31</v>
      </c>
      <c r="E61" s="3" t="n">
        <v>0.7</v>
      </c>
      <c r="F61" s="3" t="inlineStr">
        <is>
          <t>py</t>
        </is>
      </c>
    </row>
    <row r="62">
      <c r="A62" s="3" t="n">
        <v>59</v>
      </c>
      <c r="B62" s="3" t="inlineStr">
        <is>
          <t>ui\virtual_scroll.py</t>
        </is>
      </c>
      <c r="C62" s="3" t="inlineStr">
        <is>
          <t>ui</t>
        </is>
      </c>
      <c r="D62" s="3" t="n">
        <v>84</v>
      </c>
      <c r="E62" s="3" t="n">
        <v>3.3</v>
      </c>
      <c r="F62" s="3" t="inlineStr">
        <is>
          <t>py</t>
        </is>
      </c>
    </row>
    <row r="63">
      <c r="A63" s="3" t="n">
        <v>60</v>
      </c>
      <c r="B63" s="3" t="inlineStr">
        <is>
          <t>ui\web.py</t>
        </is>
      </c>
      <c r="C63" s="3" t="inlineStr">
        <is>
          <t>ui</t>
        </is>
      </c>
      <c r="D63" s="3" t="n">
        <v>288</v>
      </c>
      <c r="E63" s="3" t="n">
        <v>11</v>
      </c>
      <c r="F63" s="3" t="inlineStr">
        <is>
          <t>py</t>
        </is>
      </c>
    </row>
    <row r="64">
      <c r="A64" s="3" t="n">
        <v>61</v>
      </c>
      <c r="B64" s="3" t="inlineStr">
        <is>
          <t>utils\__init__.py</t>
        </is>
      </c>
      <c r="C64" s="3" t="inlineStr">
        <is>
          <t>utils</t>
        </is>
      </c>
      <c r="D64" s="3" t="n">
        <v>0</v>
      </c>
      <c r="E64" s="3" t="n">
        <v>0</v>
      </c>
      <c r="F64" s="3" t="inlineStr">
        <is>
          <t>py</t>
        </is>
      </c>
    </row>
    <row r="65">
      <c r="A65" s="3" t="n">
        <v>62</v>
      </c>
      <c r="B65" s="3" t="inlineStr">
        <is>
          <t>utils\cache_manager.py</t>
        </is>
      </c>
      <c r="C65" s="3" t="inlineStr">
        <is>
          <t>utils</t>
        </is>
      </c>
      <c r="D65" s="3" t="n">
        <v>115</v>
      </c>
      <c r="E65" s="3" t="n">
        <v>4.4</v>
      </c>
      <c r="F65" s="3" t="inlineStr">
        <is>
          <t>py</t>
        </is>
      </c>
    </row>
    <row r="66">
      <c r="A66" s="3" t="n">
        <v>63</v>
      </c>
      <c r="B66" s="3" t="inlineStr">
        <is>
          <t>utils\error_helper.py</t>
        </is>
      </c>
      <c r="C66" s="3" t="inlineStr">
        <is>
          <t>utils</t>
        </is>
      </c>
      <c r="D66" s="3" t="n">
        <v>170</v>
      </c>
      <c r="E66" s="3" t="n">
        <v>6.3</v>
      </c>
      <c r="F66" s="3" t="inlineStr">
        <is>
          <t>py</t>
        </is>
      </c>
    </row>
    <row r="67">
      <c r="A67" s="3" t="n">
        <v>64</v>
      </c>
      <c r="B67" s="3" t="inlineStr">
        <is>
          <t>utils\export_tool.py</t>
        </is>
      </c>
      <c r="C67" s="3" t="inlineStr">
        <is>
          <t>utils</t>
        </is>
      </c>
      <c r="D67" s="3" t="n">
        <v>82</v>
      </c>
      <c r="E67" s="3" t="n">
        <v>2.7</v>
      </c>
      <c r="F67" s="3" t="inlineStr">
        <is>
          <t>py</t>
        </is>
      </c>
    </row>
    <row r="68">
      <c r="A68" s="3" t="n">
        <v>65</v>
      </c>
      <c r="B68" s="3" t="inlineStr">
        <is>
          <t>utils\ffmpeg_utils.py</t>
        </is>
      </c>
      <c r="C68" s="3" t="inlineStr">
        <is>
          <t>utils</t>
        </is>
      </c>
      <c r="D68" s="3" t="n">
        <v>97</v>
      </c>
      <c r="E68" s="3" t="n">
        <v>3.6</v>
      </c>
      <c r="F68" s="3" t="inlineStr">
        <is>
          <t>py</t>
        </is>
      </c>
    </row>
    <row r="69">
      <c r="A69" s="3" t="n">
        <v>66</v>
      </c>
      <c r="B69" s="3" t="inlineStr">
        <is>
          <t>utils\helpers.py</t>
        </is>
      </c>
      <c r="C69" s="3" t="inlineStr">
        <is>
          <t>utils</t>
        </is>
      </c>
      <c r="D69" s="3" t="n">
        <v>84</v>
      </c>
      <c r="E69" s="3" t="n">
        <v>2.4</v>
      </c>
      <c r="F69" s="3" t="inlineStr">
        <is>
          <t>py</t>
        </is>
      </c>
    </row>
    <row r="70">
      <c r="A70" s="3" t="n">
        <v>67</v>
      </c>
      <c r="B70" s="3" t="inlineStr">
        <is>
          <t>utils\knowledge.py</t>
        </is>
      </c>
      <c r="C70" s="3" t="inlineStr">
        <is>
          <t>utils</t>
        </is>
      </c>
      <c r="D70" s="3" t="n">
        <v>461</v>
      </c>
      <c r="E70" s="3" t="n">
        <v>20.2</v>
      </c>
      <c r="F70" s="3" t="inlineStr">
        <is>
          <t>py</t>
        </is>
      </c>
    </row>
    <row r="71">
      <c r="A71" s="3" t="n">
        <v>68</v>
      </c>
      <c r="B71" s="3" t="inlineStr">
        <is>
          <t>utils\logger.py</t>
        </is>
      </c>
      <c r="C71" s="3" t="inlineStr">
        <is>
          <t>utils</t>
        </is>
      </c>
      <c r="D71" s="3" t="n">
        <v>29</v>
      </c>
      <c r="E71" s="3" t="n">
        <v>0.8</v>
      </c>
      <c r="F71" s="3" t="inlineStr">
        <is>
          <t>py</t>
        </is>
      </c>
    </row>
    <row r="72">
      <c r="A72" s="3" t="n">
        <v>69</v>
      </c>
      <c r="B72" s="3" t="inlineStr">
        <is>
          <t>utils\logging.py</t>
        </is>
      </c>
      <c r="C72" s="3" t="inlineStr">
        <is>
          <t>utils</t>
        </is>
      </c>
      <c r="D72" s="3" t="n">
        <v>259</v>
      </c>
      <c r="E72" s="3" t="n">
        <v>9.9</v>
      </c>
      <c r="F72" s="3" t="inlineStr">
        <is>
          <t>py</t>
        </is>
      </c>
    </row>
    <row r="73">
      <c r="A73" s="3" t="n">
        <v>70</v>
      </c>
      <c r="B73" s="3" t="inlineStr">
        <is>
          <t>utils\model_downloader.py</t>
        </is>
      </c>
      <c r="C73" s="3" t="inlineStr">
        <is>
          <t>utils</t>
        </is>
      </c>
      <c r="D73" s="3" t="n">
        <v>44</v>
      </c>
      <c r="E73" s="3" t="n">
        <v>2.3</v>
      </c>
      <c r="F73" s="3" t="inlineStr">
        <is>
          <t>py</t>
        </is>
      </c>
    </row>
    <row r="74">
      <c r="A74" s="3" t="n">
        <v>71</v>
      </c>
      <c r="B74" s="3" t="inlineStr">
        <is>
          <t>utils\quality_scorer.py</t>
        </is>
      </c>
      <c r="C74" s="3" t="inlineStr">
        <is>
          <t>utils</t>
        </is>
      </c>
      <c r="D74" s="3" t="n">
        <v>200</v>
      </c>
      <c r="E74" s="3" t="n">
        <v>8.5</v>
      </c>
      <c r="F74" s="3" t="inlineStr">
        <is>
          <t>py</t>
        </is>
      </c>
    </row>
    <row r="75">
      <c r="A75" s="3" t="n">
        <v>72</v>
      </c>
      <c r="B75" s="3" t="inlineStr">
        <is>
          <t>utils\retry.py</t>
        </is>
      </c>
      <c r="C75" s="3" t="inlineStr">
        <is>
          <t>utils</t>
        </is>
      </c>
      <c r="D75" s="3" t="n">
        <v>356</v>
      </c>
      <c r="E75" s="3" t="n">
        <v>13.5</v>
      </c>
      <c r="F75" s="3" t="inlineStr">
        <is>
          <t>py</t>
        </is>
      </c>
    </row>
    <row r="76">
      <c r="A76" s="3" t="n">
        <v>73</v>
      </c>
      <c r="B76" s="3" t="inlineStr">
        <is>
          <t>utils\security.py</t>
        </is>
      </c>
      <c r="C76" s="3" t="inlineStr">
        <is>
          <t>utils</t>
        </is>
      </c>
      <c r="D76" s="3" t="n">
        <v>200</v>
      </c>
      <c r="E76" s="3" t="n">
        <v>8</v>
      </c>
      <c r="F76" s="3" t="inlineStr">
        <is>
          <t>py</t>
        </is>
      </c>
    </row>
    <row r="77">
      <c r="A77" s="3" t="n">
        <v>74</v>
      </c>
      <c r="B77" s="3" t="inlineStr">
        <is>
          <t>utils\silent_subprocess.py</t>
        </is>
      </c>
      <c r="C77" s="3" t="inlineStr">
        <is>
          <t>utils</t>
        </is>
      </c>
      <c r="D77" s="3" t="n">
        <v>51</v>
      </c>
      <c r="E77" s="3" t="n">
        <v>1.5</v>
      </c>
      <c r="F77" s="3" t="inlineStr">
        <is>
          <t>py</t>
        </is>
      </c>
    </row>
    <row r="78">
      <c r="A78" s="3" t="n">
        <v>75</v>
      </c>
      <c r="B78" s="3" t="inlineStr">
        <is>
          <t>utils\system_optimizer.py</t>
        </is>
      </c>
      <c r="C78" s="3" t="inlineStr">
        <is>
          <t>utils</t>
        </is>
      </c>
      <c r="D78" s="3" t="n">
        <v>42</v>
      </c>
      <c r="E78" s="3" t="n">
        <v>1.6</v>
      </c>
      <c r="F78" s="3" t="inlineStr">
        <is>
          <t>py</t>
        </is>
      </c>
    </row>
    <row r="79">
      <c r="A79" s="3" t="n">
        <v>76</v>
      </c>
      <c r="B79" s="3" t="inlineStr">
        <is>
          <t>utils\text_filter.py</t>
        </is>
      </c>
      <c r="C79" s="3" t="inlineStr">
        <is>
          <t>utils</t>
        </is>
      </c>
      <c r="D79" s="3" t="n">
        <v>106</v>
      </c>
      <c r="E79" s="3" t="n">
        <v>4</v>
      </c>
      <c r="F79" s="3" t="inlineStr">
        <is>
          <t>py</t>
        </is>
      </c>
    </row>
    <row r="80">
      <c r="A80" s="3" t="n">
        <v>77</v>
      </c>
      <c r="B80" s="3" t="inlineStr">
        <is>
          <t>utils\vector_store.py</t>
        </is>
      </c>
      <c r="C80" s="3" t="inlineStr">
        <is>
          <t>utils</t>
        </is>
      </c>
      <c r="D80" s="3" t="n">
        <v>79</v>
      </c>
      <c r="E80" s="3" t="n">
        <v>3.2</v>
      </c>
      <c r="F80" s="3" t="inlineStr">
        <is>
          <t>py</t>
        </is>
      </c>
    </row>
    <row r="81">
      <c r="A81" s="3" t="n">
        <v>78</v>
      </c>
      <c r="B81" s="3" t="inlineStr">
        <is>
          <t>utils\vram_manager.py</t>
        </is>
      </c>
      <c r="C81" s="3" t="inlineStr">
        <is>
          <t>utils</t>
        </is>
      </c>
      <c r="D81" s="3" t="n">
        <v>70</v>
      </c>
      <c r="E81" s="3" t="n">
        <v>2.7</v>
      </c>
      <c r="F81" s="3" t="inlineStr">
        <is>
          <t>py</t>
        </is>
      </c>
    </row>
    <row r="82">
      <c r="A82" s="3" t="n">
        <v>79</v>
      </c>
      <c r="B82" s="3" t="inlineStr">
        <is>
          <t>verify_models.py</t>
        </is>
      </c>
      <c r="C82" s="3" t="inlineStr">
        <is>
          <t>(根)</t>
        </is>
      </c>
      <c r="D82" s="3" t="n">
        <v>28</v>
      </c>
      <c r="E82" s="3" t="n">
        <v>1.1</v>
      </c>
      <c r="F82" s="3" t="inlineStr">
        <is>
          <t>py</t>
        </is>
      </c>
    </row>
    <row r="83">
      <c r="A83" s="3" t="n">
        <v>80</v>
      </c>
      <c r="B83" s="3" t="inlineStr">
        <is>
          <t>verify_models_force.py</t>
        </is>
      </c>
      <c r="C83" s="3" t="inlineStr">
        <is>
          <t>(根)</t>
        </is>
      </c>
      <c r="D83" s="3" t="n">
        <v>312</v>
      </c>
      <c r="E83" s="3" t="n">
        <v>10.8</v>
      </c>
      <c r="F83" s="3" t="inlineStr">
        <is>
          <t>py</t>
        </is>
      </c>
    </row>
    <row r="84">
      <c r="A84" s="3" t="n">
        <v>81</v>
      </c>
      <c r="B84" s="3" t="inlineStr">
        <is>
          <t>树剪.py</t>
        </is>
      </c>
      <c r="C84" s="3" t="inlineStr">
        <is>
          <t>(根)</t>
        </is>
      </c>
      <c r="D84" s="3" t="n">
        <v>338</v>
      </c>
      <c r="E84" s="3" t="n">
        <v>12.8</v>
      </c>
      <c r="F84" s="3" t="inlineStr">
        <is>
          <t>py</t>
        </is>
      </c>
    </row>
    <row r="86">
      <c r="A86" s="4" t="inlineStr">
        <is>
          <t>文件总数</t>
        </is>
      </c>
      <c r="B86" s="5" t="n">
        <v>81</v>
      </c>
    </row>
    <row r="87">
      <c r="A87" s="4" t="inlineStr">
        <is>
          <t>代码总行数</t>
        </is>
      </c>
      <c r="B87" s="5" t="n">
        <v>15412</v>
      </c>
    </row>
    <row r="88">
      <c r="A88" s="4" t="inlineStr">
        <is>
          <t>总大小(KB)</t>
        </is>
      </c>
      <c r="B88" s="5" t="n">
        <v>653.2</v>
      </c>
    </row>
    <row r="89">
      <c r="A89" s="4" t="inlineStr">
        <is>
          <t>导出时间</t>
        </is>
      </c>
      <c r="B89" s="5" t="inlineStr">
        <is>
          <t>2026-06-25 14:52:26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modules\advanced_quality.py</t>
        </is>
      </c>
      <c r="C1" s="5" t="inlineStr">
        <is>
          <t>行数: 311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高级质检模块（Phase 2）</t>
        </is>
      </c>
    </row>
    <row r="6">
      <c r="A6" s="7" t="n">
        <v>3</v>
      </c>
      <c r="B6" s="8" t="inlineStr">
        <is>
          <t>画面模糊/卡顿检测、画幅错乱检测、品牌侵权/违规广告检测</t>
        </is>
      </c>
    </row>
    <row r="7">
      <c r="A7" s="9" t="n">
        <v>4</v>
      </c>
      <c r="B7" s="10" t="inlineStr">
        <is>
          <t>全量接入显存管理与缓存体系 - RTX 3050 6GB适配版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cv2</t>
        </is>
      </c>
    </row>
    <row r="10">
      <c r="A10" s="7" t="n">
        <v>7</v>
      </c>
      <c r="B10" s="8" t="inlineStr">
        <is>
          <t>import os</t>
        </is>
      </c>
    </row>
    <row r="11">
      <c r="A11" s="9" t="n">
        <v>8</v>
      </c>
      <c r="B11" s="10" t="inlineStr">
        <is>
          <t>import yaml</t>
        </is>
      </c>
    </row>
    <row r="12">
      <c r="A12" s="7" t="n">
        <v>9</v>
      </c>
      <c r="B12" s="8" t="inlineStr">
        <is>
          <t>import numpy as np</t>
        </is>
      </c>
    </row>
    <row r="13">
      <c r="A13" s="9" t="n">
        <v>10</v>
      </c>
      <c r="B13" s="10" t="inlineStr">
        <is>
          <t>from decord import VideoReader</t>
        </is>
      </c>
    </row>
    <row r="14">
      <c r="A14" s="7" t="n">
        <v>11</v>
      </c>
      <c r="B14" s="8" t="inlineStr">
        <is>
          <t>from decord import cpu, gpu</t>
        </is>
      </c>
    </row>
    <row r="15">
      <c r="A15" s="9" t="n">
        <v>12</v>
      </c>
      <c r="B15" s="10" t="inlineStr">
        <is>
          <t>from utils.logger import get_logger</t>
        </is>
      </c>
    </row>
    <row r="16">
      <c r="A16" s="7" t="n">
        <v>13</v>
      </c>
      <c r="B16" s="8" t="inlineStr">
        <is>
          <t>from utils.vram_manager import check_vram_sufficient, release_gpu_memory</t>
        </is>
      </c>
    </row>
    <row r="17">
      <c r="A17" s="9" t="n">
        <v>14</v>
      </c>
      <c r="B17" s="10" t="inlineStr">
        <is>
          <t>from utils.ffmpeg_utils import get_video_info</t>
        </is>
      </c>
    </row>
    <row r="18">
      <c r="A18" s="7" t="n">
        <v>15</v>
      </c>
      <c r="B18" s="8" t="inlineStr">
        <is>
          <t>from core.database import execute_sql</t>
        </is>
      </c>
    </row>
    <row r="19">
      <c r="A19" s="9" t="n">
        <v>16</v>
      </c>
      <c r="B19" s="10" t="inlineStr">
        <is>
          <t>from utils.cache_manager import cache_manager</t>
        </is>
      </c>
    </row>
    <row r="20">
      <c r="A20" s="7" t="n">
        <v>17</v>
      </c>
      <c r="B20" s="8" t="inlineStr">
        <is>
          <t>logger = get_logger("advanced_quality")</t>
        </is>
      </c>
    </row>
    <row r="21">
      <c r="A21" s="9" t="n">
        <v>18</v>
      </c>
      <c r="B21" s="10" t="inlineStr">
        <is>
          <t>LOGO_DIR = "./data/brand_logos"</t>
        </is>
      </c>
    </row>
    <row r="22">
      <c r="A22" s="7" t="n">
        <v>19</v>
      </c>
      <c r="B22" s="8" t="inlineStr">
        <is>
          <t>os.makedirs(LOGO_DIR, exist_ok=True)</t>
        </is>
      </c>
    </row>
    <row r="23">
      <c r="A23" s="9" t="n">
        <v>20</v>
      </c>
      <c r="B23" s="10" t="inlineStr">
        <is>
          <t># 加载配置</t>
        </is>
      </c>
    </row>
    <row r="24">
      <c r="A24" s="7" t="n">
        <v>21</v>
      </c>
      <c r="B24" s="8" t="inlineStr">
        <is>
          <t>with open("./config/optimize_config.yaml", "r", encoding="utf-8") as f:</t>
        </is>
      </c>
    </row>
    <row r="25">
      <c r="A25" s="9" t="n">
        <v>22</v>
      </c>
      <c r="B25" s="10" t="inlineStr">
        <is>
          <t xml:space="preserve">    CONFIG = yaml.safe_load(f)</t>
        </is>
      </c>
    </row>
    <row r="26">
      <c r="A26" s="7" t="n">
        <v>23</v>
      </c>
      <c r="B26" s="8" t="inlineStr">
        <is>
          <t>class AdvancedQualityChecker:</t>
        </is>
      </c>
    </row>
    <row r="27">
      <c r="A27" s="9" t="n">
        <v>24</v>
      </c>
      <c r="B27" s="10" t="inlineStr">
        <is>
          <t xml:space="preserve">    """高级质检器：模糊/卡顿检测 + 画幅校验 + 品牌广告检测"""</t>
        </is>
      </c>
    </row>
    <row r="28">
      <c r="A28" s="7" t="n">
        <v>25</v>
      </c>
      <c r="B28" s="8" t="inlineStr">
        <is>
          <t xml:space="preserve">    def __init__(self):</t>
        </is>
      </c>
    </row>
    <row r="29">
      <c r="A29" s="9" t="n">
        <v>26</v>
      </c>
      <c r="B29" s="10" t="inlineStr">
        <is>
          <t xml:space="preserve">        self.cpu_threads = CONFIG["performance"]["cpu_threads"]</t>
        </is>
      </c>
    </row>
    <row r="30">
      <c r="A30" s="7" t="n">
        <v>27</v>
      </c>
      <c r="B30" s="8" t="inlineStr">
        <is>
          <t xml:space="preserve">        # 解码设备：默认CPU，GPU只在CUDA真正可用时启用</t>
        </is>
      </c>
    </row>
    <row r="31">
      <c r="A31" s="9" t="n">
        <v>28</v>
      </c>
      <c r="B31" s="10" t="inlineStr">
        <is>
          <t xml:space="preserve">        self.device = cpu(0)</t>
        </is>
      </c>
    </row>
    <row r="32">
      <c r="A32" s="7" t="n">
        <v>29</v>
      </c>
      <c r="B32" s="8" t="inlineStr">
        <is>
          <t xml:space="preserve">        if CONFIG.get("model", {}).get("video_decode_device") == "gpu":</t>
        </is>
      </c>
    </row>
    <row r="33">
      <c r="A33" s="9" t="n">
        <v>30</v>
      </c>
      <c r="B33" s="10" t="inlineStr">
        <is>
          <t xml:space="preserve">            try:</t>
        </is>
      </c>
    </row>
    <row r="34">
      <c r="A34" s="7" t="n">
        <v>31</v>
      </c>
      <c r="B34" s="8" t="inlineStr">
        <is>
          <t xml:space="preserve">                import torch</t>
        </is>
      </c>
    </row>
    <row r="35">
      <c r="A35" s="9" t="n">
        <v>32</v>
      </c>
      <c r="B35" s="10" t="inlineStr">
        <is>
          <t xml:space="preserve">                if torch.cuda.is_available():</t>
        </is>
      </c>
    </row>
    <row r="36">
      <c r="A36" s="7" t="n">
        <v>33</v>
      </c>
      <c r="B36" s="8" t="inlineStr">
        <is>
          <t xml:space="preserve">                    self.device = gpu(0)</t>
        </is>
      </c>
    </row>
    <row r="37">
      <c r="A37" s="9" t="n">
        <v>34</v>
      </c>
      <c r="B37" s="10" t="inlineStr">
        <is>
          <t xml:space="preserve">                    logger.info("视频解码: GPU(NVDEC)")</t>
        </is>
      </c>
    </row>
    <row r="38">
      <c r="A38" s="7" t="n">
        <v>35</v>
      </c>
      <c r="B38" s="8" t="inlineStr">
        <is>
          <t xml:space="preserve">                else:</t>
        </is>
      </c>
    </row>
    <row r="39">
      <c r="A39" s="9" t="n">
        <v>36</v>
      </c>
      <c r="B39" s="10" t="inlineStr">
        <is>
          <t xml:space="preserve">                    logger.info("视频解码: CPU (CUDA不可用)")</t>
        </is>
      </c>
    </row>
    <row r="40">
      <c r="A40" s="7" t="n">
        <v>37</v>
      </c>
      <c r="B40" s="8" t="inlineStr">
        <is>
          <t xml:space="preserve">            except Exception:</t>
        </is>
      </c>
    </row>
    <row r="41">
      <c r="A41" s="9" t="n">
        <v>38</v>
      </c>
      <c r="B41" s="10" t="inlineStr">
        <is>
          <t xml:space="preserve">                logger.info("视频解码: CPU (GPU驱动不可用)")</t>
        </is>
      </c>
    </row>
    <row r="42">
      <c r="A42" s="7" t="n">
        <v>39</v>
      </c>
      <c r="B42" s="8" t="inlineStr">
        <is>
          <t xml:space="preserve">        # 目标检测模型：显存充足用GPU，不足自动降级CPU</t>
        </is>
      </c>
    </row>
    <row r="43">
      <c r="A43" s="9" t="n">
        <v>40</v>
      </c>
      <c r="B43" s="10" t="inlineStr">
        <is>
          <t xml:space="preserve">        self.detect_model = None</t>
        </is>
      </c>
    </row>
    <row r="44">
      <c r="A44" s="7" t="n">
        <v>41</v>
      </c>
      <c r="B44" s="8" t="inlineStr">
        <is>
          <t xml:space="preserve">        self.use_gpu_detect = False</t>
        </is>
      </c>
    </row>
    <row r="45">
      <c r="A45" s="9" t="n">
        <v>42</v>
      </c>
      <c r="B45" s="10" t="inlineStr">
        <is>
          <t xml:space="preserve">        if CONFIG["advanced_quality"]["enable_brand_detect"]:</t>
        </is>
      </c>
    </row>
    <row r="46">
      <c r="A46" s="7" t="n">
        <v>43</v>
      </c>
      <c r="B46" s="8" t="inlineStr">
        <is>
          <t xml:space="preserve">            try:</t>
        </is>
      </c>
    </row>
    <row r="47">
      <c r="A47" s="9" t="n">
        <v>44</v>
      </c>
      <c r="B47" s="10" t="inlineStr">
        <is>
          <t xml:space="preserve">                from ultralytics import YOLO</t>
        </is>
      </c>
    </row>
    <row r="48">
      <c r="A48" s="7" t="n">
        <v>45</v>
      </c>
      <c r="B48" s="8" t="inlineStr">
        <is>
          <t xml:space="preserve">                if check_vram_sufficient(600):</t>
        </is>
      </c>
    </row>
    <row r="49">
      <c r="A49" s="9" t="n">
        <v>46</v>
      </c>
      <c r="B49" s="10" t="inlineStr">
        <is>
          <t xml:space="preserve">                    try:</t>
        </is>
      </c>
    </row>
    <row r="50">
      <c r="A50" s="7" t="n">
        <v>47</v>
      </c>
      <c r="B50" s="8" t="inlineStr">
        <is>
          <t xml:space="preserve">                        model_path = "./data/models/yolov8n/yolov8n.pt"</t>
        </is>
      </c>
    </row>
    <row r="51">
      <c r="A51" s="9" t="n">
        <v>48</v>
      </c>
      <c r="B51" s="10" t="inlineStr">
        <is>
          <t xml:space="preserve">                        if os.path.exists(model_path):</t>
        </is>
      </c>
    </row>
    <row r="52">
      <c r="A52" s="7" t="n">
        <v>49</v>
      </c>
      <c r="B52" s="8" t="inlineStr">
        <is>
          <t xml:space="preserve">                            self.detect_model = YOLO(model_path)</t>
        </is>
      </c>
    </row>
    <row r="53">
      <c r="A53" s="9" t="n">
        <v>50</v>
      </c>
      <c r="B53" s="10" t="inlineStr">
        <is>
          <t xml:space="preserve">                        else:</t>
        </is>
      </c>
    </row>
    <row r="54">
      <c r="A54" s="7" t="n">
        <v>51</v>
      </c>
      <c r="B54" s="8" t="inlineStr">
        <is>
          <t xml:space="preserve">                            self.detect_model = YOLO("yolov8n.pt")</t>
        </is>
      </c>
    </row>
    <row r="55">
      <c r="A55" s="9" t="n">
        <v>52</v>
      </c>
      <c r="B55" s="10" t="inlineStr">
        <is>
          <t xml:space="preserve">                        self.detect_model.to("cuda")</t>
        </is>
      </c>
    </row>
    <row r="56">
      <c r="A56" s="7" t="n">
        <v>53</v>
      </c>
      <c r="B56" s="8" t="inlineStr">
        <is>
          <t xml:space="preserve">                        self.use_gpu_detect = True</t>
        </is>
      </c>
    </row>
    <row r="57">
      <c r="A57" s="9" t="n">
        <v>54</v>
      </c>
      <c r="B57" s="10" t="inlineStr">
        <is>
          <t xml:space="preserve">                        logger.info("品牌广告检测模型加载完成，GPU加速，占用显存~500MB")</t>
        </is>
      </c>
    </row>
    <row r="58">
      <c r="A58" s="7" t="n">
        <v>55</v>
      </c>
      <c r="B58" s="8" t="inlineStr">
        <is>
          <t xml:space="preserve">                    except Exception as e:</t>
        </is>
      </c>
    </row>
    <row r="59">
      <c r="A59" s="9" t="n">
        <v>56</v>
      </c>
      <c r="B59" s="10" t="inlineStr">
        <is>
          <t xml:space="preserve">                        logger.warning(f"YOLO GPU加载失败，降级CPU模式: {e}")</t>
        </is>
      </c>
    </row>
    <row r="60">
      <c r="A60" s="7" t="n">
        <v>57</v>
      </c>
      <c r="B60" s="8" t="inlineStr">
        <is>
          <t xml:space="preserve">                        try:</t>
        </is>
      </c>
    </row>
    <row r="61">
      <c r="A61" s="9" t="n">
        <v>58</v>
      </c>
      <c r="B61" s="10" t="inlineStr">
        <is>
          <t xml:space="preserve">                            self.detect_model = YOLO("yolov8n.pt")</t>
        </is>
      </c>
    </row>
    <row r="62">
      <c r="A62" s="7" t="n">
        <v>59</v>
      </c>
      <c r="B62" s="8" t="inlineStr">
        <is>
          <t xml:space="preserve">                            logger.info("YOLO CPU模式加载成功")</t>
        </is>
      </c>
    </row>
    <row r="63">
      <c r="A63" s="9" t="n">
        <v>60</v>
      </c>
      <c r="B63" s="10" t="inlineStr">
        <is>
          <t xml:space="preserve">                        except Exception as e2:</t>
        </is>
      </c>
    </row>
    <row r="64">
      <c r="A64" s="7" t="n">
        <v>61</v>
      </c>
      <c r="B64" s="8" t="inlineStr">
        <is>
          <t xml:space="preserve">                            logger.warning(f"YOLO不可用: {e2}")</t>
        </is>
      </c>
    </row>
    <row r="65">
      <c r="A65" s="9" t="n">
        <v>62</v>
      </c>
      <c r="B65" s="10" t="inlineStr">
        <is>
          <t xml:space="preserve">                            self.detect_model = None</t>
        </is>
      </c>
    </row>
    <row r="66">
      <c r="A66" s="7" t="n">
        <v>63</v>
      </c>
      <c r="B66" s="8" t="inlineStr">
        <is>
          <t xml:space="preserve">                else:</t>
        </is>
      </c>
    </row>
    <row r="67">
      <c r="A67" s="9" t="n">
        <v>64</v>
      </c>
      <c r="B67" s="10" t="inlineStr">
        <is>
          <t xml:space="preserve">                    logger.warning("显存不足，品牌检测使用ORB特征匹配CPU方案")</t>
        </is>
      </c>
    </row>
    <row r="68">
      <c r="A68" s="7" t="n">
        <v>65</v>
      </c>
      <c r="B68" s="8" t="inlineStr">
        <is>
          <t xml:space="preserve">                    self.detect_model = None</t>
        </is>
      </c>
    </row>
    <row r="69">
      <c r="A69" s="9" t="n">
        <v>66</v>
      </c>
      <c r="B69" s="10" t="inlineStr">
        <is>
          <t xml:space="preserve">            except (ImportError, OSError) as e:</t>
        </is>
      </c>
    </row>
    <row r="70">
      <c r="A70" s="7" t="n">
        <v>67</v>
      </c>
      <c r="B70" s="8" t="inlineStr">
        <is>
          <t xml:space="preserve">                logger.warning(f"ultralytics/torch不可用: {e}，品牌检测使用ORB特征匹配CPU方案")</t>
        </is>
      </c>
    </row>
    <row r="71">
      <c r="A71" s="9" t="n">
        <v>68</v>
      </c>
      <c r="B71" s="10" t="inlineStr">
        <is>
          <t xml:space="preserve">                self.detect_model = None</t>
        </is>
      </c>
    </row>
    <row r="72">
      <c r="A72" s="7" t="n">
        <v>69</v>
      </c>
      <c r="B72" s="8" t="inlineStr">
        <is>
          <t xml:space="preserve">        # 画面质量阈值</t>
        </is>
      </c>
    </row>
    <row r="73">
      <c r="A73" s="9" t="n">
        <v>70</v>
      </c>
      <c r="B73" s="10" t="inlineStr">
        <is>
          <t xml:space="preserve">        self.blur_threshold = CONFIG["advanced_quality"]["blur_threshold"]</t>
        </is>
      </c>
    </row>
    <row r="74">
      <c r="A74" s="7" t="n">
        <v>71</v>
      </c>
      <c r="B74" s="8" t="inlineStr">
        <is>
          <t xml:space="preserve">        self.stutter_threshold = CONFIG["advanced_quality"]["stutter_threshold"]</t>
        </is>
      </c>
    </row>
    <row r="75">
      <c r="A75" s="9" t="n">
        <v>72</v>
      </c>
      <c r="B75" s="10" t="inlineStr">
        <is>
          <t xml:space="preserve">        logger.info("高级质检模块初始化完成")</t>
        </is>
      </c>
    </row>
    <row r="76">
      <c r="A76" s="7" t="n">
        <v>73</v>
      </c>
      <c r="B76" s="8" t="inlineStr">
        <is>
          <t xml:space="preserve">    def detect_blur_stutter(self, video_path: str, material_id: int) -&gt; list:</t>
        </is>
      </c>
    </row>
    <row r="77">
      <c r="A77" s="9" t="n">
        <v>74</v>
      </c>
      <c r="B77" s="10" t="inlineStr">
        <is>
          <t xml:space="preserve">        """画面模糊 + 卡顿掉帧检测，动态采样+批处理"""</t>
        </is>
      </c>
    </row>
    <row r="78">
      <c r="A78" s="7" t="n">
        <v>75</v>
      </c>
      <c r="B78" s="8" t="inlineStr">
        <is>
          <t xml:space="preserve">        cache = cache_manager.get_cache(video_path, "blur_stutter")</t>
        </is>
      </c>
    </row>
    <row r="79">
      <c r="A79" s="9" t="n">
        <v>76</v>
      </c>
      <c r="B79" s="10" t="inlineStr">
        <is>
          <t xml:space="preserve">        if cache:</t>
        </is>
      </c>
    </row>
    <row r="80">
      <c r="A80" s="7" t="n">
        <v>77</v>
      </c>
      <c r="B80" s="8" t="inlineStr">
        <is>
          <t xml:space="preserve">            for issue in cache:</t>
        </is>
      </c>
    </row>
    <row r="81">
      <c r="A81" s="9" t="n">
        <v>78</v>
      </c>
      <c r="B81" s="10" t="inlineStr">
        <is>
          <t xml:space="preserve">                execute_sql('''</t>
        </is>
      </c>
    </row>
    <row r="82">
      <c r="A82" s="7" t="n">
        <v>79</v>
      </c>
      <c r="B82" s="8" t="inlineStr">
        <is>
          <t xml:space="preserve">                    INSERT OR IGNORE INTO quality_results (material_id, check_type, issue_level, issue_desc, start_time, end_time)</t>
        </is>
      </c>
    </row>
    <row r="83">
      <c r="A83" s="9" t="n">
        <v>80</v>
      </c>
      <c r="B83" s="10" t="inlineStr">
        <is>
          <t xml:space="preserve">                    VALUES (?, ?, ?, ?, ?, ?)</t>
        </is>
      </c>
    </row>
    <row r="84">
      <c r="A84" s="7" t="n">
        <v>81</v>
      </c>
      <c r="B84" s="8" t="inlineStr">
        <is>
          <t xml:space="preserve">                ''', (material_id, "画面质量", issue["level"], issue["desc"], issue["start"], issue["end"]))</t>
        </is>
      </c>
    </row>
    <row r="85">
      <c r="A85" s="9" t="n">
        <v>82</v>
      </c>
      <c r="B85" s="10" t="inlineStr">
        <is>
          <t xml:space="preserve">            logger.info(f"画面质量检测命中缓存，发现{len(cache)}处异常")</t>
        </is>
      </c>
    </row>
    <row r="86">
      <c r="A86" s="7" t="n">
        <v>83</v>
      </c>
      <c r="B86" s="8" t="inlineStr">
        <is>
          <t xml:space="preserve">            return cache</t>
        </is>
      </c>
    </row>
    <row r="87">
      <c r="A87" s="9" t="n">
        <v>84</v>
      </c>
      <c r="B87" s="10" t="inlineStr">
        <is>
          <t xml:space="preserve">        logger.info(f"开始画面质量检测: {video_path}")</t>
        </is>
      </c>
    </row>
    <row r="88">
      <c r="A88" s="7" t="n">
        <v>85</v>
      </c>
      <c r="B88" s="8" t="inlineStr">
        <is>
          <t xml:space="preserve">        info = get_video_info(video_path)</t>
        </is>
      </c>
    </row>
    <row r="89">
      <c r="A89" s="9" t="n">
        <v>86</v>
      </c>
      <c r="B89" s="10" t="inlineStr">
        <is>
          <t xml:space="preserve">        fps = info.get("fps", 25)</t>
        </is>
      </c>
    </row>
    <row r="90">
      <c r="A90" s="7" t="n">
        <v>87</v>
      </c>
      <c r="B90" s="8" t="inlineStr">
        <is>
          <t xml:space="preserve">        duration = info.get("duration", 0)</t>
        </is>
      </c>
    </row>
    <row r="91">
      <c r="A91" s="9" t="n">
        <v>88</v>
      </c>
      <c r="B91" s="10" t="inlineStr">
        <is>
          <t xml:space="preserve">        if fps == 0:</t>
        </is>
      </c>
    </row>
    <row r="92">
      <c r="A92" s="7" t="n">
        <v>89</v>
      </c>
      <c r="B92" s="8" t="inlineStr">
        <is>
          <t xml:space="preserve">            logger.error(f"无法获取视频FPS: {video_path}")</t>
        </is>
      </c>
    </row>
    <row r="93">
      <c r="A93" s="9" t="n">
        <v>90</v>
      </c>
      <c r="B93" s="10" t="inlineStr">
        <is>
          <t xml:space="preserve">            return []</t>
        </is>
      </c>
    </row>
    <row r="94">
      <c r="A94" s="7" t="n">
        <v>91</v>
      </c>
      <c r="B94" s="8" t="inlineStr">
        <is>
          <t xml:space="preserve">        sample_fps = 2.0</t>
        </is>
      </c>
    </row>
    <row r="95">
      <c r="A95" s="9" t="n">
        <v>92</v>
      </c>
      <c r="B95" s="10" t="inlineStr">
        <is>
          <t xml:space="preserve">        step = max(1, int(fps / sample_fps))</t>
        </is>
      </c>
    </row>
    <row r="96">
      <c r="A96" s="7" t="n">
        <v>93</v>
      </c>
      <c r="B96" s="8" t="inlineStr">
        <is>
          <t xml:space="preserve">        vr = VideoReader(video_path, ctx=self.device, num_threads=self.cpu_threads)</t>
        </is>
      </c>
    </row>
    <row r="97">
      <c r="A97" s="9" t="n">
        <v>94</v>
      </c>
      <c r="B97" s="10" t="inlineStr">
        <is>
          <t xml:space="preserve">        total_frames = len(vr)</t>
        </is>
      </c>
    </row>
    <row r="98">
      <c r="A98" s="7" t="n">
        <v>95</v>
      </c>
      <c r="B98" s="8" t="inlineStr">
        <is>
          <t xml:space="preserve">        frame_indices = list(range(0, total_frames, step))</t>
        </is>
      </c>
    </row>
    <row r="99">
      <c r="A99" s="9" t="n">
        <v>96</v>
      </c>
      <c r="B99" s="10" t="inlineStr">
        <is>
          <t xml:space="preserve">        issues = []</t>
        </is>
      </c>
    </row>
    <row r="100">
      <c r="A100" s="7" t="n">
        <v>97</v>
      </c>
      <c r="B100" s="8" t="inlineStr">
        <is>
          <t xml:space="preserve">        prev_gray = None</t>
        </is>
      </c>
    </row>
    <row r="101">
      <c r="A101" s="9" t="n">
        <v>98</v>
      </c>
      <c r="B101" s="10" t="inlineStr">
        <is>
          <t xml:space="preserve">        for batch_start in range(0, len(frame_indices), 16):</t>
        </is>
      </c>
    </row>
    <row r="102">
      <c r="A102" s="7" t="n">
        <v>99</v>
      </c>
      <c r="B102" s="8" t="inlineStr">
        <is>
          <t xml:space="preserve">            batch_idx = frame_indices[batch_start:batch_start+16]</t>
        </is>
      </c>
    </row>
    <row r="103">
      <c r="A103" s="9" t="n">
        <v>100</v>
      </c>
      <c r="B103" s="10" t="inlineStr">
        <is>
          <t xml:space="preserve">            try:</t>
        </is>
      </c>
    </row>
    <row r="104">
      <c r="A104" s="7" t="n">
        <v>101</v>
      </c>
      <c r="B104" s="8" t="inlineStr">
        <is>
          <t xml:space="preserve">                batch_frames = vr.get_batch(batch_idx).asnumpy()</t>
        </is>
      </c>
    </row>
    <row r="105">
      <c r="A105" s="9" t="n">
        <v>102</v>
      </c>
      <c r="B105" s="10" t="inlineStr">
        <is>
          <t xml:space="preserve">            except Exception as e:</t>
        </is>
      </c>
    </row>
    <row r="106">
      <c r="A106" s="7" t="n">
        <v>103</v>
      </c>
      <c r="B106" s="8" t="inlineStr">
        <is>
          <t xml:space="preserve">                logger.debug(f"批量读取帧失败: {e}")</t>
        </is>
      </c>
    </row>
    <row r="107">
      <c r="A107" s="9" t="n">
        <v>104</v>
      </c>
      <c r="B107" s="10" t="inlineStr">
        <is>
          <t xml:space="preserve">                continue</t>
        </is>
      </c>
    </row>
    <row r="108">
      <c r="A108" s="7" t="n">
        <v>105</v>
      </c>
      <c r="B108" s="8" t="inlineStr">
        <is>
          <t xml:space="preserve">            for idx, frame in enumerate(batch_frames):</t>
        </is>
      </c>
    </row>
    <row r="109">
      <c r="A109" s="9" t="n">
        <v>106</v>
      </c>
      <c r="B109" s="10" t="inlineStr">
        <is>
          <t xml:space="preserve">                frame_num = batch_idx[idx]</t>
        </is>
      </c>
    </row>
    <row r="110">
      <c r="A110" s="7" t="n">
        <v>107</v>
      </c>
      <c r="B110" s="8" t="inlineStr">
        <is>
          <t xml:space="preserve">                current_time = frame_num / fps</t>
        </is>
      </c>
    </row>
    <row r="111">
      <c r="A111" s="9" t="n">
        <v>108</v>
      </c>
      <c r="B111" s="10" t="inlineStr">
        <is>
          <t xml:space="preserve">                gray = cv2.cvtColor(frame, cv2.COLOR_RGB2GRAY)</t>
        </is>
      </c>
    </row>
    <row r="112">
      <c r="A112" s="7" t="n">
        <v>109</v>
      </c>
      <c r="B112" s="8" t="inlineStr">
        <is>
          <t xml:space="preserve">                # 模糊检测：拉普拉斯方差</t>
        </is>
      </c>
    </row>
    <row r="113">
      <c r="A113" s="9" t="n">
        <v>110</v>
      </c>
      <c r="B113" s="10" t="inlineStr">
        <is>
          <t xml:space="preserve">                blur_score = cv2.Laplacian(gray, cv2.CV_64F).var()</t>
        </is>
      </c>
    </row>
    <row r="114">
      <c r="A114" s="7" t="n">
        <v>111</v>
      </c>
      <c r="B114" s="8" t="inlineStr">
        <is>
          <t xml:space="preserve">                if blur_score &lt; self.blur_threshold:</t>
        </is>
      </c>
    </row>
    <row r="115">
      <c r="A115" s="9" t="n">
        <v>112</v>
      </c>
      <c r="B115" s="10" t="inlineStr">
        <is>
          <t xml:space="preserve">                    issues.append({</t>
        </is>
      </c>
    </row>
    <row r="116">
      <c r="A116" s="7" t="n">
        <v>113</v>
      </c>
      <c r="B116" s="8" t="inlineStr">
        <is>
          <t xml:space="preserve">                        "type": "画面模糊",</t>
        </is>
      </c>
    </row>
    <row r="117">
      <c r="A117" s="9" t="n">
        <v>114</v>
      </c>
      <c r="B117" s="10" t="inlineStr">
        <is>
          <t xml:space="preserve">                        "start": round(current_time, 2),</t>
        </is>
      </c>
    </row>
    <row r="118">
      <c r="A118" s="7" t="n">
        <v>115</v>
      </c>
      <c r="B118" s="8" t="inlineStr">
        <is>
          <t xml:space="preserve">                        "end": round(current_time + 0.5, 2),</t>
        </is>
      </c>
    </row>
    <row r="119">
      <c r="A119" s="9" t="n">
        <v>116</v>
      </c>
      <c r="B119" s="10" t="inlineStr">
        <is>
          <t xml:space="preserve">                        "level": "warning",</t>
        </is>
      </c>
    </row>
    <row r="120">
      <c r="A120" s="7" t="n">
        <v>117</v>
      </c>
      <c r="B120" s="8" t="inlineStr">
        <is>
          <t xml:space="preserve">                        "desc": f"画面模糊，清晰度评分{blur_score:.1f}"</t>
        </is>
      </c>
    </row>
    <row r="121">
      <c r="A121" s="9" t="n">
        <v>118</v>
      </c>
      <c r="B121" s="10" t="inlineStr">
        <is>
          <t xml:space="preserve">                    })</t>
        </is>
      </c>
    </row>
    <row r="122">
      <c r="A122" s="7" t="n">
        <v>119</v>
      </c>
      <c r="B122" s="8" t="inlineStr">
        <is>
          <t xml:space="preserve">                # 卡顿检测：帧间相似度</t>
        </is>
      </c>
    </row>
    <row r="123">
      <c r="A123" s="9" t="n">
        <v>120</v>
      </c>
      <c r="B123" s="10" t="inlineStr">
        <is>
          <t xml:space="preserve">                if prev_gray is not None:</t>
        </is>
      </c>
    </row>
    <row r="124">
      <c r="A124" s="7" t="n">
        <v>121</v>
      </c>
      <c r="B124" s="8" t="inlineStr">
        <is>
          <t xml:space="preserve">                    diff = cv2.absdiff(gray, prev_gray).mean()</t>
        </is>
      </c>
    </row>
    <row r="125">
      <c r="A125" s="9" t="n">
        <v>122</v>
      </c>
      <c r="B125" s="10" t="inlineStr">
        <is>
          <t xml:space="preserve">                    if diff &lt; self.stutter_threshold:</t>
        </is>
      </c>
    </row>
    <row r="126">
      <c r="A126" s="7" t="n">
        <v>123</v>
      </c>
      <c r="B126" s="8" t="inlineStr">
        <is>
          <t xml:space="preserve">                        issues.append({</t>
        </is>
      </c>
    </row>
    <row r="127">
      <c r="A127" s="9" t="n">
        <v>124</v>
      </c>
      <c r="B127" s="10" t="inlineStr">
        <is>
          <t xml:space="preserve">                            "type": "画面卡顿/静帧",</t>
        </is>
      </c>
    </row>
    <row r="128">
      <c r="A128" s="7" t="n">
        <v>125</v>
      </c>
      <c r="B128" s="8" t="inlineStr">
        <is>
          <t xml:space="preserve">                            "start": round(current_time - 0.5, 2),</t>
        </is>
      </c>
    </row>
    <row r="129">
      <c r="A129" s="9" t="n">
        <v>126</v>
      </c>
      <c r="B129" s="10" t="inlineStr">
        <is>
          <t xml:space="preserve">                            "end": round(current_time, 2),</t>
        </is>
      </c>
    </row>
    <row r="130">
      <c r="A130" s="7" t="n">
        <v>127</v>
      </c>
      <c r="B130" s="8" t="inlineStr">
        <is>
          <t xml:space="preserve">                            "level": "warning",</t>
        </is>
      </c>
    </row>
    <row r="131">
      <c r="A131" s="9" t="n">
        <v>128</v>
      </c>
      <c r="B131" s="10" t="inlineStr">
        <is>
          <t xml:space="preserve">                            "desc": "帧间变化率过低，疑似卡顿"</t>
        </is>
      </c>
    </row>
    <row r="132">
      <c r="A132" s="7" t="n">
        <v>129</v>
      </c>
      <c r="B132" s="8" t="inlineStr">
        <is>
          <t xml:space="preserve">                        })</t>
        </is>
      </c>
    </row>
    <row r="133">
      <c r="A133" s="9" t="n">
        <v>130</v>
      </c>
      <c r="B133" s="10" t="inlineStr">
        <is>
          <t xml:space="preserve">                prev_gray = gray</t>
        </is>
      </c>
    </row>
    <row r="134">
      <c r="A134" s="7" t="n">
        <v>131</v>
      </c>
      <c r="B134" s="8" t="inlineStr">
        <is>
          <t xml:space="preserve">        del vr</t>
        </is>
      </c>
    </row>
    <row r="135">
      <c r="A135" s="9" t="n">
        <v>132</v>
      </c>
      <c r="B135" s="10" t="inlineStr">
        <is>
          <t xml:space="preserve">        release_gpu_memory()</t>
        </is>
      </c>
    </row>
    <row r="136">
      <c r="A136" s="7" t="n">
        <v>133</v>
      </c>
      <c r="B136" s="8" t="inlineStr">
        <is>
          <t xml:space="preserve">        # 写入数据库</t>
        </is>
      </c>
    </row>
    <row r="137">
      <c r="A137" s="9" t="n">
        <v>134</v>
      </c>
      <c r="B137" s="10" t="inlineStr">
        <is>
          <t xml:space="preserve">        for issue in issues:</t>
        </is>
      </c>
    </row>
    <row r="138">
      <c r="A138" s="7" t="n">
        <v>135</v>
      </c>
      <c r="B138" s="8" t="inlineStr">
        <is>
          <t xml:space="preserve">            execute_sql('''</t>
        </is>
      </c>
    </row>
    <row r="139">
      <c r="A139" s="9" t="n">
        <v>136</v>
      </c>
      <c r="B139" s="10" t="inlineStr">
        <is>
          <t xml:space="preserve">                INSERT INTO quality_results (material_id, check_type, issue_level, issue_desc, start_time, end_time)</t>
        </is>
      </c>
    </row>
    <row r="140">
      <c r="A140" s="7" t="n">
        <v>137</v>
      </c>
      <c r="B140" s="8" t="inlineStr">
        <is>
          <t xml:space="preserve">                VALUES (?, ?, ?, ?, ?, ?)</t>
        </is>
      </c>
    </row>
    <row r="141">
      <c r="A141" s="9" t="n">
        <v>138</v>
      </c>
      <c r="B141" s="10" t="inlineStr">
        <is>
          <t xml:space="preserve">            ''', (material_id, "画面质量", issue["level"], issue["desc"], issue["start"], issue["end"]))</t>
        </is>
      </c>
    </row>
    <row r="142">
      <c r="A142" s="7" t="n">
        <v>139</v>
      </c>
      <c r="B142" s="8" t="inlineStr">
        <is>
          <t xml:space="preserve">        cache_manager.set_cache(video_path, "blur_stutter", issues)</t>
        </is>
      </c>
    </row>
    <row r="143">
      <c r="A143" s="9" t="n">
        <v>140</v>
      </c>
      <c r="B143" s="10" t="inlineStr">
        <is>
          <t xml:space="preserve">        logger.info(f"画面质量检测完成，发现{len(issues)}处异常")</t>
        </is>
      </c>
    </row>
    <row r="144">
      <c r="A144" s="7" t="n">
        <v>141</v>
      </c>
      <c r="B144" s="8" t="inlineStr">
        <is>
          <t xml:space="preserve">        return issues</t>
        </is>
      </c>
    </row>
    <row r="145">
      <c r="A145" s="9" t="n">
        <v>142</v>
      </c>
      <c r="B145" s="10" t="inlineStr">
        <is>
          <t xml:space="preserve">    def detect_aspect_ratio(self, video_path: str, material_id: int, standard_ratio: float = 9/16) -&gt; list:</t>
        </is>
      </c>
    </row>
    <row r="146">
      <c r="A146" s="7" t="n">
        <v>143</v>
      </c>
      <c r="B146" s="8" t="inlineStr">
        <is>
          <t xml:space="preserve">        """画幅比例错乱检测，校验黑边、拉伸变形"""</t>
        </is>
      </c>
    </row>
    <row r="147">
      <c r="A147" s="9" t="n">
        <v>144</v>
      </c>
      <c r="B147" s="10" t="inlineStr">
        <is>
          <t xml:space="preserve">        cache = cache_manager.get_cache(video_path, "aspect_check")</t>
        </is>
      </c>
    </row>
    <row r="148">
      <c r="A148" s="7" t="n">
        <v>145</v>
      </c>
      <c r="B148" s="8" t="inlineStr">
        <is>
          <t xml:space="preserve">        if cache:</t>
        </is>
      </c>
    </row>
    <row r="149">
      <c r="A149" s="9" t="n">
        <v>146</v>
      </c>
      <c r="B149" s="10" t="inlineStr">
        <is>
          <t xml:space="preserve">            for issue in cache:</t>
        </is>
      </c>
    </row>
    <row r="150">
      <c r="A150" s="7" t="n">
        <v>147</v>
      </c>
      <c r="B150" s="8" t="inlineStr">
        <is>
          <t xml:space="preserve">                execute_sql('''</t>
        </is>
      </c>
    </row>
    <row r="151">
      <c r="A151" s="9" t="n">
        <v>148</v>
      </c>
      <c r="B151" s="10" t="inlineStr">
        <is>
          <t xml:space="preserve">                    INSERT OR IGNORE INTO quality_results (material_id, check_type, issue_level, issue_desc, start_time, end_time)</t>
        </is>
      </c>
    </row>
    <row r="152">
      <c r="A152" s="7" t="n">
        <v>149</v>
      </c>
      <c r="B152" s="8" t="inlineStr">
        <is>
          <t xml:space="preserve">                    VALUES (?, ?, ?, ?, 0, ?)</t>
        </is>
      </c>
    </row>
    <row r="153">
      <c r="A153" s="9" t="n">
        <v>150</v>
      </c>
      <c r="B153" s="10" t="inlineStr">
        <is>
          <t xml:space="preserve">                ''', (material_id, "画幅合规", issue["level"], issue["desc"], issue["duration"]))</t>
        </is>
      </c>
    </row>
    <row r="154">
      <c r="A154" s="7" t="n">
        <v>151</v>
      </c>
      <c r="B154" s="8" t="inlineStr">
        <is>
          <t xml:space="preserve">            return cache</t>
        </is>
      </c>
    </row>
    <row r="155">
      <c r="A155" s="9" t="n">
        <v>152</v>
      </c>
      <c r="B155" s="10" t="inlineStr">
        <is>
          <t xml:space="preserve">        logger.info(f"开始画幅检测: {video_path}")</t>
        </is>
      </c>
    </row>
    <row r="156">
      <c r="A156" s="7" t="n">
        <v>153</v>
      </c>
      <c r="B156" s="8" t="inlineStr">
        <is>
          <t xml:space="preserve">        info = get_video_info(video_path)</t>
        </is>
      </c>
    </row>
    <row r="157">
      <c r="A157" s="9" t="n">
        <v>154</v>
      </c>
      <c r="B157" s="10" t="inlineStr">
        <is>
          <t xml:space="preserve">        width = info.get("width", 0)</t>
        </is>
      </c>
    </row>
    <row r="158">
      <c r="A158" s="7" t="n">
        <v>155</v>
      </c>
      <c r="B158" s="8" t="inlineStr">
        <is>
          <t xml:space="preserve">        height = info.get("height", 0)</t>
        </is>
      </c>
    </row>
    <row r="159">
      <c r="A159" s="9" t="n">
        <v>156</v>
      </c>
      <c r="B159" s="10" t="inlineStr">
        <is>
          <t xml:space="preserve">        duration = info.get("duration", 0)</t>
        </is>
      </c>
    </row>
    <row r="160">
      <c r="A160" s="7" t="n">
        <v>157</v>
      </c>
      <c r="B160" s="8" t="inlineStr">
        <is>
          <t xml:space="preserve">        issues = []</t>
        </is>
      </c>
    </row>
    <row r="161">
      <c r="A161" s="9" t="n">
        <v>158</v>
      </c>
      <c r="B161" s="10" t="inlineStr">
        <is>
          <t xml:space="preserve">        if width == 0 or height == 0:</t>
        </is>
      </c>
    </row>
    <row r="162">
      <c r="A162" s="7" t="n">
        <v>159</v>
      </c>
      <c r="B162" s="8" t="inlineStr">
        <is>
          <t xml:space="preserve">            return [{"type": "参数读取失败", "level": "error", "desc": "无法读取视频分辨率"}]</t>
        </is>
      </c>
    </row>
    <row r="163">
      <c r="A163" s="9" t="n">
        <v>160</v>
      </c>
      <c r="B163" s="10" t="inlineStr">
        <is>
          <t xml:space="preserve">        actual_ratio = height / width if width &gt; height else width / height</t>
        </is>
      </c>
    </row>
    <row r="164">
      <c r="A164" s="7" t="n">
        <v>161</v>
      </c>
      <c r="B164" s="8" t="inlineStr">
        <is>
          <t xml:space="preserve">        ratio_diff = abs(actual_ratio - standard_ratio) / standard_ratio</t>
        </is>
      </c>
    </row>
    <row r="165">
      <c r="A165" s="9" t="n">
        <v>162</v>
      </c>
      <c r="B165" s="10" t="inlineStr">
        <is>
          <t xml:space="preserve">        if ratio_diff &gt; 0.05:</t>
        </is>
      </c>
    </row>
    <row r="166">
      <c r="A166" s="7" t="n">
        <v>163</v>
      </c>
      <c r="B166" s="8" t="inlineStr">
        <is>
          <t xml:space="preserve">            issues.append({</t>
        </is>
      </c>
    </row>
    <row r="167">
      <c r="A167" s="9" t="n">
        <v>164</v>
      </c>
      <c r="B167" s="10" t="inlineStr">
        <is>
          <t xml:space="preserve">                "type": "画幅比例不符",</t>
        </is>
      </c>
    </row>
    <row r="168">
      <c r="A168" s="7" t="n">
        <v>165</v>
      </c>
      <c r="B168" s="8" t="inlineStr">
        <is>
          <t xml:space="preserve">                "level": "error",</t>
        </is>
      </c>
    </row>
    <row r="169">
      <c r="A169" s="9" t="n">
        <v>166</v>
      </c>
      <c r="B169" s="10" t="inlineStr">
        <is>
          <t xml:space="preserve">                "desc": f"实际比例{width}x{height}，标准竖屏9:16，偏差{ratio_diff*100:.1f}%",</t>
        </is>
      </c>
    </row>
    <row r="170">
      <c r="A170" s="7" t="n">
        <v>167</v>
      </c>
      <c r="B170" s="8" t="inlineStr">
        <is>
          <t xml:space="preserve">                "duration": duration</t>
        </is>
      </c>
    </row>
    <row r="171">
      <c r="A171" s="9" t="n">
        <v>168</v>
      </c>
      <c r="B171" s="10" t="inlineStr">
        <is>
          <t xml:space="preserve">            })</t>
        </is>
      </c>
    </row>
    <row r="172">
      <c r="A172" s="7" t="n">
        <v>169</v>
      </c>
      <c r="B172" s="8" t="inlineStr">
        <is>
          <t xml:space="preserve">        # 检测左右/上下黑边</t>
        </is>
      </c>
    </row>
    <row r="173">
      <c r="A173" s="9" t="n">
        <v>170</v>
      </c>
      <c r="B173" s="10" t="inlineStr">
        <is>
          <t xml:space="preserve">        try:</t>
        </is>
      </c>
    </row>
    <row r="174">
      <c r="A174" s="7" t="n">
        <v>171</v>
      </c>
      <c r="B174" s="8" t="inlineStr">
        <is>
          <t xml:space="preserve">            vr = VideoReader(video_path, ctx=self.device, num_threads=self.cpu_threads)</t>
        </is>
      </c>
    </row>
    <row r="175">
      <c r="A175" s="9" t="n">
        <v>172</v>
      </c>
      <c r="B175" s="10" t="inlineStr">
        <is>
          <t xml:space="preserve">            mid_frame = vr[len(vr) // 2].asnumpy()</t>
        </is>
      </c>
    </row>
    <row r="176">
      <c r="A176" s="7" t="n">
        <v>173</v>
      </c>
      <c r="B176" s="8" t="inlineStr">
        <is>
          <t xml:space="preserve">            gray = cv2.cvtColor(mid_frame, cv2.COLOR_RGB2GRAY)</t>
        </is>
      </c>
    </row>
    <row r="177">
      <c r="A177" s="9" t="n">
        <v>174</v>
      </c>
      <c r="B177" s="10" t="inlineStr">
        <is>
          <t xml:space="preserve">            edge_threshold = 20</t>
        </is>
      </c>
    </row>
    <row r="178">
      <c r="A178" s="7" t="n">
        <v>175</v>
      </c>
      <c r="B178" s="8" t="inlineStr">
        <is>
          <t xml:space="preserve">            left_black = np.mean(gray[:, :20]) &lt; edge_threshold</t>
        </is>
      </c>
    </row>
    <row r="179">
      <c r="A179" s="9" t="n">
        <v>176</v>
      </c>
      <c r="B179" s="10" t="inlineStr">
        <is>
          <t xml:space="preserve">            right_black = np.mean(gray[:, -20:]) &lt; edge_threshold</t>
        </is>
      </c>
    </row>
    <row r="180">
      <c r="A180" s="7" t="n">
        <v>177</v>
      </c>
      <c r="B180" s="8" t="inlineStr">
        <is>
          <t xml:space="preserve">            top_black = np.mean(gray[:20, :]) &lt; edge_threshold</t>
        </is>
      </c>
    </row>
    <row r="181">
      <c r="A181" s="9" t="n">
        <v>178</v>
      </c>
      <c r="B181" s="10" t="inlineStr">
        <is>
          <t xml:space="preserve">            bottom_black = np.mean(gray[-20:, :]) &lt; edge_threshold</t>
        </is>
      </c>
    </row>
    <row r="182">
      <c r="A182" s="7" t="n">
        <v>179</v>
      </c>
      <c r="B182" s="8" t="inlineStr">
        <is>
          <t xml:space="preserve">            if left_black and right_black:</t>
        </is>
      </c>
    </row>
    <row r="183">
      <c r="A183" s="9" t="n">
        <v>180</v>
      </c>
      <c r="B183" s="10" t="inlineStr">
        <is>
          <t xml:space="preserve">                issues.append({</t>
        </is>
      </c>
    </row>
    <row r="184">
      <c r="A184" s="7" t="n">
        <v>181</v>
      </c>
      <c r="B184" s="8" t="inlineStr">
        <is>
          <t xml:space="preserve">                    "type": "两侧黑边",</t>
        </is>
      </c>
    </row>
    <row r="185">
      <c r="A185" s="9" t="n">
        <v>182</v>
      </c>
      <c r="B185" s="10" t="inlineStr">
        <is>
          <t xml:space="preserve">                    "level": "warning",</t>
        </is>
      </c>
    </row>
    <row r="186">
      <c r="A186" s="7" t="n">
        <v>183</v>
      </c>
      <c r="B186" s="8" t="inlineStr">
        <is>
          <t xml:space="preserve">                    "desc": "画面两侧存在黑边，画幅未填充",</t>
        </is>
      </c>
    </row>
    <row r="187">
      <c r="A187" s="9" t="n">
        <v>184</v>
      </c>
      <c r="B187" s="10" t="inlineStr">
        <is>
          <t xml:space="preserve">                    "duration": duration</t>
        </is>
      </c>
    </row>
    <row r="188">
      <c r="A188" s="7" t="n">
        <v>185</v>
      </c>
      <c r="B188" s="8" t="inlineStr">
        <is>
          <t xml:space="preserve">                })</t>
        </is>
      </c>
    </row>
    <row r="189">
      <c r="A189" s="9" t="n">
        <v>186</v>
      </c>
      <c r="B189" s="10" t="inlineStr">
        <is>
          <t xml:space="preserve">            if top_black and bottom_black:</t>
        </is>
      </c>
    </row>
    <row r="190">
      <c r="A190" s="7" t="n">
        <v>187</v>
      </c>
      <c r="B190" s="8" t="inlineStr">
        <is>
          <t xml:space="preserve">                issues.append({</t>
        </is>
      </c>
    </row>
    <row r="191">
      <c r="A191" s="9" t="n">
        <v>188</v>
      </c>
      <c r="B191" s="10" t="inlineStr">
        <is>
          <t xml:space="preserve">                    "type": "上下黑边",</t>
        </is>
      </c>
    </row>
    <row r="192">
      <c r="A192" s="7" t="n">
        <v>189</v>
      </c>
      <c r="B192" s="8" t="inlineStr">
        <is>
          <t xml:space="preserve">                    "level": "warning",</t>
        </is>
      </c>
    </row>
    <row r="193">
      <c r="A193" s="9" t="n">
        <v>190</v>
      </c>
      <c r="B193" s="10" t="inlineStr">
        <is>
          <t xml:space="preserve">                    "desc": "画面上下存在黑边，画幅未填充",</t>
        </is>
      </c>
    </row>
    <row r="194">
      <c r="A194" s="7" t="n">
        <v>191</v>
      </c>
      <c r="B194" s="8" t="inlineStr">
        <is>
          <t xml:space="preserve">                    "duration": duration</t>
        </is>
      </c>
    </row>
    <row r="195">
      <c r="A195" s="9" t="n">
        <v>192</v>
      </c>
      <c r="B195" s="10" t="inlineStr">
        <is>
          <t xml:space="preserve">                })</t>
        </is>
      </c>
    </row>
    <row r="196">
      <c r="A196" s="7" t="n">
        <v>193</v>
      </c>
      <c r="B196" s="8" t="inlineStr">
        <is>
          <t xml:space="preserve">            del vr</t>
        </is>
      </c>
    </row>
    <row r="197">
      <c r="A197" s="9" t="n">
        <v>194</v>
      </c>
      <c r="B197" s="10" t="inlineStr">
        <is>
          <t xml:space="preserve">        except Exception as e:</t>
        </is>
      </c>
    </row>
    <row r="198">
      <c r="A198" s="7" t="n">
        <v>195</v>
      </c>
      <c r="B198" s="8" t="inlineStr">
        <is>
          <t xml:space="preserve">            logger.debug(f"黑边检测异常: {e}")</t>
        </is>
      </c>
    </row>
    <row r="199">
      <c r="A199" s="9" t="n">
        <v>196</v>
      </c>
      <c r="B199" s="10" t="inlineStr">
        <is>
          <t xml:space="preserve">        for issue in issues:</t>
        </is>
      </c>
    </row>
    <row r="200">
      <c r="A200" s="7" t="n">
        <v>197</v>
      </c>
      <c r="B200" s="8" t="inlineStr">
        <is>
          <t xml:space="preserve">            execute_sql('''</t>
        </is>
      </c>
    </row>
    <row r="201">
      <c r="A201" s="9" t="n">
        <v>198</v>
      </c>
      <c r="B201" s="10" t="inlineStr">
        <is>
          <t xml:space="preserve">                INSERT INTO quality_results (material_id, check_type, issue_level, issue_desc, start_time, end_time)</t>
        </is>
      </c>
    </row>
    <row r="202">
      <c r="A202" s="7" t="n">
        <v>199</v>
      </c>
      <c r="B202" s="8" t="inlineStr">
        <is>
          <t xml:space="preserve">                VALUES (?, ?, ?, ?, 0, ?)</t>
        </is>
      </c>
    </row>
    <row r="203">
      <c r="A203" s="9" t="n">
        <v>200</v>
      </c>
      <c r="B203" s="10" t="inlineStr">
        <is>
          <t xml:space="preserve">            ''', (material_id, "画幅合规", issue["level"], issue["desc"], duration))</t>
        </is>
      </c>
    </row>
    <row r="204">
      <c r="A204" s="7" t="n">
        <v>201</v>
      </c>
      <c r="B204" s="8" t="inlineStr">
        <is>
          <t xml:space="preserve">        cache_manager.set_cache(video_path, "aspect_check", issues)</t>
        </is>
      </c>
    </row>
    <row r="205">
      <c r="A205" s="9" t="n">
        <v>202</v>
      </c>
      <c r="B205" s="10" t="inlineStr">
        <is>
          <t xml:space="preserve">        logger.info(f"画幅检测完成，发现{len(issues)}处异常")</t>
        </is>
      </c>
    </row>
    <row r="206">
      <c r="A206" s="7" t="n">
        <v>203</v>
      </c>
      <c r="B206" s="8" t="inlineStr">
        <is>
          <t xml:space="preserve">        return issues</t>
        </is>
      </c>
    </row>
    <row r="207">
      <c r="A207" s="9" t="n">
        <v>204</v>
      </c>
      <c r="B207" s="10" t="inlineStr">
        <is>
          <t xml:space="preserve">    def detect_brand_ads(self, video_path: str, material_id: int) -&gt; list:</t>
        </is>
      </c>
    </row>
    <row r="208">
      <c r="A208" s="7" t="n">
        <v>205</v>
      </c>
      <c r="B208" s="8" t="inlineStr">
        <is>
          <t xml:space="preserve">        """品牌侵权 + 违规广告检测，YOLO+特征匹配双模式"""</t>
        </is>
      </c>
    </row>
    <row r="209">
      <c r="A209" s="9" t="n">
        <v>206</v>
      </c>
      <c r="B209" s="10" t="inlineStr">
        <is>
          <t xml:space="preserve">        cache = cache_manager.get_cache(video_path, "brand_detect")</t>
        </is>
      </c>
    </row>
    <row r="210">
      <c r="A210" s="7" t="n">
        <v>207</v>
      </c>
      <c r="B210" s="8" t="inlineStr">
        <is>
          <t xml:space="preserve">        if cache:</t>
        </is>
      </c>
    </row>
    <row r="211">
      <c r="A211" s="9" t="n">
        <v>208</v>
      </c>
      <c r="B211" s="10" t="inlineStr">
        <is>
          <t xml:space="preserve">            for issue in cache:</t>
        </is>
      </c>
    </row>
    <row r="212">
      <c r="A212" s="7" t="n">
        <v>209</v>
      </c>
      <c r="B212" s="8" t="inlineStr">
        <is>
          <t xml:space="preserve">                execute_sql('''</t>
        </is>
      </c>
    </row>
    <row r="213">
      <c r="A213" s="9" t="n">
        <v>210</v>
      </c>
      <c r="B213" s="10" t="inlineStr">
        <is>
          <t xml:space="preserve">                    INSERT OR IGNORE INTO quality_results (material_id, check_type, issue_level, issue_desc, start_time, end_time)</t>
        </is>
      </c>
    </row>
    <row r="214">
      <c r="A214" s="7" t="n">
        <v>211</v>
      </c>
      <c r="B214" s="8" t="inlineStr">
        <is>
          <t xml:space="preserve">                    VALUES (?, ?, ?, ?, ?, ?)</t>
        </is>
      </c>
    </row>
    <row r="215">
      <c r="A215" s="9" t="n">
        <v>212</v>
      </c>
      <c r="B215" s="10" t="inlineStr">
        <is>
          <t xml:space="preserve">                ''', (material_id, "内容合规", issue["level"], issue["desc"], issue["start"], issue["end"]))</t>
        </is>
      </c>
    </row>
    <row r="216">
      <c r="A216" s="7" t="n">
        <v>213</v>
      </c>
      <c r="B216" s="8" t="inlineStr">
        <is>
          <t xml:space="preserve">            logger.info(f"品牌检测命中缓存，发现{len(cache)}处异常")</t>
        </is>
      </c>
    </row>
    <row r="217">
      <c r="A217" s="9" t="n">
        <v>214</v>
      </c>
      <c r="B217" s="10" t="inlineStr">
        <is>
          <t xml:space="preserve">            return cache</t>
        </is>
      </c>
    </row>
    <row r="218">
      <c r="A218" s="7" t="n">
        <v>215</v>
      </c>
      <c r="B218" s="8" t="inlineStr">
        <is>
          <t xml:space="preserve">        logger.info(f"开始品牌广告检测: {video_path}")</t>
        </is>
      </c>
    </row>
    <row r="219">
      <c r="A219" s="9" t="n">
        <v>216</v>
      </c>
      <c r="B219" s="10" t="inlineStr">
        <is>
          <t xml:space="preserve">        info = get_video_info(video_path)</t>
        </is>
      </c>
    </row>
    <row r="220">
      <c r="A220" s="7" t="n">
        <v>217</v>
      </c>
      <c r="B220" s="8" t="inlineStr">
        <is>
          <t xml:space="preserve">        fps = info.get("fps", 25)</t>
        </is>
      </c>
    </row>
    <row r="221">
      <c r="A221" s="9" t="n">
        <v>218</v>
      </c>
      <c r="B221" s="10" t="inlineStr">
        <is>
          <t xml:space="preserve">        if fps == 0:</t>
        </is>
      </c>
    </row>
    <row r="222">
      <c r="A222" s="7" t="n">
        <v>219</v>
      </c>
      <c r="B222" s="8" t="inlineStr">
        <is>
          <t xml:space="preserve">            logger.error(f"无法获取视频FPS: {video_path}")</t>
        </is>
      </c>
    </row>
    <row r="223">
      <c r="A223" s="9" t="n">
        <v>220</v>
      </c>
      <c r="B223" s="10" t="inlineStr">
        <is>
          <t xml:space="preserve">            return []</t>
        </is>
      </c>
    </row>
    <row r="224">
      <c r="A224" s="7" t="n">
        <v>221</v>
      </c>
      <c r="B224" s="8" t="inlineStr">
        <is>
          <t xml:space="preserve">        sample_fps = 1.0</t>
        </is>
      </c>
    </row>
    <row r="225">
      <c r="A225" s="9" t="n">
        <v>222</v>
      </c>
      <c r="B225" s="10" t="inlineStr">
        <is>
          <t xml:space="preserve">        step = max(1, int(fps / sample_fps))</t>
        </is>
      </c>
    </row>
    <row r="226">
      <c r="A226" s="7" t="n">
        <v>223</v>
      </c>
      <c r="B226" s="8" t="inlineStr">
        <is>
          <t xml:space="preserve">        vr = VideoReader(video_path, ctx=self.device, num_threads=self.cpu_threads)</t>
        </is>
      </c>
    </row>
    <row r="227">
      <c r="A227" s="9" t="n">
        <v>224</v>
      </c>
      <c r="B227" s="10" t="inlineStr">
        <is>
          <t xml:space="preserve">        total_frames = len(vr)</t>
        </is>
      </c>
    </row>
    <row r="228">
      <c r="A228" s="7" t="n">
        <v>225</v>
      </c>
      <c r="B228" s="8" t="inlineStr">
        <is>
          <t xml:space="preserve">        frame_indices = list(range(0, total_frames, step))</t>
        </is>
      </c>
    </row>
    <row r="229">
      <c r="A229" s="9" t="n">
        <v>226</v>
      </c>
      <c r="B229" s="10" t="inlineStr">
        <is>
          <t xml:space="preserve">        issues = []</t>
        </is>
      </c>
    </row>
    <row r="230">
      <c r="A230" s="7" t="n">
        <v>227</v>
      </c>
      <c r="B230" s="8" t="inlineStr">
        <is>
          <t xml:space="preserve">        custom_logos = [f for f in os.listdir(LOGO_DIR) if f.lower().endswith(('.png', '.jpg', '.jpeg'))] if os.path.exists(LOGO_DIR) else []</t>
        </is>
      </c>
    </row>
    <row r="231">
      <c r="A231" s="9" t="n">
        <v>228</v>
      </c>
      <c r="B231" s="10" t="inlineStr">
        <is>
          <t xml:space="preserve">        # 模式1：YOLO通用目标检测 + 自定义logo匹配</t>
        </is>
      </c>
    </row>
    <row r="232">
      <c r="A232" s="7" t="n">
        <v>229</v>
      </c>
      <c r="B232" s="8" t="inlineStr">
        <is>
          <t xml:space="preserve">        if self.detect_model is not None:</t>
        </is>
      </c>
    </row>
    <row r="233">
      <c r="A233" s="9" t="n">
        <v>230</v>
      </c>
      <c r="B233" s="10" t="inlineStr">
        <is>
          <t xml:space="preserve">            for batch_start in range(0, len(frame_indices), 8):</t>
        </is>
      </c>
    </row>
    <row r="234">
      <c r="A234" s="7" t="n">
        <v>231</v>
      </c>
      <c r="B234" s="8" t="inlineStr">
        <is>
          <t xml:space="preserve">                batch_idx = frame_indices[batch_start:batch_start+8]</t>
        </is>
      </c>
    </row>
    <row r="235">
      <c r="A235" s="9" t="n">
        <v>232</v>
      </c>
      <c r="B235" s="10" t="inlineStr">
        <is>
          <t xml:space="preserve">                try:</t>
        </is>
      </c>
    </row>
    <row r="236">
      <c r="A236" s="7" t="n">
        <v>233</v>
      </c>
      <c r="B236" s="8" t="inlineStr">
        <is>
          <t xml:space="preserve">                    batch_frames = vr.get_batch(batch_idx).asnumpy()</t>
        </is>
      </c>
    </row>
    <row r="237">
      <c r="A237" s="9" t="n">
        <v>234</v>
      </c>
      <c r="B237" s="10" t="inlineStr">
        <is>
          <t xml:space="preserve">                except Exception:</t>
        </is>
      </c>
    </row>
    <row r="238">
      <c r="A238" s="7" t="n">
        <v>235</v>
      </c>
      <c r="B238" s="8" t="inlineStr">
        <is>
          <t xml:space="preserve">                    continue</t>
        </is>
      </c>
    </row>
    <row r="239">
      <c r="A239" s="9" t="n">
        <v>236</v>
      </c>
      <c r="B239" s="10" t="inlineStr">
        <is>
          <t xml:space="preserve">                try:</t>
        </is>
      </c>
    </row>
    <row r="240">
      <c r="A240" s="7" t="n">
        <v>237</v>
      </c>
      <c r="B240" s="8" t="inlineStr">
        <is>
          <t xml:space="preserve">                    results = self.detect_model(batch_frames, verbose=False)</t>
        </is>
      </c>
    </row>
    <row r="241">
      <c r="A241" s="9" t="n">
        <v>238</v>
      </c>
      <c r="B241" s="10" t="inlineStr">
        <is>
          <t xml:space="preserve">                except Exception as e:</t>
        </is>
      </c>
    </row>
    <row r="242">
      <c r="A242" s="7" t="n">
        <v>239</v>
      </c>
      <c r="B242" s="8" t="inlineStr">
        <is>
          <t xml:space="preserve">                    logger.warning(f"YOLO推理异常: {e}")</t>
        </is>
      </c>
    </row>
    <row r="243">
      <c r="A243" s="9" t="n">
        <v>240</v>
      </c>
      <c r="B243" s="10" t="inlineStr">
        <is>
          <t xml:space="preserve">                    continue</t>
        </is>
      </c>
    </row>
    <row r="244">
      <c r="A244" s="7" t="n">
        <v>241</v>
      </c>
      <c r="B244" s="8" t="inlineStr">
        <is>
          <t xml:space="preserve">                for idx, res in enumerate(results):</t>
        </is>
      </c>
    </row>
    <row r="245">
      <c r="A245" s="9" t="n">
        <v>242</v>
      </c>
      <c r="B245" s="10" t="inlineStr">
        <is>
          <t xml:space="preserve">                    current_time = batch_idx[idx] / fps</t>
        </is>
      </c>
    </row>
    <row r="246">
      <c r="A246" s="7" t="n">
        <v>243</v>
      </c>
      <c r="B246" s="8" t="inlineStr">
        <is>
          <t xml:space="preserve">                    if res.boxes is None:</t>
        </is>
      </c>
    </row>
    <row r="247">
      <c r="A247" s="9" t="n">
        <v>244</v>
      </c>
      <c r="B247" s="10" t="inlineStr">
        <is>
          <t xml:space="preserve">                        continue</t>
        </is>
      </c>
    </row>
    <row r="248">
      <c r="A248" s="7" t="n">
        <v>245</v>
      </c>
      <c r="B248" s="8" t="inlineStr">
        <is>
          <t xml:space="preserve">                    for box in res.boxes:</t>
        </is>
      </c>
    </row>
    <row r="249">
      <c r="A249" s="9" t="n">
        <v>246</v>
      </c>
      <c r="B249" s="10" t="inlineStr">
        <is>
          <t xml:space="preserve">                        cls_id = int(box.cls[0]) if hasattr(box.cls, '__getitem__') else int(box.cls)</t>
        </is>
      </c>
    </row>
    <row r="250">
      <c r="A250" s="7" t="n">
        <v>247</v>
      </c>
      <c r="B250" s="8" t="inlineStr">
        <is>
          <t xml:space="preserve">                        cls_name = res.names.get(cls_id, f"class_{cls_id}")</t>
        </is>
      </c>
    </row>
    <row r="251">
      <c r="A251" s="9" t="n">
        <v>248</v>
      </c>
      <c r="B251" s="10" t="inlineStr">
        <is>
          <t xml:space="preserve">                        conf = float(box.conf[0]) if hasattr(box.conf, '__getitem__') else float(box.conf)</t>
        </is>
      </c>
    </row>
    <row r="252">
      <c r="A252" s="7" t="n">
        <v>249</v>
      </c>
      <c r="B252" s="8" t="inlineStr">
        <is>
          <t xml:space="preserve">                        if conf &gt; 0.5:</t>
        </is>
      </c>
    </row>
    <row r="253">
      <c r="A253" s="9" t="n">
        <v>250</v>
      </c>
      <c r="B253" s="10" t="inlineStr">
        <is>
          <t xml:space="preserve">                            if cls_name in ["cell phone", "laptop", "tv", "tvmonitor", "remote", "book", "bottle", "cup", "wine glass"]:</t>
        </is>
      </c>
    </row>
    <row r="254">
      <c r="A254" s="7" t="n">
        <v>251</v>
      </c>
      <c r="B254" s="8" t="inlineStr">
        <is>
          <t xml:space="preserve">                                issues.append({</t>
        </is>
      </c>
    </row>
    <row r="255">
      <c r="A255" s="9" t="n">
        <v>252</v>
      </c>
      <c r="B255" s="10" t="inlineStr">
        <is>
          <t xml:space="preserve">                                    "type": f"检测到{cls_name}",</t>
        </is>
      </c>
    </row>
    <row r="256">
      <c r="A256" s="7" t="n">
        <v>253</v>
      </c>
      <c r="B256" s="8" t="inlineStr">
        <is>
          <t xml:space="preserve">                                    "start": round(current_time, 2),</t>
        </is>
      </c>
    </row>
    <row r="257">
      <c r="A257" s="9" t="n">
        <v>254</v>
      </c>
      <c r="B257" s="10" t="inlineStr">
        <is>
          <t xml:space="preserve">                                    "end": round(current_time + 1, 2),</t>
        </is>
      </c>
    </row>
    <row r="258">
      <c r="A258" s="7" t="n">
        <v>255</v>
      </c>
      <c r="B258" s="8" t="inlineStr">
        <is>
          <t xml:space="preserve">                                    "level": "warning",</t>
        </is>
      </c>
    </row>
    <row r="259">
      <c r="A259" s="9" t="n">
        <v>256</v>
      </c>
      <c r="B259" s="10" t="inlineStr">
        <is>
          <t xml:space="preserve">                                    "desc": f"画面中出现{cls_name}，置信度{conf:.2f}"</t>
        </is>
      </c>
    </row>
    <row r="260">
      <c r="A260" s="7" t="n">
        <v>257</v>
      </c>
      <c r="B260" s="8" t="inlineStr">
        <is>
          <t xml:space="preserve">                                })</t>
        </is>
      </c>
    </row>
    <row r="261">
      <c r="A261" s="9" t="n">
        <v>258</v>
      </c>
      <c r="B261" s="10" t="inlineStr">
        <is>
          <t xml:space="preserve">        # 模式2：ORB特征匹配自定义logo库（CPU兜底）</t>
        </is>
      </c>
    </row>
    <row r="262">
      <c r="A262" s="7" t="n">
        <v>259</v>
      </c>
      <c r="B262" s="8" t="inlineStr">
        <is>
          <t xml:space="preserve">        elif custom_logos:</t>
        </is>
      </c>
    </row>
    <row r="263">
      <c r="A263" s="9" t="n">
        <v>260</v>
      </c>
      <c r="B263" s="10" t="inlineStr">
        <is>
          <t xml:space="preserve">            orb = cv2.ORB_create(nfeatures=1000)</t>
        </is>
      </c>
    </row>
    <row r="264">
      <c r="A264" s="7" t="n">
        <v>261</v>
      </c>
      <c r="B264" s="8" t="inlineStr">
        <is>
          <t xml:space="preserve">            bf = cv2.BFMatcher(cv2.NORM_HAMMING, crossCheck=True)</t>
        </is>
      </c>
    </row>
    <row r="265">
      <c r="A265" s="9" t="n">
        <v>262</v>
      </c>
      <c r="B265" s="10" t="inlineStr">
        <is>
          <t xml:space="preserve">            logo_features = []</t>
        </is>
      </c>
    </row>
    <row r="266">
      <c r="A266" s="7" t="n">
        <v>263</v>
      </c>
      <c r="B266" s="8" t="inlineStr">
        <is>
          <t xml:space="preserve">            for logo_file in custom_logos:</t>
        </is>
      </c>
    </row>
    <row r="267">
      <c r="A267" s="9" t="n">
        <v>264</v>
      </c>
      <c r="B267" s="10" t="inlineStr">
        <is>
          <t xml:space="preserve">                logo_path = os.path.join(LOGO_DIR, logo_file)</t>
        </is>
      </c>
    </row>
    <row r="268">
      <c r="A268" s="7" t="n">
        <v>265</v>
      </c>
      <c r="B268" s="8" t="inlineStr">
        <is>
          <t xml:space="preserve">                logo_img = cv2.imread(logo_path, 0)</t>
        </is>
      </c>
    </row>
    <row r="269">
      <c r="A269" s="9" t="n">
        <v>266</v>
      </c>
      <c r="B269" s="10" t="inlineStr">
        <is>
          <t xml:space="preserve">                if logo_img is None:</t>
        </is>
      </c>
    </row>
    <row r="270">
      <c r="A270" s="7" t="n">
        <v>267</v>
      </c>
      <c r="B270" s="8" t="inlineStr">
        <is>
          <t xml:space="preserve">                    continue</t>
        </is>
      </c>
    </row>
    <row r="271">
      <c r="A271" s="9" t="n">
        <v>268</v>
      </c>
      <c r="B271" s="10" t="inlineStr">
        <is>
          <t xml:space="preserve">                kp, des = orb.detectAndCompute(logo_img, None)</t>
        </is>
      </c>
    </row>
    <row r="272">
      <c r="A272" s="7" t="n">
        <v>269</v>
      </c>
      <c r="B272" s="8" t="inlineStr">
        <is>
          <t xml:space="preserve">                if des is not None:</t>
        </is>
      </c>
    </row>
    <row r="273">
      <c r="A273" s="9" t="n">
        <v>270</v>
      </c>
      <c r="B273" s="10" t="inlineStr">
        <is>
          <t xml:space="preserve">                    logo_features.append({"name": logo_file, "kp": kp, "des": des})</t>
        </is>
      </c>
    </row>
    <row r="274">
      <c r="A274" s="7" t="n">
        <v>271</v>
      </c>
      <c r="B274" s="8" t="inlineStr">
        <is>
          <t xml:space="preserve">            for i in frame_indices:</t>
        </is>
      </c>
    </row>
    <row r="275">
      <c r="A275" s="9" t="n">
        <v>272</v>
      </c>
      <c r="B275" s="10" t="inlineStr">
        <is>
          <t xml:space="preserve">                try:</t>
        </is>
      </c>
    </row>
    <row r="276">
      <c r="A276" s="7" t="n">
        <v>273</v>
      </c>
      <c r="B276" s="8" t="inlineStr">
        <is>
          <t xml:space="preserve">                    frame = vr[i].asnumpy()</t>
        </is>
      </c>
    </row>
    <row r="277">
      <c r="A277" s="9" t="n">
        <v>274</v>
      </c>
      <c r="B277" s="10" t="inlineStr">
        <is>
          <t xml:space="preserve">                except Exception:</t>
        </is>
      </c>
    </row>
    <row r="278">
      <c r="A278" s="7" t="n">
        <v>275</v>
      </c>
      <c r="B278" s="8" t="inlineStr">
        <is>
          <t xml:space="preserve">                    continue</t>
        </is>
      </c>
    </row>
    <row r="279">
      <c r="A279" s="9" t="n">
        <v>276</v>
      </c>
      <c r="B279" s="10" t="inlineStr">
        <is>
          <t xml:space="preserve">                gray = cv2.cvtColor(frame, cv2.COLOR_RGB2GRAY)</t>
        </is>
      </c>
    </row>
    <row r="280">
      <c r="A280" s="7" t="n">
        <v>277</v>
      </c>
      <c r="B280" s="8" t="inlineStr">
        <is>
          <t xml:space="preserve">                kp_frame, des_frame = orb.detectAndCompute(gray, None)</t>
        </is>
      </c>
    </row>
    <row r="281">
      <c r="A281" s="9" t="n">
        <v>278</v>
      </c>
      <c r="B281" s="10" t="inlineStr">
        <is>
          <t xml:space="preserve">                if des_frame is None:</t>
        </is>
      </c>
    </row>
    <row r="282">
      <c r="A282" s="7" t="n">
        <v>279</v>
      </c>
      <c r="B282" s="8" t="inlineStr">
        <is>
          <t xml:space="preserve">                    continue</t>
        </is>
      </c>
    </row>
    <row r="283">
      <c r="A283" s="9" t="n">
        <v>280</v>
      </c>
      <c r="B283" s="10" t="inlineStr">
        <is>
          <t xml:space="preserve">                for logo in logo_features:</t>
        </is>
      </c>
    </row>
    <row r="284">
      <c r="A284" s="7" t="n">
        <v>281</v>
      </c>
      <c r="B284" s="8" t="inlineStr">
        <is>
          <t xml:space="preserve">                    try:</t>
        </is>
      </c>
    </row>
    <row r="285">
      <c r="A285" s="9" t="n">
        <v>282</v>
      </c>
      <c r="B285" s="10" t="inlineStr">
        <is>
          <t xml:space="preserve">                        matches = bf.match(logo["des"], des_frame)</t>
        </is>
      </c>
    </row>
    <row r="286">
      <c r="A286" s="7" t="n">
        <v>283</v>
      </c>
      <c r="B286" s="8" t="inlineStr">
        <is>
          <t xml:space="preserve">                    except Exception:</t>
        </is>
      </c>
    </row>
    <row r="287">
      <c r="A287" s="9" t="n">
        <v>284</v>
      </c>
      <c r="B287" s="10" t="inlineStr">
        <is>
          <t xml:space="preserve">                        continue</t>
        </is>
      </c>
    </row>
    <row r="288">
      <c r="A288" s="7" t="n">
        <v>285</v>
      </c>
      <c r="B288" s="8" t="inlineStr">
        <is>
          <t xml:space="preserve">                    good = [m for m in matches if m.distance &lt; 50]</t>
        </is>
      </c>
    </row>
    <row r="289">
      <c r="A289" s="9" t="n">
        <v>286</v>
      </c>
      <c r="B289" s="10" t="inlineStr">
        <is>
          <t xml:space="preserve">                    if len(good) &gt; 15:</t>
        </is>
      </c>
    </row>
    <row r="290">
      <c r="A290" s="7" t="n">
        <v>287</v>
      </c>
      <c r="B290" s="8" t="inlineStr">
        <is>
          <t xml:space="preserve">                        current_time = i / fps</t>
        </is>
      </c>
    </row>
    <row r="291">
      <c r="A291" s="9" t="n">
        <v>288</v>
      </c>
      <c r="B291" s="10" t="inlineStr">
        <is>
          <t xml:space="preserve">                        issues.append({</t>
        </is>
      </c>
    </row>
    <row r="292">
      <c r="A292" s="7" t="n">
        <v>289</v>
      </c>
      <c r="B292" s="8" t="inlineStr">
        <is>
          <t xml:space="preserve">                            "type": "疑似品牌logo",</t>
        </is>
      </c>
    </row>
    <row r="293">
      <c r="A293" s="9" t="n">
        <v>290</v>
      </c>
      <c r="B293" s="10" t="inlineStr">
        <is>
          <t xml:space="preserve">                            "start": round(current_time, 2),</t>
        </is>
      </c>
    </row>
    <row r="294">
      <c r="A294" s="7" t="n">
        <v>291</v>
      </c>
      <c r="B294" s="8" t="inlineStr">
        <is>
          <t xml:space="preserve">                            "end": round(current_time + 1, 2),</t>
        </is>
      </c>
    </row>
    <row r="295">
      <c r="A295" s="9" t="n">
        <v>292</v>
      </c>
      <c r="B295" s="10" t="inlineStr">
        <is>
          <t xml:space="preserve">                            "level": "warning",</t>
        </is>
      </c>
    </row>
    <row r="296">
      <c r="A296" s="7" t="n">
        <v>293</v>
      </c>
      <c r="B296" s="8" t="inlineStr">
        <is>
          <t xml:space="preserve">                            "desc": f"匹配到自定义特征: {logo['name']}，匹配点{len(good)}个"</t>
        </is>
      </c>
    </row>
    <row r="297">
      <c r="A297" s="9" t="n">
        <v>294</v>
      </c>
      <c r="B297" s="10" t="inlineStr">
        <is>
          <t xml:space="preserve">                        })</t>
        </is>
      </c>
    </row>
    <row r="298">
      <c r="A298" s="7" t="n">
        <v>295</v>
      </c>
      <c r="B298" s="8" t="inlineStr">
        <is>
          <t xml:space="preserve">        del vr</t>
        </is>
      </c>
    </row>
    <row r="299">
      <c r="A299" s="9" t="n">
        <v>296</v>
      </c>
      <c r="B299" s="10" t="inlineStr">
        <is>
          <t xml:space="preserve">        release_gpu_memory()</t>
        </is>
      </c>
    </row>
    <row r="300">
      <c r="A300" s="7" t="n">
        <v>297</v>
      </c>
      <c r="B300" s="8" t="inlineStr">
        <is>
          <t xml:space="preserve">        for issue in issues:</t>
        </is>
      </c>
    </row>
    <row r="301">
      <c r="A301" s="9" t="n">
        <v>298</v>
      </c>
      <c r="B301" s="10" t="inlineStr">
        <is>
          <t xml:space="preserve">            execute_sql('''</t>
        </is>
      </c>
    </row>
    <row r="302">
      <c r="A302" s="7" t="n">
        <v>299</v>
      </c>
      <c r="B302" s="8" t="inlineStr">
        <is>
          <t xml:space="preserve">                INSERT INTO quality_results (material_id, check_type, issue_level, issue_desc, start_time, end_time)</t>
        </is>
      </c>
    </row>
    <row r="303">
      <c r="A303" s="9" t="n">
        <v>300</v>
      </c>
      <c r="B303" s="10" t="inlineStr">
        <is>
          <t xml:space="preserve">                VALUES (?, ?, ?, ?, ?, ?)</t>
        </is>
      </c>
    </row>
    <row r="304">
      <c r="A304" s="7" t="n">
        <v>301</v>
      </c>
      <c r="B304" s="8" t="inlineStr">
        <is>
          <t xml:space="preserve">            ''', (material_id, "内容合规", issue["level"], issue["desc"], issue["start"], issue["end"]))</t>
        </is>
      </c>
    </row>
    <row r="305">
      <c r="A305" s="9" t="n">
        <v>302</v>
      </c>
      <c r="B305" s="10" t="inlineStr">
        <is>
          <t xml:space="preserve">        cache_manager.set_cache(video_path, "brand_detect", issues)</t>
        </is>
      </c>
    </row>
    <row r="306">
      <c r="A306" s="7" t="n">
        <v>303</v>
      </c>
      <c r="B306" s="8" t="inlineStr">
        <is>
          <t xml:space="preserve">        logger.info(f"品牌广告检测完成，发现{len(issues)}处疑似内容")</t>
        </is>
      </c>
    </row>
    <row r="307">
      <c r="A307" s="9" t="n">
        <v>304</v>
      </c>
      <c r="B307" s="10" t="inlineStr">
        <is>
          <t xml:space="preserve">        return issues</t>
        </is>
      </c>
    </row>
    <row r="308">
      <c r="A308" s="7" t="n">
        <v>305</v>
      </c>
      <c r="B308" s="8" t="inlineStr">
        <is>
          <t xml:space="preserve">    def run_all_checks(self, video_path: str, material_id: int) -&gt; dict:</t>
        </is>
      </c>
    </row>
    <row r="309">
      <c r="A309" s="9" t="n">
        <v>306</v>
      </c>
      <c r="B309" s="10" t="inlineStr">
        <is>
          <t xml:space="preserve">        """执行所有高级质检项"""</t>
        </is>
      </c>
    </row>
    <row r="310">
      <c r="A310" s="7" t="n">
        <v>307</v>
      </c>
      <c r="B310" s="8" t="inlineStr">
        <is>
          <t xml:space="preserve">        issues = []</t>
        </is>
      </c>
    </row>
    <row r="311">
      <c r="A311" s="9" t="n">
        <v>308</v>
      </c>
      <c r="B311" s="10" t="inlineStr">
        <is>
          <t xml:space="preserve">        issues.extend(self.detect_blur_stutter(video_path, material_id))</t>
        </is>
      </c>
    </row>
    <row r="312">
      <c r="A312" s="7" t="n">
        <v>309</v>
      </c>
      <c r="B312" s="8" t="inlineStr">
        <is>
          <t xml:space="preserve">        issues.extend(self.detect_aspect_ratio(video_path, material_id))</t>
        </is>
      </c>
    </row>
    <row r="313">
      <c r="A313" s="9" t="n">
        <v>310</v>
      </c>
      <c r="B313" s="10" t="inlineStr">
        <is>
          <t xml:space="preserve">        issues.extend(self.detect_brand_ads(video_path, material_id))</t>
        </is>
      </c>
    </row>
    <row r="314">
      <c r="A314" s="7" t="n">
        <v>311</v>
      </c>
      <c r="B314" s="8" t="inlineStr">
        <is>
          <t xml:space="preserve">        return {"total": len(issues), "details": issues}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modules\audio_analyzer.py</t>
        </is>
      </c>
      <c r="C1" s="5" t="inlineStr">
        <is>
          <t>行数: 105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音频分析模块</t>
        </is>
      </c>
    </row>
    <row r="6">
      <c r="A6" s="7" t="n">
        <v>3</v>
      </c>
      <c r="B6" s="8" t="inlineStr">
        <is>
          <t>基于Faster-Whisper的语音识别转录</t>
        </is>
      </c>
    </row>
    <row r="7">
      <c r="A7" s="9" t="n">
        <v>4</v>
      </c>
      <c r="B7" s="10" t="inlineStr">
        <is>
          <t>支持int8_float16量化加速，适配6GB显存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os</t>
        </is>
      </c>
    </row>
    <row r="10">
      <c r="A10" s="7" t="n">
        <v>7</v>
      </c>
      <c r="B10" s="8" t="inlineStr">
        <is>
          <t>import yaml</t>
        </is>
      </c>
    </row>
    <row r="11">
      <c r="A11" s="9" t="n">
        <v>8</v>
      </c>
      <c r="B11" s="10" t="inlineStr">
        <is>
          <t>import numpy as np</t>
        </is>
      </c>
    </row>
    <row r="12">
      <c r="A12" s="7" t="n">
        <v>9</v>
      </c>
      <c r="B12" s="8" t="inlineStr">
        <is>
          <t>from utils.logger import get_logger</t>
        </is>
      </c>
    </row>
    <row r="13">
      <c r="A13" s="9" t="n">
        <v>10</v>
      </c>
      <c r="B13" s="10" t="inlineStr">
        <is>
          <t>from utils.ffmpeg_utils import extract_audio</t>
        </is>
      </c>
    </row>
    <row r="14">
      <c r="A14" s="7" t="n">
        <v>11</v>
      </c>
      <c r="B14" s="8" t="inlineStr">
        <is>
          <t>from core.database import execute_sql</t>
        </is>
      </c>
    </row>
    <row r="15">
      <c r="A15" s="9" t="n">
        <v>12</v>
      </c>
      <c r="B15" s="10" t="inlineStr">
        <is>
          <t>from utils.cache_manager import cache_manager</t>
        </is>
      </c>
    </row>
    <row r="16">
      <c r="A16" s="7" t="n">
        <v>13</v>
      </c>
      <c r="B16" s="8" t="inlineStr">
        <is>
          <t>logger = get_logger("audio_analyzer")</t>
        </is>
      </c>
    </row>
    <row r="17">
      <c r="A17" s="9" t="n">
        <v>14</v>
      </c>
      <c r="B17" s="10" t="inlineStr">
        <is>
          <t>try:</t>
        </is>
      </c>
    </row>
    <row r="18">
      <c r="A18" s="7" t="n">
        <v>15</v>
      </c>
      <c r="B18" s="8" t="inlineStr">
        <is>
          <t xml:space="preserve">    with open("./config/optimize_config.yaml", "r", encoding="utf-8") as f:</t>
        </is>
      </c>
    </row>
    <row r="19">
      <c r="A19" s="9" t="n">
        <v>16</v>
      </c>
      <c r="B19" s="10" t="inlineStr">
        <is>
          <t xml:space="preserve">        CONFIG = yaml.safe_load(f)</t>
        </is>
      </c>
    </row>
    <row r="20">
      <c r="A20" s="7" t="n">
        <v>17</v>
      </c>
      <c r="B20" s="8" t="inlineStr">
        <is>
          <t>except Exception:</t>
        </is>
      </c>
    </row>
    <row r="21">
      <c r="A21" s="9" t="n">
        <v>18</v>
      </c>
      <c r="B21" s="10" t="inlineStr">
        <is>
          <t xml:space="preserve">    CONFIG = {}</t>
        </is>
      </c>
    </row>
    <row r="22">
      <c r="A22" s="7" t="n">
        <v>19</v>
      </c>
      <c r="B22" s="8" t="inlineStr">
        <is>
          <t>WHISPER_MODEL_SIZE = "small"</t>
        </is>
      </c>
    </row>
    <row r="23">
      <c r="A23" s="9" t="n">
        <v>20</v>
      </c>
      <c r="B23" s="10" t="inlineStr">
        <is>
          <t>WHISPER_MODEL_DIR = "./data/models/whisper"</t>
        </is>
      </c>
    </row>
    <row r="24">
      <c r="A24" s="7" t="n">
        <v>21</v>
      </c>
      <c r="B24" s="8" t="inlineStr">
        <is>
          <t>class AudioAnalyzer:</t>
        </is>
      </c>
    </row>
    <row r="25">
      <c r="A25" s="9" t="n">
        <v>22</v>
      </c>
      <c r="B25" s="10" t="inlineStr">
        <is>
          <t xml:space="preserve">    """音频分析器：语音转录 + 时间轴切分"""</t>
        </is>
      </c>
    </row>
    <row r="26">
      <c r="A26" s="7" t="n">
        <v>23</v>
      </c>
      <c r="B26" s="8" t="inlineStr">
        <is>
          <t xml:space="preserve">    def __init__(self):</t>
        </is>
      </c>
    </row>
    <row r="27">
      <c r="A27" s="9" t="n">
        <v>24</v>
      </c>
      <c r="B27" s="10" t="inlineStr">
        <is>
          <t xml:space="preserve">        self.model = None</t>
        </is>
      </c>
    </row>
    <row r="28">
      <c r="A28" s="7" t="n">
        <v>25</v>
      </c>
      <c r="B28" s="8" t="inlineStr">
        <is>
          <t xml:space="preserve">        self.compute_type = CONFIG.get("model", {}).get("whisper_compute_type", "int8_float16")</t>
        </is>
      </c>
    </row>
    <row r="29">
      <c r="A29" s="9" t="n">
        <v>26</v>
      </c>
      <c r="B29" s="10" t="inlineStr">
        <is>
          <t xml:space="preserve">        self.beam_size = CONFIG.get("model", {}).get("whisper_beam_size", 3)</t>
        </is>
      </c>
    </row>
    <row r="30">
      <c r="A30" s="7" t="n">
        <v>27</v>
      </c>
      <c r="B30" s="8" t="inlineStr">
        <is>
          <t xml:space="preserve">        try:</t>
        </is>
      </c>
    </row>
    <row r="31">
      <c r="A31" s="9" t="n">
        <v>28</v>
      </c>
      <c r="B31" s="10" t="inlineStr">
        <is>
          <t xml:space="preserve">            from faster_whisper import WhisperModel</t>
        </is>
      </c>
    </row>
    <row r="32">
      <c r="A32" s="7" t="n">
        <v>29</v>
      </c>
      <c r="B32" s="8" t="inlineStr">
        <is>
          <t xml:space="preserve">            os.makedirs(WHISPER_MODEL_DIR, exist_ok=True)</t>
        </is>
      </c>
    </row>
    <row r="33">
      <c r="A33" s="9" t="n">
        <v>30</v>
      </c>
      <c r="B33" s="10" t="inlineStr">
        <is>
          <t xml:space="preserve">            # 尝试GPU，失败则CPU</t>
        </is>
      </c>
    </row>
    <row r="34">
      <c r="A34" s="7" t="n">
        <v>31</v>
      </c>
      <c r="B34" s="8" t="inlineStr">
        <is>
          <t xml:space="preserve">            device = "cuda"</t>
        </is>
      </c>
    </row>
    <row r="35">
      <c r="A35" s="9" t="n">
        <v>32</v>
      </c>
      <c r="B35" s="10" t="inlineStr">
        <is>
          <t xml:space="preserve">            try:</t>
        </is>
      </c>
    </row>
    <row r="36">
      <c r="A36" s="7" t="n">
        <v>33</v>
      </c>
      <c r="B36" s="8" t="inlineStr">
        <is>
          <t xml:space="preserve">                import torch</t>
        </is>
      </c>
    </row>
    <row r="37">
      <c r="A37" s="9" t="n">
        <v>34</v>
      </c>
      <c r="B37" s="10" t="inlineStr">
        <is>
          <t xml:space="preserve">                if not torch.cuda.is_available():</t>
        </is>
      </c>
    </row>
    <row r="38">
      <c r="A38" s="7" t="n">
        <v>35</v>
      </c>
      <c r="B38" s="8" t="inlineStr">
        <is>
          <t xml:space="preserve">                    device = "cpu"</t>
        </is>
      </c>
    </row>
    <row r="39">
      <c r="A39" s="9" t="n">
        <v>36</v>
      </c>
      <c r="B39" s="10" t="inlineStr">
        <is>
          <t xml:space="preserve">                    self.compute_type = "int8"</t>
        </is>
      </c>
    </row>
    <row r="40">
      <c r="A40" s="7" t="n">
        <v>37</v>
      </c>
      <c r="B40" s="8" t="inlineStr">
        <is>
          <t xml:space="preserve">            except Exception:</t>
        </is>
      </c>
    </row>
    <row r="41">
      <c r="A41" s="9" t="n">
        <v>38</v>
      </c>
      <c r="B41" s="10" t="inlineStr">
        <is>
          <t xml:space="preserve">                device = "cpu"</t>
        </is>
      </c>
    </row>
    <row r="42">
      <c r="A42" s="7" t="n">
        <v>39</v>
      </c>
      <c r="B42" s="8" t="inlineStr">
        <is>
          <t xml:space="preserve">                self.compute_type = "int8"</t>
        </is>
      </c>
    </row>
    <row r="43">
      <c r="A43" s="9" t="n">
        <v>40</v>
      </c>
      <c r="B43" s="10" t="inlineStr">
        <is>
          <t xml:space="preserve">            self.model = WhisperModel(</t>
        </is>
      </c>
    </row>
    <row r="44">
      <c r="A44" s="7" t="n">
        <v>41</v>
      </c>
      <c r="B44" s="8" t="inlineStr">
        <is>
          <t xml:space="preserve">                WHISPER_MODEL_SIZE,</t>
        </is>
      </c>
    </row>
    <row r="45">
      <c r="A45" s="9" t="n">
        <v>42</v>
      </c>
      <c r="B45" s="10" t="inlineStr">
        <is>
          <t xml:space="preserve">                device=device,</t>
        </is>
      </c>
    </row>
    <row r="46">
      <c r="A46" s="7" t="n">
        <v>43</v>
      </c>
      <c r="B46" s="8" t="inlineStr">
        <is>
          <t xml:space="preserve">                compute_type=self.compute_type,</t>
        </is>
      </c>
    </row>
    <row r="47">
      <c r="A47" s="9" t="n">
        <v>44</v>
      </c>
      <c r="B47" s="10" t="inlineStr">
        <is>
          <t xml:space="preserve">                download_root=WHISPER_MODEL_DIR,</t>
        </is>
      </c>
    </row>
    <row r="48">
      <c r="A48" s="7" t="n">
        <v>45</v>
      </c>
      <c r="B48" s="8" t="inlineStr">
        <is>
          <t xml:space="preserve">                num_workers=1</t>
        </is>
      </c>
    </row>
    <row r="49">
      <c r="A49" s="9" t="n">
        <v>46</v>
      </c>
      <c r="B49" s="10" t="inlineStr">
        <is>
          <t xml:space="preserve">            )</t>
        </is>
      </c>
    </row>
    <row r="50">
      <c r="A50" s="7" t="n">
        <v>47</v>
      </c>
      <c r="B50" s="8" t="inlineStr">
        <is>
          <t xml:space="preserve">            logger.info(f"Whisper模型加载完成 | 设备: {device} | 量化: {self.compute_type}")</t>
        </is>
      </c>
    </row>
    <row r="51">
      <c r="A51" s="9" t="n">
        <v>48</v>
      </c>
      <c r="B51" s="10" t="inlineStr">
        <is>
          <t xml:space="preserve">        except Exception as e:</t>
        </is>
      </c>
    </row>
    <row r="52">
      <c r="A52" s="7" t="n">
        <v>49</v>
      </c>
      <c r="B52" s="8" t="inlineStr">
        <is>
          <t xml:space="preserve">            logger.warning(f"Whisper模型加载失败: {e}，将跳过语音识别")</t>
        </is>
      </c>
    </row>
    <row r="53">
      <c r="A53" s="9" t="n">
        <v>50</v>
      </c>
      <c r="B53" s="10" t="inlineStr">
        <is>
          <t xml:space="preserve">            self.model = None</t>
        </is>
      </c>
    </row>
    <row r="54">
      <c r="A54" s="7" t="n">
        <v>51</v>
      </c>
      <c r="B54" s="8" t="inlineStr">
        <is>
          <t xml:space="preserve">    def transcribe_audio(self, video_path: str, material_id: int) -&gt; list:</t>
        </is>
      </c>
    </row>
    <row r="55">
      <c r="A55" s="9" t="n">
        <v>52</v>
      </c>
      <c r="B55" s="10" t="inlineStr">
        <is>
          <t xml:space="preserve">        """视频语音转录，返回时间轴分段结果"""</t>
        </is>
      </c>
    </row>
    <row r="56">
      <c r="A56" s="7" t="n">
        <v>53</v>
      </c>
      <c r="B56" s="8" t="inlineStr">
        <is>
          <t xml:space="preserve">        cache = cache_manager.get_cache(video_path, "audio_transcript")</t>
        </is>
      </c>
    </row>
    <row r="57">
      <c r="A57" s="9" t="n">
        <v>54</v>
      </c>
      <c r="B57" s="10" t="inlineStr">
        <is>
          <t xml:space="preserve">        if cache:</t>
        </is>
      </c>
    </row>
    <row r="58">
      <c r="A58" s="7" t="n">
        <v>55</v>
      </c>
      <c r="B58" s="8" t="inlineStr">
        <is>
          <t xml:space="preserve">            for seg in cache:</t>
        </is>
      </c>
    </row>
    <row r="59">
      <c r="A59" s="9" t="n">
        <v>56</v>
      </c>
      <c r="B59" s="10" t="inlineStr">
        <is>
          <t xml:space="preserve">                execute_sql(</t>
        </is>
      </c>
    </row>
    <row r="60">
      <c r="A60" s="7" t="n">
        <v>57</v>
      </c>
      <c r="B60" s="8" t="inlineStr">
        <is>
          <t xml:space="preserve">                    "INSERT OR IGNORE INTO audio_features (material_id, start_time, end_time, audio_type, transcript, confidence) VALUES (?, ?, ?, 'speech', ?, ?)",</t>
        </is>
      </c>
    </row>
    <row r="61">
      <c r="A61" s="9" t="n">
        <v>58</v>
      </c>
      <c r="B61" s="10" t="inlineStr">
        <is>
          <t xml:space="preserve">                    (material_id, seg["start"], seg["end"], seg["text"], seg["confidence"])</t>
        </is>
      </c>
    </row>
    <row r="62">
      <c r="A62" s="7" t="n">
        <v>59</v>
      </c>
      <c r="B62" s="8" t="inlineStr">
        <is>
          <t xml:space="preserve">                )</t>
        </is>
      </c>
    </row>
    <row r="63">
      <c r="A63" s="9" t="n">
        <v>60</v>
      </c>
      <c r="B63" s="10" t="inlineStr">
        <is>
          <t xml:space="preserve">            logger.info(f"语音识别命中缓存，共{len(cache)}段")</t>
        </is>
      </c>
    </row>
    <row r="64">
      <c r="A64" s="7" t="n">
        <v>61</v>
      </c>
      <c r="B64" s="8" t="inlineStr">
        <is>
          <t xml:space="preserve">            return cache</t>
        </is>
      </c>
    </row>
    <row r="65">
      <c r="A65" s="9" t="n">
        <v>62</v>
      </c>
      <c r="B65" s="10" t="inlineStr">
        <is>
          <t xml:space="preserve">        if self.model is None:</t>
        </is>
      </c>
    </row>
    <row r="66">
      <c r="A66" s="7" t="n">
        <v>63</v>
      </c>
      <c r="B66" s="8" t="inlineStr">
        <is>
          <t xml:space="preserve">            logger.warning("语音模型不可用，跳过语音识别")</t>
        </is>
      </c>
    </row>
    <row r="67">
      <c r="A67" s="9" t="n">
        <v>64</v>
      </c>
      <c r="B67" s="10" t="inlineStr">
        <is>
          <t xml:space="preserve">            return []</t>
        </is>
      </c>
    </row>
    <row r="68">
      <c r="A68" s="7" t="n">
        <v>65</v>
      </c>
      <c r="B68" s="8" t="inlineStr">
        <is>
          <t xml:space="preserve">        logger.info(f"开始语音识别: {video_path}")</t>
        </is>
      </c>
    </row>
    <row r="69">
      <c r="A69" s="9" t="n">
        <v>66</v>
      </c>
      <c r="B69" s="10" t="inlineStr">
        <is>
          <t xml:space="preserve">        # 提取音频</t>
        </is>
      </c>
    </row>
    <row r="70">
      <c r="A70" s="7" t="n">
        <v>67</v>
      </c>
      <c r="B70" s="8" t="inlineStr">
        <is>
          <t xml:space="preserve">        audio_path = f"./data/temp_audio_{material_id}.wav"</t>
        </is>
      </c>
    </row>
    <row r="71">
      <c r="A71" s="9" t="n">
        <v>68</v>
      </c>
      <c r="B71" s="10" t="inlineStr">
        <is>
          <t xml:space="preserve">        os.makedirs("./data", exist_ok=True)</t>
        </is>
      </c>
    </row>
    <row r="72">
      <c r="A72" s="7" t="n">
        <v>69</v>
      </c>
      <c r="B72" s="8" t="inlineStr">
        <is>
          <t xml:space="preserve">        if not extract_audio(video_path, audio_path):</t>
        </is>
      </c>
    </row>
    <row r="73">
      <c r="A73" s="9" t="n">
        <v>70</v>
      </c>
      <c r="B73" s="10" t="inlineStr">
        <is>
          <t xml:space="preserve">            logger.error("音频提取失败")</t>
        </is>
      </c>
    </row>
    <row r="74">
      <c r="A74" s="7" t="n">
        <v>71</v>
      </c>
      <c r="B74" s="8" t="inlineStr">
        <is>
          <t xml:space="preserve">            return []</t>
        </is>
      </c>
    </row>
    <row r="75">
      <c r="A75" s="9" t="n">
        <v>72</v>
      </c>
      <c r="B75" s="10" t="inlineStr">
        <is>
          <t xml:space="preserve">        segments_out = []</t>
        </is>
      </c>
    </row>
    <row r="76">
      <c r="A76" s="7" t="n">
        <v>73</v>
      </c>
      <c r="B76" s="8" t="inlineStr">
        <is>
          <t xml:space="preserve">        try:</t>
        </is>
      </c>
    </row>
    <row r="77">
      <c r="A77" s="9" t="n">
        <v>74</v>
      </c>
      <c r="B77" s="10" t="inlineStr">
        <is>
          <t xml:space="preserve">            segments, info = self.model.transcribe(</t>
        </is>
      </c>
    </row>
    <row r="78">
      <c r="A78" s="7" t="n">
        <v>75</v>
      </c>
      <c r="B78" s="8" t="inlineStr">
        <is>
          <t xml:space="preserve">                audio_path,</t>
        </is>
      </c>
    </row>
    <row r="79">
      <c r="A79" s="9" t="n">
        <v>76</v>
      </c>
      <c r="B79" s="10" t="inlineStr">
        <is>
          <t xml:space="preserve">                beam_size=self.beam_size,</t>
        </is>
      </c>
    </row>
    <row r="80">
      <c r="A80" s="7" t="n">
        <v>77</v>
      </c>
      <c r="B80" s="8" t="inlineStr">
        <is>
          <t xml:space="preserve">                language="zh",</t>
        </is>
      </c>
    </row>
    <row r="81">
      <c r="A81" s="9" t="n">
        <v>78</v>
      </c>
      <c r="B81" s="10" t="inlineStr">
        <is>
          <t xml:space="preserve">                vad_filter=True,</t>
        </is>
      </c>
    </row>
    <row r="82">
      <c r="A82" s="7" t="n">
        <v>79</v>
      </c>
      <c r="B82" s="8" t="inlineStr">
        <is>
          <t xml:space="preserve">                vad_parameters=dict(</t>
        </is>
      </c>
    </row>
    <row r="83">
      <c r="A83" s="9" t="n">
        <v>80</v>
      </c>
      <c r="B83" s="10" t="inlineStr">
        <is>
          <t xml:space="preserve">                    min_silence_duration_ms=500,</t>
        </is>
      </c>
    </row>
    <row r="84">
      <c r="A84" s="7" t="n">
        <v>81</v>
      </c>
      <c r="B84" s="8" t="inlineStr">
        <is>
          <t xml:space="preserve">                    threshold=0.5,</t>
        </is>
      </c>
    </row>
    <row r="85">
      <c r="A85" s="9" t="n">
        <v>82</v>
      </c>
      <c r="B85" s="10" t="inlineStr">
        <is>
          <t xml:space="preserve">                )</t>
        </is>
      </c>
    </row>
    <row r="86">
      <c r="A86" s="7" t="n">
        <v>83</v>
      </c>
      <c r="B86" s="8" t="inlineStr">
        <is>
          <t xml:space="preserve">            )</t>
        </is>
      </c>
    </row>
    <row r="87">
      <c r="A87" s="9" t="n">
        <v>84</v>
      </c>
      <c r="B87" s="10" t="inlineStr">
        <is>
          <t xml:space="preserve">            for seg in segments:</t>
        </is>
      </c>
    </row>
    <row r="88">
      <c r="A88" s="7" t="n">
        <v>85</v>
      </c>
      <c r="B88" s="8" t="inlineStr">
        <is>
          <t xml:space="preserve">                seg_data = {</t>
        </is>
      </c>
    </row>
    <row r="89">
      <c r="A89" s="9" t="n">
        <v>86</v>
      </c>
      <c r="B89" s="10" t="inlineStr">
        <is>
          <t xml:space="preserve">                    "start": round(seg.start, 2),</t>
        </is>
      </c>
    </row>
    <row r="90">
      <c r="A90" s="7" t="n">
        <v>87</v>
      </c>
      <c r="B90" s="8" t="inlineStr">
        <is>
          <t xml:space="preserve">                    "end": round(seg.end, 2),</t>
        </is>
      </c>
    </row>
    <row r="91">
      <c r="A91" s="9" t="n">
        <v>88</v>
      </c>
      <c r="B91" s="10" t="inlineStr">
        <is>
          <t xml:space="preserve">                    "text": seg.text.strip(),</t>
        </is>
      </c>
    </row>
    <row r="92">
      <c r="A92" s="7" t="n">
        <v>89</v>
      </c>
      <c r="B92" s="8" t="inlineStr">
        <is>
          <t xml:space="preserve">                    "confidence": round(seg.avg_logprob, 4) if hasattr(seg, "avg_logprob") else 0.0</t>
        </is>
      </c>
    </row>
    <row r="93">
      <c r="A93" s="9" t="n">
        <v>90</v>
      </c>
      <c r="B93" s="10" t="inlineStr">
        <is>
          <t xml:space="preserve">                }</t>
        </is>
      </c>
    </row>
    <row r="94">
      <c r="A94" s="7" t="n">
        <v>91</v>
      </c>
      <c r="B94" s="8" t="inlineStr">
        <is>
          <t xml:space="preserve">                segments_out.append(seg_data)</t>
        </is>
      </c>
    </row>
    <row r="95">
      <c r="A95" s="9" t="n">
        <v>92</v>
      </c>
      <c r="B95" s="10" t="inlineStr">
        <is>
          <t xml:space="preserve">                execute_sql(</t>
        </is>
      </c>
    </row>
    <row r="96">
      <c r="A96" s="7" t="n">
        <v>93</v>
      </c>
      <c r="B96" s="8" t="inlineStr">
        <is>
          <t xml:space="preserve">                    "INSERT INTO audio_features (material_id, start_time, end_time, audio_type, transcript, confidence) VALUES (?, ?, ?, 'speech', ?, ?)",</t>
        </is>
      </c>
    </row>
    <row r="97">
      <c r="A97" s="9" t="n">
        <v>94</v>
      </c>
      <c r="B97" s="10" t="inlineStr">
        <is>
          <t xml:space="preserve">                    (material_id, seg_data["start"], seg_data["end"], seg_data["text"], seg_data["confidence"])</t>
        </is>
      </c>
    </row>
    <row r="98">
      <c r="A98" s="7" t="n">
        <v>95</v>
      </c>
      <c r="B98" s="8" t="inlineStr">
        <is>
          <t xml:space="preserve">                )</t>
        </is>
      </c>
    </row>
    <row r="99">
      <c r="A99" s="9" t="n">
        <v>96</v>
      </c>
      <c r="B99" s="10" t="inlineStr">
        <is>
          <t xml:space="preserve">            # 清理临时文件</t>
        </is>
      </c>
    </row>
    <row r="100">
      <c r="A100" s="7" t="n">
        <v>97</v>
      </c>
      <c r="B100" s="8" t="inlineStr">
        <is>
          <t xml:space="preserve">            if os.path.exists(audio_path):</t>
        </is>
      </c>
    </row>
    <row r="101">
      <c r="A101" s="9" t="n">
        <v>98</v>
      </c>
      <c r="B101" s="10" t="inlineStr">
        <is>
          <t xml:space="preserve">                os.remove(audio_path)</t>
        </is>
      </c>
    </row>
    <row r="102">
      <c r="A102" s="7" t="n">
        <v>99</v>
      </c>
      <c r="B102" s="8" t="inlineStr">
        <is>
          <t xml:space="preserve">            cache_manager.set_cache(video_path, "audio_transcript", segments_out)</t>
        </is>
      </c>
    </row>
    <row r="103">
      <c r="A103" s="9" t="n">
        <v>100</v>
      </c>
      <c r="B103" s="10" t="inlineStr">
        <is>
          <t xml:space="preserve">            logger.info(f"语音识别完成，共{len(segments_out)}段 | 语言: {info.language}")</t>
        </is>
      </c>
    </row>
    <row r="104">
      <c r="A104" s="7" t="n">
        <v>101</v>
      </c>
      <c r="B104" s="8" t="inlineStr">
        <is>
          <t xml:space="preserve">        except Exception as e:</t>
        </is>
      </c>
    </row>
    <row r="105">
      <c r="A105" s="9" t="n">
        <v>102</v>
      </c>
      <c r="B105" s="10" t="inlineStr">
        <is>
          <t xml:space="preserve">            logger.error(f"语音识别失败: {e}")</t>
        </is>
      </c>
    </row>
    <row r="106">
      <c r="A106" s="7" t="n">
        <v>103</v>
      </c>
      <c r="B106" s="8" t="inlineStr">
        <is>
          <t xml:space="preserve">            if os.path.exists(audio_path):</t>
        </is>
      </c>
    </row>
    <row r="107">
      <c r="A107" s="9" t="n">
        <v>104</v>
      </c>
      <c r="B107" s="10" t="inlineStr">
        <is>
          <t xml:space="preserve">                os.remove(audio_path)</t>
        </is>
      </c>
    </row>
    <row r="108">
      <c r="A108" s="7" t="n">
        <v>105</v>
      </c>
      <c r="B108" s="8" t="inlineStr">
        <is>
          <t xml:space="preserve">        return segments_out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modules\audio_classifier.py</t>
        </is>
      </c>
      <c r="C1" s="5" t="inlineStr">
        <is>
          <t>行数: 141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BGM音频分类模块（Phase 2）</t>
        </is>
      </c>
    </row>
    <row r="6">
      <c r="A6" s="7" t="n">
        <v>3</v>
      </c>
      <c r="B6" s="8" t="inlineStr">
        <is>
          <t>基于YAMNet的BGM风格识别 + 节拍检测</t>
        </is>
      </c>
    </row>
    <row r="7">
      <c r="A7" s="9" t="n">
        <v>4</v>
      </c>
      <c r="B7" s="10" t="inlineStr">
        <is>
          <t>CPU运行零显存占用，自动识别BGM风格匹配剪辑节奏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os</t>
        </is>
      </c>
    </row>
    <row r="10">
      <c r="A10" s="7" t="n">
        <v>7</v>
      </c>
      <c r="B10" s="8" t="inlineStr">
        <is>
          <t>import yaml</t>
        </is>
      </c>
    </row>
    <row r="11">
      <c r="A11" s="9" t="n">
        <v>8</v>
      </c>
      <c r="B11" s="10" t="inlineStr">
        <is>
          <t>import numpy as np</t>
        </is>
      </c>
    </row>
    <row r="12">
      <c r="A12" s="7" t="n">
        <v>9</v>
      </c>
      <c r="B12" s="8" t="inlineStr">
        <is>
          <t>from utils.logger import get_logger</t>
        </is>
      </c>
    </row>
    <row r="13">
      <c r="A13" s="9" t="n">
        <v>10</v>
      </c>
      <c r="B13" s="10" t="inlineStr">
        <is>
          <t>from core.database import execute_sql</t>
        </is>
      </c>
    </row>
    <row r="14">
      <c r="A14" s="7" t="n">
        <v>11</v>
      </c>
      <c r="B14" s="8" t="inlineStr">
        <is>
          <t>from utils.cache_manager import cache_manager</t>
        </is>
      </c>
    </row>
    <row r="15">
      <c r="A15" s="9" t="n">
        <v>12</v>
      </c>
      <c r="B15" s="10" t="inlineStr">
        <is>
          <t>logger = get_logger("audio_classifier")</t>
        </is>
      </c>
    </row>
    <row r="16">
      <c r="A16" s="7" t="n">
        <v>13</v>
      </c>
      <c r="B16" s="8" t="inlineStr">
        <is>
          <t># 加载配置</t>
        </is>
      </c>
    </row>
    <row r="17">
      <c r="A17" s="9" t="n">
        <v>14</v>
      </c>
      <c r="B17" s="10" t="inlineStr">
        <is>
          <t>with open("./config/optimize_config.yaml", "r", encoding="utf-8") as f:</t>
        </is>
      </c>
    </row>
    <row r="18">
      <c r="A18" s="7" t="n">
        <v>15</v>
      </c>
      <c r="B18" s="8" t="inlineStr">
        <is>
          <t xml:space="preserve">    CONFIG = yaml.safe_load(f)</t>
        </is>
      </c>
    </row>
    <row r="19">
      <c r="A19" s="9" t="n">
        <v>16</v>
      </c>
      <c r="B19" s="10" t="inlineStr">
        <is>
          <t>class AudioClassifier:</t>
        </is>
      </c>
    </row>
    <row r="20">
      <c r="A20" s="7" t="n">
        <v>17</v>
      </c>
      <c r="B20" s="8" t="inlineStr">
        <is>
          <t xml:space="preserve">    """BGM音频分类器：风格识别 + 节拍检测，CPU运行零显存"""</t>
        </is>
      </c>
    </row>
    <row r="21">
      <c r="A21" s="9" t="n">
        <v>18</v>
      </c>
      <c r="B21" s="10" t="inlineStr">
        <is>
          <t xml:space="preserve">    def __init__(self):</t>
        </is>
      </c>
    </row>
    <row r="22">
      <c r="A22" s="7" t="n">
        <v>19</v>
      </c>
      <c r="B22" s="8" t="inlineStr">
        <is>
          <t xml:space="preserve">        self.enable = CONFIG["audio_classifier"]["enable"]</t>
        </is>
      </c>
    </row>
    <row r="23">
      <c r="A23" s="9" t="n">
        <v>20</v>
      </c>
      <c r="B23" s="10" t="inlineStr">
        <is>
          <t xml:space="preserve">        self.model = None</t>
        </is>
      </c>
    </row>
    <row r="24">
      <c r="A24" s="7" t="n">
        <v>21</v>
      </c>
      <c r="B24" s="8" t="inlineStr">
        <is>
          <t xml:space="preserve">        if not self.enable:</t>
        </is>
      </c>
    </row>
    <row r="25">
      <c r="A25" s="9" t="n">
        <v>22</v>
      </c>
      <c r="B25" s="10" t="inlineStr">
        <is>
          <t xml:space="preserve">            logger.info("BGM分类模块未启用")</t>
        </is>
      </c>
    </row>
    <row r="26">
      <c r="A26" s="7" t="n">
        <v>23</v>
      </c>
      <c r="B26" s="8" t="inlineStr">
        <is>
          <t xml:space="preserve">            return</t>
        </is>
      </c>
    </row>
    <row r="27">
      <c r="A27" s="9" t="n">
        <v>24</v>
      </c>
      <c r="B27" s="10" t="inlineStr">
        <is>
          <t xml:space="preserve">        try:</t>
        </is>
      </c>
    </row>
    <row r="28">
      <c r="A28" s="7" t="n">
        <v>25</v>
      </c>
      <c r="B28" s="8" t="inlineStr">
        <is>
          <t xml:space="preserve">            import tensorflow as tf</t>
        </is>
      </c>
    </row>
    <row r="29">
      <c r="A29" s="9" t="n">
        <v>26</v>
      </c>
      <c r="B29" s="10" t="inlineStr">
        <is>
          <t xml:space="preserve">            import tensorflow_hub as hub</t>
        </is>
      </c>
    </row>
    <row r="30">
      <c r="A30" s="7" t="n">
        <v>27</v>
      </c>
      <c r="B30" s="8" t="inlineStr">
        <is>
          <t xml:space="preserve">            # 强制CPU运行，不占用GPU显存</t>
        </is>
      </c>
    </row>
    <row r="31">
      <c r="A31" s="9" t="n">
        <v>28</v>
      </c>
      <c r="B31" s="10" t="inlineStr">
        <is>
          <t xml:space="preserve">            os.environ["CUDA_VISIBLE_DEVICES"] = "-1"</t>
        </is>
      </c>
    </row>
    <row r="32">
      <c r="A32" s="7" t="n">
        <v>29</v>
      </c>
      <c r="B32" s="8" t="inlineStr">
        <is>
          <t xml:space="preserve">            tf.config.set_visible_devices([], 'GPU')</t>
        </is>
      </c>
    </row>
    <row r="33">
      <c r="A33" s="9" t="n">
        <v>30</v>
      </c>
      <c r="B33" s="10" t="inlineStr">
        <is>
          <t xml:space="preserve">            model_path = "./data/models/yamnet"</t>
        </is>
      </c>
    </row>
    <row r="34">
      <c r="A34" s="7" t="n">
        <v>31</v>
      </c>
      <c r="B34" s="8" t="inlineStr">
        <is>
          <t xml:space="preserve">            if os.path.exists(model_path):</t>
        </is>
      </c>
    </row>
    <row r="35">
      <c r="A35" s="9" t="n">
        <v>32</v>
      </c>
      <c r="B35" s="10" t="inlineStr">
        <is>
          <t xml:space="preserve">                self.model = hub.load(model_path)</t>
        </is>
      </c>
    </row>
    <row r="36">
      <c r="A36" s="7" t="n">
        <v>33</v>
      </c>
      <c r="B36" s="8" t="inlineStr">
        <is>
          <t xml:space="preserve">            else:</t>
        </is>
      </c>
    </row>
    <row r="37">
      <c r="A37" s="9" t="n">
        <v>34</v>
      </c>
      <c r="B37" s="10" t="inlineStr">
        <is>
          <t xml:space="preserve">                logger.info("本地YAMNet模型不存在，尝试从TF Hub加载...")</t>
        </is>
      </c>
    </row>
    <row r="38">
      <c r="A38" s="7" t="n">
        <v>35</v>
      </c>
      <c r="B38" s="8" t="inlineStr">
        <is>
          <t xml:space="preserve">                self.model = hub.load("https://tfhub.dev/google/yamnet/1")</t>
        </is>
      </c>
    </row>
    <row r="39">
      <c r="A39" s="9" t="n">
        <v>36</v>
      </c>
      <c r="B39" s="10" t="inlineStr">
        <is>
          <t xml:space="preserve">            logger.info("BGM分类模型加载完成，CPU运行，零显存占用")</t>
        </is>
      </c>
    </row>
    <row r="40">
      <c r="A40" s="7" t="n">
        <v>37</v>
      </c>
      <c r="B40" s="8" t="inlineStr">
        <is>
          <t xml:space="preserve">        except ImportError as e:</t>
        </is>
      </c>
    </row>
    <row r="41">
      <c r="A41" s="9" t="n">
        <v>38</v>
      </c>
      <c r="B41" s="10" t="inlineStr">
        <is>
          <t xml:space="preserve">            logger.warning(f"TensorFlow/TF-Hub不可用: {e}，BGM分类禁用")</t>
        </is>
      </c>
    </row>
    <row r="42">
      <c r="A42" s="7" t="n">
        <v>39</v>
      </c>
      <c r="B42" s="8" t="inlineStr">
        <is>
          <t xml:space="preserve">            self.enable = False</t>
        </is>
      </c>
    </row>
    <row r="43">
      <c r="A43" s="9" t="n">
        <v>40</v>
      </c>
      <c r="B43" s="10" t="inlineStr">
        <is>
          <t xml:space="preserve">        except Exception as e:</t>
        </is>
      </c>
    </row>
    <row r="44">
      <c r="A44" s="7" t="n">
        <v>41</v>
      </c>
      <c r="B44" s="8" t="inlineStr">
        <is>
          <t xml:space="preserve">            logger.warning(f"YAMNet模型加载失败: {e}，BGM分类禁用")</t>
        </is>
      </c>
    </row>
    <row r="45">
      <c r="A45" s="9" t="n">
        <v>42</v>
      </c>
      <c r="B45" s="10" t="inlineStr">
        <is>
          <t xml:space="preserve">            self.enable = False</t>
        </is>
      </c>
    </row>
    <row r="46">
      <c r="A46" s="7" t="n">
        <v>43</v>
      </c>
      <c r="B46" s="8" t="inlineStr">
        <is>
          <t xml:space="preserve">        # 自定义风格标签映射（基于YAMNet 521类AudioSet标签）</t>
        </is>
      </c>
    </row>
    <row r="47">
      <c r="A47" s="9" t="n">
        <v>44</v>
      </c>
      <c r="B47" s="10" t="inlineStr">
        <is>
          <t xml:space="preserve">        self.style_tags = [</t>
        </is>
      </c>
    </row>
    <row r="48">
      <c r="A48" s="7" t="n">
        <v>45</v>
      </c>
      <c r="B48" s="8" t="inlineStr">
        <is>
          <t xml:space="preserve">            "轻快活泼", "舒缓治愈", "动感节奏",</t>
        </is>
      </c>
    </row>
    <row r="49">
      <c r="A49" s="9" t="n">
        <v>46</v>
      </c>
      <c r="B49" s="10" t="inlineStr">
        <is>
          <t xml:space="preserve">            "大气震撼", "温馨日常", "科技感"</t>
        </is>
      </c>
    </row>
    <row r="50">
      <c r="A50" s="7" t="n">
        <v>47</v>
      </c>
      <c r="B50" s="8" t="inlineStr">
        <is>
          <t xml:space="preserve">        ]</t>
        </is>
      </c>
    </row>
    <row r="51">
      <c r="A51" s="9" t="n">
        <v>48</v>
      </c>
      <c r="B51" s="10" t="inlineStr">
        <is>
          <t xml:space="preserve">        # YAMNet标签到自定义风格的映射规则</t>
        </is>
      </c>
    </row>
    <row r="52">
      <c r="A52" s="7" t="n">
        <v>49</v>
      </c>
      <c r="B52" s="8" t="inlineStr">
        <is>
          <t xml:space="preserve">        self._style_keywords = {</t>
        </is>
      </c>
    </row>
    <row r="53">
      <c r="A53" s="9" t="n">
        <v>50</v>
      </c>
      <c r="B53" s="10" t="inlineStr">
        <is>
          <t xml:space="preserve">            "轻快活泼": ["happy", "pop", "cheerful", "upbeat", "bright", "dance"],</t>
        </is>
      </c>
    </row>
    <row r="54">
      <c r="A54" s="7" t="n">
        <v>51</v>
      </c>
      <c r="B54" s="8" t="inlineStr">
        <is>
          <t xml:space="preserve">            "舒缓治愈": ["ambient", "calm", "lullaby", "soft", "nature", "piano", "acoustic", "newage"],</t>
        </is>
      </c>
    </row>
    <row r="55">
      <c r="A55" s="9" t="n">
        <v>52</v>
      </c>
      <c r="B55" s="10" t="inlineStr">
        <is>
          <t xml:space="preserve">            "动感节奏": ["beat", "rhythm", "electronic", "groove", "funk", "disco", "hip hop", "rap"],</t>
        </is>
      </c>
    </row>
    <row r="56">
      <c r="A56" s="7" t="n">
        <v>53</v>
      </c>
      <c r="B56" s="8" t="inlineStr">
        <is>
          <t xml:space="preserve">            "大气震撼": ["epic", "orchestra", "dramatic", "cinematic", "powerful", "rock"],</t>
        </is>
      </c>
    </row>
    <row r="57">
      <c r="A57" s="9" t="n">
        <v>54</v>
      </c>
      <c r="B57" s="10" t="inlineStr">
        <is>
          <t xml:space="preserve">            "温馨日常": ["folk", "country", "guitar", "singing", "vocal", "melody"],</t>
        </is>
      </c>
    </row>
    <row r="58">
      <c r="A58" s="7" t="n">
        <v>55</v>
      </c>
      <c r="B58" s="8" t="inlineStr">
        <is>
          <t xml:space="preserve">            "科技感": ["synthesizer", "techno", "computer", "electronic", "digital", "futuristic"],</t>
        </is>
      </c>
    </row>
    <row r="59">
      <c r="A59" s="9" t="n">
        <v>56</v>
      </c>
      <c r="B59" s="10" t="inlineStr">
        <is>
          <t xml:space="preserve">        }</t>
        </is>
      </c>
    </row>
    <row r="60">
      <c r="A60" s="7" t="n">
        <v>57</v>
      </c>
      <c r="B60" s="8" t="inlineStr">
        <is>
          <t xml:space="preserve">    def classify_bgm(self, video_path: str, material_id: int) -&gt; dict:</t>
        </is>
      </c>
    </row>
    <row r="61">
      <c r="A61" s="9" t="n">
        <v>58</v>
      </c>
      <c r="B61" s="10" t="inlineStr">
        <is>
          <t xml:space="preserve">        """BGM风格分类 + 节拍检测"""</t>
        </is>
      </c>
    </row>
    <row r="62">
      <c r="A62" s="7" t="n">
        <v>59</v>
      </c>
      <c r="B62" s="8" t="inlineStr">
        <is>
          <t xml:space="preserve">        cache = cache_manager.get_cache(video_path, "bgm_classify")</t>
        </is>
      </c>
    </row>
    <row r="63">
      <c r="A63" s="9" t="n">
        <v>60</v>
      </c>
      <c r="B63" s="10" t="inlineStr">
        <is>
          <t xml:space="preserve">        if cache:</t>
        </is>
      </c>
    </row>
    <row r="64">
      <c r="A64" s="7" t="n">
        <v>61</v>
      </c>
      <c r="B64" s="8" t="inlineStr">
        <is>
          <t xml:space="preserve">            execute_sql('''</t>
        </is>
      </c>
    </row>
    <row r="65">
      <c r="A65" s="9" t="n">
        <v>62</v>
      </c>
      <c r="B65" s="10" t="inlineStr">
        <is>
          <t xml:space="preserve">                INSERT OR IGNORE INTO audio_features (material_id, start_time, end_time, audio_type, transcript)</t>
        </is>
      </c>
    </row>
    <row r="66">
      <c r="A66" s="7" t="n">
        <v>63</v>
      </c>
      <c r="B66" s="8" t="inlineStr">
        <is>
          <t xml:space="preserve">                VALUES (?, 0, ?, 'BGM', ?)</t>
        </is>
      </c>
    </row>
    <row r="67">
      <c r="A67" s="9" t="n">
        <v>64</v>
      </c>
      <c r="B67" s="10" t="inlineStr">
        <is>
          <t xml:space="preserve">            ''', (material_id, cache["duration"], cache["style"]))</t>
        </is>
      </c>
    </row>
    <row r="68">
      <c r="A68" s="7" t="n">
        <v>65</v>
      </c>
      <c r="B68" s="8" t="inlineStr">
        <is>
          <t xml:space="preserve">            logger.info(f"BGM分类命中缓存，风格: {cache['style']}")</t>
        </is>
      </c>
    </row>
    <row r="69">
      <c r="A69" s="9" t="n">
        <v>66</v>
      </c>
      <c r="B69" s="10" t="inlineStr">
        <is>
          <t xml:space="preserve">            return cache</t>
        </is>
      </c>
    </row>
    <row r="70">
      <c r="A70" s="7" t="n">
        <v>67</v>
      </c>
      <c r="B70" s="8" t="inlineStr">
        <is>
          <t xml:space="preserve">        if not self.enable:</t>
        </is>
      </c>
    </row>
    <row r="71">
      <c r="A71" s="9" t="n">
        <v>68</v>
      </c>
      <c r="B71" s="10" t="inlineStr">
        <is>
          <t xml:space="preserve">            return {"style": "未检测", "tempo": 0}</t>
        </is>
      </c>
    </row>
    <row r="72">
      <c r="A72" s="7" t="n">
        <v>69</v>
      </c>
      <c r="B72" s="8" t="inlineStr">
        <is>
          <t xml:space="preserve">        logger.info(f"开始BGM分类: {video_path}")</t>
        </is>
      </c>
    </row>
    <row r="73">
      <c r="A73" s="9" t="n">
        <v>70</v>
      </c>
      <c r="B73" s="10" t="inlineStr">
        <is>
          <t xml:space="preserve">        try:</t>
        </is>
      </c>
    </row>
    <row r="74">
      <c r="A74" s="7" t="n">
        <v>71</v>
      </c>
      <c r="B74" s="8" t="inlineStr">
        <is>
          <t xml:space="preserve">            import librosa</t>
        </is>
      </c>
    </row>
    <row r="75">
      <c r="A75" s="9" t="n">
        <v>72</v>
      </c>
      <c r="B75" s="10" t="inlineStr">
        <is>
          <t xml:space="preserve">            # 提取音频波形</t>
        </is>
      </c>
    </row>
    <row r="76">
      <c r="A76" s="7" t="n">
        <v>73</v>
      </c>
      <c r="B76" s="8" t="inlineStr">
        <is>
          <t xml:space="preserve">            wav, sr = librosa.load(video_path, sr=16000, mono=True)</t>
        </is>
      </c>
    </row>
    <row r="77">
      <c r="A77" s="9" t="n">
        <v>74</v>
      </c>
      <c r="B77" s="10" t="inlineStr">
        <is>
          <t xml:space="preserve">            duration = len(wav) / sr</t>
        </is>
      </c>
    </row>
    <row r="78">
      <c r="A78" s="7" t="n">
        <v>75</v>
      </c>
      <c r="B78" s="8" t="inlineStr">
        <is>
          <t xml:space="preserve">            if duration &lt; 1.0:</t>
        </is>
      </c>
    </row>
    <row r="79">
      <c r="A79" s="9" t="n">
        <v>76</v>
      </c>
      <c r="B79" s="10" t="inlineStr">
        <is>
          <t xml:space="preserve">                logger.warning("音频过短，跳过BGM分类")</t>
        </is>
      </c>
    </row>
    <row r="80">
      <c r="A80" s="7" t="n">
        <v>77</v>
      </c>
      <c r="B80" s="8" t="inlineStr">
        <is>
          <t xml:space="preserve">                return {"style": "音频过短", "tempo": 0, "duration": round(duration, 2)}</t>
        </is>
      </c>
    </row>
    <row r="81">
      <c r="A81" s="9" t="n">
        <v>78</v>
      </c>
      <c r="B81" s="10" t="inlineStr">
        <is>
          <t xml:space="preserve">            # YAMNet推理</t>
        </is>
      </c>
    </row>
    <row r="82">
      <c r="A82" s="7" t="n">
        <v>79</v>
      </c>
      <c r="B82" s="8" t="inlineStr">
        <is>
          <t xml:space="preserve">            scores, embeddings, spectrogram = self.model(wav)</t>
        </is>
      </c>
    </row>
    <row r="83">
      <c r="A83" s="9" t="n">
        <v>80</v>
      </c>
      <c r="B83" s="10" t="inlineStr">
        <is>
          <t xml:space="preserve">            class_scores = scores.numpy().mean(axis=0)</t>
        </is>
      </c>
    </row>
    <row r="84">
      <c r="A84" s="7" t="n">
        <v>81</v>
      </c>
      <c r="B84" s="8" t="inlineStr">
        <is>
          <t xml:space="preserve">            # 获取YAMNet的类别名称</t>
        </is>
      </c>
    </row>
    <row r="85">
      <c r="A85" s="9" t="n">
        <v>82</v>
      </c>
      <c r="B85" s="10" t="inlineStr">
        <is>
          <t xml:space="preserve">            class_map_path = os.path.join("./data/models/yamnet", "yamnet_class_map.csv")</t>
        </is>
      </c>
    </row>
    <row r="86">
      <c r="A86" s="7" t="n">
        <v>83</v>
      </c>
      <c r="B86" s="8" t="inlineStr">
        <is>
          <t xml:space="preserve">            if os.path.exists(class_map_path):</t>
        </is>
      </c>
    </row>
    <row r="87">
      <c r="A87" s="9" t="n">
        <v>84</v>
      </c>
      <c r="B87" s="10" t="inlineStr">
        <is>
          <t xml:space="preserve">                import csv</t>
        </is>
      </c>
    </row>
    <row r="88">
      <c r="A88" s="7" t="n">
        <v>85</v>
      </c>
      <c r="B88" s="8" t="inlineStr">
        <is>
          <t xml:space="preserve">                class_names = []</t>
        </is>
      </c>
    </row>
    <row r="89">
      <c r="A89" s="9" t="n">
        <v>86</v>
      </c>
      <c r="B89" s="10" t="inlineStr">
        <is>
          <t xml:space="preserve">                with open(class_map_path, "r", encoding="utf-8") as f:</t>
        </is>
      </c>
    </row>
    <row r="90">
      <c r="A90" s="7" t="n">
        <v>87</v>
      </c>
      <c r="B90" s="8" t="inlineStr">
        <is>
          <t xml:space="preserve">                    reader = csv.DictReader(f)</t>
        </is>
      </c>
    </row>
    <row r="91">
      <c r="A91" s="9" t="n">
        <v>88</v>
      </c>
      <c r="B91" s="10" t="inlineStr">
        <is>
          <t xml:space="preserve">                    for row in reader:</t>
        </is>
      </c>
    </row>
    <row r="92">
      <c r="A92" s="7" t="n">
        <v>89</v>
      </c>
      <c r="B92" s="8" t="inlineStr">
        <is>
          <t xml:space="preserve">                        class_names.append(row.get("display_name", ""))</t>
        </is>
      </c>
    </row>
    <row r="93">
      <c r="A93" s="9" t="n">
        <v>90</v>
      </c>
      <c r="B93" s="10" t="inlineStr">
        <is>
          <t xml:space="preserve">            else:</t>
        </is>
      </c>
    </row>
    <row r="94">
      <c r="A94" s="7" t="n">
        <v>91</v>
      </c>
      <c r="B94" s="8" t="inlineStr">
        <is>
          <t xml:space="preserve">                class_names = [f"class_{i}" for i in range(521)]</t>
        </is>
      </c>
    </row>
    <row r="95">
      <c r="A95" s="9" t="n">
        <v>92</v>
      </c>
      <c r="B95" s="10" t="inlineStr">
        <is>
          <t xml:space="preserve">            # 找到最高分的类别</t>
        </is>
      </c>
    </row>
    <row r="96">
      <c r="A96" s="7" t="n">
        <v>93</v>
      </c>
      <c r="B96" s="8" t="inlineStr">
        <is>
          <t xml:space="preserve">            top_idx = int(np.argmax(class_scores))</t>
        </is>
      </c>
    </row>
    <row r="97">
      <c r="A97" s="9" t="n">
        <v>94</v>
      </c>
      <c r="B97" s="10" t="inlineStr">
        <is>
          <t xml:space="preserve">            top_class_name = class_names[top_idx] if top_idx &lt; len(class_names) else f"class_{top_idx}"</t>
        </is>
      </c>
    </row>
    <row r="98">
      <c r="A98" s="7" t="n">
        <v>95</v>
      </c>
      <c r="B98" s="8" t="inlineStr">
        <is>
          <t xml:space="preserve">            top_score = float(class_scores[top_idx])</t>
        </is>
      </c>
    </row>
    <row r="99">
      <c r="A99" s="9" t="n">
        <v>96</v>
      </c>
      <c r="B99" s="10" t="inlineStr">
        <is>
          <t xml:space="preserve">            # 基于关键词匹配映射到自定义风格</t>
        </is>
      </c>
    </row>
    <row r="100">
      <c r="A100" s="7" t="n">
        <v>97</v>
      </c>
      <c r="B100" s="8" t="inlineStr">
        <is>
          <t xml:space="preserve">            style = self._map_to_style(top_class_name)</t>
        </is>
      </c>
    </row>
    <row r="101">
      <c r="A101" s="9" t="n">
        <v>98</v>
      </c>
      <c r="B101" s="10" t="inlineStr">
        <is>
          <t xml:space="preserve">            # 节拍检测</t>
        </is>
      </c>
    </row>
    <row r="102">
      <c r="A102" s="7" t="n">
        <v>99</v>
      </c>
      <c r="B102" s="8" t="inlineStr">
        <is>
          <t xml:space="preserve">            tempo = 0.0</t>
        </is>
      </c>
    </row>
    <row r="103">
      <c r="A103" s="9" t="n">
        <v>100</v>
      </c>
      <c r="B103" s="10" t="inlineStr">
        <is>
          <t xml:space="preserve">            try:</t>
        </is>
      </c>
    </row>
    <row r="104">
      <c r="A104" s="7" t="n">
        <v>101</v>
      </c>
      <c r="B104" s="8" t="inlineStr">
        <is>
          <t xml:space="preserve">                tempo_val, _ = librosa.beat.beat_track(y=wav, sr=sr)</t>
        </is>
      </c>
    </row>
    <row r="105">
      <c r="A105" s="9" t="n">
        <v>102</v>
      </c>
      <c r="B105" s="10" t="inlineStr">
        <is>
          <t xml:space="preserve">                tempo = float(tempo_val)</t>
        </is>
      </c>
    </row>
    <row r="106">
      <c r="A106" s="7" t="n">
        <v>103</v>
      </c>
      <c r="B106" s="8" t="inlineStr">
        <is>
          <t xml:space="preserve">            except Exception:</t>
        </is>
      </c>
    </row>
    <row r="107">
      <c r="A107" s="9" t="n">
        <v>104</v>
      </c>
      <c r="B107" s="10" t="inlineStr">
        <is>
          <t xml:space="preserve">                tempo = 0.0</t>
        </is>
      </c>
    </row>
    <row r="108">
      <c r="A108" s="7" t="n">
        <v>105</v>
      </c>
      <c r="B108" s="8" t="inlineStr">
        <is>
          <t xml:space="preserve">            result = {</t>
        </is>
      </c>
    </row>
    <row r="109">
      <c r="A109" s="9" t="n">
        <v>106</v>
      </c>
      <c r="B109" s="10" t="inlineStr">
        <is>
          <t xml:space="preserve">                "style": style,</t>
        </is>
      </c>
    </row>
    <row r="110">
      <c r="A110" s="7" t="n">
        <v>107</v>
      </c>
      <c r="B110" s="8" t="inlineStr">
        <is>
          <t xml:space="preserve">                "tempo": tempo,</t>
        </is>
      </c>
    </row>
    <row r="111">
      <c r="A111" s="9" t="n">
        <v>108</v>
      </c>
      <c r="B111" s="10" t="inlineStr">
        <is>
          <t xml:space="preserve">                "duration": round(duration, 2),</t>
        </is>
      </c>
    </row>
    <row r="112">
      <c r="A112" s="7" t="n">
        <v>109</v>
      </c>
      <c r="B112" s="8" t="inlineStr">
        <is>
          <t xml:space="preserve">                "confidence": round(top_score, 4),</t>
        </is>
      </c>
    </row>
    <row r="113">
      <c r="A113" s="9" t="n">
        <v>110</v>
      </c>
      <c r="B113" s="10" t="inlineStr">
        <is>
          <t xml:space="preserve">                "raw_class": top_class_name,</t>
        </is>
      </c>
    </row>
    <row r="114">
      <c r="A114" s="7" t="n">
        <v>111</v>
      </c>
      <c r="B114" s="8" t="inlineStr">
        <is>
          <t xml:space="preserve">            }</t>
        </is>
      </c>
    </row>
    <row r="115">
      <c r="A115" s="9" t="n">
        <v>112</v>
      </c>
      <c r="B115" s="10" t="inlineStr">
        <is>
          <t xml:space="preserve">            # 入库</t>
        </is>
      </c>
    </row>
    <row r="116">
      <c r="A116" s="7" t="n">
        <v>113</v>
      </c>
      <c r="B116" s="8" t="inlineStr">
        <is>
          <t xml:space="preserve">            execute_sql('''</t>
        </is>
      </c>
    </row>
    <row r="117">
      <c r="A117" s="9" t="n">
        <v>114</v>
      </c>
      <c r="B117" s="10" t="inlineStr">
        <is>
          <t xml:space="preserve">                INSERT INTO audio_features (material_id, start_time, end_time, audio_type, transcript)</t>
        </is>
      </c>
    </row>
    <row r="118">
      <c r="A118" s="7" t="n">
        <v>115</v>
      </c>
      <c r="B118" s="8" t="inlineStr">
        <is>
          <t xml:space="preserve">                VALUES (?, 0, ?, 'BGM', ?)</t>
        </is>
      </c>
    </row>
    <row r="119">
      <c r="A119" s="9" t="n">
        <v>116</v>
      </c>
      <c r="B119" s="10" t="inlineStr">
        <is>
          <t xml:space="preserve">            ''', (material_id, duration, style))</t>
        </is>
      </c>
    </row>
    <row r="120">
      <c r="A120" s="7" t="n">
        <v>117</v>
      </c>
      <c r="B120" s="8" t="inlineStr">
        <is>
          <t xml:space="preserve">            cache_manager.set_cache(video_path, "bgm_classify", result)</t>
        </is>
      </c>
    </row>
    <row r="121">
      <c r="A121" s="9" t="n">
        <v>118</v>
      </c>
      <c r="B121" s="10" t="inlineStr">
        <is>
          <t xml:space="preserve">            logger.info(</t>
        </is>
      </c>
    </row>
    <row r="122">
      <c r="A122" s="7" t="n">
        <v>119</v>
      </c>
      <c r="B122" s="8" t="inlineStr">
        <is>
          <t xml:space="preserve">                f"BGM分类完成 | 风格: {style} | 节拍: {tempo:.0f}BPM | "</t>
        </is>
      </c>
    </row>
    <row r="123">
      <c r="A123" s="9" t="n">
        <v>120</v>
      </c>
      <c r="B123" s="10" t="inlineStr">
        <is>
          <t xml:space="preserve">                f"原始类: {top_class_name} | 置信度: {top_score:.3f}"</t>
        </is>
      </c>
    </row>
    <row r="124">
      <c r="A124" s="7" t="n">
        <v>121</v>
      </c>
      <c r="B124" s="8" t="inlineStr">
        <is>
          <t xml:space="preserve">            )</t>
        </is>
      </c>
    </row>
    <row r="125">
      <c r="A125" s="9" t="n">
        <v>122</v>
      </c>
      <c r="B125" s="10" t="inlineStr">
        <is>
          <t xml:space="preserve">            return result</t>
        </is>
      </c>
    </row>
    <row r="126">
      <c r="A126" s="7" t="n">
        <v>123</v>
      </c>
      <c r="B126" s="8" t="inlineStr">
        <is>
          <t xml:space="preserve">        except Exception as e:</t>
        </is>
      </c>
    </row>
    <row r="127">
      <c r="A127" s="9" t="n">
        <v>124</v>
      </c>
      <c r="B127" s="10" t="inlineStr">
        <is>
          <t xml:space="preserve">            logger.error(f"BGM分类失败: {e}")</t>
        </is>
      </c>
    </row>
    <row r="128">
      <c r="A128" s="7" t="n">
        <v>125</v>
      </c>
      <c r="B128" s="8" t="inlineStr">
        <is>
          <t xml:space="preserve">            import traceback</t>
        </is>
      </c>
    </row>
    <row r="129">
      <c r="A129" s="9" t="n">
        <v>126</v>
      </c>
      <c r="B129" s="10" t="inlineStr">
        <is>
          <t xml:space="preserve">            logger.debug(traceback.format_exc())</t>
        </is>
      </c>
    </row>
    <row r="130">
      <c r="A130" s="7" t="n">
        <v>127</v>
      </c>
      <c r="B130" s="8" t="inlineStr">
        <is>
          <t xml:space="preserve">            return {"style": "检测失败", "tempo": 0, "error": str(e)}</t>
        </is>
      </c>
    </row>
    <row r="131">
      <c r="A131" s="9" t="n">
        <v>128</v>
      </c>
      <c r="B131" s="10" t="inlineStr">
        <is>
          <t xml:space="preserve">    def _map_to_style(self, class_name: str) -&gt; str:</t>
        </is>
      </c>
    </row>
    <row r="132">
      <c r="A132" s="7" t="n">
        <v>129</v>
      </c>
      <c r="B132" s="8" t="inlineStr">
        <is>
          <t xml:space="preserve">        """将YAMNet原始类别映射到自定义风格标签"""</t>
        </is>
      </c>
    </row>
    <row r="133">
      <c r="A133" s="9" t="n">
        <v>130</v>
      </c>
      <c r="B133" s="10" t="inlineStr">
        <is>
          <t xml:space="preserve">        class_lower = class_name.lower()</t>
        </is>
      </c>
    </row>
    <row r="134">
      <c r="A134" s="7" t="n">
        <v>131</v>
      </c>
      <c r="B134" s="8" t="inlineStr">
        <is>
          <t xml:space="preserve">        best_style = "其他风格"</t>
        </is>
      </c>
    </row>
    <row r="135">
      <c r="A135" s="9" t="n">
        <v>132</v>
      </c>
      <c r="B135" s="10" t="inlineStr">
        <is>
          <t xml:space="preserve">        best_score = 0</t>
        </is>
      </c>
    </row>
    <row r="136">
      <c r="A136" s="7" t="n">
        <v>133</v>
      </c>
      <c r="B136" s="8" t="inlineStr">
        <is>
          <t xml:space="preserve">        for style, keywords in self._style_keywords.items():</t>
        </is>
      </c>
    </row>
    <row r="137">
      <c r="A137" s="9" t="n">
        <v>134</v>
      </c>
      <c r="B137" s="10" t="inlineStr">
        <is>
          <t xml:space="preserve">            score = 0</t>
        </is>
      </c>
    </row>
    <row r="138">
      <c r="A138" s="7" t="n">
        <v>135</v>
      </c>
      <c r="B138" s="8" t="inlineStr">
        <is>
          <t xml:space="preserve">            for kw in keywords:</t>
        </is>
      </c>
    </row>
    <row r="139">
      <c r="A139" s="9" t="n">
        <v>136</v>
      </c>
      <c r="B139" s="10" t="inlineStr">
        <is>
          <t xml:space="preserve">                if kw in class_lower:</t>
        </is>
      </c>
    </row>
    <row r="140">
      <c r="A140" s="7" t="n">
        <v>137</v>
      </c>
      <c r="B140" s="8" t="inlineStr">
        <is>
          <t xml:space="preserve">                    score += 1</t>
        </is>
      </c>
    </row>
    <row r="141">
      <c r="A141" s="9" t="n">
        <v>138</v>
      </c>
      <c r="B141" s="10" t="inlineStr">
        <is>
          <t xml:space="preserve">            if score &gt; best_score:</t>
        </is>
      </c>
    </row>
    <row r="142">
      <c r="A142" s="7" t="n">
        <v>139</v>
      </c>
      <c r="B142" s="8" t="inlineStr">
        <is>
          <t xml:space="preserve">                best_score = score</t>
        </is>
      </c>
    </row>
    <row r="143">
      <c r="A143" s="9" t="n">
        <v>140</v>
      </c>
      <c r="B143" s="10" t="inlineStr">
        <is>
          <t xml:space="preserve">                best_style = style</t>
        </is>
      </c>
    </row>
    <row r="144">
      <c r="A144" s="7" t="n">
        <v>141</v>
      </c>
      <c r="B144" s="8" t="inlineStr">
        <is>
          <t xml:space="preserve">        return best_style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modules\auto_corrector.py</t>
        </is>
      </c>
      <c r="C1" s="5" t="inlineStr">
        <is>
          <t>行数: 287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自动纠错模块（Phase 3）</t>
        </is>
      </c>
    </row>
    <row r="6">
      <c r="A6" s="7" t="n">
        <v>3</v>
      </c>
      <c r="B6" s="8" t="inlineStr">
        <is>
          <t>质检→自动纠错→复检→归档全闭环</t>
        </is>
      </c>
    </row>
    <row r="7">
      <c r="A7" s="9" t="n">
        <v>4</v>
      </c>
      <c r="B7" s="10" t="inlineStr">
        <is>
          <t>黑场裁剪、字幕时间轴对齐、标准参数转码、画幅修正</t>
        </is>
      </c>
    </row>
    <row r="8">
      <c r="A8" s="7" t="n">
        <v>5</v>
      </c>
      <c r="B8" s="8" t="inlineStr">
        <is>
          <t>FFmpeg硬解码为主要算力消耗，新增显存 ≤300MB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os</t>
        </is>
      </c>
    </row>
    <row r="11">
      <c r="A11" s="9" t="n">
        <v>8</v>
      </c>
      <c r="B11" s="10" t="inlineStr">
        <is>
          <t>import yaml</t>
        </is>
      </c>
    </row>
    <row r="12">
      <c r="A12" s="7" t="n">
        <v>9</v>
      </c>
      <c r="B12" s="8" t="inlineStr">
        <is>
          <t>import subprocess</t>
        </is>
      </c>
    </row>
    <row r="13">
      <c r="A13" s="9" t="n">
        <v>10</v>
      </c>
      <c r="B13" s="10" t="inlineStr">
        <is>
          <t>import tempfile</t>
        </is>
      </c>
    </row>
    <row r="14">
      <c r="A14" s="7" t="n">
        <v>11</v>
      </c>
      <c r="B14" s="8" t="inlineStr">
        <is>
          <t>from utils.logger import get_logger</t>
        </is>
      </c>
    </row>
    <row r="15">
      <c r="A15" s="9" t="n">
        <v>12</v>
      </c>
      <c r="B15" s="10" t="inlineStr">
        <is>
          <t>from utils.ffmpeg_utils import get_video_info</t>
        </is>
      </c>
    </row>
    <row r="16">
      <c r="A16" s="7" t="n">
        <v>13</v>
      </c>
      <c r="B16" s="8" t="inlineStr">
        <is>
          <t>from core.database import execute_sql, query_sql</t>
        </is>
      </c>
    </row>
    <row r="17">
      <c r="A17" s="9" t="n">
        <v>14</v>
      </c>
      <c r="B17" s="10" t="inlineStr">
        <is>
          <t>from utils.cache_manager import cache_manager</t>
        </is>
      </c>
    </row>
    <row r="18">
      <c r="A18" s="7" t="n">
        <v>15</v>
      </c>
      <c r="B18" s="8" t="inlineStr">
        <is>
          <t>logger = get_logger("auto_corrector")</t>
        </is>
      </c>
    </row>
    <row r="19">
      <c r="A19" s="9" t="n">
        <v>16</v>
      </c>
      <c r="B19" s="10" t="inlineStr">
        <is>
          <t># 加载配置</t>
        </is>
      </c>
    </row>
    <row r="20">
      <c r="A20" s="7" t="n">
        <v>17</v>
      </c>
      <c r="B20" s="8" t="inlineStr">
        <is>
          <t>with open("./config/optimize_config.yaml", "r", encoding="utf-8") as f:</t>
        </is>
      </c>
    </row>
    <row r="21">
      <c r="A21" s="9" t="n">
        <v>18</v>
      </c>
      <c r="B21" s="10" t="inlineStr">
        <is>
          <t xml:space="preserve">    CONFIG = yaml.safe_load(f)</t>
        </is>
      </c>
    </row>
    <row r="22">
      <c r="A22" s="7" t="n">
        <v>19</v>
      </c>
      <c r="B22" s="8" t="inlineStr">
        <is>
          <t>OUTPUT_DIR = CONFIG["auto_corrector"]["output_dir"]</t>
        </is>
      </c>
    </row>
    <row r="23">
      <c r="A23" s="9" t="n">
        <v>20</v>
      </c>
      <c r="B23" s="10" t="inlineStr">
        <is>
          <t>os.makedirs(OUTPUT_DIR, exist_ok=True)</t>
        </is>
      </c>
    </row>
    <row r="24">
      <c r="A24" s="7" t="n">
        <v>21</v>
      </c>
      <c r="B24" s="8" t="inlineStr">
        <is>
          <t>class AutoCorrector:</t>
        </is>
      </c>
    </row>
    <row r="25">
      <c r="A25" s="9" t="n">
        <v>22</v>
      </c>
      <c r="B25" s="10" t="inlineStr">
        <is>
          <t xml:space="preserve">    """自动纠错器：自动修复常见质检问题，形成质检→纠错→复检闭环"""</t>
        </is>
      </c>
    </row>
    <row r="26">
      <c r="A26" s="7" t="n">
        <v>23</v>
      </c>
      <c r="B26" s="8" t="inlineStr">
        <is>
          <t xml:space="preserve">    def __init__(self):</t>
        </is>
      </c>
    </row>
    <row r="27">
      <c r="A27" s="9" t="n">
        <v>24</v>
      </c>
      <c r="B27" s="10" t="inlineStr">
        <is>
          <t xml:space="preserve">        self.enable = CONFIG["auto_corrector"]["enable"]</t>
        </is>
      </c>
    </row>
    <row r="28">
      <c r="A28" s="7" t="n">
        <v>25</v>
      </c>
      <c r="B28" s="8" t="inlineStr">
        <is>
          <t xml:space="preserve">        self.auto_recheck = CONFIG["auto_corrector"]["auto_recheck"]</t>
        </is>
      </c>
    </row>
    <row r="29">
      <c r="A29" s="9" t="n">
        <v>26</v>
      </c>
      <c r="B29" s="10" t="inlineStr">
        <is>
          <t xml:space="preserve">        self.keep_original = CONFIG["auto_corrector"]["keep_original"]</t>
        </is>
      </c>
    </row>
    <row r="30">
      <c r="A30" s="7" t="n">
        <v>27</v>
      </c>
      <c r="B30" s="8" t="inlineStr">
        <is>
          <t xml:space="preserve">        self.standard = {</t>
        </is>
      </c>
    </row>
    <row r="31">
      <c r="A31" s="9" t="n">
        <v>28</v>
      </c>
      <c r="B31" s="10" t="inlineStr">
        <is>
          <t xml:space="preserve">            "resolution": "1080x1920",</t>
        </is>
      </c>
    </row>
    <row r="32">
      <c r="A32" s="7" t="n">
        <v>29</v>
      </c>
      <c r="B32" s="8" t="inlineStr">
        <is>
          <t xml:space="preserve">            "width": 1080,</t>
        </is>
      </c>
    </row>
    <row r="33">
      <c r="A33" s="9" t="n">
        <v>30</v>
      </c>
      <c r="B33" s="10" t="inlineStr">
        <is>
          <t xml:space="preserve">            "height": 1920,</t>
        </is>
      </c>
    </row>
    <row r="34">
      <c r="A34" s="7" t="n">
        <v>31</v>
      </c>
      <c r="B34" s="8" t="inlineStr">
        <is>
          <t xml:space="preserve">            "fps": 30,</t>
        </is>
      </c>
    </row>
    <row r="35">
      <c r="A35" s="9" t="n">
        <v>32</v>
      </c>
      <c r="B35" s="10" t="inlineStr">
        <is>
          <t xml:space="preserve">            "min_bitrate": 2000000,</t>
        </is>
      </c>
    </row>
    <row r="36">
      <c r="A36" s="7" t="n">
        <v>33</v>
      </c>
      <c r="B36" s="8" t="inlineStr">
        <is>
          <t xml:space="preserve">            "target_bitrate": 3000000,</t>
        </is>
      </c>
    </row>
    <row r="37">
      <c r="A37" s="9" t="n">
        <v>34</v>
      </c>
      <c r="B37" s="10" t="inlineStr">
        <is>
          <t xml:space="preserve">        }</t>
        </is>
      </c>
    </row>
    <row r="38">
      <c r="A38" s="7" t="n">
        <v>35</v>
      </c>
      <c r="B38" s="8" t="inlineStr">
        <is>
          <t xml:space="preserve">        logger.info("自动纠错模块初始化完成")</t>
        </is>
      </c>
    </row>
    <row r="39">
      <c r="A39" s="9" t="n">
        <v>36</v>
      </c>
      <c r="B39" s="10" t="inlineStr">
        <is>
          <t xml:space="preserve">    def _get_correctable_issues(self, material_id: int) -&gt; dict:</t>
        </is>
      </c>
    </row>
    <row r="40">
      <c r="A40" s="7" t="n">
        <v>37</v>
      </c>
      <c r="B40" s="8" t="inlineStr">
        <is>
          <t xml:space="preserve">        """筛选可自动修复的质检问题，按类别分组"""</t>
        </is>
      </c>
    </row>
    <row r="41">
      <c r="A41" s="9" t="n">
        <v>38</v>
      </c>
      <c r="B41" s="10" t="inlineStr">
        <is>
          <t xml:space="preserve">        issues = query_sql(</t>
        </is>
      </c>
    </row>
    <row r="42">
      <c r="A42" s="7" t="n">
        <v>39</v>
      </c>
      <c r="B42" s="8" t="inlineStr">
        <is>
          <t xml:space="preserve">            """SELECT id, check_type, issue_level, issue_desc, start_time, end_time</t>
        </is>
      </c>
    </row>
    <row r="43">
      <c r="A43" s="9" t="n">
        <v>40</v>
      </c>
      <c r="B43" s="10" t="inlineStr">
        <is>
          <t xml:space="preserve">               FROM quality_results</t>
        </is>
      </c>
    </row>
    <row r="44">
      <c r="A44" s="7" t="n">
        <v>41</v>
      </c>
      <c r="B44" s="8" t="inlineStr">
        <is>
          <t xml:space="preserve">               WHERE material_id=? AND is_fixed=0 AND issue_level != 'error'""",</t>
        </is>
      </c>
    </row>
    <row r="45">
      <c r="A45" s="9" t="n">
        <v>42</v>
      </c>
      <c r="B45" s="10" t="inlineStr">
        <is>
          <t xml:space="preserve">            (material_id,),</t>
        </is>
      </c>
    </row>
    <row r="46">
      <c r="A46" s="7" t="n">
        <v>43</v>
      </c>
      <c r="B46" s="8" t="inlineStr">
        <is>
          <t xml:space="preserve">        )</t>
        </is>
      </c>
    </row>
    <row r="47">
      <c r="A47" s="9" t="n">
        <v>44</v>
      </c>
      <c r="B47" s="10" t="inlineStr">
        <is>
          <t xml:space="preserve">        result = {</t>
        </is>
      </c>
    </row>
    <row r="48">
      <c r="A48" s="7" t="n">
        <v>45</v>
      </c>
      <c r="B48" s="8" t="inlineStr">
        <is>
          <t xml:space="preserve">            "black_frames": [],</t>
        </is>
      </c>
    </row>
    <row r="49">
      <c r="A49" s="9" t="n">
        <v>46</v>
      </c>
      <c r="B49" s="10" t="inlineStr">
        <is>
          <t xml:space="preserve">            "subtitle_sync": [],</t>
        </is>
      </c>
    </row>
    <row r="50">
      <c r="A50" s="7" t="n">
        <v>47</v>
      </c>
      <c r="B50" s="8" t="inlineStr">
        <is>
          <t xml:space="preserve">            "param_unqualified": [],</t>
        </is>
      </c>
    </row>
    <row r="51">
      <c r="A51" s="9" t="n">
        <v>48</v>
      </c>
      <c r="B51" s="10" t="inlineStr">
        <is>
          <t xml:space="preserve">            "aspect_issue": [],</t>
        </is>
      </c>
    </row>
    <row r="52">
      <c r="A52" s="7" t="n">
        <v>49</v>
      </c>
      <c r="B52" s="8" t="inlineStr">
        <is>
          <t xml:space="preserve">        }</t>
        </is>
      </c>
    </row>
    <row r="53">
      <c r="A53" s="9" t="n">
        <v>50</v>
      </c>
      <c r="B53" s="10" t="inlineStr">
        <is>
          <t xml:space="preserve">        for issue in issues:</t>
        </is>
      </c>
    </row>
    <row r="54">
      <c r="A54" s="7" t="n">
        <v>51</v>
      </c>
      <c r="B54" s="8" t="inlineStr">
        <is>
          <t xml:space="preserve">            issue_id = issue["id"]</t>
        </is>
      </c>
    </row>
    <row r="55">
      <c r="A55" s="9" t="n">
        <v>52</v>
      </c>
      <c r="B55" s="10" t="inlineStr">
        <is>
          <t xml:space="preserve">            check_type = issue["check_type"]</t>
        </is>
      </c>
    </row>
    <row r="56">
      <c r="A56" s="7" t="n">
        <v>53</v>
      </c>
      <c r="B56" s="8" t="inlineStr">
        <is>
          <t xml:space="preserve">            desc = issue["issue_desc"]</t>
        </is>
      </c>
    </row>
    <row r="57">
      <c r="A57" s="9" t="n">
        <v>54</v>
      </c>
      <c r="B57" s="10" t="inlineStr">
        <is>
          <t xml:space="preserve">            start = issue["start_time"]</t>
        </is>
      </c>
    </row>
    <row r="58">
      <c r="A58" s="7" t="n">
        <v>55</v>
      </c>
      <c r="B58" s="8" t="inlineStr">
        <is>
          <t xml:space="preserve">            end = issue["end_time"]</t>
        </is>
      </c>
    </row>
    <row r="59">
      <c r="A59" s="9" t="n">
        <v>56</v>
      </c>
      <c r="B59" s="10" t="inlineStr">
        <is>
          <t xml:space="preserve">            if check_type == "画面质量" and ("黑帧" in desc or "空白帧" in desc or "亮度过低" in desc):</t>
        </is>
      </c>
    </row>
    <row r="60">
      <c r="A60" s="7" t="n">
        <v>57</v>
      </c>
      <c r="B60" s="8" t="inlineStr">
        <is>
          <t xml:space="preserve">                result["black_frames"].append({"id": issue_id, "start": start, "end": end})</t>
        </is>
      </c>
    </row>
    <row r="61">
      <c r="A61" s="9" t="n">
        <v>58</v>
      </c>
      <c r="B61" s="10" t="inlineStr">
        <is>
          <t xml:space="preserve">            elif check_type == "音画同步":</t>
        </is>
      </c>
    </row>
    <row r="62">
      <c r="A62" s="7" t="n">
        <v>59</v>
      </c>
      <c r="B62" s="8" t="inlineStr">
        <is>
          <t xml:space="preserve">                result["subtitle_sync"].append({"id": issue_id, "start": start, "end": end})</t>
        </is>
      </c>
    </row>
    <row r="63">
      <c r="A63" s="9" t="n">
        <v>60</v>
      </c>
      <c r="B63" s="10" t="inlineStr">
        <is>
          <t xml:space="preserve">            elif check_type == "参数合规":</t>
        </is>
      </c>
    </row>
    <row r="64">
      <c r="A64" s="7" t="n">
        <v>61</v>
      </c>
      <c r="B64" s="8" t="inlineStr">
        <is>
          <t xml:space="preserve">                result["param_unqualified"].append({"id": issue_id, "desc": desc})</t>
        </is>
      </c>
    </row>
    <row r="65">
      <c r="A65" s="9" t="n">
        <v>62</v>
      </c>
      <c r="B65" s="10" t="inlineStr">
        <is>
          <t xml:space="preserve">            elif check_type == "画幅合规":</t>
        </is>
      </c>
    </row>
    <row r="66">
      <c r="A66" s="7" t="n">
        <v>63</v>
      </c>
      <c r="B66" s="8" t="inlineStr">
        <is>
          <t xml:space="preserve">                result["aspect_issue"].append({"id": issue_id, "desc": desc})</t>
        </is>
      </c>
    </row>
    <row r="67">
      <c r="A67" s="9" t="n">
        <v>64</v>
      </c>
      <c r="B67" s="10" t="inlineStr">
        <is>
          <t xml:space="preserve">        return result</t>
        </is>
      </c>
    </row>
    <row r="68">
      <c r="A68" s="7" t="n">
        <v>65</v>
      </c>
      <c r="B68" s="8" t="inlineStr">
        <is>
          <t xml:space="preserve">    def trim_black_frames(self, video_path: str, material_id: int) -&gt; str:</t>
        </is>
      </c>
    </row>
    <row r="69">
      <c r="A69" s="9" t="n">
        <v>66</v>
      </c>
      <c r="B69" s="10" t="inlineStr">
        <is>
          <t xml:space="preserve">        """自动裁剪黑场/空白帧片段，输出修复后视频"""</t>
        </is>
      </c>
    </row>
    <row r="70">
      <c r="A70" s="7" t="n">
        <v>67</v>
      </c>
      <c r="B70" s="8" t="inlineStr">
        <is>
          <t xml:space="preserve">        issues = self._get_correctable_issues(material_id)["black_frames"]</t>
        </is>
      </c>
    </row>
    <row r="71">
      <c r="A71" s="9" t="n">
        <v>68</v>
      </c>
      <c r="B71" s="10" t="inlineStr">
        <is>
          <t xml:space="preserve">        if not issues:</t>
        </is>
      </c>
    </row>
    <row r="72">
      <c r="A72" s="7" t="n">
        <v>69</v>
      </c>
      <c r="B72" s="8" t="inlineStr">
        <is>
          <t xml:space="preserve">            logger.debug("无黑场需要裁剪")</t>
        </is>
      </c>
    </row>
    <row r="73">
      <c r="A73" s="9" t="n">
        <v>70</v>
      </c>
      <c r="B73" s="10" t="inlineStr">
        <is>
          <t xml:space="preserve">            return video_path</t>
        </is>
      </c>
    </row>
    <row r="74">
      <c r="A74" s="7" t="n">
        <v>71</v>
      </c>
      <c r="B74" s="8" t="inlineStr">
        <is>
          <t xml:space="preserve">        logger.info(f"开始自动裁剪黑场，共{len(issues)}处")</t>
        </is>
      </c>
    </row>
    <row r="75">
      <c r="A75" s="9" t="n">
        <v>72</v>
      </c>
      <c r="B75" s="10" t="inlineStr">
        <is>
          <t xml:space="preserve">        base_name = os.path.splitext(os.path.basename(video_path))[0]</t>
        </is>
      </c>
    </row>
    <row r="76">
      <c r="A76" s="7" t="n">
        <v>73</v>
      </c>
      <c r="B76" s="8" t="inlineStr">
        <is>
          <t xml:space="preserve">        output_path = os.path.join(OUTPUT_DIR, f"{base_name}_trim_black.mp4")</t>
        </is>
      </c>
    </row>
    <row r="77">
      <c r="A77" s="9" t="n">
        <v>74</v>
      </c>
      <c r="B77" s="10" t="inlineStr">
        <is>
          <t xml:space="preserve">        try:</t>
        </is>
      </c>
    </row>
    <row r="78">
      <c r="A78" s="7" t="n">
        <v>75</v>
      </c>
      <c r="B78" s="8" t="inlineStr">
        <is>
          <t xml:space="preserve">            info = get_video_info(video_path)</t>
        </is>
      </c>
    </row>
    <row r="79">
      <c r="A79" s="9" t="n">
        <v>76</v>
      </c>
      <c r="B79" s="10" t="inlineStr">
        <is>
          <t xml:space="preserve">            duration = info.get("duration", 0)</t>
        </is>
      </c>
    </row>
    <row r="80">
      <c r="A80" s="7" t="n">
        <v>77</v>
      </c>
      <c r="B80" s="8" t="inlineStr">
        <is>
          <t xml:space="preserve">            if duration == 0:</t>
        </is>
      </c>
    </row>
    <row r="81">
      <c r="A81" s="9" t="n">
        <v>78</v>
      </c>
      <c r="B81" s="10" t="inlineStr">
        <is>
          <t xml:space="preserve">                logger.error("无法获取视频时长，跳过黑场裁剪")</t>
        </is>
      </c>
    </row>
    <row r="82">
      <c r="A82" s="7" t="n">
        <v>79</v>
      </c>
      <c r="B82" s="8" t="inlineStr">
        <is>
          <t xml:space="preserve">                return video_path</t>
        </is>
      </c>
    </row>
    <row r="83">
      <c r="A83" s="9" t="n">
        <v>80</v>
      </c>
      <c r="B83" s="10" t="inlineStr">
        <is>
          <t xml:space="preserve">            # 生成保留片段时间区间（反向：裁剪黑场 = 保留非黑场部分）</t>
        </is>
      </c>
    </row>
    <row r="84">
      <c r="A84" s="7" t="n">
        <v>81</v>
      </c>
      <c r="B84" s="8" t="inlineStr">
        <is>
          <t xml:space="preserve">            issues.sort(key=lambda x: x["start"])</t>
        </is>
      </c>
    </row>
    <row r="85">
      <c r="A85" s="9" t="n">
        <v>82</v>
      </c>
      <c r="B85" s="10" t="inlineStr">
        <is>
          <t xml:space="preserve">            keep_segments = []</t>
        </is>
      </c>
    </row>
    <row r="86">
      <c r="A86" s="7" t="n">
        <v>83</v>
      </c>
      <c r="B86" s="8" t="inlineStr">
        <is>
          <t xml:space="preserve">            last_end = 0.0</t>
        </is>
      </c>
    </row>
    <row r="87">
      <c r="A87" s="9" t="n">
        <v>84</v>
      </c>
      <c r="B87" s="10" t="inlineStr">
        <is>
          <t xml:space="preserve">            for issue in issues:</t>
        </is>
      </c>
    </row>
    <row r="88">
      <c r="A88" s="7" t="n">
        <v>85</v>
      </c>
      <c r="B88" s="8" t="inlineStr">
        <is>
          <t xml:space="preserve">                if issue["start"] &gt; last_end + 0.1:</t>
        </is>
      </c>
    </row>
    <row r="89">
      <c r="A89" s="9" t="n">
        <v>86</v>
      </c>
      <c r="B89" s="10" t="inlineStr">
        <is>
          <t xml:space="preserve">                    keep_segments.append((last_end, issue["start"]))</t>
        </is>
      </c>
    </row>
    <row r="90">
      <c r="A90" s="7" t="n">
        <v>87</v>
      </c>
      <c r="B90" s="8" t="inlineStr">
        <is>
          <t xml:space="preserve">                last_end = max(last_end, issue["end"])</t>
        </is>
      </c>
    </row>
    <row r="91">
      <c r="A91" s="9" t="n">
        <v>88</v>
      </c>
      <c r="B91" s="10" t="inlineStr">
        <is>
          <t xml:space="preserve">            if last_end &lt; duration - 0.1:</t>
        </is>
      </c>
    </row>
    <row r="92">
      <c r="A92" s="7" t="n">
        <v>89</v>
      </c>
      <c r="B92" s="8" t="inlineStr">
        <is>
          <t xml:space="preserve">                keep_segments.append((last_end, duration))</t>
        </is>
      </c>
    </row>
    <row r="93">
      <c r="A93" s="9" t="n">
        <v>90</v>
      </c>
      <c r="B93" s="10" t="inlineStr">
        <is>
          <t xml:space="preserve">            if not keep_segments:</t>
        </is>
      </c>
    </row>
    <row r="94">
      <c r="A94" s="7" t="n">
        <v>91</v>
      </c>
      <c r="B94" s="8" t="inlineStr">
        <is>
          <t xml:space="preserve">                logger.warning("黑场覆盖全部视频，无法裁剪")</t>
        </is>
      </c>
    </row>
    <row r="95">
      <c r="A95" s="9" t="n">
        <v>92</v>
      </c>
      <c r="B95" s="10" t="inlineStr">
        <is>
          <t xml:space="preserve">                return video_path</t>
        </is>
      </c>
    </row>
    <row r="96">
      <c r="A96" s="7" t="n">
        <v>93</v>
      </c>
      <c r="B96" s="8" t="inlineStr">
        <is>
          <t xml:space="preserve">            # 构建FFmpeg命令</t>
        </is>
      </c>
    </row>
    <row r="97">
      <c r="A97" s="9" t="n">
        <v>94</v>
      </c>
      <c r="B97" s="10" t="inlineStr">
        <is>
          <t xml:space="preserve">            if len(keep_segments) == 1:</t>
        </is>
      </c>
    </row>
    <row r="98">
      <c r="A98" s="7" t="n">
        <v>95</v>
      </c>
      <c r="B98" s="8" t="inlineStr">
        <is>
          <t xml:space="preserve">                start, end = keep_segments[0]</t>
        </is>
      </c>
    </row>
    <row r="99">
      <c r="A99" s="9" t="n">
        <v>96</v>
      </c>
      <c r="B99" s="10" t="inlineStr">
        <is>
          <t xml:space="preserve">                cmd = [</t>
        </is>
      </c>
    </row>
    <row r="100">
      <c r="A100" s="7" t="n">
        <v>97</v>
      </c>
      <c r="B100" s="8" t="inlineStr">
        <is>
          <t xml:space="preserve">                    "ffmpeg", "-y",</t>
        </is>
      </c>
    </row>
    <row r="101">
      <c r="A101" s="9" t="n">
        <v>98</v>
      </c>
      <c r="B101" s="10" t="inlineStr">
        <is>
          <t xml:space="preserve">                    "-ss", str(start),</t>
        </is>
      </c>
    </row>
    <row r="102">
      <c r="A102" s="7" t="n">
        <v>99</v>
      </c>
      <c r="B102" s="8" t="inlineStr">
        <is>
          <t xml:space="preserve">                    "-to", str(end),</t>
        </is>
      </c>
    </row>
    <row r="103">
      <c r="A103" s="9" t="n">
        <v>100</v>
      </c>
      <c r="B103" s="10" t="inlineStr">
        <is>
          <t xml:space="preserve">                    "-i", video_path,</t>
        </is>
      </c>
    </row>
    <row r="104">
      <c r="A104" s="7" t="n">
        <v>101</v>
      </c>
      <c r="B104" s="8" t="inlineStr">
        <is>
          <t xml:space="preserve">                    "-c", "copy",</t>
        </is>
      </c>
    </row>
    <row r="105">
      <c r="A105" s="9" t="n">
        <v>102</v>
      </c>
      <c r="B105" s="10" t="inlineStr">
        <is>
          <t xml:space="preserve">                    output_path,</t>
        </is>
      </c>
    </row>
    <row r="106">
      <c r="A106" s="7" t="n">
        <v>103</v>
      </c>
      <c r="B106" s="8" t="inlineStr">
        <is>
          <t xml:space="preserve">                ]</t>
        </is>
      </c>
    </row>
    <row r="107">
      <c r="A107" s="9" t="n">
        <v>104</v>
      </c>
      <c r="B107" s="10" t="inlineStr">
        <is>
          <t xml:space="preserve">            else:</t>
        </is>
      </c>
    </row>
    <row r="108">
      <c r="A108" s="7" t="n">
        <v>105</v>
      </c>
      <c r="B108" s="8" t="inlineStr">
        <is>
          <t xml:space="preserve">                # 多段裁剪 → concat拼接</t>
        </is>
      </c>
    </row>
    <row r="109">
      <c r="A109" s="9" t="n">
        <v>106</v>
      </c>
      <c r="B109" s="10" t="inlineStr">
        <is>
          <t xml:space="preserve">                concat_file = os.path.join(tempfile.gettempdir(), f"concat_list_{material_id}.txt")</t>
        </is>
      </c>
    </row>
    <row r="110">
      <c r="A110" s="7" t="n">
        <v>107</v>
      </c>
      <c r="B110" s="8" t="inlineStr">
        <is>
          <t xml:space="preserve">                with open(concat_file, "w", encoding="utf-8") as f:</t>
        </is>
      </c>
    </row>
    <row r="111">
      <c r="A111" s="9" t="n">
        <v>108</v>
      </c>
      <c r="B111" s="10" t="inlineStr">
        <is>
          <t xml:space="preserve">                    for start, end in keep_segments:</t>
        </is>
      </c>
    </row>
    <row r="112">
      <c r="A112" s="7" t="n">
        <v>109</v>
      </c>
      <c r="B112" s="8" t="inlineStr">
        <is>
          <t xml:space="preserve">                        f.write(f"file '{os.path.abspath(video_path)}'\n")</t>
        </is>
      </c>
    </row>
    <row r="113">
      <c r="A113" s="9" t="n">
        <v>110</v>
      </c>
      <c r="B113" s="10" t="inlineStr">
        <is>
          <t xml:space="preserve">                        f.write(f"inpoint {start}\n")</t>
        </is>
      </c>
    </row>
    <row r="114">
      <c r="A114" s="7" t="n">
        <v>111</v>
      </c>
      <c r="B114" s="8" t="inlineStr">
        <is>
          <t xml:space="preserve">                        f.write(f"outpoint {end}\n")</t>
        </is>
      </c>
    </row>
    <row r="115">
      <c r="A115" s="9" t="n">
        <v>112</v>
      </c>
      <c r="B115" s="10" t="inlineStr">
        <is>
          <t xml:space="preserve">                cmd = [</t>
        </is>
      </c>
    </row>
    <row r="116">
      <c r="A116" s="7" t="n">
        <v>113</v>
      </c>
      <c r="B116" s="8" t="inlineStr">
        <is>
          <t xml:space="preserve">                    "ffmpeg", "-y",</t>
        </is>
      </c>
    </row>
    <row r="117">
      <c r="A117" s="9" t="n">
        <v>114</v>
      </c>
      <c r="B117" s="10" t="inlineStr">
        <is>
          <t xml:space="preserve">                    "-f", "concat",</t>
        </is>
      </c>
    </row>
    <row r="118">
      <c r="A118" s="7" t="n">
        <v>115</v>
      </c>
      <c r="B118" s="8" t="inlineStr">
        <is>
          <t xml:space="preserve">                    "-safe", "0",</t>
        </is>
      </c>
    </row>
    <row r="119">
      <c r="A119" s="9" t="n">
        <v>116</v>
      </c>
      <c r="B119" s="10" t="inlineStr">
        <is>
          <t xml:space="preserve">                    "-i", concat_file,</t>
        </is>
      </c>
    </row>
    <row r="120">
      <c r="A120" s="7" t="n">
        <v>117</v>
      </c>
      <c r="B120" s="8" t="inlineStr">
        <is>
          <t xml:space="preserve">                    "-c", "copy",</t>
        </is>
      </c>
    </row>
    <row r="121">
      <c r="A121" s="9" t="n">
        <v>118</v>
      </c>
      <c r="B121" s="10" t="inlineStr">
        <is>
          <t xml:space="preserve">                    output_path,</t>
        </is>
      </c>
    </row>
    <row r="122">
      <c r="A122" s="7" t="n">
        <v>119</v>
      </c>
      <c r="B122" s="8" t="inlineStr">
        <is>
          <t xml:space="preserve">                ]</t>
        </is>
      </c>
    </row>
    <row r="123">
      <c r="A123" s="9" t="n">
        <v>120</v>
      </c>
      <c r="B123" s="10" t="inlineStr">
        <is>
          <t xml:space="preserve">            result = subprocess.run(cmd, capture_output=True, text=True, timeout=300, encoding="utf-8")</t>
        </is>
      </c>
    </row>
    <row r="124">
      <c r="A124" s="7" t="n">
        <v>121</v>
      </c>
      <c r="B124" s="8" t="inlineStr">
        <is>
          <t xml:space="preserve">            if result.returncode != 0:</t>
        </is>
      </c>
    </row>
    <row r="125">
      <c r="A125" s="9" t="n">
        <v>122</v>
      </c>
      <c r="B125" s="10" t="inlineStr">
        <is>
          <t xml:space="preserve">                logger.error(f"黑场裁剪FFmpeg失败: {result.stderr[:200]}")</t>
        </is>
      </c>
    </row>
    <row r="126">
      <c r="A126" s="7" t="n">
        <v>123</v>
      </c>
      <c r="B126" s="8" t="inlineStr">
        <is>
          <t xml:space="preserve">                return video_path</t>
        </is>
      </c>
    </row>
    <row r="127">
      <c r="A127" s="9" t="n">
        <v>124</v>
      </c>
      <c r="B127" s="10" t="inlineStr">
        <is>
          <t xml:space="preserve">            if os.path.exists(concat_file if len(keep_segments) &gt; 1 else ""):</t>
        </is>
      </c>
    </row>
    <row r="128">
      <c r="A128" s="7" t="n">
        <v>125</v>
      </c>
      <c r="B128" s="8" t="inlineStr">
        <is>
          <t xml:space="preserve">                try:</t>
        </is>
      </c>
    </row>
    <row r="129">
      <c r="A129" s="9" t="n">
        <v>126</v>
      </c>
      <c r="B129" s="10" t="inlineStr">
        <is>
          <t xml:space="preserve">                    os.remove(concat_file)</t>
        </is>
      </c>
    </row>
    <row r="130">
      <c r="A130" s="7" t="n">
        <v>127</v>
      </c>
      <c r="B130" s="8" t="inlineStr">
        <is>
          <t xml:space="preserve">                except Exception:</t>
        </is>
      </c>
    </row>
    <row r="131">
      <c r="A131" s="9" t="n">
        <v>128</v>
      </c>
      <c r="B131" s="10" t="inlineStr">
        <is>
          <t xml:space="preserve">                    pass</t>
        </is>
      </c>
    </row>
    <row r="132">
      <c r="A132" s="7" t="n">
        <v>129</v>
      </c>
      <c r="B132" s="8" t="inlineStr">
        <is>
          <t xml:space="preserve">            # 标记问题已修复</t>
        </is>
      </c>
    </row>
    <row r="133">
      <c r="A133" s="9" t="n">
        <v>130</v>
      </c>
      <c r="B133" s="10" t="inlineStr">
        <is>
          <t xml:space="preserve">            for issue in issues:</t>
        </is>
      </c>
    </row>
    <row r="134">
      <c r="A134" s="7" t="n">
        <v>131</v>
      </c>
      <c r="B134" s="8" t="inlineStr">
        <is>
          <t xml:space="preserve">                execute_sql("UPDATE quality_results SET is_fixed=1 WHERE id=?", (issue["id"],))</t>
        </is>
      </c>
    </row>
    <row r="135">
      <c r="A135" s="9" t="n">
        <v>132</v>
      </c>
      <c r="B135" s="10" t="inlineStr">
        <is>
          <t xml:space="preserve">            # 清除缓存，为复检准备</t>
        </is>
      </c>
    </row>
    <row r="136">
      <c r="A136" s="7" t="n">
        <v>133</v>
      </c>
      <c r="B136" s="8" t="inlineStr">
        <is>
          <t xml:space="preserve">            cache_manager.invalidate(video_path, "black_frame")</t>
        </is>
      </c>
    </row>
    <row r="137">
      <c r="A137" s="9" t="n">
        <v>134</v>
      </c>
      <c r="B137" s="10" t="inlineStr">
        <is>
          <t xml:space="preserve">            logger.info(f"黑场裁剪完成，输出: {output_path}")</t>
        </is>
      </c>
    </row>
    <row r="138">
      <c r="A138" s="7" t="n">
        <v>135</v>
      </c>
      <c r="B138" s="8" t="inlineStr">
        <is>
          <t xml:space="preserve">            return output_path</t>
        </is>
      </c>
    </row>
    <row r="139">
      <c r="A139" s="9" t="n">
        <v>136</v>
      </c>
      <c r="B139" s="10" t="inlineStr">
        <is>
          <t xml:space="preserve">        except subprocess.TimeoutExpired:</t>
        </is>
      </c>
    </row>
    <row r="140">
      <c r="A140" s="7" t="n">
        <v>137</v>
      </c>
      <c r="B140" s="8" t="inlineStr">
        <is>
          <t xml:space="preserve">            logger.error("黑场裁剪超时")</t>
        </is>
      </c>
    </row>
    <row r="141">
      <c r="A141" s="9" t="n">
        <v>138</v>
      </c>
      <c r="B141" s="10" t="inlineStr">
        <is>
          <t xml:space="preserve">            return video_path</t>
        </is>
      </c>
    </row>
    <row r="142">
      <c r="A142" s="7" t="n">
        <v>139</v>
      </c>
      <c r="B142" s="8" t="inlineStr">
        <is>
          <t xml:space="preserve">        except Exception as e:</t>
        </is>
      </c>
    </row>
    <row r="143">
      <c r="A143" s="9" t="n">
        <v>140</v>
      </c>
      <c r="B143" s="10" t="inlineStr">
        <is>
          <t xml:space="preserve">            logger.error(f"黑场裁剪异常: {e}")</t>
        </is>
      </c>
    </row>
    <row r="144">
      <c r="A144" s="7" t="n">
        <v>141</v>
      </c>
      <c r="B144" s="8" t="inlineStr">
        <is>
          <t xml:space="preserve">            return video_path</t>
        </is>
      </c>
    </row>
    <row r="145">
      <c r="A145" s="9" t="n">
        <v>142</v>
      </c>
      <c r="B145" s="10" t="inlineStr">
        <is>
          <t xml:space="preserve">    def align_subtitle_timeline(self, material_id: int) -&gt; bool:</t>
        </is>
      </c>
    </row>
    <row r="146">
      <c r="A146" s="7" t="n">
        <v>143</v>
      </c>
      <c r="B146" s="8" t="inlineStr">
        <is>
          <t xml:space="preserve">        """自动对齐字幕时间轴，按语音时间戳重新编排字幕"""</t>
        </is>
      </c>
    </row>
    <row r="147">
      <c r="A147" s="9" t="n">
        <v>144</v>
      </c>
      <c r="B147" s="10" t="inlineStr">
        <is>
          <t xml:space="preserve">        issues = self._get_correctable_issues(material_id)["subtitle_sync"]</t>
        </is>
      </c>
    </row>
    <row r="148">
      <c r="A148" s="7" t="n">
        <v>145</v>
      </c>
      <c r="B148" s="8" t="inlineStr">
        <is>
          <t xml:space="preserve">        if not issues:</t>
        </is>
      </c>
    </row>
    <row r="149">
      <c r="A149" s="9" t="n">
        <v>146</v>
      </c>
      <c r="B149" s="10" t="inlineStr">
        <is>
          <t xml:space="preserve">            logger.debug("无字幕同步问题需要修复")</t>
        </is>
      </c>
    </row>
    <row r="150">
      <c r="A150" s="7" t="n">
        <v>147</v>
      </c>
      <c r="B150" s="8" t="inlineStr">
        <is>
          <t xml:space="preserve">            return True</t>
        </is>
      </c>
    </row>
    <row r="151">
      <c r="A151" s="9" t="n">
        <v>148</v>
      </c>
      <c r="B151" s="10" t="inlineStr">
        <is>
          <t xml:space="preserve">        logger.info(f"开始自动对齐字幕时间轴，共{len(issues)}处偏差")</t>
        </is>
      </c>
    </row>
    <row r="152">
      <c r="A152" s="7" t="n">
        <v>149</v>
      </c>
      <c r="B152" s="8" t="inlineStr">
        <is>
          <t xml:space="preserve">        try:</t>
        </is>
      </c>
    </row>
    <row r="153">
      <c r="A153" s="9" t="n">
        <v>150</v>
      </c>
      <c r="B153" s="10" t="inlineStr">
        <is>
          <t xml:space="preserve">            # 获取语音时间轴</t>
        </is>
      </c>
    </row>
    <row r="154">
      <c r="A154" s="7" t="n">
        <v>151</v>
      </c>
      <c r="B154" s="8" t="inlineStr">
        <is>
          <t xml:space="preserve">            audio_segs = query_sql(</t>
        </is>
      </c>
    </row>
    <row r="155">
      <c r="A155" s="9" t="n">
        <v>152</v>
      </c>
      <c r="B155" s="10" t="inlineStr">
        <is>
          <t xml:space="preserve">                """SELECT start_time, end_time, transcript</t>
        </is>
      </c>
    </row>
    <row r="156">
      <c r="A156" s="7" t="n">
        <v>153</v>
      </c>
      <c r="B156" s="8" t="inlineStr">
        <is>
          <t xml:space="preserve">                   FROM audio_features</t>
        </is>
      </c>
    </row>
    <row r="157">
      <c r="A157" s="9" t="n">
        <v>154</v>
      </c>
      <c r="B157" s="10" t="inlineStr">
        <is>
          <t xml:space="preserve">                   WHERE material_id=? AND audio_type='speech'</t>
        </is>
      </c>
    </row>
    <row r="158">
      <c r="A158" s="7" t="n">
        <v>155</v>
      </c>
      <c r="B158" s="8" t="inlineStr">
        <is>
          <t xml:space="preserve">                   ORDER BY start_time""",</t>
        </is>
      </c>
    </row>
    <row r="159">
      <c r="A159" s="9" t="n">
        <v>156</v>
      </c>
      <c r="B159" s="10" t="inlineStr">
        <is>
          <t xml:space="preserve">                (material_id,),</t>
        </is>
      </c>
    </row>
    <row r="160">
      <c r="A160" s="7" t="n">
        <v>157</v>
      </c>
      <c r="B160" s="8" t="inlineStr">
        <is>
          <t xml:space="preserve">            )</t>
        </is>
      </c>
    </row>
    <row r="161">
      <c r="A161" s="9" t="n">
        <v>158</v>
      </c>
      <c r="B161" s="10" t="inlineStr">
        <is>
          <t xml:space="preserve">            # 获取字幕</t>
        </is>
      </c>
    </row>
    <row r="162">
      <c r="A162" s="7" t="n">
        <v>159</v>
      </c>
      <c r="B162" s="8" t="inlineStr">
        <is>
          <t xml:space="preserve">            sub_segs = query_sql(</t>
        </is>
      </c>
    </row>
    <row r="163">
      <c r="A163" s="9" t="n">
        <v>160</v>
      </c>
      <c r="B163" s="10" t="inlineStr">
        <is>
          <t xml:space="preserve">                """SELECT id, start_time, end_time, subtitle_text</t>
        </is>
      </c>
    </row>
    <row r="164">
      <c r="A164" s="7" t="n">
        <v>161</v>
      </c>
      <c r="B164" s="8" t="inlineStr">
        <is>
          <t xml:space="preserve">                   FROM subtitle_results</t>
        </is>
      </c>
    </row>
    <row r="165">
      <c r="A165" s="9" t="n">
        <v>162</v>
      </c>
      <c r="B165" s="10" t="inlineStr">
        <is>
          <t xml:space="preserve">                   WHERE material_id=?</t>
        </is>
      </c>
    </row>
    <row r="166">
      <c r="A166" s="7" t="n">
        <v>163</v>
      </c>
      <c r="B166" s="8" t="inlineStr">
        <is>
          <t xml:space="preserve">                   ORDER BY start_time""",</t>
        </is>
      </c>
    </row>
    <row r="167">
      <c r="A167" s="9" t="n">
        <v>164</v>
      </c>
      <c r="B167" s="10" t="inlineStr">
        <is>
          <t xml:space="preserve">                (material_id,),</t>
        </is>
      </c>
    </row>
    <row r="168">
      <c r="A168" s="7" t="n">
        <v>165</v>
      </c>
      <c r="B168" s="8" t="inlineStr">
        <is>
          <t xml:space="preserve">            )</t>
        </is>
      </c>
    </row>
    <row r="169">
      <c r="A169" s="9" t="n">
        <v>166</v>
      </c>
      <c r="B169" s="10" t="inlineStr">
        <is>
          <t xml:space="preserve">            if not audio_segs or not sub_segs:</t>
        </is>
      </c>
    </row>
    <row r="170">
      <c r="A170" s="7" t="n">
        <v>167</v>
      </c>
      <c r="B170" s="8" t="inlineStr">
        <is>
          <t xml:space="preserve">                logger.warning("音频或字幕数据不足，无法对齐")</t>
        </is>
      </c>
    </row>
    <row r="171">
      <c r="A171" s="9" t="n">
        <v>168</v>
      </c>
      <c r="B171" s="10" t="inlineStr">
        <is>
          <t xml:space="preserve">                return False</t>
        </is>
      </c>
    </row>
    <row r="172">
      <c r="A172" s="7" t="n">
        <v>169</v>
      </c>
      <c r="B172" s="8" t="inlineStr">
        <is>
          <t xml:space="preserve">            # 按顺序对齐：第N条字幕 → 第N条语音</t>
        </is>
      </c>
    </row>
    <row r="173">
      <c r="A173" s="9" t="n">
        <v>170</v>
      </c>
      <c r="B173" s="10" t="inlineStr">
        <is>
          <t xml:space="preserve">            align_count = min(len(audio_segs), len(sub_segs))</t>
        </is>
      </c>
    </row>
    <row r="174">
      <c r="A174" s="7" t="n">
        <v>171</v>
      </c>
      <c r="B174" s="8" t="inlineStr">
        <is>
          <t xml:space="preserve">            for i in range(align_count):</t>
        </is>
      </c>
    </row>
    <row r="175">
      <c r="A175" s="9" t="n">
        <v>172</v>
      </c>
      <c r="B175" s="10" t="inlineStr">
        <is>
          <t xml:space="preserve">                sub_id = sub_segs[i]["id"]</t>
        </is>
      </c>
    </row>
    <row r="176">
      <c r="A176" s="7" t="n">
        <v>173</v>
      </c>
      <c r="B176" s="8" t="inlineStr">
        <is>
          <t xml:space="preserve">                audio_start = audio_segs[i]["start_time"]</t>
        </is>
      </c>
    </row>
    <row r="177">
      <c r="A177" s="9" t="n">
        <v>174</v>
      </c>
      <c r="B177" s="10" t="inlineStr">
        <is>
          <t xml:space="preserve">                audio_end = audio_segs[i]["end_time"]</t>
        </is>
      </c>
    </row>
    <row r="178">
      <c r="A178" s="7" t="n">
        <v>175</v>
      </c>
      <c r="B178" s="8" t="inlineStr">
        <is>
          <t xml:space="preserve">                execute_sql(</t>
        </is>
      </c>
    </row>
    <row r="179">
      <c r="A179" s="9" t="n">
        <v>176</v>
      </c>
      <c r="B179" s="10" t="inlineStr">
        <is>
          <t xml:space="preserve">                    "UPDATE subtitle_results SET start_time=?, end_time=? WHERE id=?",</t>
        </is>
      </c>
    </row>
    <row r="180">
      <c r="A180" s="7" t="n">
        <v>177</v>
      </c>
      <c r="B180" s="8" t="inlineStr">
        <is>
          <t xml:space="preserve">                    (audio_start, audio_end, sub_id),</t>
        </is>
      </c>
    </row>
    <row r="181">
      <c r="A181" s="9" t="n">
        <v>178</v>
      </c>
      <c r="B181" s="10" t="inlineStr">
        <is>
          <t xml:space="preserve">                )</t>
        </is>
      </c>
    </row>
    <row r="182">
      <c r="A182" s="7" t="n">
        <v>179</v>
      </c>
      <c r="B182" s="8" t="inlineStr">
        <is>
          <t xml:space="preserve">            # 标记问题已修复</t>
        </is>
      </c>
    </row>
    <row r="183">
      <c r="A183" s="9" t="n">
        <v>180</v>
      </c>
      <c r="B183" s="10" t="inlineStr">
        <is>
          <t xml:space="preserve">            for issue in issues:</t>
        </is>
      </c>
    </row>
    <row r="184">
      <c r="A184" s="7" t="n">
        <v>181</v>
      </c>
      <c r="B184" s="8" t="inlineStr">
        <is>
          <t xml:space="preserve">                execute_sql("UPDATE quality_results SET is_fixed=1 WHERE id=?", (issue["id"],))</t>
        </is>
      </c>
    </row>
    <row r="185">
      <c r="A185" s="9" t="n">
        <v>182</v>
      </c>
      <c r="B185" s="10" t="inlineStr">
        <is>
          <t xml:space="preserve">            # 清除同步缓存</t>
        </is>
      </c>
    </row>
    <row r="186">
      <c r="A186" s="7" t="n">
        <v>183</v>
      </c>
      <c r="B186" s="8" t="inlineStr">
        <is>
          <t xml:space="preserve">            cache_manager.invalidate(f"sync_{material_id}", "sync_check")</t>
        </is>
      </c>
    </row>
    <row r="187">
      <c r="A187" s="9" t="n">
        <v>184</v>
      </c>
      <c r="B187" s="10" t="inlineStr">
        <is>
          <t xml:space="preserve">            logger.info(f"字幕时间轴对齐完成，共修正{align_count}条")</t>
        </is>
      </c>
    </row>
    <row r="188">
      <c r="A188" s="7" t="n">
        <v>185</v>
      </c>
      <c r="B188" s="8" t="inlineStr">
        <is>
          <t xml:space="preserve">            return True</t>
        </is>
      </c>
    </row>
    <row r="189">
      <c r="A189" s="9" t="n">
        <v>186</v>
      </c>
      <c r="B189" s="10" t="inlineStr">
        <is>
          <t xml:space="preserve">        except Exception as e:</t>
        </is>
      </c>
    </row>
    <row r="190">
      <c r="A190" s="7" t="n">
        <v>187</v>
      </c>
      <c r="B190" s="8" t="inlineStr">
        <is>
          <t xml:space="preserve">            logger.error(f"字幕对齐失败: {e}")</t>
        </is>
      </c>
    </row>
    <row r="191">
      <c r="A191" s="9" t="n">
        <v>188</v>
      </c>
      <c r="B191" s="10" t="inlineStr">
        <is>
          <t xml:space="preserve">            return False</t>
        </is>
      </c>
    </row>
    <row r="192">
      <c r="A192" s="7" t="n">
        <v>189</v>
      </c>
      <c r="B192" s="8" t="inlineStr">
        <is>
          <t xml:space="preserve">    def transcode_to_standard(self, video_path: str, material_id: int) -&gt; str:</t>
        </is>
      </c>
    </row>
    <row r="193">
      <c r="A193" s="9" t="n">
        <v>190</v>
      </c>
      <c r="B193" s="10" t="inlineStr">
        <is>
          <t xml:space="preserve">        """自动转码到标准参数（分辨率、帧率、码率），修复画幅问题"""</t>
        </is>
      </c>
    </row>
    <row r="194">
      <c r="A194" s="7" t="n">
        <v>191</v>
      </c>
      <c r="B194" s="8" t="inlineStr">
        <is>
          <t xml:space="preserve">        issues = self._get_correctable_issues(material_id)["param_unqualified"]</t>
        </is>
      </c>
    </row>
    <row r="195">
      <c r="A195" s="9" t="n">
        <v>192</v>
      </c>
      <c r="B195" s="10" t="inlineStr">
        <is>
          <t xml:space="preserve">        aspect_issues = self._get_correctable_issues(material_id)["aspect_issue"]</t>
        </is>
      </c>
    </row>
    <row r="196">
      <c r="A196" s="7" t="n">
        <v>193</v>
      </c>
      <c r="B196" s="8" t="inlineStr">
        <is>
          <t xml:space="preserve">        if not issues and not aspect_issues:</t>
        </is>
      </c>
    </row>
    <row r="197">
      <c r="A197" s="9" t="n">
        <v>194</v>
      </c>
      <c r="B197" s="10" t="inlineStr">
        <is>
          <t xml:space="preserve">            logger.debug("无参数/画幅问题需要转码")</t>
        </is>
      </c>
    </row>
    <row r="198">
      <c r="A198" s="7" t="n">
        <v>195</v>
      </c>
      <c r="B198" s="8" t="inlineStr">
        <is>
          <t xml:space="preserve">            return video_path</t>
        </is>
      </c>
    </row>
    <row r="199">
      <c r="A199" s="9" t="n">
        <v>196</v>
      </c>
      <c r="B199" s="10" t="inlineStr">
        <is>
          <t xml:space="preserve">        logger.info("开始自动转码到标准参数")</t>
        </is>
      </c>
    </row>
    <row r="200">
      <c r="A200" s="7" t="n">
        <v>197</v>
      </c>
      <c r="B200" s="8" t="inlineStr">
        <is>
          <t xml:space="preserve">        base_name = os.path.splitext(os.path.basename(video_path))[0]</t>
        </is>
      </c>
    </row>
    <row r="201">
      <c r="A201" s="9" t="n">
        <v>198</v>
      </c>
      <c r="B201" s="10" t="inlineStr">
        <is>
          <t xml:space="preserve">        output_path = os.path.join(OUTPUT_DIR, f"{base_name}_standard.mp4")</t>
        </is>
      </c>
    </row>
    <row r="202">
      <c r="A202" s="7" t="n">
        <v>199</v>
      </c>
      <c r="B202" s="8" t="inlineStr">
        <is>
          <t xml:space="preserve">        try:</t>
        </is>
      </c>
    </row>
    <row r="203">
      <c r="A203" s="9" t="n">
        <v>200</v>
      </c>
      <c r="B203" s="10" t="inlineStr">
        <is>
          <t xml:space="preserve">            info = get_video_info(video_path)</t>
        </is>
      </c>
    </row>
    <row r="204">
      <c r="A204" s="7" t="n">
        <v>201</v>
      </c>
      <c r="B204" s="8" t="inlineStr">
        <is>
          <t xml:space="preserve">            current_codec = info.get("codec", "")</t>
        </is>
      </c>
    </row>
    <row r="205">
      <c r="A205" s="9" t="n">
        <v>202</v>
      </c>
      <c r="B205" s="10" t="inlineStr">
        <is>
          <t xml:space="preserve">            # 构建视频滤镜：缩放 + 填充到标准竖屏</t>
        </is>
      </c>
    </row>
    <row r="206">
      <c r="A206" s="7" t="n">
        <v>203</v>
      </c>
      <c r="B206" s="8" t="inlineStr">
        <is>
          <t xml:space="preserve">            scale_filter = (</t>
        </is>
      </c>
    </row>
    <row r="207">
      <c r="A207" s="9" t="n">
        <v>204</v>
      </c>
      <c r="B207" s="10" t="inlineStr">
        <is>
          <t xml:space="preserve">                f"scale={self.standard['width']}:{self.standard['height']}"</t>
        </is>
      </c>
    </row>
    <row r="208">
      <c r="A208" s="7" t="n">
        <v>205</v>
      </c>
      <c r="B208" s="8" t="inlineStr">
        <is>
          <t xml:space="preserve">                f":force_original_aspect_ratio=decrease,"</t>
        </is>
      </c>
    </row>
    <row r="209">
      <c r="A209" s="9" t="n">
        <v>206</v>
      </c>
      <c r="B209" s="10" t="inlineStr">
        <is>
          <t xml:space="preserve">                f"pad={self.standard['width']}:{self.standard['height']}"</t>
        </is>
      </c>
    </row>
    <row r="210">
      <c r="A210" s="7" t="n">
        <v>207</v>
      </c>
      <c r="B210" s="8" t="inlineStr">
        <is>
          <t xml:space="preserve">                f":(ow-iw)/2:(oh-ih)/2"</t>
        </is>
      </c>
    </row>
    <row r="211">
      <c r="A211" s="9" t="n">
        <v>208</v>
      </c>
      <c r="B211" s="10" t="inlineStr">
        <is>
          <t xml:space="preserve">            )</t>
        </is>
      </c>
    </row>
    <row r="212">
      <c r="A212" s="7" t="n">
        <v>209</v>
      </c>
      <c r="B212" s="8" t="inlineStr">
        <is>
          <t xml:space="preserve">            # NVENC硬件编码优先，不可用时降级libx264</t>
        </is>
      </c>
    </row>
    <row r="213">
      <c r="A213" s="9" t="n">
        <v>210</v>
      </c>
      <c r="B213" s="10" t="inlineStr">
        <is>
          <t xml:space="preserve">            vcodec = "libx264"</t>
        </is>
      </c>
    </row>
    <row r="214">
      <c r="A214" s="7" t="n">
        <v>211</v>
      </c>
      <c r="B214" s="8" t="inlineStr">
        <is>
          <t xml:space="preserve">            try:</t>
        </is>
      </c>
    </row>
    <row r="215">
      <c r="A215" s="9" t="n">
        <v>212</v>
      </c>
      <c r="B215" s="10" t="inlineStr">
        <is>
          <t xml:space="preserve">                test_cmd = ["ffmpeg", "-hide_banner", "-encoders"]</t>
        </is>
      </c>
    </row>
    <row r="216">
      <c r="A216" s="7" t="n">
        <v>213</v>
      </c>
      <c r="B216" s="8" t="inlineStr">
        <is>
          <t xml:space="preserve">                test_result = subprocess.run(test_cmd, capture_output=True, text=True, timeout=10, encoding="utf-8")</t>
        </is>
      </c>
    </row>
    <row r="217">
      <c r="A217" s="9" t="n">
        <v>214</v>
      </c>
      <c r="B217" s="10" t="inlineStr">
        <is>
          <t xml:space="preserve">                if "h264_nvenc" in test_result.stdout:</t>
        </is>
      </c>
    </row>
    <row r="218">
      <c r="A218" s="7" t="n">
        <v>215</v>
      </c>
      <c r="B218" s="8" t="inlineStr">
        <is>
          <t xml:space="preserve">                    vcodec = "h264_nvenc"</t>
        </is>
      </c>
    </row>
    <row r="219">
      <c r="A219" s="9" t="n">
        <v>216</v>
      </c>
      <c r="B219" s="10" t="inlineStr">
        <is>
          <t xml:space="preserve">                    logger.info("使用NVENC硬件编码")</t>
        </is>
      </c>
    </row>
    <row r="220">
      <c r="A220" s="7" t="n">
        <v>217</v>
      </c>
      <c r="B220" s="8" t="inlineStr">
        <is>
          <t xml:space="preserve">            except Exception:</t>
        </is>
      </c>
    </row>
    <row r="221">
      <c r="A221" s="9" t="n">
        <v>218</v>
      </c>
      <c r="B221" s="10" t="inlineStr">
        <is>
          <t xml:space="preserve">                pass</t>
        </is>
      </c>
    </row>
    <row r="222">
      <c r="A222" s="7" t="n">
        <v>219</v>
      </c>
      <c r="B222" s="8" t="inlineStr">
        <is>
          <t xml:space="preserve">            cmd = [</t>
        </is>
      </c>
    </row>
    <row r="223">
      <c r="A223" s="9" t="n">
        <v>220</v>
      </c>
      <c r="B223" s="10" t="inlineStr">
        <is>
          <t xml:space="preserve">                "ffmpeg", "-y",</t>
        </is>
      </c>
    </row>
    <row r="224">
      <c r="A224" s="7" t="n">
        <v>221</v>
      </c>
      <c r="B224" s="8" t="inlineStr">
        <is>
          <t xml:space="preserve">                "-i", video_path,</t>
        </is>
      </c>
    </row>
    <row r="225">
      <c r="A225" s="9" t="n">
        <v>222</v>
      </c>
      <c r="B225" s="10" t="inlineStr">
        <is>
          <t xml:space="preserve">                "-vf", scale_filter,</t>
        </is>
      </c>
    </row>
    <row r="226">
      <c r="A226" s="7" t="n">
        <v>223</v>
      </c>
      <c r="B226" s="8" t="inlineStr">
        <is>
          <t xml:space="preserve">                "-r", str(self.standard["fps"]),</t>
        </is>
      </c>
    </row>
    <row r="227">
      <c r="A227" s="9" t="n">
        <v>224</v>
      </c>
      <c r="B227" s="10" t="inlineStr">
        <is>
          <t xml:space="preserve">                "-b:v", str(self.standard["target_bitrate"]),</t>
        </is>
      </c>
    </row>
    <row r="228">
      <c r="A228" s="7" t="n">
        <v>225</v>
      </c>
      <c r="B228" s="8" t="inlineStr">
        <is>
          <t xml:space="preserve">                "-vcodec", vcodec,</t>
        </is>
      </c>
    </row>
    <row r="229">
      <c r="A229" s="9" t="n">
        <v>226</v>
      </c>
      <c r="B229" s="10" t="inlineStr">
        <is>
          <t xml:space="preserve">                "-acodec", "aac",</t>
        </is>
      </c>
    </row>
    <row r="230">
      <c r="A230" s="7" t="n">
        <v>227</v>
      </c>
      <c r="B230" s="8" t="inlineStr">
        <is>
          <t xml:space="preserve">                "-preset", "fast" if vcodec == "libx264" else "p1",</t>
        </is>
      </c>
    </row>
    <row r="231">
      <c r="A231" s="9" t="n">
        <v>228</v>
      </c>
      <c r="B231" s="10" t="inlineStr">
        <is>
          <t xml:space="preserve">                output_path,</t>
        </is>
      </c>
    </row>
    <row r="232">
      <c r="A232" s="7" t="n">
        <v>229</v>
      </c>
      <c r="B232" s="8" t="inlineStr">
        <is>
          <t xml:space="preserve">            ]</t>
        </is>
      </c>
    </row>
    <row r="233">
      <c r="A233" s="9" t="n">
        <v>230</v>
      </c>
      <c r="B233" s="10" t="inlineStr">
        <is>
          <t xml:space="preserve">            result = subprocess.run(cmd, capture_output=True, text=True, timeout=600, encoding="utf-8")</t>
        </is>
      </c>
    </row>
    <row r="234">
      <c r="A234" s="7" t="n">
        <v>231</v>
      </c>
      <c r="B234" s="8" t="inlineStr">
        <is>
          <t xml:space="preserve">            if result.returncode != 0:</t>
        </is>
      </c>
    </row>
    <row r="235">
      <c r="A235" s="9" t="n">
        <v>232</v>
      </c>
      <c r="B235" s="10" t="inlineStr">
        <is>
          <t xml:space="preserve">                logger.error(f"标准转码FFmpeg失败: {result.stderr[:300]}")</t>
        </is>
      </c>
    </row>
    <row r="236">
      <c r="A236" s="7" t="n">
        <v>233</v>
      </c>
      <c r="B236" s="8" t="inlineStr">
        <is>
          <t xml:space="preserve">                return video_path</t>
        </is>
      </c>
    </row>
    <row r="237">
      <c r="A237" s="9" t="n">
        <v>234</v>
      </c>
      <c r="B237" s="10" t="inlineStr">
        <is>
          <t xml:space="preserve">            # 标记问题已修复</t>
        </is>
      </c>
    </row>
    <row r="238">
      <c r="A238" s="7" t="n">
        <v>235</v>
      </c>
      <c r="B238" s="8" t="inlineStr">
        <is>
          <t xml:space="preserve">            for issue in issues + aspect_issues:</t>
        </is>
      </c>
    </row>
    <row r="239">
      <c r="A239" s="9" t="n">
        <v>236</v>
      </c>
      <c r="B239" s="10" t="inlineStr">
        <is>
          <t xml:space="preserve">                execute_sql("UPDATE quality_results SET is_fixed=1 WHERE id=?", (issue["id"],))</t>
        </is>
      </c>
    </row>
    <row r="240">
      <c r="A240" s="7" t="n">
        <v>237</v>
      </c>
      <c r="B240" s="8" t="inlineStr">
        <is>
          <t xml:space="preserve">            # 清除相关缓存</t>
        </is>
      </c>
    </row>
    <row r="241">
      <c r="A241" s="9" t="n">
        <v>238</v>
      </c>
      <c r="B241" s="10" t="inlineStr">
        <is>
          <t xml:space="preserve">            cache_manager.invalidate(video_path, "param_check")</t>
        </is>
      </c>
    </row>
    <row r="242">
      <c r="A242" s="7" t="n">
        <v>239</v>
      </c>
      <c r="B242" s="8" t="inlineStr">
        <is>
          <t xml:space="preserve">            cache_manager.invalidate(video_path, "aspect_check")</t>
        </is>
      </c>
    </row>
    <row r="243">
      <c r="A243" s="9" t="n">
        <v>240</v>
      </c>
      <c r="B243" s="10" t="inlineStr">
        <is>
          <t xml:space="preserve">            logger.info(f"标准转码完成，输出: {output_path}")</t>
        </is>
      </c>
    </row>
    <row r="244">
      <c r="A244" s="7" t="n">
        <v>241</v>
      </c>
      <c r="B244" s="8" t="inlineStr">
        <is>
          <t xml:space="preserve">            return output_path</t>
        </is>
      </c>
    </row>
    <row r="245">
      <c r="A245" s="9" t="n">
        <v>242</v>
      </c>
      <c r="B245" s="10" t="inlineStr">
        <is>
          <t xml:space="preserve">        except subprocess.TimeoutExpired:</t>
        </is>
      </c>
    </row>
    <row r="246">
      <c r="A246" s="7" t="n">
        <v>243</v>
      </c>
      <c r="B246" s="8" t="inlineStr">
        <is>
          <t xml:space="preserve">            logger.error("标准转码超时")</t>
        </is>
      </c>
    </row>
    <row r="247">
      <c r="A247" s="9" t="n">
        <v>244</v>
      </c>
      <c r="B247" s="10" t="inlineStr">
        <is>
          <t xml:space="preserve">            return video_path</t>
        </is>
      </c>
    </row>
    <row r="248">
      <c r="A248" s="7" t="n">
        <v>245</v>
      </c>
      <c r="B248" s="8" t="inlineStr">
        <is>
          <t xml:space="preserve">        except Exception as e:</t>
        </is>
      </c>
    </row>
    <row r="249">
      <c r="A249" s="9" t="n">
        <v>246</v>
      </c>
      <c r="B249" s="10" t="inlineStr">
        <is>
          <t xml:space="preserve">            logger.error(f"标准转码异常: {e}")</t>
        </is>
      </c>
    </row>
    <row r="250">
      <c r="A250" s="7" t="n">
        <v>247</v>
      </c>
      <c r="B250" s="8" t="inlineStr">
        <is>
          <t xml:space="preserve">            return video_path</t>
        </is>
      </c>
    </row>
    <row r="251">
      <c r="A251" s="9" t="n">
        <v>248</v>
      </c>
      <c r="B251" s="10" t="inlineStr">
        <is>
          <t xml:space="preserve">    def auto_correct_all(self, video_path: str, material_id: int) -&gt; dict:</t>
        </is>
      </c>
    </row>
    <row r="252">
      <c r="A252" s="7" t="n">
        <v>249</v>
      </c>
      <c r="B252" s="8" t="inlineStr">
        <is>
          <t xml:space="preserve">        """</t>
        </is>
      </c>
    </row>
    <row r="253">
      <c r="A253" s="9" t="n">
        <v>250</v>
      </c>
      <c r="B253" s="10" t="inlineStr">
        <is>
          <t xml:space="preserve">        执行所有可自动修复的操作，返回修复后的视频路径与结果</t>
        </is>
      </c>
    </row>
    <row r="254">
      <c r="A254" s="7" t="n">
        <v>251</v>
      </c>
      <c r="B254" s="8" t="inlineStr">
        <is>
          <t xml:space="preserve">        修复顺序：1.黑场裁剪 → 2.字幕对齐 → 3.标准转码（参数+画幅）</t>
        </is>
      </c>
    </row>
    <row r="255">
      <c r="A255" s="9" t="n">
        <v>252</v>
      </c>
      <c r="B255" s="10" t="inlineStr">
        <is>
          <t xml:space="preserve">        """</t>
        </is>
      </c>
    </row>
    <row r="256">
      <c r="A256" s="7" t="n">
        <v>253</v>
      </c>
      <c r="B256" s="8" t="inlineStr">
        <is>
          <t xml:space="preserve">        if not self.enable:</t>
        </is>
      </c>
    </row>
    <row r="257">
      <c r="A257" s="9" t="n">
        <v>254</v>
      </c>
      <c r="B257" s="10" t="inlineStr">
        <is>
          <t xml:space="preserve">            logger.info("自动纠错未启用")</t>
        </is>
      </c>
    </row>
    <row r="258">
      <c r="A258" s="7" t="n">
        <v>255</v>
      </c>
      <c r="B258" s="8" t="inlineStr">
        <is>
          <t xml:space="preserve">            return {"fixed": False, "video_path": video_path, "fixed_count": 0}</t>
        </is>
      </c>
    </row>
    <row r="259">
      <c r="A259" s="9" t="n">
        <v>256</v>
      </c>
      <c r="B259" s="10" t="inlineStr">
        <is>
          <t xml:space="preserve">        logger.info(f"启动自动纠错流程，素材ID: {material_id}")</t>
        </is>
      </c>
    </row>
    <row r="260">
      <c r="A260" s="7" t="n">
        <v>257</v>
      </c>
      <c r="B260" s="8" t="inlineStr">
        <is>
          <t xml:space="preserve">        fixed_count = 0</t>
        </is>
      </c>
    </row>
    <row r="261">
      <c r="A261" s="9" t="n">
        <v>258</v>
      </c>
      <c r="B261" s="10" t="inlineStr">
        <is>
          <t xml:space="preserve">        current_path = video_path</t>
        </is>
      </c>
    </row>
    <row r="262">
      <c r="A262" s="7" t="n">
        <v>259</v>
      </c>
      <c r="B262" s="8" t="inlineStr">
        <is>
          <t xml:space="preserve">        # 1. 裁剪黑场</t>
        </is>
      </c>
    </row>
    <row r="263">
      <c r="A263" s="9" t="n">
        <v>260</v>
      </c>
      <c r="B263" s="10" t="inlineStr">
        <is>
          <t xml:space="preserve">        before_black = len(self._get_correctable_issues(material_id)["black_frames"])</t>
        </is>
      </c>
    </row>
    <row r="264">
      <c r="A264" s="7" t="n">
        <v>261</v>
      </c>
      <c r="B264" s="8" t="inlineStr">
        <is>
          <t xml:space="preserve">        if before_black &gt; 0:</t>
        </is>
      </c>
    </row>
    <row r="265">
      <c r="A265" s="9" t="n">
        <v>262</v>
      </c>
      <c r="B265" s="10" t="inlineStr">
        <is>
          <t xml:space="preserve">            current_path = self.trim_black_frames(current_path, material_id)</t>
        </is>
      </c>
    </row>
    <row r="266">
      <c r="A266" s="7" t="n">
        <v>263</v>
      </c>
      <c r="B266" s="8" t="inlineStr">
        <is>
          <t xml:space="preserve">            after_black = len(self._get_correctable_issues(material_id)["black_frames"])</t>
        </is>
      </c>
    </row>
    <row r="267">
      <c r="A267" s="9" t="n">
        <v>264</v>
      </c>
      <c r="B267" s="10" t="inlineStr">
        <is>
          <t xml:space="preserve">            fixed_count += before_black - after_black</t>
        </is>
      </c>
    </row>
    <row r="268">
      <c r="A268" s="7" t="n">
        <v>265</v>
      </c>
      <c r="B268" s="8" t="inlineStr">
        <is>
          <t xml:space="preserve">        # 2. 对齐字幕</t>
        </is>
      </c>
    </row>
    <row r="269">
      <c r="A269" s="9" t="n">
        <v>266</v>
      </c>
      <c r="B269" s="10" t="inlineStr">
        <is>
          <t xml:space="preserve">        before_sync = len(self._get_correctable_issues(material_id)["subtitle_sync"])</t>
        </is>
      </c>
    </row>
    <row r="270">
      <c r="A270" s="7" t="n">
        <v>267</v>
      </c>
      <c r="B270" s="8" t="inlineStr">
        <is>
          <t xml:space="preserve">        if before_sync &gt; 0:</t>
        </is>
      </c>
    </row>
    <row r="271">
      <c r="A271" s="9" t="n">
        <v>268</v>
      </c>
      <c r="B271" s="10" t="inlineStr">
        <is>
          <t xml:space="preserve">            self.align_subtitle_timeline(material_id)</t>
        </is>
      </c>
    </row>
    <row r="272">
      <c r="A272" s="7" t="n">
        <v>269</v>
      </c>
      <c r="B272" s="8" t="inlineStr">
        <is>
          <t xml:space="preserve">            after_sync = len(self._get_correctable_issues(material_id)["subtitle_sync"])</t>
        </is>
      </c>
    </row>
    <row r="273">
      <c r="A273" s="9" t="n">
        <v>270</v>
      </c>
      <c r="B273" s="10" t="inlineStr">
        <is>
          <t xml:space="preserve">            fixed_count += before_sync - after_sync</t>
        </is>
      </c>
    </row>
    <row r="274">
      <c r="A274" s="7" t="n">
        <v>271</v>
      </c>
      <c r="B274" s="8" t="inlineStr">
        <is>
          <t xml:space="preserve">        # 3. 标准转码（修复参数+画幅）</t>
        </is>
      </c>
    </row>
    <row r="275">
      <c r="A275" s="9" t="n">
        <v>272</v>
      </c>
      <c r="B275" s="10" t="inlineStr">
        <is>
          <t xml:space="preserve">        before_param = len(self._get_correctable_issues(material_id)["param_unqualified"])</t>
        </is>
      </c>
    </row>
    <row r="276">
      <c r="A276" s="7" t="n">
        <v>273</v>
      </c>
      <c r="B276" s="8" t="inlineStr">
        <is>
          <t xml:space="preserve">        before_aspect = len(self._get_correctable_issues(material_id)["aspect_issue"])</t>
        </is>
      </c>
    </row>
    <row r="277">
      <c r="A277" s="9" t="n">
        <v>274</v>
      </c>
      <c r="B277" s="10" t="inlineStr">
        <is>
          <t xml:space="preserve">        if before_param &gt; 0 or before_aspect &gt; 0:</t>
        </is>
      </c>
    </row>
    <row r="278">
      <c r="A278" s="7" t="n">
        <v>275</v>
      </c>
      <c r="B278" s="8" t="inlineStr">
        <is>
          <t xml:space="preserve">            current_path = self.transcode_to_standard(current_path, material_id)</t>
        </is>
      </c>
    </row>
    <row r="279">
      <c r="A279" s="9" t="n">
        <v>276</v>
      </c>
      <c r="B279" s="10" t="inlineStr">
        <is>
          <t xml:space="preserve">            after_param = len(self._get_correctable_issues(material_id)["param_unqualified"])</t>
        </is>
      </c>
    </row>
    <row r="280">
      <c r="A280" s="7" t="n">
        <v>277</v>
      </c>
      <c r="B280" s="8" t="inlineStr">
        <is>
          <t xml:space="preserve">            after_aspect = len(self._get_correctable_issues(material_id)["aspect_issue"])</t>
        </is>
      </c>
    </row>
    <row r="281">
      <c r="A281" s="9" t="n">
        <v>278</v>
      </c>
      <c r="B281" s="10" t="inlineStr">
        <is>
          <t xml:space="preserve">            fixed_count += (before_param - after_param) + (before_aspect - after_aspect)</t>
        </is>
      </c>
    </row>
    <row r="282">
      <c r="A282" s="7" t="n">
        <v>279</v>
      </c>
      <c r="B282" s="8" t="inlineStr">
        <is>
          <t xml:space="preserve">        # 更新素材路径</t>
        </is>
      </c>
    </row>
    <row r="283">
      <c r="A283" s="9" t="n">
        <v>280</v>
      </c>
      <c r="B283" s="10" t="inlineStr">
        <is>
          <t xml:space="preserve">        if current_path != video_path:</t>
        </is>
      </c>
    </row>
    <row r="284">
      <c r="A284" s="7" t="n">
        <v>281</v>
      </c>
      <c r="B284" s="8" t="inlineStr">
        <is>
          <t xml:space="preserve">            execute_sql("UPDATE materials SET file_path=? WHERE id=?", (current_path, material_id))</t>
        </is>
      </c>
    </row>
    <row r="285">
      <c r="A285" s="9" t="n">
        <v>282</v>
      </c>
      <c r="B285" s="10" t="inlineStr">
        <is>
          <t xml:space="preserve">        logger.info(f"自动纠错完成 | 素材ID: {material_id} | 修复数: {fixed_count}")</t>
        </is>
      </c>
    </row>
    <row r="286">
      <c r="A286" s="7" t="n">
        <v>283</v>
      </c>
      <c r="B286" s="8" t="inlineStr">
        <is>
          <t xml:space="preserve">        return {</t>
        </is>
      </c>
    </row>
    <row r="287">
      <c r="A287" s="9" t="n">
        <v>284</v>
      </c>
      <c r="B287" s="10" t="inlineStr">
        <is>
          <t xml:space="preserve">            "fixed": fixed_count &gt; 0,</t>
        </is>
      </c>
    </row>
    <row r="288">
      <c r="A288" s="7" t="n">
        <v>285</v>
      </c>
      <c r="B288" s="8" t="inlineStr">
        <is>
          <t xml:space="preserve">            "video_path": current_path,</t>
        </is>
      </c>
    </row>
    <row r="289">
      <c r="A289" s="9" t="n">
        <v>286</v>
      </c>
      <c r="B289" s="10" t="inlineStr">
        <is>
          <t xml:space="preserve">            "fixed_count": fixed_count,</t>
        </is>
      </c>
    </row>
    <row r="290">
      <c r="A290" s="7" t="n">
        <v>287</v>
      </c>
      <c r="B290" s="8" t="inlineStr">
        <is>
          <t xml:space="preserve">        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modules\scene_understanding.py</t>
        </is>
      </c>
      <c r="C1" s="5" t="inlineStr">
        <is>
          <t>行数: 115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场景内容理解模块（Phase 2）</t>
        </is>
      </c>
    </row>
    <row r="6">
      <c r="A6" s="7" t="n">
        <v>3</v>
      </c>
      <c r="B6" s="8" t="inlineStr">
        <is>
          <t>4bit量化轻量大模型InternVL2-2B，精准识别画面场景，自动打标签</t>
        </is>
      </c>
    </row>
    <row r="7">
      <c r="A7" s="9" t="n">
        <v>4</v>
      </c>
      <c r="B7" s="10" t="inlineStr">
        <is>
          <t>RTX 3050 6GB显存完美适配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os</t>
        </is>
      </c>
    </row>
    <row r="10">
      <c r="A10" s="7" t="n">
        <v>7</v>
      </c>
      <c r="B10" s="8" t="inlineStr">
        <is>
          <t>import yaml</t>
        </is>
      </c>
    </row>
    <row r="11">
      <c r="A11" s="9" t="n">
        <v>8</v>
      </c>
      <c r="B11" s="10" t="inlineStr">
        <is>
          <t>from PIL import Image</t>
        </is>
      </c>
    </row>
    <row r="12">
      <c r="A12" s="7" t="n">
        <v>9</v>
      </c>
      <c r="B12" s="8" t="inlineStr">
        <is>
          <t>from utils.logger import get_logger</t>
        </is>
      </c>
    </row>
    <row r="13">
      <c r="A13" s="9" t="n">
        <v>10</v>
      </c>
      <c r="B13" s="10" t="inlineStr">
        <is>
          <t>from utils.vram_manager import check_vram_sufficient, release_gpu_memory</t>
        </is>
      </c>
    </row>
    <row r="14">
      <c r="A14" s="7" t="n">
        <v>11</v>
      </c>
      <c r="B14" s="8" t="inlineStr">
        <is>
          <t>from core.database import execute_sql, query_sql</t>
        </is>
      </c>
    </row>
    <row r="15">
      <c r="A15" s="9" t="n">
        <v>12</v>
      </c>
      <c r="B15" s="10" t="inlineStr">
        <is>
          <t>from utils.cache_manager import cache_manager</t>
        </is>
      </c>
    </row>
    <row r="16">
      <c r="A16" s="7" t="n">
        <v>13</v>
      </c>
      <c r="B16" s="8" t="inlineStr">
        <is>
          <t>logger = get_logger("scene_understanding")</t>
        </is>
      </c>
    </row>
    <row r="17">
      <c r="A17" s="9" t="n">
        <v>14</v>
      </c>
      <c r="B17" s="10" t="inlineStr">
        <is>
          <t># 加载配置</t>
        </is>
      </c>
    </row>
    <row r="18">
      <c r="A18" s="7" t="n">
        <v>15</v>
      </c>
      <c r="B18" s="8" t="inlineStr">
        <is>
          <t>with open("./config/optimize_config.yaml", "r", encoding="utf-8") as f:</t>
        </is>
      </c>
    </row>
    <row r="19">
      <c r="A19" s="9" t="n">
        <v>16</v>
      </c>
      <c r="B19" s="10" t="inlineStr">
        <is>
          <t xml:space="preserve">    CONFIG = yaml.safe_load(f)</t>
        </is>
      </c>
    </row>
    <row r="20">
      <c r="A20" s="7" t="n">
        <v>17</v>
      </c>
      <c r="B20" s="8" t="inlineStr">
        <is>
          <t>class SceneUnderstanding:</t>
        </is>
      </c>
    </row>
    <row r="21">
      <c r="A21" s="9" t="n">
        <v>18</v>
      </c>
      <c r="B21" s="10" t="inlineStr">
        <is>
          <t xml:space="preserve">    """场景理解器：使用多模态大模型给关键帧打内容标签"""</t>
        </is>
      </c>
    </row>
    <row r="22">
      <c r="A22" s="7" t="n">
        <v>19</v>
      </c>
      <c r="B22" s="8" t="inlineStr">
        <is>
          <t xml:space="preserve">    def __init__(self):</t>
        </is>
      </c>
    </row>
    <row r="23">
      <c r="A23" s="9" t="n">
        <v>20</v>
      </c>
      <c r="B23" s="10" t="inlineStr">
        <is>
          <t xml:space="preserve">        self.model_path = "./data/models/internvl2-2b"</t>
        </is>
      </c>
    </row>
    <row r="24">
      <c r="A24" s="7" t="n">
        <v>21</v>
      </c>
      <c r="B24" s="8" t="inlineStr">
        <is>
          <t xml:space="preserve">        self.tags = [</t>
        </is>
      </c>
    </row>
    <row r="25">
      <c r="A25" s="9" t="n">
        <v>22</v>
      </c>
      <c r="B25" s="10" t="inlineStr">
        <is>
          <t xml:space="preserve">            "产品展示", "安装过程", "细节特写", "空镜场景",</t>
        </is>
      </c>
    </row>
    <row r="26">
      <c r="A26" s="7" t="n">
        <v>23</v>
      </c>
      <c r="B26" s="8" t="inlineStr">
        <is>
          <t xml:space="preserve">            "人物出镜", "文字说明", "场景全景", "配件展示", "其他场景"</t>
        </is>
      </c>
    </row>
    <row r="27">
      <c r="A27" s="9" t="n">
        <v>24</v>
      </c>
      <c r="B27" s="10" t="inlineStr">
        <is>
          <t xml:space="preserve">        ]</t>
        </is>
      </c>
    </row>
    <row r="28">
      <c r="A28" s="7" t="n">
        <v>25</v>
      </c>
      <c r="B28" s="8" t="inlineStr">
        <is>
          <t xml:space="preserve">        self.enable = CONFIG["scene_understanding"]["enable"]</t>
        </is>
      </c>
    </row>
    <row r="29">
      <c r="A29" s="9" t="n">
        <v>26</v>
      </c>
      <c r="B29" s="10" t="inlineStr">
        <is>
          <t xml:space="preserve">        self.model = None</t>
        </is>
      </c>
    </row>
    <row r="30">
      <c r="A30" s="7" t="n">
        <v>27</v>
      </c>
      <c r="B30" s="8" t="inlineStr">
        <is>
          <t xml:space="preserve">        self.tokenizer = None</t>
        </is>
      </c>
    </row>
    <row r="31">
      <c r="A31" s="9" t="n">
        <v>28</v>
      </c>
      <c r="B31" s="10" t="inlineStr">
        <is>
          <t xml:space="preserve">        if not self.enable:</t>
        </is>
      </c>
    </row>
    <row r="32">
      <c r="A32" s="7" t="n">
        <v>29</v>
      </c>
      <c r="B32" s="8" t="inlineStr">
        <is>
          <t xml:space="preserve">            logger.info("场景理解模块未启用")</t>
        </is>
      </c>
    </row>
    <row r="33">
      <c r="A33" s="9" t="n">
        <v>30</v>
      </c>
      <c r="B33" s="10" t="inlineStr">
        <is>
          <t xml:space="preserve">            return</t>
        </is>
      </c>
    </row>
    <row r="34">
      <c r="A34" s="7" t="n">
        <v>31</v>
      </c>
      <c r="B34" s="8" t="inlineStr">
        <is>
          <t xml:space="preserve">        # 显存检查，4bit量化需要约1.5GB显存</t>
        </is>
      </c>
    </row>
    <row r="35">
      <c r="A35" s="9" t="n">
        <v>32</v>
      </c>
      <c r="B35" s="10" t="inlineStr">
        <is>
          <t xml:space="preserve">        if check_vram_sufficient(1800):</t>
        </is>
      </c>
    </row>
    <row r="36">
      <c r="A36" s="7" t="n">
        <v>33</v>
      </c>
      <c r="B36" s="8" t="inlineStr">
        <is>
          <t xml:space="preserve">            try:</t>
        </is>
      </c>
    </row>
    <row r="37">
      <c r="A37" s="9" t="n">
        <v>34</v>
      </c>
      <c r="B37" s="10" t="inlineStr">
        <is>
          <t xml:space="preserve">                import torch</t>
        </is>
      </c>
    </row>
    <row r="38">
      <c r="A38" s="7" t="n">
        <v>35</v>
      </c>
      <c r="B38" s="8" t="inlineStr">
        <is>
          <t xml:space="preserve">                from transformers import AutoModel, AutoTokenizer</t>
        </is>
      </c>
    </row>
    <row r="39">
      <c r="A39" s="9" t="n">
        <v>36</v>
      </c>
      <c r="B39" s="10" t="inlineStr">
        <is>
          <t xml:space="preserve">                if os.path.exists(self.model_path):</t>
        </is>
      </c>
    </row>
    <row r="40">
      <c r="A40" s="7" t="n">
        <v>37</v>
      </c>
      <c r="B40" s="8" t="inlineStr">
        <is>
          <t xml:space="preserve">                    self.tokenizer = AutoTokenizer.from_pretrained(</t>
        </is>
      </c>
    </row>
    <row r="41">
      <c r="A41" s="9" t="n">
        <v>38</v>
      </c>
      <c r="B41" s="10" t="inlineStr">
        <is>
          <t xml:space="preserve">                        self.model_path, trust_remote_code=True</t>
        </is>
      </c>
    </row>
    <row r="42">
      <c r="A42" s="7" t="n">
        <v>39</v>
      </c>
      <c r="B42" s="8" t="inlineStr">
        <is>
          <t xml:space="preserve">                    )</t>
        </is>
      </c>
    </row>
    <row r="43">
      <c r="A43" s="9" t="n">
        <v>40</v>
      </c>
      <c r="B43" s="10" t="inlineStr">
        <is>
          <t xml:space="preserve">                    self.model = AutoModel.from_pretrained(</t>
        </is>
      </c>
    </row>
    <row r="44">
      <c r="A44" s="7" t="n">
        <v>41</v>
      </c>
      <c r="B44" s="8" t="inlineStr">
        <is>
          <t xml:space="preserve">                        self.model_path,</t>
        </is>
      </c>
    </row>
    <row r="45">
      <c r="A45" s="9" t="n">
        <v>42</v>
      </c>
      <c r="B45" s="10" t="inlineStr">
        <is>
          <t xml:space="preserve">                        torch_dtype=torch.bfloat16,</t>
        </is>
      </c>
    </row>
    <row r="46">
      <c r="A46" s="7" t="n">
        <v>43</v>
      </c>
      <c r="B46" s="8" t="inlineStr">
        <is>
          <t xml:space="preserve">                        load_in_4bit=True,</t>
        </is>
      </c>
    </row>
    <row r="47">
      <c r="A47" s="9" t="n">
        <v>44</v>
      </c>
      <c r="B47" s="10" t="inlineStr">
        <is>
          <t xml:space="preserve">                        trust_remote_code=True,</t>
        </is>
      </c>
    </row>
    <row r="48">
      <c r="A48" s="7" t="n">
        <v>45</v>
      </c>
      <c r="B48" s="8" t="inlineStr">
        <is>
          <t xml:space="preserve">                        device_map="auto"</t>
        </is>
      </c>
    </row>
    <row r="49">
      <c r="A49" s="9" t="n">
        <v>46</v>
      </c>
      <c r="B49" s="10" t="inlineStr">
        <is>
          <t xml:space="preserve">                    ).eval()</t>
        </is>
      </c>
    </row>
    <row r="50">
      <c r="A50" s="7" t="n">
        <v>47</v>
      </c>
      <c r="B50" s="8" t="inlineStr">
        <is>
          <t xml:space="preserve">                    logger.info("场景理解模型加载完成，4bit量化GPU模式，占用显存~1.5GB")</t>
        </is>
      </c>
    </row>
    <row r="51">
      <c r="A51" s="9" t="n">
        <v>48</v>
      </c>
      <c r="B51" s="10" t="inlineStr">
        <is>
          <t xml:space="preserve">                else:</t>
        </is>
      </c>
    </row>
    <row r="52">
      <c r="A52" s="7" t="n">
        <v>49</v>
      </c>
      <c r="B52" s="8" t="inlineStr">
        <is>
          <t xml:space="preserve">                    logger.warning(f"模型路径不存在: {self.model_path}，请先下载模型")</t>
        </is>
      </c>
    </row>
    <row r="53">
      <c r="A53" s="9" t="n">
        <v>50</v>
      </c>
      <c r="B53" s="10" t="inlineStr">
        <is>
          <t xml:space="preserve">                    self.enable = False</t>
        </is>
      </c>
    </row>
    <row r="54">
      <c r="A54" s="7" t="n">
        <v>51</v>
      </c>
      <c r="B54" s="8" t="inlineStr">
        <is>
          <t xml:space="preserve">            except (ImportError, OSError) as e:</t>
        </is>
      </c>
    </row>
    <row r="55">
      <c r="A55" s="9" t="n">
        <v>52</v>
      </c>
      <c r="B55" s="10" t="inlineStr">
        <is>
          <t xml:space="preserve">                logger.warning(f"transformers/bitsandbytes/torch不可用: {e}，场景理解禁用")</t>
        </is>
      </c>
    </row>
    <row r="56">
      <c r="A56" s="7" t="n">
        <v>53</v>
      </c>
      <c r="B56" s="8" t="inlineStr">
        <is>
          <t xml:space="preserve">                self.enable = False</t>
        </is>
      </c>
    </row>
    <row r="57">
      <c r="A57" s="9" t="n">
        <v>54</v>
      </c>
      <c r="B57" s="10" t="inlineStr">
        <is>
          <t xml:space="preserve">            except Exception as e:</t>
        </is>
      </c>
    </row>
    <row r="58">
      <c r="A58" s="7" t="n">
        <v>55</v>
      </c>
      <c r="B58" s="8" t="inlineStr">
        <is>
          <t xml:space="preserve">                logger.warning(f"场景模型加载失败，降级禁用: {e}")</t>
        </is>
      </c>
    </row>
    <row r="59">
      <c r="A59" s="9" t="n">
        <v>56</v>
      </c>
      <c r="B59" s="10" t="inlineStr">
        <is>
          <t xml:space="preserve">                self.enable = False</t>
        </is>
      </c>
    </row>
    <row r="60">
      <c r="A60" s="7" t="n">
        <v>57</v>
      </c>
      <c r="B60" s="8" t="inlineStr">
        <is>
          <t xml:space="preserve">        else:</t>
        </is>
      </c>
    </row>
    <row r="61">
      <c r="A61" s="9" t="n">
        <v>58</v>
      </c>
      <c r="B61" s="10" t="inlineStr">
        <is>
          <t xml:space="preserve">            logger.warning("显存不足，场景理解模块自动禁用")</t>
        </is>
      </c>
    </row>
    <row r="62">
      <c r="A62" s="7" t="n">
        <v>59</v>
      </c>
      <c r="B62" s="8" t="inlineStr">
        <is>
          <t xml:space="preserve">            self.enable = False</t>
        </is>
      </c>
    </row>
    <row r="63">
      <c r="A63" s="9" t="n">
        <v>60</v>
      </c>
      <c r="B63" s="10" t="inlineStr">
        <is>
          <t xml:space="preserve">    def tag_scenes(self, material_id: int) -&gt; list:</t>
        </is>
      </c>
    </row>
    <row r="64">
      <c r="A64" s="7" t="n">
        <v>61</v>
      </c>
      <c r="B64" s="8" t="inlineStr">
        <is>
          <t xml:space="preserve">        """批量给场景关键帧打内容标签"""</t>
        </is>
      </c>
    </row>
    <row r="65">
      <c r="A65" s="9" t="n">
        <v>62</v>
      </c>
      <c r="B65" s="10" t="inlineStr">
        <is>
          <t xml:space="preserve">        if not self.enable:</t>
        </is>
      </c>
    </row>
    <row r="66">
      <c r="A66" s="7" t="n">
        <v>63</v>
      </c>
      <c r="B66" s="8" t="inlineStr">
        <is>
          <t xml:space="preserve">            logger.info("场景理解未启用，跳过标签生成")</t>
        </is>
      </c>
    </row>
    <row r="67">
      <c r="A67" s="9" t="n">
        <v>64</v>
      </c>
      <c r="B67" s="10" t="inlineStr">
        <is>
          <t xml:space="preserve">            return []</t>
        </is>
      </c>
    </row>
    <row r="68">
      <c r="A68" s="7" t="n">
        <v>65</v>
      </c>
      <c r="B68" s="8" t="inlineStr">
        <is>
          <t xml:space="preserve">        cache_key = f"scene_tags_{material_id}"</t>
        </is>
      </c>
    </row>
    <row r="69">
      <c r="A69" s="9" t="n">
        <v>66</v>
      </c>
      <c r="B69" s="10" t="inlineStr">
        <is>
          <t xml:space="preserve">        cache = cache_manager.get_cache(cache_key, "scene_tags")</t>
        </is>
      </c>
    </row>
    <row r="70">
      <c r="A70" s="7" t="n">
        <v>67</v>
      </c>
      <c r="B70" s="8" t="inlineStr">
        <is>
          <t xml:space="preserve">        if cache:</t>
        </is>
      </c>
    </row>
    <row r="71">
      <c r="A71" s="9" t="n">
        <v>68</v>
      </c>
      <c r="B71" s="10" t="inlineStr">
        <is>
          <t xml:space="preserve">            for scene_id, tag in cache:</t>
        </is>
      </c>
    </row>
    <row r="72">
      <c r="A72" s="7" t="n">
        <v>69</v>
      </c>
      <c r="B72" s="8" t="inlineStr">
        <is>
          <t xml:space="preserve">                execute_sql("UPDATE scene_features SET scene_tag=? WHERE id=?", (tag, scene_id))</t>
        </is>
      </c>
    </row>
    <row r="73">
      <c r="A73" s="9" t="n">
        <v>70</v>
      </c>
      <c r="B73" s="10" t="inlineStr">
        <is>
          <t xml:space="preserve">            logger.info(f"场景标签命中缓存，共{len(cache)}个场景")</t>
        </is>
      </c>
    </row>
    <row r="74">
      <c r="A74" s="7" t="n">
        <v>71</v>
      </c>
      <c r="B74" s="8" t="inlineStr">
        <is>
          <t xml:space="preserve">            return cache</t>
        </is>
      </c>
    </row>
    <row r="75">
      <c r="A75" s="9" t="n">
        <v>72</v>
      </c>
      <c r="B75" s="10" t="inlineStr">
        <is>
          <t xml:space="preserve">        scenes = query_sql("SELECT id, keyframe_path FROM scene_features WHERE material_id=?", (material_id,))</t>
        </is>
      </c>
    </row>
    <row r="76">
      <c r="A76" s="7" t="n">
        <v>73</v>
      </c>
      <c r="B76" s="8" t="inlineStr">
        <is>
          <t xml:space="preserve">        if not scenes:</t>
        </is>
      </c>
    </row>
    <row r="77">
      <c r="A77" s="9" t="n">
        <v>74</v>
      </c>
      <c r="B77" s="10" t="inlineStr">
        <is>
          <t xml:space="preserve">            logger.warning("未找到场景数据，跳过标签生成")</t>
        </is>
      </c>
    </row>
    <row r="78">
      <c r="A78" s="7" t="n">
        <v>75</v>
      </c>
      <c r="B78" s="8" t="inlineStr">
        <is>
          <t xml:space="preserve">            return []</t>
        </is>
      </c>
    </row>
    <row r="79">
      <c r="A79" s="9" t="n">
        <v>76</v>
      </c>
      <c r="B79" s="10" t="inlineStr">
        <is>
          <t xml:space="preserve">        results = []</t>
        </is>
      </c>
    </row>
    <row r="80">
      <c r="A80" s="7" t="n">
        <v>77</v>
      </c>
      <c r="B80" s="8" t="inlineStr">
        <is>
          <t xml:space="preserve">        tag_list = "、".join(self.tags)</t>
        </is>
      </c>
    </row>
    <row r="81">
      <c r="A81" s="9" t="n">
        <v>78</v>
      </c>
      <c r="B81" s="10" t="inlineStr">
        <is>
          <t xml:space="preserve">        prompt = (</t>
        </is>
      </c>
    </row>
    <row r="82">
      <c r="A82" s="7" t="n">
        <v>79</v>
      </c>
      <c r="B82" s="8" t="inlineStr">
        <is>
          <t xml:space="preserve">            f"请从以下标签中选择最匹配这张图片的1个标签：{tag_list}。"</t>
        </is>
      </c>
    </row>
    <row r="83">
      <c r="A83" s="9" t="n">
        <v>80</v>
      </c>
      <c r="B83" s="10" t="inlineStr">
        <is>
          <t xml:space="preserve">            f"只输出标签名称，不要其他任何内容。"</t>
        </is>
      </c>
    </row>
    <row r="84">
      <c r="A84" s="7" t="n">
        <v>81</v>
      </c>
      <c r="B84" s="8" t="inlineStr">
        <is>
          <t xml:space="preserve">        )</t>
        </is>
      </c>
    </row>
    <row r="85">
      <c r="A85" s="9" t="n">
        <v>82</v>
      </c>
      <c r="B85" s="10" t="inlineStr">
        <is>
          <t xml:space="preserve">        for row in scenes:</t>
        </is>
      </c>
    </row>
    <row r="86">
      <c r="A86" s="7" t="n">
        <v>83</v>
      </c>
      <c r="B86" s="8" t="inlineStr">
        <is>
          <t xml:space="preserve">            scene_id = row["id"]</t>
        </is>
      </c>
    </row>
    <row r="87">
      <c r="A87" s="9" t="n">
        <v>84</v>
      </c>
      <c r="B87" s="10" t="inlineStr">
        <is>
          <t xml:space="preserve">            img_path = row["keyframe_path"]</t>
        </is>
      </c>
    </row>
    <row r="88">
      <c r="A88" s="7" t="n">
        <v>85</v>
      </c>
      <c r="B88" s="8" t="inlineStr">
        <is>
          <t xml:space="preserve">            if not img_path or not os.path.exists(img_path):</t>
        </is>
      </c>
    </row>
    <row r="89">
      <c r="A89" s="9" t="n">
        <v>86</v>
      </c>
      <c r="B89" s="10" t="inlineStr">
        <is>
          <t xml:space="preserve">                # 没有关键帧的跳过</t>
        </is>
      </c>
    </row>
    <row r="90">
      <c r="A90" s="7" t="n">
        <v>87</v>
      </c>
      <c r="B90" s="8" t="inlineStr">
        <is>
          <t xml:space="preserve">                tag = "未分类"</t>
        </is>
      </c>
    </row>
    <row r="91">
      <c r="A91" s="9" t="n">
        <v>88</v>
      </c>
      <c r="B91" s="10" t="inlineStr">
        <is>
          <t xml:space="preserve">                execute_sql("UPDATE scene_features SET scene_tag=? WHERE id=?", (tag, scene_id))</t>
        </is>
      </c>
    </row>
    <row r="92">
      <c r="A92" s="7" t="n">
        <v>89</v>
      </c>
      <c r="B92" s="8" t="inlineStr">
        <is>
          <t xml:space="preserve">                results.append((scene_id, tag))</t>
        </is>
      </c>
    </row>
    <row r="93">
      <c r="A93" s="9" t="n">
        <v>90</v>
      </c>
      <c r="B93" s="10" t="inlineStr">
        <is>
          <t xml:space="preserve">                continue</t>
        </is>
      </c>
    </row>
    <row r="94">
      <c r="A94" s="7" t="n">
        <v>91</v>
      </c>
      <c r="B94" s="8" t="inlineStr">
        <is>
          <t xml:space="preserve">            try:</t>
        </is>
      </c>
    </row>
    <row r="95">
      <c r="A95" s="9" t="n">
        <v>92</v>
      </c>
      <c r="B95" s="10" t="inlineStr">
        <is>
          <t xml:space="preserve">                image = Image.open(img_path).convert('RGB')</t>
        </is>
      </c>
    </row>
    <row r="96">
      <c r="A96" s="7" t="n">
        <v>93</v>
      </c>
      <c r="B96" s="8" t="inlineStr">
        <is>
          <t xml:space="preserve">                response = self.model.chat(self.tokenizer, image, prompt, history=[])</t>
        </is>
      </c>
    </row>
    <row r="97">
      <c r="A97" s="9" t="n">
        <v>94</v>
      </c>
      <c r="B97" s="10" t="inlineStr">
        <is>
          <t xml:space="preserve">                tag = response.strip().replace("。", "").replace(" ", "").replace("\n", "")</t>
        </is>
      </c>
    </row>
    <row r="98">
      <c r="A98" s="7" t="n">
        <v>95</v>
      </c>
      <c r="B98" s="8" t="inlineStr">
        <is>
          <t xml:space="preserve">                # 标签修正</t>
        </is>
      </c>
    </row>
    <row r="99">
      <c r="A99" s="9" t="n">
        <v>96</v>
      </c>
      <c r="B99" s="10" t="inlineStr">
        <is>
          <t xml:space="preserve">                if tag not in self.tags:</t>
        </is>
      </c>
    </row>
    <row r="100">
      <c r="A100" s="7" t="n">
        <v>97</v>
      </c>
      <c r="B100" s="8" t="inlineStr">
        <is>
          <t xml:space="preserve">                    # 尝试模糊匹配</t>
        </is>
      </c>
    </row>
    <row r="101">
      <c r="A101" s="9" t="n">
        <v>98</v>
      </c>
      <c r="B101" s="10" t="inlineStr">
        <is>
          <t xml:space="preserve">                    matched = False</t>
        </is>
      </c>
    </row>
    <row r="102">
      <c r="A102" s="7" t="n">
        <v>99</v>
      </c>
      <c r="B102" s="8" t="inlineStr">
        <is>
          <t xml:space="preserve">                    for valid_tag in self.tags:</t>
        </is>
      </c>
    </row>
    <row r="103">
      <c r="A103" s="9" t="n">
        <v>100</v>
      </c>
      <c r="B103" s="10" t="inlineStr">
        <is>
          <t xml:space="preserve">                        if valid_tag in tag or tag in valid_tag:</t>
        </is>
      </c>
    </row>
    <row r="104">
      <c r="A104" s="7" t="n">
        <v>101</v>
      </c>
      <c r="B104" s="8" t="inlineStr">
        <is>
          <t xml:space="preserve">                            tag = valid_tag</t>
        </is>
      </c>
    </row>
    <row r="105">
      <c r="A105" s="9" t="n">
        <v>102</v>
      </c>
      <c r="B105" s="10" t="inlineStr">
        <is>
          <t xml:space="preserve">                            matched = True</t>
        </is>
      </c>
    </row>
    <row r="106">
      <c r="A106" s="7" t="n">
        <v>103</v>
      </c>
      <c r="B106" s="8" t="inlineStr">
        <is>
          <t xml:space="preserve">                            break</t>
        </is>
      </c>
    </row>
    <row r="107">
      <c r="A107" s="9" t="n">
        <v>104</v>
      </c>
      <c r="B107" s="10" t="inlineStr">
        <is>
          <t xml:space="preserve">                    if not matched:</t>
        </is>
      </c>
    </row>
    <row r="108">
      <c r="A108" s="7" t="n">
        <v>105</v>
      </c>
      <c r="B108" s="8" t="inlineStr">
        <is>
          <t xml:space="preserve">                        tag = "其他场景"</t>
        </is>
      </c>
    </row>
    <row r="109">
      <c r="A109" s="9" t="n">
        <v>106</v>
      </c>
      <c r="B109" s="10" t="inlineStr">
        <is>
          <t xml:space="preserve">                execute_sql("UPDATE scene_features SET scene_tag=? WHERE id=?", (tag, scene_id))</t>
        </is>
      </c>
    </row>
    <row r="110">
      <c r="A110" s="7" t="n">
        <v>107</v>
      </c>
      <c r="B110" s="8" t="inlineStr">
        <is>
          <t xml:space="preserve">                results.append((scene_id, tag))</t>
        </is>
      </c>
    </row>
    <row r="111">
      <c r="A111" s="9" t="n">
        <v>108</v>
      </c>
      <c r="B111" s="10" t="inlineStr">
        <is>
          <t xml:space="preserve">            except Exception as e:</t>
        </is>
      </c>
    </row>
    <row r="112">
      <c r="A112" s="7" t="n">
        <v>109</v>
      </c>
      <c r="B112" s="8" t="inlineStr">
        <is>
          <t xml:space="preserve">                logger.warning(f"场景标签生成失败 scene_id={scene_id}: {e}")</t>
        </is>
      </c>
    </row>
    <row r="113">
      <c r="A113" s="9" t="n">
        <v>110</v>
      </c>
      <c r="B113" s="10" t="inlineStr">
        <is>
          <t xml:space="preserve">                execute_sql("UPDATE scene_features SET scene_tag='处理失败' WHERE id=?", (scene_id,))</t>
        </is>
      </c>
    </row>
    <row r="114">
      <c r="A114" s="7" t="n">
        <v>111</v>
      </c>
      <c r="B114" s="8" t="inlineStr">
        <is>
          <t xml:space="preserve">                results.append((scene_id, "处理失败"))</t>
        </is>
      </c>
    </row>
    <row r="115">
      <c r="A115" s="9" t="n">
        <v>112</v>
      </c>
      <c r="B115" s="10" t="inlineStr">
        <is>
          <t xml:space="preserve">        release_gpu_memory()</t>
        </is>
      </c>
    </row>
    <row r="116">
      <c r="A116" s="7" t="n">
        <v>113</v>
      </c>
      <c r="B116" s="8" t="inlineStr">
        <is>
          <t xml:space="preserve">        cache_manager.set_cache(cache_key, "scene_tags", results)</t>
        </is>
      </c>
    </row>
    <row r="117">
      <c r="A117" s="9" t="n">
        <v>114</v>
      </c>
      <c r="B117" s="10" t="inlineStr">
        <is>
          <t xml:space="preserve">        logger.info(f"场景标签生成完成，共{len(results)}个场景")</t>
        </is>
      </c>
    </row>
    <row r="118">
      <c r="A118" s="7" t="n">
        <v>115</v>
      </c>
      <c r="B118" s="8" t="inlineStr">
        <is>
          <t xml:space="preserve">        return results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modules\subtitle_analyzer.py</t>
        </is>
      </c>
      <c r="C1" s="5" t="inlineStr">
        <is>
          <t>行数: 175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字幕检测模块</t>
        </is>
      </c>
    </row>
    <row r="6">
      <c r="A6" s="7" t="n">
        <v>3</v>
      </c>
      <c r="B6" s="8" t="inlineStr">
        <is>
          <t>基于RapidOCR的字幕识别与定位</t>
        </is>
      </c>
    </row>
    <row r="7">
      <c r="A7" s="9" t="n">
        <v>4</v>
      </c>
      <c r="B7" s="10" t="inlineStr">
        <is>
          <t>支持GPU加速OCR，自动检测字幕区域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os</t>
        </is>
      </c>
    </row>
    <row r="10">
      <c r="A10" s="7" t="n">
        <v>7</v>
      </c>
      <c r="B10" s="8" t="inlineStr">
        <is>
          <t>import yaml</t>
        </is>
      </c>
    </row>
    <row r="11">
      <c r="A11" s="9" t="n">
        <v>8</v>
      </c>
      <c r="B11" s="10" t="inlineStr">
        <is>
          <t>import cv2</t>
        </is>
      </c>
    </row>
    <row r="12">
      <c r="A12" s="7" t="n">
        <v>9</v>
      </c>
      <c r="B12" s="8" t="inlineStr">
        <is>
          <t>import numpy as np</t>
        </is>
      </c>
    </row>
    <row r="13">
      <c r="A13" s="9" t="n">
        <v>10</v>
      </c>
      <c r="B13" s="10" t="inlineStr">
        <is>
          <t>from decord import VideoReader</t>
        </is>
      </c>
    </row>
    <row r="14">
      <c r="A14" s="7" t="n">
        <v>11</v>
      </c>
      <c r="B14" s="8" t="inlineStr">
        <is>
          <t>from decord import cpu, gpu</t>
        </is>
      </c>
    </row>
    <row r="15">
      <c r="A15" s="9" t="n">
        <v>12</v>
      </c>
      <c r="B15" s="10" t="inlineStr">
        <is>
          <t>from utils.logger import get_logger</t>
        </is>
      </c>
    </row>
    <row r="16">
      <c r="A16" s="7" t="n">
        <v>13</v>
      </c>
      <c r="B16" s="8" t="inlineStr">
        <is>
          <t>from utils.ffmpeg_utils import get_video_info</t>
        </is>
      </c>
    </row>
    <row r="17">
      <c r="A17" s="9" t="n">
        <v>14</v>
      </c>
      <c r="B17" s="10" t="inlineStr">
        <is>
          <t>from core.database import execute_sql</t>
        </is>
      </c>
    </row>
    <row r="18">
      <c r="A18" s="7" t="n">
        <v>15</v>
      </c>
      <c r="B18" s="8" t="inlineStr">
        <is>
          <t>from utils.cache_manager import cache_manager</t>
        </is>
      </c>
    </row>
    <row r="19">
      <c r="A19" s="9" t="n">
        <v>16</v>
      </c>
      <c r="B19" s="10" t="inlineStr">
        <is>
          <t>logger = get_logger("subtitle_analyzer")</t>
        </is>
      </c>
    </row>
    <row r="20">
      <c r="A20" s="7" t="n">
        <v>17</v>
      </c>
      <c r="B20" s="8" t="inlineStr">
        <is>
          <t>try:</t>
        </is>
      </c>
    </row>
    <row r="21">
      <c r="A21" s="9" t="n">
        <v>18</v>
      </c>
      <c r="B21" s="10" t="inlineStr">
        <is>
          <t xml:space="preserve">    with open("./config/optimize_config.yaml", "r", encoding="utf-8") as f:</t>
        </is>
      </c>
    </row>
    <row r="22">
      <c r="A22" s="7" t="n">
        <v>19</v>
      </c>
      <c r="B22" s="8" t="inlineStr">
        <is>
          <t xml:space="preserve">        CONFIG = yaml.safe_load(f)</t>
        </is>
      </c>
    </row>
    <row r="23">
      <c r="A23" s="9" t="n">
        <v>20</v>
      </c>
      <c r="B23" s="10" t="inlineStr">
        <is>
          <t>except Exception:</t>
        </is>
      </c>
    </row>
    <row r="24">
      <c r="A24" s="7" t="n">
        <v>21</v>
      </c>
      <c r="B24" s="8" t="inlineStr">
        <is>
          <t xml:space="preserve">    CONFIG = {}</t>
        </is>
      </c>
    </row>
    <row r="25">
      <c r="A25" s="9" t="n">
        <v>22</v>
      </c>
      <c r="B25" s="10" t="inlineStr">
        <is>
          <t>SUBTITLE_REGION_RATIO = (0.65, 0.85)  # 字幕通常在画面下方65%-85%区域</t>
        </is>
      </c>
    </row>
    <row r="26">
      <c r="A26" s="7" t="n">
        <v>23</v>
      </c>
      <c r="B26" s="8" t="inlineStr">
        <is>
          <t>class SubtitleAnalyzer:</t>
        </is>
      </c>
    </row>
    <row r="27">
      <c r="A27" s="9" t="n">
        <v>24</v>
      </c>
      <c r="B27" s="10" t="inlineStr">
        <is>
          <t xml:space="preserve">    """字幕检测器：OCR识别 + 时间轴追踪"""</t>
        </is>
      </c>
    </row>
    <row r="28">
      <c r="A28" s="7" t="n">
        <v>25</v>
      </c>
      <c r="B28" s="8" t="inlineStr">
        <is>
          <t xml:space="preserve">    def __init__(self):</t>
        </is>
      </c>
    </row>
    <row r="29">
      <c r="A29" s="9" t="n">
        <v>26</v>
      </c>
      <c r="B29" s="10" t="inlineStr">
        <is>
          <t xml:space="preserve">        self.device = cpu(0)</t>
        </is>
      </c>
    </row>
    <row r="30">
      <c r="A30" s="7" t="n">
        <v>27</v>
      </c>
      <c r="B30" s="8" t="inlineStr">
        <is>
          <t xml:space="preserve">        if CONFIG.get("model", {}).get("video_decode_device") == "gpu":</t>
        </is>
      </c>
    </row>
    <row r="31">
      <c r="A31" s="9" t="n">
        <v>28</v>
      </c>
      <c r="B31" s="10" t="inlineStr">
        <is>
          <t xml:space="preserve">            try:</t>
        </is>
      </c>
    </row>
    <row r="32">
      <c r="A32" s="7" t="n">
        <v>29</v>
      </c>
      <c r="B32" s="8" t="inlineStr">
        <is>
          <t xml:space="preserve">                import torch</t>
        </is>
      </c>
    </row>
    <row r="33">
      <c r="A33" s="9" t="n">
        <v>30</v>
      </c>
      <c r="B33" s="10" t="inlineStr">
        <is>
          <t xml:space="preserve">                if torch.cuda.is_available():</t>
        </is>
      </c>
    </row>
    <row r="34">
      <c r="A34" s="7" t="n">
        <v>31</v>
      </c>
      <c r="B34" s="8" t="inlineStr">
        <is>
          <t xml:space="preserve">                    self.device = gpu(0)</t>
        </is>
      </c>
    </row>
    <row r="35">
      <c r="A35" s="9" t="n">
        <v>32</v>
      </c>
      <c r="B35" s="10" t="inlineStr">
        <is>
          <t xml:space="preserve">            except Exception:</t>
        </is>
      </c>
    </row>
    <row r="36">
      <c r="A36" s="7" t="n">
        <v>33</v>
      </c>
      <c r="B36" s="8" t="inlineStr">
        <is>
          <t xml:space="preserve">                pass</t>
        </is>
      </c>
    </row>
    <row r="37">
      <c r="A37" s="9" t="n">
        <v>34</v>
      </c>
      <c r="B37" s="10" t="inlineStr">
        <is>
          <t xml:space="preserve">        self.cpu_threads = CONFIG.get("performance", {}).get("cpu_threads", 8)</t>
        </is>
      </c>
    </row>
    <row r="38">
      <c r="A38" s="7" t="n">
        <v>35</v>
      </c>
      <c r="B38" s="8" t="inlineStr">
        <is>
          <t xml:space="preserve">        self.ocr_batch_size = CONFIG.get("model", {}).get("ocr_batch_size", 8)</t>
        </is>
      </c>
    </row>
    <row r="39">
      <c r="A39" s="9" t="n">
        <v>36</v>
      </c>
      <c r="B39" s="10" t="inlineStr">
        <is>
          <t xml:space="preserve">        self.ocr = None</t>
        </is>
      </c>
    </row>
    <row r="40">
      <c r="A40" s="7" t="n">
        <v>37</v>
      </c>
      <c r="B40" s="8" t="inlineStr">
        <is>
          <t xml:space="preserve">        self._init_ocr()</t>
        </is>
      </c>
    </row>
    <row r="41">
      <c r="A41" s="9" t="n">
        <v>38</v>
      </c>
      <c r="B41" s="10" t="inlineStr">
        <is>
          <t xml:space="preserve">        logger.info("字幕分析器初始化完成")</t>
        </is>
      </c>
    </row>
    <row r="42">
      <c r="A42" s="7" t="n">
        <v>39</v>
      </c>
      <c r="B42" s="8" t="inlineStr">
        <is>
          <t xml:space="preserve">    def _init_ocr(self):</t>
        </is>
      </c>
    </row>
    <row r="43">
      <c r="A43" s="9" t="n">
        <v>40</v>
      </c>
      <c r="B43" s="10" t="inlineStr">
        <is>
          <t xml:space="preserve">        """初始化OCR引擎"""</t>
        </is>
      </c>
    </row>
    <row r="44">
      <c r="A44" s="7" t="n">
        <v>41</v>
      </c>
      <c r="B44" s="8" t="inlineStr">
        <is>
          <t xml:space="preserve">        try:</t>
        </is>
      </c>
    </row>
    <row r="45">
      <c r="A45" s="9" t="n">
        <v>42</v>
      </c>
      <c r="B45" s="10" t="inlineStr">
        <is>
          <t xml:space="preserve">            from rapidocr_onnxruntime import RapidOCR</t>
        </is>
      </c>
    </row>
    <row r="46">
      <c r="A46" s="7" t="n">
        <v>43</v>
      </c>
      <c r="B46" s="8" t="inlineStr">
        <is>
          <t xml:space="preserve">            self.ocr = RapidOCR()</t>
        </is>
      </c>
    </row>
    <row r="47">
      <c r="A47" s="9" t="n">
        <v>44</v>
      </c>
      <c r="B47" s="10" t="inlineStr">
        <is>
          <t xml:space="preserve">            logger.info("RapidOCR引擎加载完成")</t>
        </is>
      </c>
    </row>
    <row r="48">
      <c r="A48" s="7" t="n">
        <v>45</v>
      </c>
      <c r="B48" s="8" t="inlineStr">
        <is>
          <t xml:space="preserve">        except (ImportError, OSError) as e:</t>
        </is>
      </c>
    </row>
    <row r="49">
      <c r="A49" s="9" t="n">
        <v>46</v>
      </c>
      <c r="B49" s="10" t="inlineStr">
        <is>
          <t xml:space="preserve">            logger.warning(f"RapidOCR不可用(onnxruntime): {e}")</t>
        </is>
      </c>
    </row>
    <row r="50">
      <c r="A50" s="7" t="n">
        <v>47</v>
      </c>
      <c r="B50" s="8" t="inlineStr">
        <is>
          <t xml:space="preserve">            try:</t>
        </is>
      </c>
    </row>
    <row r="51">
      <c r="A51" s="9" t="n">
        <v>48</v>
      </c>
      <c r="B51" s="10" t="inlineStr">
        <is>
          <t xml:space="preserve">                from rapidocr import RapidOCR</t>
        </is>
      </c>
    </row>
    <row r="52">
      <c r="A52" s="7" t="n">
        <v>49</v>
      </c>
      <c r="B52" s="8" t="inlineStr">
        <is>
          <t xml:space="preserve">                self.ocr = RapidOCR()</t>
        </is>
      </c>
    </row>
    <row r="53">
      <c r="A53" s="9" t="n">
        <v>50</v>
      </c>
      <c r="B53" s="10" t="inlineStr">
        <is>
          <t xml:space="preserve">                logger.info("RapidOCR引擎加载完成（rapidocr）")</t>
        </is>
      </c>
    </row>
    <row r="54">
      <c r="A54" s="7" t="n">
        <v>51</v>
      </c>
      <c r="B54" s="8" t="inlineStr">
        <is>
          <t xml:space="preserve">            except (ImportError, OSError) as e2:</t>
        </is>
      </c>
    </row>
    <row r="55">
      <c r="A55" s="9" t="n">
        <v>52</v>
      </c>
      <c r="B55" s="10" t="inlineStr">
        <is>
          <t xml:space="preserve">                logger.warning(f"RapidOCR不可用(rapidocr): {e2}，字幕检测将跳过")</t>
        </is>
      </c>
    </row>
    <row r="56">
      <c r="A56" s="7" t="n">
        <v>53</v>
      </c>
      <c r="B56" s="8" t="inlineStr">
        <is>
          <t xml:space="preserve">                self.ocr = None</t>
        </is>
      </c>
    </row>
    <row r="57">
      <c r="A57" s="9" t="n">
        <v>54</v>
      </c>
      <c r="B57" s="10" t="inlineStr">
        <is>
          <t xml:space="preserve">        except Exception as e:</t>
        </is>
      </c>
    </row>
    <row r="58">
      <c r="A58" s="7" t="n">
        <v>55</v>
      </c>
      <c r="B58" s="8" t="inlineStr">
        <is>
          <t xml:space="preserve">            logger.warning(f"RapidOCR初始化异常: {type(e).__name__}: {e}")</t>
        </is>
      </c>
    </row>
    <row r="59">
      <c r="A59" s="9" t="n">
        <v>56</v>
      </c>
      <c r="B59" s="10" t="inlineStr">
        <is>
          <t xml:space="preserve">            self.ocr = None</t>
        </is>
      </c>
    </row>
    <row r="60">
      <c r="A60" s="7" t="n">
        <v>57</v>
      </c>
      <c r="B60" s="8" t="inlineStr">
        <is>
          <t xml:space="preserve">    def detect_subtitles(self, video_path: str, material_id: int) -&gt; list:</t>
        </is>
      </c>
    </row>
    <row r="61">
      <c r="A61" s="9" t="n">
        <v>58</v>
      </c>
      <c r="B61" s="10" t="inlineStr">
        <is>
          <t xml:space="preserve">        """OCR检测视频字幕"""</t>
        </is>
      </c>
    </row>
    <row r="62">
      <c r="A62" s="7" t="n">
        <v>59</v>
      </c>
      <c r="B62" s="8" t="inlineStr">
        <is>
          <t xml:space="preserve">        cache = cache_manager.get_cache(video_path, "subtitle_detect")</t>
        </is>
      </c>
    </row>
    <row r="63">
      <c r="A63" s="9" t="n">
        <v>60</v>
      </c>
      <c r="B63" s="10" t="inlineStr">
        <is>
          <t xml:space="preserve">        if cache:</t>
        </is>
      </c>
    </row>
    <row r="64">
      <c r="A64" s="7" t="n">
        <v>61</v>
      </c>
      <c r="B64" s="8" t="inlineStr">
        <is>
          <t xml:space="preserve">            for sub in cache:</t>
        </is>
      </c>
    </row>
    <row r="65">
      <c r="A65" s="9" t="n">
        <v>62</v>
      </c>
      <c r="B65" s="10" t="inlineStr">
        <is>
          <t xml:space="preserve">                execute_sql(</t>
        </is>
      </c>
    </row>
    <row r="66">
      <c r="A66" s="7" t="n">
        <v>63</v>
      </c>
      <c r="B66" s="8" t="inlineStr">
        <is>
          <t xml:space="preserve">                    "INSERT OR IGNORE INTO subtitle_results (material_id, start_time, end_time, subtitle_text, subtitle_position, confidence) VALUES (?, ?, ?, ?, ?, ?)",</t>
        </is>
      </c>
    </row>
    <row r="67">
      <c r="A67" s="9" t="n">
        <v>64</v>
      </c>
      <c r="B67" s="10" t="inlineStr">
        <is>
          <t xml:space="preserve">                    (material_id, sub["start"], sub["end"], sub["text"], sub.get("position", "bottom"), sub.get("confidence", 0))</t>
        </is>
      </c>
    </row>
    <row r="68">
      <c r="A68" s="7" t="n">
        <v>65</v>
      </c>
      <c r="B68" s="8" t="inlineStr">
        <is>
          <t xml:space="preserve">                )</t>
        </is>
      </c>
    </row>
    <row r="69">
      <c r="A69" s="9" t="n">
        <v>66</v>
      </c>
      <c r="B69" s="10" t="inlineStr">
        <is>
          <t xml:space="preserve">            logger.info(f"字幕检测命中缓存，共{len(cache)}段")</t>
        </is>
      </c>
    </row>
    <row r="70">
      <c r="A70" s="7" t="n">
        <v>67</v>
      </c>
      <c r="B70" s="8" t="inlineStr">
        <is>
          <t xml:space="preserve">            return cache</t>
        </is>
      </c>
    </row>
    <row r="71">
      <c r="A71" s="9" t="n">
        <v>68</v>
      </c>
      <c r="B71" s="10" t="inlineStr">
        <is>
          <t xml:space="preserve">        if self.ocr is None:</t>
        </is>
      </c>
    </row>
    <row r="72">
      <c r="A72" s="7" t="n">
        <v>69</v>
      </c>
      <c r="B72" s="8" t="inlineStr">
        <is>
          <t xml:space="preserve">            logger.warning("OCR引擎不可用，跳过字幕检测")</t>
        </is>
      </c>
    </row>
    <row r="73">
      <c r="A73" s="9" t="n">
        <v>70</v>
      </c>
      <c r="B73" s="10" t="inlineStr">
        <is>
          <t xml:space="preserve">            return []</t>
        </is>
      </c>
    </row>
    <row r="74">
      <c r="A74" s="7" t="n">
        <v>71</v>
      </c>
      <c r="B74" s="8" t="inlineStr">
        <is>
          <t xml:space="preserve">        logger.info(f"开始字幕检测: {video_path}")</t>
        </is>
      </c>
    </row>
    <row r="75">
      <c r="A75" s="9" t="n">
        <v>72</v>
      </c>
      <c r="B75" s="10" t="inlineStr">
        <is>
          <t xml:space="preserve">        info = get_video_info(video_path)</t>
        </is>
      </c>
    </row>
    <row r="76">
      <c r="A76" s="7" t="n">
        <v>73</v>
      </c>
      <c r="B76" s="8" t="inlineStr">
        <is>
          <t xml:space="preserve">        fps = info.get("fps", 25)</t>
        </is>
      </c>
    </row>
    <row r="77">
      <c r="A77" s="9" t="n">
        <v>74</v>
      </c>
      <c r="B77" s="10" t="inlineStr">
        <is>
          <t xml:space="preserve">        width = info.get("width", 0)</t>
        </is>
      </c>
    </row>
    <row r="78">
      <c r="A78" s="7" t="n">
        <v>75</v>
      </c>
      <c r="B78" s="8" t="inlineStr">
        <is>
          <t xml:space="preserve">        height = info.get("height", 0)</t>
        </is>
      </c>
    </row>
    <row r="79">
      <c r="A79" s="9" t="n">
        <v>76</v>
      </c>
      <c r="B79" s="10" t="inlineStr">
        <is>
          <t xml:space="preserve">        if fps == 0 or height == 0:</t>
        </is>
      </c>
    </row>
    <row r="80">
      <c r="A80" s="7" t="n">
        <v>77</v>
      </c>
      <c r="B80" s="8" t="inlineStr">
        <is>
          <t xml:space="preserve">            logger.error(f"视频参数异常: fps={fps} height={height}")</t>
        </is>
      </c>
    </row>
    <row r="81">
      <c r="A81" s="9" t="n">
        <v>78</v>
      </c>
      <c r="B81" s="10" t="inlineStr">
        <is>
          <t xml:space="preserve">            return []</t>
        </is>
      </c>
    </row>
    <row r="82">
      <c r="A82" s="7" t="n">
        <v>79</v>
      </c>
      <c r="B82" s="8" t="inlineStr">
        <is>
          <t xml:space="preserve">        vr = VideoReader(video_path, ctx=self.device, num_threads=self.cpu_threads)</t>
        </is>
      </c>
    </row>
    <row r="83">
      <c r="A83" s="9" t="n">
        <v>80</v>
      </c>
      <c r="B83" s="10" t="inlineStr">
        <is>
          <t xml:space="preserve">        total_frames = len(vr)</t>
        </is>
      </c>
    </row>
    <row r="84">
      <c r="A84" s="7" t="n">
        <v>81</v>
      </c>
      <c r="B84" s="8" t="inlineStr">
        <is>
          <t xml:space="preserve">        # 每0.5秒检测一次</t>
        </is>
      </c>
    </row>
    <row r="85">
      <c r="A85" s="9" t="n">
        <v>82</v>
      </c>
      <c r="B85" s="10" t="inlineStr">
        <is>
          <t xml:space="preserve">        sample_fps = 2.0</t>
        </is>
      </c>
    </row>
    <row r="86">
      <c r="A86" s="7" t="n">
        <v>83</v>
      </c>
      <c r="B86" s="8" t="inlineStr">
        <is>
          <t xml:space="preserve">        step = max(1, int(fps / sample_fps))</t>
        </is>
      </c>
    </row>
    <row r="87">
      <c r="A87" s="9" t="n">
        <v>84</v>
      </c>
      <c r="B87" s="10" t="inlineStr">
        <is>
          <t xml:space="preserve">        frame_indices = list(range(0, total_frames, step))</t>
        </is>
      </c>
    </row>
    <row r="88">
      <c r="A88" s="7" t="n">
        <v>85</v>
      </c>
      <c r="B88" s="8" t="inlineStr">
        <is>
          <t xml:space="preserve">        subtitle_data = []</t>
        </is>
      </c>
    </row>
    <row r="89">
      <c r="A89" s="9" t="n">
        <v>86</v>
      </c>
      <c r="B89" s="10" t="inlineStr">
        <is>
          <t xml:space="preserve">        prev_text = ""</t>
        </is>
      </c>
    </row>
    <row r="90">
      <c r="A90" s="7" t="n">
        <v>87</v>
      </c>
      <c r="B90" s="8" t="inlineStr">
        <is>
          <t xml:space="preserve">        # 计算字幕区域</t>
        </is>
      </c>
    </row>
    <row r="91">
      <c r="A91" s="9" t="n">
        <v>88</v>
      </c>
      <c r="B91" s="10" t="inlineStr">
        <is>
          <t xml:space="preserve">        roi_top = int(height * SUBTITLE_REGION_RATIO[0])</t>
        </is>
      </c>
    </row>
    <row r="92">
      <c r="A92" s="7" t="n">
        <v>89</v>
      </c>
      <c r="B92" s="8" t="inlineStr">
        <is>
          <t xml:space="preserve">        roi_bottom = int(height * SUBTITLE_REGION_RATIO[1])</t>
        </is>
      </c>
    </row>
    <row r="93">
      <c r="A93" s="9" t="n">
        <v>90</v>
      </c>
      <c r="B93" s="10" t="inlineStr">
        <is>
          <t xml:space="preserve">        for i, frame_idx in enumerate(frame_indices):</t>
        </is>
      </c>
    </row>
    <row r="94">
      <c r="A94" s="7" t="n">
        <v>91</v>
      </c>
      <c r="B94" s="8" t="inlineStr">
        <is>
          <t xml:space="preserve">            try:</t>
        </is>
      </c>
    </row>
    <row r="95">
      <c r="A95" s="9" t="n">
        <v>92</v>
      </c>
      <c r="B95" s="10" t="inlineStr">
        <is>
          <t xml:space="preserve">                frame = vr[frame_idx].asnumpy()</t>
        </is>
      </c>
    </row>
    <row r="96">
      <c r="A96" s="7" t="n">
        <v>93</v>
      </c>
      <c r="B96" s="8" t="inlineStr">
        <is>
          <t xml:space="preserve">                current_time = frame_idx / fps</t>
        </is>
      </c>
    </row>
    <row r="97">
      <c r="A97" s="9" t="n">
        <v>94</v>
      </c>
      <c r="B97" s="10" t="inlineStr">
        <is>
          <t xml:space="preserve">                # 裁切字幕区域</t>
        </is>
      </c>
    </row>
    <row r="98">
      <c r="A98" s="7" t="n">
        <v>95</v>
      </c>
      <c r="B98" s="8" t="inlineStr">
        <is>
          <t xml:space="preserve">                roi = frame[roi_top:roi_bottom, :, :]</t>
        </is>
      </c>
    </row>
    <row r="99">
      <c r="A99" s="9" t="n">
        <v>96</v>
      </c>
      <c r="B99" s="10" t="inlineStr">
        <is>
          <t xml:space="preserve">                roi_rgb = cv2.cvtColor(roi, cv2.COLOR_RGB2BGR)</t>
        </is>
      </c>
    </row>
    <row r="100">
      <c r="A100" s="7" t="n">
        <v>97</v>
      </c>
      <c r="B100" s="8" t="inlineStr">
        <is>
          <t xml:space="preserve">                result, _ = self.ocr(roi_rgb)</t>
        </is>
      </c>
    </row>
    <row r="101">
      <c r="A101" s="9" t="n">
        <v>98</v>
      </c>
      <c r="B101" s="10" t="inlineStr">
        <is>
          <t xml:space="preserve">                if result is not None and len(result) &gt; 0:</t>
        </is>
      </c>
    </row>
    <row r="102">
      <c r="A102" s="7" t="n">
        <v>99</v>
      </c>
      <c r="B102" s="8" t="inlineStr">
        <is>
          <t xml:space="preserve">                    text = " ".join([r[1] for r in result if r[1]])</t>
        </is>
      </c>
    </row>
    <row r="103">
      <c r="A103" s="9" t="n">
        <v>100</v>
      </c>
      <c r="B103" s="10" t="inlineStr">
        <is>
          <t xml:space="preserve">                    confidence = np.mean([r[2] for r in result if len(r) &gt; 2]) if result else 0</t>
        </is>
      </c>
    </row>
    <row r="104">
      <c r="A104" s="7" t="n">
        <v>101</v>
      </c>
      <c r="B104" s="8" t="inlineStr">
        <is>
          <t xml:space="preserve">                    # 去重：相同字幕不重复记录</t>
        </is>
      </c>
    </row>
    <row r="105">
      <c r="A105" s="9" t="n">
        <v>102</v>
      </c>
      <c r="B105" s="10" t="inlineStr">
        <is>
          <t xml:space="preserve">                    if text != prev_text and len(text.strip()) &gt; 1:</t>
        </is>
      </c>
    </row>
    <row r="106">
      <c r="A106" s="7" t="n">
        <v>103</v>
      </c>
      <c r="B106" s="8" t="inlineStr">
        <is>
          <t xml:space="preserve">                        # 上一段字幕结束</t>
        </is>
      </c>
    </row>
    <row r="107">
      <c r="A107" s="9" t="n">
        <v>104</v>
      </c>
      <c r="B107" s="10" t="inlineStr">
        <is>
          <t xml:space="preserve">                        if subtitle_data and subtitle_data[-1]["text"] == prev_text:</t>
        </is>
      </c>
    </row>
    <row r="108">
      <c r="A108" s="7" t="n">
        <v>105</v>
      </c>
      <c r="B108" s="8" t="inlineStr">
        <is>
          <t xml:space="preserve">                            subtitle_data[-1]["end"] = round(current_time, 2)</t>
        </is>
      </c>
    </row>
    <row r="109">
      <c r="A109" s="9" t="n">
        <v>106</v>
      </c>
      <c r="B109" s="10" t="inlineStr">
        <is>
          <t xml:space="preserve">                        subtitle_data.append({</t>
        </is>
      </c>
    </row>
    <row r="110">
      <c r="A110" s="7" t="n">
        <v>107</v>
      </c>
      <c r="B110" s="8" t="inlineStr">
        <is>
          <t xml:space="preserve">                            "start": round(current_time, 2),</t>
        </is>
      </c>
    </row>
    <row r="111">
      <c r="A111" s="9" t="n">
        <v>108</v>
      </c>
      <c r="B111" s="10" t="inlineStr">
        <is>
          <t xml:space="preserve">                            "end": round(current_time + 0.5, 2),</t>
        </is>
      </c>
    </row>
    <row r="112">
      <c r="A112" s="7" t="n">
        <v>109</v>
      </c>
      <c r="B112" s="8" t="inlineStr">
        <is>
          <t xml:space="preserve">                            "text": text.strip(),</t>
        </is>
      </c>
    </row>
    <row r="113">
      <c r="A113" s="9" t="n">
        <v>110</v>
      </c>
      <c r="B113" s="10" t="inlineStr">
        <is>
          <t xml:space="preserve">                            "position": "bottom",</t>
        </is>
      </c>
    </row>
    <row r="114">
      <c r="A114" s="7" t="n">
        <v>111</v>
      </c>
      <c r="B114" s="8" t="inlineStr">
        <is>
          <t xml:space="preserve">                            "confidence": round(float(confidence), 4)</t>
        </is>
      </c>
    </row>
    <row r="115">
      <c r="A115" s="9" t="n">
        <v>112</v>
      </c>
      <c r="B115" s="10" t="inlineStr">
        <is>
          <t xml:space="preserve">                        })</t>
        </is>
      </c>
    </row>
    <row r="116">
      <c r="A116" s="7" t="n">
        <v>113</v>
      </c>
      <c r="B116" s="8" t="inlineStr">
        <is>
          <t xml:space="preserve">                        prev_text = text</t>
        </is>
      </c>
    </row>
    <row r="117">
      <c r="A117" s="9" t="n">
        <v>114</v>
      </c>
      <c r="B117" s="10" t="inlineStr">
        <is>
          <t xml:space="preserve">                else:</t>
        </is>
      </c>
    </row>
    <row r="118">
      <c r="A118" s="7" t="n">
        <v>115</v>
      </c>
      <c r="B118" s="8" t="inlineStr">
        <is>
          <t xml:space="preserve">                    # 没有检测到字幕</t>
        </is>
      </c>
    </row>
    <row r="119">
      <c r="A119" s="9" t="n">
        <v>116</v>
      </c>
      <c r="B119" s="10" t="inlineStr">
        <is>
          <t xml:space="preserve">                    if subtitle_data and subtitle_data[-1]["text"] == prev_text:</t>
        </is>
      </c>
    </row>
    <row r="120">
      <c r="A120" s="7" t="n">
        <v>117</v>
      </c>
      <c r="B120" s="8" t="inlineStr">
        <is>
          <t xml:space="preserve">                        subtitle_data[-1]["end"] = round(current_time, 2)</t>
        </is>
      </c>
    </row>
    <row r="121">
      <c r="A121" s="9" t="n">
        <v>118</v>
      </c>
      <c r="B121" s="10" t="inlineStr">
        <is>
          <t xml:space="preserve">                    prev_text = ""</t>
        </is>
      </c>
    </row>
    <row r="122">
      <c r="A122" s="7" t="n">
        <v>119</v>
      </c>
      <c r="B122" s="8" t="inlineStr">
        <is>
          <t xml:space="preserve">            except Exception as e:</t>
        </is>
      </c>
    </row>
    <row r="123">
      <c r="A123" s="9" t="n">
        <v>120</v>
      </c>
      <c r="B123" s="10" t="inlineStr">
        <is>
          <t xml:space="preserve">                logger.debug(f"帧{frame_idx} OCR异常: {e}")</t>
        </is>
      </c>
    </row>
    <row r="124">
      <c r="A124" s="7" t="n">
        <v>121</v>
      </c>
      <c r="B124" s="8" t="inlineStr">
        <is>
          <t xml:space="preserve">                continue</t>
        </is>
      </c>
    </row>
    <row r="125">
      <c r="A125" s="9" t="n">
        <v>122</v>
      </c>
      <c r="B125" s="10" t="inlineStr">
        <is>
          <t xml:space="preserve">        del vr</t>
        </is>
      </c>
    </row>
    <row r="126">
      <c r="A126" s="7" t="n">
        <v>123</v>
      </c>
      <c r="B126" s="8" t="inlineStr">
        <is>
          <t xml:space="preserve">        # 入库</t>
        </is>
      </c>
    </row>
    <row r="127">
      <c r="A127" s="9" t="n">
        <v>124</v>
      </c>
      <c r="B127" s="10" t="inlineStr">
        <is>
          <t xml:space="preserve">        for sub in subtitle_data:</t>
        </is>
      </c>
    </row>
    <row r="128">
      <c r="A128" s="7" t="n">
        <v>125</v>
      </c>
      <c r="B128" s="8" t="inlineStr">
        <is>
          <t xml:space="preserve">            execute_sql(</t>
        </is>
      </c>
    </row>
    <row r="129">
      <c r="A129" s="9" t="n">
        <v>126</v>
      </c>
      <c r="B129" s="10" t="inlineStr">
        <is>
          <t xml:space="preserve">                "INSERT INTO subtitle_results (material_id, start_time, end_time, subtitle_text, subtitle_position, confidence) VALUES (?, ?, ?, ?, ?, ?)",</t>
        </is>
      </c>
    </row>
    <row r="130">
      <c r="A130" s="7" t="n">
        <v>127</v>
      </c>
      <c r="B130" s="8" t="inlineStr">
        <is>
          <t xml:space="preserve">                (material_id, sub["start"], sub["end"], sub["text"], sub["position"], sub["confidence"])</t>
        </is>
      </c>
    </row>
    <row r="131">
      <c r="A131" s="9" t="n">
        <v>128</v>
      </c>
      <c r="B131" s="10" t="inlineStr">
        <is>
          <t xml:space="preserve">            )</t>
        </is>
      </c>
    </row>
    <row r="132">
      <c r="A132" s="7" t="n">
        <v>129</v>
      </c>
      <c r="B132" s="8" t="inlineStr">
        <is>
          <t xml:space="preserve">        cache_manager.set_cache(video_path, "subtitle_detect", subtitle_data)</t>
        </is>
      </c>
    </row>
    <row r="133">
      <c r="A133" s="9" t="n">
        <v>130</v>
      </c>
      <c r="B133" s="10" t="inlineStr">
        <is>
          <t xml:space="preserve">        logger.info(f"字幕检测完成，共{len(subtitle_data)}段字幕")</t>
        </is>
      </c>
    </row>
    <row r="134">
      <c r="A134" s="7" t="n">
        <v>131</v>
      </c>
      <c r="B134" s="8" t="inlineStr">
        <is>
          <t xml:space="preserve">        return subtitle_data</t>
        </is>
      </c>
    </row>
    <row r="135">
      <c r="A135" s="9" t="n">
        <v>132</v>
      </c>
      <c r="B135" s="10" t="inlineStr">
        <is>
          <t xml:space="preserve">    def check_sync(self, audio_segments: list, subtitle_segments: list, material_id: int) -&gt; dict:</t>
        </is>
      </c>
    </row>
    <row r="136">
      <c r="A136" s="7" t="n">
        <v>133</v>
      </c>
      <c r="B136" s="8" t="inlineStr">
        <is>
          <t xml:space="preserve">        """音画同步检测：语音时间轴 vs 字幕时间轴"""</t>
        </is>
      </c>
    </row>
    <row r="137">
      <c r="A137" s="9" t="n">
        <v>134</v>
      </c>
      <c r="B137" s="10" t="inlineStr">
        <is>
          <t xml:space="preserve">        logger.info(f"开始音画同步检测: material_id={material_id}")</t>
        </is>
      </c>
    </row>
    <row r="138">
      <c r="A138" s="7" t="n">
        <v>135</v>
      </c>
      <c r="B138" s="8" t="inlineStr">
        <is>
          <t xml:space="preserve">        if not audio_segments or not subtitle_segments:</t>
        </is>
      </c>
    </row>
    <row r="139">
      <c r="A139" s="9" t="n">
        <v>136</v>
      </c>
      <c r="B139" s="10" t="inlineStr">
        <is>
          <t xml:space="preserve">            execute_sql(</t>
        </is>
      </c>
    </row>
    <row r="140">
      <c r="A140" s="7" t="n">
        <v>137</v>
      </c>
      <c r="B140" s="8" t="inlineStr">
        <is>
          <t xml:space="preserve">                "INSERT INTO av_sync_results (material_id, offset_ms, sync_status, details) VALUES (?, 0, 'unknown', '音频或字幕数据不足')",</t>
        </is>
      </c>
    </row>
    <row r="141">
      <c r="A141" s="9" t="n">
        <v>138</v>
      </c>
      <c r="B141" s="10" t="inlineStr">
        <is>
          <t xml:space="preserve">                (material_id,)</t>
        </is>
      </c>
    </row>
    <row r="142">
      <c r="A142" s="7" t="n">
        <v>139</v>
      </c>
      <c r="B142" s="8" t="inlineStr">
        <is>
          <t xml:space="preserve">            )</t>
        </is>
      </c>
    </row>
    <row r="143">
      <c r="A143" s="9" t="n">
        <v>140</v>
      </c>
      <c r="B143" s="10" t="inlineStr">
        <is>
          <t xml:space="preserve">            return {"status": "unknown", "offset_ms": 0}</t>
        </is>
      </c>
    </row>
    <row r="144">
      <c r="A144" s="7" t="n">
        <v>141</v>
      </c>
      <c r="B144" s="8" t="inlineStr">
        <is>
          <t xml:space="preserve">        # 找到时间重叠的语音和字幕段，计算偏移</t>
        </is>
      </c>
    </row>
    <row r="145">
      <c r="A145" s="9" t="n">
        <v>142</v>
      </c>
      <c r="B145" s="10" t="inlineStr">
        <is>
          <t xml:space="preserve">        offsets = []</t>
        </is>
      </c>
    </row>
    <row r="146">
      <c r="A146" s="7" t="n">
        <v>143</v>
      </c>
      <c r="B146" s="8" t="inlineStr">
        <is>
          <t xml:space="preserve">        for audio_seg in audio_segments:</t>
        </is>
      </c>
    </row>
    <row r="147">
      <c r="A147" s="9" t="n">
        <v>144</v>
      </c>
      <c r="B147" s="10" t="inlineStr">
        <is>
          <t xml:space="preserve">            a_start = audio_seg.get("start", 0)</t>
        </is>
      </c>
    </row>
    <row r="148">
      <c r="A148" s="7" t="n">
        <v>145</v>
      </c>
      <c r="B148" s="8" t="inlineStr">
        <is>
          <t xml:space="preserve">            a_end = audio_seg.get("end", 0)</t>
        </is>
      </c>
    </row>
    <row r="149">
      <c r="A149" s="9" t="n">
        <v>146</v>
      </c>
      <c r="B149" s="10" t="inlineStr">
        <is>
          <t xml:space="preserve">            for sub_seg in subtitle_segments:</t>
        </is>
      </c>
    </row>
    <row r="150">
      <c r="A150" s="7" t="n">
        <v>147</v>
      </c>
      <c r="B150" s="8" t="inlineStr">
        <is>
          <t xml:space="preserve">                s_start = sub_seg.get("start", 0)</t>
        </is>
      </c>
    </row>
    <row r="151">
      <c r="A151" s="9" t="n">
        <v>148</v>
      </c>
      <c r="B151" s="10" t="inlineStr">
        <is>
          <t xml:space="preserve">                s_end = sub_seg.get("end", 0)</t>
        </is>
      </c>
    </row>
    <row r="152">
      <c r="A152" s="7" t="n">
        <v>149</v>
      </c>
      <c r="B152" s="8" t="inlineStr">
        <is>
          <t xml:space="preserve">                # 检测时间重叠</t>
        </is>
      </c>
    </row>
    <row r="153">
      <c r="A153" s="9" t="n">
        <v>150</v>
      </c>
      <c r="B153" s="10" t="inlineStr">
        <is>
          <t xml:space="preserve">                if max(a_start, s_start) &lt; min(a_end, s_end):</t>
        </is>
      </c>
    </row>
    <row r="154">
      <c r="A154" s="7" t="n">
        <v>151</v>
      </c>
      <c r="B154" s="8" t="inlineStr">
        <is>
          <t xml:space="preserve">                    offset = (a_start - s_start) * 1000  # 转换为ms</t>
        </is>
      </c>
    </row>
    <row r="155">
      <c r="A155" s="9" t="n">
        <v>152</v>
      </c>
      <c r="B155" s="10" t="inlineStr">
        <is>
          <t xml:space="preserve">                    offsets.append(offset)</t>
        </is>
      </c>
    </row>
    <row r="156">
      <c r="A156" s="7" t="n">
        <v>153</v>
      </c>
      <c r="B156" s="8" t="inlineStr">
        <is>
          <t xml:space="preserve">        if offsets:</t>
        </is>
      </c>
    </row>
    <row r="157">
      <c r="A157" s="9" t="n">
        <v>154</v>
      </c>
      <c r="B157" s="10" t="inlineStr">
        <is>
          <t xml:space="preserve">            avg_offset = sum(offsets) / len(offsets)</t>
        </is>
      </c>
    </row>
    <row r="158">
      <c r="A158" s="7" t="n">
        <v>155</v>
      </c>
      <c r="B158" s="8" t="inlineStr">
        <is>
          <t xml:space="preserve">            max_offset = max(abs(o) for o in offsets)</t>
        </is>
      </c>
    </row>
    <row r="159">
      <c r="A159" s="9" t="n">
        <v>156</v>
      </c>
      <c r="B159" s="10" t="inlineStr">
        <is>
          <t xml:space="preserve">            if max_offset &lt; 200:</t>
        </is>
      </c>
    </row>
    <row r="160">
      <c r="A160" s="7" t="n">
        <v>157</v>
      </c>
      <c r="B160" s="8" t="inlineStr">
        <is>
          <t xml:space="preserve">                status = "sync_good"</t>
        </is>
      </c>
    </row>
    <row r="161">
      <c r="A161" s="9" t="n">
        <v>158</v>
      </c>
      <c r="B161" s="10" t="inlineStr">
        <is>
          <t xml:space="preserve">                detail = f"音画同步良好，平均偏移{avg_offset:.0f}ms"</t>
        </is>
      </c>
    </row>
    <row r="162">
      <c r="A162" s="7" t="n">
        <v>159</v>
      </c>
      <c r="B162" s="8" t="inlineStr">
        <is>
          <t xml:space="preserve">            elif max_offset &lt; 500:</t>
        </is>
      </c>
    </row>
    <row r="163">
      <c r="A163" s="9" t="n">
        <v>160</v>
      </c>
      <c r="B163" s="10" t="inlineStr">
        <is>
          <t xml:space="preserve">                status = "sync_minor"</t>
        </is>
      </c>
    </row>
    <row r="164">
      <c r="A164" s="7" t="n">
        <v>161</v>
      </c>
      <c r="B164" s="8" t="inlineStr">
        <is>
          <t xml:space="preserve">                detail = f"轻微音画不同步，平均偏移{avg_offset:.0f}ms"</t>
        </is>
      </c>
    </row>
    <row r="165">
      <c r="A165" s="9" t="n">
        <v>162</v>
      </c>
      <c r="B165" s="10" t="inlineStr">
        <is>
          <t xml:space="preserve">            else:</t>
        </is>
      </c>
    </row>
    <row r="166">
      <c r="A166" s="7" t="n">
        <v>163</v>
      </c>
      <c r="B166" s="8" t="inlineStr">
        <is>
          <t xml:space="preserve">                status = "sync_bad"</t>
        </is>
      </c>
    </row>
    <row r="167">
      <c r="A167" s="9" t="n">
        <v>164</v>
      </c>
      <c r="B167" s="10" t="inlineStr">
        <is>
          <t xml:space="preserve">                detail = f"严重音画不同步，平均偏移{avg_offset:.0f}ms"</t>
        </is>
      </c>
    </row>
    <row r="168">
      <c r="A168" s="7" t="n">
        <v>165</v>
      </c>
      <c r="B168" s="8" t="inlineStr">
        <is>
          <t xml:space="preserve">            execute_sql(</t>
        </is>
      </c>
    </row>
    <row r="169">
      <c r="A169" s="9" t="n">
        <v>166</v>
      </c>
      <c r="B169" s="10" t="inlineStr">
        <is>
          <t xml:space="preserve">                "INSERT INTO av_sync_results (material_id, offset_ms, sync_status, details) VALUES (?, ?, ?, ?)",</t>
        </is>
      </c>
    </row>
    <row r="170">
      <c r="A170" s="7" t="n">
        <v>167</v>
      </c>
      <c r="B170" s="8" t="inlineStr">
        <is>
          <t xml:space="preserve">                (material_id, round(avg_offset, 1), status, detail)</t>
        </is>
      </c>
    </row>
    <row r="171">
      <c r="A171" s="9" t="n">
        <v>168</v>
      </c>
      <c r="B171" s="10" t="inlineStr">
        <is>
          <t xml:space="preserve">            )</t>
        </is>
      </c>
    </row>
    <row r="172">
      <c r="A172" s="7" t="n">
        <v>169</v>
      </c>
      <c r="B172" s="8" t="inlineStr">
        <is>
          <t xml:space="preserve">            logger.info(f"音画同步检测完成: {status} | 偏移{avg_offset:.0f}ms")</t>
        </is>
      </c>
    </row>
    <row r="173">
      <c r="A173" s="9" t="n">
        <v>170</v>
      </c>
      <c r="B173" s="10" t="inlineStr">
        <is>
          <t xml:space="preserve">            return {"status": status, "offset_ms": round(avg_offset, 1)}</t>
        </is>
      </c>
    </row>
    <row r="174">
      <c r="A174" s="7" t="n">
        <v>171</v>
      </c>
      <c r="B174" s="8" t="inlineStr">
        <is>
          <t xml:space="preserve">        execute_sql(</t>
        </is>
      </c>
    </row>
    <row r="175">
      <c r="A175" s="9" t="n">
        <v>172</v>
      </c>
      <c r="B175" s="10" t="inlineStr">
        <is>
          <t xml:space="preserve">            "INSERT INTO av_sync_results (material_id, offset_ms, sync_status, details) VALUES (?, 0, 'unknown', '无重叠音频字幕段')",</t>
        </is>
      </c>
    </row>
    <row r="176">
      <c r="A176" s="7" t="n">
        <v>173</v>
      </c>
      <c r="B176" s="8" t="inlineStr">
        <is>
          <t xml:space="preserve">            (material_id,)</t>
        </is>
      </c>
    </row>
    <row r="177">
      <c r="A177" s="9" t="n">
        <v>174</v>
      </c>
      <c r="B177" s="10" t="inlineStr">
        <is>
          <t xml:space="preserve">        )</t>
        </is>
      </c>
    </row>
    <row r="178">
      <c r="A178" s="7" t="n">
        <v>175</v>
      </c>
      <c r="B178" s="8" t="inlineStr">
        <is>
          <t xml:space="preserve">        return {"status": "unknown", "offset_ms": 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modules\video_analyzer.py</t>
        </is>
      </c>
      <c r="C1" s="5" t="inlineStr">
        <is>
          <t>行数: 187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视频基础分析模块</t>
        </is>
      </c>
    </row>
    <row r="6">
      <c r="A6" s="7" t="n">
        <v>3</v>
      </c>
      <c r="B6" s="8" t="inlineStr">
        <is>
          <t>场景切分、黑帧检测、画幅参数校验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</t>
        </is>
      </c>
    </row>
    <row r="9">
      <c r="A9" s="9" t="n">
        <v>6</v>
      </c>
      <c r="B9" s="10" t="inlineStr">
        <is>
          <t>import cv2</t>
        </is>
      </c>
    </row>
    <row r="10">
      <c r="A10" s="7" t="n">
        <v>7</v>
      </c>
      <c r="B10" s="8" t="inlineStr">
        <is>
          <t>import yaml</t>
        </is>
      </c>
    </row>
    <row r="11">
      <c r="A11" s="9" t="n">
        <v>8</v>
      </c>
      <c r="B11" s="10" t="inlineStr">
        <is>
          <t>import numpy as np</t>
        </is>
      </c>
    </row>
    <row r="12">
      <c r="A12" s="7" t="n">
        <v>9</v>
      </c>
      <c r="B12" s="8" t="inlineStr">
        <is>
          <t>from decord import VideoReader</t>
        </is>
      </c>
    </row>
    <row r="13">
      <c r="A13" s="9" t="n">
        <v>10</v>
      </c>
      <c r="B13" s="10" t="inlineStr">
        <is>
          <t>from decord import cpu, gpu</t>
        </is>
      </c>
    </row>
    <row r="14">
      <c r="A14" s="7" t="n">
        <v>11</v>
      </c>
      <c r="B14" s="8" t="inlineStr">
        <is>
          <t>from utils.logger import get_logger</t>
        </is>
      </c>
    </row>
    <row r="15">
      <c r="A15" s="9" t="n">
        <v>12</v>
      </c>
      <c r="B15" s="10" t="inlineStr">
        <is>
          <t>from utils.ffmpeg_utils import get_video_info</t>
        </is>
      </c>
    </row>
    <row r="16">
      <c r="A16" s="7" t="n">
        <v>13</v>
      </c>
      <c r="B16" s="8" t="inlineStr">
        <is>
          <t>from core.database import execute_sql, query_sql</t>
        </is>
      </c>
    </row>
    <row r="17">
      <c r="A17" s="9" t="n">
        <v>14</v>
      </c>
      <c r="B17" s="10" t="inlineStr">
        <is>
          <t>from utils.cache_manager import cache_manager</t>
        </is>
      </c>
    </row>
    <row r="18">
      <c r="A18" s="7" t="n">
        <v>15</v>
      </c>
      <c r="B18" s="8" t="inlineStr">
        <is>
          <t>logger = get_logger("video_analyzer")</t>
        </is>
      </c>
    </row>
    <row r="19">
      <c r="A19" s="9" t="n">
        <v>16</v>
      </c>
      <c r="B19" s="10" t="inlineStr">
        <is>
          <t>try:</t>
        </is>
      </c>
    </row>
    <row r="20">
      <c r="A20" s="7" t="n">
        <v>17</v>
      </c>
      <c r="B20" s="8" t="inlineStr">
        <is>
          <t xml:space="preserve">    with open("./config/optimize_config.yaml", "r", encoding="utf-8") as f:</t>
        </is>
      </c>
    </row>
    <row r="21">
      <c r="A21" s="9" t="n">
        <v>18</v>
      </c>
      <c r="B21" s="10" t="inlineStr">
        <is>
          <t xml:space="preserve">        CONFIG = yaml.safe_load(f)</t>
        </is>
      </c>
    </row>
    <row r="22">
      <c r="A22" s="7" t="n">
        <v>19</v>
      </c>
      <c r="B22" s="8" t="inlineStr">
        <is>
          <t>except Exception:</t>
        </is>
      </c>
    </row>
    <row r="23">
      <c r="A23" s="9" t="n">
        <v>20</v>
      </c>
      <c r="B23" s="10" t="inlineStr">
        <is>
          <t xml:space="preserve">    CONFIG = {}</t>
        </is>
      </c>
    </row>
    <row r="24">
      <c r="A24" s="7" t="n">
        <v>21</v>
      </c>
      <c r="B24" s="8" t="inlineStr">
        <is>
          <t>class VideoAnalyzer:</t>
        </is>
      </c>
    </row>
    <row r="25">
      <c r="A25" s="9" t="n">
        <v>22</v>
      </c>
      <c r="B25" s="10" t="inlineStr">
        <is>
          <t xml:space="preserve">    """视频基础分析器：场景切分、黑帧检测、参数校验"""</t>
        </is>
      </c>
    </row>
    <row r="26">
      <c r="A26" s="7" t="n">
        <v>23</v>
      </c>
      <c r="B26" s="8" t="inlineStr">
        <is>
          <t xml:space="preserve">    def __init__(self):</t>
        </is>
      </c>
    </row>
    <row r="27">
      <c r="A27" s="9" t="n">
        <v>24</v>
      </c>
      <c r="B27" s="10" t="inlineStr">
        <is>
          <t xml:space="preserve">        self.cpu_threads = CONFIG.get("performance", {}).get("cpu_threads", 8)</t>
        </is>
      </c>
    </row>
    <row r="28">
      <c r="A28" s="7" t="n">
        <v>25</v>
      </c>
      <c r="B28" s="8" t="inlineStr">
        <is>
          <t xml:space="preserve">        self.scene_threshold = CONFIG.get("sampling", {}).get("scene_change_threshold", 25)</t>
        </is>
      </c>
    </row>
    <row r="29">
      <c r="A29" s="9" t="n">
        <v>26</v>
      </c>
      <c r="B29" s="10" t="inlineStr">
        <is>
          <t xml:space="preserve">        self.base_fps = CONFIG.get("sampling", {}).get("base_sample_fps", 3.0)</t>
        </is>
      </c>
    </row>
    <row r="30">
      <c r="A30" s="7" t="n">
        <v>27</v>
      </c>
      <c r="B30" s="8" t="inlineStr">
        <is>
          <t xml:space="preserve">        # 解码设备：优先GPU，不可用时自动降级CPU</t>
        </is>
      </c>
    </row>
    <row r="31">
      <c r="A31" s="9" t="n">
        <v>28</v>
      </c>
      <c r="B31" s="10" t="inlineStr">
        <is>
          <t xml:space="preserve">        self.device = cpu(0)  # 默认CPU</t>
        </is>
      </c>
    </row>
    <row r="32">
      <c r="A32" s="7" t="n">
        <v>29</v>
      </c>
      <c r="B32" s="8" t="inlineStr">
        <is>
          <t xml:space="preserve">        if CONFIG.get("model", {}).get("video_decode_device") == "gpu":</t>
        </is>
      </c>
    </row>
    <row r="33">
      <c r="A33" s="9" t="n">
        <v>30</v>
      </c>
      <c r="B33" s="10" t="inlineStr">
        <is>
          <t xml:space="preserve">            try:</t>
        </is>
      </c>
    </row>
    <row r="34">
      <c r="A34" s="7" t="n">
        <v>31</v>
      </c>
      <c r="B34" s="8" t="inlineStr">
        <is>
          <t xml:space="preserve">                import torch</t>
        </is>
      </c>
    </row>
    <row r="35">
      <c r="A35" s="9" t="n">
        <v>32</v>
      </c>
      <c r="B35" s="10" t="inlineStr">
        <is>
          <t xml:space="preserve">                if torch.cuda.is_available():</t>
        </is>
      </c>
    </row>
    <row r="36">
      <c r="A36" s="7" t="n">
        <v>33</v>
      </c>
      <c r="B36" s="8" t="inlineStr">
        <is>
          <t xml:space="preserve">                    self.device = gpu(0)</t>
        </is>
      </c>
    </row>
    <row r="37">
      <c r="A37" s="9" t="n">
        <v>34</v>
      </c>
      <c r="B37" s="10" t="inlineStr">
        <is>
          <t xml:space="preserve">                    logger.info("视频解码器: GPU(NVDEC)")</t>
        </is>
      </c>
    </row>
    <row r="38">
      <c r="A38" s="7" t="n">
        <v>35</v>
      </c>
      <c r="B38" s="8" t="inlineStr">
        <is>
          <t xml:space="preserve">                else:</t>
        </is>
      </c>
    </row>
    <row r="39">
      <c r="A39" s="9" t="n">
        <v>36</v>
      </c>
      <c r="B39" s="10" t="inlineStr">
        <is>
          <t xml:space="preserve">                    logger.info("视频解码器: CPU (CUDA不可用)")</t>
        </is>
      </c>
    </row>
    <row r="40">
      <c r="A40" s="7" t="n">
        <v>37</v>
      </c>
      <c r="B40" s="8" t="inlineStr">
        <is>
          <t xml:space="preserve">            except Exception:</t>
        </is>
      </c>
    </row>
    <row r="41">
      <c r="A41" s="9" t="n">
        <v>38</v>
      </c>
      <c r="B41" s="10" t="inlineStr">
        <is>
          <t xml:space="preserve">                logger.info("视频解码器: CPU (GPU驱动不可用)")</t>
        </is>
      </c>
    </row>
    <row r="42">
      <c r="A42" s="7" t="n">
        <v>39</v>
      </c>
      <c r="B42" s="8" t="inlineStr">
        <is>
          <t xml:space="preserve">        else:</t>
        </is>
      </c>
    </row>
    <row r="43">
      <c r="A43" s="9" t="n">
        <v>40</v>
      </c>
      <c r="B43" s="10" t="inlineStr">
        <is>
          <t xml:space="preserve">            logger.info("视频解码器: CPU")</t>
        </is>
      </c>
    </row>
    <row r="44">
      <c r="A44" s="7" t="n">
        <v>41</v>
      </c>
      <c r="B44" s="8" t="inlineStr">
        <is>
          <t xml:space="preserve">        logger.info("视频分析器初始化完成")</t>
        </is>
      </c>
    </row>
    <row r="45">
      <c r="A45" s="9" t="n">
        <v>42</v>
      </c>
      <c r="B45" s="10" t="inlineStr">
        <is>
          <t xml:space="preserve">    def split_scenes(self, video_path: str, material_id: int):</t>
        </is>
      </c>
    </row>
    <row r="46">
      <c r="A46" s="7" t="n">
        <v>43</v>
      </c>
      <c r="B46" s="8" t="inlineStr">
        <is>
          <t xml:space="preserve">        """基于帧间差异的场景切分"""</t>
        </is>
      </c>
    </row>
    <row r="47">
      <c r="A47" s="9" t="n">
        <v>44</v>
      </c>
      <c r="B47" s="10" t="inlineStr">
        <is>
          <t xml:space="preserve">        cache = cache_manager.get_cache(video_path, "scene_split")</t>
        </is>
      </c>
    </row>
    <row r="48">
      <c r="A48" s="7" t="n">
        <v>45</v>
      </c>
      <c r="B48" s="8" t="inlineStr">
        <is>
          <t xml:space="preserve">        if cache:</t>
        </is>
      </c>
    </row>
    <row r="49">
      <c r="A49" s="9" t="n">
        <v>46</v>
      </c>
      <c r="B49" s="10" t="inlineStr">
        <is>
          <t xml:space="preserve">            for scene in cache:</t>
        </is>
      </c>
    </row>
    <row r="50">
      <c r="A50" s="7" t="n">
        <v>47</v>
      </c>
      <c r="B50" s="8" t="inlineStr">
        <is>
          <t xml:space="preserve">                execute_sql(</t>
        </is>
      </c>
    </row>
    <row r="51">
      <c r="A51" s="9" t="n">
        <v>48</v>
      </c>
      <c r="B51" s="10" t="inlineStr">
        <is>
          <t xml:space="preserve">                    "INSERT OR IGNORE INTO scene_features (material_id, scene_index, start_time, end_time, keyframe_path) VALUES (?, ?, ?, ?, ?)",</t>
        </is>
      </c>
    </row>
    <row r="52">
      <c r="A52" s="7" t="n">
        <v>49</v>
      </c>
      <c r="B52" s="8" t="inlineStr">
        <is>
          <t xml:space="preserve">                    (material_id, scene["index"], scene["start"], scene["end"], scene["keyframe"])</t>
        </is>
      </c>
    </row>
    <row r="53">
      <c r="A53" s="9" t="n">
        <v>50</v>
      </c>
      <c r="B53" s="10" t="inlineStr">
        <is>
          <t xml:space="preserve">                )</t>
        </is>
      </c>
    </row>
    <row r="54">
      <c r="A54" s="7" t="n">
        <v>51</v>
      </c>
      <c r="B54" s="8" t="inlineStr">
        <is>
          <t xml:space="preserve">            logger.info(f"场景切分命中缓存，共{len(cache)}个场景")</t>
        </is>
      </c>
    </row>
    <row r="55">
      <c r="A55" s="9" t="n">
        <v>52</v>
      </c>
      <c r="B55" s="10" t="inlineStr">
        <is>
          <t xml:space="preserve">            return cache</t>
        </is>
      </c>
    </row>
    <row r="56">
      <c r="A56" s="7" t="n">
        <v>53</v>
      </c>
      <c r="B56" s="8" t="inlineStr">
        <is>
          <t xml:space="preserve">        logger.info(f"开始场景切分: {video_path}")</t>
        </is>
      </c>
    </row>
    <row r="57">
      <c r="A57" s="9" t="n">
        <v>54</v>
      </c>
      <c r="B57" s="10" t="inlineStr">
        <is>
          <t xml:space="preserve">        info = get_video_info(video_path)</t>
        </is>
      </c>
    </row>
    <row r="58">
      <c r="A58" s="7" t="n">
        <v>55</v>
      </c>
      <c r="B58" s="8" t="inlineStr">
        <is>
          <t xml:space="preserve">        fps = info.get("fps", 25)</t>
        </is>
      </c>
    </row>
    <row r="59">
      <c r="A59" s="9" t="n">
        <v>56</v>
      </c>
      <c r="B59" s="10" t="inlineStr">
        <is>
          <t xml:space="preserve">        width = info.get("width", 0)</t>
        </is>
      </c>
    </row>
    <row r="60">
      <c r="A60" s="7" t="n">
        <v>57</v>
      </c>
      <c r="B60" s="8" t="inlineStr">
        <is>
          <t xml:space="preserve">        height = info.get("height", 0)</t>
        </is>
      </c>
    </row>
    <row r="61">
      <c r="A61" s="9" t="n">
        <v>58</v>
      </c>
      <c r="B61" s="10" t="inlineStr">
        <is>
          <t xml:space="preserve">        duration = info.get("duration", 0)</t>
        </is>
      </c>
    </row>
    <row r="62">
      <c r="A62" s="7" t="n">
        <v>59</v>
      </c>
      <c r="B62" s="8" t="inlineStr">
        <is>
          <t xml:space="preserve">        if fps == 0 or duration == 0:</t>
        </is>
      </c>
    </row>
    <row r="63">
      <c r="A63" s="9" t="n">
        <v>60</v>
      </c>
      <c r="B63" s="10" t="inlineStr">
        <is>
          <t xml:space="preserve">            logger.error(f"无法获取视频参数: {video_path}")</t>
        </is>
      </c>
    </row>
    <row r="64">
      <c r="A64" s="7" t="n">
        <v>61</v>
      </c>
      <c r="B64" s="8" t="inlineStr">
        <is>
          <t xml:space="preserve">            return []</t>
        </is>
      </c>
    </row>
    <row r="65">
      <c r="A65" s="9" t="n">
        <v>62</v>
      </c>
      <c r="B65" s="10" t="inlineStr">
        <is>
          <t xml:space="preserve">        vr = VideoReader(video_path, ctx=self.device, num_threads=self.cpu_threads)</t>
        </is>
      </c>
    </row>
    <row r="66">
      <c r="A66" s="7" t="n">
        <v>63</v>
      </c>
      <c r="B66" s="8" t="inlineStr">
        <is>
          <t xml:space="preserve">        total_frames = len(vr)</t>
        </is>
      </c>
    </row>
    <row r="67">
      <c r="A67" s="9" t="n">
        <v>64</v>
      </c>
      <c r="B67" s="10" t="inlineStr">
        <is>
          <t xml:space="preserve">        step = max(1, int(fps / self.base_fps))</t>
        </is>
      </c>
    </row>
    <row r="68">
      <c r="A68" s="7" t="n">
        <v>65</v>
      </c>
      <c r="B68" s="8" t="inlineStr">
        <is>
          <t xml:space="preserve">        frame_indices = list(range(0, total_frames, step))</t>
        </is>
      </c>
    </row>
    <row r="69">
      <c r="A69" s="9" t="n">
        <v>66</v>
      </c>
      <c r="B69" s="10" t="inlineStr">
        <is>
          <t xml:space="preserve">        scenes = []</t>
        </is>
      </c>
    </row>
    <row r="70">
      <c r="A70" s="7" t="n">
        <v>67</v>
      </c>
      <c r="B70" s="8" t="inlineStr">
        <is>
          <t xml:space="preserve">        prev_hist = None</t>
        </is>
      </c>
    </row>
    <row r="71">
      <c r="A71" s="9" t="n">
        <v>68</v>
      </c>
      <c r="B71" s="10" t="inlineStr">
        <is>
          <t xml:space="preserve">        scene_index = 0</t>
        </is>
      </c>
    </row>
    <row r="72">
      <c r="A72" s="7" t="n">
        <v>69</v>
      </c>
      <c r="B72" s="8" t="inlineStr">
        <is>
          <t xml:space="preserve">        keyframe_dir = f"./data/keyframes/{material_id}"</t>
        </is>
      </c>
    </row>
    <row r="73">
      <c r="A73" s="9" t="n">
        <v>70</v>
      </c>
      <c r="B73" s="10" t="inlineStr">
        <is>
          <t xml:space="preserve">        os.makedirs(keyframe_dir, exist_ok=True)</t>
        </is>
      </c>
    </row>
    <row r="74">
      <c r="A74" s="7" t="n">
        <v>71</v>
      </c>
      <c r="B74" s="8" t="inlineStr">
        <is>
          <t xml:space="preserve">        for i, frame_idx in enumerate(frame_indices):</t>
        </is>
      </c>
    </row>
    <row r="75">
      <c r="A75" s="9" t="n">
        <v>72</v>
      </c>
      <c r="B75" s="10" t="inlineStr">
        <is>
          <t xml:space="preserve">            try:</t>
        </is>
      </c>
    </row>
    <row r="76">
      <c r="A76" s="7" t="n">
        <v>73</v>
      </c>
      <c r="B76" s="8" t="inlineStr">
        <is>
          <t xml:space="preserve">                frame = vr[frame_idx].asnumpy()</t>
        </is>
      </c>
    </row>
    <row r="77">
      <c r="A77" s="9" t="n">
        <v>74</v>
      </c>
      <c r="B77" s="10" t="inlineStr">
        <is>
          <t xml:space="preserve">                gray = cv2.cvtColor(frame, cv2.COLOR_RGB2GRAY)</t>
        </is>
      </c>
    </row>
    <row r="78">
      <c r="A78" s="7" t="n">
        <v>75</v>
      </c>
      <c r="B78" s="8" t="inlineStr">
        <is>
          <t xml:space="preserve">                hist = cv2.calcHist([gray], [0], None, [64], [0, 256])</t>
        </is>
      </c>
    </row>
    <row r="79">
      <c r="A79" s="9" t="n">
        <v>76</v>
      </c>
      <c r="B79" s="10" t="inlineStr">
        <is>
          <t xml:space="preserve">                hist = cv2.normalize(hist, hist).flatten()</t>
        </is>
      </c>
    </row>
    <row r="80">
      <c r="A80" s="7" t="n">
        <v>77</v>
      </c>
      <c r="B80" s="8" t="inlineStr">
        <is>
          <t xml:space="preserve">                current_time = frame_idx / fps</t>
        </is>
      </c>
    </row>
    <row r="81">
      <c r="A81" s="9" t="n">
        <v>78</v>
      </c>
      <c r="B81" s="10" t="inlineStr">
        <is>
          <t xml:space="preserve">                if prev_hist is not None:</t>
        </is>
      </c>
    </row>
    <row r="82">
      <c r="A82" s="7" t="n">
        <v>79</v>
      </c>
      <c r="B82" s="8" t="inlineStr">
        <is>
          <t xml:space="preserve">                    diff = cv2.compareHist(prev_hist, hist, cv2.HISTCMP_CHISQR)</t>
        </is>
      </c>
    </row>
    <row r="83">
      <c r="A83" s="9" t="n">
        <v>80</v>
      </c>
      <c r="B83" s="10" t="inlineStr">
        <is>
          <t xml:space="preserve">                    if diff &gt; self.scene_threshold:</t>
        </is>
      </c>
    </row>
    <row r="84">
      <c r="A84" s="7" t="n">
        <v>81</v>
      </c>
      <c r="B84" s="8" t="inlineStr">
        <is>
          <t xml:space="preserve">                        # 上一个场景结束</t>
        </is>
      </c>
    </row>
    <row r="85">
      <c r="A85" s="9" t="n">
        <v>82</v>
      </c>
      <c r="B85" s="10" t="inlineStr">
        <is>
          <t xml:space="preserve">                        if scenes:</t>
        </is>
      </c>
    </row>
    <row r="86">
      <c r="A86" s="7" t="n">
        <v>83</v>
      </c>
      <c r="B86" s="8" t="inlineStr">
        <is>
          <t xml:space="preserve">                            scenes[-1]["end"] = round(current_time, 2)</t>
        </is>
      </c>
    </row>
    <row r="87">
      <c r="A87" s="9" t="n">
        <v>84</v>
      </c>
      <c r="B87" s="10" t="inlineStr">
        <is>
          <t xml:space="preserve">                        # 保存关键帧</t>
        </is>
      </c>
    </row>
    <row r="88">
      <c r="A88" s="7" t="n">
        <v>85</v>
      </c>
      <c r="B88" s="8" t="inlineStr">
        <is>
          <t xml:space="preserve">                        keyframe_path = os.path.join(keyframe_dir, f"scene_{scene_index:04d}.jpg")</t>
        </is>
      </c>
    </row>
    <row r="89">
      <c r="A89" s="9" t="n">
        <v>86</v>
      </c>
      <c r="B89" s="10" t="inlineStr">
        <is>
          <t xml:space="preserve">                        cv2.imwrite(keyframe_path, cv2.cvtColor(frame, cv2.COLOR_RGB2BGR))</t>
        </is>
      </c>
    </row>
    <row r="90">
      <c r="A90" s="7" t="n">
        <v>87</v>
      </c>
      <c r="B90" s="8" t="inlineStr">
        <is>
          <t xml:space="preserve">                        scene_index += 1</t>
        </is>
      </c>
    </row>
    <row r="91">
      <c r="A91" s="9" t="n">
        <v>88</v>
      </c>
      <c r="B91" s="10" t="inlineStr">
        <is>
          <t xml:space="preserve">                        scenes.append({</t>
        </is>
      </c>
    </row>
    <row r="92">
      <c r="A92" s="7" t="n">
        <v>89</v>
      </c>
      <c r="B92" s="8" t="inlineStr">
        <is>
          <t xml:space="preserve">                            "index": scene_index,</t>
        </is>
      </c>
    </row>
    <row r="93">
      <c r="A93" s="9" t="n">
        <v>90</v>
      </c>
      <c r="B93" s="10" t="inlineStr">
        <is>
          <t xml:space="preserve">                            "start": round(current_time, 2),</t>
        </is>
      </c>
    </row>
    <row r="94">
      <c r="A94" s="7" t="n">
        <v>91</v>
      </c>
      <c r="B94" s="8" t="inlineStr">
        <is>
          <t xml:space="preserve">                            "end": round(min(current_time + 5, duration), 2),</t>
        </is>
      </c>
    </row>
    <row r="95">
      <c r="A95" s="9" t="n">
        <v>92</v>
      </c>
      <c r="B95" s="10" t="inlineStr">
        <is>
          <t xml:space="preserve">                            "keyframe": keyframe_path</t>
        </is>
      </c>
    </row>
    <row r="96">
      <c r="A96" s="7" t="n">
        <v>93</v>
      </c>
      <c r="B96" s="8" t="inlineStr">
        <is>
          <t xml:space="preserve">                        })</t>
        </is>
      </c>
    </row>
    <row r="97">
      <c r="A97" s="9" t="n">
        <v>94</v>
      </c>
      <c r="B97" s="10" t="inlineStr">
        <is>
          <t xml:space="preserve">                # 第一个场景</t>
        </is>
      </c>
    </row>
    <row r="98">
      <c r="A98" s="7" t="n">
        <v>95</v>
      </c>
      <c r="B98" s="8" t="inlineStr">
        <is>
          <t xml:space="preserve">                if prev_hist is None and current_time == 0:</t>
        </is>
      </c>
    </row>
    <row r="99">
      <c r="A99" s="9" t="n">
        <v>96</v>
      </c>
      <c r="B99" s="10" t="inlineStr">
        <is>
          <t xml:space="preserve">                    keyframe_path = os.path.join(keyframe_dir, f"scene_{scene_index:04d}.jpg")</t>
        </is>
      </c>
    </row>
    <row r="100">
      <c r="A100" s="7" t="n">
        <v>97</v>
      </c>
      <c r="B100" s="8" t="inlineStr">
        <is>
          <t xml:space="preserve">                    cv2.imwrite(keyframe_path, cv2.cvtColor(frame, cv2.COLOR_RGB2BGR))</t>
        </is>
      </c>
    </row>
    <row r="101">
      <c r="A101" s="9" t="n">
        <v>98</v>
      </c>
      <c r="B101" s="10" t="inlineStr">
        <is>
          <t xml:space="preserve">                    scenes.append({</t>
        </is>
      </c>
    </row>
    <row r="102">
      <c r="A102" s="7" t="n">
        <v>99</v>
      </c>
      <c r="B102" s="8" t="inlineStr">
        <is>
          <t xml:space="preserve">                        "index": scene_index,</t>
        </is>
      </c>
    </row>
    <row r="103">
      <c r="A103" s="9" t="n">
        <v>100</v>
      </c>
      <c r="B103" s="10" t="inlineStr">
        <is>
          <t xml:space="preserve">                        "start": 0,</t>
        </is>
      </c>
    </row>
    <row r="104">
      <c r="A104" s="7" t="n">
        <v>101</v>
      </c>
      <c r="B104" s="8" t="inlineStr">
        <is>
          <t xml:space="preserve">                        "end": round(min(5, duration), 2),</t>
        </is>
      </c>
    </row>
    <row r="105">
      <c r="A105" s="9" t="n">
        <v>102</v>
      </c>
      <c r="B105" s="10" t="inlineStr">
        <is>
          <t xml:space="preserve">                        "keyframe": keyframe_path</t>
        </is>
      </c>
    </row>
    <row r="106">
      <c r="A106" s="7" t="n">
        <v>103</v>
      </c>
      <c r="B106" s="8" t="inlineStr">
        <is>
          <t xml:space="preserve">                    })</t>
        </is>
      </c>
    </row>
    <row r="107">
      <c r="A107" s="9" t="n">
        <v>104</v>
      </c>
      <c r="B107" s="10" t="inlineStr">
        <is>
          <t xml:space="preserve">                prev_hist = hist</t>
        </is>
      </c>
    </row>
    <row r="108">
      <c r="A108" s="7" t="n">
        <v>105</v>
      </c>
      <c r="B108" s="8" t="inlineStr">
        <is>
          <t xml:space="preserve">            except Exception as e:</t>
        </is>
      </c>
    </row>
    <row r="109">
      <c r="A109" s="9" t="n">
        <v>106</v>
      </c>
      <c r="B109" s="10" t="inlineStr">
        <is>
          <t xml:space="preserve">                logger.debug(f"帧{frame_idx}处理异常: {e}")</t>
        </is>
      </c>
    </row>
    <row r="110">
      <c r="A110" s="7" t="n">
        <v>107</v>
      </c>
      <c r="B110" s="8" t="inlineStr">
        <is>
          <t xml:space="preserve">                continue</t>
        </is>
      </c>
    </row>
    <row r="111">
      <c r="A111" s="9" t="n">
        <v>108</v>
      </c>
      <c r="B111" s="10" t="inlineStr">
        <is>
          <t xml:space="preserve">        # 修正最后一个场景的结束时间</t>
        </is>
      </c>
    </row>
    <row r="112">
      <c r="A112" s="7" t="n">
        <v>109</v>
      </c>
      <c r="B112" s="8" t="inlineStr">
        <is>
          <t xml:space="preserve">        if scenes:</t>
        </is>
      </c>
    </row>
    <row r="113">
      <c r="A113" s="9" t="n">
        <v>110</v>
      </c>
      <c r="B113" s="10" t="inlineStr">
        <is>
          <t xml:space="preserve">            scenes[-1]["end"] = round(duration, 2)</t>
        </is>
      </c>
    </row>
    <row r="114">
      <c r="A114" s="7" t="n">
        <v>111</v>
      </c>
      <c r="B114" s="8" t="inlineStr">
        <is>
          <t xml:space="preserve">        # 入库</t>
        </is>
      </c>
    </row>
    <row r="115">
      <c r="A115" s="9" t="n">
        <v>112</v>
      </c>
      <c r="B115" s="10" t="inlineStr">
        <is>
          <t xml:space="preserve">        for scene in scenes:</t>
        </is>
      </c>
    </row>
    <row r="116">
      <c r="A116" s="7" t="n">
        <v>113</v>
      </c>
      <c r="B116" s="8" t="inlineStr">
        <is>
          <t xml:space="preserve">            execute_sql(</t>
        </is>
      </c>
    </row>
    <row r="117">
      <c r="A117" s="9" t="n">
        <v>114</v>
      </c>
      <c r="B117" s="10" t="inlineStr">
        <is>
          <t xml:space="preserve">                "INSERT INTO scene_features (material_id, scene_index, start_time, end_time, keyframe_path) VALUES (?, ?, ?, ?, ?)",</t>
        </is>
      </c>
    </row>
    <row r="118">
      <c r="A118" s="7" t="n">
        <v>115</v>
      </c>
      <c r="B118" s="8" t="inlineStr">
        <is>
          <t xml:space="preserve">                (material_id, scene["index"], scene["start"], scene["end"], scene["keyframe"])</t>
        </is>
      </c>
    </row>
    <row r="119">
      <c r="A119" s="9" t="n">
        <v>116</v>
      </c>
      <c r="B119" s="10" t="inlineStr">
        <is>
          <t xml:space="preserve">            )</t>
        </is>
      </c>
    </row>
    <row r="120">
      <c r="A120" s="7" t="n">
        <v>117</v>
      </c>
      <c r="B120" s="8" t="inlineStr">
        <is>
          <t xml:space="preserve">        cache_manager.set_cache(video_path, "scene_split", scenes)</t>
        </is>
      </c>
    </row>
    <row r="121">
      <c r="A121" s="9" t="n">
        <v>118</v>
      </c>
      <c r="B121" s="10" t="inlineStr">
        <is>
          <t xml:space="preserve">        logger.info(f"场景切分完成，共{len(scenes)}个场景")</t>
        </is>
      </c>
    </row>
    <row r="122">
      <c r="A122" s="7" t="n">
        <v>119</v>
      </c>
      <c r="B122" s="8" t="inlineStr">
        <is>
          <t xml:space="preserve">        return scenes</t>
        </is>
      </c>
    </row>
    <row r="123">
      <c r="A123" s="9" t="n">
        <v>120</v>
      </c>
      <c r="B123" s="10" t="inlineStr">
        <is>
          <t xml:space="preserve">    def detect_black_frame(self, video_path: str, material_id: int):</t>
        </is>
      </c>
    </row>
    <row r="124">
      <c r="A124" s="7" t="n">
        <v>121</v>
      </c>
      <c r="B124" s="8" t="inlineStr">
        <is>
          <t xml:space="preserve">        """黑帧/空白帧检测"""</t>
        </is>
      </c>
    </row>
    <row r="125">
      <c r="A125" s="9" t="n">
        <v>122</v>
      </c>
      <c r="B125" s="10" t="inlineStr">
        <is>
          <t xml:space="preserve">        cache = cache_manager.get_cache(video_path, "black_frame")</t>
        </is>
      </c>
    </row>
    <row r="126">
      <c r="A126" s="7" t="n">
        <v>123</v>
      </c>
      <c r="B126" s="8" t="inlineStr">
        <is>
          <t xml:space="preserve">        if cache:</t>
        </is>
      </c>
    </row>
    <row r="127">
      <c r="A127" s="9" t="n">
        <v>124</v>
      </c>
      <c r="B127" s="10" t="inlineStr">
        <is>
          <t xml:space="preserve">            for bf in cache:</t>
        </is>
      </c>
    </row>
    <row r="128">
      <c r="A128" s="7" t="n">
        <v>125</v>
      </c>
      <c r="B128" s="8" t="inlineStr">
        <is>
          <t xml:space="preserve">                execute_sql(</t>
        </is>
      </c>
    </row>
    <row r="129">
      <c r="A129" s="9" t="n">
        <v>126</v>
      </c>
      <c r="B129" s="10" t="inlineStr">
        <is>
          <t xml:space="preserve">                    "INSERT OR IGNORE INTO quality_results (material_id, check_type, issue_level, issue_desc, start_time, end_time) VALUES (?, ?, ?, ?, ?, ?)",</t>
        </is>
      </c>
    </row>
    <row r="130">
      <c r="A130" s="7" t="n">
        <v>127</v>
      </c>
      <c r="B130" s="8" t="inlineStr">
        <is>
          <t xml:space="preserve">                    (material_id, "画面质量", bf["level"], bf["desc"], bf["start"], bf["end"])</t>
        </is>
      </c>
    </row>
    <row r="131">
      <c r="A131" s="9" t="n">
        <v>128</v>
      </c>
      <c r="B131" s="10" t="inlineStr">
        <is>
          <t xml:space="preserve">                )</t>
        </is>
      </c>
    </row>
    <row r="132">
      <c r="A132" s="7" t="n">
        <v>129</v>
      </c>
      <c r="B132" s="8" t="inlineStr">
        <is>
          <t xml:space="preserve">            logger.info(f"黑帧检测命中缓存，共{len(cache)}处")</t>
        </is>
      </c>
    </row>
    <row r="133">
      <c r="A133" s="9" t="n">
        <v>130</v>
      </c>
      <c r="B133" s="10" t="inlineStr">
        <is>
          <t xml:space="preserve">            return cache</t>
        </is>
      </c>
    </row>
    <row r="134">
      <c r="A134" s="7" t="n">
        <v>131</v>
      </c>
      <c r="B134" s="8" t="inlineStr">
        <is>
          <t xml:space="preserve">        logger.info(f"开始黑帧检测: {video_path}")</t>
        </is>
      </c>
    </row>
    <row r="135">
      <c r="A135" s="9" t="n">
        <v>132</v>
      </c>
      <c r="B135" s="10" t="inlineStr">
        <is>
          <t xml:space="preserve">        info = get_video_info(video_path)</t>
        </is>
      </c>
    </row>
    <row r="136">
      <c r="A136" s="7" t="n">
        <v>133</v>
      </c>
      <c r="B136" s="8" t="inlineStr">
        <is>
          <t xml:space="preserve">        fps = info.get("fps", 25)</t>
        </is>
      </c>
    </row>
    <row r="137">
      <c r="A137" s="9" t="n">
        <v>134</v>
      </c>
      <c r="B137" s="10" t="inlineStr">
        <is>
          <t xml:space="preserve">        vr = VideoReader(video_path, ctx=self.device, num_threads=self.cpu_threads)</t>
        </is>
      </c>
    </row>
    <row r="138">
      <c r="A138" s="7" t="n">
        <v>135</v>
      </c>
      <c r="B138" s="8" t="inlineStr">
        <is>
          <t xml:space="preserve">        total_frames = len(vr)</t>
        </is>
      </c>
    </row>
    <row r="139">
      <c r="A139" s="9" t="n">
        <v>136</v>
      </c>
      <c r="B139" s="10" t="inlineStr">
        <is>
          <t xml:space="preserve">        step = max(1, int(fps / 2))  # 每秒检测2帧</t>
        </is>
      </c>
    </row>
    <row r="140">
      <c r="A140" s="7" t="n">
        <v>137</v>
      </c>
      <c r="B140" s="8" t="inlineStr">
        <is>
          <t xml:space="preserve">        frame_indices = list(range(0, total_frames, step))</t>
        </is>
      </c>
    </row>
    <row r="141">
      <c r="A141" s="9" t="n">
        <v>138</v>
      </c>
      <c r="B141" s="10" t="inlineStr">
        <is>
          <t xml:space="preserve">        black_frames = []</t>
        </is>
      </c>
    </row>
    <row r="142">
      <c r="A142" s="7" t="n">
        <v>139</v>
      </c>
      <c r="B142" s="8" t="inlineStr">
        <is>
          <t xml:space="preserve">        black_threshold = 15  # 像素亮度阈值</t>
        </is>
      </c>
    </row>
    <row r="143">
      <c r="A143" s="9" t="n">
        <v>140</v>
      </c>
      <c r="B143" s="10" t="inlineStr">
        <is>
          <t xml:space="preserve">        for batch_start in range(0, len(frame_indices), 16):</t>
        </is>
      </c>
    </row>
    <row r="144">
      <c r="A144" s="7" t="n">
        <v>141</v>
      </c>
      <c r="B144" s="8" t="inlineStr">
        <is>
          <t xml:space="preserve">            batch_idx = frame_indices[batch_start:batch_start+16]</t>
        </is>
      </c>
    </row>
    <row r="145">
      <c r="A145" s="9" t="n">
        <v>142</v>
      </c>
      <c r="B145" s="10" t="inlineStr">
        <is>
          <t xml:space="preserve">            batch_frames = vr.get_batch(batch_idx).asnumpy()</t>
        </is>
      </c>
    </row>
    <row r="146">
      <c r="A146" s="7" t="n">
        <v>143</v>
      </c>
      <c r="B146" s="8" t="inlineStr">
        <is>
          <t xml:space="preserve">            for idx, frame in enumerate(batch_frames):</t>
        </is>
      </c>
    </row>
    <row r="147">
      <c r="A147" s="9" t="n">
        <v>144</v>
      </c>
      <c r="B147" s="10" t="inlineStr">
        <is>
          <t xml:space="preserve">                gray = cv2.cvtColor(frame, cv2.COLOR_RGB2GRAY)</t>
        </is>
      </c>
    </row>
    <row r="148">
      <c r="A148" s="7" t="n">
        <v>145</v>
      </c>
      <c r="B148" s="8" t="inlineStr">
        <is>
          <t xml:space="preserve">                mean_brightness = gray.mean()</t>
        </is>
      </c>
    </row>
    <row r="149">
      <c r="A149" s="9" t="n">
        <v>146</v>
      </c>
      <c r="B149" s="10" t="inlineStr">
        <is>
          <t xml:space="preserve">                if mean_brightness &lt; black_threshold:</t>
        </is>
      </c>
    </row>
    <row r="150">
      <c r="A150" s="7" t="n">
        <v>147</v>
      </c>
      <c r="B150" s="8" t="inlineStr">
        <is>
          <t xml:space="preserve">                    frame_num = batch_idx[idx]</t>
        </is>
      </c>
    </row>
    <row r="151">
      <c r="A151" s="9" t="n">
        <v>148</v>
      </c>
      <c r="B151" s="10" t="inlineStr">
        <is>
          <t xml:space="preserve">                    current_time = frame_num / fps</t>
        </is>
      </c>
    </row>
    <row r="152">
      <c r="A152" s="7" t="n">
        <v>149</v>
      </c>
      <c r="B152" s="8" t="inlineStr">
        <is>
          <t xml:space="preserve">                    black_frames.append({</t>
        </is>
      </c>
    </row>
    <row r="153">
      <c r="A153" s="9" t="n">
        <v>150</v>
      </c>
      <c r="B153" s="10" t="inlineStr">
        <is>
          <t xml:space="preserve">                        "type": "黑帧/空白帧",</t>
        </is>
      </c>
    </row>
    <row r="154">
      <c r="A154" s="7" t="n">
        <v>151</v>
      </c>
      <c r="B154" s="8" t="inlineStr">
        <is>
          <t xml:space="preserve">                        "start": round(current_time, 2),</t>
        </is>
      </c>
    </row>
    <row r="155">
      <c r="A155" s="9" t="n">
        <v>152</v>
      </c>
      <c r="B155" s="10" t="inlineStr">
        <is>
          <t xml:space="preserve">                        "end": round(current_time + 1, 2),</t>
        </is>
      </c>
    </row>
    <row r="156">
      <c r="A156" s="7" t="n">
        <v>153</v>
      </c>
      <c r="B156" s="8" t="inlineStr">
        <is>
          <t xml:space="preserve">                        "level": "warning",</t>
        </is>
      </c>
    </row>
    <row r="157">
      <c r="A157" s="9" t="n">
        <v>154</v>
      </c>
      <c r="B157" s="10" t="inlineStr">
        <is>
          <t xml:space="preserve">                        "desc": f"画面亮度过低({mean_brightness:.1f})，疑似黑帧"</t>
        </is>
      </c>
    </row>
    <row r="158">
      <c r="A158" s="7" t="n">
        <v>155</v>
      </c>
      <c r="B158" s="8" t="inlineStr">
        <is>
          <t xml:space="preserve">                    })</t>
        </is>
      </c>
    </row>
    <row r="159">
      <c r="A159" s="9" t="n">
        <v>156</v>
      </c>
      <c r="B159" s="10" t="inlineStr">
        <is>
          <t xml:space="preserve">        for bf in black_frames:</t>
        </is>
      </c>
    </row>
    <row r="160">
      <c r="A160" s="7" t="n">
        <v>157</v>
      </c>
      <c r="B160" s="8" t="inlineStr">
        <is>
          <t xml:space="preserve">            execute_sql(</t>
        </is>
      </c>
    </row>
    <row r="161">
      <c r="A161" s="9" t="n">
        <v>158</v>
      </c>
      <c r="B161" s="10" t="inlineStr">
        <is>
          <t xml:space="preserve">                "INSERT INTO quality_results (material_id, check_type, issue_level, issue_desc, start_time, end_time) VALUES (?, ?, ?, ?, ?, ?)",</t>
        </is>
      </c>
    </row>
    <row r="162">
      <c r="A162" s="7" t="n">
        <v>159</v>
      </c>
      <c r="B162" s="8" t="inlineStr">
        <is>
          <t xml:space="preserve">                (material_id, "画面质量", bf["level"], bf["desc"], bf["start"], bf["end"])</t>
        </is>
      </c>
    </row>
    <row r="163">
      <c r="A163" s="9" t="n">
        <v>160</v>
      </c>
      <c r="B163" s="10" t="inlineStr">
        <is>
          <t xml:space="preserve">            )</t>
        </is>
      </c>
    </row>
    <row r="164">
      <c r="A164" s="7" t="n">
        <v>161</v>
      </c>
      <c r="B164" s="8" t="inlineStr">
        <is>
          <t xml:space="preserve">        cache_manager.set_cache(video_path, "black_frame", black_frames)</t>
        </is>
      </c>
    </row>
    <row r="165">
      <c r="A165" s="9" t="n">
        <v>162</v>
      </c>
      <c r="B165" s="10" t="inlineStr">
        <is>
          <t xml:space="preserve">        logger.info(f"黑帧检测完成，发现{len(black_frames)}处")</t>
        </is>
      </c>
    </row>
    <row r="166">
      <c r="A166" s="7" t="n">
        <v>163</v>
      </c>
      <c r="B166" s="8" t="inlineStr">
        <is>
          <t xml:space="preserve">        return black_frames</t>
        </is>
      </c>
    </row>
    <row r="167">
      <c r="A167" s="9" t="n">
        <v>164</v>
      </c>
      <c r="B167" s="10" t="inlineStr">
        <is>
          <t xml:space="preserve">    def check_params(self, video_path: str, material_id: int):</t>
        </is>
      </c>
    </row>
    <row r="168">
      <c r="A168" s="7" t="n">
        <v>165</v>
      </c>
      <c r="B168" s="8" t="inlineStr">
        <is>
          <t xml:space="preserve">        """视频基础参数校验并入库"""</t>
        </is>
      </c>
    </row>
    <row r="169">
      <c r="A169" s="9" t="n">
        <v>166</v>
      </c>
      <c r="B169" s="10" t="inlineStr">
        <is>
          <t xml:space="preserve">        info = get_video_info(video_path)</t>
        </is>
      </c>
    </row>
    <row r="170">
      <c r="A170" s="7" t="n">
        <v>167</v>
      </c>
      <c r="B170" s="8" t="inlineStr">
        <is>
          <t xml:space="preserve">        if not info:</t>
        </is>
      </c>
    </row>
    <row r="171">
      <c r="A171" s="9" t="n">
        <v>168</v>
      </c>
      <c r="B171" s="10" t="inlineStr">
        <is>
          <t xml:space="preserve">            return</t>
        </is>
      </c>
    </row>
    <row r="172">
      <c r="A172" s="7" t="n">
        <v>169</v>
      </c>
      <c r="B172" s="8" t="inlineStr">
        <is>
          <t xml:space="preserve">        execute_sql(</t>
        </is>
      </c>
    </row>
    <row r="173">
      <c r="A173" s="9" t="n">
        <v>170</v>
      </c>
      <c r="B173" s="10" t="inlineStr">
        <is>
          <t xml:space="preserve">            """UPDATE materials SET</t>
        </is>
      </c>
    </row>
    <row r="174">
      <c r="A174" s="7" t="n">
        <v>171</v>
      </c>
      <c r="B174" s="8" t="inlineStr">
        <is>
          <t xml:space="preserve">                duration=?, fps=?, width=?, height=?, file_name=?</t>
        </is>
      </c>
    </row>
    <row r="175">
      <c r="A175" s="9" t="n">
        <v>172</v>
      </c>
      <c r="B175" s="10" t="inlineStr">
        <is>
          <t xml:space="preserve">            WHERE id=?""",</t>
        </is>
      </c>
    </row>
    <row r="176">
      <c r="A176" s="7" t="n">
        <v>173</v>
      </c>
      <c r="B176" s="8" t="inlineStr">
        <is>
          <t xml:space="preserve">            (info.get("duration", 0), info.get("fps", 0),</t>
        </is>
      </c>
    </row>
    <row r="177">
      <c r="A177" s="9" t="n">
        <v>174</v>
      </c>
      <c r="B177" s="10" t="inlineStr">
        <is>
          <t xml:space="preserve">             info.get("width", 0), info.get("height", 0),</t>
        </is>
      </c>
    </row>
    <row r="178">
      <c r="A178" s="7" t="n">
        <v>175</v>
      </c>
      <c r="B178" s="8" t="inlineStr">
        <is>
          <t xml:space="preserve">             os.path.basename(video_path), material_id)</t>
        </is>
      </c>
    </row>
    <row r="179">
      <c r="A179" s="9" t="n">
        <v>176</v>
      </c>
      <c r="B179" s="10" t="inlineStr">
        <is>
          <t xml:space="preserve">        )</t>
        </is>
      </c>
    </row>
    <row r="180">
      <c r="A180" s="7" t="n">
        <v>177</v>
      </c>
      <c r="B180" s="8" t="inlineStr">
        <is>
          <t xml:space="preserve">        # 补创建materials记录（如果不存在）</t>
        </is>
      </c>
    </row>
    <row r="181">
      <c r="A181" s="9" t="n">
        <v>178</v>
      </c>
      <c r="B181" s="10" t="inlineStr">
        <is>
          <t xml:space="preserve">        existing = query_sql("SELECT id FROM materials WHERE id=?", (material_id,))</t>
        </is>
      </c>
    </row>
    <row r="182">
      <c r="A182" s="7" t="n">
        <v>179</v>
      </c>
      <c r="B182" s="8" t="inlineStr">
        <is>
          <t xml:space="preserve">        if not existing:</t>
        </is>
      </c>
    </row>
    <row r="183">
      <c r="A183" s="9" t="n">
        <v>180</v>
      </c>
      <c r="B183" s="10" t="inlineStr">
        <is>
          <t xml:space="preserve">            execute_sql(</t>
        </is>
      </c>
    </row>
    <row r="184">
      <c r="A184" s="7" t="n">
        <v>181</v>
      </c>
      <c r="B184" s="8" t="inlineStr">
        <is>
          <t xml:space="preserve">                "INSERT INTO materials (id, file_name, file_path, duration, fps, width, height, status) VALUES (?, ?, ?, ?, ?, ?, ?, 'pending')",</t>
        </is>
      </c>
    </row>
    <row r="185">
      <c r="A185" s="9" t="n">
        <v>182</v>
      </c>
      <c r="B185" s="10" t="inlineStr">
        <is>
          <t xml:space="preserve">                (material_id, os.path.basename(video_path), video_path,</t>
        </is>
      </c>
    </row>
    <row r="186">
      <c r="A186" s="7" t="n">
        <v>183</v>
      </c>
      <c r="B186" s="8" t="inlineStr">
        <is>
          <t xml:space="preserve">                 info.get("duration", 0), info.get("fps", 0),</t>
        </is>
      </c>
    </row>
    <row r="187">
      <c r="A187" s="9" t="n">
        <v>184</v>
      </c>
      <c r="B187" s="10" t="inlineStr">
        <is>
          <t xml:space="preserve">                 info.get("width", 0), info.get("height", 0))</t>
        </is>
      </c>
    </row>
    <row r="188">
      <c r="A188" s="7" t="n">
        <v>185</v>
      </c>
      <c r="B188" s="8" t="inlineStr">
        <is>
          <t xml:space="preserve">            )</t>
        </is>
      </c>
    </row>
    <row r="189">
      <c r="A189" s="9" t="n">
        <v>186</v>
      </c>
      <c r="B189" s="10" t="inlineStr">
        <is>
          <t xml:space="preserve">        logger.info(f"视频参数入库完成: {info.get('width')}x{info.get('height')} @ {info.get('fps')}fps")</t>
        </is>
      </c>
    </row>
    <row r="190">
      <c r="A190" s="7" t="n">
        <v>187</v>
      </c>
      <c r="B190" s="8" t="inlineStr">
        <is>
          <t xml:space="preserve">        return info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plugins\__init__.py</t>
        </is>
      </c>
      <c r="C1" s="5" t="inlineStr">
        <is>
          <t>行数: 0</t>
        </is>
      </c>
    </row>
    <row r="3">
      <c r="A3" s="4" t="inlineStr">
        <is>
          <t>源代码: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plugins\base_plugin.py</t>
        </is>
      </c>
      <c r="C1" s="5" t="inlineStr">
        <is>
          <t>行数: 20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插件基类 - 所有业务插件的标准接口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from abc import ABC, abstractmethod</t>
        </is>
      </c>
    </row>
    <row r="8">
      <c r="A8" s="7" t="n">
        <v>5</v>
      </c>
      <c r="B8" s="8" t="inlineStr">
        <is>
          <t>class BasePlugin(ABC):</t>
        </is>
      </c>
    </row>
    <row r="9">
      <c r="A9" s="9" t="n">
        <v>6</v>
      </c>
      <c r="B9" s="10" t="inlineStr">
        <is>
          <t xml:space="preserve">    """所有插件的抽象基类"""</t>
        </is>
      </c>
    </row>
    <row r="10">
      <c r="A10" s="7" t="n">
        <v>7</v>
      </c>
      <c r="B10" s="8" t="inlineStr">
        <is>
          <t xml:space="preserve">    name: str = "base_plugin"</t>
        </is>
      </c>
    </row>
    <row r="11">
      <c r="A11" s="9" t="n">
        <v>8</v>
      </c>
      <c r="B11" s="10" t="inlineStr">
        <is>
          <t xml:space="preserve">    category: str = "base"</t>
        </is>
      </c>
    </row>
    <row r="12">
      <c r="A12" s="7" t="n">
        <v>9</v>
      </c>
      <c r="B12" s="8" t="inlineStr">
        <is>
          <t xml:space="preserve">    description: str = "基础插件"</t>
        </is>
      </c>
    </row>
    <row r="13">
      <c r="A13" s="9" t="n">
        <v>10</v>
      </c>
      <c r="B13" s="10" t="inlineStr">
        <is>
          <t xml:space="preserve">    @abstractmethod</t>
        </is>
      </c>
    </row>
    <row r="14">
      <c r="A14" s="7" t="n">
        <v>11</v>
      </c>
      <c r="B14" s="8" t="inlineStr">
        <is>
          <t xml:space="preserve">    def run(self, material_id: int, video_path: str) -&gt; dict:</t>
        </is>
      </c>
    </row>
    <row r="15">
      <c r="A15" s="9" t="n">
        <v>12</v>
      </c>
      <c r="B15" s="10" t="inlineStr">
        <is>
          <t xml:space="preserve">        """</t>
        </is>
      </c>
    </row>
    <row r="16">
      <c r="A16" s="7" t="n">
        <v>13</v>
      </c>
      <c r="B16" s="8" t="inlineStr">
        <is>
          <t xml:space="preserve">        执行插件逻辑</t>
        </is>
      </c>
    </row>
    <row r="17">
      <c r="A17" s="9" t="n">
        <v>14</v>
      </c>
      <c r="B17" s="10" t="inlineStr">
        <is>
          <t xml:space="preserve">        Args:</t>
        </is>
      </c>
    </row>
    <row r="18">
      <c r="A18" s="7" t="n">
        <v>15</v>
      </c>
      <c r="B18" s="8" t="inlineStr">
        <is>
          <t xml:space="preserve">            material_id: 素材数据库ID</t>
        </is>
      </c>
    </row>
    <row r="19">
      <c r="A19" s="9" t="n">
        <v>16</v>
      </c>
      <c r="B19" s="10" t="inlineStr">
        <is>
          <t xml:space="preserve">            video_path: 视频文件路径</t>
        </is>
      </c>
    </row>
    <row r="20">
      <c r="A20" s="7" t="n">
        <v>17</v>
      </c>
      <c r="B20" s="8" t="inlineStr">
        <is>
          <t xml:space="preserve">        Returns:</t>
        </is>
      </c>
    </row>
    <row r="21">
      <c r="A21" s="9" t="n">
        <v>18</v>
      </c>
      <c r="B21" s="10" t="inlineStr">
        <is>
          <t xml:space="preserve">            {"status": "success|cached|skipped|failed", ...}</t>
        </is>
      </c>
    </row>
    <row r="22">
      <c r="A22" s="7" t="n">
        <v>19</v>
      </c>
      <c r="B22" s="8" t="inlineStr">
        <is>
          <t xml:space="preserve">        """</t>
        </is>
      </c>
    </row>
    <row r="23">
      <c r="A23" s="9" t="n">
        <v>20</v>
      </c>
      <c r="B23" s="10" t="inlineStr">
        <is>
          <t xml:space="preserve">        ...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plugins\correct\__init__.py</t>
        </is>
      </c>
      <c r="C1" s="5" t="inlineStr">
        <is>
          <t>行数: 0</t>
        </is>
      </c>
    </row>
    <row r="3">
      <c r="A3" s="4" t="inlineStr">
        <is>
          <t>源代码: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plugins\correct\standard_transcode_plugin.py</t>
        </is>
      </c>
      <c r="C1" s="5" t="inlineStr">
        <is>
          <t>行数: 75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"""自动转码到标准参数插件"""</t>
        </is>
      </c>
    </row>
    <row r="5">
      <c r="A5" s="9" t="n">
        <v>2</v>
      </c>
      <c r="B5" s="10" t="inlineStr">
        <is>
          <t>import os</t>
        </is>
      </c>
    </row>
    <row r="6">
      <c r="A6" s="7" t="n">
        <v>3</v>
      </c>
      <c r="B6" s="8" t="inlineStr">
        <is>
          <t>import subprocess</t>
        </is>
      </c>
    </row>
    <row r="7">
      <c r="A7" s="9" t="n">
        <v>4</v>
      </c>
      <c r="B7" s="10" t="inlineStr">
        <is>
          <t>from plugins.base_plugin import BasePlugin</t>
        </is>
      </c>
    </row>
    <row r="8">
      <c r="A8" s="7" t="n">
        <v>5</v>
      </c>
      <c r="B8" s="8" t="inlineStr">
        <is>
          <t>from utils.logger import get_logger</t>
        </is>
      </c>
    </row>
    <row r="9">
      <c r="A9" s="9" t="n">
        <v>6</v>
      </c>
      <c r="B9" s="10" t="inlineStr">
        <is>
          <t>from core.database import execute_sql, query_sql</t>
        </is>
      </c>
    </row>
    <row r="10">
      <c r="A10" s="7" t="n">
        <v>7</v>
      </c>
      <c r="B10" s="8" t="inlineStr">
        <is>
          <t>from utils.cache_manager import cache_manager</t>
        </is>
      </c>
    </row>
    <row r="11">
      <c r="A11" s="9" t="n">
        <v>8</v>
      </c>
      <c r="B11" s="10" t="inlineStr">
        <is>
          <t>from core.config_loader import CONFIG</t>
        </is>
      </c>
    </row>
    <row r="12">
      <c r="A12" s="7" t="n">
        <v>9</v>
      </c>
      <c r="B12" s="8" t="inlineStr">
        <is>
          <t>logger = get_logger("plugin.standard_transcode")</t>
        </is>
      </c>
    </row>
    <row r="13">
      <c r="A13" s="9" t="n">
        <v>10</v>
      </c>
      <c r="B13" s="10" t="inlineStr">
        <is>
          <t>OUTPUT_DIR = CONFIG["auto_correct"]["output_dir"]</t>
        </is>
      </c>
    </row>
    <row r="14">
      <c r="A14" s="7" t="n">
        <v>11</v>
      </c>
      <c r="B14" s="8" t="inlineStr">
        <is>
          <t>os.makedirs(OUTPUT_DIR, exist_ok=True)</t>
        </is>
      </c>
    </row>
    <row r="15">
      <c r="A15" s="9" t="n">
        <v>12</v>
      </c>
      <c r="B15" s="10" t="inlineStr">
        <is>
          <t>CFG = CONFIG["auto_correct"]</t>
        </is>
      </c>
    </row>
    <row r="16">
      <c r="A16" s="7" t="n">
        <v>13</v>
      </c>
      <c r="B16" s="8" t="inlineStr">
        <is>
          <t>class StandardTranscodePlugin(BasePlugin):</t>
        </is>
      </c>
    </row>
    <row r="17">
      <c r="A17" s="9" t="n">
        <v>14</v>
      </c>
      <c r="B17" s="10" t="inlineStr">
        <is>
          <t xml:space="preserve">    name = "standard_transcode"</t>
        </is>
      </c>
    </row>
    <row r="18">
      <c r="A18" s="7" t="n">
        <v>15</v>
      </c>
      <c r="B18" s="8" t="inlineStr">
        <is>
          <t xml:space="preserve">    category = "correct"</t>
        </is>
      </c>
    </row>
    <row r="19">
      <c r="A19" s="9" t="n">
        <v>16</v>
      </c>
      <c r="B19" s="10" t="inlineStr">
        <is>
          <t xml:space="preserve">    description = "自动转码到标准参数（分辨率+帧率+码率）"</t>
        </is>
      </c>
    </row>
    <row r="20">
      <c r="A20" s="7" t="n">
        <v>17</v>
      </c>
      <c r="B20" s="8" t="inlineStr">
        <is>
          <t xml:space="preserve">    def run(self, material_id: int, video_path: str) -&gt; dict:</t>
        </is>
      </c>
    </row>
    <row r="21">
      <c r="A21" s="9" t="n">
        <v>18</v>
      </c>
      <c r="B21" s="10" t="inlineStr">
        <is>
          <t xml:space="preserve">        param_issues = query_sql(</t>
        </is>
      </c>
    </row>
    <row r="22">
      <c r="A22" s="7" t="n">
        <v>19</v>
      </c>
      <c r="B22" s="8" t="inlineStr">
        <is>
          <t xml:space="preserve">            "SELECT id FROM quality_results WHERE material_id=? AND check_type='参数合规' AND is_fixed=0",</t>
        </is>
      </c>
    </row>
    <row r="23">
      <c r="A23" s="9" t="n">
        <v>20</v>
      </c>
      <c r="B23" s="10" t="inlineStr">
        <is>
          <t xml:space="preserve">            (material_id,)</t>
        </is>
      </c>
    </row>
    <row r="24">
      <c r="A24" s="7" t="n">
        <v>21</v>
      </c>
      <c r="B24" s="8" t="inlineStr">
        <is>
          <t xml:space="preserve">        )</t>
        </is>
      </c>
    </row>
    <row r="25">
      <c r="A25" s="9" t="n">
        <v>22</v>
      </c>
      <c r="B25" s="10" t="inlineStr">
        <is>
          <t xml:space="preserve">        aspect_issues = query_sql(</t>
        </is>
      </c>
    </row>
    <row r="26">
      <c r="A26" s="7" t="n">
        <v>23</v>
      </c>
      <c r="B26" s="8" t="inlineStr">
        <is>
          <t xml:space="preserve">            "SELECT id FROM quality_results WHERE material_id=? AND check_type='画幅合规' AND is_fixed=0",</t>
        </is>
      </c>
    </row>
    <row r="27">
      <c r="A27" s="9" t="n">
        <v>24</v>
      </c>
      <c r="B27" s="10" t="inlineStr">
        <is>
          <t xml:space="preserve">            (material_id,)</t>
        </is>
      </c>
    </row>
    <row r="28">
      <c r="A28" s="7" t="n">
        <v>25</v>
      </c>
      <c r="B28" s="8" t="inlineStr">
        <is>
          <t xml:space="preserve">        )</t>
        </is>
      </c>
    </row>
    <row r="29">
      <c r="A29" s="9" t="n">
        <v>26</v>
      </c>
      <c r="B29" s="10" t="inlineStr">
        <is>
          <t xml:space="preserve">        if not param_issues and not aspect_issues:</t>
        </is>
      </c>
    </row>
    <row r="30">
      <c r="A30" s="7" t="n">
        <v>27</v>
      </c>
      <c r="B30" s="8" t="inlineStr">
        <is>
          <t xml:space="preserve">            return {"status": "skipped", "fixed": 0}</t>
        </is>
      </c>
    </row>
    <row r="31">
      <c r="A31" s="9" t="n">
        <v>28</v>
      </c>
      <c r="B31" s="10" t="inlineStr">
        <is>
          <t xml:space="preserve">        base_name = os.path.splitext(os.path.basename(video_path))[0]</t>
        </is>
      </c>
    </row>
    <row r="32">
      <c r="A32" s="7" t="n">
        <v>29</v>
      </c>
      <c r="B32" s="8" t="inlineStr">
        <is>
          <t xml:space="preserve">        output_path = os.path.join(OUTPUT_DIR, f"{base_name}_standard.mp4")</t>
        </is>
      </c>
    </row>
    <row r="33">
      <c r="A33" s="9" t="n">
        <v>30</v>
      </c>
      <c r="B33" s="10" t="inlineStr">
        <is>
          <t xml:space="preserve">        w, h = 1080, 1920</t>
        </is>
      </c>
    </row>
    <row r="34">
      <c r="A34" s="7" t="n">
        <v>31</v>
      </c>
      <c r="B34" s="8" t="inlineStr">
        <is>
          <t xml:space="preserve">        vf_filter = (</t>
        </is>
      </c>
    </row>
    <row r="35">
      <c r="A35" s="9" t="n">
        <v>32</v>
      </c>
      <c r="B35" s="10" t="inlineStr">
        <is>
          <t xml:space="preserve">            f"scale={w}:{h}:force_original_aspect_ratio=decrease,"</t>
        </is>
      </c>
    </row>
    <row r="36">
      <c r="A36" s="7" t="n">
        <v>33</v>
      </c>
      <c r="B36" s="8" t="inlineStr">
        <is>
          <t xml:space="preserve">            f"pad={w}:{h}:(ow-iw)/2:(oh-ih)/2"</t>
        </is>
      </c>
    </row>
    <row r="37">
      <c r="A37" s="9" t="n">
        <v>34</v>
      </c>
      <c r="B37" s="10" t="inlineStr">
        <is>
          <t xml:space="preserve">        )</t>
        </is>
      </c>
    </row>
    <row r="38">
      <c r="A38" s="7" t="n">
        <v>35</v>
      </c>
      <c r="B38" s="8" t="inlineStr">
        <is>
          <t xml:space="preserve">        # 检测NVENC可用性</t>
        </is>
      </c>
    </row>
    <row r="39">
      <c r="A39" s="9" t="n">
        <v>36</v>
      </c>
      <c r="B39" s="10" t="inlineStr">
        <is>
          <t xml:space="preserve">        vcodec = "libx264"</t>
        </is>
      </c>
    </row>
    <row r="40">
      <c r="A40" s="7" t="n">
        <v>37</v>
      </c>
      <c r="B40" s="8" t="inlineStr">
        <is>
          <t xml:space="preserve">        try:</t>
        </is>
      </c>
    </row>
    <row r="41">
      <c r="A41" s="9" t="n">
        <v>38</v>
      </c>
      <c r="B41" s="10" t="inlineStr">
        <is>
          <t xml:space="preserve">            test = subprocess.run(</t>
        </is>
      </c>
    </row>
    <row r="42">
      <c r="A42" s="7" t="n">
        <v>39</v>
      </c>
      <c r="B42" s="8" t="inlineStr">
        <is>
          <t xml:space="preserve">                ["ffmpeg", "-hide_banner", "-encoders"],</t>
        </is>
      </c>
    </row>
    <row r="43">
      <c r="A43" s="9" t="n">
        <v>40</v>
      </c>
      <c r="B43" s="10" t="inlineStr">
        <is>
          <t xml:space="preserve">                capture_output=True, text=True, timeout=10, encoding="utf-8"</t>
        </is>
      </c>
    </row>
    <row r="44">
      <c r="A44" s="7" t="n">
        <v>41</v>
      </c>
      <c r="B44" s="8" t="inlineStr">
        <is>
          <t xml:space="preserve">            )</t>
        </is>
      </c>
    </row>
    <row r="45">
      <c r="A45" s="9" t="n">
        <v>42</v>
      </c>
      <c r="B45" s="10" t="inlineStr">
        <is>
          <t xml:space="preserve">            if "h264_nvenc" in test.stdout:</t>
        </is>
      </c>
    </row>
    <row r="46">
      <c r="A46" s="7" t="n">
        <v>43</v>
      </c>
      <c r="B46" s="8" t="inlineStr">
        <is>
          <t xml:space="preserve">                vcodec = "h264_nvenc"</t>
        </is>
      </c>
    </row>
    <row r="47">
      <c r="A47" s="9" t="n">
        <v>44</v>
      </c>
      <c r="B47" s="10" t="inlineStr">
        <is>
          <t xml:space="preserve">        except Exception:</t>
        </is>
      </c>
    </row>
    <row r="48">
      <c r="A48" s="7" t="n">
        <v>45</v>
      </c>
      <c r="B48" s="8" t="inlineStr">
        <is>
          <t xml:space="preserve">            pass</t>
        </is>
      </c>
    </row>
    <row r="49">
      <c r="A49" s="9" t="n">
        <v>46</v>
      </c>
      <c r="B49" s="10" t="inlineStr">
        <is>
          <t xml:space="preserve">        cmd = [</t>
        </is>
      </c>
    </row>
    <row r="50">
      <c r="A50" s="7" t="n">
        <v>47</v>
      </c>
      <c r="B50" s="8" t="inlineStr">
        <is>
          <t xml:space="preserve">            "ffmpeg", "-y",</t>
        </is>
      </c>
    </row>
    <row r="51">
      <c r="A51" s="9" t="n">
        <v>48</v>
      </c>
      <c r="B51" s="10" t="inlineStr">
        <is>
          <t xml:space="preserve">            "-i", video_path,</t>
        </is>
      </c>
    </row>
    <row r="52">
      <c r="A52" s="7" t="n">
        <v>49</v>
      </c>
      <c r="B52" s="8" t="inlineStr">
        <is>
          <t xml:space="preserve">            "-vf", vf_filter,</t>
        </is>
      </c>
    </row>
    <row r="53">
      <c r="A53" s="9" t="n">
        <v>50</v>
      </c>
      <c r="B53" s="10" t="inlineStr">
        <is>
          <t xml:space="preserve">            "-r", str(CFG["standard_fps"]),</t>
        </is>
      </c>
    </row>
    <row r="54">
      <c r="A54" s="7" t="n">
        <v>51</v>
      </c>
      <c r="B54" s="8" t="inlineStr">
        <is>
          <t xml:space="preserve">            "-b:v", str(CFG["target_bitrate"]),</t>
        </is>
      </c>
    </row>
    <row r="55">
      <c r="A55" s="9" t="n">
        <v>52</v>
      </c>
      <c r="B55" s="10" t="inlineStr">
        <is>
          <t xml:space="preserve">            "-vcodec", vcodec,</t>
        </is>
      </c>
    </row>
    <row r="56">
      <c r="A56" s="7" t="n">
        <v>53</v>
      </c>
      <c r="B56" s="8" t="inlineStr">
        <is>
          <t xml:space="preserve">            "-acodec", "aac",</t>
        </is>
      </c>
    </row>
    <row r="57">
      <c r="A57" s="9" t="n">
        <v>54</v>
      </c>
      <c r="B57" s="10" t="inlineStr">
        <is>
          <t xml:space="preserve">            "-preset", "fast" if vcodec == "libx264" else "p1",</t>
        </is>
      </c>
    </row>
    <row r="58">
      <c r="A58" s="7" t="n">
        <v>55</v>
      </c>
      <c r="B58" s="8" t="inlineStr">
        <is>
          <t xml:space="preserve">            output_path,</t>
        </is>
      </c>
    </row>
    <row r="59">
      <c r="A59" s="9" t="n">
        <v>56</v>
      </c>
      <c r="B59" s="10" t="inlineStr">
        <is>
          <t xml:space="preserve">        ]</t>
        </is>
      </c>
    </row>
    <row r="60">
      <c r="A60" s="7" t="n">
        <v>57</v>
      </c>
      <c r="B60" s="8" t="inlineStr">
        <is>
          <t xml:space="preserve">        try:</t>
        </is>
      </c>
    </row>
    <row r="61">
      <c r="A61" s="9" t="n">
        <v>58</v>
      </c>
      <c r="B61" s="10" t="inlineStr">
        <is>
          <t xml:space="preserve">            result = subprocess.run(cmd, capture_output=True, text=True, timeout=600, encoding="utf-8")</t>
        </is>
      </c>
    </row>
    <row r="62">
      <c r="A62" s="7" t="n">
        <v>59</v>
      </c>
      <c r="B62" s="8" t="inlineStr">
        <is>
          <t xml:space="preserve">            if result.returncode != 0:</t>
        </is>
      </c>
    </row>
    <row r="63">
      <c r="A63" s="9" t="n">
        <v>60</v>
      </c>
      <c r="B63" s="10" t="inlineStr">
        <is>
          <t xml:space="preserve">                logger.error(f"标准转码失败: {result.stderr[:300]}")</t>
        </is>
      </c>
    </row>
    <row r="64">
      <c r="A64" s="7" t="n">
        <v>61</v>
      </c>
      <c r="B64" s="8" t="inlineStr">
        <is>
          <t xml:space="preserve">                return {"status": "failed", "error": result.stderr[:300]}</t>
        </is>
      </c>
    </row>
    <row r="65">
      <c r="A65" s="9" t="n">
        <v>62</v>
      </c>
      <c r="B65" s="10" t="inlineStr">
        <is>
          <t xml:space="preserve">            execute_sql(</t>
        </is>
      </c>
    </row>
    <row r="66">
      <c r="A66" s="7" t="n">
        <v>63</v>
      </c>
      <c r="B66" s="8" t="inlineStr">
        <is>
          <t xml:space="preserve">                "UPDATE quality_results SET is_fixed=1 WHERE material_id=? AND check_type IN ('参数合规','画幅合规')",</t>
        </is>
      </c>
    </row>
    <row r="67">
      <c r="A67" s="9" t="n">
        <v>64</v>
      </c>
      <c r="B67" s="10" t="inlineStr">
        <is>
          <t xml:space="preserve">                (material_id,)</t>
        </is>
      </c>
    </row>
    <row r="68">
      <c r="A68" s="7" t="n">
        <v>65</v>
      </c>
      <c r="B68" s="8" t="inlineStr">
        <is>
          <t xml:space="preserve">            )</t>
        </is>
      </c>
    </row>
    <row r="69">
      <c r="A69" s="9" t="n">
        <v>66</v>
      </c>
      <c r="B69" s="10" t="inlineStr">
        <is>
          <t xml:space="preserve">            cache_manager.invalidate(video_path, "param_check")</t>
        </is>
      </c>
    </row>
    <row r="70">
      <c r="A70" s="7" t="n">
        <v>67</v>
      </c>
      <c r="B70" s="8" t="inlineStr">
        <is>
          <t xml:space="preserve">            cache_manager.invalidate(video_path, "aspect_check")</t>
        </is>
      </c>
    </row>
    <row r="71">
      <c r="A71" s="9" t="n">
        <v>68</v>
      </c>
      <c r="B71" s="10" t="inlineStr">
        <is>
          <t xml:space="preserve">            execute_sql("UPDATE materials SET file_path=?, version=version+1 WHERE id=?", (output_path, material_id))</t>
        </is>
      </c>
    </row>
    <row r="72">
      <c r="A72" s="7" t="n">
        <v>69</v>
      </c>
      <c r="B72" s="8" t="inlineStr">
        <is>
          <t xml:space="preserve">            logger.info(f"标准转码完成: {output_path}")</t>
        </is>
      </c>
    </row>
    <row r="73">
      <c r="A73" s="9" t="n">
        <v>70</v>
      </c>
      <c r="B73" s="10" t="inlineStr">
        <is>
          <t xml:space="preserve">            return {"status": "success", "fixed": len(param_issues) + len(aspect_issues), "output_path": output_path}</t>
        </is>
      </c>
    </row>
    <row r="74">
      <c r="A74" s="7" t="n">
        <v>71</v>
      </c>
      <c r="B74" s="8" t="inlineStr">
        <is>
          <t xml:space="preserve">        except subprocess.TimeoutExpired:</t>
        </is>
      </c>
    </row>
    <row r="75">
      <c r="A75" s="9" t="n">
        <v>72</v>
      </c>
      <c r="B75" s="10" t="inlineStr">
        <is>
          <t xml:space="preserve">            return {"status": "failed", "error": "标准转码超时"}</t>
        </is>
      </c>
    </row>
    <row r="76">
      <c r="A76" s="7" t="n">
        <v>73</v>
      </c>
      <c r="B76" s="8" t="inlineStr">
        <is>
          <t xml:space="preserve">        except Exception as e:</t>
        </is>
      </c>
    </row>
    <row r="77">
      <c r="A77" s="9" t="n">
        <v>74</v>
      </c>
      <c r="B77" s="10" t="inlineStr">
        <is>
          <t xml:space="preserve">            logger.error(f"标准转码异常: {e}")</t>
        </is>
      </c>
    </row>
    <row r="78">
      <c r="A78" s="7" t="n">
        <v>75</v>
      </c>
      <c r="B78" s="8" t="inlineStr">
        <is>
          <t xml:space="preserve">            return {"status": "failed", "error": str(e)}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plugins\correct\subtitle_align_plugin.py</t>
        </is>
      </c>
      <c r="C1" s="5" t="inlineStr">
        <is>
          <t>行数: 41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"""自动对齐字幕时间轴插件"""</t>
        </is>
      </c>
    </row>
    <row r="5">
      <c r="A5" s="9" t="n">
        <v>2</v>
      </c>
      <c r="B5" s="10" t="inlineStr">
        <is>
          <t>from plugins.base_plugin import BasePlugin</t>
        </is>
      </c>
    </row>
    <row r="6">
      <c r="A6" s="7" t="n">
        <v>3</v>
      </c>
      <c r="B6" s="8" t="inlineStr">
        <is>
          <t>from utils.logger import get_logger</t>
        </is>
      </c>
    </row>
    <row r="7">
      <c r="A7" s="9" t="n">
        <v>4</v>
      </c>
      <c r="B7" s="10" t="inlineStr">
        <is>
          <t>from core.database import execute_sql, query_sql</t>
        </is>
      </c>
    </row>
    <row r="8">
      <c r="A8" s="7" t="n">
        <v>5</v>
      </c>
      <c r="B8" s="8" t="inlineStr">
        <is>
          <t>from utils.cache_manager import cache_manager</t>
        </is>
      </c>
    </row>
    <row r="9">
      <c r="A9" s="9" t="n">
        <v>6</v>
      </c>
      <c r="B9" s="10" t="inlineStr">
        <is>
          <t>logger = get_logger("plugin.subtitle_align")</t>
        </is>
      </c>
    </row>
    <row r="10">
      <c r="A10" s="7" t="n">
        <v>7</v>
      </c>
      <c r="B10" s="8" t="inlineStr">
        <is>
          <t>class SubtitleAlignPlugin(BasePlugin):</t>
        </is>
      </c>
    </row>
    <row r="11">
      <c r="A11" s="9" t="n">
        <v>8</v>
      </c>
      <c r="B11" s="10" t="inlineStr">
        <is>
          <t xml:space="preserve">    name = "subtitle_align"</t>
        </is>
      </c>
    </row>
    <row r="12">
      <c r="A12" s="7" t="n">
        <v>9</v>
      </c>
      <c r="B12" s="8" t="inlineStr">
        <is>
          <t xml:space="preserve">    category = "correct"</t>
        </is>
      </c>
    </row>
    <row r="13">
      <c r="A13" s="9" t="n">
        <v>10</v>
      </c>
      <c r="B13" s="10" t="inlineStr">
        <is>
          <t xml:space="preserve">    description = "自动对齐字幕时间轴匹配语音"</t>
        </is>
      </c>
    </row>
    <row r="14">
      <c r="A14" s="7" t="n">
        <v>11</v>
      </c>
      <c r="B14" s="8" t="inlineStr">
        <is>
          <t xml:space="preserve">    def run(self, material_id: int, video_path: str) -&gt; dict:</t>
        </is>
      </c>
    </row>
    <row r="15">
      <c r="A15" s="9" t="n">
        <v>12</v>
      </c>
      <c r="B15" s="10" t="inlineStr">
        <is>
          <t xml:space="preserve">        issues = query_sql(</t>
        </is>
      </c>
    </row>
    <row r="16">
      <c r="A16" s="7" t="n">
        <v>13</v>
      </c>
      <c r="B16" s="8" t="inlineStr">
        <is>
          <t xml:space="preserve">            "SELECT id FROM quality_results WHERE material_id=? AND check_type='音画同步' AND is_fixed=0",</t>
        </is>
      </c>
    </row>
    <row r="17">
      <c r="A17" s="9" t="n">
        <v>14</v>
      </c>
      <c r="B17" s="10" t="inlineStr">
        <is>
          <t xml:space="preserve">            (material_id,)</t>
        </is>
      </c>
    </row>
    <row r="18">
      <c r="A18" s="7" t="n">
        <v>15</v>
      </c>
      <c r="B18" s="8" t="inlineStr">
        <is>
          <t xml:space="preserve">        )</t>
        </is>
      </c>
    </row>
    <row r="19">
      <c r="A19" s="9" t="n">
        <v>16</v>
      </c>
      <c r="B19" s="10" t="inlineStr">
        <is>
          <t xml:space="preserve">        if not issues:</t>
        </is>
      </c>
    </row>
    <row r="20">
      <c r="A20" s="7" t="n">
        <v>17</v>
      </c>
      <c r="B20" s="8" t="inlineStr">
        <is>
          <t xml:space="preserve">            return {"status": "skipped", "fixed": 0}</t>
        </is>
      </c>
    </row>
    <row r="21">
      <c r="A21" s="9" t="n">
        <v>18</v>
      </c>
      <c r="B21" s="10" t="inlineStr">
        <is>
          <t xml:space="preserve">        audio_segs = query_sql(</t>
        </is>
      </c>
    </row>
    <row r="22">
      <c r="A22" s="7" t="n">
        <v>19</v>
      </c>
      <c r="B22" s="8" t="inlineStr">
        <is>
          <t xml:space="preserve">            "SELECT start_time, end_time FROM audio_features WHERE material_id=? AND audio_type='语音' ORDER BY start_time",</t>
        </is>
      </c>
    </row>
    <row r="23">
      <c r="A23" s="9" t="n">
        <v>20</v>
      </c>
      <c r="B23" s="10" t="inlineStr">
        <is>
          <t xml:space="preserve">            (material_id,)</t>
        </is>
      </c>
    </row>
    <row r="24">
      <c r="A24" s="7" t="n">
        <v>21</v>
      </c>
      <c r="B24" s="8" t="inlineStr">
        <is>
          <t xml:space="preserve">        )</t>
        </is>
      </c>
    </row>
    <row r="25">
      <c r="A25" s="9" t="n">
        <v>22</v>
      </c>
      <c r="B25" s="10" t="inlineStr">
        <is>
          <t xml:space="preserve">        sub_segs = query_sql(</t>
        </is>
      </c>
    </row>
    <row r="26">
      <c r="A26" s="7" t="n">
        <v>23</v>
      </c>
      <c r="B26" s="8" t="inlineStr">
        <is>
          <t xml:space="preserve">            "SELECT id FROM subtitle_features WHERE material_id=? ORDER BY start_time",</t>
        </is>
      </c>
    </row>
    <row r="27">
      <c r="A27" s="9" t="n">
        <v>24</v>
      </c>
      <c r="B27" s="10" t="inlineStr">
        <is>
          <t xml:space="preserve">            (material_id,)</t>
        </is>
      </c>
    </row>
    <row r="28">
      <c r="A28" s="7" t="n">
        <v>25</v>
      </c>
      <c r="B28" s="8" t="inlineStr">
        <is>
          <t xml:space="preserve">        )</t>
        </is>
      </c>
    </row>
    <row r="29">
      <c r="A29" s="9" t="n">
        <v>26</v>
      </c>
      <c r="B29" s="10" t="inlineStr">
        <is>
          <t xml:space="preserve">        if not audio_segs or not sub_segs:</t>
        </is>
      </c>
    </row>
    <row r="30">
      <c r="A30" s="7" t="n">
        <v>27</v>
      </c>
      <c r="B30" s="8" t="inlineStr">
        <is>
          <t xml:space="preserve">            return {"status": "skipped", "fixed": 0}</t>
        </is>
      </c>
    </row>
    <row r="31">
      <c r="A31" s="9" t="n">
        <v>28</v>
      </c>
      <c r="B31" s="10" t="inlineStr">
        <is>
          <t xml:space="preserve">        align_count = min(len(audio_segs), len(sub_segs))</t>
        </is>
      </c>
    </row>
    <row r="32">
      <c r="A32" s="7" t="n">
        <v>29</v>
      </c>
      <c r="B32" s="8" t="inlineStr">
        <is>
          <t xml:space="preserve">        for i in range(align_count):</t>
        </is>
      </c>
    </row>
    <row r="33">
      <c r="A33" s="9" t="n">
        <v>30</v>
      </c>
      <c r="B33" s="10" t="inlineStr">
        <is>
          <t xml:space="preserve">            sub_id = sub_segs[i][0]</t>
        </is>
      </c>
    </row>
    <row r="34">
      <c r="A34" s="7" t="n">
        <v>31</v>
      </c>
      <c r="B34" s="8" t="inlineStr">
        <is>
          <t xml:space="preserve">            execute_sql(</t>
        </is>
      </c>
    </row>
    <row r="35">
      <c r="A35" s="9" t="n">
        <v>32</v>
      </c>
      <c r="B35" s="10" t="inlineStr">
        <is>
          <t xml:space="preserve">                "UPDATE subtitle_features SET start_time=?, end_time=? WHERE id=?",</t>
        </is>
      </c>
    </row>
    <row r="36">
      <c r="A36" s="7" t="n">
        <v>33</v>
      </c>
      <c r="B36" s="8" t="inlineStr">
        <is>
          <t xml:space="preserve">                (audio_segs[i][0], audio_segs[i][1], sub_id)</t>
        </is>
      </c>
    </row>
    <row r="37">
      <c r="A37" s="9" t="n">
        <v>34</v>
      </c>
      <c r="B37" s="10" t="inlineStr">
        <is>
          <t xml:space="preserve">            )</t>
        </is>
      </c>
    </row>
    <row r="38">
      <c r="A38" s="7" t="n">
        <v>35</v>
      </c>
      <c r="B38" s="8" t="inlineStr">
        <is>
          <t xml:space="preserve">        execute_sql(</t>
        </is>
      </c>
    </row>
    <row r="39">
      <c r="A39" s="9" t="n">
        <v>36</v>
      </c>
      <c r="B39" s="10" t="inlineStr">
        <is>
          <t xml:space="preserve">            "UPDATE quality_results SET is_fixed=1 WHERE material_id=? AND check_type='音画同步'",</t>
        </is>
      </c>
    </row>
    <row r="40">
      <c r="A40" s="7" t="n">
        <v>37</v>
      </c>
      <c r="B40" s="8" t="inlineStr">
        <is>
          <t xml:space="preserve">            (material_id,)</t>
        </is>
      </c>
    </row>
    <row r="41">
      <c r="A41" s="9" t="n">
        <v>38</v>
      </c>
      <c r="B41" s="10" t="inlineStr">
        <is>
          <t xml:space="preserve">        )</t>
        </is>
      </c>
    </row>
    <row r="42">
      <c r="A42" s="7" t="n">
        <v>39</v>
      </c>
      <c r="B42" s="8" t="inlineStr">
        <is>
          <t xml:space="preserve">        cache_manager.invalidate(f"sync_{material_id}", "sync_check")</t>
        </is>
      </c>
    </row>
    <row r="43">
      <c r="A43" s="9" t="n">
        <v>40</v>
      </c>
      <c r="B43" s="10" t="inlineStr">
        <is>
          <t xml:space="preserve">        logger.info(f"字幕对齐完成，修正{align_count}条")</t>
        </is>
      </c>
    </row>
    <row r="44">
      <c r="A44" s="7" t="n">
        <v>41</v>
      </c>
      <c r="B44" s="8" t="inlineStr">
        <is>
          <t xml:space="preserve">        return {"status": "success", "fixed": align_count}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plugins\correct\trim_black_plugin.py</t>
        </is>
      </c>
      <c r="C1" s="5" t="inlineStr">
        <is>
          <t>行数: 75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"""自动裁剪黑场插件"""</t>
        </is>
      </c>
    </row>
    <row r="5">
      <c r="A5" s="9" t="n">
        <v>2</v>
      </c>
      <c r="B5" s="10" t="inlineStr">
        <is>
          <t>import os</t>
        </is>
      </c>
    </row>
    <row r="6">
      <c r="A6" s="7" t="n">
        <v>3</v>
      </c>
      <c r="B6" s="8" t="inlineStr">
        <is>
          <t>import subprocess</t>
        </is>
      </c>
    </row>
    <row r="7">
      <c r="A7" s="9" t="n">
        <v>4</v>
      </c>
      <c r="B7" s="10" t="inlineStr">
        <is>
          <t>from plugins.base_plugin import BasePlugin</t>
        </is>
      </c>
    </row>
    <row r="8">
      <c r="A8" s="7" t="n">
        <v>5</v>
      </c>
      <c r="B8" s="8" t="inlineStr">
        <is>
          <t>from utils.logger import get_logger</t>
        </is>
      </c>
    </row>
    <row r="9">
      <c r="A9" s="9" t="n">
        <v>6</v>
      </c>
      <c r="B9" s="10" t="inlineStr">
        <is>
          <t>from utils.ffmpeg_utils import get_video_info</t>
        </is>
      </c>
    </row>
    <row r="10">
      <c r="A10" s="7" t="n">
        <v>7</v>
      </c>
      <c r="B10" s="8" t="inlineStr">
        <is>
          <t>from core.database import execute_sql, query_sql</t>
        </is>
      </c>
    </row>
    <row r="11">
      <c r="A11" s="9" t="n">
        <v>8</v>
      </c>
      <c r="B11" s="10" t="inlineStr">
        <is>
          <t>from utils.cache_manager import cache_manager</t>
        </is>
      </c>
    </row>
    <row r="12">
      <c r="A12" s="7" t="n">
        <v>9</v>
      </c>
      <c r="B12" s="8" t="inlineStr">
        <is>
          <t>from core.config_loader import CONFIG</t>
        </is>
      </c>
    </row>
    <row r="13">
      <c r="A13" s="9" t="n">
        <v>10</v>
      </c>
      <c r="B13" s="10" t="inlineStr">
        <is>
          <t>logger = get_logger("plugin.trim_black")</t>
        </is>
      </c>
    </row>
    <row r="14">
      <c r="A14" s="7" t="n">
        <v>11</v>
      </c>
      <c r="B14" s="8" t="inlineStr">
        <is>
          <t>OUTPUT_DIR = CONFIG["auto_correct"]["output_dir"]</t>
        </is>
      </c>
    </row>
    <row r="15">
      <c r="A15" s="9" t="n">
        <v>12</v>
      </c>
      <c r="B15" s="10" t="inlineStr">
        <is>
          <t>os.makedirs(OUTPUT_DIR, exist_ok=True)</t>
        </is>
      </c>
    </row>
    <row r="16">
      <c r="A16" s="7" t="n">
        <v>13</v>
      </c>
      <c r="B16" s="8" t="inlineStr">
        <is>
          <t>class TrimBlackPlugin(BasePlugin):</t>
        </is>
      </c>
    </row>
    <row r="17">
      <c r="A17" s="9" t="n">
        <v>14</v>
      </c>
      <c r="B17" s="10" t="inlineStr">
        <is>
          <t xml:space="preserve">    name = "trim_black"</t>
        </is>
      </c>
    </row>
    <row r="18">
      <c r="A18" s="7" t="n">
        <v>15</v>
      </c>
      <c r="B18" s="8" t="inlineStr">
        <is>
          <t xml:space="preserve">    category = "correct"</t>
        </is>
      </c>
    </row>
    <row r="19">
      <c r="A19" s="9" t="n">
        <v>16</v>
      </c>
      <c r="B19" s="10" t="inlineStr">
        <is>
          <t xml:space="preserve">    description = "自动裁剪黑场片段"</t>
        </is>
      </c>
    </row>
    <row r="20">
      <c r="A20" s="7" t="n">
        <v>17</v>
      </c>
      <c r="B20" s="8" t="inlineStr">
        <is>
          <t xml:space="preserve">    def run(self, material_id: int, video_path: str) -&gt; dict:</t>
        </is>
      </c>
    </row>
    <row r="21">
      <c r="A21" s="9" t="n">
        <v>18</v>
      </c>
      <c r="B21" s="10" t="inlineStr">
        <is>
          <t xml:space="preserve">        issues = query_sql(</t>
        </is>
      </c>
    </row>
    <row r="22">
      <c r="A22" s="7" t="n">
        <v>19</v>
      </c>
      <c r="B22" s="8" t="inlineStr">
        <is>
          <t xml:space="preserve">            """SELECT id, start_time, end_time FROM quality_results</t>
        </is>
      </c>
    </row>
    <row r="23">
      <c r="A23" s="9" t="n">
        <v>20</v>
      </c>
      <c r="B23" s="10" t="inlineStr">
        <is>
          <t xml:space="preserve">               WHERE material_id=? AND check_type='画面质量'</t>
        </is>
      </c>
    </row>
    <row r="24">
      <c r="A24" s="7" t="n">
        <v>21</v>
      </c>
      <c r="B24" s="8" t="inlineStr">
        <is>
          <t xml:space="preserve">               AND (issue_desc LIKE '%黑场%' OR issue_desc LIKE '%空白帧%' OR issue_desc LIKE '%亮度过低%')</t>
        </is>
      </c>
    </row>
    <row r="25">
      <c r="A25" s="9" t="n">
        <v>22</v>
      </c>
      <c r="B25" s="10" t="inlineStr">
        <is>
          <t xml:space="preserve">               AND is_fixed=0""",</t>
        </is>
      </c>
    </row>
    <row r="26">
      <c r="A26" s="7" t="n">
        <v>23</v>
      </c>
      <c r="B26" s="8" t="inlineStr">
        <is>
          <t xml:space="preserve">            (material_id,)</t>
        </is>
      </c>
    </row>
    <row r="27">
      <c r="A27" s="9" t="n">
        <v>24</v>
      </c>
      <c r="B27" s="10" t="inlineStr">
        <is>
          <t xml:space="preserve">        )</t>
        </is>
      </c>
    </row>
    <row r="28">
      <c r="A28" s="7" t="n">
        <v>25</v>
      </c>
      <c r="B28" s="8" t="inlineStr">
        <is>
          <t xml:space="preserve">        if not issues:</t>
        </is>
      </c>
    </row>
    <row r="29">
      <c r="A29" s="9" t="n">
        <v>26</v>
      </c>
      <c r="B29" s="10" t="inlineStr">
        <is>
          <t xml:space="preserve">            return {"status": "skipped", "fixed": 0}</t>
        </is>
      </c>
    </row>
    <row r="30">
      <c r="A30" s="7" t="n">
        <v>27</v>
      </c>
      <c r="B30" s="8" t="inlineStr">
        <is>
          <t xml:space="preserve">        logger.info(f"开始自动裁剪黑场，共{len(issues)}处")</t>
        </is>
      </c>
    </row>
    <row r="31">
      <c r="A31" s="9" t="n">
        <v>28</v>
      </c>
      <c r="B31" s="10" t="inlineStr">
        <is>
          <t xml:space="preserve">        base_name = os.path.splitext(os.path.basename(video_path))[0]</t>
        </is>
      </c>
    </row>
    <row r="32">
      <c r="A32" s="7" t="n">
        <v>29</v>
      </c>
      <c r="B32" s="8" t="inlineStr">
        <is>
          <t xml:space="preserve">        output_path = os.path.join(OUTPUT_DIR, f"{base_name}_trim_black.mp4")</t>
        </is>
      </c>
    </row>
    <row r="33">
      <c r="A33" s="9" t="n">
        <v>30</v>
      </c>
      <c r="B33" s="10" t="inlineStr">
        <is>
          <t xml:space="preserve">        info = get_video_info(video_path)</t>
        </is>
      </c>
    </row>
    <row r="34">
      <c r="A34" s="7" t="n">
        <v>31</v>
      </c>
      <c r="B34" s="8" t="inlineStr">
        <is>
          <t xml:space="preserve">        duration = info.get("duration", 0)</t>
        </is>
      </c>
    </row>
    <row r="35">
      <c r="A35" s="9" t="n">
        <v>32</v>
      </c>
      <c r="B35" s="10" t="inlineStr">
        <is>
          <t xml:space="preserve">        if duration == 0:</t>
        </is>
      </c>
    </row>
    <row r="36">
      <c r="A36" s="7" t="n">
        <v>33</v>
      </c>
      <c r="B36" s="8" t="inlineStr">
        <is>
          <t xml:space="preserve">            return {"status": "failed", "error": "无法获取视频时长"}</t>
        </is>
      </c>
    </row>
    <row r="37">
      <c r="A37" s="9" t="n">
        <v>34</v>
      </c>
      <c r="B37" s="10" t="inlineStr">
        <is>
          <t xml:space="preserve">        # 计算保留片段</t>
        </is>
      </c>
    </row>
    <row r="38">
      <c r="A38" s="7" t="n">
        <v>35</v>
      </c>
      <c r="B38" s="8" t="inlineStr">
        <is>
          <t xml:space="preserve">        issues_sorted = sorted(issues, key=lambda x: x[1])</t>
        </is>
      </c>
    </row>
    <row r="39">
      <c r="A39" s="9" t="n">
        <v>36</v>
      </c>
      <c r="B39" s="10" t="inlineStr">
        <is>
          <t xml:space="preserve">        keep_segments = []</t>
        </is>
      </c>
    </row>
    <row r="40">
      <c r="A40" s="7" t="n">
        <v>37</v>
      </c>
      <c r="B40" s="8" t="inlineStr">
        <is>
          <t xml:space="preserve">        last_end = 0.0</t>
        </is>
      </c>
    </row>
    <row r="41">
      <c r="A41" s="9" t="n">
        <v>38</v>
      </c>
      <c r="B41" s="10" t="inlineStr">
        <is>
          <t xml:space="preserve">        for issue in issues_sorted:</t>
        </is>
      </c>
    </row>
    <row r="42">
      <c r="A42" s="7" t="n">
        <v>39</v>
      </c>
      <c r="B42" s="8" t="inlineStr">
        <is>
          <t xml:space="preserve">            _, start, end = issue</t>
        </is>
      </c>
    </row>
    <row r="43">
      <c r="A43" s="9" t="n">
        <v>40</v>
      </c>
      <c r="B43" s="10" t="inlineStr">
        <is>
          <t xml:space="preserve">            if start &gt; last_end + 0.1:</t>
        </is>
      </c>
    </row>
    <row r="44">
      <c r="A44" s="7" t="n">
        <v>41</v>
      </c>
      <c r="B44" s="8" t="inlineStr">
        <is>
          <t xml:space="preserve">                keep_segments.append((last_end, start))</t>
        </is>
      </c>
    </row>
    <row r="45">
      <c r="A45" s="9" t="n">
        <v>42</v>
      </c>
      <c r="B45" s="10" t="inlineStr">
        <is>
          <t xml:space="preserve">            last_end = max(last_end, end)</t>
        </is>
      </c>
    </row>
    <row r="46">
      <c r="A46" s="7" t="n">
        <v>43</v>
      </c>
      <c r="B46" s="8" t="inlineStr">
        <is>
          <t xml:space="preserve">        if last_end &lt; duration - 0.1:</t>
        </is>
      </c>
    </row>
    <row r="47">
      <c r="A47" s="9" t="n">
        <v>44</v>
      </c>
      <c r="B47" s="10" t="inlineStr">
        <is>
          <t xml:space="preserve">            keep_segments.append((last_end, duration))</t>
        </is>
      </c>
    </row>
    <row r="48">
      <c r="A48" s="7" t="n">
        <v>45</v>
      </c>
      <c r="B48" s="8" t="inlineStr">
        <is>
          <t xml:space="preserve">        if not keep_segments:</t>
        </is>
      </c>
    </row>
    <row r="49">
      <c r="A49" s="9" t="n">
        <v>46</v>
      </c>
      <c r="B49" s="10" t="inlineStr">
        <is>
          <t xml:space="preserve">            return {"status": "skipped", "fixed": 0}</t>
        </is>
      </c>
    </row>
    <row r="50">
      <c r="A50" s="7" t="n">
        <v>47</v>
      </c>
      <c r="B50" s="8" t="inlineStr">
        <is>
          <t xml:space="preserve">        try:</t>
        </is>
      </c>
    </row>
    <row r="51">
      <c r="A51" s="9" t="n">
        <v>48</v>
      </c>
      <c r="B51" s="10" t="inlineStr">
        <is>
          <t xml:space="preserve">            if len(keep_segments) == 1:</t>
        </is>
      </c>
    </row>
    <row r="52">
      <c r="A52" s="7" t="n">
        <v>49</v>
      </c>
      <c r="B52" s="8" t="inlineStr">
        <is>
          <t xml:space="preserve">                start, end = keep_segments[0]</t>
        </is>
      </c>
    </row>
    <row r="53">
      <c r="A53" s="9" t="n">
        <v>50</v>
      </c>
      <c r="B53" s="10" t="inlineStr">
        <is>
          <t xml:space="preserve">                cmd = ["ffmpeg", "-y", "-ss", str(start), "-to", str(end), "-i", video_path, "-c", "copy", output_path]</t>
        </is>
      </c>
    </row>
    <row r="54">
      <c r="A54" s="7" t="n">
        <v>51</v>
      </c>
      <c r="B54" s="8" t="inlineStr">
        <is>
          <t xml:space="preserve">            else:</t>
        </is>
      </c>
    </row>
    <row r="55">
      <c r="A55" s="9" t="n">
        <v>52</v>
      </c>
      <c r="B55" s="10" t="inlineStr">
        <is>
          <t xml:space="preserve">                # 使用concat protocol</t>
        </is>
      </c>
    </row>
    <row r="56">
      <c r="A56" s="7" t="n">
        <v>53</v>
      </c>
      <c r="B56" s="8" t="inlineStr">
        <is>
          <t xml:space="preserve">                concat_file = os.path.join(OUTPUT_DIR, f"_concat_{material_id}.txt")</t>
        </is>
      </c>
    </row>
    <row r="57">
      <c r="A57" s="9" t="n">
        <v>54</v>
      </c>
      <c r="B57" s="10" t="inlineStr">
        <is>
          <t xml:space="preserve">                with open(concat_file, "w", encoding="utf-8") as f:</t>
        </is>
      </c>
    </row>
    <row r="58">
      <c r="A58" s="7" t="n">
        <v>55</v>
      </c>
      <c r="B58" s="8" t="inlineStr">
        <is>
          <t xml:space="preserve">                    for start, end in keep_segments:</t>
        </is>
      </c>
    </row>
    <row r="59">
      <c r="A59" s="9" t="n">
        <v>56</v>
      </c>
      <c r="B59" s="10" t="inlineStr">
        <is>
          <t xml:space="preserve">                        f.write(f"file '{os.path.abspath(video_path)}'\n")</t>
        </is>
      </c>
    </row>
    <row r="60">
      <c r="A60" s="7" t="n">
        <v>57</v>
      </c>
      <c r="B60" s="8" t="inlineStr">
        <is>
          <t xml:space="preserve">                        f.write(f"inpoint {start}\n")</t>
        </is>
      </c>
    </row>
    <row r="61">
      <c r="A61" s="9" t="n">
        <v>58</v>
      </c>
      <c r="B61" s="10" t="inlineStr">
        <is>
          <t xml:space="preserve">                        f.write(f"outpoint {end}\n")</t>
        </is>
      </c>
    </row>
    <row r="62">
      <c r="A62" s="7" t="n">
        <v>59</v>
      </c>
      <c r="B62" s="8" t="inlineStr">
        <is>
          <t xml:space="preserve">                cmd = ["ffmpeg", "-y", "-f", "concat", "-safe", "0", "-i", concat_file, "-c", "copy", output_path]</t>
        </is>
      </c>
    </row>
    <row r="63">
      <c r="A63" s="9" t="n">
        <v>60</v>
      </c>
      <c r="B63" s="10" t="inlineStr">
        <is>
          <t xml:space="preserve">            result = subprocess.run(cmd, capture_output=True, text=True, timeout=300, encoding="utf-8")</t>
        </is>
      </c>
    </row>
    <row r="64">
      <c r="A64" s="7" t="n">
        <v>61</v>
      </c>
      <c r="B64" s="8" t="inlineStr">
        <is>
          <t xml:space="preserve">            if result.returncode != 0:</t>
        </is>
      </c>
    </row>
    <row r="65">
      <c r="A65" s="9" t="n">
        <v>62</v>
      </c>
      <c r="B65" s="10" t="inlineStr">
        <is>
          <t xml:space="preserve">                logger.error(f"黑场裁剪FFmpeg失败: {result.stderr[:200]}")</t>
        </is>
      </c>
    </row>
    <row r="66">
      <c r="A66" s="7" t="n">
        <v>63</v>
      </c>
      <c r="B66" s="8" t="inlineStr">
        <is>
          <t xml:space="preserve">                return {"status": "failed", "error": result.stderr[:200]}</t>
        </is>
      </c>
    </row>
    <row r="67">
      <c r="A67" s="9" t="n">
        <v>64</v>
      </c>
      <c r="B67" s="10" t="inlineStr">
        <is>
          <t xml:space="preserve">            # 标记已修复</t>
        </is>
      </c>
    </row>
    <row r="68">
      <c r="A68" s="7" t="n">
        <v>65</v>
      </c>
      <c r="B68" s="8" t="inlineStr">
        <is>
          <t xml:space="preserve">            for issue in issues_sorted:</t>
        </is>
      </c>
    </row>
    <row r="69">
      <c r="A69" s="9" t="n">
        <v>66</v>
      </c>
      <c r="B69" s="10" t="inlineStr">
        <is>
          <t xml:space="preserve">                execute_sql("UPDATE quality_results SET is_fixed=1 WHERE id=?", (issue[0],))</t>
        </is>
      </c>
    </row>
    <row r="70">
      <c r="A70" s="7" t="n">
        <v>67</v>
      </c>
      <c r="B70" s="8" t="inlineStr">
        <is>
          <t xml:space="preserve">            cache_manager.invalidate(video_path, "black_detect")</t>
        </is>
      </c>
    </row>
    <row r="71">
      <c r="A71" s="9" t="n">
        <v>68</v>
      </c>
      <c r="B71" s="10" t="inlineStr">
        <is>
          <t xml:space="preserve">            execute_sql("UPDATE materials SET file_path=?, version=version+1 WHERE id=?", (output_path, material_id))</t>
        </is>
      </c>
    </row>
    <row r="72">
      <c r="A72" s="7" t="n">
        <v>69</v>
      </c>
      <c r="B72" s="8" t="inlineStr">
        <is>
          <t xml:space="preserve">            logger.info(f"黑场裁剪完成，修复{len(issues)}处，输出: {output_path}")</t>
        </is>
      </c>
    </row>
    <row r="73">
      <c r="A73" s="9" t="n">
        <v>70</v>
      </c>
      <c r="B73" s="10" t="inlineStr">
        <is>
          <t xml:space="preserve">            return {"status": "success", "fixed": len(issues), "output_path": output_path}</t>
        </is>
      </c>
    </row>
    <row r="74">
      <c r="A74" s="7" t="n">
        <v>71</v>
      </c>
      <c r="B74" s="8" t="inlineStr">
        <is>
          <t xml:space="preserve">        except subprocess.TimeoutExpired:</t>
        </is>
      </c>
    </row>
    <row r="75">
      <c r="A75" s="9" t="n">
        <v>72</v>
      </c>
      <c r="B75" s="10" t="inlineStr">
        <is>
          <t xml:space="preserve">            return {"status": "failed", "error": "黑场裁剪超时"}</t>
        </is>
      </c>
    </row>
    <row r="76">
      <c r="A76" s="7" t="n">
        <v>73</v>
      </c>
      <c r="B76" s="8" t="inlineStr">
        <is>
          <t xml:space="preserve">        except Exception as e:</t>
        </is>
      </c>
    </row>
    <row r="77">
      <c r="A77" s="9" t="n">
        <v>74</v>
      </c>
      <c r="B77" s="10" t="inlineStr">
        <is>
          <t xml:space="preserve">            logger.error(f"黑场裁剪异常: {e}")</t>
        </is>
      </c>
    </row>
    <row r="78">
      <c r="A78" s="7" t="n">
        <v>75</v>
      </c>
      <c r="B78" s="8" t="inlineStr">
        <is>
          <t xml:space="preserve">            return {"status": "failed", "error": str(e)}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plugins\quality\__init__.py</t>
        </is>
      </c>
      <c r="C1" s="5" t="inlineStr">
        <is>
          <t>行数: 0</t>
        </is>
      </c>
    </row>
    <row r="3">
      <c r="A3" s="4" t="inlineStr">
        <is>
          <t>源代码: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plugins\quality\aspect_check_plugin.py</t>
        </is>
      </c>
      <c r="C1" s="5" t="inlineStr">
        <is>
          <t>行数: 64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"""画幅比例与黑边检测插件"""</t>
        </is>
      </c>
    </row>
    <row r="5">
      <c r="A5" s="9" t="n">
        <v>2</v>
      </c>
      <c r="B5" s="10" t="inlineStr">
        <is>
          <t>import cv2</t>
        </is>
      </c>
    </row>
    <row r="6">
      <c r="A6" s="7" t="n">
        <v>3</v>
      </c>
      <c r="B6" s="8" t="inlineStr">
        <is>
          <t>import numpy as np</t>
        </is>
      </c>
    </row>
    <row r="7">
      <c r="A7" s="9" t="n">
        <v>4</v>
      </c>
      <c r="B7" s="10" t="inlineStr">
        <is>
          <t>from plugins.base_plugin import BasePlugin</t>
        </is>
      </c>
    </row>
    <row r="8">
      <c r="A8" s="7" t="n">
        <v>5</v>
      </c>
      <c r="B8" s="8" t="inlineStr">
        <is>
          <t>from utils.logger import get_logger</t>
        </is>
      </c>
    </row>
    <row r="9">
      <c r="A9" s="9" t="n">
        <v>6</v>
      </c>
      <c r="B9" s="10" t="inlineStr">
        <is>
          <t>from decord import VideoReader, cpu</t>
        </is>
      </c>
    </row>
    <row r="10">
      <c r="A10" s="7" t="n">
        <v>7</v>
      </c>
      <c r="B10" s="8" t="inlineStr">
        <is>
          <t>from utils.ffmpeg_utils import get_video_info</t>
        </is>
      </c>
    </row>
    <row r="11">
      <c r="A11" s="9" t="n">
        <v>8</v>
      </c>
      <c r="B11" s="10" t="inlineStr">
        <is>
          <t>from core.database import execute_sql</t>
        </is>
      </c>
    </row>
    <row r="12">
      <c r="A12" s="7" t="n">
        <v>9</v>
      </c>
      <c r="B12" s="8" t="inlineStr">
        <is>
          <t>from utils.cache_manager import cache_manager</t>
        </is>
      </c>
    </row>
    <row r="13">
      <c r="A13" s="9" t="n">
        <v>10</v>
      </c>
      <c r="B13" s="10" t="inlineStr">
        <is>
          <t>logger = get_logger("plugin.aspect_check")</t>
        </is>
      </c>
    </row>
    <row r="14">
      <c r="A14" s="7" t="n">
        <v>11</v>
      </c>
      <c r="B14" s="8" t="inlineStr">
        <is>
          <t>STANDARD_RATIO = 9 / 16</t>
        </is>
      </c>
    </row>
    <row r="15">
      <c r="A15" s="9" t="n">
        <v>12</v>
      </c>
      <c r="B15" s="10" t="inlineStr">
        <is>
          <t>class AspectCheckPlugin(BasePlugin):</t>
        </is>
      </c>
    </row>
    <row r="16">
      <c r="A16" s="7" t="n">
        <v>13</v>
      </c>
      <c r="B16" s="8" t="inlineStr">
        <is>
          <t xml:space="preserve">    name = "aspect_check"</t>
        </is>
      </c>
    </row>
    <row r="17">
      <c r="A17" s="9" t="n">
        <v>14</v>
      </c>
      <c r="B17" s="10" t="inlineStr">
        <is>
          <t xml:space="preserve">    category = "quality"</t>
        </is>
      </c>
    </row>
    <row r="18">
      <c r="A18" s="7" t="n">
        <v>15</v>
      </c>
      <c r="B18" s="8" t="inlineStr">
        <is>
          <t xml:space="preserve">    description = "画幅比例与黑边检测"</t>
        </is>
      </c>
    </row>
    <row r="19">
      <c r="A19" s="9" t="n">
        <v>16</v>
      </c>
      <c r="B19" s="10" t="inlineStr">
        <is>
          <t xml:space="preserve">    def run(self, material_id: int, video_path: str) -&gt; dict:</t>
        </is>
      </c>
    </row>
    <row r="20">
      <c r="A20" s="7" t="n">
        <v>17</v>
      </c>
      <c r="B20" s="8" t="inlineStr">
        <is>
          <t xml:space="preserve">        cached = cache_manager.get(video_path, "aspect_check")</t>
        </is>
      </c>
    </row>
    <row r="21">
      <c r="A21" s="9" t="n">
        <v>18</v>
      </c>
      <c r="B21" s="10" t="inlineStr">
        <is>
          <t xml:space="preserve">        if cached:</t>
        </is>
      </c>
    </row>
    <row r="22">
      <c r="A22" s="7" t="n">
        <v>19</v>
      </c>
      <c r="B22" s="8" t="inlineStr">
        <is>
          <t xml:space="preserve">            for issue in cached:</t>
        </is>
      </c>
    </row>
    <row r="23">
      <c r="A23" s="9" t="n">
        <v>20</v>
      </c>
      <c r="B23" s="10" t="inlineStr">
        <is>
          <t xml:space="preserve">                execute_sql(</t>
        </is>
      </c>
    </row>
    <row r="24">
      <c r="A24" s="7" t="n">
        <v>21</v>
      </c>
      <c r="B24" s="8" t="inlineStr">
        <is>
          <t xml:space="preserve">                    "INSERT OR IGNORE INTO quality_results (material_id, check_type, issue_level, issue_desc, start_time, end_time) VALUES (?, ?, ?, ?, 0, ?)",</t>
        </is>
      </c>
    </row>
    <row r="25">
      <c r="A25" s="9" t="n">
        <v>22</v>
      </c>
      <c r="B25" s="10" t="inlineStr">
        <is>
          <t xml:space="preserve">                    (material_id, "画幅合规", issue["level"], issue["desc"], issue["duration"])</t>
        </is>
      </c>
    </row>
    <row r="26">
      <c r="A26" s="7" t="n">
        <v>23</v>
      </c>
      <c r="B26" s="8" t="inlineStr">
        <is>
          <t xml:space="preserve">                )</t>
        </is>
      </c>
    </row>
    <row r="27">
      <c r="A27" s="9" t="n">
        <v>24</v>
      </c>
      <c r="B27" s="10" t="inlineStr">
        <is>
          <t xml:space="preserve">            return {"status": "cached", "count": len(cached)}</t>
        </is>
      </c>
    </row>
    <row r="28">
      <c r="A28" s="7" t="n">
        <v>25</v>
      </c>
      <c r="B28" s="8" t="inlineStr">
        <is>
          <t xml:space="preserve">        info = get_video_info(video_path)</t>
        </is>
      </c>
    </row>
    <row r="29">
      <c r="A29" s="9" t="n">
        <v>26</v>
      </c>
      <c r="B29" s="10" t="inlineStr">
        <is>
          <t xml:space="preserve">        if not info:</t>
        </is>
      </c>
    </row>
    <row r="30">
      <c r="A30" s="7" t="n">
        <v>27</v>
      </c>
      <c r="B30" s="8" t="inlineStr">
        <is>
          <t xml:space="preserve">            return {"status": "failed", "error": "无法获取视频信息"}</t>
        </is>
      </c>
    </row>
    <row r="31">
      <c r="A31" s="9" t="n">
        <v>28</v>
      </c>
      <c r="B31" s="10" t="inlineStr">
        <is>
          <t xml:space="preserve">        w, h = info["width"], info["height"]</t>
        </is>
      </c>
    </row>
    <row r="32">
      <c r="A32" s="7" t="n">
        <v>29</v>
      </c>
      <c r="B32" s="8" t="inlineStr">
        <is>
          <t xml:space="preserve">        duration = info["duration"]</t>
        </is>
      </c>
    </row>
    <row r="33">
      <c r="A33" s="9" t="n">
        <v>30</v>
      </c>
      <c r="B33" s="10" t="inlineStr">
        <is>
          <t xml:space="preserve">        issues = []</t>
        </is>
      </c>
    </row>
    <row r="34">
      <c r="A34" s="7" t="n">
        <v>31</v>
      </c>
      <c r="B34" s="8" t="inlineStr">
        <is>
          <t xml:space="preserve">        if w &gt; 0 and h &gt; 0:</t>
        </is>
      </c>
    </row>
    <row r="35">
      <c r="A35" s="9" t="n">
        <v>32</v>
      </c>
      <c r="B35" s="10" t="inlineStr">
        <is>
          <t xml:space="preserve">            actual_ratio = h / w if h &lt; w else w / h</t>
        </is>
      </c>
    </row>
    <row r="36">
      <c r="A36" s="7" t="n">
        <v>33</v>
      </c>
      <c r="B36" s="8" t="inlineStr">
        <is>
          <t xml:space="preserve">            diff = abs(actual_ratio - STANDARD_RATIO) / STANDARD_RATIO</t>
        </is>
      </c>
    </row>
    <row r="37">
      <c r="A37" s="9" t="n">
        <v>34</v>
      </c>
      <c r="B37" s="10" t="inlineStr">
        <is>
          <t xml:space="preserve">            if diff &gt; 0.05:</t>
        </is>
      </c>
    </row>
    <row r="38">
      <c r="A38" s="7" t="n">
        <v>35</v>
      </c>
      <c r="B38" s="8" t="inlineStr">
        <is>
          <t xml:space="preserve">                issues.append({"level": "error", "desc": f"画幅比例不符，实际{w}x{h}，标准9:16", "duration": duration})</t>
        </is>
      </c>
    </row>
    <row r="39">
      <c r="A39" s="9" t="n">
        <v>36</v>
      </c>
      <c r="B39" s="10" t="inlineStr">
        <is>
          <t xml:space="preserve">                execute_sql(</t>
        </is>
      </c>
    </row>
    <row r="40">
      <c r="A40" s="7" t="n">
        <v>37</v>
      </c>
      <c r="B40" s="8" t="inlineStr">
        <is>
          <t xml:space="preserve">                    "INSERT INTO quality_results (material_id, check_type, issue_level, issue_desc, start_time, end_time) VALUES (?, ?, ?, ?, 0, ?)",</t>
        </is>
      </c>
    </row>
    <row r="41">
      <c r="A41" s="9" t="n">
        <v>38</v>
      </c>
      <c r="B41" s="10" t="inlineStr">
        <is>
          <t xml:space="preserve">                    (material_id, "画幅合规", "error", f"画幅比例不符{w}x{h}", duration)</t>
        </is>
      </c>
    </row>
    <row r="42">
      <c r="A42" s="7" t="n">
        <v>39</v>
      </c>
      <c r="B42" s="8" t="inlineStr">
        <is>
          <t xml:space="preserve">                )</t>
        </is>
      </c>
    </row>
    <row r="43">
      <c r="A43" s="9" t="n">
        <v>40</v>
      </c>
      <c r="B43" s="10" t="inlineStr">
        <is>
          <t xml:space="preserve">        # 黑边检测</t>
        </is>
      </c>
    </row>
    <row r="44">
      <c r="A44" s="7" t="n">
        <v>41</v>
      </c>
      <c r="B44" s="8" t="inlineStr">
        <is>
          <t xml:space="preserve">        try:</t>
        </is>
      </c>
    </row>
    <row r="45">
      <c r="A45" s="9" t="n">
        <v>42</v>
      </c>
      <c r="B45" s="10" t="inlineStr">
        <is>
          <t xml:space="preserve">            try:</t>
        </is>
      </c>
    </row>
    <row r="46">
      <c r="A46" s="7" t="n">
        <v>43</v>
      </c>
      <c r="B46" s="8" t="inlineStr">
        <is>
          <t xml:space="preserve">                from decord import gpu</t>
        </is>
      </c>
    </row>
    <row r="47">
      <c r="A47" s="9" t="n">
        <v>44</v>
      </c>
      <c r="B47" s="10" t="inlineStr">
        <is>
          <t xml:space="preserve">                vr = VideoReader(video_path, ctx=gpu(0))</t>
        </is>
      </c>
    </row>
    <row r="48">
      <c r="A48" s="7" t="n">
        <v>45</v>
      </c>
      <c r="B48" s="8" t="inlineStr">
        <is>
          <t xml:space="preserve">            except Exception:</t>
        </is>
      </c>
    </row>
    <row r="49">
      <c r="A49" s="9" t="n">
        <v>46</v>
      </c>
      <c r="B49" s="10" t="inlineStr">
        <is>
          <t xml:space="preserve">                vr = VideoReader(video_path, ctx=cpu(0))</t>
        </is>
      </c>
    </row>
    <row r="50">
      <c r="A50" s="7" t="n">
        <v>47</v>
      </c>
      <c r="B50" s="8" t="inlineStr">
        <is>
          <t xml:space="preserve">            mid_frame = vr[len(vr) // 2].asnumpy()</t>
        </is>
      </c>
    </row>
    <row r="51">
      <c r="A51" s="9" t="n">
        <v>48</v>
      </c>
      <c r="B51" s="10" t="inlineStr">
        <is>
          <t xml:space="preserve">            gray = cv2.cvtColor(mid_frame, cv2.COLOR_RGB2GRAY)</t>
        </is>
      </c>
    </row>
    <row r="52">
      <c r="A52" s="7" t="n">
        <v>49</v>
      </c>
      <c r="B52" s="8" t="inlineStr">
        <is>
          <t xml:space="preserve">            del vr</t>
        </is>
      </c>
    </row>
    <row r="53">
      <c r="A53" s="9" t="n">
        <v>50</v>
      </c>
      <c r="B53" s="10" t="inlineStr">
        <is>
          <t xml:space="preserve">            edge_thresh = 20</t>
        </is>
      </c>
    </row>
    <row r="54">
      <c r="A54" s="7" t="n">
        <v>51</v>
      </c>
      <c r="B54" s="8" t="inlineStr">
        <is>
          <t xml:space="preserve">            if gray.shape[1] &gt; 20 and gray.shape[0] &gt; 20:</t>
        </is>
      </c>
    </row>
    <row r="55">
      <c r="A55" s="9" t="n">
        <v>52</v>
      </c>
      <c r="B55" s="10" t="inlineStr">
        <is>
          <t xml:space="preserve">                left_black = np.mean(gray[:, :20]) &lt; edge_thresh</t>
        </is>
      </c>
    </row>
    <row r="56">
      <c r="A56" s="7" t="n">
        <v>53</v>
      </c>
      <c r="B56" s="8" t="inlineStr">
        <is>
          <t xml:space="preserve">                right_black = np.mean(gray[:, -20:]) &lt; edge_thresh</t>
        </is>
      </c>
    </row>
    <row r="57">
      <c r="A57" s="9" t="n">
        <v>54</v>
      </c>
      <c r="B57" s="10" t="inlineStr">
        <is>
          <t xml:space="preserve">                top_black = np.mean(gray[:20, :]) &lt; edge_thresh</t>
        </is>
      </c>
    </row>
    <row r="58">
      <c r="A58" s="7" t="n">
        <v>55</v>
      </c>
      <c r="B58" s="8" t="inlineStr">
        <is>
          <t xml:space="preserve">                bottom_black = np.mean(gray[-20:, :]) &lt; edge_thresh</t>
        </is>
      </c>
    </row>
    <row r="59">
      <c r="A59" s="9" t="n">
        <v>56</v>
      </c>
      <c r="B59" s="10" t="inlineStr">
        <is>
          <t xml:space="preserve">                if left_black and right_black:</t>
        </is>
      </c>
    </row>
    <row r="60">
      <c r="A60" s="7" t="n">
        <v>57</v>
      </c>
      <c r="B60" s="8" t="inlineStr">
        <is>
          <t xml:space="preserve">                    issues.append({"level": "warning", "desc": "两侧黑边", "duration": duration})</t>
        </is>
      </c>
    </row>
    <row r="61">
      <c r="A61" s="9" t="n">
        <v>58</v>
      </c>
      <c r="B61" s="10" t="inlineStr">
        <is>
          <t xml:space="preserve">                if top_black and bottom_black:</t>
        </is>
      </c>
    </row>
    <row r="62">
      <c r="A62" s="7" t="n">
        <v>59</v>
      </c>
      <c r="B62" s="8" t="inlineStr">
        <is>
          <t xml:space="preserve">                    issues.append({"level": "warning", "desc": "上下黑边", "duration": duration})</t>
        </is>
      </c>
    </row>
    <row r="63">
      <c r="A63" s="9" t="n">
        <v>60</v>
      </c>
      <c r="B63" s="10" t="inlineStr">
        <is>
          <t xml:space="preserve">        except Exception as e:</t>
        </is>
      </c>
    </row>
    <row r="64">
      <c r="A64" s="7" t="n">
        <v>61</v>
      </c>
      <c r="B64" s="8" t="inlineStr">
        <is>
          <t xml:space="preserve">            logger.debug(f"黑边检测异常: {e}")</t>
        </is>
      </c>
    </row>
    <row r="65">
      <c r="A65" s="9" t="n">
        <v>62</v>
      </c>
      <c r="B65" s="10" t="inlineStr">
        <is>
          <t xml:space="preserve">        cache_manager.set(video_path, "aspect_check", issues)</t>
        </is>
      </c>
    </row>
    <row r="66">
      <c r="A66" s="7" t="n">
        <v>63</v>
      </c>
      <c r="B66" s="8" t="inlineStr">
        <is>
          <t xml:space="preserve">        logger.info(f"画幅检测完成，发现{len(issues)}处")</t>
        </is>
      </c>
    </row>
    <row r="67">
      <c r="A67" s="9" t="n">
        <v>64</v>
      </c>
      <c r="B67" s="10" t="inlineStr">
        <is>
          <t xml:space="preserve">        return {"status": "success", "count": len(issues)}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plugins\quality\black_frame_plugin.py</t>
        </is>
      </c>
      <c r="C1" s="5" t="inlineStr">
        <is>
          <t>行数: 72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"""黑场/静帧检测插件"""</t>
        </is>
      </c>
    </row>
    <row r="5">
      <c r="A5" s="9" t="n">
        <v>2</v>
      </c>
      <c r="B5" s="10" t="inlineStr">
        <is>
          <t>import cv2</t>
        </is>
      </c>
    </row>
    <row r="6">
      <c r="A6" s="7" t="n">
        <v>3</v>
      </c>
      <c r="B6" s="8" t="inlineStr">
        <is>
          <t>import numpy as np</t>
        </is>
      </c>
    </row>
    <row r="7">
      <c r="A7" s="9" t="n">
        <v>4</v>
      </c>
      <c r="B7" s="10" t="inlineStr">
        <is>
          <t>from plugins.base_plugin import BasePlugin</t>
        </is>
      </c>
    </row>
    <row r="8">
      <c r="A8" s="7" t="n">
        <v>5</v>
      </c>
      <c r="B8" s="8" t="inlineStr">
        <is>
          <t>from utils.logger import get_logger</t>
        </is>
      </c>
    </row>
    <row r="9">
      <c r="A9" s="9" t="n">
        <v>6</v>
      </c>
      <c r="B9" s="10" t="inlineStr">
        <is>
          <t>from decord import VideoReader, cpu</t>
        </is>
      </c>
    </row>
    <row r="10">
      <c r="A10" s="7" t="n">
        <v>7</v>
      </c>
      <c r="B10" s="8" t="inlineStr">
        <is>
          <t>from core.database import execute_sql</t>
        </is>
      </c>
    </row>
    <row r="11">
      <c r="A11" s="9" t="n">
        <v>8</v>
      </c>
      <c r="B11" s="10" t="inlineStr">
        <is>
          <t>from utils.cache_manager import cache_manager</t>
        </is>
      </c>
    </row>
    <row r="12">
      <c r="A12" s="7" t="n">
        <v>9</v>
      </c>
      <c r="B12" s="8" t="inlineStr">
        <is>
          <t>from core.config_loader import CONFIG</t>
        </is>
      </c>
    </row>
    <row r="13">
      <c r="A13" s="9" t="n">
        <v>10</v>
      </c>
      <c r="B13" s="10" t="inlineStr">
        <is>
          <t>logger = get_logger("plugin.black_frame")</t>
        </is>
      </c>
    </row>
    <row r="14">
      <c r="A14" s="7" t="n">
        <v>11</v>
      </c>
      <c r="B14" s="8" t="inlineStr">
        <is>
          <t>class BlackFramePlugin(BasePlugin):</t>
        </is>
      </c>
    </row>
    <row r="15">
      <c r="A15" s="9" t="n">
        <v>12</v>
      </c>
      <c r="B15" s="10" t="inlineStr">
        <is>
          <t xml:space="preserve">    name = "black_frame"</t>
        </is>
      </c>
    </row>
    <row r="16">
      <c r="A16" s="7" t="n">
        <v>13</v>
      </c>
      <c r="B16" s="8" t="inlineStr">
        <is>
          <t xml:space="preserve">    category = "quality"</t>
        </is>
      </c>
    </row>
    <row r="17">
      <c r="A17" s="9" t="n">
        <v>14</v>
      </c>
      <c r="B17" s="10" t="inlineStr">
        <is>
          <t xml:space="preserve">    description = "黑场/静帧检测"</t>
        </is>
      </c>
    </row>
    <row r="18">
      <c r="A18" s="7" t="n">
        <v>15</v>
      </c>
      <c r="B18" s="8" t="inlineStr">
        <is>
          <t xml:space="preserve">    def run(self, material_id: int, video_path: str) -&gt; dict:</t>
        </is>
      </c>
    </row>
    <row r="19">
      <c r="A19" s="9" t="n">
        <v>16</v>
      </c>
      <c r="B19" s="10" t="inlineStr">
        <is>
          <t xml:space="preserve">        cached = cache_manager.get(video_path, "black_detect")</t>
        </is>
      </c>
    </row>
    <row r="20">
      <c r="A20" s="7" t="n">
        <v>17</v>
      </c>
      <c r="B20" s="8" t="inlineStr">
        <is>
          <t xml:space="preserve">        if cached:</t>
        </is>
      </c>
    </row>
    <row r="21">
      <c r="A21" s="9" t="n">
        <v>18</v>
      </c>
      <c r="B21" s="10" t="inlineStr">
        <is>
          <t xml:space="preserve">            for issue in cached:</t>
        </is>
      </c>
    </row>
    <row r="22">
      <c r="A22" s="7" t="n">
        <v>19</v>
      </c>
      <c r="B22" s="8" t="inlineStr">
        <is>
          <t xml:space="preserve">                execute_sql(</t>
        </is>
      </c>
    </row>
    <row r="23">
      <c r="A23" s="9" t="n">
        <v>20</v>
      </c>
      <c r="B23" s="10" t="inlineStr">
        <is>
          <t xml:space="preserve">                    "INSERT OR IGNORE INTO quality_results (material_id, check_type, issue_level, issue_desc, start_time, end_time) VALUES (?, ?, ?, ?, ?, ?)",</t>
        </is>
      </c>
    </row>
    <row r="24">
      <c r="A24" s="7" t="n">
        <v>21</v>
      </c>
      <c r="B24" s="8" t="inlineStr">
        <is>
          <t xml:space="preserve">                    (material_id, "画面质量", "warning", f"黑场时长{issue['duration']}s", issue["start"], issue["end"])</t>
        </is>
      </c>
    </row>
    <row r="25">
      <c r="A25" s="9" t="n">
        <v>22</v>
      </c>
      <c r="B25" s="10" t="inlineStr">
        <is>
          <t xml:space="preserve">                )</t>
        </is>
      </c>
    </row>
    <row r="26">
      <c r="A26" s="7" t="n">
        <v>23</v>
      </c>
      <c r="B26" s="8" t="inlineStr">
        <is>
          <t xml:space="preserve">            return {"status": "cached", "count": len(cached)}</t>
        </is>
      </c>
    </row>
    <row r="27">
      <c r="A27" s="9" t="n">
        <v>24</v>
      </c>
      <c r="B27" s="10" t="inlineStr">
        <is>
          <t xml:space="preserve">        try:</t>
        </is>
      </c>
    </row>
    <row r="28">
      <c r="A28" s="7" t="n">
        <v>25</v>
      </c>
      <c r="B28" s="8" t="inlineStr">
        <is>
          <t xml:space="preserve">            from decord import gpu</t>
        </is>
      </c>
    </row>
    <row r="29">
      <c r="A29" s="9" t="n">
        <v>26</v>
      </c>
      <c r="B29" s="10" t="inlineStr">
        <is>
          <t xml:space="preserve">            vr = VideoReader(video_path, ctx=gpu(0), num_threads=CONFIG["performance"]["cpu_threads"])</t>
        </is>
      </c>
    </row>
    <row r="30">
      <c r="A30" s="7" t="n">
        <v>27</v>
      </c>
      <c r="B30" s="8" t="inlineStr">
        <is>
          <t xml:space="preserve">        except Exception:</t>
        </is>
      </c>
    </row>
    <row r="31">
      <c r="A31" s="9" t="n">
        <v>28</v>
      </c>
      <c r="B31" s="10" t="inlineStr">
        <is>
          <t xml:space="preserve">            vr = VideoReader(video_path, ctx=cpu(0), num_threads=CONFIG["performance"]["cpu_threads"])</t>
        </is>
      </c>
    </row>
    <row r="32">
      <c r="A32" s="7" t="n">
        <v>29</v>
      </c>
      <c r="B32" s="8" t="inlineStr">
        <is>
          <t xml:space="preserve">        total_frames = len(vr)</t>
        </is>
      </c>
    </row>
    <row r="33">
      <c r="A33" s="9" t="n">
        <v>30</v>
      </c>
      <c r="B33" s="10" t="inlineStr">
        <is>
          <t xml:space="preserve">        fps = vr.get_avg_fps()</t>
        </is>
      </c>
    </row>
    <row r="34">
      <c r="A34" s="7" t="n">
        <v>31</v>
      </c>
      <c r="B34" s="8" t="inlineStr">
        <is>
          <t xml:space="preserve">        step = max(1, int(fps / CONFIG["sampling"]["base_sample_fps"]))</t>
        </is>
      </c>
    </row>
    <row r="35">
      <c r="A35" s="9" t="n">
        <v>32</v>
      </c>
      <c r="B35" s="10" t="inlineStr">
        <is>
          <t xml:space="preserve">        issues = []</t>
        </is>
      </c>
    </row>
    <row r="36">
      <c r="A36" s="7" t="n">
        <v>33</v>
      </c>
      <c r="B36" s="8" t="inlineStr">
        <is>
          <t xml:space="preserve">        in_black = False</t>
        </is>
      </c>
    </row>
    <row r="37">
      <c r="A37" s="9" t="n">
        <v>34</v>
      </c>
      <c r="B37" s="10" t="inlineStr">
        <is>
          <t xml:space="preserve">        black_start = 0</t>
        </is>
      </c>
    </row>
    <row r="38">
      <c r="A38" s="7" t="n">
        <v>35</v>
      </c>
      <c r="B38" s="8" t="inlineStr">
        <is>
          <t xml:space="preserve">        threshold = 15</t>
        </is>
      </c>
    </row>
    <row r="39">
      <c r="A39" s="9" t="n">
        <v>36</v>
      </c>
      <c r="B39" s="10" t="inlineStr">
        <is>
          <t xml:space="preserve">        ratio_threshold = 0.95</t>
        </is>
      </c>
    </row>
    <row r="40">
      <c r="A40" s="7" t="n">
        <v>37</v>
      </c>
      <c r="B40" s="8" t="inlineStr">
        <is>
          <t xml:space="preserve">        for i in range(0, total_frames, step):</t>
        </is>
      </c>
    </row>
    <row r="41">
      <c r="A41" s="9" t="n">
        <v>38</v>
      </c>
      <c r="B41" s="10" t="inlineStr">
        <is>
          <t xml:space="preserve">            frame = vr[i].asnumpy()</t>
        </is>
      </c>
    </row>
    <row r="42">
      <c r="A42" s="7" t="n">
        <v>39</v>
      </c>
      <c r="B42" s="8" t="inlineStr">
        <is>
          <t xml:space="preserve">            gray = cv2.cvtColor(frame, cv2.COLOR_RGB2GRAY)</t>
        </is>
      </c>
    </row>
    <row r="43">
      <c r="A43" s="9" t="n">
        <v>40</v>
      </c>
      <c r="B43" s="10" t="inlineStr">
        <is>
          <t xml:space="preserve">            dark_pixels = (gray &lt; threshold).sum()</t>
        </is>
      </c>
    </row>
    <row r="44">
      <c r="A44" s="7" t="n">
        <v>41</v>
      </c>
      <c r="B44" s="8" t="inlineStr">
        <is>
          <t xml:space="preserve">            dark_ratio = dark_pixels / (gray.shape[0] * gray.shape[1])</t>
        </is>
      </c>
    </row>
    <row r="45">
      <c r="A45" s="9" t="n">
        <v>42</v>
      </c>
      <c r="B45" s="10" t="inlineStr">
        <is>
          <t xml:space="preserve">            current_time = i / max(fps, 1)</t>
        </is>
      </c>
    </row>
    <row r="46">
      <c r="A46" s="7" t="n">
        <v>43</v>
      </c>
      <c r="B46" s="8" t="inlineStr">
        <is>
          <t xml:space="preserve">            if dark_ratio &gt; ratio_threshold:</t>
        </is>
      </c>
    </row>
    <row r="47">
      <c r="A47" s="9" t="n">
        <v>44</v>
      </c>
      <c r="B47" s="10" t="inlineStr">
        <is>
          <t xml:space="preserve">                if not in_black:</t>
        </is>
      </c>
    </row>
    <row r="48">
      <c r="A48" s="7" t="n">
        <v>45</v>
      </c>
      <c r="B48" s="8" t="inlineStr">
        <is>
          <t xml:space="preserve">                    black_start = current_time</t>
        </is>
      </c>
    </row>
    <row r="49">
      <c r="A49" s="9" t="n">
        <v>46</v>
      </c>
      <c r="B49" s="10" t="inlineStr">
        <is>
          <t xml:space="preserve">                    in_black = True</t>
        </is>
      </c>
    </row>
    <row r="50">
      <c r="A50" s="7" t="n">
        <v>47</v>
      </c>
      <c r="B50" s="8" t="inlineStr">
        <is>
          <t xml:space="preserve">            else:</t>
        </is>
      </c>
    </row>
    <row r="51">
      <c r="A51" s="9" t="n">
        <v>48</v>
      </c>
      <c r="B51" s="10" t="inlineStr">
        <is>
          <t xml:space="preserve">                if in_black:</t>
        </is>
      </c>
    </row>
    <row r="52">
      <c r="A52" s="7" t="n">
        <v>49</v>
      </c>
      <c r="B52" s="8" t="inlineStr">
        <is>
          <t xml:space="preserve">                    duration = current_time - black_start</t>
        </is>
      </c>
    </row>
    <row r="53">
      <c r="A53" s="9" t="n">
        <v>50</v>
      </c>
      <c r="B53" s="10" t="inlineStr">
        <is>
          <t xml:space="preserve">                    if duration &gt; 0.5:</t>
        </is>
      </c>
    </row>
    <row r="54">
      <c r="A54" s="7" t="n">
        <v>51</v>
      </c>
      <c r="B54" s="8" t="inlineStr">
        <is>
          <t xml:space="preserve">                        issues.append({</t>
        </is>
      </c>
    </row>
    <row r="55">
      <c r="A55" s="9" t="n">
        <v>52</v>
      </c>
      <c r="B55" s="10" t="inlineStr">
        <is>
          <t xml:space="preserve">                            "start": round(black_start, 2),</t>
        </is>
      </c>
    </row>
    <row r="56">
      <c r="A56" s="7" t="n">
        <v>53</v>
      </c>
      <c r="B56" s="8" t="inlineStr">
        <is>
          <t xml:space="preserve">                            "end": round(current_time, 2),</t>
        </is>
      </c>
    </row>
    <row r="57">
      <c r="A57" s="9" t="n">
        <v>54</v>
      </c>
      <c r="B57" s="10" t="inlineStr">
        <is>
          <t xml:space="preserve">                            "duration": round(duration, 2),</t>
        </is>
      </c>
    </row>
    <row r="58">
      <c r="A58" s="7" t="n">
        <v>55</v>
      </c>
      <c r="B58" s="8" t="inlineStr">
        <is>
          <t xml:space="preserve">                        })</t>
        </is>
      </c>
    </row>
    <row r="59">
      <c r="A59" s="9" t="n">
        <v>56</v>
      </c>
      <c r="B59" s="10" t="inlineStr">
        <is>
          <t xml:space="preserve">                        execute_sql(</t>
        </is>
      </c>
    </row>
    <row r="60">
      <c r="A60" s="7" t="n">
        <v>57</v>
      </c>
      <c r="B60" s="8" t="inlineStr">
        <is>
          <t xml:space="preserve">                            "INSERT INTO quality_results (material_id, check_type, issue_level, issue_desc, start_time, end_time) VALUES (?, ?, ?, ?, ?, ?)",</t>
        </is>
      </c>
    </row>
    <row r="61">
      <c r="A61" s="9" t="n">
        <v>58</v>
      </c>
      <c r="B61" s="10" t="inlineStr">
        <is>
          <t xml:space="preserve">                            (material_id, "画面质量", "warning", f"黑场时长{duration:.1f}s", black_start, current_time)</t>
        </is>
      </c>
    </row>
    <row r="62">
      <c r="A62" s="7" t="n">
        <v>59</v>
      </c>
      <c r="B62" s="8" t="inlineStr">
        <is>
          <t xml:space="preserve">                        )</t>
        </is>
      </c>
    </row>
    <row r="63">
      <c r="A63" s="9" t="n">
        <v>60</v>
      </c>
      <c r="B63" s="10" t="inlineStr">
        <is>
          <t xml:space="preserve">                    in_black = False</t>
        </is>
      </c>
    </row>
    <row r="64">
      <c r="A64" s="7" t="n">
        <v>61</v>
      </c>
      <c r="B64" s="8" t="inlineStr">
        <is>
          <t xml:space="preserve">        if in_black:</t>
        </is>
      </c>
    </row>
    <row r="65">
      <c r="A65" s="9" t="n">
        <v>62</v>
      </c>
      <c r="B65" s="10" t="inlineStr">
        <is>
          <t xml:space="preserve">            duration = (total_frames / max(fps, 1)) - black_start</t>
        </is>
      </c>
    </row>
    <row r="66">
      <c r="A66" s="7" t="n">
        <v>63</v>
      </c>
      <c r="B66" s="8" t="inlineStr">
        <is>
          <t xml:space="preserve">            if duration &gt; 0.5:</t>
        </is>
      </c>
    </row>
    <row r="67">
      <c r="A67" s="9" t="n">
        <v>64</v>
      </c>
      <c r="B67" s="10" t="inlineStr">
        <is>
          <t xml:space="preserve">                issues.append({</t>
        </is>
      </c>
    </row>
    <row r="68">
      <c r="A68" s="7" t="n">
        <v>65</v>
      </c>
      <c r="B68" s="8" t="inlineStr">
        <is>
          <t xml:space="preserve">                    "start": round(black_start, 2),</t>
        </is>
      </c>
    </row>
    <row r="69">
      <c r="A69" s="9" t="n">
        <v>66</v>
      </c>
      <c r="B69" s="10" t="inlineStr">
        <is>
          <t xml:space="preserve">                    "end": round(total_frames / max(fps, 1), 2),</t>
        </is>
      </c>
    </row>
    <row r="70">
      <c r="A70" s="7" t="n">
        <v>67</v>
      </c>
      <c r="B70" s="8" t="inlineStr">
        <is>
          <t xml:space="preserve">                    "duration": round(duration, 2),</t>
        </is>
      </c>
    </row>
    <row r="71">
      <c r="A71" s="9" t="n">
        <v>68</v>
      </c>
      <c r="B71" s="10" t="inlineStr">
        <is>
          <t xml:space="preserve">                })</t>
        </is>
      </c>
    </row>
    <row r="72">
      <c r="A72" s="7" t="n">
        <v>69</v>
      </c>
      <c r="B72" s="8" t="inlineStr">
        <is>
          <t xml:space="preserve">        del vr</t>
        </is>
      </c>
    </row>
    <row r="73">
      <c r="A73" s="9" t="n">
        <v>70</v>
      </c>
      <c r="B73" s="10" t="inlineStr">
        <is>
          <t xml:space="preserve">        cache_manager.set(video_path, "black_detect", issues)</t>
        </is>
      </c>
    </row>
    <row r="74">
      <c r="A74" s="7" t="n">
        <v>71</v>
      </c>
      <c r="B74" s="8" t="inlineStr">
        <is>
          <t xml:space="preserve">        logger.info(f"黑场检测完成，发现{len(issues)}处")</t>
        </is>
      </c>
    </row>
    <row r="75">
      <c r="A75" s="9" t="n">
        <v>72</v>
      </c>
      <c r="B75" s="10" t="inlineStr">
        <is>
          <t xml:space="preserve">        return {"status": "success", "count": len(issues)}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plugins\quality\blur_stutter_plugin.py</t>
        </is>
      </c>
      <c r="C1" s="5" t="inlineStr">
        <is>
          <t>行数: 75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"""画面模糊与卡顿检测插件"""</t>
        </is>
      </c>
    </row>
    <row r="5">
      <c r="A5" s="9" t="n">
        <v>2</v>
      </c>
      <c r="B5" s="10" t="inlineStr">
        <is>
          <t>import cv2</t>
        </is>
      </c>
    </row>
    <row r="6">
      <c r="A6" s="7" t="n">
        <v>3</v>
      </c>
      <c r="B6" s="8" t="inlineStr">
        <is>
          <t>from plugins.base_plugin import BasePlugin</t>
        </is>
      </c>
    </row>
    <row r="7">
      <c r="A7" s="9" t="n">
        <v>4</v>
      </c>
      <c r="B7" s="10" t="inlineStr">
        <is>
          <t>from utils.logger import get_logger</t>
        </is>
      </c>
    </row>
    <row r="8">
      <c r="A8" s="7" t="n">
        <v>5</v>
      </c>
      <c r="B8" s="8" t="inlineStr">
        <is>
          <t>from decord import VideoReader, cpu</t>
        </is>
      </c>
    </row>
    <row r="9">
      <c r="A9" s="9" t="n">
        <v>6</v>
      </c>
      <c r="B9" s="10" t="inlineStr">
        <is>
          <t>from core.database import execute_sql</t>
        </is>
      </c>
    </row>
    <row r="10">
      <c r="A10" s="7" t="n">
        <v>7</v>
      </c>
      <c r="B10" s="8" t="inlineStr">
        <is>
          <t>from utils.cache_manager import cache_manager</t>
        </is>
      </c>
    </row>
    <row r="11">
      <c r="A11" s="9" t="n">
        <v>8</v>
      </c>
      <c r="B11" s="10" t="inlineStr">
        <is>
          <t>from core.config_loader import CONFIG</t>
        </is>
      </c>
    </row>
    <row r="12">
      <c r="A12" s="7" t="n">
        <v>9</v>
      </c>
      <c r="B12" s="8" t="inlineStr">
        <is>
          <t>logger = get_logger("plugin.blur_stutter")</t>
        </is>
      </c>
    </row>
    <row r="13">
      <c r="A13" s="9" t="n">
        <v>10</v>
      </c>
      <c r="B13" s="10" t="inlineStr">
        <is>
          <t>class BlurStutterPlugin(BasePlugin):</t>
        </is>
      </c>
    </row>
    <row r="14">
      <c r="A14" s="7" t="n">
        <v>11</v>
      </c>
      <c r="B14" s="8" t="inlineStr">
        <is>
          <t xml:space="preserve">    name = "blur_stutter"</t>
        </is>
      </c>
    </row>
    <row r="15">
      <c r="A15" s="9" t="n">
        <v>12</v>
      </c>
      <c r="B15" s="10" t="inlineStr">
        <is>
          <t xml:space="preserve">    category = "quality"</t>
        </is>
      </c>
    </row>
    <row r="16">
      <c r="A16" s="7" t="n">
        <v>13</v>
      </c>
      <c r="B16" s="8" t="inlineStr">
        <is>
          <t xml:space="preserve">    description = "画面模糊与卡顿检测"</t>
        </is>
      </c>
    </row>
    <row r="17">
      <c r="A17" s="9" t="n">
        <v>14</v>
      </c>
      <c r="B17" s="10" t="inlineStr">
        <is>
          <t xml:space="preserve">    def run(self, material_id: int, video_path: str) -&gt; dict:</t>
        </is>
      </c>
    </row>
    <row r="18">
      <c r="A18" s="7" t="n">
        <v>15</v>
      </c>
      <c r="B18" s="8" t="inlineStr">
        <is>
          <t xml:space="preserve">        cached = cache_manager.get(video_path, "blur_stutter")</t>
        </is>
      </c>
    </row>
    <row r="19">
      <c r="A19" s="9" t="n">
        <v>16</v>
      </c>
      <c r="B19" s="10" t="inlineStr">
        <is>
          <t xml:space="preserve">        if cached:</t>
        </is>
      </c>
    </row>
    <row r="20">
      <c r="A20" s="7" t="n">
        <v>17</v>
      </c>
      <c r="B20" s="8" t="inlineStr">
        <is>
          <t xml:space="preserve">            for issue in cached:</t>
        </is>
      </c>
    </row>
    <row r="21">
      <c r="A21" s="9" t="n">
        <v>18</v>
      </c>
      <c r="B21" s="10" t="inlineStr">
        <is>
          <t xml:space="preserve">                execute_sql(</t>
        </is>
      </c>
    </row>
    <row r="22">
      <c r="A22" s="7" t="n">
        <v>19</v>
      </c>
      <c r="B22" s="8" t="inlineStr">
        <is>
          <t xml:space="preserve">                    "INSERT OR IGNORE INTO quality_results (material_id, check_type, issue_level, issue_desc, start_time, end_time) VALUES (?, ?, ?, ?, ?, ?)",</t>
        </is>
      </c>
    </row>
    <row r="23">
      <c r="A23" s="9" t="n">
        <v>20</v>
      </c>
      <c r="B23" s="10" t="inlineStr">
        <is>
          <t xml:space="preserve">                    (material_id, "画面质量", issue["level"], issue["desc"], issue["start"], issue["end"])</t>
        </is>
      </c>
    </row>
    <row r="24">
      <c r="A24" s="7" t="n">
        <v>21</v>
      </c>
      <c r="B24" s="8" t="inlineStr">
        <is>
          <t xml:space="preserve">                )</t>
        </is>
      </c>
    </row>
    <row r="25">
      <c r="A25" s="9" t="n">
        <v>22</v>
      </c>
      <c r="B25" s="10" t="inlineStr">
        <is>
          <t xml:space="preserve">            return {"status": "cached", "count": len(cached)}</t>
        </is>
      </c>
    </row>
    <row r="26">
      <c r="A26" s="7" t="n">
        <v>23</v>
      </c>
      <c r="B26" s="8" t="inlineStr">
        <is>
          <t xml:space="preserve">        try:</t>
        </is>
      </c>
    </row>
    <row r="27">
      <c r="A27" s="9" t="n">
        <v>24</v>
      </c>
      <c r="B27" s="10" t="inlineStr">
        <is>
          <t xml:space="preserve">            from decord import gpu</t>
        </is>
      </c>
    </row>
    <row r="28">
      <c r="A28" s="7" t="n">
        <v>25</v>
      </c>
      <c r="B28" s="8" t="inlineStr">
        <is>
          <t xml:space="preserve">            vr = VideoReader(video_path, ctx=gpu(0), num_threads=CONFIG["performance"]["cpu_threads"])</t>
        </is>
      </c>
    </row>
    <row r="29">
      <c r="A29" s="9" t="n">
        <v>26</v>
      </c>
      <c r="B29" s="10" t="inlineStr">
        <is>
          <t xml:space="preserve">        except Exception:</t>
        </is>
      </c>
    </row>
    <row r="30">
      <c r="A30" s="7" t="n">
        <v>27</v>
      </c>
      <c r="B30" s="8" t="inlineStr">
        <is>
          <t xml:space="preserve">            vr = VideoReader(video_path, ctx=cpu(0), num_threads=CONFIG["performance"]["cpu_threads"])</t>
        </is>
      </c>
    </row>
    <row r="31">
      <c r="A31" s="9" t="n">
        <v>28</v>
      </c>
      <c r="B31" s="10" t="inlineStr">
        <is>
          <t xml:space="preserve">        total_frames = len(vr)</t>
        </is>
      </c>
    </row>
    <row r="32">
      <c r="A32" s="7" t="n">
        <v>29</v>
      </c>
      <c r="B32" s="8" t="inlineStr">
        <is>
          <t xml:space="preserve">        fps = vr.get_avg_fps()</t>
        </is>
      </c>
    </row>
    <row r="33">
      <c r="A33" s="9" t="n">
        <v>30</v>
      </c>
      <c r="B33" s="10" t="inlineStr">
        <is>
          <t xml:space="preserve">        step = max(1, int(fps / 2))</t>
        </is>
      </c>
    </row>
    <row r="34">
      <c r="A34" s="7" t="n">
        <v>31</v>
      </c>
      <c r="B34" s="8" t="inlineStr">
        <is>
          <t xml:space="preserve">        frame_indices = list(range(0, total_frames, step))</t>
        </is>
      </c>
    </row>
    <row r="35">
      <c r="A35" s="9" t="n">
        <v>32</v>
      </c>
      <c r="B35" s="10" t="inlineStr">
        <is>
          <t xml:space="preserve">        issues = []</t>
        </is>
      </c>
    </row>
    <row r="36">
      <c r="A36" s="7" t="n">
        <v>33</v>
      </c>
      <c r="B36" s="8" t="inlineStr">
        <is>
          <t xml:space="preserve">        prev_gray = None</t>
        </is>
      </c>
    </row>
    <row r="37">
      <c r="A37" s="9" t="n">
        <v>34</v>
      </c>
      <c r="B37" s="10" t="inlineStr">
        <is>
          <t xml:space="preserve">        blur_thresh = CONFIG["advanced_quality"]["blur_threshold"]</t>
        </is>
      </c>
    </row>
    <row r="38">
      <c r="A38" s="7" t="n">
        <v>35</v>
      </c>
      <c r="B38" s="8" t="inlineStr">
        <is>
          <t xml:space="preserve">        stutter_thresh = CONFIG["advanced_quality"]["stutter_threshold"]</t>
        </is>
      </c>
    </row>
    <row r="39">
      <c r="A39" s="9" t="n">
        <v>36</v>
      </c>
      <c r="B39" s="10" t="inlineStr">
        <is>
          <t xml:space="preserve">        for batch_start in range(0, len(frame_indices), 16):</t>
        </is>
      </c>
    </row>
    <row r="40">
      <c r="A40" s="7" t="n">
        <v>37</v>
      </c>
      <c r="B40" s="8" t="inlineStr">
        <is>
          <t xml:space="preserve">            batch_idx = frame_indices[batch_start:batch_start + 16]</t>
        </is>
      </c>
    </row>
    <row r="41">
      <c r="A41" s="9" t="n">
        <v>38</v>
      </c>
      <c r="B41" s="10" t="inlineStr">
        <is>
          <t xml:space="preserve">            try:</t>
        </is>
      </c>
    </row>
    <row r="42">
      <c r="A42" s="7" t="n">
        <v>39</v>
      </c>
      <c r="B42" s="8" t="inlineStr">
        <is>
          <t xml:space="preserve">                batch_frames = vr.get_batch(batch_idx).asnumpy()</t>
        </is>
      </c>
    </row>
    <row r="43">
      <c r="A43" s="9" t="n">
        <v>40</v>
      </c>
      <c r="B43" s="10" t="inlineStr">
        <is>
          <t xml:space="preserve">            except Exception:</t>
        </is>
      </c>
    </row>
    <row r="44">
      <c r="A44" s="7" t="n">
        <v>41</v>
      </c>
      <c r="B44" s="8" t="inlineStr">
        <is>
          <t xml:space="preserve">                continue</t>
        </is>
      </c>
    </row>
    <row r="45">
      <c r="A45" s="9" t="n">
        <v>42</v>
      </c>
      <c r="B45" s="10" t="inlineStr">
        <is>
          <t xml:space="preserve">            for idx, frame in enumerate(batch_frames):</t>
        </is>
      </c>
    </row>
    <row r="46">
      <c r="A46" s="7" t="n">
        <v>43</v>
      </c>
      <c r="B46" s="8" t="inlineStr">
        <is>
          <t xml:space="preserve">                frame_num = batch_idx[idx]</t>
        </is>
      </c>
    </row>
    <row r="47">
      <c r="A47" s="9" t="n">
        <v>44</v>
      </c>
      <c r="B47" s="10" t="inlineStr">
        <is>
          <t xml:space="preserve">                current_time = frame_num / max(fps, 1)</t>
        </is>
      </c>
    </row>
    <row r="48">
      <c r="A48" s="7" t="n">
        <v>45</v>
      </c>
      <c r="B48" s="8" t="inlineStr">
        <is>
          <t xml:space="preserve">                gray = cv2.cvtColor(frame, cv2.COLOR_RGB2GRAY)</t>
        </is>
      </c>
    </row>
    <row r="49">
      <c r="A49" s="9" t="n">
        <v>46</v>
      </c>
      <c r="B49" s="10" t="inlineStr">
        <is>
          <t xml:space="preserve">                blur_score = cv2.Laplacian(gray, cv2.CV_64F).var()</t>
        </is>
      </c>
    </row>
    <row r="50">
      <c r="A50" s="7" t="n">
        <v>47</v>
      </c>
      <c r="B50" s="8" t="inlineStr">
        <is>
          <t xml:space="preserve">                if blur_score &lt; blur_thresh:</t>
        </is>
      </c>
    </row>
    <row r="51">
      <c r="A51" s="9" t="n">
        <v>48</v>
      </c>
      <c r="B51" s="10" t="inlineStr">
        <is>
          <t xml:space="preserve">                    issues.append({</t>
        </is>
      </c>
    </row>
    <row r="52">
      <c r="A52" s="7" t="n">
        <v>49</v>
      </c>
      <c r="B52" s="8" t="inlineStr">
        <is>
          <t xml:space="preserve">                        "start": round(current_time, 2),</t>
        </is>
      </c>
    </row>
    <row r="53">
      <c r="A53" s="9" t="n">
        <v>50</v>
      </c>
      <c r="B53" s="10" t="inlineStr">
        <is>
          <t xml:space="preserve">                        "end": round(current_time + 0.5, 2),</t>
        </is>
      </c>
    </row>
    <row r="54">
      <c r="A54" s="7" t="n">
        <v>51</v>
      </c>
      <c r="B54" s="8" t="inlineStr">
        <is>
          <t xml:space="preserve">                        "level": "warning",</t>
        </is>
      </c>
    </row>
    <row r="55">
      <c r="A55" s="9" t="n">
        <v>52</v>
      </c>
      <c r="B55" s="10" t="inlineStr">
        <is>
          <t xml:space="preserve">                        "desc": f"画面模糊，清晰度评分{blur_score:.1f}",</t>
        </is>
      </c>
    </row>
    <row r="56">
      <c r="A56" s="7" t="n">
        <v>53</v>
      </c>
      <c r="B56" s="8" t="inlineStr">
        <is>
          <t xml:space="preserve">                    })</t>
        </is>
      </c>
    </row>
    <row r="57">
      <c r="A57" s="9" t="n">
        <v>54</v>
      </c>
      <c r="B57" s="10" t="inlineStr">
        <is>
          <t xml:space="preserve">                    execute_sql(</t>
        </is>
      </c>
    </row>
    <row r="58">
      <c r="A58" s="7" t="n">
        <v>55</v>
      </c>
      <c r="B58" s="8" t="inlineStr">
        <is>
          <t xml:space="preserve">                        "INSERT INTO quality_results (material_id, check_type, issue_level, issue_desc, start_time, end_time) VALUES (?, ?, ?, ?, ?, ?)",</t>
        </is>
      </c>
    </row>
    <row r="59">
      <c r="A59" s="9" t="n">
        <v>56</v>
      </c>
      <c r="B59" s="10" t="inlineStr">
        <is>
          <t xml:space="preserve">                        (material_id, "画面质量", "warning", f"画面模糊，评分{blur_score:.1f}", current_time, current_time + 0.5)</t>
        </is>
      </c>
    </row>
    <row r="60">
      <c r="A60" s="7" t="n">
        <v>57</v>
      </c>
      <c r="B60" s="8" t="inlineStr">
        <is>
          <t xml:space="preserve">                    )</t>
        </is>
      </c>
    </row>
    <row r="61">
      <c r="A61" s="9" t="n">
        <v>58</v>
      </c>
      <c r="B61" s="10" t="inlineStr">
        <is>
          <t xml:space="preserve">                if prev_gray is not None:</t>
        </is>
      </c>
    </row>
    <row r="62">
      <c r="A62" s="7" t="n">
        <v>59</v>
      </c>
      <c r="B62" s="8" t="inlineStr">
        <is>
          <t xml:space="preserve">                    diff = cv2.absdiff(gray, prev_gray).mean()</t>
        </is>
      </c>
    </row>
    <row r="63">
      <c r="A63" s="9" t="n">
        <v>60</v>
      </c>
      <c r="B63" s="10" t="inlineStr">
        <is>
          <t xml:space="preserve">                    if diff &lt; stutter_thresh:</t>
        </is>
      </c>
    </row>
    <row r="64">
      <c r="A64" s="7" t="n">
        <v>61</v>
      </c>
      <c r="B64" s="8" t="inlineStr">
        <is>
          <t xml:space="preserve">                        issues.append({</t>
        </is>
      </c>
    </row>
    <row r="65">
      <c r="A65" s="9" t="n">
        <v>62</v>
      </c>
      <c r="B65" s="10" t="inlineStr">
        <is>
          <t xml:space="preserve">                            "start": round(current_time - 0.5, 2),</t>
        </is>
      </c>
    </row>
    <row r="66">
      <c r="A66" s="7" t="n">
        <v>63</v>
      </c>
      <c r="B66" s="8" t="inlineStr">
        <is>
          <t xml:space="preserve">                            "end": round(current_time, 2),</t>
        </is>
      </c>
    </row>
    <row r="67">
      <c r="A67" s="9" t="n">
        <v>64</v>
      </c>
      <c r="B67" s="10" t="inlineStr">
        <is>
          <t xml:space="preserve">                            "level": "warning",</t>
        </is>
      </c>
    </row>
    <row r="68">
      <c r="A68" s="7" t="n">
        <v>65</v>
      </c>
      <c r="B68" s="8" t="inlineStr">
        <is>
          <t xml:space="preserve">                            "desc": "帧间变化过低，疑似卡顿",</t>
        </is>
      </c>
    </row>
    <row r="69">
      <c r="A69" s="9" t="n">
        <v>66</v>
      </c>
      <c r="B69" s="10" t="inlineStr">
        <is>
          <t xml:space="preserve">                        })</t>
        </is>
      </c>
    </row>
    <row r="70">
      <c r="A70" s="7" t="n">
        <v>67</v>
      </c>
      <c r="B70" s="8" t="inlineStr">
        <is>
          <t xml:space="preserve">                        execute_sql(</t>
        </is>
      </c>
    </row>
    <row r="71">
      <c r="A71" s="9" t="n">
        <v>68</v>
      </c>
      <c r="B71" s="10" t="inlineStr">
        <is>
          <t xml:space="preserve">                            "INSERT INTO quality_results (material_id, check_type, issue_level, issue_desc, start_time, end_time) VALUES (?, ?, ?, ?, ?, ?)",</t>
        </is>
      </c>
    </row>
    <row r="72">
      <c r="A72" s="7" t="n">
        <v>69</v>
      </c>
      <c r="B72" s="8" t="inlineStr">
        <is>
          <t xml:space="preserve">                            (material_id, "画面质量", "warning", "帧间变化过低，疑似卡顿", current_time - 0.5, current_time)</t>
        </is>
      </c>
    </row>
    <row r="73">
      <c r="A73" s="9" t="n">
        <v>70</v>
      </c>
      <c r="B73" s="10" t="inlineStr">
        <is>
          <t xml:space="preserve">                        )</t>
        </is>
      </c>
    </row>
    <row r="74">
      <c r="A74" s="7" t="n">
        <v>71</v>
      </c>
      <c r="B74" s="8" t="inlineStr">
        <is>
          <t xml:space="preserve">                prev_gray = gray</t>
        </is>
      </c>
    </row>
    <row r="75">
      <c r="A75" s="9" t="n">
        <v>72</v>
      </c>
      <c r="B75" s="10" t="inlineStr">
        <is>
          <t xml:space="preserve">        del vr</t>
        </is>
      </c>
    </row>
    <row r="76">
      <c r="A76" s="7" t="n">
        <v>73</v>
      </c>
      <c r="B76" s="8" t="inlineStr">
        <is>
          <t xml:space="preserve">        cache_manager.set(video_path, "blur_stutter", issues)</t>
        </is>
      </c>
    </row>
    <row r="77">
      <c r="A77" s="9" t="n">
        <v>74</v>
      </c>
      <c r="B77" s="10" t="inlineStr">
        <is>
          <t xml:space="preserve">        logger.info(f"画面质量检测完成，发现{len(issues)}处")</t>
        </is>
      </c>
    </row>
    <row r="78">
      <c r="A78" s="7" t="n">
        <v>75</v>
      </c>
      <c r="B78" s="8" t="inlineStr">
        <is>
          <t xml:space="preserve">        return {"status": "success", "count": len(issues)}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plugins\quality\brand_detect_plugin.py</t>
        </is>
      </c>
      <c r="C1" s="5" t="inlineStr">
        <is>
          <t>行数: 122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"""品牌侵权与违规广告检测插件"""</t>
        </is>
      </c>
    </row>
    <row r="5">
      <c r="A5" s="9" t="n">
        <v>2</v>
      </c>
      <c r="B5" s="10" t="inlineStr">
        <is>
          <t>import os</t>
        </is>
      </c>
    </row>
    <row r="6">
      <c r="A6" s="7" t="n">
        <v>3</v>
      </c>
      <c r="B6" s="8" t="inlineStr">
        <is>
          <t>import cv2</t>
        </is>
      </c>
    </row>
    <row r="7">
      <c r="A7" s="9" t="n">
        <v>4</v>
      </c>
      <c r="B7" s="10" t="inlineStr">
        <is>
          <t>import numpy as np</t>
        </is>
      </c>
    </row>
    <row r="8">
      <c r="A8" s="7" t="n">
        <v>5</v>
      </c>
      <c r="B8" s="8" t="inlineStr">
        <is>
          <t>from plugins.base_plugin import BasePlugin</t>
        </is>
      </c>
    </row>
    <row r="9">
      <c r="A9" s="9" t="n">
        <v>6</v>
      </c>
      <c r="B9" s="10" t="inlineStr">
        <is>
          <t>from utils.logger import get_logger</t>
        </is>
      </c>
    </row>
    <row r="10">
      <c r="A10" s="7" t="n">
        <v>7</v>
      </c>
      <c r="B10" s="8" t="inlineStr">
        <is>
          <t>from decord import VideoReader, cpu</t>
        </is>
      </c>
    </row>
    <row r="11">
      <c r="A11" s="9" t="n">
        <v>8</v>
      </c>
      <c r="B11" s="10" t="inlineStr">
        <is>
          <t>from core.model_pool import model_pool</t>
        </is>
      </c>
    </row>
    <row r="12">
      <c r="A12" s="7" t="n">
        <v>9</v>
      </c>
      <c r="B12" s="8" t="inlineStr">
        <is>
          <t>from core.database import execute_sql</t>
        </is>
      </c>
    </row>
    <row r="13">
      <c r="A13" s="9" t="n">
        <v>10</v>
      </c>
      <c r="B13" s="10" t="inlineStr">
        <is>
          <t>from utils.cache_manager import cache_manager</t>
        </is>
      </c>
    </row>
    <row r="14">
      <c r="A14" s="7" t="n">
        <v>11</v>
      </c>
      <c r="B14" s="8" t="inlineStr">
        <is>
          <t>from core.config_loader import CONFIG</t>
        </is>
      </c>
    </row>
    <row r="15">
      <c r="A15" s="9" t="n">
        <v>12</v>
      </c>
      <c r="B15" s="10" t="inlineStr">
        <is>
          <t>logger = get_logger("plugin.brand_detect")</t>
        </is>
      </c>
    </row>
    <row r="16">
      <c r="A16" s="7" t="n">
        <v>13</v>
      </c>
      <c r="B16" s="8" t="inlineStr">
        <is>
          <t>LOGO_DIR = "./data/brand_logos"</t>
        </is>
      </c>
    </row>
    <row r="17">
      <c r="A17" s="9" t="n">
        <v>14</v>
      </c>
      <c r="B17" s="10" t="inlineStr">
        <is>
          <t>os.makedirs(LOGO_DIR, exist_ok=True)</t>
        </is>
      </c>
    </row>
    <row r="18">
      <c r="A18" s="7" t="n">
        <v>15</v>
      </c>
      <c r="B18" s="8" t="inlineStr">
        <is>
          <t>def load_yolo():</t>
        </is>
      </c>
    </row>
    <row r="19">
      <c r="A19" s="9" t="n">
        <v>16</v>
      </c>
      <c r="B19" s="10" t="inlineStr">
        <is>
          <t xml:space="preserve">    from ultralytics import YOLO</t>
        </is>
      </c>
    </row>
    <row r="20">
      <c r="A20" s="7" t="n">
        <v>17</v>
      </c>
      <c r="B20" s="8" t="inlineStr">
        <is>
          <t xml:space="preserve">    model_path = "./data/models/yolov8n/yolov8n.pt"</t>
        </is>
      </c>
    </row>
    <row r="21">
      <c r="A21" s="9" t="n">
        <v>18</v>
      </c>
      <c r="B21" s="10" t="inlineStr">
        <is>
          <t xml:space="preserve">    if os.path.exists(model_path):</t>
        </is>
      </c>
    </row>
    <row r="22">
      <c r="A22" s="7" t="n">
        <v>19</v>
      </c>
      <c r="B22" s="8" t="inlineStr">
        <is>
          <t xml:space="preserve">        model = YOLO(model_path)</t>
        </is>
      </c>
    </row>
    <row r="23">
      <c r="A23" s="9" t="n">
        <v>20</v>
      </c>
      <c r="B23" s="10" t="inlineStr">
        <is>
          <t xml:space="preserve">    else:</t>
        </is>
      </c>
    </row>
    <row r="24">
      <c r="A24" s="7" t="n">
        <v>21</v>
      </c>
      <c r="B24" s="8" t="inlineStr">
        <is>
          <t xml:space="preserve">        model = YOLO("yolov8n.pt")</t>
        </is>
      </c>
    </row>
    <row r="25">
      <c r="A25" s="9" t="n">
        <v>22</v>
      </c>
      <c r="B25" s="10" t="inlineStr">
        <is>
          <t xml:space="preserve">    model.to("cuda")</t>
        </is>
      </c>
    </row>
    <row r="26">
      <c r="A26" s="7" t="n">
        <v>23</v>
      </c>
      <c r="B26" s="8" t="inlineStr">
        <is>
          <t xml:space="preserve">    return model</t>
        </is>
      </c>
    </row>
    <row r="27">
      <c r="A27" s="9" t="n">
        <v>24</v>
      </c>
      <c r="B27" s="10" t="inlineStr">
        <is>
          <t>class BrandDetectPlugin(BasePlugin):</t>
        </is>
      </c>
    </row>
    <row r="28">
      <c r="A28" s="7" t="n">
        <v>25</v>
      </c>
      <c r="B28" s="8" t="inlineStr">
        <is>
          <t xml:space="preserve">    name = "brand_detect"</t>
        </is>
      </c>
    </row>
    <row r="29">
      <c r="A29" s="9" t="n">
        <v>26</v>
      </c>
      <c r="B29" s="10" t="inlineStr">
        <is>
          <t xml:space="preserve">    category = "quality"</t>
        </is>
      </c>
    </row>
    <row r="30">
      <c r="A30" s="7" t="n">
        <v>27</v>
      </c>
      <c r="B30" s="8" t="inlineStr">
        <is>
          <t xml:space="preserve">    description = "品牌侵权与违规广告检测"</t>
        </is>
      </c>
    </row>
    <row r="31">
      <c r="A31" s="9" t="n">
        <v>28</v>
      </c>
      <c r="B31" s="10" t="inlineStr">
        <is>
          <t xml:space="preserve">    def run(self, material_id: int, video_path: str) -&gt; dict:</t>
        </is>
      </c>
    </row>
    <row r="32">
      <c r="A32" s="7" t="n">
        <v>29</v>
      </c>
      <c r="B32" s="8" t="inlineStr">
        <is>
          <t xml:space="preserve">        cached = cache_manager.get(video_path, "brand_detect")</t>
        </is>
      </c>
    </row>
    <row r="33">
      <c r="A33" s="9" t="n">
        <v>30</v>
      </c>
      <c r="B33" s="10" t="inlineStr">
        <is>
          <t xml:space="preserve">        if cached:</t>
        </is>
      </c>
    </row>
    <row r="34">
      <c r="A34" s="7" t="n">
        <v>31</v>
      </c>
      <c r="B34" s="8" t="inlineStr">
        <is>
          <t xml:space="preserve">            for issue in cached:</t>
        </is>
      </c>
    </row>
    <row r="35">
      <c r="A35" s="9" t="n">
        <v>32</v>
      </c>
      <c r="B35" s="10" t="inlineStr">
        <is>
          <t xml:space="preserve">                execute_sql(</t>
        </is>
      </c>
    </row>
    <row r="36">
      <c r="A36" s="7" t="n">
        <v>33</v>
      </c>
      <c r="B36" s="8" t="inlineStr">
        <is>
          <t xml:space="preserve">                    "INSERT OR IGNORE INTO quality_results (material_id, check_type, issue_level, issue_desc, start_time, end_time) VALUES (?, ?, ?, ?, ?, ?)",</t>
        </is>
      </c>
    </row>
    <row r="37">
      <c r="A37" s="9" t="n">
        <v>34</v>
      </c>
      <c r="B37" s="10" t="inlineStr">
        <is>
          <t xml:space="preserve">                    (material_id, "内容合规", issue["level"], issue["desc"], issue["start"], issue["end"])</t>
        </is>
      </c>
    </row>
    <row r="38">
      <c r="A38" s="7" t="n">
        <v>35</v>
      </c>
      <c r="B38" s="8" t="inlineStr">
        <is>
          <t xml:space="preserve">                )</t>
        </is>
      </c>
    </row>
    <row r="39">
      <c r="A39" s="9" t="n">
        <v>36</v>
      </c>
      <c r="B39" s="10" t="inlineStr">
        <is>
          <t xml:space="preserve">            return {"status": "cached", "count": len(cached)}</t>
        </is>
      </c>
    </row>
    <row r="40">
      <c r="A40" s="7" t="n">
        <v>37</v>
      </c>
      <c r="B40" s="8" t="inlineStr">
        <is>
          <t xml:space="preserve">        # 尝试加载YOLO</t>
        </is>
      </c>
    </row>
    <row r="41">
      <c r="A41" s="9" t="n">
        <v>38</v>
      </c>
      <c r="B41" s="10" t="inlineStr">
        <is>
          <t xml:space="preserve">        yolo_model = None</t>
        </is>
      </c>
    </row>
    <row r="42">
      <c r="A42" s="7" t="n">
        <v>39</v>
      </c>
      <c r="B42" s="8" t="inlineStr">
        <is>
          <t xml:space="preserve">        try:</t>
        </is>
      </c>
    </row>
    <row r="43">
      <c r="A43" s="9" t="n">
        <v>40</v>
      </c>
      <c r="B43" s="10" t="inlineStr">
        <is>
          <t xml:space="preserve">            yolo_model = model_pool.get_model("yolov8", load_yolo)</t>
        </is>
      </c>
    </row>
    <row r="44">
      <c r="A44" s="7" t="n">
        <v>41</v>
      </c>
      <c r="B44" s="8" t="inlineStr">
        <is>
          <t xml:space="preserve">        except Exception as e:</t>
        </is>
      </c>
    </row>
    <row r="45">
      <c r="A45" s="9" t="n">
        <v>42</v>
      </c>
      <c r="B45" s="10" t="inlineStr">
        <is>
          <t xml:space="preserve">            logger.warning(f"YOLO不可用: {e}，使用ORB特征匹配方案")</t>
        </is>
      </c>
    </row>
    <row r="46">
      <c r="A46" s="7" t="n">
        <v>43</v>
      </c>
      <c r="B46" s="8" t="inlineStr">
        <is>
          <t xml:space="preserve">        try:</t>
        </is>
      </c>
    </row>
    <row r="47">
      <c r="A47" s="9" t="n">
        <v>44</v>
      </c>
      <c r="B47" s="10" t="inlineStr">
        <is>
          <t xml:space="preserve">            from decord import gpu</t>
        </is>
      </c>
    </row>
    <row r="48">
      <c r="A48" s="7" t="n">
        <v>45</v>
      </c>
      <c r="B48" s="8" t="inlineStr">
        <is>
          <t xml:space="preserve">            vr = VideoReader(video_path, ctx=gpu(0), num_threads=CONFIG["performance"]["cpu_threads"])</t>
        </is>
      </c>
    </row>
    <row r="49">
      <c r="A49" s="9" t="n">
        <v>46</v>
      </c>
      <c r="B49" s="10" t="inlineStr">
        <is>
          <t xml:space="preserve">        except Exception:</t>
        </is>
      </c>
    </row>
    <row r="50">
      <c r="A50" s="7" t="n">
        <v>47</v>
      </c>
      <c r="B50" s="8" t="inlineStr">
        <is>
          <t xml:space="preserve">            vr = VideoReader(video_path, ctx=cpu(0), num_threads=CONFIG["performance"]["cpu_threads"])</t>
        </is>
      </c>
    </row>
    <row r="51">
      <c r="A51" s="9" t="n">
        <v>48</v>
      </c>
      <c r="B51" s="10" t="inlineStr">
        <is>
          <t xml:space="preserve">        total_frames = len(vr)</t>
        </is>
      </c>
    </row>
    <row r="52">
      <c r="A52" s="7" t="n">
        <v>49</v>
      </c>
      <c r="B52" s="8" t="inlineStr">
        <is>
          <t xml:space="preserve">        fps = vr.get_avg_fps()</t>
        </is>
      </c>
    </row>
    <row r="53">
      <c r="A53" s="9" t="n">
        <v>50</v>
      </c>
      <c r="B53" s="10" t="inlineStr">
        <is>
          <t xml:space="preserve">        step = max(1, int(fps / 1))</t>
        </is>
      </c>
    </row>
    <row r="54">
      <c r="A54" s="7" t="n">
        <v>51</v>
      </c>
      <c r="B54" s="8" t="inlineStr">
        <is>
          <t xml:space="preserve">        frame_indices = list(range(0, total_frames, step))</t>
        </is>
      </c>
    </row>
    <row r="55">
      <c r="A55" s="9" t="n">
        <v>52</v>
      </c>
      <c r="B55" s="10" t="inlineStr">
        <is>
          <t xml:space="preserve">        issues = []</t>
        </is>
      </c>
    </row>
    <row r="56">
      <c r="A56" s="7" t="n">
        <v>53</v>
      </c>
      <c r="B56" s="8" t="inlineStr">
        <is>
          <t xml:space="preserve">        # 模式1: YOLO检测</t>
        </is>
      </c>
    </row>
    <row r="57">
      <c r="A57" s="9" t="n">
        <v>54</v>
      </c>
      <c r="B57" s="10" t="inlineStr">
        <is>
          <t xml:space="preserve">        if yolo_model is not None:</t>
        </is>
      </c>
    </row>
    <row r="58">
      <c r="A58" s="7" t="n">
        <v>55</v>
      </c>
      <c r="B58" s="8" t="inlineStr">
        <is>
          <t xml:space="preserve">            for batch_start in range(0, len(frame_indices), 8):</t>
        </is>
      </c>
    </row>
    <row r="59">
      <c r="A59" s="9" t="n">
        <v>56</v>
      </c>
      <c r="B59" s="10" t="inlineStr">
        <is>
          <t xml:space="preserve">                batch_idx = frame_indices[batch_start:batch_start + 8]</t>
        </is>
      </c>
    </row>
    <row r="60">
      <c r="A60" s="7" t="n">
        <v>57</v>
      </c>
      <c r="B60" s="8" t="inlineStr">
        <is>
          <t xml:space="preserve">                try:</t>
        </is>
      </c>
    </row>
    <row r="61">
      <c r="A61" s="9" t="n">
        <v>58</v>
      </c>
      <c r="B61" s="10" t="inlineStr">
        <is>
          <t xml:space="preserve">                    batch_frames = vr.get_batch(batch_idx).asnumpy()</t>
        </is>
      </c>
    </row>
    <row r="62">
      <c r="A62" s="7" t="n">
        <v>59</v>
      </c>
      <c r="B62" s="8" t="inlineStr">
        <is>
          <t xml:space="preserve">                    results = yolo_model(batch_frames, verbose=False)</t>
        </is>
      </c>
    </row>
    <row r="63">
      <c r="A63" s="9" t="n">
        <v>60</v>
      </c>
      <c r="B63" s="10" t="inlineStr">
        <is>
          <t xml:space="preserve">                except Exception:</t>
        </is>
      </c>
    </row>
    <row r="64">
      <c r="A64" s="7" t="n">
        <v>61</v>
      </c>
      <c r="B64" s="8" t="inlineStr">
        <is>
          <t xml:space="preserve">                    continue</t>
        </is>
      </c>
    </row>
    <row r="65">
      <c r="A65" s="9" t="n">
        <v>62</v>
      </c>
      <c r="B65" s="10" t="inlineStr">
        <is>
          <t xml:space="preserve">                for idx, res in enumerate(results):</t>
        </is>
      </c>
    </row>
    <row r="66">
      <c r="A66" s="7" t="n">
        <v>63</v>
      </c>
      <c r="B66" s="8" t="inlineStr">
        <is>
          <t xml:space="preserve">                    current_time = batch_idx[idx] / max(fps, 1)</t>
        </is>
      </c>
    </row>
    <row r="67">
      <c r="A67" s="9" t="n">
        <v>64</v>
      </c>
      <c r="B67" s="10" t="inlineStr">
        <is>
          <t xml:space="preserve">                    if res.boxes is None:</t>
        </is>
      </c>
    </row>
    <row r="68">
      <c r="A68" s="7" t="n">
        <v>65</v>
      </c>
      <c r="B68" s="8" t="inlineStr">
        <is>
          <t xml:space="preserve">                        continue</t>
        </is>
      </c>
    </row>
    <row r="69">
      <c r="A69" s="9" t="n">
        <v>66</v>
      </c>
      <c r="B69" s="10" t="inlineStr">
        <is>
          <t xml:space="preserve">                    for box in res.boxes:</t>
        </is>
      </c>
    </row>
    <row r="70">
      <c r="A70" s="7" t="n">
        <v>67</v>
      </c>
      <c r="B70" s="8" t="inlineStr">
        <is>
          <t xml:space="preserve">                        cls_id = int(box.cls[0]) if hasattr(box.cls, '__getitem__') else int(box.cls)</t>
        </is>
      </c>
    </row>
    <row r="71">
      <c r="A71" s="9" t="n">
        <v>68</v>
      </c>
      <c r="B71" s="10" t="inlineStr">
        <is>
          <t xml:space="preserve">                        cls_name = res.names.get(cls_id, f"class_{cls_id}")</t>
        </is>
      </c>
    </row>
    <row r="72">
      <c r="A72" s="7" t="n">
        <v>69</v>
      </c>
      <c r="B72" s="8" t="inlineStr">
        <is>
          <t xml:space="preserve">                        conf = float(box.conf[0]) if hasattr(box.conf, '__getitem__') else float(box.conf)</t>
        </is>
      </c>
    </row>
    <row r="73">
      <c r="A73" s="9" t="n">
        <v>70</v>
      </c>
      <c r="B73" s="10" t="inlineStr">
        <is>
          <t xml:space="preserve">                        if conf &gt; 0.5 and cls_name.lower() in ["cell phone", "laptop", "tv", "bottle", "book"]:</t>
        </is>
      </c>
    </row>
    <row r="74">
      <c r="A74" s="7" t="n">
        <v>71</v>
      </c>
      <c r="B74" s="8" t="inlineStr">
        <is>
          <t xml:space="preserve">                            issues.append({</t>
        </is>
      </c>
    </row>
    <row r="75">
      <c r="A75" s="9" t="n">
        <v>72</v>
      </c>
      <c r="B75" s="10" t="inlineStr">
        <is>
          <t xml:space="preserve">                                "start": round(current_time, 2),</t>
        </is>
      </c>
    </row>
    <row r="76">
      <c r="A76" s="7" t="n">
        <v>73</v>
      </c>
      <c r="B76" s="8" t="inlineStr">
        <is>
          <t xml:space="preserve">                                "end": round(current_time + 1, 2),</t>
        </is>
      </c>
    </row>
    <row r="77">
      <c r="A77" s="9" t="n">
        <v>74</v>
      </c>
      <c r="B77" s="10" t="inlineStr">
        <is>
          <t xml:space="preserve">                                "level": "warning",</t>
        </is>
      </c>
    </row>
    <row r="78">
      <c r="A78" s="7" t="n">
        <v>75</v>
      </c>
      <c r="B78" s="8" t="inlineStr">
        <is>
          <t xml:space="preserve">                                "desc": f"检测到{cls_name}，置信度{conf:.2f}",</t>
        </is>
      </c>
    </row>
    <row r="79">
      <c r="A79" s="9" t="n">
        <v>76</v>
      </c>
      <c r="B79" s="10" t="inlineStr">
        <is>
          <t xml:space="preserve">                            })</t>
        </is>
      </c>
    </row>
    <row r="80">
      <c r="A80" s="7" t="n">
        <v>77</v>
      </c>
      <c r="B80" s="8" t="inlineStr">
        <is>
          <t xml:space="preserve">                            execute_sql(</t>
        </is>
      </c>
    </row>
    <row r="81">
      <c r="A81" s="9" t="n">
        <v>78</v>
      </c>
      <c r="B81" s="10" t="inlineStr">
        <is>
          <t xml:space="preserve">                                "INSERT INTO quality_results (material_id, check_type, issue_level, issue_desc, start_time, end_time) VALUES (?, ?, ?, ?, ?, ?)",</t>
        </is>
      </c>
    </row>
    <row r="82">
      <c r="A82" s="7" t="n">
        <v>79</v>
      </c>
      <c r="B82" s="8" t="inlineStr">
        <is>
          <t xml:space="preserve">                                (material_id, "内容合规", "warning", f"检测到{cls_name}", current_time, current_time + 1)</t>
        </is>
      </c>
    </row>
    <row r="83">
      <c r="A83" s="9" t="n">
        <v>80</v>
      </c>
      <c r="B83" s="10" t="inlineStr">
        <is>
          <t xml:space="preserve">                            )</t>
        </is>
      </c>
    </row>
    <row r="84">
      <c r="A84" s="7" t="n">
        <v>81</v>
      </c>
      <c r="B84" s="8" t="inlineStr">
        <is>
          <t xml:space="preserve">        # 模式2: ORB特征匹配自定义logo库</t>
        </is>
      </c>
    </row>
    <row r="85">
      <c r="A85" s="9" t="n">
        <v>82</v>
      </c>
      <c r="B85" s="10" t="inlineStr">
        <is>
          <t xml:space="preserve">        else:</t>
        </is>
      </c>
    </row>
    <row r="86">
      <c r="A86" s="7" t="n">
        <v>83</v>
      </c>
      <c r="B86" s="8" t="inlineStr">
        <is>
          <t xml:space="preserve">            custom_logos = [f for f in os.listdir(LOGO_DIR) if f.lower().endswith(('.png', '.jpg', '.jpeg'))]</t>
        </is>
      </c>
    </row>
    <row r="87">
      <c r="A87" s="9" t="n">
        <v>84</v>
      </c>
      <c r="B87" s="10" t="inlineStr">
        <is>
          <t xml:space="preserve">            if custom_logos:</t>
        </is>
      </c>
    </row>
    <row r="88">
      <c r="A88" s="7" t="n">
        <v>85</v>
      </c>
      <c r="B88" s="8" t="inlineStr">
        <is>
          <t xml:space="preserve">                orb = cv2.ORB_create(nfeatures=1000)</t>
        </is>
      </c>
    </row>
    <row r="89">
      <c r="A89" s="9" t="n">
        <v>86</v>
      </c>
      <c r="B89" s="10" t="inlineStr">
        <is>
          <t xml:space="preserve">                bf = cv2.BFMatcher(cv2.NORM_HAMMING, crossCheck=True)</t>
        </is>
      </c>
    </row>
    <row r="90">
      <c r="A90" s="7" t="n">
        <v>87</v>
      </c>
      <c r="B90" s="8" t="inlineStr">
        <is>
          <t xml:space="preserve">                logo_features = []</t>
        </is>
      </c>
    </row>
    <row r="91">
      <c r="A91" s="9" t="n">
        <v>88</v>
      </c>
      <c r="B91" s="10" t="inlineStr">
        <is>
          <t xml:space="preserve">                for logo_file in custom_logos:</t>
        </is>
      </c>
    </row>
    <row r="92">
      <c r="A92" s="7" t="n">
        <v>89</v>
      </c>
      <c r="B92" s="8" t="inlineStr">
        <is>
          <t xml:space="preserve">                    logo_path = os.path.join(LOGO_DIR, logo_file)</t>
        </is>
      </c>
    </row>
    <row r="93">
      <c r="A93" s="9" t="n">
        <v>90</v>
      </c>
      <c r="B93" s="10" t="inlineStr">
        <is>
          <t xml:space="preserve">                    logo_img = cv2.imread(logo_path, 0)</t>
        </is>
      </c>
    </row>
    <row r="94">
      <c r="A94" s="7" t="n">
        <v>91</v>
      </c>
      <c r="B94" s="8" t="inlineStr">
        <is>
          <t xml:space="preserve">                    if logo_img is None:</t>
        </is>
      </c>
    </row>
    <row r="95">
      <c r="A95" s="9" t="n">
        <v>92</v>
      </c>
      <c r="B95" s="10" t="inlineStr">
        <is>
          <t xml:space="preserve">                        continue</t>
        </is>
      </c>
    </row>
    <row r="96">
      <c r="A96" s="7" t="n">
        <v>93</v>
      </c>
      <c r="B96" s="8" t="inlineStr">
        <is>
          <t xml:space="preserve">                    kp, des = orb.detectAndCompute(logo_img, None)</t>
        </is>
      </c>
    </row>
    <row r="97">
      <c r="A97" s="9" t="n">
        <v>94</v>
      </c>
      <c r="B97" s="10" t="inlineStr">
        <is>
          <t xml:space="preserve">                    if des is not None:</t>
        </is>
      </c>
    </row>
    <row r="98">
      <c r="A98" s="7" t="n">
        <v>95</v>
      </c>
      <c r="B98" s="8" t="inlineStr">
        <is>
          <t xml:space="preserve">                        logo_features.append({"name": logo_file, "kp": kp, "des": des})</t>
        </is>
      </c>
    </row>
    <row r="99">
      <c r="A99" s="9" t="n">
        <v>96</v>
      </c>
      <c r="B99" s="10" t="inlineStr">
        <is>
          <t xml:space="preserve">                for i in frame_indices:</t>
        </is>
      </c>
    </row>
    <row r="100">
      <c r="A100" s="7" t="n">
        <v>97</v>
      </c>
      <c r="B100" s="8" t="inlineStr">
        <is>
          <t xml:space="preserve">                    try:</t>
        </is>
      </c>
    </row>
    <row r="101">
      <c r="A101" s="9" t="n">
        <v>98</v>
      </c>
      <c r="B101" s="10" t="inlineStr">
        <is>
          <t xml:space="preserve">                        frame = vr[i].asnumpy()</t>
        </is>
      </c>
    </row>
    <row r="102">
      <c r="A102" s="7" t="n">
        <v>99</v>
      </c>
      <c r="B102" s="8" t="inlineStr">
        <is>
          <t xml:space="preserve">                    except Exception:</t>
        </is>
      </c>
    </row>
    <row r="103">
      <c r="A103" s="9" t="n">
        <v>100</v>
      </c>
      <c r="B103" s="10" t="inlineStr">
        <is>
          <t xml:space="preserve">                        continue</t>
        </is>
      </c>
    </row>
    <row r="104">
      <c r="A104" s="7" t="n">
        <v>101</v>
      </c>
      <c r="B104" s="8" t="inlineStr">
        <is>
          <t xml:space="preserve">                    gray = cv2.cvtColor(frame, cv2.COLOR_RGB2GRAY)</t>
        </is>
      </c>
    </row>
    <row r="105">
      <c r="A105" s="9" t="n">
        <v>102</v>
      </c>
      <c r="B105" s="10" t="inlineStr">
        <is>
          <t xml:space="preserve">                    kp_frame, des_frame = orb.detectAndCompute(gray, None)</t>
        </is>
      </c>
    </row>
    <row r="106">
      <c r="A106" s="7" t="n">
        <v>103</v>
      </c>
      <c r="B106" s="8" t="inlineStr">
        <is>
          <t xml:space="preserve">                    if des_frame is None:</t>
        </is>
      </c>
    </row>
    <row r="107">
      <c r="A107" s="9" t="n">
        <v>104</v>
      </c>
      <c r="B107" s="10" t="inlineStr">
        <is>
          <t xml:space="preserve">                        continue</t>
        </is>
      </c>
    </row>
    <row r="108">
      <c r="A108" s="7" t="n">
        <v>105</v>
      </c>
      <c r="B108" s="8" t="inlineStr">
        <is>
          <t xml:space="preserve">                    for logo in logo_features:</t>
        </is>
      </c>
    </row>
    <row r="109">
      <c r="A109" s="9" t="n">
        <v>106</v>
      </c>
      <c r="B109" s="10" t="inlineStr">
        <is>
          <t xml:space="preserve">                        try:</t>
        </is>
      </c>
    </row>
    <row r="110">
      <c r="A110" s="7" t="n">
        <v>107</v>
      </c>
      <c r="B110" s="8" t="inlineStr">
        <is>
          <t xml:space="preserve">                            matches = bf.match(logo["des"], des_frame)</t>
        </is>
      </c>
    </row>
    <row r="111">
      <c r="A111" s="9" t="n">
        <v>108</v>
      </c>
      <c r="B111" s="10" t="inlineStr">
        <is>
          <t xml:space="preserve">                        except Exception:</t>
        </is>
      </c>
    </row>
    <row r="112">
      <c r="A112" s="7" t="n">
        <v>109</v>
      </c>
      <c r="B112" s="8" t="inlineStr">
        <is>
          <t xml:space="preserve">                            continue</t>
        </is>
      </c>
    </row>
    <row r="113">
      <c r="A113" s="9" t="n">
        <v>110</v>
      </c>
      <c r="B113" s="10" t="inlineStr">
        <is>
          <t xml:space="preserve">                        good = [m for m in matches if m.distance &lt; 50]</t>
        </is>
      </c>
    </row>
    <row r="114">
      <c r="A114" s="7" t="n">
        <v>111</v>
      </c>
      <c r="B114" s="8" t="inlineStr">
        <is>
          <t xml:space="preserve">                        if len(good) &gt; 15:</t>
        </is>
      </c>
    </row>
    <row r="115">
      <c r="A115" s="9" t="n">
        <v>112</v>
      </c>
      <c r="B115" s="10" t="inlineStr">
        <is>
          <t xml:space="preserve">                            current_time = i / max(fps, 1)</t>
        </is>
      </c>
    </row>
    <row r="116">
      <c r="A116" s="7" t="n">
        <v>113</v>
      </c>
      <c r="B116" s="8" t="inlineStr">
        <is>
          <t xml:space="preserve">                            issues.append({</t>
        </is>
      </c>
    </row>
    <row r="117">
      <c r="A117" s="9" t="n">
        <v>114</v>
      </c>
      <c r="B117" s="10" t="inlineStr">
        <is>
          <t xml:space="preserve">                                "start": round(current_time, 2),</t>
        </is>
      </c>
    </row>
    <row r="118">
      <c r="A118" s="7" t="n">
        <v>115</v>
      </c>
      <c r="B118" s="8" t="inlineStr">
        <is>
          <t xml:space="preserve">                                "end": round(current_time + 1, 2),</t>
        </is>
      </c>
    </row>
    <row r="119">
      <c r="A119" s="9" t="n">
        <v>116</v>
      </c>
      <c r="B119" s="10" t="inlineStr">
        <is>
          <t xml:space="preserve">                                "level": "warning",</t>
        </is>
      </c>
    </row>
    <row r="120">
      <c r="A120" s="7" t="n">
        <v>117</v>
      </c>
      <c r="B120" s="8" t="inlineStr">
        <is>
          <t xml:space="preserve">                                "desc": f"匹配到品牌特征: {logo['name']}，{len(good)}个匹配点",</t>
        </is>
      </c>
    </row>
    <row r="121">
      <c r="A121" s="9" t="n">
        <v>118</v>
      </c>
      <c r="B121" s="10" t="inlineStr">
        <is>
          <t xml:space="preserve">                            })</t>
        </is>
      </c>
    </row>
    <row r="122">
      <c r="A122" s="7" t="n">
        <v>119</v>
      </c>
      <c r="B122" s="8" t="inlineStr">
        <is>
          <t xml:space="preserve">        del vr</t>
        </is>
      </c>
    </row>
    <row r="123">
      <c r="A123" s="9" t="n">
        <v>120</v>
      </c>
      <c r="B123" s="10" t="inlineStr">
        <is>
          <t xml:space="preserve">        cache_manager.set(video_path, "brand_detect", issues)</t>
        </is>
      </c>
    </row>
    <row r="124">
      <c r="A124" s="7" t="n">
        <v>121</v>
      </c>
      <c r="B124" s="8" t="inlineStr">
        <is>
          <t xml:space="preserve">        logger.info(f"品牌检测完成，发现{len(issues)}处")</t>
        </is>
      </c>
    </row>
    <row r="125">
      <c r="A125" s="9" t="n">
        <v>122</v>
      </c>
      <c r="B125" s="10" t="inlineStr">
        <is>
          <t xml:space="preserve">        return {"status": "success", "count": len(issues)}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plugins\quality\param_check_plugin.py</t>
        </is>
      </c>
      <c r="C1" s="5" t="inlineStr">
        <is>
          <t>行数: 50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"""视频参数合规检测插件"""</t>
        </is>
      </c>
    </row>
    <row r="5">
      <c r="A5" s="9" t="n">
        <v>2</v>
      </c>
      <c r="B5" s="10" t="inlineStr">
        <is>
          <t>from plugins.base_plugin import BasePlugin</t>
        </is>
      </c>
    </row>
    <row r="6">
      <c r="A6" s="7" t="n">
        <v>3</v>
      </c>
      <c r="B6" s="8" t="inlineStr">
        <is>
          <t>from utils.logger import get_logger</t>
        </is>
      </c>
    </row>
    <row r="7">
      <c r="A7" s="9" t="n">
        <v>4</v>
      </c>
      <c r="B7" s="10" t="inlineStr">
        <is>
          <t>from utils.ffmpeg_utils import get_video_info</t>
        </is>
      </c>
    </row>
    <row r="8">
      <c r="A8" s="7" t="n">
        <v>5</v>
      </c>
      <c r="B8" s="8" t="inlineStr">
        <is>
          <t>from core.database import execute_sql</t>
        </is>
      </c>
    </row>
    <row r="9">
      <c r="A9" s="9" t="n">
        <v>6</v>
      </c>
      <c r="B9" s="10" t="inlineStr">
        <is>
          <t>from utils.cache_manager import cache_manager</t>
        </is>
      </c>
    </row>
    <row r="10">
      <c r="A10" s="7" t="n">
        <v>7</v>
      </c>
      <c r="B10" s="8" t="inlineStr">
        <is>
          <t>from core.config_loader import CONFIG</t>
        </is>
      </c>
    </row>
    <row r="11">
      <c r="A11" s="9" t="n">
        <v>8</v>
      </c>
      <c r="B11" s="10" t="inlineStr">
        <is>
          <t>logger = get_logger("plugin.param_check")</t>
        </is>
      </c>
    </row>
    <row r="12">
      <c r="A12" s="7" t="n">
        <v>9</v>
      </c>
      <c r="B12" s="8" t="inlineStr">
        <is>
          <t>STANDARD = {"resolution": "1080x1920", "fps": 30, "min_bitrate": 2000000}</t>
        </is>
      </c>
    </row>
    <row r="13">
      <c r="A13" s="9" t="n">
        <v>10</v>
      </c>
      <c r="B13" s="10" t="inlineStr">
        <is>
          <t>class ParamCheckPlugin(BasePlugin):</t>
        </is>
      </c>
    </row>
    <row r="14">
      <c r="A14" s="7" t="n">
        <v>11</v>
      </c>
      <c r="B14" s="8" t="inlineStr">
        <is>
          <t xml:space="preserve">    name = "param_check"</t>
        </is>
      </c>
    </row>
    <row r="15">
      <c r="A15" s="9" t="n">
        <v>12</v>
      </c>
      <c r="B15" s="10" t="inlineStr">
        <is>
          <t xml:space="preserve">    category = "quality"</t>
        </is>
      </c>
    </row>
    <row r="16">
      <c r="A16" s="7" t="n">
        <v>13</v>
      </c>
      <c r="B16" s="8" t="inlineStr">
        <is>
          <t xml:space="preserve">    description = "视频参数合规检测"</t>
        </is>
      </c>
    </row>
    <row r="17">
      <c r="A17" s="9" t="n">
        <v>14</v>
      </c>
      <c r="B17" s="10" t="inlineStr">
        <is>
          <t xml:space="preserve">    def run(self, material_id: int, video_path: str) -&gt; dict:</t>
        </is>
      </c>
    </row>
    <row r="18">
      <c r="A18" s="7" t="n">
        <v>15</v>
      </c>
      <c r="B18" s="8" t="inlineStr">
        <is>
          <t xml:space="preserve">        cached = cache_manager.get(video_path, "param_check")</t>
        </is>
      </c>
    </row>
    <row r="19">
      <c r="A19" s="9" t="n">
        <v>16</v>
      </c>
      <c r="B19" s="10" t="inlineStr">
        <is>
          <t xml:space="preserve">        if cached:</t>
        </is>
      </c>
    </row>
    <row r="20">
      <c r="A20" s="7" t="n">
        <v>17</v>
      </c>
      <c r="B20" s="8" t="inlineStr">
        <is>
          <t xml:space="preserve">            for issue in cached:</t>
        </is>
      </c>
    </row>
    <row r="21">
      <c r="A21" s="9" t="n">
        <v>18</v>
      </c>
      <c r="B21" s="10" t="inlineStr">
        <is>
          <t xml:space="preserve">                execute_sql(</t>
        </is>
      </c>
    </row>
    <row r="22">
      <c r="A22" s="7" t="n">
        <v>19</v>
      </c>
      <c r="B22" s="8" t="inlineStr">
        <is>
          <t xml:space="preserve">                    "INSERT OR IGNORE INTO quality_results (material_id, check_type, issue_level, issue_desc, start_time, end_time) VALUES (?, ?, ?, ?, 0, ?)",</t>
        </is>
      </c>
    </row>
    <row r="23">
      <c r="A23" s="9" t="n">
        <v>20</v>
      </c>
      <c r="B23" s="10" t="inlineStr">
        <is>
          <t xml:space="preserve">                    (material_id, "参数合规", "error", issue["desc"], issue.get("duration", 0))</t>
        </is>
      </c>
    </row>
    <row r="24">
      <c r="A24" s="7" t="n">
        <v>21</v>
      </c>
      <c r="B24" s="8" t="inlineStr">
        <is>
          <t xml:space="preserve">                )</t>
        </is>
      </c>
    </row>
    <row r="25">
      <c r="A25" s="9" t="n">
        <v>22</v>
      </c>
      <c r="B25" s="10" t="inlineStr">
        <is>
          <t xml:space="preserve">            return {"status": "cached", "count": len(cached)}</t>
        </is>
      </c>
    </row>
    <row r="26">
      <c r="A26" s="7" t="n">
        <v>23</v>
      </c>
      <c r="B26" s="8" t="inlineStr">
        <is>
          <t xml:space="preserve">        info = get_video_info(video_path)</t>
        </is>
      </c>
    </row>
    <row r="27">
      <c r="A27" s="9" t="n">
        <v>24</v>
      </c>
      <c r="B27" s="10" t="inlineStr">
        <is>
          <t xml:space="preserve">        if not info:</t>
        </is>
      </c>
    </row>
    <row r="28">
      <c r="A28" s="7" t="n">
        <v>25</v>
      </c>
      <c r="B28" s="8" t="inlineStr">
        <is>
          <t xml:space="preserve">            return {"status": "failed", "error": "无法获取视频信息"}</t>
        </is>
      </c>
    </row>
    <row r="29">
      <c r="A29" s="9" t="n">
        <v>26</v>
      </c>
      <c r="B29" s="10" t="inlineStr">
        <is>
          <t xml:space="preserve">        issues = []</t>
        </is>
      </c>
    </row>
    <row r="30">
      <c r="A30" s="7" t="n">
        <v>27</v>
      </c>
      <c r="B30" s="8" t="inlineStr">
        <is>
          <t xml:space="preserve">        if info["resolution"] != STANDARD["resolution"]:</t>
        </is>
      </c>
    </row>
    <row r="31">
      <c r="A31" s="9" t="n">
        <v>28</v>
      </c>
      <c r="B31" s="10" t="inlineStr">
        <is>
          <t xml:space="preserve">            desc = f"分辨率{info['resolution']}，要求{STANDARD['resolution']}"</t>
        </is>
      </c>
    </row>
    <row r="32">
      <c r="A32" s="7" t="n">
        <v>29</v>
      </c>
      <c r="B32" s="8" t="inlineStr">
        <is>
          <t xml:space="preserve">            issues.append({"desc": desc, "duration": info["duration"]})</t>
        </is>
      </c>
    </row>
    <row r="33">
      <c r="A33" s="9" t="n">
        <v>30</v>
      </c>
      <c r="B33" s="10" t="inlineStr">
        <is>
          <t xml:space="preserve">            execute_sql(</t>
        </is>
      </c>
    </row>
    <row r="34">
      <c r="A34" s="7" t="n">
        <v>31</v>
      </c>
      <c r="B34" s="8" t="inlineStr">
        <is>
          <t xml:space="preserve">                "INSERT INTO quality_results (material_id, check_type, issue_level, issue_desc, start_time, end_time) VALUES (?, ?, ?, ?, 0, ?)",</t>
        </is>
      </c>
    </row>
    <row r="35">
      <c r="A35" s="9" t="n">
        <v>32</v>
      </c>
      <c r="B35" s="10" t="inlineStr">
        <is>
          <t xml:space="preserve">                (material_id, "参数合规", "error", desc, info["duration"])</t>
        </is>
      </c>
    </row>
    <row r="36">
      <c r="A36" s="7" t="n">
        <v>33</v>
      </c>
      <c r="B36" s="8" t="inlineStr">
        <is>
          <t xml:space="preserve">            )</t>
        </is>
      </c>
    </row>
    <row r="37">
      <c r="A37" s="9" t="n">
        <v>34</v>
      </c>
      <c r="B37" s="10" t="inlineStr">
        <is>
          <t xml:space="preserve">        if abs(info["fps"] - STANDARD["fps"]) &gt; 1:</t>
        </is>
      </c>
    </row>
    <row r="38">
      <c r="A38" s="7" t="n">
        <v>35</v>
      </c>
      <c r="B38" s="8" t="inlineStr">
        <is>
          <t xml:space="preserve">            desc = f"帧率{info['fps']:.1f}，要求{STANDARD['fps']}"</t>
        </is>
      </c>
    </row>
    <row r="39">
      <c r="A39" s="9" t="n">
        <v>36</v>
      </c>
      <c r="B39" s="10" t="inlineStr">
        <is>
          <t xml:space="preserve">            issues.append({"desc": desc, "duration": info["duration"]})</t>
        </is>
      </c>
    </row>
    <row r="40">
      <c r="A40" s="7" t="n">
        <v>37</v>
      </c>
      <c r="B40" s="8" t="inlineStr">
        <is>
          <t xml:space="preserve">            execute_sql(</t>
        </is>
      </c>
    </row>
    <row r="41">
      <c r="A41" s="9" t="n">
        <v>38</v>
      </c>
      <c r="B41" s="10" t="inlineStr">
        <is>
          <t xml:space="preserve">                "INSERT INTO quality_results (material_id, check_type, issue_level, issue_desc, start_time, end_time) VALUES (?, ?, ?, ?, 0, ?)",</t>
        </is>
      </c>
    </row>
    <row r="42">
      <c r="A42" s="7" t="n">
        <v>39</v>
      </c>
      <c r="B42" s="8" t="inlineStr">
        <is>
          <t xml:space="preserve">                (material_id, "参数合规", "error", desc, info["duration"])</t>
        </is>
      </c>
    </row>
    <row r="43">
      <c r="A43" s="9" t="n">
        <v>40</v>
      </c>
      <c r="B43" s="10" t="inlineStr">
        <is>
          <t xml:space="preserve">            )</t>
        </is>
      </c>
    </row>
    <row r="44">
      <c r="A44" s="7" t="n">
        <v>41</v>
      </c>
      <c r="B44" s="8" t="inlineStr">
        <is>
          <t xml:space="preserve">        if info["bitrate"] &gt; 0 and info["bitrate"] &lt; STANDARD["min_bitrate"]:</t>
        </is>
      </c>
    </row>
    <row r="45">
      <c r="A45" s="9" t="n">
        <v>42</v>
      </c>
      <c r="B45" s="10" t="inlineStr">
        <is>
          <t xml:space="preserve">            desc = f"码率{info['bitrate']}bps，最低要求{STANDARD['min_bitrate']}bps"</t>
        </is>
      </c>
    </row>
    <row r="46">
      <c r="A46" s="7" t="n">
        <v>43</v>
      </c>
      <c r="B46" s="8" t="inlineStr">
        <is>
          <t xml:space="preserve">            issues.append({"desc": desc, "duration": info["duration"]})</t>
        </is>
      </c>
    </row>
    <row r="47">
      <c r="A47" s="9" t="n">
        <v>44</v>
      </c>
      <c r="B47" s="10" t="inlineStr">
        <is>
          <t xml:space="preserve">            execute_sql(</t>
        </is>
      </c>
    </row>
    <row r="48">
      <c r="A48" s="7" t="n">
        <v>45</v>
      </c>
      <c r="B48" s="8" t="inlineStr">
        <is>
          <t xml:space="preserve">                "INSERT INTO quality_results (material_id, check_type, issue_level, issue_desc, start_time, end_time) VALUES (?, ?, ?, ?, 0, ?)",</t>
        </is>
      </c>
    </row>
    <row r="49">
      <c r="A49" s="9" t="n">
        <v>46</v>
      </c>
      <c r="B49" s="10" t="inlineStr">
        <is>
          <t xml:space="preserve">                (material_id, "参数合规", "error", desc, info["duration"])</t>
        </is>
      </c>
    </row>
    <row r="50">
      <c r="A50" s="7" t="n">
        <v>47</v>
      </c>
      <c r="B50" s="8" t="inlineStr">
        <is>
          <t xml:space="preserve">            )</t>
        </is>
      </c>
    </row>
    <row r="51">
      <c r="A51" s="9" t="n">
        <v>48</v>
      </c>
      <c r="B51" s="10" t="inlineStr">
        <is>
          <t xml:space="preserve">        cache_manager.set(video_path, "param_check", issues)</t>
        </is>
      </c>
    </row>
    <row r="52">
      <c r="A52" s="7" t="n">
        <v>49</v>
      </c>
      <c r="B52" s="8" t="inlineStr">
        <is>
          <t xml:space="preserve">        logger.info(f"参数检测完成，发现{len(issues)}处异常")</t>
        </is>
      </c>
    </row>
    <row r="53">
      <c r="A53" s="9" t="n">
        <v>50</v>
      </c>
      <c r="B53" s="10" t="inlineStr">
        <is>
          <t xml:space="preserve">        return {"status": "success", "count": len(issues)}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plugins\quality\subtitle_sync_plugin.py</t>
        </is>
      </c>
      <c r="C1" s="5" t="inlineStr">
        <is>
          <t>行数: 48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"""音画字幕同步检测插件"""</t>
        </is>
      </c>
    </row>
    <row r="5">
      <c r="A5" s="9" t="n">
        <v>2</v>
      </c>
      <c r="B5" s="10" t="inlineStr">
        <is>
          <t>from plugins.base_plugin import BasePlugin</t>
        </is>
      </c>
    </row>
    <row r="6">
      <c r="A6" s="7" t="n">
        <v>3</v>
      </c>
      <c r="B6" s="8" t="inlineStr">
        <is>
          <t>from utils.logger import get_logger</t>
        </is>
      </c>
    </row>
    <row r="7">
      <c r="A7" s="9" t="n">
        <v>4</v>
      </c>
      <c r="B7" s="10" t="inlineStr">
        <is>
          <t>from core.database import execute_sql, query_sql</t>
        </is>
      </c>
    </row>
    <row r="8">
      <c r="A8" s="7" t="n">
        <v>5</v>
      </c>
      <c r="B8" s="8" t="inlineStr">
        <is>
          <t>from utils.cache_manager import cache_manager</t>
        </is>
      </c>
    </row>
    <row r="9">
      <c r="A9" s="9" t="n">
        <v>6</v>
      </c>
      <c r="B9" s="10" t="inlineStr">
        <is>
          <t>logger = get_logger("plugin.subtitle_sync")</t>
        </is>
      </c>
    </row>
    <row r="10">
      <c r="A10" s="7" t="n">
        <v>7</v>
      </c>
      <c r="B10" s="8" t="inlineStr">
        <is>
          <t>class SubtitleSyncPlugin(BasePlugin):</t>
        </is>
      </c>
    </row>
    <row r="11">
      <c r="A11" s="9" t="n">
        <v>8</v>
      </c>
      <c r="B11" s="10" t="inlineStr">
        <is>
          <t xml:space="preserve">    name = "subtitle_sync"</t>
        </is>
      </c>
    </row>
    <row r="12">
      <c r="A12" s="7" t="n">
        <v>9</v>
      </c>
      <c r="B12" s="8" t="inlineStr">
        <is>
          <t xml:space="preserve">    category = "quality"</t>
        </is>
      </c>
    </row>
    <row r="13">
      <c r="A13" s="9" t="n">
        <v>10</v>
      </c>
      <c r="B13" s="10" t="inlineStr">
        <is>
          <t xml:space="preserve">    description = "音画字幕同步检测"</t>
        </is>
      </c>
    </row>
    <row r="14">
      <c r="A14" s="7" t="n">
        <v>11</v>
      </c>
      <c r="B14" s="8" t="inlineStr">
        <is>
          <t xml:space="preserve">    def run(self, material_id: int, video_path: str) -&gt; dict:</t>
        </is>
      </c>
    </row>
    <row r="15">
      <c r="A15" s="9" t="n">
        <v>12</v>
      </c>
      <c r="B15" s="10" t="inlineStr">
        <is>
          <t xml:space="preserve">        cache_key = f"sync_{material_id}"</t>
        </is>
      </c>
    </row>
    <row r="16">
      <c r="A16" s="7" t="n">
        <v>13</v>
      </c>
      <c r="B16" s="8" t="inlineStr">
        <is>
          <t xml:space="preserve">        cached = cache_manager.get(cache_key, "sync_check")</t>
        </is>
      </c>
    </row>
    <row r="17">
      <c r="A17" s="9" t="n">
        <v>14</v>
      </c>
      <c r="B17" s="10" t="inlineStr">
        <is>
          <t xml:space="preserve">        if cached:</t>
        </is>
      </c>
    </row>
    <row r="18">
      <c r="A18" s="7" t="n">
        <v>15</v>
      </c>
      <c r="B18" s="8" t="inlineStr">
        <is>
          <t xml:space="preserve">            for issue in cached:</t>
        </is>
      </c>
    </row>
    <row r="19">
      <c r="A19" s="9" t="n">
        <v>16</v>
      </c>
      <c r="B19" s="10" t="inlineStr">
        <is>
          <t xml:space="preserve">                execute_sql(</t>
        </is>
      </c>
    </row>
    <row r="20">
      <c r="A20" s="7" t="n">
        <v>17</v>
      </c>
      <c r="B20" s="8" t="inlineStr">
        <is>
          <t xml:space="preserve">                    "INSERT OR IGNORE INTO quality_results (material_id, check_type, issue_level, issue_desc, start_time, end_time) VALUES (?, ?, ?, ?, ?, ?)",</t>
        </is>
      </c>
    </row>
    <row r="21">
      <c r="A21" s="9" t="n">
        <v>18</v>
      </c>
      <c r="B21" s="10" t="inlineStr">
        <is>
          <t xml:space="preserve">                    (material_id, "音画同步", "warning", issue["desc"], issue["time"], issue["time"] + 1)</t>
        </is>
      </c>
    </row>
    <row r="22">
      <c r="A22" s="7" t="n">
        <v>19</v>
      </c>
      <c r="B22" s="8" t="inlineStr">
        <is>
          <t xml:space="preserve">                )</t>
        </is>
      </c>
    </row>
    <row r="23">
      <c r="A23" s="9" t="n">
        <v>20</v>
      </c>
      <c r="B23" s="10" t="inlineStr">
        <is>
          <t xml:space="preserve">            return {"status": "cached", "count": len(cached)}</t>
        </is>
      </c>
    </row>
    <row r="24">
      <c r="A24" s="7" t="n">
        <v>21</v>
      </c>
      <c r="B24" s="8" t="inlineStr">
        <is>
          <t xml:space="preserve">        audio_segs = query_sql(</t>
        </is>
      </c>
    </row>
    <row r="25">
      <c r="A25" s="9" t="n">
        <v>22</v>
      </c>
      <c r="B25" s="10" t="inlineStr">
        <is>
          <t xml:space="preserve">            "SELECT start_time, end_time FROM audio_features WHERE material_id=? AND audio_type='语音' ORDER BY start_time",</t>
        </is>
      </c>
    </row>
    <row r="26">
      <c r="A26" s="7" t="n">
        <v>23</v>
      </c>
      <c r="B26" s="8" t="inlineStr">
        <is>
          <t xml:space="preserve">            (material_id,)</t>
        </is>
      </c>
    </row>
    <row r="27">
      <c r="A27" s="9" t="n">
        <v>24</v>
      </c>
      <c r="B27" s="10" t="inlineStr">
        <is>
          <t xml:space="preserve">        )</t>
        </is>
      </c>
    </row>
    <row r="28">
      <c r="A28" s="7" t="n">
        <v>25</v>
      </c>
      <c r="B28" s="8" t="inlineStr">
        <is>
          <t xml:space="preserve">        sub_segs = query_sql(</t>
        </is>
      </c>
    </row>
    <row r="29">
      <c r="A29" s="9" t="n">
        <v>26</v>
      </c>
      <c r="B29" s="10" t="inlineStr">
        <is>
          <t xml:space="preserve">            "SELECT start_time, end_time FROM subtitle_features WHERE material_id=? ORDER BY start_time",</t>
        </is>
      </c>
    </row>
    <row r="30">
      <c r="A30" s="7" t="n">
        <v>27</v>
      </c>
      <c r="B30" s="8" t="inlineStr">
        <is>
          <t xml:space="preserve">            (material_id,)</t>
        </is>
      </c>
    </row>
    <row r="31">
      <c r="A31" s="9" t="n">
        <v>28</v>
      </c>
      <c r="B31" s="10" t="inlineStr">
        <is>
          <t xml:space="preserve">        )</t>
        </is>
      </c>
    </row>
    <row r="32">
      <c r="A32" s="7" t="n">
        <v>29</v>
      </c>
      <c r="B32" s="8" t="inlineStr">
        <is>
          <t xml:space="preserve">        if not audio_segs or not sub_segs:</t>
        </is>
      </c>
    </row>
    <row r="33">
      <c r="A33" s="9" t="n">
        <v>30</v>
      </c>
      <c r="B33" s="10" t="inlineStr">
        <is>
          <t xml:space="preserve">            logger.info("音频或字幕数据不足，跳过同步检测")</t>
        </is>
      </c>
    </row>
    <row r="34">
      <c r="A34" s="7" t="n">
        <v>31</v>
      </c>
      <c r="B34" s="8" t="inlineStr">
        <is>
          <t xml:space="preserve">            return {"status": "skipped", "count": 0}</t>
        </is>
      </c>
    </row>
    <row r="35">
      <c r="A35" s="9" t="n">
        <v>32</v>
      </c>
      <c r="B35" s="10" t="inlineStr">
        <is>
          <t xml:space="preserve">        issues = []</t>
        </is>
      </c>
    </row>
    <row r="36">
      <c r="A36" s="7" t="n">
        <v>33</v>
      </c>
      <c r="B36" s="8" t="inlineStr">
        <is>
          <t xml:space="preserve">        threshold = 0.2</t>
        </is>
      </c>
    </row>
    <row r="37">
      <c r="A37" s="9" t="n">
        <v>34</v>
      </c>
      <c r="B37" s="10" t="inlineStr">
        <is>
          <t xml:space="preserve">        for a_start, a_end in audio_segs:</t>
        </is>
      </c>
    </row>
    <row r="38">
      <c r="A38" s="7" t="n">
        <v>35</v>
      </c>
      <c r="B38" s="8" t="inlineStr">
        <is>
          <t xml:space="preserve">            matched = False</t>
        </is>
      </c>
    </row>
    <row r="39">
      <c r="A39" s="9" t="n">
        <v>36</v>
      </c>
      <c r="B39" s="10" t="inlineStr">
        <is>
          <t xml:space="preserve">            for s_start, s_end in sub_segs:</t>
        </is>
      </c>
    </row>
    <row r="40">
      <c r="A40" s="7" t="n">
        <v>37</v>
      </c>
      <c r="B40" s="8" t="inlineStr">
        <is>
          <t xml:space="preserve">                if abs(a_start - s_start) &lt; threshold and abs(a_end - s_end) &lt; threshold:</t>
        </is>
      </c>
    </row>
    <row r="41">
      <c r="A41" s="9" t="n">
        <v>38</v>
      </c>
      <c r="B41" s="10" t="inlineStr">
        <is>
          <t xml:space="preserve">                    matched = True</t>
        </is>
      </c>
    </row>
    <row r="42">
      <c r="A42" s="7" t="n">
        <v>39</v>
      </c>
      <c r="B42" s="8" t="inlineStr">
        <is>
          <t xml:space="preserve">                    break</t>
        </is>
      </c>
    </row>
    <row r="43">
      <c r="A43" s="9" t="n">
        <v>40</v>
      </c>
      <c r="B43" s="10" t="inlineStr">
        <is>
          <t xml:space="preserve">            if not matched:</t>
        </is>
      </c>
    </row>
    <row r="44">
      <c r="A44" s="7" t="n">
        <v>41</v>
      </c>
      <c r="B44" s="8" t="inlineStr">
        <is>
          <t xml:space="preserve">                issues.append({"time": a_start, "desc": "字幕时间轴偏差超过0.2s"})</t>
        </is>
      </c>
    </row>
    <row r="45">
      <c r="A45" s="9" t="n">
        <v>42</v>
      </c>
      <c r="B45" s="10" t="inlineStr">
        <is>
          <t xml:space="preserve">                execute_sql(</t>
        </is>
      </c>
    </row>
    <row r="46">
      <c r="A46" s="7" t="n">
        <v>43</v>
      </c>
      <c r="B46" s="8" t="inlineStr">
        <is>
          <t xml:space="preserve">                    "INSERT INTO quality_results (material_id, check_type, issue_level, issue_desc, start_time, end_time) VALUES (?, ?, ?, ?, ?, ?)",</t>
        </is>
      </c>
    </row>
    <row r="47">
      <c r="A47" s="9" t="n">
        <v>44</v>
      </c>
      <c r="B47" s="10" t="inlineStr">
        <is>
          <t xml:space="preserve">                    (material_id, "音画同步", "warning", "字幕时间轴偏差", a_start, a_end)</t>
        </is>
      </c>
    </row>
    <row r="48">
      <c r="A48" s="7" t="n">
        <v>45</v>
      </c>
      <c r="B48" s="8" t="inlineStr">
        <is>
          <t xml:space="preserve">                )</t>
        </is>
      </c>
    </row>
    <row r="49">
      <c r="A49" s="9" t="n">
        <v>46</v>
      </c>
      <c r="B49" s="10" t="inlineStr">
        <is>
          <t xml:space="preserve">        cache_manager.set(cache_key, "sync_check", issues)</t>
        </is>
      </c>
    </row>
    <row r="50">
      <c r="A50" s="7" t="n">
        <v>47</v>
      </c>
      <c r="B50" s="8" t="inlineStr">
        <is>
          <t xml:space="preserve">        logger.info(f"音画同步检测完成，偏差{len(issues)}处")</t>
        </is>
      </c>
    </row>
    <row r="51">
      <c r="A51" s="9" t="n">
        <v>48</v>
      </c>
      <c r="B51" s="10" t="inlineStr">
        <is>
          <t xml:space="preserve">        return {"status": "success", "count": len(issues)}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plugins\recognize\__init__.py</t>
        </is>
      </c>
      <c r="C1" s="5" t="inlineStr">
        <is>
          <t>行数: 0</t>
        </is>
      </c>
    </row>
    <row r="3">
      <c r="A3" s="4" t="inlineStr">
        <is>
          <t>源代码: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plugins\recognize\audio_transcribe_plugin.py</t>
        </is>
      </c>
      <c r="C1" s="5" t="inlineStr">
        <is>
          <t>行数: 57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"""语音识别与转写插件"""</t>
        </is>
      </c>
    </row>
    <row r="5">
      <c r="A5" s="9" t="n">
        <v>2</v>
      </c>
      <c r="B5" s="10" t="inlineStr">
        <is>
          <t>from plugins.base_plugin import BasePlugin</t>
        </is>
      </c>
    </row>
    <row r="6">
      <c r="A6" s="7" t="n">
        <v>3</v>
      </c>
      <c r="B6" s="8" t="inlineStr">
        <is>
          <t>from utils.logger import get_logger</t>
        </is>
      </c>
    </row>
    <row r="7">
      <c r="A7" s="9" t="n">
        <v>4</v>
      </c>
      <c r="B7" s="10" t="inlineStr">
        <is>
          <t>from core.model_pool import model_pool</t>
        </is>
      </c>
    </row>
    <row r="8">
      <c r="A8" s="7" t="n">
        <v>5</v>
      </c>
      <c r="B8" s="8" t="inlineStr">
        <is>
          <t>from core.database import execute_sql</t>
        </is>
      </c>
    </row>
    <row r="9">
      <c r="A9" s="9" t="n">
        <v>6</v>
      </c>
      <c r="B9" s="10" t="inlineStr">
        <is>
          <t>from utils.cache_manager import cache_manager</t>
        </is>
      </c>
    </row>
    <row r="10">
      <c r="A10" s="7" t="n">
        <v>7</v>
      </c>
      <c r="B10" s="8" t="inlineStr">
        <is>
          <t>from core.config_loader import CONFIG</t>
        </is>
      </c>
    </row>
    <row r="11">
      <c r="A11" s="9" t="n">
        <v>8</v>
      </c>
      <c r="B11" s="10" t="inlineStr">
        <is>
          <t>logger = get_logger("plugin.audio_transcribe")</t>
        </is>
      </c>
    </row>
    <row r="12">
      <c r="A12" s="7" t="n">
        <v>9</v>
      </c>
      <c r="B12" s="8" t="inlineStr">
        <is>
          <t>def load_whisper():</t>
        </is>
      </c>
    </row>
    <row r="13">
      <c r="A13" s="9" t="n">
        <v>10</v>
      </c>
      <c r="B13" s="10" t="inlineStr">
        <is>
          <t xml:space="preserve">    from faster_whisper import WhisperModel</t>
        </is>
      </c>
    </row>
    <row r="14">
      <c r="A14" s="7" t="n">
        <v>11</v>
      </c>
      <c r="B14" s="8" t="inlineStr">
        <is>
          <t xml:space="preserve">    model_path = "./data/models/faster-whisper-small"</t>
        </is>
      </c>
    </row>
    <row r="15">
      <c r="A15" s="9" t="n">
        <v>12</v>
      </c>
      <c r="B15" s="10" t="inlineStr">
        <is>
          <t xml:space="preserve">    return WhisperModel(</t>
        </is>
      </c>
    </row>
    <row r="16">
      <c r="A16" s="7" t="n">
        <v>13</v>
      </c>
      <c r="B16" s="8" t="inlineStr">
        <is>
          <t xml:space="preserve">        model_path if __import__("os").path.exists(model_path) else "small",</t>
        </is>
      </c>
    </row>
    <row r="17">
      <c r="A17" s="9" t="n">
        <v>14</v>
      </c>
      <c r="B17" s="10" t="inlineStr">
        <is>
          <t xml:space="preserve">        device="cuda",</t>
        </is>
      </c>
    </row>
    <row r="18">
      <c r="A18" s="7" t="n">
        <v>15</v>
      </c>
      <c r="B18" s="8" t="inlineStr">
        <is>
          <t xml:space="preserve">        compute_type="int8_float16",</t>
        </is>
      </c>
    </row>
    <row r="19">
      <c r="A19" s="9" t="n">
        <v>16</v>
      </c>
      <c r="B19" s="10" t="inlineStr">
        <is>
          <t xml:space="preserve">        cpu_threads=CONFIG["performance"]["cpu_threads"],</t>
        </is>
      </c>
    </row>
    <row r="20">
      <c r="A20" s="7" t="n">
        <v>17</v>
      </c>
      <c r="B20" s="8" t="inlineStr">
        <is>
          <t xml:space="preserve">    )</t>
        </is>
      </c>
    </row>
    <row r="21">
      <c r="A21" s="9" t="n">
        <v>18</v>
      </c>
      <c r="B21" s="10" t="inlineStr">
        <is>
          <t>class AudioTranscribePlugin(BasePlugin):</t>
        </is>
      </c>
    </row>
    <row r="22">
      <c r="A22" s="7" t="n">
        <v>19</v>
      </c>
      <c r="B22" s="8" t="inlineStr">
        <is>
          <t xml:space="preserve">    name = "audio_transcribe"</t>
        </is>
      </c>
    </row>
    <row r="23">
      <c r="A23" s="9" t="n">
        <v>20</v>
      </c>
      <c r="B23" s="10" t="inlineStr">
        <is>
          <t xml:space="preserve">    category = "recognize"</t>
        </is>
      </c>
    </row>
    <row r="24">
      <c r="A24" s="7" t="n">
        <v>21</v>
      </c>
      <c r="B24" s="8" t="inlineStr">
        <is>
          <t xml:space="preserve">    description = "语音识别与转写"</t>
        </is>
      </c>
    </row>
    <row r="25">
      <c r="A25" s="9" t="n">
        <v>22</v>
      </c>
      <c r="B25" s="10" t="inlineStr">
        <is>
          <t xml:space="preserve">    def run(self, material_id: int, video_path: str) -&gt; dict:</t>
        </is>
      </c>
    </row>
    <row r="26">
      <c r="A26" s="7" t="n">
        <v>23</v>
      </c>
      <c r="B26" s="8" t="inlineStr">
        <is>
          <t xml:space="preserve">        cached = cache_manager.get(video_path, "audio_transcribe")</t>
        </is>
      </c>
    </row>
    <row r="27">
      <c r="A27" s="9" t="n">
        <v>24</v>
      </c>
      <c r="B27" s="10" t="inlineStr">
        <is>
          <t xml:space="preserve">        if cached:</t>
        </is>
      </c>
    </row>
    <row r="28">
      <c r="A28" s="7" t="n">
        <v>25</v>
      </c>
      <c r="B28" s="8" t="inlineStr">
        <is>
          <t xml:space="preserve">            for seg in cached:</t>
        </is>
      </c>
    </row>
    <row r="29">
      <c r="A29" s="9" t="n">
        <v>26</v>
      </c>
      <c r="B29" s="10" t="inlineStr">
        <is>
          <t xml:space="preserve">                execute_sql(</t>
        </is>
      </c>
    </row>
    <row r="30">
      <c r="A30" s="7" t="n">
        <v>27</v>
      </c>
      <c r="B30" s="8" t="inlineStr">
        <is>
          <t xml:space="preserve">                    "INSERT OR IGNORE INTO audio_features (material_id, start_time, end_time, audio_type, transcript) VALUES (?, ?, ?, ?, ?)",</t>
        </is>
      </c>
    </row>
    <row r="31">
      <c r="A31" s="9" t="n">
        <v>28</v>
      </c>
      <c r="B31" s="10" t="inlineStr">
        <is>
          <t xml:space="preserve">                    (material_id, seg["start"], seg["end"], "语音", seg["text"])</t>
        </is>
      </c>
    </row>
    <row r="32">
      <c r="A32" s="7" t="n">
        <v>29</v>
      </c>
      <c r="B32" s="8" t="inlineStr">
        <is>
          <t xml:space="preserve">                )</t>
        </is>
      </c>
    </row>
    <row r="33">
      <c r="A33" s="9" t="n">
        <v>30</v>
      </c>
      <c r="B33" s="10" t="inlineStr">
        <is>
          <t xml:space="preserve">            return {"status": "cached", "count": len(cached)}</t>
        </is>
      </c>
    </row>
    <row r="34">
      <c r="A34" s="7" t="n">
        <v>31</v>
      </c>
      <c r="B34" s="8" t="inlineStr">
        <is>
          <t xml:space="preserve">        try:</t>
        </is>
      </c>
    </row>
    <row r="35">
      <c r="A35" s="9" t="n">
        <v>32</v>
      </c>
      <c r="B35" s="10" t="inlineStr">
        <is>
          <t xml:space="preserve">            model = model_pool.get_model("faster_whisper", load_whisper)</t>
        </is>
      </c>
    </row>
    <row r="36">
      <c r="A36" s="7" t="n">
        <v>33</v>
      </c>
      <c r="B36" s="8" t="inlineStr">
        <is>
          <t xml:space="preserve">        except Exception as e:</t>
        </is>
      </c>
    </row>
    <row r="37">
      <c r="A37" s="9" t="n">
        <v>34</v>
      </c>
      <c r="B37" s="10" t="inlineStr">
        <is>
          <t xml:space="preserve">            logger.warning(f"Whisper模型加载失败: {e}，跳过语音识别")</t>
        </is>
      </c>
    </row>
    <row r="38">
      <c r="A38" s="7" t="n">
        <v>35</v>
      </c>
      <c r="B38" s="8" t="inlineStr">
        <is>
          <t xml:space="preserve">            return {"status": "failed", "error": str(e)}</t>
        </is>
      </c>
    </row>
    <row r="39">
      <c r="A39" s="9" t="n">
        <v>36</v>
      </c>
      <c r="B39" s="10" t="inlineStr">
        <is>
          <t xml:space="preserve">        segments, info = model.transcribe(</t>
        </is>
      </c>
    </row>
    <row r="40">
      <c r="A40" s="7" t="n">
        <v>37</v>
      </c>
      <c r="B40" s="8" t="inlineStr">
        <is>
          <t xml:space="preserve">            video_path,</t>
        </is>
      </c>
    </row>
    <row r="41">
      <c r="A41" s="9" t="n">
        <v>38</v>
      </c>
      <c r="B41" s="10" t="inlineStr">
        <is>
          <t xml:space="preserve">            language="zh",</t>
        </is>
      </c>
    </row>
    <row r="42">
      <c r="A42" s="7" t="n">
        <v>39</v>
      </c>
      <c r="B42" s="8" t="inlineStr">
        <is>
          <t xml:space="preserve">            vad_filter=True,</t>
        </is>
      </c>
    </row>
    <row r="43">
      <c r="A43" s="9" t="n">
        <v>40</v>
      </c>
      <c r="B43" s="10" t="inlineStr">
        <is>
          <t xml:space="preserve">            vad_parameters=dict(min_silence_duration_ms=500),</t>
        </is>
      </c>
    </row>
    <row r="44">
      <c r="A44" s="7" t="n">
        <v>41</v>
      </c>
      <c r="B44" s="8" t="inlineStr">
        <is>
          <t xml:space="preserve">            initial_prompt="家居产品解说，包含岛台、岩板、滑轨、柜体、五金等专业术语",</t>
        </is>
      </c>
    </row>
    <row r="45">
      <c r="A45" s="9" t="n">
        <v>42</v>
      </c>
      <c r="B45" s="10" t="inlineStr">
        <is>
          <t xml:space="preserve">        )</t>
        </is>
      </c>
    </row>
    <row r="46">
      <c r="A46" s="7" t="n">
        <v>43</v>
      </c>
      <c r="B46" s="8" t="inlineStr">
        <is>
          <t xml:space="preserve">        segments_list = []</t>
        </is>
      </c>
    </row>
    <row r="47">
      <c r="A47" s="9" t="n">
        <v>44</v>
      </c>
      <c r="B47" s="10" t="inlineStr">
        <is>
          <t xml:space="preserve">        for seg in segments:</t>
        </is>
      </c>
    </row>
    <row r="48">
      <c r="A48" s="7" t="n">
        <v>45</v>
      </c>
      <c r="B48" s="8" t="inlineStr">
        <is>
          <t xml:space="preserve">            seg_data = {</t>
        </is>
      </c>
    </row>
    <row r="49">
      <c r="A49" s="9" t="n">
        <v>46</v>
      </c>
      <c r="B49" s="10" t="inlineStr">
        <is>
          <t xml:space="preserve">                "start": round(seg.start, 2),</t>
        </is>
      </c>
    </row>
    <row r="50">
      <c r="A50" s="7" t="n">
        <v>47</v>
      </c>
      <c r="B50" s="8" t="inlineStr">
        <is>
          <t xml:space="preserve">                "end": round(seg.end, 2),</t>
        </is>
      </c>
    </row>
    <row r="51">
      <c r="A51" s="9" t="n">
        <v>48</v>
      </c>
      <c r="B51" s="10" t="inlineStr">
        <is>
          <t xml:space="preserve">                "text": seg.text.strip(),</t>
        </is>
      </c>
    </row>
    <row r="52">
      <c r="A52" s="7" t="n">
        <v>49</v>
      </c>
      <c r="B52" s="8" t="inlineStr">
        <is>
          <t xml:space="preserve">            }</t>
        </is>
      </c>
    </row>
    <row r="53">
      <c r="A53" s="9" t="n">
        <v>50</v>
      </c>
      <c r="B53" s="10" t="inlineStr">
        <is>
          <t xml:space="preserve">            segments_list.append(seg_data)</t>
        </is>
      </c>
    </row>
    <row r="54">
      <c r="A54" s="7" t="n">
        <v>51</v>
      </c>
      <c r="B54" s="8" t="inlineStr">
        <is>
          <t xml:space="preserve">            execute_sql(</t>
        </is>
      </c>
    </row>
    <row r="55">
      <c r="A55" s="9" t="n">
        <v>52</v>
      </c>
      <c r="B55" s="10" t="inlineStr">
        <is>
          <t xml:space="preserve">                "INSERT INTO audio_features (material_id, start_time, end_time, audio_type, transcript) VALUES (?, ?, ?, ?, ?)",</t>
        </is>
      </c>
    </row>
    <row r="56">
      <c r="A56" s="7" t="n">
        <v>53</v>
      </c>
      <c r="B56" s="8" t="inlineStr">
        <is>
          <t xml:space="preserve">                (material_id, seg.start, seg.end, "语音", seg.text.strip()),</t>
        </is>
      </c>
    </row>
    <row r="57">
      <c r="A57" s="9" t="n">
        <v>54</v>
      </c>
      <c r="B57" s="10" t="inlineStr">
        <is>
          <t xml:space="preserve">            )</t>
        </is>
      </c>
    </row>
    <row r="58">
      <c r="A58" s="7" t="n">
        <v>55</v>
      </c>
      <c r="B58" s="8" t="inlineStr">
        <is>
          <t xml:space="preserve">        cache_manager.set(video_path, "audio_transcribe", segments_list)</t>
        </is>
      </c>
    </row>
    <row r="59">
      <c r="A59" s="9" t="n">
        <v>56</v>
      </c>
      <c r="B59" s="10" t="inlineStr">
        <is>
          <t xml:space="preserve">        logger.info(f"语音识别完成，共{len(segments_list)}段")</t>
        </is>
      </c>
    </row>
    <row r="60">
      <c r="A60" s="7" t="n">
        <v>57</v>
      </c>
      <c r="B60" s="8" t="inlineStr">
        <is>
          <t xml:space="preserve">        return {"status": "success", "count": len(segments_list)}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plugins\recognize\bgm_classify_plugin.py</t>
        </is>
      </c>
      <c r="C1" s="5" t="inlineStr">
        <is>
          <t>行数: 67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"""BGM风格分类插件"""</t>
        </is>
      </c>
    </row>
    <row r="5">
      <c r="A5" s="9" t="n">
        <v>2</v>
      </c>
      <c r="B5" s="10" t="inlineStr">
        <is>
          <t>import os</t>
        </is>
      </c>
    </row>
    <row r="6">
      <c r="A6" s="7" t="n">
        <v>3</v>
      </c>
      <c r="B6" s="8" t="inlineStr">
        <is>
          <t>import numpy as np</t>
        </is>
      </c>
    </row>
    <row r="7">
      <c r="A7" s="9" t="n">
        <v>4</v>
      </c>
      <c r="B7" s="10" t="inlineStr">
        <is>
          <t>from plugins.base_plugin import BasePlugin</t>
        </is>
      </c>
    </row>
    <row r="8">
      <c r="A8" s="7" t="n">
        <v>5</v>
      </c>
      <c r="B8" s="8" t="inlineStr">
        <is>
          <t>from utils.logger import get_logger</t>
        </is>
      </c>
    </row>
    <row r="9">
      <c r="A9" s="9" t="n">
        <v>6</v>
      </c>
      <c r="B9" s="10" t="inlineStr">
        <is>
          <t>from core.database import execute_sql</t>
        </is>
      </c>
    </row>
    <row r="10">
      <c r="A10" s="7" t="n">
        <v>7</v>
      </c>
      <c r="B10" s="8" t="inlineStr">
        <is>
          <t>from utils.cache_manager import cache_manager</t>
        </is>
      </c>
    </row>
    <row r="11">
      <c r="A11" s="9" t="n">
        <v>8</v>
      </c>
      <c r="B11" s="10" t="inlineStr">
        <is>
          <t>logger = get_logger("plugin.bgm_classify")</t>
        </is>
      </c>
    </row>
    <row r="12">
      <c r="A12" s="7" t="n">
        <v>9</v>
      </c>
      <c r="B12" s="8" t="inlineStr">
        <is>
          <t>STYLES = ["轻快活泼", "舒缓治愈", "动感节奏", "大气震撼", "温馨日常", "科技感"]</t>
        </is>
      </c>
    </row>
    <row r="13">
      <c r="A13" s="9" t="n">
        <v>10</v>
      </c>
      <c r="B13" s="10" t="inlineStr">
        <is>
          <t>class BgmClassifyPlugin(BasePlugin):</t>
        </is>
      </c>
    </row>
    <row r="14">
      <c r="A14" s="7" t="n">
        <v>11</v>
      </c>
      <c r="B14" s="8" t="inlineStr">
        <is>
          <t xml:space="preserve">    name = "bgm_classify"</t>
        </is>
      </c>
    </row>
    <row r="15">
      <c r="A15" s="9" t="n">
        <v>12</v>
      </c>
      <c r="B15" s="10" t="inlineStr">
        <is>
          <t xml:space="preserve">    category = "recognize"</t>
        </is>
      </c>
    </row>
    <row r="16">
      <c r="A16" s="7" t="n">
        <v>13</v>
      </c>
      <c r="B16" s="8" t="inlineStr">
        <is>
          <t xml:space="preserve">    description = "BGM风格分类与节拍检测"</t>
        </is>
      </c>
    </row>
    <row r="17">
      <c r="A17" s="9" t="n">
        <v>14</v>
      </c>
      <c r="B17" s="10" t="inlineStr">
        <is>
          <t xml:space="preserve">    def run(self, material_id: int, video_path: str) -&gt; dict:</t>
        </is>
      </c>
    </row>
    <row r="18">
      <c r="A18" s="7" t="n">
        <v>15</v>
      </c>
      <c r="B18" s="8" t="inlineStr">
        <is>
          <t xml:space="preserve">        cached = cache_manager.get(video_path, "bgm_classify")</t>
        </is>
      </c>
    </row>
    <row r="19">
      <c r="A19" s="9" t="n">
        <v>16</v>
      </c>
      <c r="B19" s="10" t="inlineStr">
        <is>
          <t xml:space="preserve">        if cached:</t>
        </is>
      </c>
    </row>
    <row r="20">
      <c r="A20" s="7" t="n">
        <v>17</v>
      </c>
      <c r="B20" s="8" t="inlineStr">
        <is>
          <t xml:space="preserve">            execute_sql(</t>
        </is>
      </c>
    </row>
    <row r="21">
      <c r="A21" s="9" t="n">
        <v>18</v>
      </c>
      <c r="B21" s="10" t="inlineStr">
        <is>
          <t xml:space="preserve">                "INSERT OR IGNORE INTO audio_features (material_id, start_time, end_time, audio_type, transcript) VALUES (?, 0, ?, 'BGM', ?)",</t>
        </is>
      </c>
    </row>
    <row r="22">
      <c r="A22" s="7" t="n">
        <v>19</v>
      </c>
      <c r="B22" s="8" t="inlineStr">
        <is>
          <t xml:space="preserve">                (material_id, cached["duration"], cached["style"])</t>
        </is>
      </c>
    </row>
    <row r="23">
      <c r="A23" s="9" t="n">
        <v>20</v>
      </c>
      <c r="B23" s="10" t="inlineStr">
        <is>
          <t xml:space="preserve">            )</t>
        </is>
      </c>
    </row>
    <row r="24">
      <c r="A24" s="7" t="n">
        <v>21</v>
      </c>
      <c r="B24" s="8" t="inlineStr">
        <is>
          <t xml:space="preserve">            return {"status": "cached", "style": cached["style"]}</t>
        </is>
      </c>
    </row>
    <row r="25">
      <c r="A25" s="9" t="n">
        <v>22</v>
      </c>
      <c r="B25" s="10" t="inlineStr">
        <is>
          <t xml:space="preserve">        try:</t>
        </is>
      </c>
    </row>
    <row r="26">
      <c r="A26" s="7" t="n">
        <v>23</v>
      </c>
      <c r="B26" s="8" t="inlineStr">
        <is>
          <t xml:space="preserve">            import tensorflow as tf</t>
        </is>
      </c>
    </row>
    <row r="27">
      <c r="A27" s="9" t="n">
        <v>24</v>
      </c>
      <c r="B27" s="10" t="inlineStr">
        <is>
          <t xml:space="preserve">            import tensorflow_hub as hub</t>
        </is>
      </c>
    </row>
    <row r="28">
      <c r="A28" s="7" t="n">
        <v>25</v>
      </c>
      <c r="B28" s="8" t="inlineStr">
        <is>
          <t xml:space="preserve">            import librosa</t>
        </is>
      </c>
    </row>
    <row r="29">
      <c r="A29" s="9" t="n">
        <v>26</v>
      </c>
      <c r="B29" s="10" t="inlineStr">
        <is>
          <t xml:space="preserve">            # 强制CPU，零显存</t>
        </is>
      </c>
    </row>
    <row r="30">
      <c r="A30" s="7" t="n">
        <v>27</v>
      </c>
      <c r="B30" s="8" t="inlineStr">
        <is>
          <t xml:space="preserve">            os.environ["CUDA_VISIBLE_DEVICES"] = "-1"</t>
        </is>
      </c>
    </row>
    <row r="31">
      <c r="A31" s="9" t="n">
        <v>28</v>
      </c>
      <c r="B31" s="10" t="inlineStr">
        <is>
          <t xml:space="preserve">            tf.config.set_visible_devices([], "GPU")</t>
        </is>
      </c>
    </row>
    <row r="32">
      <c r="A32" s="7" t="n">
        <v>29</v>
      </c>
      <c r="B32" s="8" t="inlineStr">
        <is>
          <t xml:space="preserve">            model_path = "./data/models/yamnet"</t>
        </is>
      </c>
    </row>
    <row r="33">
      <c r="A33" s="9" t="n">
        <v>30</v>
      </c>
      <c r="B33" s="10" t="inlineStr">
        <is>
          <t xml:space="preserve">            if os.path.exists(model_path):</t>
        </is>
      </c>
    </row>
    <row r="34">
      <c r="A34" s="7" t="n">
        <v>31</v>
      </c>
      <c r="B34" s="8" t="inlineStr">
        <is>
          <t xml:space="preserve">                model = hub.load(model_path)</t>
        </is>
      </c>
    </row>
    <row r="35">
      <c r="A35" s="9" t="n">
        <v>32</v>
      </c>
      <c r="B35" s="10" t="inlineStr">
        <is>
          <t xml:space="preserve">            else:</t>
        </is>
      </c>
    </row>
    <row r="36">
      <c r="A36" s="7" t="n">
        <v>33</v>
      </c>
      <c r="B36" s="8" t="inlineStr">
        <is>
          <t xml:space="preserve">                model = hub.load("https://tfhub.dev/google/yamnet/1")</t>
        </is>
      </c>
    </row>
    <row r="37">
      <c r="A37" s="9" t="n">
        <v>34</v>
      </c>
      <c r="B37" s="10" t="inlineStr">
        <is>
          <t xml:space="preserve">            wav, sr = librosa.load(video_path, sr=16000, mono=True)</t>
        </is>
      </c>
    </row>
    <row r="38">
      <c r="A38" s="7" t="n">
        <v>35</v>
      </c>
      <c r="B38" s="8" t="inlineStr">
        <is>
          <t xml:space="preserve">            duration = len(wav) / sr</t>
        </is>
      </c>
    </row>
    <row r="39">
      <c r="A39" s="9" t="n">
        <v>36</v>
      </c>
      <c r="B39" s="10" t="inlineStr">
        <is>
          <t xml:space="preserve">            if duration &lt; 1.0:</t>
        </is>
      </c>
    </row>
    <row r="40">
      <c r="A40" s="7" t="n">
        <v>37</v>
      </c>
      <c r="B40" s="8" t="inlineStr">
        <is>
          <t xml:space="preserve">                return {"status": "skipped", "style": "音频过短"}</t>
        </is>
      </c>
    </row>
    <row r="41">
      <c r="A41" s="9" t="n">
        <v>38</v>
      </c>
      <c r="B41" s="10" t="inlineStr">
        <is>
          <t xml:space="preserve">            scores, _, _ = model(wav)</t>
        </is>
      </c>
    </row>
    <row r="42">
      <c r="A42" s="7" t="n">
        <v>39</v>
      </c>
      <c r="B42" s="8" t="inlineStr">
        <is>
          <t xml:space="preserve">            class_scores = scores.numpy().mean(axis=0)</t>
        </is>
      </c>
    </row>
    <row r="43">
      <c r="A43" s="9" t="n">
        <v>40</v>
      </c>
      <c r="B43" s="10" t="inlineStr">
        <is>
          <t xml:space="preserve">            top_idx = int(np.argmax(class_scores))</t>
        </is>
      </c>
    </row>
    <row r="44">
      <c r="A44" s="7" t="n">
        <v>41</v>
      </c>
      <c r="B44" s="8" t="inlineStr">
        <is>
          <t xml:space="preserve">            style = STYLES[top_idx % len(STYLES)]</t>
        </is>
      </c>
    </row>
    <row r="45">
      <c r="A45" s="9" t="n">
        <v>42</v>
      </c>
      <c r="B45" s="10" t="inlineStr">
        <is>
          <t xml:space="preserve">            # 节拍检测</t>
        </is>
      </c>
    </row>
    <row r="46">
      <c r="A46" s="7" t="n">
        <v>43</v>
      </c>
      <c r="B46" s="8" t="inlineStr">
        <is>
          <t xml:space="preserve">            tempo = 0.0</t>
        </is>
      </c>
    </row>
    <row r="47">
      <c r="A47" s="9" t="n">
        <v>44</v>
      </c>
      <c r="B47" s="10" t="inlineStr">
        <is>
          <t xml:space="preserve">            try:</t>
        </is>
      </c>
    </row>
    <row r="48">
      <c r="A48" s="7" t="n">
        <v>45</v>
      </c>
      <c r="B48" s="8" t="inlineStr">
        <is>
          <t xml:space="preserve">                tempo_val, _ = librosa.beat.beat_track(y=wav, sr=sr)</t>
        </is>
      </c>
    </row>
    <row r="49">
      <c r="A49" s="9" t="n">
        <v>46</v>
      </c>
      <c r="B49" s="10" t="inlineStr">
        <is>
          <t xml:space="preserve">                tempo = float(tempo_val)</t>
        </is>
      </c>
    </row>
    <row r="50">
      <c r="A50" s="7" t="n">
        <v>47</v>
      </c>
      <c r="B50" s="8" t="inlineStr">
        <is>
          <t xml:space="preserve">            except Exception:</t>
        </is>
      </c>
    </row>
    <row r="51">
      <c r="A51" s="9" t="n">
        <v>48</v>
      </c>
      <c r="B51" s="10" t="inlineStr">
        <is>
          <t xml:space="preserve">                pass</t>
        </is>
      </c>
    </row>
    <row r="52">
      <c r="A52" s="7" t="n">
        <v>49</v>
      </c>
      <c r="B52" s="8" t="inlineStr">
        <is>
          <t xml:space="preserve">            result = {</t>
        </is>
      </c>
    </row>
    <row r="53">
      <c r="A53" s="9" t="n">
        <v>50</v>
      </c>
      <c r="B53" s="10" t="inlineStr">
        <is>
          <t xml:space="preserve">                "style": style,</t>
        </is>
      </c>
    </row>
    <row r="54">
      <c r="A54" s="7" t="n">
        <v>51</v>
      </c>
      <c r="B54" s="8" t="inlineStr">
        <is>
          <t xml:space="preserve">                "tempo": tempo,</t>
        </is>
      </c>
    </row>
    <row r="55">
      <c r="A55" s="9" t="n">
        <v>52</v>
      </c>
      <c r="B55" s="10" t="inlineStr">
        <is>
          <t xml:space="preserve">                "duration": round(duration, 2),</t>
        </is>
      </c>
    </row>
    <row r="56">
      <c r="A56" s="7" t="n">
        <v>53</v>
      </c>
      <c r="B56" s="8" t="inlineStr">
        <is>
          <t xml:space="preserve">                "confidence": round(float(class_scores[top_idx]), 4),</t>
        </is>
      </c>
    </row>
    <row r="57">
      <c r="A57" s="9" t="n">
        <v>54</v>
      </c>
      <c r="B57" s="10" t="inlineStr">
        <is>
          <t xml:space="preserve">            }</t>
        </is>
      </c>
    </row>
    <row r="58">
      <c r="A58" s="7" t="n">
        <v>55</v>
      </c>
      <c r="B58" s="8" t="inlineStr">
        <is>
          <t xml:space="preserve">            execute_sql(</t>
        </is>
      </c>
    </row>
    <row r="59">
      <c r="A59" s="9" t="n">
        <v>56</v>
      </c>
      <c r="B59" s="10" t="inlineStr">
        <is>
          <t xml:space="preserve">                "INSERT INTO audio_features (material_id, start_time, end_time, audio_type, transcript) VALUES (?, 0, ?, 'BGM', ?)",</t>
        </is>
      </c>
    </row>
    <row r="60">
      <c r="A60" s="7" t="n">
        <v>57</v>
      </c>
      <c r="B60" s="8" t="inlineStr">
        <is>
          <t xml:space="preserve">                (material_id, duration, style)</t>
        </is>
      </c>
    </row>
    <row r="61">
      <c r="A61" s="9" t="n">
        <v>58</v>
      </c>
      <c r="B61" s="10" t="inlineStr">
        <is>
          <t xml:space="preserve">            )</t>
        </is>
      </c>
    </row>
    <row r="62">
      <c r="A62" s="7" t="n">
        <v>59</v>
      </c>
      <c r="B62" s="8" t="inlineStr">
        <is>
          <t xml:space="preserve">            cache_manager.set(video_path, "bgm_classify", result)</t>
        </is>
      </c>
    </row>
    <row r="63">
      <c r="A63" s="9" t="n">
        <v>60</v>
      </c>
      <c r="B63" s="10" t="inlineStr">
        <is>
          <t xml:space="preserve">            logger.info(f"BGM分类完成: {style} | 节拍: {tempo:.0f}BPM")</t>
        </is>
      </c>
    </row>
    <row r="64">
      <c r="A64" s="7" t="n">
        <v>61</v>
      </c>
      <c r="B64" s="8" t="inlineStr">
        <is>
          <t xml:space="preserve">            return {"status": "success", "style": style, "tempo": tempo}</t>
        </is>
      </c>
    </row>
    <row r="65">
      <c r="A65" s="9" t="n">
        <v>62</v>
      </c>
      <c r="B65" s="10" t="inlineStr">
        <is>
          <t xml:space="preserve">        except ImportError as e:</t>
        </is>
      </c>
    </row>
    <row r="66">
      <c r="A66" s="7" t="n">
        <v>63</v>
      </c>
      <c r="B66" s="8" t="inlineStr">
        <is>
          <t xml:space="preserve">            logger.warning(f"TensorFlow/librosa不可用: {e}，BGM分类跳过")</t>
        </is>
      </c>
    </row>
    <row r="67">
      <c r="A67" s="9" t="n">
        <v>64</v>
      </c>
      <c r="B67" s="10" t="inlineStr">
        <is>
          <t xml:space="preserve">            return {"status": "failed", "error": str(e)}</t>
        </is>
      </c>
    </row>
    <row r="68">
      <c r="A68" s="7" t="n">
        <v>65</v>
      </c>
      <c r="B68" s="8" t="inlineStr">
        <is>
          <t xml:space="preserve">        except Exception as e:</t>
        </is>
      </c>
    </row>
    <row r="69">
      <c r="A69" s="9" t="n">
        <v>66</v>
      </c>
      <c r="B69" s="10" t="inlineStr">
        <is>
          <t xml:space="preserve">            logger.error(f"BGM分类失败: {e}")</t>
        </is>
      </c>
    </row>
    <row r="70">
      <c r="A70" s="7" t="n">
        <v>67</v>
      </c>
      <c r="B70" s="8" t="inlineStr">
        <is>
          <t xml:space="preserve">            return {"status": "failed", "error": str(e)}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plugins\recognize\scene_tag_plugin.py</t>
        </is>
      </c>
      <c r="C1" s="5" t="inlineStr">
        <is>
          <t>行数: 74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"""场景内容自动打标签插件"""</t>
        </is>
      </c>
    </row>
    <row r="5">
      <c r="A5" s="9" t="n">
        <v>2</v>
      </c>
      <c r="B5" s="10" t="inlineStr">
        <is>
          <t>import os</t>
        </is>
      </c>
    </row>
    <row r="6">
      <c r="A6" s="7" t="n">
        <v>3</v>
      </c>
      <c r="B6" s="8" t="inlineStr">
        <is>
          <t>from plugins.base_plugin import BasePlugin</t>
        </is>
      </c>
    </row>
    <row r="7">
      <c r="A7" s="9" t="n">
        <v>4</v>
      </c>
      <c r="B7" s="10" t="inlineStr">
        <is>
          <t>from utils.logger import get_logger</t>
        </is>
      </c>
    </row>
    <row r="8">
      <c r="A8" s="7" t="n">
        <v>5</v>
      </c>
      <c r="B8" s="8" t="inlineStr">
        <is>
          <t>from PIL import Image</t>
        </is>
      </c>
    </row>
    <row r="9">
      <c r="A9" s="9" t="n">
        <v>6</v>
      </c>
      <c r="B9" s="10" t="inlineStr">
        <is>
          <t>from core.model_pool import model_pool</t>
        </is>
      </c>
    </row>
    <row r="10">
      <c r="A10" s="7" t="n">
        <v>7</v>
      </c>
      <c r="B10" s="8" t="inlineStr">
        <is>
          <t>from core.database import execute_sql, query_sql</t>
        </is>
      </c>
    </row>
    <row r="11">
      <c r="A11" s="9" t="n">
        <v>8</v>
      </c>
      <c r="B11" s="10" t="inlineStr">
        <is>
          <t>from utils.cache_manager import cache_manager</t>
        </is>
      </c>
    </row>
    <row r="12">
      <c r="A12" s="7" t="n">
        <v>9</v>
      </c>
      <c r="B12" s="8" t="inlineStr">
        <is>
          <t>logger = get_logger("plugin.scene_tag")</t>
        </is>
      </c>
    </row>
    <row r="13">
      <c r="A13" s="9" t="n">
        <v>10</v>
      </c>
      <c r="B13" s="10" t="inlineStr">
        <is>
          <t>TAGS = ["产品展示", "安装过程", "细节特写", "空镜场景", "人物出镜", "文字说明"]</t>
        </is>
      </c>
    </row>
    <row r="14">
      <c r="A14" s="7" t="n">
        <v>11</v>
      </c>
      <c r="B14" s="8" t="inlineStr">
        <is>
          <t>def load_scene_model():</t>
        </is>
      </c>
    </row>
    <row r="15">
      <c r="A15" s="9" t="n">
        <v>12</v>
      </c>
      <c r="B15" s="10" t="inlineStr">
        <is>
          <t xml:space="preserve">    import torch</t>
        </is>
      </c>
    </row>
    <row r="16">
      <c r="A16" s="7" t="n">
        <v>13</v>
      </c>
      <c r="B16" s="8" t="inlineStr">
        <is>
          <t xml:space="preserve">    from transformers import AutoModel, AutoTokenizer</t>
        </is>
      </c>
    </row>
    <row r="17">
      <c r="A17" s="9" t="n">
        <v>14</v>
      </c>
      <c r="B17" s="10" t="inlineStr">
        <is>
          <t xml:space="preserve">    model_path = "./data/models/internvl2-2b"</t>
        </is>
      </c>
    </row>
    <row r="18">
      <c r="A18" s="7" t="n">
        <v>15</v>
      </c>
      <c r="B18" s="8" t="inlineStr">
        <is>
          <t xml:space="preserve">    if not os.path.exists(model_path):</t>
        </is>
      </c>
    </row>
    <row r="19">
      <c r="A19" s="9" t="n">
        <v>16</v>
      </c>
      <c r="B19" s="10" t="inlineStr">
        <is>
          <t xml:space="preserve">        raise FileNotFoundError(f"模型路径不存在: {model_path}")</t>
        </is>
      </c>
    </row>
    <row r="20">
      <c r="A20" s="7" t="n">
        <v>17</v>
      </c>
      <c r="B20" s="8" t="inlineStr">
        <is>
          <t xml:space="preserve">    tokenizer = AutoTokenizer.from_pretrained(model_path, trust_remote_code=True)</t>
        </is>
      </c>
    </row>
    <row r="21">
      <c r="A21" s="9" t="n">
        <v>18</v>
      </c>
      <c r="B21" s="10" t="inlineStr">
        <is>
          <t xml:space="preserve">    model = AutoModel.from_pretrained(</t>
        </is>
      </c>
    </row>
    <row r="22">
      <c r="A22" s="7" t="n">
        <v>19</v>
      </c>
      <c r="B22" s="8" t="inlineStr">
        <is>
          <t xml:space="preserve">        model_path,</t>
        </is>
      </c>
    </row>
    <row r="23">
      <c r="A23" s="9" t="n">
        <v>20</v>
      </c>
      <c r="B23" s="10" t="inlineStr">
        <is>
          <t xml:space="preserve">        torch_dtype=torch.bfloat16,</t>
        </is>
      </c>
    </row>
    <row r="24">
      <c r="A24" s="7" t="n">
        <v>21</v>
      </c>
      <c r="B24" s="8" t="inlineStr">
        <is>
          <t xml:space="preserve">        load_in_4bit=True,</t>
        </is>
      </c>
    </row>
    <row r="25">
      <c r="A25" s="9" t="n">
        <v>22</v>
      </c>
      <c r="B25" s="10" t="inlineStr">
        <is>
          <t xml:space="preserve">        trust_remote_code=True,</t>
        </is>
      </c>
    </row>
    <row r="26">
      <c r="A26" s="7" t="n">
        <v>23</v>
      </c>
      <c r="B26" s="8" t="inlineStr">
        <is>
          <t xml:space="preserve">        device_map="auto",</t>
        </is>
      </c>
    </row>
    <row r="27">
      <c r="A27" s="9" t="n">
        <v>24</v>
      </c>
      <c r="B27" s="10" t="inlineStr">
        <is>
          <t xml:space="preserve">    ).eval()</t>
        </is>
      </c>
    </row>
    <row r="28">
      <c r="A28" s="7" t="n">
        <v>25</v>
      </c>
      <c r="B28" s="8" t="inlineStr">
        <is>
          <t xml:space="preserve">    return {"tokenizer": tokenizer, "model": model}</t>
        </is>
      </c>
    </row>
    <row r="29">
      <c r="A29" s="9" t="n">
        <v>26</v>
      </c>
      <c r="B29" s="10" t="inlineStr">
        <is>
          <t>class SceneTagPlugin(BasePlugin):</t>
        </is>
      </c>
    </row>
    <row r="30">
      <c r="A30" s="7" t="n">
        <v>27</v>
      </c>
      <c r="B30" s="8" t="inlineStr">
        <is>
          <t xml:space="preserve">    name = "scene_tag"</t>
        </is>
      </c>
    </row>
    <row r="31">
      <c r="A31" s="9" t="n">
        <v>28</v>
      </c>
      <c r="B31" s="10" t="inlineStr">
        <is>
          <t xml:space="preserve">    category = "recognize"</t>
        </is>
      </c>
    </row>
    <row r="32">
      <c r="A32" s="7" t="n">
        <v>29</v>
      </c>
      <c r="B32" s="8" t="inlineStr">
        <is>
          <t xml:space="preserve">    description = "场景内容自动打标签"</t>
        </is>
      </c>
    </row>
    <row r="33">
      <c r="A33" s="9" t="n">
        <v>30</v>
      </c>
      <c r="B33" s="10" t="inlineStr">
        <is>
          <t xml:space="preserve">    def run(self, material_id: int, video_path: str) -&gt; dict:</t>
        </is>
      </c>
    </row>
    <row r="34">
      <c r="A34" s="7" t="n">
        <v>31</v>
      </c>
      <c r="B34" s="8" t="inlineStr">
        <is>
          <t xml:space="preserve">        cache_key = f"scene_tags_{material_id}"</t>
        </is>
      </c>
    </row>
    <row r="35">
      <c r="A35" s="9" t="n">
        <v>32</v>
      </c>
      <c r="B35" s="10" t="inlineStr">
        <is>
          <t xml:space="preserve">        cached = cache_manager.get(cache_key, "scene_tags")</t>
        </is>
      </c>
    </row>
    <row r="36">
      <c r="A36" s="7" t="n">
        <v>33</v>
      </c>
      <c r="B36" s="8" t="inlineStr">
        <is>
          <t xml:space="preserve">        if cached:</t>
        </is>
      </c>
    </row>
    <row r="37">
      <c r="A37" s="9" t="n">
        <v>34</v>
      </c>
      <c r="B37" s="10" t="inlineStr">
        <is>
          <t xml:space="preserve">            for sid, tag in cached:</t>
        </is>
      </c>
    </row>
    <row r="38">
      <c r="A38" s="7" t="n">
        <v>35</v>
      </c>
      <c r="B38" s="8" t="inlineStr">
        <is>
          <t xml:space="preserve">                execute_sql("UPDATE scene_features SET scene_tag=? WHERE id=?", (tag, sid))</t>
        </is>
      </c>
    </row>
    <row r="39">
      <c r="A39" s="9" t="n">
        <v>36</v>
      </c>
      <c r="B39" s="10" t="inlineStr">
        <is>
          <t xml:space="preserve">            return {"status": "cached", "count": len(cached)}</t>
        </is>
      </c>
    </row>
    <row r="40">
      <c r="A40" s="7" t="n">
        <v>37</v>
      </c>
      <c r="B40" s="8" t="inlineStr">
        <is>
          <t xml:space="preserve">        try:</t>
        </is>
      </c>
    </row>
    <row r="41">
      <c r="A41" s="9" t="n">
        <v>38</v>
      </c>
      <c r="B41" s="10" t="inlineStr">
        <is>
          <t xml:space="preserve">            model_data = model_pool.get_model("scene_llm", load_scene_model)</t>
        </is>
      </c>
    </row>
    <row r="42">
      <c r="A42" s="7" t="n">
        <v>39</v>
      </c>
      <c r="B42" s="8" t="inlineStr">
        <is>
          <t xml:space="preserve">        except Exception as e:</t>
        </is>
      </c>
    </row>
    <row r="43">
      <c r="A43" s="9" t="n">
        <v>40</v>
      </c>
      <c r="B43" s="10" t="inlineStr">
        <is>
          <t xml:space="preserve">            logger.warning(f"场景理解模型加载失败: {e}，跳过场景标签")</t>
        </is>
      </c>
    </row>
    <row r="44">
      <c r="A44" s="7" t="n">
        <v>41</v>
      </c>
      <c r="B44" s="8" t="inlineStr">
        <is>
          <t xml:space="preserve">            return {"status": "failed", "error": str(e)}</t>
        </is>
      </c>
    </row>
    <row r="45">
      <c r="A45" s="9" t="n">
        <v>42</v>
      </c>
      <c r="B45" s="10" t="inlineStr">
        <is>
          <t xml:space="preserve">        tokenizer = model_data["tokenizer"]</t>
        </is>
      </c>
    </row>
    <row r="46">
      <c r="A46" s="7" t="n">
        <v>43</v>
      </c>
      <c r="B46" s="8" t="inlineStr">
        <is>
          <t xml:space="preserve">        model = model_data["model"]</t>
        </is>
      </c>
    </row>
    <row r="47">
      <c r="A47" s="9" t="n">
        <v>44</v>
      </c>
      <c r="B47" s="10" t="inlineStr">
        <is>
          <t xml:space="preserve">        scenes = query_sql(</t>
        </is>
      </c>
    </row>
    <row r="48">
      <c r="A48" s="7" t="n">
        <v>45</v>
      </c>
      <c r="B48" s="8" t="inlineStr">
        <is>
          <t xml:space="preserve">            "SELECT id, keyframe_path FROM scene_features WHERE material_id=? AND keyframe_path != ''",</t>
        </is>
      </c>
    </row>
    <row r="49">
      <c r="A49" s="9" t="n">
        <v>46</v>
      </c>
      <c r="B49" s="10" t="inlineStr">
        <is>
          <t xml:space="preserve">            (material_id,)</t>
        </is>
      </c>
    </row>
    <row r="50">
      <c r="A50" s="7" t="n">
        <v>47</v>
      </c>
      <c r="B50" s="8" t="inlineStr">
        <is>
          <t xml:space="preserve">        )</t>
        </is>
      </c>
    </row>
    <row r="51">
      <c r="A51" s="9" t="n">
        <v>48</v>
      </c>
      <c r="B51" s="10" t="inlineStr">
        <is>
          <t xml:space="preserve">        if not scenes:</t>
        </is>
      </c>
    </row>
    <row r="52">
      <c r="A52" s="7" t="n">
        <v>49</v>
      </c>
      <c r="B52" s="8" t="inlineStr">
        <is>
          <t xml:space="preserve">            logger.warning("未找到场景数据")</t>
        </is>
      </c>
    </row>
    <row r="53">
      <c r="A53" s="9" t="n">
        <v>50</v>
      </c>
      <c r="B53" s="10" t="inlineStr">
        <is>
          <t xml:space="preserve">            return {"status": "skipped", "count": 0}</t>
        </is>
      </c>
    </row>
    <row r="54">
      <c r="A54" s="7" t="n">
        <v>51</v>
      </c>
      <c r="B54" s="8" t="inlineStr">
        <is>
          <t xml:space="preserve">        results = []</t>
        </is>
      </c>
    </row>
    <row r="55">
      <c r="A55" s="9" t="n">
        <v>52</v>
      </c>
      <c r="B55" s="10" t="inlineStr">
        <is>
          <t xml:space="preserve">        prompt = f"从以下标签中选择最匹配这张图片的1个标签：{'、'.join(TAGS)}，只输出标签名称，不要其他内容。"</t>
        </is>
      </c>
    </row>
    <row r="56">
      <c r="A56" s="7" t="n">
        <v>53</v>
      </c>
      <c r="B56" s="8" t="inlineStr">
        <is>
          <t xml:space="preserve">        for row in scenes:</t>
        </is>
      </c>
    </row>
    <row r="57">
      <c r="A57" s="9" t="n">
        <v>54</v>
      </c>
      <c r="B57" s="10" t="inlineStr">
        <is>
          <t xml:space="preserve">            sid = row[0]</t>
        </is>
      </c>
    </row>
    <row r="58">
      <c r="A58" s="7" t="n">
        <v>55</v>
      </c>
      <c r="B58" s="8" t="inlineStr">
        <is>
          <t xml:space="preserve">            img_path = row[1]</t>
        </is>
      </c>
    </row>
    <row r="59">
      <c r="A59" s="9" t="n">
        <v>56</v>
      </c>
      <c r="B59" s="10" t="inlineStr">
        <is>
          <t xml:space="preserve">            if not os.path.exists(img_path):</t>
        </is>
      </c>
    </row>
    <row r="60">
      <c r="A60" s="7" t="n">
        <v>57</v>
      </c>
      <c r="B60" s="8" t="inlineStr">
        <is>
          <t xml:space="preserve">                execute_sql("UPDATE scene_features SET scene_tag='未分类' WHERE id=?", (sid,))</t>
        </is>
      </c>
    </row>
    <row r="61">
      <c r="A61" s="9" t="n">
        <v>58</v>
      </c>
      <c r="B61" s="10" t="inlineStr">
        <is>
          <t xml:space="preserve">                results.append((sid, "未分类"))</t>
        </is>
      </c>
    </row>
    <row r="62">
      <c r="A62" s="7" t="n">
        <v>59</v>
      </c>
      <c r="B62" s="8" t="inlineStr">
        <is>
          <t xml:space="preserve">                continue</t>
        </is>
      </c>
    </row>
    <row r="63">
      <c r="A63" s="9" t="n">
        <v>60</v>
      </c>
      <c r="B63" s="10" t="inlineStr">
        <is>
          <t xml:space="preserve">            try:</t>
        </is>
      </c>
    </row>
    <row r="64">
      <c r="A64" s="7" t="n">
        <v>61</v>
      </c>
      <c r="B64" s="8" t="inlineStr">
        <is>
          <t xml:space="preserve">                image = Image.open(img_path).convert("RGB")</t>
        </is>
      </c>
    </row>
    <row r="65">
      <c r="A65" s="9" t="n">
        <v>62</v>
      </c>
      <c r="B65" s="10" t="inlineStr">
        <is>
          <t xml:space="preserve">                response = model.chat(tokenizer, image, prompt, history=[])</t>
        </is>
      </c>
    </row>
    <row r="66">
      <c r="A66" s="7" t="n">
        <v>63</v>
      </c>
      <c r="B66" s="8" t="inlineStr">
        <is>
          <t xml:space="preserve">                tag = response.strip().replace("。", "").replace(" ", "").replace("\n", "")</t>
        </is>
      </c>
    </row>
    <row r="67">
      <c r="A67" s="9" t="n">
        <v>64</v>
      </c>
      <c r="B67" s="10" t="inlineStr">
        <is>
          <t xml:space="preserve">                if tag not in TAGS:</t>
        </is>
      </c>
    </row>
    <row r="68">
      <c r="A68" s="7" t="n">
        <v>65</v>
      </c>
      <c r="B68" s="8" t="inlineStr">
        <is>
          <t xml:space="preserve">                    tag = "其他场景"</t>
        </is>
      </c>
    </row>
    <row r="69">
      <c r="A69" s="9" t="n">
        <v>66</v>
      </c>
      <c r="B69" s="10" t="inlineStr">
        <is>
          <t xml:space="preserve">                execute_sql("UPDATE scene_features SET scene_tag=? WHERE id=?", (tag, sid))</t>
        </is>
      </c>
    </row>
    <row r="70">
      <c r="A70" s="7" t="n">
        <v>67</v>
      </c>
      <c r="B70" s="8" t="inlineStr">
        <is>
          <t xml:space="preserve">                results.append((sid, tag))</t>
        </is>
      </c>
    </row>
    <row r="71">
      <c r="A71" s="9" t="n">
        <v>68</v>
      </c>
      <c r="B71" s="10" t="inlineStr">
        <is>
          <t xml:space="preserve">            except Exception as e:</t>
        </is>
      </c>
    </row>
    <row r="72">
      <c r="A72" s="7" t="n">
        <v>69</v>
      </c>
      <c r="B72" s="8" t="inlineStr">
        <is>
          <t xml:space="preserve">                logger.debug(f"场景{sid}标签生成失败: {e}")</t>
        </is>
      </c>
    </row>
    <row r="73">
      <c r="A73" s="9" t="n">
        <v>70</v>
      </c>
      <c r="B73" s="10" t="inlineStr">
        <is>
          <t xml:space="preserve">                execute_sql("UPDATE scene_features SET scene_tag='处理失败' WHERE id=?", (sid,))</t>
        </is>
      </c>
    </row>
    <row r="74">
      <c r="A74" s="7" t="n">
        <v>71</v>
      </c>
      <c r="B74" s="8" t="inlineStr">
        <is>
          <t xml:space="preserve">                results.append((sid, "处理失败"))</t>
        </is>
      </c>
    </row>
    <row r="75">
      <c r="A75" s="9" t="n">
        <v>72</v>
      </c>
      <c r="B75" s="10" t="inlineStr">
        <is>
          <t xml:space="preserve">        cache_manager.set(cache_key, "scene_tags", results)</t>
        </is>
      </c>
    </row>
    <row r="76">
      <c r="A76" s="7" t="n">
        <v>73</v>
      </c>
      <c r="B76" s="8" t="inlineStr">
        <is>
          <t xml:space="preserve">        logger.info(f"场景打标完成，共{len(results)}个")</t>
        </is>
      </c>
    </row>
    <row r="77">
      <c r="A77" s="9" t="n">
        <v>74</v>
      </c>
      <c r="B77" s="10" t="inlineStr">
        <is>
          <t xml:space="preserve">        return {"status": "success", "count": len(results)}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plugins\recognize\subtitle_ocr_plugin.py</t>
        </is>
      </c>
      <c r="C1" s="5" t="inlineStr">
        <is>
          <t>行数: 100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"""画面字幕OCR识别与纠错插件"""</t>
        </is>
      </c>
    </row>
    <row r="5">
      <c r="A5" s="9" t="n">
        <v>2</v>
      </c>
      <c r="B5" s="10" t="inlineStr">
        <is>
          <t>from plugins.base_plugin import BasePlugin</t>
        </is>
      </c>
    </row>
    <row r="6">
      <c r="A6" s="7" t="n">
        <v>3</v>
      </c>
      <c r="B6" s="8" t="inlineStr">
        <is>
          <t>from utils.logger import get_logger</t>
        </is>
      </c>
    </row>
    <row r="7">
      <c r="A7" s="9" t="n">
        <v>4</v>
      </c>
      <c r="B7" s="10" t="inlineStr">
        <is>
          <t>from core.model_pool import model_pool</t>
        </is>
      </c>
    </row>
    <row r="8">
      <c r="A8" s="7" t="n">
        <v>5</v>
      </c>
      <c r="B8" s="8" t="inlineStr">
        <is>
          <t>from core.database import execute_sql</t>
        </is>
      </c>
    </row>
    <row r="9">
      <c r="A9" s="9" t="n">
        <v>6</v>
      </c>
      <c r="B9" s="10" t="inlineStr">
        <is>
          <t>from utils.cache_manager import cache_manager</t>
        </is>
      </c>
    </row>
    <row r="10">
      <c r="A10" s="7" t="n">
        <v>7</v>
      </c>
      <c r="B10" s="8" t="inlineStr">
        <is>
          <t>from core.config_loader import CONFIG</t>
        </is>
      </c>
    </row>
    <row r="11">
      <c r="A11" s="9" t="n">
        <v>8</v>
      </c>
      <c r="B11" s="10" t="inlineStr">
        <is>
          <t>logger = get_logger("plugin.subtitle_ocr")</t>
        </is>
      </c>
    </row>
    <row r="12">
      <c r="A12" s="7" t="n">
        <v>9</v>
      </c>
      <c r="B12" s="8" t="inlineStr">
        <is>
          <t>def load_rapidocr():</t>
        </is>
      </c>
    </row>
    <row r="13">
      <c r="A13" s="9" t="n">
        <v>10</v>
      </c>
      <c r="B13" s="10" t="inlineStr">
        <is>
          <t xml:space="preserve">    from rapidocr_onnxruntime import RapidOCR</t>
        </is>
      </c>
    </row>
    <row r="14">
      <c r="A14" s="7" t="n">
        <v>11</v>
      </c>
      <c r="B14" s="8" t="inlineStr">
        <is>
          <t xml:space="preserve">    return RapidOCR()</t>
        </is>
      </c>
    </row>
    <row r="15">
      <c r="A15" s="9" t="n">
        <v>12</v>
      </c>
      <c r="B15" s="10" t="inlineStr">
        <is>
          <t>class SubtitleOcrPlugin(BasePlugin):</t>
        </is>
      </c>
    </row>
    <row r="16">
      <c r="A16" s="7" t="n">
        <v>13</v>
      </c>
      <c r="B16" s="8" t="inlineStr">
        <is>
          <t xml:space="preserve">    name = "subtitle_ocr"</t>
        </is>
      </c>
    </row>
    <row r="17">
      <c r="A17" s="9" t="n">
        <v>14</v>
      </c>
      <c r="B17" s="10" t="inlineStr">
        <is>
          <t xml:space="preserve">    category = "recognize"</t>
        </is>
      </c>
    </row>
    <row r="18">
      <c r="A18" s="7" t="n">
        <v>15</v>
      </c>
      <c r="B18" s="8" t="inlineStr">
        <is>
          <t xml:space="preserve">    description = "画面字幕OCR识别与纠错"</t>
        </is>
      </c>
    </row>
    <row r="19">
      <c r="A19" s="9" t="n">
        <v>16</v>
      </c>
      <c r="B19" s="10" t="inlineStr">
        <is>
          <t xml:space="preserve">    def run(self, material_id: int, video_path: str) -&gt; dict:</t>
        </is>
      </c>
    </row>
    <row r="20">
      <c r="A20" s="7" t="n">
        <v>17</v>
      </c>
      <c r="B20" s="8" t="inlineStr">
        <is>
          <t xml:space="preserve">        cached = cache_manager.get(video_path, "subtitle_detect")</t>
        </is>
      </c>
    </row>
    <row r="21">
      <c r="A21" s="9" t="n">
        <v>18</v>
      </c>
      <c r="B21" s="10" t="inlineStr">
        <is>
          <t xml:space="preserve">        if cached:</t>
        </is>
      </c>
    </row>
    <row r="22">
      <c r="A22" s="7" t="n">
        <v>19</v>
      </c>
      <c r="B22" s="8" t="inlineStr">
        <is>
          <t xml:space="preserve">            for sub in cached:</t>
        </is>
      </c>
    </row>
    <row r="23">
      <c r="A23" s="9" t="n">
        <v>20</v>
      </c>
      <c r="B23" s="10" t="inlineStr">
        <is>
          <t xml:space="preserve">                execute_sql(</t>
        </is>
      </c>
    </row>
    <row r="24">
      <c r="A24" s="7" t="n">
        <v>21</v>
      </c>
      <c r="B24" s="8" t="inlineStr">
        <is>
          <t xml:space="preserve">                    "INSERT OR IGNORE INTO subtitle_features (material_id, start_time, end_time, content, is_error) VALUES (?, ?, ?, ?, ?)",</t>
        </is>
      </c>
    </row>
    <row r="25">
      <c r="A25" s="9" t="n">
        <v>22</v>
      </c>
      <c r="B25" s="10" t="inlineStr">
        <is>
          <t xml:space="preserve">                    (material_id, sub["start"], sub["end"], sub["content"], sub.get("has_error", 0))</t>
        </is>
      </c>
    </row>
    <row r="26">
      <c r="A26" s="7" t="n">
        <v>23</v>
      </c>
      <c r="B26" s="8" t="inlineStr">
        <is>
          <t xml:space="preserve">                )</t>
        </is>
      </c>
    </row>
    <row r="27">
      <c r="A27" s="9" t="n">
        <v>24</v>
      </c>
      <c r="B27" s="10" t="inlineStr">
        <is>
          <t xml:space="preserve">            return {"status": "cached", "count": len(cached)}</t>
        </is>
      </c>
    </row>
    <row r="28">
      <c r="A28" s="7" t="n">
        <v>25</v>
      </c>
      <c r="B28" s="8" t="inlineStr">
        <is>
          <t xml:space="preserve">        try:</t>
        </is>
      </c>
    </row>
    <row r="29">
      <c r="A29" s="9" t="n">
        <v>26</v>
      </c>
      <c r="B29" s="10" t="inlineStr">
        <is>
          <t xml:space="preserve">            ocr = model_pool.get_model("rapid_ocr", load_rapidocr)</t>
        </is>
      </c>
    </row>
    <row r="30">
      <c r="A30" s="7" t="n">
        <v>27</v>
      </c>
      <c r="B30" s="8" t="inlineStr">
        <is>
          <t xml:space="preserve">        except Exception as e:</t>
        </is>
      </c>
    </row>
    <row r="31">
      <c r="A31" s="9" t="n">
        <v>28</v>
      </c>
      <c r="B31" s="10" t="inlineStr">
        <is>
          <t xml:space="preserve">            logger.warning(f"RapidOCR加载失败: {e}，跳过字幕识别")</t>
        </is>
      </c>
    </row>
    <row r="32">
      <c r="A32" s="7" t="n">
        <v>29</v>
      </c>
      <c r="B32" s="8" t="inlineStr">
        <is>
          <t xml:space="preserve">            return {"status": "failed", "error": str(e)}</t>
        </is>
      </c>
    </row>
    <row r="33">
      <c r="A33" s="9" t="n">
        <v>30</v>
      </c>
      <c r="B33" s="10" t="inlineStr">
        <is>
          <t xml:space="preserve">        # 使用decord解码（自动降级CPU）</t>
        </is>
      </c>
    </row>
    <row r="34">
      <c r="A34" s="7" t="n">
        <v>31</v>
      </c>
      <c r="B34" s="8" t="inlineStr">
        <is>
          <t xml:space="preserve">        try:</t>
        </is>
      </c>
    </row>
    <row r="35">
      <c r="A35" s="9" t="n">
        <v>32</v>
      </c>
      <c r="B35" s="10" t="inlineStr">
        <is>
          <t xml:space="preserve">            from decord import VideoReader, gpu</t>
        </is>
      </c>
    </row>
    <row r="36">
      <c r="A36" s="7" t="n">
        <v>33</v>
      </c>
      <c r="B36" s="8" t="inlineStr">
        <is>
          <t xml:space="preserve">            vr = VideoReader(video_path, ctx=gpu(0), num_threads=CONFIG["performance"]["cpu_threads"])</t>
        </is>
      </c>
    </row>
    <row r="37">
      <c r="A37" s="9" t="n">
        <v>34</v>
      </c>
      <c r="B37" s="10" t="inlineStr">
        <is>
          <t xml:space="preserve">        except Exception:</t>
        </is>
      </c>
    </row>
    <row r="38">
      <c r="A38" s="7" t="n">
        <v>35</v>
      </c>
      <c r="B38" s="8" t="inlineStr">
        <is>
          <t xml:space="preserve">            from decord import VideoReader, cpu</t>
        </is>
      </c>
    </row>
    <row r="39">
      <c r="A39" s="9" t="n">
        <v>36</v>
      </c>
      <c r="B39" s="10" t="inlineStr">
        <is>
          <t xml:space="preserve">            vr = VideoReader(video_path, ctx=cpu(0), num_threads=CONFIG["performance"]["cpu_threads"])</t>
        </is>
      </c>
    </row>
    <row r="40">
      <c r="A40" s="7" t="n">
        <v>37</v>
      </c>
      <c r="B40" s="8" t="inlineStr">
        <is>
          <t xml:space="preserve">        total_frames = len(vr)</t>
        </is>
      </c>
    </row>
    <row r="41">
      <c r="A41" s="9" t="n">
        <v>38</v>
      </c>
      <c r="B41" s="10" t="inlineStr">
        <is>
          <t xml:space="preserve">        fps = vr.get_avg_fps()</t>
        </is>
      </c>
    </row>
    <row r="42">
      <c r="A42" s="7" t="n">
        <v>39</v>
      </c>
      <c r="B42" s="8" t="inlineStr">
        <is>
          <t xml:space="preserve">        frame_step = max(1, int(fps / CONFIG["sampling"]["base_sample_fps"]))</t>
        </is>
      </c>
    </row>
    <row r="43">
      <c r="A43" s="9" t="n">
        <v>40</v>
      </c>
      <c r="B43" s="10" t="inlineStr">
        <is>
          <t xml:space="preserve">        frame_indices = list(range(0, total_frames, frame_step))</t>
        </is>
      </c>
    </row>
    <row r="44">
      <c r="A44" s="7" t="n">
        <v>41</v>
      </c>
      <c r="B44" s="8" t="inlineStr">
        <is>
          <t xml:space="preserve">        subtitles = []</t>
        </is>
      </c>
    </row>
    <row r="45">
      <c r="A45" s="9" t="n">
        <v>42</v>
      </c>
      <c r="B45" s="10" t="inlineStr">
        <is>
          <t xml:space="preserve">        current_text = ""</t>
        </is>
      </c>
    </row>
    <row r="46">
      <c r="A46" s="7" t="n">
        <v>43</v>
      </c>
      <c r="B46" s="8" t="inlineStr">
        <is>
          <t xml:space="preserve">        start_time = 0</t>
        </is>
      </c>
    </row>
    <row r="47">
      <c r="A47" s="9" t="n">
        <v>44</v>
      </c>
      <c r="B47" s="10" t="inlineStr">
        <is>
          <t xml:space="preserve">        subtitle_region_ratio = 0.65</t>
        </is>
      </c>
    </row>
    <row r="48">
      <c r="A48" s="7" t="n">
        <v>45</v>
      </c>
      <c r="B48" s="8" t="inlineStr">
        <is>
          <t xml:space="preserve">        for i in frame_indices:</t>
        </is>
      </c>
    </row>
    <row r="49">
      <c r="A49" s="9" t="n">
        <v>46</v>
      </c>
      <c r="B49" s="10" t="inlineStr">
        <is>
          <t xml:space="preserve">            frame = vr[i].asnumpy()</t>
        </is>
      </c>
    </row>
    <row r="50">
      <c r="A50" s="7" t="n">
        <v>47</v>
      </c>
      <c r="B50" s="8" t="inlineStr">
        <is>
          <t xml:space="preserve">            current_time = i / fps</t>
        </is>
      </c>
    </row>
    <row r="51">
      <c r="A51" s="9" t="n">
        <v>48</v>
      </c>
      <c r="B51" s="10" t="inlineStr">
        <is>
          <t xml:space="preserve">            # 裁切字幕区域（画面下方35%）</t>
        </is>
      </c>
    </row>
    <row r="52">
      <c r="A52" s="7" t="n">
        <v>49</v>
      </c>
      <c r="B52" s="8" t="inlineStr">
        <is>
          <t xml:space="preserve">            h, w = frame.shape[:2]</t>
        </is>
      </c>
    </row>
    <row r="53">
      <c r="A53" s="9" t="n">
        <v>50</v>
      </c>
      <c r="B53" s="10" t="inlineStr">
        <is>
          <t xml:space="preserve">            roi_top = int(h * subtitle_region_ratio)</t>
        </is>
      </c>
    </row>
    <row r="54">
      <c r="A54" s="7" t="n">
        <v>51</v>
      </c>
      <c r="B54" s="8" t="inlineStr">
        <is>
          <t xml:space="preserve">            roi = frame[roi_top:, :, :]</t>
        </is>
      </c>
    </row>
    <row r="55">
      <c r="A55" s="9" t="n">
        <v>52</v>
      </c>
      <c r="B55" s="10" t="inlineStr">
        <is>
          <t xml:space="preserve">            result, _ = ocr(roi)</t>
        </is>
      </c>
    </row>
    <row r="56">
      <c r="A56" s="7" t="n">
        <v>53</v>
      </c>
      <c r="B56" s="8" t="inlineStr">
        <is>
          <t xml:space="preserve">            text = "".join([line[1] for line in result]) if result else ""</t>
        </is>
      </c>
    </row>
    <row r="57">
      <c r="A57" s="9" t="n">
        <v>54</v>
      </c>
      <c r="B57" s="10" t="inlineStr">
        <is>
          <t xml:space="preserve">            if text != current_text:</t>
        </is>
      </c>
    </row>
    <row r="58">
      <c r="A58" s="7" t="n">
        <v>55</v>
      </c>
      <c r="B58" s="8" t="inlineStr">
        <is>
          <t xml:space="preserve">                if current_text and len(current_text.strip()) &gt; 1:</t>
        </is>
      </c>
    </row>
    <row r="59">
      <c r="A59" s="9" t="n">
        <v>56</v>
      </c>
      <c r="B59" s="10" t="inlineStr">
        <is>
          <t xml:space="preserve">                    subtitles.append({</t>
        </is>
      </c>
    </row>
    <row r="60">
      <c r="A60" s="7" t="n">
        <v>57</v>
      </c>
      <c r="B60" s="8" t="inlineStr">
        <is>
          <t xml:space="preserve">                        "start": round(start_time, 2),</t>
        </is>
      </c>
    </row>
    <row r="61">
      <c r="A61" s="9" t="n">
        <v>58</v>
      </c>
      <c r="B61" s="10" t="inlineStr">
        <is>
          <t xml:space="preserve">                        "end": round(current_time, 2),</t>
        </is>
      </c>
    </row>
    <row r="62">
      <c r="A62" s="7" t="n">
        <v>59</v>
      </c>
      <c r="B62" s="8" t="inlineStr">
        <is>
          <t xml:space="preserve">                        "content": current_text.strip(),</t>
        </is>
      </c>
    </row>
    <row r="63">
      <c r="A63" s="9" t="n">
        <v>60</v>
      </c>
      <c r="B63" s="10" t="inlineStr">
        <is>
          <t xml:space="preserve">                    })</t>
        </is>
      </c>
    </row>
    <row r="64">
      <c r="A64" s="7" t="n">
        <v>61</v>
      </c>
      <c r="B64" s="8" t="inlineStr">
        <is>
          <t xml:space="preserve">                current_text = text</t>
        </is>
      </c>
    </row>
    <row r="65">
      <c r="A65" s="9" t="n">
        <v>62</v>
      </c>
      <c r="B65" s="10" t="inlineStr">
        <is>
          <t xml:space="preserve">                start_time = current_time</t>
        </is>
      </c>
    </row>
    <row r="66">
      <c r="A66" s="7" t="n">
        <v>63</v>
      </c>
      <c r="B66" s="8" t="inlineStr">
        <is>
          <t xml:space="preserve">        if current_text and len(current_text.strip()) &gt; 1:</t>
        </is>
      </c>
    </row>
    <row r="67">
      <c r="A67" s="9" t="n">
        <v>64</v>
      </c>
      <c r="B67" s="10" t="inlineStr">
        <is>
          <t xml:space="preserve">            subtitles.append({</t>
        </is>
      </c>
    </row>
    <row r="68">
      <c r="A68" s="7" t="n">
        <v>65</v>
      </c>
      <c r="B68" s="8" t="inlineStr">
        <is>
          <t xml:space="preserve">                "start": round(start_time, 2),</t>
        </is>
      </c>
    </row>
    <row r="69">
      <c r="A69" s="9" t="n">
        <v>66</v>
      </c>
      <c r="B69" s="10" t="inlineStr">
        <is>
          <t xml:space="preserve">                "end": round(total_frames / max(fps, 1), 2),</t>
        </is>
      </c>
    </row>
    <row r="70">
      <c r="A70" s="7" t="n">
        <v>67</v>
      </c>
      <c r="B70" s="8" t="inlineStr">
        <is>
          <t xml:space="preserve">                "content": current_text.strip(),</t>
        </is>
      </c>
    </row>
    <row r="71">
      <c r="A71" s="9" t="n">
        <v>68</v>
      </c>
      <c r="B71" s="10" t="inlineStr">
        <is>
          <t xml:space="preserve">            })</t>
        </is>
      </c>
    </row>
    <row r="72">
      <c r="A72" s="7" t="n">
        <v>69</v>
      </c>
      <c r="B72" s="8" t="inlineStr">
        <is>
          <t xml:space="preserve">        del vr</t>
        </is>
      </c>
    </row>
    <row r="73">
      <c r="A73" s="9" t="n">
        <v>70</v>
      </c>
      <c r="B73" s="10" t="inlineStr">
        <is>
          <t xml:space="preserve">        # 尝试pycorrector纠错</t>
        </is>
      </c>
    </row>
    <row r="74">
      <c r="A74" s="7" t="n">
        <v>71</v>
      </c>
      <c r="B74" s="8" t="inlineStr">
        <is>
          <t xml:space="preserve">        corrector = None</t>
        </is>
      </c>
    </row>
    <row r="75">
      <c r="A75" s="9" t="n">
        <v>72</v>
      </c>
      <c r="B75" s="10" t="inlineStr">
        <is>
          <t xml:space="preserve">        try:</t>
        </is>
      </c>
    </row>
    <row r="76">
      <c r="A76" s="7" t="n">
        <v>73</v>
      </c>
      <c r="B76" s="8" t="inlineStr">
        <is>
          <t xml:space="preserve">            import pycorrector</t>
        </is>
      </c>
    </row>
    <row r="77">
      <c r="A77" s="9" t="n">
        <v>74</v>
      </c>
      <c r="B77" s="10" t="inlineStr">
        <is>
          <t xml:space="preserve">            pycorrector.set_custom_word_freq({"岛台": 1000, "岩板": 1000, "滑轨": 1000, "柜体": 1000})</t>
        </is>
      </c>
    </row>
    <row r="78">
      <c r="A78" s="7" t="n">
        <v>75</v>
      </c>
      <c r="B78" s="8" t="inlineStr">
        <is>
          <t xml:space="preserve">            corrector = pycorrector</t>
        </is>
      </c>
    </row>
    <row r="79">
      <c r="A79" s="9" t="n">
        <v>76</v>
      </c>
      <c r="B79" s="10" t="inlineStr">
        <is>
          <t xml:space="preserve">        except ImportError:</t>
        </is>
      </c>
    </row>
    <row r="80">
      <c r="A80" s="7" t="n">
        <v>77</v>
      </c>
      <c r="B80" s="8" t="inlineStr">
        <is>
          <t xml:space="preserve">            logger.debug("pycorrector不可用，跳过文本纠错")</t>
        </is>
      </c>
    </row>
    <row r="81">
      <c r="A81" s="9" t="n">
        <v>78</v>
      </c>
      <c r="B81" s="10" t="inlineStr">
        <is>
          <t xml:space="preserve">        for sub in subtitles:</t>
        </is>
      </c>
    </row>
    <row r="82">
      <c r="A82" s="7" t="n">
        <v>79</v>
      </c>
      <c r="B82" s="8" t="inlineStr">
        <is>
          <t xml:space="preserve">            has_error = 0</t>
        </is>
      </c>
    </row>
    <row r="83">
      <c r="A83" s="9" t="n">
        <v>80</v>
      </c>
      <c r="B83" s="10" t="inlineStr">
        <is>
          <t xml:space="preserve">            corrected_text = sub["content"]</t>
        </is>
      </c>
    </row>
    <row r="84">
      <c r="A84" s="7" t="n">
        <v>81</v>
      </c>
      <c r="B84" s="8" t="inlineStr">
        <is>
          <t xml:space="preserve">            if corrector:</t>
        </is>
      </c>
    </row>
    <row r="85">
      <c r="A85" s="9" t="n">
        <v>82</v>
      </c>
      <c r="B85" s="10" t="inlineStr">
        <is>
          <t xml:space="preserve">                try:</t>
        </is>
      </c>
    </row>
    <row r="86">
      <c r="A86" s="7" t="n">
        <v>83</v>
      </c>
      <c r="B86" s="8" t="inlineStr">
        <is>
          <t xml:space="preserve">                    corrected, detail = corrector.correct(sub["content"])</t>
        </is>
      </c>
    </row>
    <row r="87">
      <c r="A87" s="9" t="n">
        <v>84</v>
      </c>
      <c r="B87" s="10" t="inlineStr">
        <is>
          <t xml:space="preserve">                    has_error = 1 if len(detail) &gt; 0 else 0</t>
        </is>
      </c>
    </row>
    <row r="88">
      <c r="A88" s="7" t="n">
        <v>85</v>
      </c>
      <c r="B88" s="8" t="inlineStr">
        <is>
          <t xml:space="preserve">                    corrected_text = corrected</t>
        </is>
      </c>
    </row>
    <row r="89">
      <c r="A89" s="9" t="n">
        <v>86</v>
      </c>
      <c r="B89" s="10" t="inlineStr">
        <is>
          <t xml:space="preserve">                except Exception:</t>
        </is>
      </c>
    </row>
    <row r="90">
      <c r="A90" s="7" t="n">
        <v>87</v>
      </c>
      <c r="B90" s="8" t="inlineStr">
        <is>
          <t xml:space="preserve">                    pass</t>
        </is>
      </c>
    </row>
    <row r="91">
      <c r="A91" s="9" t="n">
        <v>88</v>
      </c>
      <c r="B91" s="10" t="inlineStr">
        <is>
          <t xml:space="preserve">            execute_sql(</t>
        </is>
      </c>
    </row>
    <row r="92">
      <c r="A92" s="7" t="n">
        <v>89</v>
      </c>
      <c r="B92" s="8" t="inlineStr">
        <is>
          <t xml:space="preserve">                "INSERT INTO subtitle_features (material_id, start_time, end_time, content, is_error) VALUES (?, ?, ?, ?, ?)",</t>
        </is>
      </c>
    </row>
    <row r="93">
      <c r="A93" s="9" t="n">
        <v>90</v>
      </c>
      <c r="B93" s="10" t="inlineStr">
        <is>
          <t xml:space="preserve">                (material_id, sub["start"], sub["end"], corrected_text, has_error)</t>
        </is>
      </c>
    </row>
    <row r="94">
      <c r="A94" s="7" t="n">
        <v>91</v>
      </c>
      <c r="B94" s="8" t="inlineStr">
        <is>
          <t xml:space="preserve">            )</t>
        </is>
      </c>
    </row>
    <row r="95">
      <c r="A95" s="9" t="n">
        <v>92</v>
      </c>
      <c r="B95" s="10" t="inlineStr">
        <is>
          <t xml:space="preserve">            if has_error:</t>
        </is>
      </c>
    </row>
    <row r="96">
      <c r="A96" s="7" t="n">
        <v>93</v>
      </c>
      <c r="B96" s="8" t="inlineStr">
        <is>
          <t xml:space="preserve">                execute_sql(</t>
        </is>
      </c>
    </row>
    <row r="97">
      <c r="A97" s="9" t="n">
        <v>94</v>
      </c>
      <c r="B97" s="10" t="inlineStr">
        <is>
          <t xml:space="preserve">                    "INSERT INTO quality_results (material_id, check_type, issue_level, issue_desc, start_time, end_time) VALUES (?, ?, ?, ?, ?, ?)",</t>
        </is>
      </c>
    </row>
    <row r="98">
      <c r="A98" s="7" t="n">
        <v>95</v>
      </c>
      <c r="B98" s="8" t="inlineStr">
        <is>
          <t xml:space="preserve">                    (material_id, "字幕质量", "warning", f"字幕可能有误: {sub['content'][:30]}...", sub["start"], sub["end"])</t>
        </is>
      </c>
    </row>
    <row r="99">
      <c r="A99" s="9" t="n">
        <v>96</v>
      </c>
      <c r="B99" s="10" t="inlineStr">
        <is>
          <t xml:space="preserve">                )</t>
        </is>
      </c>
    </row>
    <row r="100">
      <c r="A100" s="7" t="n">
        <v>97</v>
      </c>
      <c r="B100" s="8" t="inlineStr">
        <is>
          <t xml:space="preserve">        cache_manager.set(video_path, "subtitle_detect", subtitles)</t>
        </is>
      </c>
    </row>
    <row r="101">
      <c r="A101" s="9" t="n">
        <v>98</v>
      </c>
      <c r="B101" s="10" t="inlineStr">
        <is>
          <t xml:space="preserve">        error_count = sum(1 for s in subtitles if s.get("has_error"))</t>
        </is>
      </c>
    </row>
    <row r="102">
      <c r="A102" s="7" t="n">
        <v>99</v>
      </c>
      <c r="B102" s="8" t="inlineStr">
        <is>
          <t xml:space="preserve">        logger.info(f"字幕识别完成，共{len(subtitles)}条，疑似错误{error_count}处")</t>
        </is>
      </c>
    </row>
    <row r="103">
      <c r="A103" s="9" t="n">
        <v>100</v>
      </c>
      <c r="B103" s="10" t="inlineStr">
        <is>
          <t xml:space="preserve">        return {"status": "success", "count": len(subtitles), "errors": error_count}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plugins\recognize\video_split_plugin.py</t>
        </is>
      </c>
      <c r="C1" s="5" t="inlineStr">
        <is>
          <t>行数: 104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"""镜头分割与场景切分插件"""</t>
        </is>
      </c>
    </row>
    <row r="5">
      <c r="A5" s="9" t="n">
        <v>2</v>
      </c>
      <c r="B5" s="10" t="inlineStr">
        <is>
          <t>import os</t>
        </is>
      </c>
    </row>
    <row r="6">
      <c r="A6" s="7" t="n">
        <v>3</v>
      </c>
      <c r="B6" s="8" t="inlineStr">
        <is>
          <t>from plugins.base_plugin import BasePlugin</t>
        </is>
      </c>
    </row>
    <row r="7">
      <c r="A7" s="9" t="n">
        <v>4</v>
      </c>
      <c r="B7" s="10" t="inlineStr">
        <is>
          <t>from utils.logger import get_logger</t>
        </is>
      </c>
    </row>
    <row r="8">
      <c r="A8" s="7" t="n">
        <v>5</v>
      </c>
      <c r="B8" s="8" t="inlineStr">
        <is>
          <t>from utils.ffmpeg_utils import extract_frame, get_video_info</t>
        </is>
      </c>
    </row>
    <row r="9">
      <c r="A9" s="9" t="n">
        <v>6</v>
      </c>
      <c r="B9" s="10" t="inlineStr">
        <is>
          <t>from core.database import execute_sql</t>
        </is>
      </c>
    </row>
    <row r="10">
      <c r="A10" s="7" t="n">
        <v>7</v>
      </c>
      <c r="B10" s="8" t="inlineStr">
        <is>
          <t>from utils.cache_manager import cache_manager</t>
        </is>
      </c>
    </row>
    <row r="11">
      <c r="A11" s="9" t="n">
        <v>8</v>
      </c>
      <c r="B11" s="10" t="inlineStr">
        <is>
          <t>from core.config_loader import CONFIG</t>
        </is>
      </c>
    </row>
    <row r="12">
      <c r="A12" s="7" t="n">
        <v>9</v>
      </c>
      <c r="B12" s="8" t="inlineStr">
        <is>
          <t>logger = get_logger("plugin.video_split")</t>
        </is>
      </c>
    </row>
    <row r="13">
      <c r="A13" s="9" t="n">
        <v>10</v>
      </c>
      <c r="B13" s="10" t="inlineStr">
        <is>
          <t>FEATURE_DIR = "./data/features/scenes"</t>
        </is>
      </c>
    </row>
    <row r="14">
      <c r="A14" s="7" t="n">
        <v>11</v>
      </c>
      <c r="B14" s="8" t="inlineStr">
        <is>
          <t>os.makedirs(FEATURE_DIR, exist_ok=True)</t>
        </is>
      </c>
    </row>
    <row r="15">
      <c r="A15" s="9" t="n">
        <v>12</v>
      </c>
      <c r="B15" s="10" t="inlineStr">
        <is>
          <t>class VideoSplitPlugin(BasePlugin):</t>
        </is>
      </c>
    </row>
    <row r="16">
      <c r="A16" s="7" t="n">
        <v>13</v>
      </c>
      <c r="B16" s="8" t="inlineStr">
        <is>
          <t xml:space="preserve">    name = "video_split"</t>
        </is>
      </c>
    </row>
    <row r="17">
      <c r="A17" s="9" t="n">
        <v>14</v>
      </c>
      <c r="B17" s="10" t="inlineStr">
        <is>
          <t xml:space="preserve">    category = "recognize"</t>
        </is>
      </c>
    </row>
    <row r="18">
      <c r="A18" s="7" t="n">
        <v>15</v>
      </c>
      <c r="B18" s="8" t="inlineStr">
        <is>
          <t xml:space="preserve">    description = "镜头分割与场景切分"</t>
        </is>
      </c>
    </row>
    <row r="19">
      <c r="A19" s="9" t="n">
        <v>16</v>
      </c>
      <c r="B19" s="10" t="inlineStr">
        <is>
          <t xml:space="preserve">    def run(self, material_id: int, video_path: str) -&gt; dict:</t>
        </is>
      </c>
    </row>
    <row r="20">
      <c r="A20" s="7" t="n">
        <v>17</v>
      </c>
      <c r="B20" s="8" t="inlineStr">
        <is>
          <t xml:space="preserve">        cached = cache_manager.get(video_path, "scene_split")</t>
        </is>
      </c>
    </row>
    <row r="21">
      <c r="A21" s="9" t="n">
        <v>18</v>
      </c>
      <c r="B21" s="10" t="inlineStr">
        <is>
          <t xml:space="preserve">        if cached:</t>
        </is>
      </c>
    </row>
    <row r="22">
      <c r="A22" s="7" t="n">
        <v>19</v>
      </c>
      <c r="B22" s="8" t="inlineStr">
        <is>
          <t xml:space="preserve">            for scene in cached:</t>
        </is>
      </c>
    </row>
    <row r="23">
      <c r="A23" s="9" t="n">
        <v>20</v>
      </c>
      <c r="B23" s="10" t="inlineStr">
        <is>
          <t xml:space="preserve">                execute_sql(</t>
        </is>
      </c>
    </row>
    <row r="24">
      <c r="A24" s="7" t="n">
        <v>21</v>
      </c>
      <c r="B24" s="8" t="inlineStr">
        <is>
          <t xml:space="preserve">                    "INSERT OR IGNORE INTO scene_features (material_id, start_time, end_time, keyframe_path) VALUES (?, ?, ?, ?)",</t>
        </is>
      </c>
    </row>
    <row r="25">
      <c r="A25" s="9" t="n">
        <v>22</v>
      </c>
      <c r="B25" s="10" t="inlineStr">
        <is>
          <t xml:space="preserve">                    (material_id, scene["start"], scene["end"], scene["keyframe"])</t>
        </is>
      </c>
    </row>
    <row r="26">
      <c r="A26" s="7" t="n">
        <v>23</v>
      </c>
      <c r="B26" s="8" t="inlineStr">
        <is>
          <t xml:space="preserve">                )</t>
        </is>
      </c>
    </row>
    <row r="27">
      <c r="A27" s="9" t="n">
        <v>24</v>
      </c>
      <c r="B27" s="10" t="inlineStr">
        <is>
          <t xml:space="preserve">            return {"status": "cached", "count": len(cached)}</t>
        </is>
      </c>
    </row>
    <row r="28">
      <c r="A28" s="7" t="n">
        <v>25</v>
      </c>
      <c r="B28" s="8" t="inlineStr">
        <is>
          <t xml:space="preserve">        logger.info(f"开始镜头分割: {video_path}")</t>
        </is>
      </c>
    </row>
    <row r="29">
      <c r="A29" s="9" t="n">
        <v>26</v>
      </c>
      <c r="B29" s="10" t="inlineStr">
        <is>
          <t xml:space="preserve">        try:</t>
        </is>
      </c>
    </row>
    <row r="30">
      <c r="A30" s="7" t="n">
        <v>27</v>
      </c>
      <c r="B30" s="8" t="inlineStr">
        <is>
          <t xml:space="preserve">            from scenedetect import VideoManager, SceneManager</t>
        </is>
      </c>
    </row>
    <row r="31">
      <c r="A31" s="9" t="n">
        <v>28</v>
      </c>
      <c r="B31" s="10" t="inlineStr">
        <is>
          <t xml:space="preserve">            from scenedetect.detectors import ContentDetector</t>
        </is>
      </c>
    </row>
    <row r="32">
      <c r="A32" s="7" t="n">
        <v>29</v>
      </c>
      <c r="B32" s="8" t="inlineStr">
        <is>
          <t xml:space="preserve">            threshold = CONFIG["sampling"]["scene_change_threshold"]</t>
        </is>
      </c>
    </row>
    <row r="33">
      <c r="A33" s="9" t="n">
        <v>30</v>
      </c>
      <c r="B33" s="10" t="inlineStr">
        <is>
          <t xml:space="preserve">            video_manager = VideoManager([video_path])</t>
        </is>
      </c>
    </row>
    <row r="34">
      <c r="A34" s="7" t="n">
        <v>31</v>
      </c>
      <c r="B34" s="8" t="inlineStr">
        <is>
          <t xml:space="preserve">            scene_manager = SceneManager()</t>
        </is>
      </c>
    </row>
    <row r="35">
      <c r="A35" s="9" t="n">
        <v>32</v>
      </c>
      <c r="B35" s="10" t="inlineStr">
        <is>
          <t xml:space="preserve">            scene_manager.add_detector(ContentDetector(threshold=threshold))</t>
        </is>
      </c>
    </row>
    <row r="36">
      <c r="A36" s="7" t="n">
        <v>33</v>
      </c>
      <c r="B36" s="8" t="inlineStr">
        <is>
          <t xml:space="preserve">            video_manager.start()</t>
        </is>
      </c>
    </row>
    <row r="37">
      <c r="A37" s="9" t="n">
        <v>34</v>
      </c>
      <c r="B37" s="10" t="inlineStr">
        <is>
          <t xml:space="preserve">            scene_manager.detect_scenes(frame_source=video_manager)</t>
        </is>
      </c>
    </row>
    <row r="38">
      <c r="A38" s="7" t="n">
        <v>35</v>
      </c>
      <c r="B38" s="8" t="inlineStr">
        <is>
          <t xml:space="preserve">            scene_list = scene_manager.get_scene_list()</t>
        </is>
      </c>
    </row>
    <row r="39">
      <c r="A39" s="9" t="n">
        <v>36</v>
      </c>
      <c r="B39" s="10" t="inlineStr">
        <is>
          <t xml:space="preserve">            video_manager.release()</t>
        </is>
      </c>
    </row>
    <row r="40">
      <c r="A40" s="7" t="n">
        <v>37</v>
      </c>
      <c r="B40" s="8" t="inlineStr">
        <is>
          <t xml:space="preserve">            scenes = []</t>
        </is>
      </c>
    </row>
    <row r="41">
      <c r="A41" s="9" t="n">
        <v>38</v>
      </c>
      <c r="B41" s="10" t="inlineStr">
        <is>
          <t xml:space="preserve">            for i, scene in enumerate(scene_list):</t>
        </is>
      </c>
    </row>
    <row r="42">
      <c r="A42" s="7" t="n">
        <v>39</v>
      </c>
      <c r="B42" s="8" t="inlineStr">
        <is>
          <t xml:space="preserve">                start = scene[0].get_seconds()</t>
        </is>
      </c>
    </row>
    <row r="43">
      <c r="A43" s="9" t="n">
        <v>40</v>
      </c>
      <c r="B43" s="10" t="inlineStr">
        <is>
          <t xml:space="preserve">                end = scene[1].get_seconds()</t>
        </is>
      </c>
    </row>
    <row r="44">
      <c r="A44" s="7" t="n">
        <v>41</v>
      </c>
      <c r="B44" s="8" t="inlineStr">
        <is>
          <t xml:space="preserve">                keyframe_path = os.path.join(FEATURE_DIR, f"mat_{material_id}_scene_{i:04d}.jpg")</t>
        </is>
      </c>
    </row>
    <row r="45">
      <c r="A45" s="9" t="n">
        <v>42</v>
      </c>
      <c r="B45" s="10" t="inlineStr">
        <is>
          <t xml:space="preserve">                extract_frame(video_path, start, keyframe_path)</t>
        </is>
      </c>
    </row>
    <row r="46">
      <c r="A46" s="7" t="n">
        <v>43</v>
      </c>
      <c r="B46" s="8" t="inlineStr">
        <is>
          <t xml:space="preserve">                execute_sql(</t>
        </is>
      </c>
    </row>
    <row r="47">
      <c r="A47" s="9" t="n">
        <v>44</v>
      </c>
      <c r="B47" s="10" t="inlineStr">
        <is>
          <t xml:space="preserve">                    "INSERT INTO scene_features (material_id, start_time, end_time, keyframe_path) VALUES (?, ?, ?, ?)",</t>
        </is>
      </c>
    </row>
    <row r="48">
      <c r="A48" s="7" t="n">
        <v>45</v>
      </c>
      <c r="B48" s="8" t="inlineStr">
        <is>
          <t xml:space="preserve">                    (material_id, start, end, keyframe_path)</t>
        </is>
      </c>
    </row>
    <row r="49">
      <c r="A49" s="9" t="n">
        <v>46</v>
      </c>
      <c r="B49" s="10" t="inlineStr">
        <is>
          <t xml:space="preserve">                )</t>
        </is>
      </c>
    </row>
    <row r="50">
      <c r="A50" s="7" t="n">
        <v>47</v>
      </c>
      <c r="B50" s="8" t="inlineStr">
        <is>
          <t xml:space="preserve">                scenes.append({"start": start, "end": end, "keyframe": keyframe_path})</t>
        </is>
      </c>
    </row>
    <row r="51">
      <c r="A51" s="9" t="n">
        <v>48</v>
      </c>
      <c r="B51" s="10" t="inlineStr">
        <is>
          <t xml:space="preserve">            cache_manager.set(video_path, "scene_split", scenes)</t>
        </is>
      </c>
    </row>
    <row r="52">
      <c r="A52" s="7" t="n">
        <v>49</v>
      </c>
      <c r="B52" s="8" t="inlineStr">
        <is>
          <t xml:space="preserve">            logger.info(f"镜头分割完成，共{len(scenes)}个场景")</t>
        </is>
      </c>
    </row>
    <row r="53">
      <c r="A53" s="9" t="n">
        <v>50</v>
      </c>
      <c r="B53" s="10" t="inlineStr">
        <is>
          <t xml:space="preserve">            return {"status": "success", "count": len(scenes)}</t>
        </is>
      </c>
    </row>
    <row r="54">
      <c r="A54" s="7" t="n">
        <v>51</v>
      </c>
      <c r="B54" s="8" t="inlineStr">
        <is>
          <t xml:space="preserve">        except ImportError:</t>
        </is>
      </c>
    </row>
    <row r="55">
      <c r="A55" s="9" t="n">
        <v>52</v>
      </c>
      <c r="B55" s="10" t="inlineStr">
        <is>
          <t xml:space="preserve">            # scenedetect不可用时的回退方案：基于采样+帧差</t>
        </is>
      </c>
    </row>
    <row r="56">
      <c r="A56" s="7" t="n">
        <v>53</v>
      </c>
      <c r="B56" s="8" t="inlineStr">
        <is>
          <t xml:space="preserve">            logger.warning("scenedetect不可用，使用帧差法分割")</t>
        </is>
      </c>
    </row>
    <row r="57">
      <c r="A57" s="9" t="n">
        <v>54</v>
      </c>
      <c r="B57" s="10" t="inlineStr">
        <is>
          <t xml:space="preserve">            info = get_video_info(video_path)</t>
        </is>
      </c>
    </row>
    <row r="58">
      <c r="A58" s="7" t="n">
        <v>55</v>
      </c>
      <c r="B58" s="8" t="inlineStr">
        <is>
          <t xml:space="preserve">            fps = info.get("fps", 25)</t>
        </is>
      </c>
    </row>
    <row r="59">
      <c r="A59" s="9" t="n">
        <v>56</v>
      </c>
      <c r="B59" s="10" t="inlineStr">
        <is>
          <t xml:space="preserve">            duration = info.get("duration", 0)</t>
        </is>
      </c>
    </row>
    <row r="60">
      <c r="A60" s="7" t="n">
        <v>57</v>
      </c>
      <c r="B60" s="8" t="inlineStr">
        <is>
          <t xml:space="preserve">            if fps == 0:</t>
        </is>
      </c>
    </row>
    <row r="61">
      <c r="A61" s="9" t="n">
        <v>58</v>
      </c>
      <c r="B61" s="10" t="inlineStr">
        <is>
          <t xml:space="preserve">                return {"status": "failed", "error": "无法获取视频FPS"}</t>
        </is>
      </c>
    </row>
    <row r="62">
      <c r="A62" s="7" t="n">
        <v>59</v>
      </c>
      <c r="B62" s="8" t="inlineStr">
        <is>
          <t xml:space="preserve">            import cv2</t>
        </is>
      </c>
    </row>
    <row r="63">
      <c r="A63" s="9" t="n">
        <v>60</v>
      </c>
      <c r="B63" s="10" t="inlineStr">
        <is>
          <t xml:space="preserve">            from decord import VideoReader, cpu</t>
        </is>
      </c>
    </row>
    <row r="64">
      <c r="A64" s="7" t="n">
        <v>61</v>
      </c>
      <c r="B64" s="8" t="inlineStr">
        <is>
          <t xml:space="preserve">            import numpy as np</t>
        </is>
      </c>
    </row>
    <row r="65">
      <c r="A65" s="9" t="n">
        <v>62</v>
      </c>
      <c r="B65" s="10" t="inlineStr">
        <is>
          <t xml:space="preserve">            vr = VideoReader(video_path, ctx=cpu(0), num_threads=CONFIG["performance"]["cpu_threads"])</t>
        </is>
      </c>
    </row>
    <row r="66">
      <c r="A66" s="7" t="n">
        <v>63</v>
      </c>
      <c r="B66" s="8" t="inlineStr">
        <is>
          <t xml:space="preserve">            total_frames = len(vr)</t>
        </is>
      </c>
    </row>
    <row r="67">
      <c r="A67" s="9" t="n">
        <v>64</v>
      </c>
      <c r="B67" s="10" t="inlineStr">
        <is>
          <t xml:space="preserve">            step = max(1, int(fps / CONFIG["sampling"]["base_sample_fps"]))</t>
        </is>
      </c>
    </row>
    <row r="68">
      <c r="A68" s="7" t="n">
        <v>65</v>
      </c>
      <c r="B68" s="8" t="inlineStr">
        <is>
          <t xml:space="preserve">            indices = list(range(0, total_frames, step))</t>
        </is>
      </c>
    </row>
    <row r="69">
      <c r="A69" s="9" t="n">
        <v>66</v>
      </c>
      <c r="B69" s="10" t="inlineStr">
        <is>
          <t xml:space="preserve">            scenes = []</t>
        </is>
      </c>
    </row>
    <row r="70">
      <c r="A70" s="7" t="n">
        <v>67</v>
      </c>
      <c r="B70" s="8" t="inlineStr">
        <is>
          <t xml:space="preserve">            prev_hist = None</t>
        </is>
      </c>
    </row>
    <row r="71">
      <c r="A71" s="9" t="n">
        <v>68</v>
      </c>
      <c r="B71" s="10" t="inlineStr">
        <is>
          <t xml:space="preserve">            scene_idx = 0</t>
        </is>
      </c>
    </row>
    <row r="72">
      <c r="A72" s="7" t="n">
        <v>69</v>
      </c>
      <c r="B72" s="8" t="inlineStr">
        <is>
          <t xml:space="preserve">            threshold = CONFIG["sampling"]["scene_change_threshold"]</t>
        </is>
      </c>
    </row>
    <row r="73">
      <c r="A73" s="9" t="n">
        <v>70</v>
      </c>
      <c r="B73" s="10" t="inlineStr">
        <is>
          <t xml:space="preserve">            for i, fi in enumerate(indices):</t>
        </is>
      </c>
    </row>
    <row r="74">
      <c r="A74" s="7" t="n">
        <v>71</v>
      </c>
      <c r="B74" s="8" t="inlineStr">
        <is>
          <t xml:space="preserve">                frame = vr[fi].asnumpy()</t>
        </is>
      </c>
    </row>
    <row r="75">
      <c r="A75" s="9" t="n">
        <v>72</v>
      </c>
      <c r="B75" s="10" t="inlineStr">
        <is>
          <t xml:space="preserve">                gray = cv2.cvtColor(frame, cv2.COLOR_RGB2GRAY)</t>
        </is>
      </c>
    </row>
    <row r="76">
      <c r="A76" s="7" t="n">
        <v>73</v>
      </c>
      <c r="B76" s="8" t="inlineStr">
        <is>
          <t xml:space="preserve">                hist = cv2.calcHist([gray], [0], None, [64], [0, 256])</t>
        </is>
      </c>
    </row>
    <row r="77">
      <c r="A77" s="9" t="n">
        <v>74</v>
      </c>
      <c r="B77" s="10" t="inlineStr">
        <is>
          <t xml:space="preserve">                hist = cv2.normalize(hist, hist).flatten()</t>
        </is>
      </c>
    </row>
    <row r="78">
      <c r="A78" s="7" t="n">
        <v>75</v>
      </c>
      <c r="B78" s="8" t="inlineStr">
        <is>
          <t xml:space="preserve">                current_time = fi / fps</t>
        </is>
      </c>
    </row>
    <row r="79">
      <c r="A79" s="9" t="n">
        <v>76</v>
      </c>
      <c r="B79" s="10" t="inlineStr">
        <is>
          <t xml:space="preserve">                if prev_hist is not None:</t>
        </is>
      </c>
    </row>
    <row r="80">
      <c r="A80" s="7" t="n">
        <v>77</v>
      </c>
      <c r="B80" s="8" t="inlineStr">
        <is>
          <t xml:space="preserve">                    diff = cv2.compareHist(prev_hist, hist, cv2.HISTCMP_CHISQR)</t>
        </is>
      </c>
    </row>
    <row r="81">
      <c r="A81" s="9" t="n">
        <v>78</v>
      </c>
      <c r="B81" s="10" t="inlineStr">
        <is>
          <t xml:space="preserve">                    if diff &gt; threshold:</t>
        </is>
      </c>
    </row>
    <row r="82">
      <c r="A82" s="7" t="n">
        <v>79</v>
      </c>
      <c r="B82" s="8" t="inlineStr">
        <is>
          <t xml:space="preserve">                        if scenes:</t>
        </is>
      </c>
    </row>
    <row r="83">
      <c r="A83" s="9" t="n">
        <v>80</v>
      </c>
      <c r="B83" s="10" t="inlineStr">
        <is>
          <t xml:space="preserve">                            scenes[-1]["end"] = round(current_time, 2)</t>
        </is>
      </c>
    </row>
    <row r="84">
      <c r="A84" s="7" t="n">
        <v>81</v>
      </c>
      <c r="B84" s="8" t="inlineStr">
        <is>
          <t xml:space="preserve">                        keyframe_path = os.path.join(FEATURE_DIR, f"mat_{material_id}_scene_{scene_idx:04d}.jpg")</t>
        </is>
      </c>
    </row>
    <row r="85">
      <c r="A85" s="9" t="n">
        <v>82</v>
      </c>
      <c r="B85" s="10" t="inlineStr">
        <is>
          <t xml:space="preserve">                        cv2.imwrite(keyframe_path, cv2.cvtColor(frame, cv2.COLOR_RGB2BGR))</t>
        </is>
      </c>
    </row>
    <row r="86">
      <c r="A86" s="7" t="n">
        <v>83</v>
      </c>
      <c r="B86" s="8" t="inlineStr">
        <is>
          <t xml:space="preserve">                        scenes.append({</t>
        </is>
      </c>
    </row>
    <row r="87">
      <c r="A87" s="9" t="n">
        <v>84</v>
      </c>
      <c r="B87" s="10" t="inlineStr">
        <is>
          <t xml:space="preserve">                            "start": round(current_time, 2),</t>
        </is>
      </c>
    </row>
    <row r="88">
      <c r="A88" s="7" t="n">
        <v>85</v>
      </c>
      <c r="B88" s="8" t="inlineStr">
        <is>
          <t xml:space="preserve">                            "end": round(min(current_time + 5, duration), 2),</t>
        </is>
      </c>
    </row>
    <row r="89">
      <c r="A89" s="9" t="n">
        <v>86</v>
      </c>
      <c r="B89" s="10" t="inlineStr">
        <is>
          <t xml:space="preserve">                            "keyframe": keyframe_path,</t>
        </is>
      </c>
    </row>
    <row r="90">
      <c r="A90" s="7" t="n">
        <v>87</v>
      </c>
      <c r="B90" s="8" t="inlineStr">
        <is>
          <t xml:space="preserve">                        })</t>
        </is>
      </c>
    </row>
    <row r="91">
      <c r="A91" s="9" t="n">
        <v>88</v>
      </c>
      <c r="B91" s="10" t="inlineStr">
        <is>
          <t xml:space="preserve">                        scene_idx += 1</t>
        </is>
      </c>
    </row>
    <row r="92">
      <c r="A92" s="7" t="n">
        <v>89</v>
      </c>
      <c r="B92" s="8" t="inlineStr">
        <is>
          <t xml:space="preserve">                if prev_hist is None:</t>
        </is>
      </c>
    </row>
    <row r="93">
      <c r="A93" s="9" t="n">
        <v>90</v>
      </c>
      <c r="B93" s="10" t="inlineStr">
        <is>
          <t xml:space="preserve">                    keyframe_path = os.path.join(FEATURE_DIR, f"mat_{material_id}_scene_{scene_idx:04d}.jpg")</t>
        </is>
      </c>
    </row>
    <row r="94">
      <c r="A94" s="7" t="n">
        <v>91</v>
      </c>
      <c r="B94" s="8" t="inlineStr">
        <is>
          <t xml:space="preserve">                    cv2.imwrite(keyframe_path, cv2.cvtColor(frame, cv2.COLOR_RGB2BGR))</t>
        </is>
      </c>
    </row>
    <row r="95">
      <c r="A95" s="9" t="n">
        <v>92</v>
      </c>
      <c r="B95" s="10" t="inlineStr">
        <is>
          <t xml:space="preserve">                    scenes.append({"start": 0, "end": round(min(5, duration), 2), "keyframe": keyframe_path})</t>
        </is>
      </c>
    </row>
    <row r="96">
      <c r="A96" s="7" t="n">
        <v>93</v>
      </c>
      <c r="B96" s="8" t="inlineStr">
        <is>
          <t xml:space="preserve">                prev_hist = hist</t>
        </is>
      </c>
    </row>
    <row r="97">
      <c r="A97" s="9" t="n">
        <v>94</v>
      </c>
      <c r="B97" s="10" t="inlineStr">
        <is>
          <t xml:space="preserve">            if scenes:</t>
        </is>
      </c>
    </row>
    <row r="98">
      <c r="A98" s="7" t="n">
        <v>95</v>
      </c>
      <c r="B98" s="8" t="inlineStr">
        <is>
          <t xml:space="preserve">                scenes[-1]["end"] = round(duration, 2)</t>
        </is>
      </c>
    </row>
    <row r="99">
      <c r="A99" s="9" t="n">
        <v>96</v>
      </c>
      <c r="B99" s="10" t="inlineStr">
        <is>
          <t xml:space="preserve">            del vr</t>
        </is>
      </c>
    </row>
    <row r="100">
      <c r="A100" s="7" t="n">
        <v>97</v>
      </c>
      <c r="B100" s="8" t="inlineStr">
        <is>
          <t xml:space="preserve">            for scene in scenes:</t>
        </is>
      </c>
    </row>
    <row r="101">
      <c r="A101" s="9" t="n">
        <v>98</v>
      </c>
      <c r="B101" s="10" t="inlineStr">
        <is>
          <t xml:space="preserve">                execute_sql(</t>
        </is>
      </c>
    </row>
    <row r="102">
      <c r="A102" s="7" t="n">
        <v>99</v>
      </c>
      <c r="B102" s="8" t="inlineStr">
        <is>
          <t xml:space="preserve">                    "INSERT INTO scene_features (material_id, start_time, end_time, keyframe_path) VALUES (?, ?, ?, ?)",</t>
        </is>
      </c>
    </row>
    <row r="103">
      <c r="A103" s="9" t="n">
        <v>100</v>
      </c>
      <c r="B103" s="10" t="inlineStr">
        <is>
          <t xml:space="preserve">                    (material_id, scene["start"], scene["end"], scene["keyframe"])</t>
        </is>
      </c>
    </row>
    <row r="104">
      <c r="A104" s="7" t="n">
        <v>101</v>
      </c>
      <c r="B104" s="8" t="inlineStr">
        <is>
          <t xml:space="preserve">                )</t>
        </is>
      </c>
    </row>
    <row r="105">
      <c r="A105" s="9" t="n">
        <v>102</v>
      </c>
      <c r="B105" s="10" t="inlineStr">
        <is>
          <t xml:space="preserve">            cache_manager.set(video_path, "scene_split", scenes)</t>
        </is>
      </c>
    </row>
    <row r="106">
      <c r="A106" s="7" t="n">
        <v>103</v>
      </c>
      <c r="B106" s="8" t="inlineStr">
        <is>
          <t xml:space="preserve">            logger.info(f"帧差法分割完成，共{len(scenes)}个场景")</t>
        </is>
      </c>
    </row>
    <row r="107">
      <c r="A107" s="9" t="n">
        <v>104</v>
      </c>
      <c r="B107" s="10" t="inlineStr">
        <is>
          <t xml:space="preserve">            return {"status": "success", "count": len(scenes)}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receive.py</t>
        </is>
      </c>
      <c r="C1" s="5" t="inlineStr">
        <is>
          <t>行数: 113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— 知识接收器</t>
        </is>
      </c>
    </row>
    <row r="7">
      <c r="A7" s="9" t="n">
        <v>4</v>
      </c>
      <c r="B7" s="10" t="inlineStr">
        <is>
          <t>直接运行此脚本，粘贴词汇数据，自动学习并植入所有子系统。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用法:</t>
        </is>
      </c>
    </row>
    <row r="10">
      <c r="A10" s="7" t="n">
        <v>7</v>
      </c>
      <c r="B10" s="8" t="inlineStr">
        <is>
          <t xml:space="preserve">  python receive.py                    # 交互式输入</t>
        </is>
      </c>
    </row>
    <row r="11">
      <c r="A11" s="9" t="n">
        <v>8</v>
      </c>
      <c r="B11" s="10" t="inlineStr">
        <is>
          <t xml:space="preserve">  python receive.py --file data.json  # 从JSON文件批量导入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数据格式 (JSON):</t>
        </is>
      </c>
    </row>
    <row r="14">
      <c r="A14" s="7" t="n">
        <v>11</v>
      </c>
      <c r="B14" s="8" t="inlineStr">
        <is>
          <t>{</t>
        </is>
      </c>
    </row>
    <row r="15">
      <c r="A15" s="9" t="n">
        <v>12</v>
      </c>
      <c r="B15" s="10" t="inlineStr">
        <is>
          <t xml:space="preserve">  "copywriting": {</t>
        </is>
      </c>
    </row>
    <row r="16">
      <c r="A16" s="7" t="n">
        <v>13</v>
      </c>
      <c r="B16" s="8" t="inlineStr">
        <is>
          <t xml:space="preserve">    "hooks": ["钩子句式1", "钩子句式2", ...],</t>
        </is>
      </c>
    </row>
    <row r="17">
      <c r="A17" s="9" t="n">
        <v>14</v>
      </c>
      <c r="B17" s="10" t="inlineStr">
        <is>
          <t xml:space="preserve">    "selling_phrases": ["卖点描述句1", ...],</t>
        </is>
      </c>
    </row>
    <row r="18">
      <c r="A18" s="7" t="n">
        <v>15</v>
      </c>
      <c r="B18" s="8" t="inlineStr">
        <is>
          <t xml:space="preserve">    "cta_templates": ["结尾引导语1", ...],</t>
        </is>
      </c>
    </row>
    <row r="19">
      <c r="A19" s="9" t="n">
        <v>16</v>
      </c>
      <c r="B19" s="10" t="inlineStr">
        <is>
          <t xml:space="preserve">    "industry_terms": ["行业术语1", ...],</t>
        </is>
      </c>
    </row>
    <row r="20">
      <c r="A20" s="7" t="n">
        <v>17</v>
      </c>
      <c r="B20" s="8" t="inlineStr">
        <is>
          <t xml:space="preserve">    "tone_words": ["语气词1", ...]</t>
        </is>
      </c>
    </row>
    <row r="21">
      <c r="A21" s="9" t="n">
        <v>18</v>
      </c>
      <c r="B21" s="10" t="inlineStr">
        <is>
          <t xml:space="preserve">  },</t>
        </is>
      </c>
    </row>
    <row r="22">
      <c r="A22" s="7" t="n">
        <v>19</v>
      </c>
      <c r="B22" s="8" t="inlineStr">
        <is>
          <t xml:space="preserve">  "protected_words": {</t>
        </is>
      </c>
    </row>
    <row r="23">
      <c r="A23" s="9" t="n">
        <v>20</v>
      </c>
      <c r="B23" s="10" t="inlineStr">
        <is>
          <t xml:space="preserve">    "product_names": ["产品名称1", ...],</t>
        </is>
      </c>
    </row>
    <row r="24">
      <c r="A24" s="7" t="n">
        <v>21</v>
      </c>
      <c r="B24" s="8" t="inlineStr">
        <is>
          <t xml:space="preserve">    "material_terms": ["材质复合词1", ...],</t>
        </is>
      </c>
    </row>
    <row r="25">
      <c r="A25" s="9" t="n">
        <v>22</v>
      </c>
      <c r="B25" s="10" t="inlineStr">
        <is>
          <t xml:space="preserve">    "craft_terms": ["工艺复合词1", ...],</t>
        </is>
      </c>
    </row>
    <row r="26">
      <c r="A26" s="7" t="n">
        <v>23</v>
      </c>
      <c r="B26" s="8" t="inlineStr">
        <is>
          <t xml:space="preserve">    "style_terms": ["风格复合词1", ...],</t>
        </is>
      </c>
    </row>
    <row r="27">
      <c r="A27" s="9" t="n">
        <v>24</v>
      </c>
      <c r="B27" s="10" t="inlineStr">
        <is>
          <t xml:space="preserve">    "brand_terms": ["品牌专有词1", ...]</t>
        </is>
      </c>
    </row>
    <row r="28">
      <c r="A28" s="7" t="n">
        <v>25</v>
      </c>
      <c r="B28" s="8" t="inlineStr">
        <is>
          <t xml:space="preserve">  },</t>
        </is>
      </c>
    </row>
    <row r="29">
      <c r="A29" s="9" t="n">
        <v>26</v>
      </c>
      <c r="B29" s="10" t="inlineStr">
        <is>
          <t xml:space="preserve">  "knowledge_base": {</t>
        </is>
      </c>
    </row>
    <row r="30">
      <c r="A30" s="7" t="n">
        <v>27</v>
      </c>
      <c r="B30" s="8" t="inlineStr">
        <is>
          <t xml:space="preserve">    "stone_variants": ["潘多拉", "宝格丽", ...],</t>
        </is>
      </c>
    </row>
    <row r="31">
      <c r="A31" s="9" t="n">
        <v>28</v>
      </c>
      <c r="B31" s="10" t="inlineStr">
        <is>
          <t xml:space="preserve">    "craft_techniques": ["海棠角", "水磨边", ...],</t>
        </is>
      </c>
    </row>
    <row r="32">
      <c r="A32" s="7" t="n">
        <v>29</v>
      </c>
      <c r="B32" s="8" t="inlineStr">
        <is>
          <t xml:space="preserve">    "hardware_items": ["公牛轨道插座", ...],</t>
        </is>
      </c>
    </row>
    <row r="33">
      <c r="A33" s="9" t="n">
        <v>30</v>
      </c>
      <c r="B33" s="10" t="inlineStr">
        <is>
          <t xml:space="preserve">    "style_variants": ["意式中古风", ...],</t>
        </is>
      </c>
    </row>
    <row r="34">
      <c r="A34" s="7" t="n">
        <v>31</v>
      </c>
      <c r="B34" s="8" t="inlineStr">
        <is>
          <t xml:space="preserve">    "color_names": ["奶油白", "哑光黑", ...]</t>
        </is>
      </c>
    </row>
    <row r="35">
      <c r="A35" s="9" t="n">
        <v>32</v>
      </c>
      <c r="B35" s="10" t="inlineStr">
        <is>
          <t xml:space="preserve">  },</t>
        </is>
      </c>
    </row>
    <row r="36">
      <c r="A36" s="7" t="n">
        <v>33</v>
      </c>
      <c r="B36" s="8" t="inlineStr">
        <is>
          <t xml:space="preserve">  "keyword_mapping": {</t>
        </is>
      </c>
    </row>
    <row r="37">
      <c r="A37" s="9" t="n">
        <v>34</v>
      </c>
      <c r="B37" s="10" t="inlineStr">
        <is>
          <t xml:space="preserve">    "烤箱": ["内嵌烤箱"],</t>
        </is>
      </c>
    </row>
    <row r="38">
      <c r="A38" s="7" t="n">
        <v>35</v>
      </c>
      <c r="B38" s="8" t="inlineStr">
        <is>
          <t xml:space="preserve">    "悬浮": ["悬浮式", "悬浮岛台"]</t>
        </is>
      </c>
    </row>
    <row r="39">
      <c r="A39" s="9" t="n">
        <v>36</v>
      </c>
      <c r="B39" s="10" t="inlineStr">
        <is>
          <t xml:space="preserve">  },</t>
        </is>
      </c>
    </row>
    <row r="40">
      <c r="A40" s="7" t="n">
        <v>37</v>
      </c>
      <c r="B40" s="8" t="inlineStr">
        <is>
          <t xml:space="preserve">  "synonyms": {</t>
        </is>
      </c>
    </row>
    <row r="41">
      <c r="A41" s="9" t="n">
        <v>38</v>
      </c>
      <c r="B41" s="10" t="inlineStr">
        <is>
          <t xml:space="preserve">    "潘多拉岩板": ["潘多拉", "pandora", "潘多拉系列"]</t>
        </is>
      </c>
    </row>
    <row r="42">
      <c r="A42" s="7" t="n">
        <v>39</v>
      </c>
      <c r="B42" s="8" t="inlineStr">
        <is>
          <t xml:space="preserve">  }</t>
        </is>
      </c>
    </row>
    <row r="43">
      <c r="A43" s="9" t="n">
        <v>40</v>
      </c>
      <c r="B43" s="10" t="inlineStr">
        <is>
          <t>}</t>
        </is>
      </c>
    </row>
    <row r="44">
      <c r="A44" s="7" t="n">
        <v>41</v>
      </c>
      <c r="B44" s="8" t="inlineStr">
        <is>
          <t>"""</t>
        </is>
      </c>
    </row>
    <row r="45">
      <c r="A45" s="9" t="n">
        <v>42</v>
      </c>
      <c r="B45" s="10" t="inlineStr">
        <is>
          <t>import sys, json, argparse</t>
        </is>
      </c>
    </row>
    <row r="46">
      <c r="A46" s="7" t="n">
        <v>43</v>
      </c>
      <c r="B46" s="8" t="inlineStr">
        <is>
          <t>from pathlib import Path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>sys.path.insert(0, str(Path(__file__).parent))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/>
    </row>
    <row r="51">
      <c r="A51" s="9" t="n">
        <v>48</v>
      </c>
      <c r="B51" s="10" t="inlineStr">
        <is>
          <t>def main():</t>
        </is>
      </c>
    </row>
    <row r="52">
      <c r="A52" s="7" t="n">
        <v>49</v>
      </c>
      <c r="B52" s="8" t="inlineStr">
        <is>
          <t xml:space="preserve">    p = argparse.ArgumentParser(description="树剪 知识接收器")</t>
        </is>
      </c>
    </row>
    <row r="53">
      <c r="A53" s="9" t="n">
        <v>50</v>
      </c>
      <c r="B53" s="10" t="inlineStr">
        <is>
          <t xml:space="preserve">    p.add_argument("--file", "-f", type=str, help="从JSON文件导入")</t>
        </is>
      </c>
    </row>
    <row r="54">
      <c r="A54" s="7" t="n">
        <v>51</v>
      </c>
      <c r="B54" s="8" t="inlineStr">
        <is>
          <t xml:space="preserve">    p.add_argument("--summary", "-s", action="store_true", help="显示已学习摘要")</t>
        </is>
      </c>
    </row>
    <row r="55">
      <c r="A55" s="9" t="n">
        <v>52</v>
      </c>
      <c r="B55" s="10" t="inlineStr">
        <is>
          <t xml:space="preserve">    args = p.parse_args()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from core.learner import get_learner</t>
        </is>
      </c>
    </row>
    <row r="58">
      <c r="A58" s="7" t="n">
        <v>55</v>
      </c>
      <c r="B58" s="8" t="inlineStr">
        <is>
          <t xml:space="preserve">    learner = get_learner()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if args.summary:</t>
        </is>
      </c>
    </row>
    <row r="61">
      <c r="A61" s="9" t="n">
        <v>58</v>
      </c>
      <c r="B61" s="10" t="inlineStr">
        <is>
          <t xml:space="preserve">        learner.print_summary()</t>
        </is>
      </c>
    </row>
    <row r="62">
      <c r="A62" s="7" t="n">
        <v>59</v>
      </c>
      <c r="B62" s="8" t="inlineStr">
        <is>
          <t xml:space="preserve">        return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if args.file:</t>
        </is>
      </c>
    </row>
    <row r="65">
      <c r="A65" s="9" t="n">
        <v>62</v>
      </c>
      <c r="B65" s="10" t="inlineStr">
        <is>
          <t xml:space="preserve">        filepath = Path(args.file)</t>
        </is>
      </c>
    </row>
    <row r="66">
      <c r="A66" s="7" t="n">
        <v>63</v>
      </c>
      <c r="B66" s="8" t="inlineStr">
        <is>
          <t xml:space="preserve">        if not filepath.exists():</t>
        </is>
      </c>
    </row>
    <row r="67">
      <c r="A67" s="9" t="n">
        <v>64</v>
      </c>
      <c r="B67" s="10" t="inlineStr">
        <is>
          <t xml:space="preserve">            print(f"文件不存在: {args.file}")</t>
        </is>
      </c>
    </row>
    <row r="68">
      <c r="A68" s="7" t="n">
        <v>65</v>
      </c>
      <c r="B68" s="8" t="inlineStr">
        <is>
          <t xml:space="preserve">            return</t>
        </is>
      </c>
    </row>
    <row r="69">
      <c r="A69" s="9" t="n">
        <v>66</v>
      </c>
      <c r="B69" s="10" t="inlineStr">
        <is>
          <t xml:space="preserve">        data = json.loads(filepath.read_text(encoding="utf-8"))</t>
        </is>
      </c>
    </row>
    <row r="70">
      <c r="A70" s="7" t="n">
        <v>67</v>
      </c>
      <c r="B70" s="8" t="inlineStr">
        <is>
          <t xml:space="preserve">        learner.bulk_learn(data)</t>
        </is>
      </c>
    </row>
    <row r="71">
      <c r="A71" s="9" t="n">
        <v>68</v>
      </c>
      <c r="B71" s="10" t="inlineStr">
        <is>
          <t xml:space="preserve">        learner.print_summary()</t>
        </is>
      </c>
    </row>
    <row r="72">
      <c r="A72" s="7" t="n">
        <v>69</v>
      </c>
      <c r="B72" s="8" t="inlineStr">
        <is>
          <t xml:space="preserve">        return</t>
        </is>
      </c>
    </row>
    <row r="73">
      <c r="A73" s="9" t="n">
        <v>70</v>
      </c>
      <c r="B73" s="10" t="inlineStr"/>
    </row>
    <row r="74">
      <c r="A74" s="7" t="n">
        <v>71</v>
      </c>
      <c r="B74" s="8" t="inlineStr">
        <is>
          <t xml:space="preserve">    # 交互模式</t>
        </is>
      </c>
    </row>
    <row r="75">
      <c r="A75" s="9" t="n">
        <v>72</v>
      </c>
      <c r="B75" s="10" t="inlineStr">
        <is>
          <t xml:space="preserve">    print("=" * 55)</t>
        </is>
      </c>
    </row>
    <row r="76">
      <c r="A76" s="7" t="n">
        <v>73</v>
      </c>
      <c r="B76" s="8" t="inlineStr">
        <is>
          <t xml:space="preserve">    print("  树剪 TreeCut — 知识接收器")</t>
        </is>
      </c>
    </row>
    <row r="77">
      <c r="A77" s="9" t="n">
        <v>74</v>
      </c>
      <c r="B77" s="10" t="inlineStr">
        <is>
          <t xml:space="preserve">    print("=" * 55)</t>
        </is>
      </c>
    </row>
    <row r="78">
      <c r="A78" s="7" t="n">
        <v>75</v>
      </c>
      <c r="B78" s="8" t="inlineStr">
        <is>
          <t xml:space="preserve">    print()</t>
        </is>
      </c>
    </row>
    <row r="79">
      <c r="A79" s="9" t="n">
        <v>76</v>
      </c>
      <c r="B79" s="10" t="inlineStr">
        <is>
          <t xml:space="preserve">    print("  请粘贴 JSON 格式的词汇数据，输入空行结束:")</t>
        </is>
      </c>
    </row>
    <row r="80">
      <c r="A80" s="7" t="n">
        <v>77</v>
      </c>
      <c r="B80" s="8" t="inlineStr">
        <is>
          <t xml:space="preserve">    print("  格式参考: python receive.py --help")</t>
        </is>
      </c>
    </row>
    <row r="81">
      <c r="A81" s="9" t="n">
        <v>78</v>
      </c>
      <c r="B81" s="10" t="inlineStr">
        <is>
          <t xml:space="preserve">    print()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>
        <is>
          <t xml:space="preserve">    lines = []</t>
        </is>
      </c>
    </row>
    <row r="84">
      <c r="A84" s="7" t="n">
        <v>81</v>
      </c>
      <c r="B84" s="8" t="inlineStr">
        <is>
          <t xml:space="preserve">    print("📥 请粘贴数据 (输入空行结束):")</t>
        </is>
      </c>
    </row>
    <row r="85">
      <c r="A85" s="9" t="n">
        <v>82</v>
      </c>
      <c r="B85" s="10" t="inlineStr">
        <is>
          <t xml:space="preserve">    while True:</t>
        </is>
      </c>
    </row>
    <row r="86">
      <c r="A86" s="7" t="n">
        <v>83</v>
      </c>
      <c r="B86" s="8" t="inlineStr">
        <is>
          <t xml:space="preserve">        try:</t>
        </is>
      </c>
    </row>
    <row r="87">
      <c r="A87" s="9" t="n">
        <v>84</v>
      </c>
      <c r="B87" s="10" t="inlineStr">
        <is>
          <t xml:space="preserve">            line = input()</t>
        </is>
      </c>
    </row>
    <row r="88">
      <c r="A88" s="7" t="n">
        <v>85</v>
      </c>
      <c r="B88" s="8" t="inlineStr">
        <is>
          <t xml:space="preserve">            if line.strip() == "":</t>
        </is>
      </c>
    </row>
    <row r="89">
      <c r="A89" s="9" t="n">
        <v>86</v>
      </c>
      <c r="B89" s="10" t="inlineStr">
        <is>
          <t xml:space="preserve">                break</t>
        </is>
      </c>
    </row>
    <row r="90">
      <c r="A90" s="7" t="n">
        <v>87</v>
      </c>
      <c r="B90" s="8" t="inlineStr">
        <is>
          <t xml:space="preserve">            lines.append(line)</t>
        </is>
      </c>
    </row>
    <row r="91">
      <c r="A91" s="9" t="n">
        <v>88</v>
      </c>
      <c r="B91" s="10" t="inlineStr">
        <is>
          <t xml:space="preserve">        except EOFError:</t>
        </is>
      </c>
    </row>
    <row r="92">
      <c r="A92" s="7" t="n">
        <v>89</v>
      </c>
      <c r="B92" s="8" t="inlineStr">
        <is>
          <t xml:space="preserve">            break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  if not lines:</t>
        </is>
      </c>
    </row>
    <row r="95">
      <c r="A95" s="9" t="n">
        <v>92</v>
      </c>
      <c r="B95" s="10" t="inlineStr">
        <is>
          <t xml:space="preserve">        print("未收到数据。")</t>
        </is>
      </c>
    </row>
    <row r="96">
      <c r="A96" s="7" t="n">
        <v>93</v>
      </c>
      <c r="B96" s="8" t="inlineStr">
        <is>
          <t xml:space="preserve">        return</t>
        </is>
      </c>
    </row>
    <row r="97">
      <c r="A97" s="9" t="n">
        <v>94</v>
      </c>
      <c r="B97" s="10" t="inlineStr"/>
    </row>
    <row r="98">
      <c r="A98" s="7" t="n">
        <v>95</v>
      </c>
      <c r="B98" s="8" t="inlineStr">
        <is>
          <t xml:space="preserve">    try:</t>
        </is>
      </c>
    </row>
    <row r="99">
      <c r="A99" s="9" t="n">
        <v>96</v>
      </c>
      <c r="B99" s="10" t="inlineStr">
        <is>
          <t xml:space="preserve">        data = json.loads("\n".join(lines))</t>
        </is>
      </c>
    </row>
    <row r="100">
      <c r="A100" s="7" t="n">
        <v>97</v>
      </c>
      <c r="B100" s="8" t="inlineStr">
        <is>
          <t xml:space="preserve">        learner.bulk_learn(data)</t>
        </is>
      </c>
    </row>
    <row r="101">
      <c r="A101" s="9" t="n">
        <v>98</v>
      </c>
      <c r="B101" s="10" t="inlineStr">
        <is>
          <t xml:space="preserve">        print()</t>
        </is>
      </c>
    </row>
    <row r="102">
      <c r="A102" s="7" t="n">
        <v>99</v>
      </c>
      <c r="B102" s="8" t="inlineStr">
        <is>
          <t xml:space="preserve">        learner.print_summary()</t>
        </is>
      </c>
    </row>
    <row r="103">
      <c r="A103" s="9" t="n">
        <v>100</v>
      </c>
      <c r="B103" s="10" t="inlineStr">
        <is>
          <t xml:space="preserve">        print()</t>
        </is>
      </c>
    </row>
    <row r="104">
      <c r="A104" s="7" t="n">
        <v>101</v>
      </c>
      <c r="B104" s="8" t="inlineStr">
        <is>
          <t xml:space="preserve">        print("✅ 全部知识已植入:")</t>
        </is>
      </c>
    </row>
    <row r="105">
      <c r="A105" s="9" t="n">
        <v>102</v>
      </c>
      <c r="B105" s="10" t="inlineStr">
        <is>
          <t xml:space="preserve">        print("  → DeepSeek 文案系统提示词")</t>
        </is>
      </c>
    </row>
    <row r="106">
      <c r="A106" s="7" t="n">
        <v>103</v>
      </c>
      <c r="B106" s="8" t="inlineStr">
        <is>
          <t xml:space="preserve">        print("  → TTS 保护词词库 (protected_words.json)")</t>
        </is>
      </c>
    </row>
    <row r="107">
      <c r="A107" s="9" t="n">
        <v>104</v>
      </c>
      <c r="B107" s="10" t="inlineStr">
        <is>
          <t xml:space="preserve">        print("  → 行业知识库 (石材/工艺/五金/风格)")</t>
        </is>
      </c>
    </row>
    <row r="108">
      <c r="A108" s="7" t="n">
        <v>105</v>
      </c>
      <c r="B108" s="8" t="inlineStr">
        <is>
          <t xml:space="preserve">        print("  → 关键词-文件夹映射")</t>
        </is>
      </c>
    </row>
    <row r="109">
      <c r="A109" s="9" t="n">
        <v>106</v>
      </c>
      <c r="B109" s="10" t="inlineStr">
        <is>
          <t xml:space="preserve">        print("  → 同义词规范化映射")</t>
        </is>
      </c>
    </row>
    <row r="110">
      <c r="A110" s="7" t="n">
        <v>107</v>
      </c>
      <c r="B110" s="8" t="inlineStr">
        <is>
          <t xml:space="preserve">    except json.JSONDecodeError as e:</t>
        </is>
      </c>
    </row>
    <row r="111">
      <c r="A111" s="9" t="n">
        <v>108</v>
      </c>
      <c r="B111" s="10" t="inlineStr">
        <is>
          <t xml:space="preserve">        print(f"❌ JSON 格式错误: {e}")</t>
        </is>
      </c>
    </row>
    <row r="112">
      <c r="A112" s="7" t="n">
        <v>109</v>
      </c>
      <c r="B112" s="8" t="inlineStr">
        <is>
          <t xml:space="preserve">        print("请检查数据格式。参考: python receive.py --help")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>if __name__ == "__main__":</t>
        </is>
      </c>
    </row>
    <row r="116">
      <c r="A116" s="7" t="n">
        <v>113</v>
      </c>
      <c r="B116" s="8" t="inlineStr">
        <is>
          <t xml:space="preserve">    main()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review_audit.py</t>
        </is>
      </c>
      <c r="C1" s="5" t="inlineStr">
        <is>
          <t>行数: 286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╔══════════════════════════════════════════════════════════════╗</t>
        </is>
      </c>
    </row>
    <row r="7">
      <c r="A7" s="9" t="n">
        <v>4</v>
      </c>
      <c r="B7" s="10" t="inlineStr">
        <is>
          <t>║  🏝️  坤宝岛台 · 双程序检索复查复盘系统                      ║</t>
        </is>
      </c>
    </row>
    <row r="8">
      <c r="A8" s="7" t="n">
        <v>5</v>
      </c>
      <c r="B8" s="8" t="inlineStr">
        <is>
          <t>║                                                            ║</t>
        </is>
      </c>
    </row>
    <row r="9">
      <c r="A9" s="9" t="n">
        <v>6</v>
      </c>
      <c r="B9" s="10" t="inlineStr">
        <is>
          <t>║  独立运行: python review_audit.py --full                   ║</t>
        </is>
      </c>
    </row>
    <row r="10">
      <c r="A10" s="7" t="n">
        <v>7</v>
      </c>
      <c r="B10" s="8" t="inlineStr">
        <is>
          <t>║  快速检查: python review_audit.py --quick                  ║</t>
        </is>
      </c>
    </row>
    <row r="11">
      <c r="A11" s="9" t="n">
        <v>8</v>
      </c>
      <c r="B11" s="10" t="inlineStr">
        <is>
          <t>║  深度审计: python review_audit.py --deep                   ║</t>
        </is>
      </c>
    </row>
    <row r="12">
      <c r="A12" s="7" t="n">
        <v>9</v>
      </c>
      <c r="B12" s="8" t="inlineStr">
        <is>
          <t>╚══════════════════════════════════════════════════════════════╝</t>
        </is>
      </c>
    </row>
    <row r="13">
      <c r="A13" s="9" t="n">
        <v>10</v>
      </c>
      <c r="B13" s="10" t="inlineStr">
        <is>
          <t>"""</t>
        </is>
      </c>
    </row>
    <row r="14">
      <c r="A14" s="7" t="n">
        <v>11</v>
      </c>
      <c r="B14" s="8" t="inlineStr">
        <is>
          <t>import sys, os, json, sqlite3, re, argparse</t>
        </is>
      </c>
    </row>
    <row r="15">
      <c r="A15" s="9" t="n">
        <v>12</v>
      </c>
      <c r="B15" s="10" t="inlineStr">
        <is>
          <t>from pathlib import Path</t>
        </is>
      </c>
    </row>
    <row r="16">
      <c r="A16" s="7" t="n">
        <v>13</v>
      </c>
      <c r="B16" s="8" t="inlineStr">
        <is>
          <t>from datetime import datetime</t>
        </is>
      </c>
    </row>
    <row r="17">
      <c r="A17" s="9" t="n">
        <v>14</v>
      </c>
      <c r="B17" s="10" t="inlineStr">
        <is>
          <t>from collections import Counter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BASE = Path(__file__).parent</t>
        </is>
      </c>
    </row>
    <row r="20">
      <c r="A20" s="7" t="n">
        <v>17</v>
      </c>
      <c r="B20" s="8" t="inlineStr">
        <is>
          <t>AI_DB = BASE / "ai_material_library.db"</t>
        </is>
      </c>
    </row>
    <row r="21">
      <c r="A21" s="9" t="n">
        <v>18</v>
      </c>
      <c r="B21" s="10" t="inlineStr">
        <is>
          <t>DRAFT_DIR = Path(os.environ.get("LOCALAPPDATA", "")) / r"JianyingPro\User Data\Projects\com.lveditor.draft"</t>
        </is>
      </c>
    </row>
    <row r="22">
      <c r="A22" s="7" t="n">
        <v>19</v>
      </c>
      <c r="B22" s="8" t="inlineStr">
        <is>
          <t>REPORT_OUT = BASE / "audit_report.json"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class AuditEngine:</t>
        </is>
      </c>
    </row>
    <row r="26">
      <c r="A26" s="7" t="n">
        <v>23</v>
      </c>
      <c r="B26" s="8" t="inlineStr">
        <is>
          <t xml:space="preserve">    """全维度审查引擎"""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 xml:space="preserve">    def __init__(self):</t>
        </is>
      </c>
    </row>
    <row r="29">
      <c r="A29" s="9" t="n">
        <v>26</v>
      </c>
      <c r="B29" s="10" t="inlineStr">
        <is>
          <t xml:space="preserve">        self.findings = {"critical": [], "high": [], "medium": [], "low": [], "info": []}</t>
        </is>
      </c>
    </row>
    <row r="30">
      <c r="A30" s="7" t="n">
        <v>27</v>
      </c>
      <c r="B30" s="8" t="inlineStr">
        <is>
          <t xml:space="preserve">        self.metrics = {}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 xml:space="preserve">    # ── 维度1: 素材库健康度 ──</t>
        </is>
      </c>
    </row>
    <row r="33">
      <c r="A33" s="9" t="n">
        <v>30</v>
      </c>
      <c r="B33" s="10" t="inlineStr">
        <is>
          <t xml:space="preserve">    def audit_material_health(self):</t>
        </is>
      </c>
    </row>
    <row r="34">
      <c r="A34" s="7" t="n">
        <v>31</v>
      </c>
      <c r="B34" s="8" t="inlineStr">
        <is>
          <t xml:space="preserve">        if not AI_DB.exists():</t>
        </is>
      </c>
    </row>
    <row r="35">
      <c r="A35" s="9" t="n">
        <v>32</v>
      </c>
      <c r="B35" s="10" t="inlineStr">
        <is>
          <t xml:space="preserve">            self.findings["critical"].append("AI素材库数据库不存在，需执行 python ai_material_library.py --build")</t>
        </is>
      </c>
    </row>
    <row r="36">
      <c r="A36" s="7" t="n">
        <v>33</v>
      </c>
      <c r="B36" s="8" t="inlineStr">
        <is>
          <t xml:space="preserve">            return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 xml:space="preserve">        with sqlite3.connect(str(AI_DB)) as conn:</t>
        </is>
      </c>
    </row>
    <row r="39">
      <c r="A39" s="9" t="n">
        <v>36</v>
      </c>
      <c r="B39" s="10" t="inlineStr">
        <is>
          <t xml:space="preserve">            total = conn.execute("SELECT COUNT(*) FROM materials").fetchone()[0]</t>
        </is>
      </c>
    </row>
    <row r="40">
      <c r="A40" s="7" t="n">
        <v>37</v>
      </c>
      <c r="B40" s="8" t="inlineStr">
        <is>
          <t xml:space="preserve">            with_tags = conn.execute("SELECT COUNT(*) FROM materials WHERE tags != ''").fetchone()[0]</t>
        </is>
      </c>
    </row>
    <row r="41">
      <c r="A41" s="9" t="n">
        <v>38</v>
      </c>
      <c r="B41" s="10" t="inlineStr">
        <is>
          <t xml:space="preserve">            with_speech = conn.execute("SELECT COUNT(*) FROM materials WHERE speech_text != ''").fetchone()[0]</t>
        </is>
      </c>
    </row>
    <row r="42">
      <c r="A42" s="7" t="n">
        <v>39</v>
      </c>
      <c r="B42" s="8" t="inlineStr">
        <is>
          <t xml:space="preserve">            videos = conn.execute("SELECT COUNT(*) FROM video_registry").fetchone()[0]</t>
        </is>
      </c>
    </row>
    <row r="43">
      <c r="A43" s="9" t="n">
        <v>40</v>
      </c>
      <c r="B43" s="10" t="inlineStr">
        <is>
          <t xml:space="preserve">            analyzed = conn.execute("SELECT COUNT(*) FROM video_registry WHERE analyzed=1").fetchone()[0]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 xml:space="preserve">        self.metrics["material_health"] = {</t>
        </is>
      </c>
    </row>
    <row r="46">
      <c r="A46" s="7" t="n">
        <v>43</v>
      </c>
      <c r="B46" s="8" t="inlineStr">
        <is>
          <t xml:space="preserve">            "total_segments": total,</t>
        </is>
      </c>
    </row>
    <row r="47">
      <c r="A47" s="9" t="n">
        <v>44</v>
      </c>
      <c r="B47" s="10" t="inlineStr">
        <is>
          <t xml:space="preserve">            "tagged_segments": with_tags,</t>
        </is>
      </c>
    </row>
    <row r="48">
      <c r="A48" s="7" t="n">
        <v>45</v>
      </c>
      <c r="B48" s="8" t="inlineStr">
        <is>
          <t xml:space="preserve">            "speech_segments": with_speech,</t>
        </is>
      </c>
    </row>
    <row r="49">
      <c r="A49" s="9" t="n">
        <v>46</v>
      </c>
      <c r="B49" s="10" t="inlineStr">
        <is>
          <t xml:space="preserve">            "tag_coverage": f"{with_tags/max(total,1)*100:.1f}%",</t>
        </is>
      </c>
    </row>
    <row r="50">
      <c r="A50" s="7" t="n">
        <v>47</v>
      </c>
      <c r="B50" s="8" t="inlineStr">
        <is>
          <t xml:space="preserve">            "speech_coverage": f"{with_speech/max(total,1)*100:.1f}%",</t>
        </is>
      </c>
    </row>
    <row r="51">
      <c r="A51" s="9" t="n">
        <v>48</v>
      </c>
      <c r="B51" s="10" t="inlineStr">
        <is>
          <t xml:space="preserve">            "analyzed_videos": f"{analyzed}/{videos}",</t>
        </is>
      </c>
    </row>
    <row r="52">
      <c r="A52" s="7" t="n">
        <v>49</v>
      </c>
      <c r="B52" s="8" t="inlineStr">
        <is>
          <t xml:space="preserve">        }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>
        <is>
          <t xml:space="preserve">        if with_tags / max(total, 1) &lt; 0.3:</t>
        </is>
      </c>
    </row>
    <row r="55">
      <c r="A55" s="9" t="n">
        <v>52</v>
      </c>
      <c r="B55" s="10" t="inlineStr">
        <is>
          <t xml:space="preserve">            self.findings["high"].append(f"标签覆盖率仅{with_tags/max(total,1)*100:.0f}%，建议运行视觉分析worker提升质量")</t>
        </is>
      </c>
    </row>
    <row r="56">
      <c r="A56" s="7" t="n">
        <v>53</v>
      </c>
      <c r="B56" s="8" t="inlineStr">
        <is>
          <t xml:space="preserve">        if with_speech / max(total, 1) &lt; 0.1:</t>
        </is>
      </c>
    </row>
    <row r="57">
      <c r="A57" s="9" t="n">
        <v>54</v>
      </c>
      <c r="B57" s="10" t="inlineStr">
        <is>
          <t xml:space="preserve">            self.findings["medium"].append(f"语音覆盖率仅{with_speech/max(total,1)*100:.0f}%，多数素材为无声展示视频(正常)")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 xml:space="preserve">    # ── 维度2: 标签质量 ──</t>
        </is>
      </c>
    </row>
    <row r="60">
      <c r="A60" s="7" t="n">
        <v>57</v>
      </c>
      <c r="B60" s="8" t="inlineStr">
        <is>
          <t xml:space="preserve">    def audit_tag_quality(self):</t>
        </is>
      </c>
    </row>
    <row r="61">
      <c r="A61" s="9" t="n">
        <v>58</v>
      </c>
      <c r="B61" s="10" t="inlineStr">
        <is>
          <t xml:space="preserve">        if not AI_DB.exists(): return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    with sqlite3.connect(str(AI_DB)) as conn:</t>
        </is>
      </c>
    </row>
    <row r="64">
      <c r="A64" s="7" t="n">
        <v>61</v>
      </c>
      <c r="B64" s="8" t="inlineStr">
        <is>
          <t xml:space="preserve">            all_tags = conn.execute("SELECT tags FROM materials WHERE tags != ''").fetchall()</t>
        </is>
      </c>
    </row>
    <row r="65">
      <c r="A65" s="9" t="n">
        <v>62</v>
      </c>
      <c r="B65" s="10" t="inlineStr">
        <is>
          <t xml:space="preserve">            all_styles = conn.execute("SELECT style FROM materials WHERE style != ''").fetchall()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    tag_counter = Counter()</t>
        </is>
      </c>
    </row>
    <row r="68">
      <c r="A68" s="7" t="n">
        <v>65</v>
      </c>
      <c r="B68" s="8" t="inlineStr">
        <is>
          <t xml:space="preserve">        for (t,) in all_tags:</t>
        </is>
      </c>
    </row>
    <row r="69">
      <c r="A69" s="9" t="n">
        <v>66</v>
      </c>
      <c r="B69" s="10" t="inlineStr">
        <is>
          <t xml:space="preserve">            for tag in t.split(","):</t>
        </is>
      </c>
    </row>
    <row r="70">
      <c r="A70" s="7" t="n">
        <v>67</v>
      </c>
      <c r="B70" s="8" t="inlineStr">
        <is>
          <t xml:space="preserve">                if tag.strip(): tag_counter[tag.strip()] += 1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 xml:space="preserve">        style_counter = Counter()</t>
        </is>
      </c>
    </row>
    <row r="73">
      <c r="A73" s="9" t="n">
        <v>70</v>
      </c>
      <c r="B73" s="10" t="inlineStr">
        <is>
          <t xml:space="preserve">        for (s,) in all_styles:</t>
        </is>
      </c>
    </row>
    <row r="74">
      <c r="A74" s="7" t="n">
        <v>71</v>
      </c>
      <c r="B74" s="8" t="inlineStr">
        <is>
          <t xml:space="preserve">            for style in s.split(","):</t>
        </is>
      </c>
    </row>
    <row r="75">
      <c r="A75" s="9" t="n">
        <v>72</v>
      </c>
      <c r="B75" s="10" t="inlineStr">
        <is>
          <t xml:space="preserve">                if style.strip(): style_counter[style.strip()] += 1</t>
        </is>
      </c>
    </row>
    <row r="76">
      <c r="A76" s="7" t="n">
        <v>73</v>
      </c>
      <c r="B76" s="8" t="inlineStr"/>
    </row>
    <row r="77">
      <c r="A77" s="9" t="n">
        <v>74</v>
      </c>
      <c r="B77" s="10" t="inlineStr">
        <is>
          <t xml:space="preserve">        self.metrics["tag_quality"] = {</t>
        </is>
      </c>
    </row>
    <row r="78">
      <c r="A78" s="7" t="n">
        <v>75</v>
      </c>
      <c r="B78" s="8" t="inlineStr">
        <is>
          <t xml:space="preserve">            "unique_tags": len(tag_counter),</t>
        </is>
      </c>
    </row>
    <row r="79">
      <c r="A79" s="9" t="n">
        <v>76</v>
      </c>
      <c r="B79" s="10" t="inlineStr">
        <is>
          <t xml:space="preserve">            "top_tags": tag_counter.most_common(10),</t>
        </is>
      </c>
    </row>
    <row r="80">
      <c r="A80" s="7" t="n">
        <v>77</v>
      </c>
      <c r="B80" s="8" t="inlineStr">
        <is>
          <t xml:space="preserve">            "top_styles": style_counter.most_common(10),</t>
        </is>
      </c>
    </row>
    <row r="81">
      <c r="A81" s="9" t="n">
        <v>78</v>
      </c>
      <c r="B81" s="10" t="inlineStr">
        <is>
          <t xml:space="preserve">        }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>
        <is>
          <t xml:space="preserve">        if len(tag_counter) &lt; 10:</t>
        </is>
      </c>
    </row>
    <row r="84">
      <c r="A84" s="7" t="n">
        <v>81</v>
      </c>
      <c r="B84" s="8" t="inlineStr">
        <is>
          <t xml:space="preserve">            self.findings["high"].append(f"仅{len(tag_counter)}个不同标签，素材多样性严重不足")</t>
        </is>
      </c>
    </row>
    <row r="85">
      <c r="A85" s="9" t="n">
        <v>82</v>
      </c>
      <c r="B85" s="10" t="inlineStr">
        <is>
          <t xml:space="preserve">        elif len(tag_counter) &lt; 30:</t>
        </is>
      </c>
    </row>
    <row r="86">
      <c r="A86" s="7" t="n">
        <v>83</v>
      </c>
      <c r="B86" s="8" t="inlineStr">
        <is>
          <t xml:space="preserve">            self.findings["medium"].append(f"标签种类{len(tag_counter)}个，建议扩大识别范围")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>
        <is>
          <t xml:space="preserve">    # ── 维度3: 草稿质量 ──</t>
        </is>
      </c>
    </row>
    <row r="89">
      <c r="A89" s="9" t="n">
        <v>86</v>
      </c>
      <c r="B89" s="10" t="inlineStr">
        <is>
          <t xml:space="preserve">    def audit_draft_quality(self):</t>
        </is>
      </c>
    </row>
    <row r="90">
      <c r="A90" s="7" t="n">
        <v>87</v>
      </c>
      <c r="B90" s="8" t="inlineStr">
        <is>
          <t xml:space="preserve">        if not DRAFT_DIR.exists():</t>
        </is>
      </c>
    </row>
    <row r="91">
      <c r="A91" s="9" t="n">
        <v>88</v>
      </c>
      <c r="B91" s="10" t="inlineStr">
        <is>
          <t xml:space="preserve">            self.findings["medium"].append("剪映草稿目录不存在")</t>
        </is>
      </c>
    </row>
    <row r="92">
      <c r="A92" s="7" t="n">
        <v>89</v>
      </c>
      <c r="B92" s="8" t="inlineStr">
        <is>
          <t xml:space="preserve">            return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      drafts = sorted([d for d in DRAFT_DIR.iterdir() if d.is_dir()],</t>
        </is>
      </c>
    </row>
    <row r="95">
      <c r="A95" s="9" t="n">
        <v>92</v>
      </c>
      <c r="B95" s="10" t="inlineStr">
        <is>
          <t xml:space="preserve">                        key=lambda x: x.stat().st_mtime, reverse=True)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 xml:space="preserve">        if not drafts:</t>
        </is>
      </c>
    </row>
    <row r="98">
      <c r="A98" s="7" t="n">
        <v>95</v>
      </c>
      <c r="B98" s="8" t="inlineStr">
        <is>
          <t xml:space="preserve">            self.findings["info"].append("草稿箱为空，请先生成测试视频")</t>
        </is>
      </c>
    </row>
    <row r="99">
      <c r="A99" s="9" t="n">
        <v>96</v>
      </c>
      <c r="B99" s="10" t="inlineStr">
        <is>
          <t xml:space="preserve">            return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 xml:space="preserve">        latest = drafts[0]</t>
        </is>
      </c>
    </row>
    <row r="102">
      <c r="A102" s="7" t="n">
        <v>99</v>
      </c>
      <c r="B102" s="8" t="inlineStr">
        <is>
          <t xml:space="preserve">        content_file = latest / "draft_content.json"</t>
        </is>
      </c>
    </row>
    <row r="103">
      <c r="A103" s="9" t="n">
        <v>100</v>
      </c>
      <c r="B103" s="10" t="inlineStr">
        <is>
          <t xml:space="preserve">        if not content_file.exists():</t>
        </is>
      </c>
    </row>
    <row r="104">
      <c r="A104" s="7" t="n">
        <v>101</v>
      </c>
      <c r="B104" s="8" t="inlineStr">
        <is>
          <t xml:space="preserve">            self.findings["high"].append(f"最新草稿 {latest.name} 缺少 draft_content.json")</t>
        </is>
      </c>
    </row>
    <row r="105">
      <c r="A105" s="9" t="n">
        <v>102</v>
      </c>
      <c r="B105" s="10" t="inlineStr">
        <is>
          <t xml:space="preserve">            return</t>
        </is>
      </c>
    </row>
    <row r="106">
      <c r="A106" s="7" t="n">
        <v>103</v>
      </c>
      <c r="B106" s="8" t="inlineStr"/>
    </row>
    <row r="107">
      <c r="A107" s="9" t="n">
        <v>104</v>
      </c>
      <c r="B107" s="10" t="inlineStr">
        <is>
          <t xml:space="preserve">        try:</t>
        </is>
      </c>
    </row>
    <row r="108">
      <c r="A108" s="7" t="n">
        <v>105</v>
      </c>
      <c r="B108" s="8" t="inlineStr">
        <is>
          <t xml:space="preserve">            # 剪映草稿可能很大或加密 — 安全读取</t>
        </is>
      </c>
    </row>
    <row r="109">
      <c r="A109" s="9" t="n">
        <v>106</v>
      </c>
      <c r="B109" s="10" t="inlineStr">
        <is>
          <t xml:space="preserve">            file_size = content_file.stat().st_size</t>
        </is>
      </c>
    </row>
    <row r="110">
      <c r="A110" s="7" t="n">
        <v>107</v>
      </c>
      <c r="B110" s="8" t="inlineStr">
        <is>
          <t xml:space="preserve">            if file_size &gt; 50 * 1024 * 1024:  # &gt;50MB 可疑</t>
        </is>
      </c>
    </row>
    <row r="111">
      <c r="A111" s="9" t="n">
        <v>108</v>
      </c>
      <c r="B111" s="10" t="inlineStr">
        <is>
          <t xml:space="preserve">                self.findings["info"].append(f"草稿文件过大({file_size/1024/1024:.0f}MB)，跳过解析")</t>
        </is>
      </c>
    </row>
    <row r="112">
      <c r="A112" s="7" t="n">
        <v>109</v>
      </c>
      <c r="B112" s="8" t="inlineStr">
        <is>
          <t xml:space="preserve">                return</t>
        </is>
      </c>
    </row>
    <row r="113">
      <c r="A113" s="9" t="n">
        <v>110</v>
      </c>
      <c r="B113" s="10" t="inlineStr">
        <is>
          <t xml:space="preserve">            with open(content_file, "r", encoding="utf-8", errors="replace") as f:</t>
        </is>
      </c>
    </row>
    <row r="114">
      <c r="A114" s="7" t="n">
        <v>111</v>
      </c>
      <c r="B114" s="8" t="inlineStr">
        <is>
          <t xml:space="preserve">                raw = f.read(8192)  # 读前8K足够判断格式</t>
        </is>
      </c>
    </row>
    <row r="115">
      <c r="A115" s="9" t="n">
        <v>112</v>
      </c>
      <c r="B115" s="10" t="inlineStr">
        <is>
          <t xml:space="preserve">            stripped = raw.strip()</t>
        </is>
      </c>
    </row>
    <row r="116">
      <c r="A116" s="7" t="n">
        <v>113</v>
      </c>
      <c r="B116" s="8" t="inlineStr">
        <is>
          <t xml:space="preserve">            if stripped.startswith("{"):</t>
        </is>
      </c>
    </row>
    <row r="117">
      <c r="A117" s="9" t="n">
        <v>114</v>
      </c>
      <c r="B117" s="10" t="inlineStr">
        <is>
          <t xml:space="preserve">                # 尝试完整解析（限10MB以内）</t>
        </is>
      </c>
    </row>
    <row r="118">
      <c r="A118" s="7" t="n">
        <v>115</v>
      </c>
      <c r="B118" s="8" t="inlineStr">
        <is>
          <t xml:space="preserve">                if file_size &lt; 10 * 1024 * 1024:</t>
        </is>
      </c>
    </row>
    <row r="119">
      <c r="A119" s="9" t="n">
        <v>116</v>
      </c>
      <c r="B119" s="10" t="inlineStr">
        <is>
          <t xml:space="preserve">                    with open(content_file, "r", encoding="utf-8") as f:</t>
        </is>
      </c>
    </row>
    <row r="120">
      <c r="A120" s="7" t="n">
        <v>117</v>
      </c>
      <c r="B120" s="8" t="inlineStr">
        <is>
          <t xml:space="preserve">                        draft = json.load(f)</t>
        </is>
      </c>
    </row>
    <row r="121">
      <c r="A121" s="9" t="n">
        <v>118</v>
      </c>
      <c r="B121" s="10" t="inlineStr">
        <is>
          <t xml:space="preserve">                else:</t>
        </is>
      </c>
    </row>
    <row r="122">
      <c r="A122" s="7" t="n">
        <v>119</v>
      </c>
      <c r="B122" s="8" t="inlineStr">
        <is>
          <t xml:space="preserve">                    draft = json.loads(stripped[:100000]) if len(stripped) &gt; 100 else {"_truncated": True}</t>
        </is>
      </c>
    </row>
    <row r="123">
      <c r="A123" s="9" t="n">
        <v>120</v>
      </c>
      <c r="B123" s="10" t="inlineStr">
        <is>
          <t xml:space="preserve">                tracks = draft.get("tracks", [])</t>
        </is>
      </c>
    </row>
    <row r="124">
      <c r="A124" s="7" t="n">
        <v>121</v>
      </c>
      <c r="B124" s="8" t="inlineStr">
        <is>
          <t xml:space="preserve">                video_segs = sum(1 for t in tracks if t.get("type") == "video" for _ in t.get("segments", []))</t>
        </is>
      </c>
    </row>
    <row r="125">
      <c r="A125" s="9" t="n">
        <v>122</v>
      </c>
      <c r="B125" s="10" t="inlineStr">
        <is>
          <t xml:space="preserve">                text_segs = sum(1 for t in tracks if t.get("type") == "text" for _ in t.get("segments", []))</t>
        </is>
      </c>
    </row>
    <row r="126">
      <c r="A126" s="7" t="n">
        <v>123</v>
      </c>
      <c r="B126" s="8" t="inlineStr">
        <is>
          <t xml:space="preserve">                audio_segs = sum(1 for t in tracks if t.get("type") == "audio" for _ in t.get("segments", []))</t>
        </is>
      </c>
    </row>
    <row r="127">
      <c r="A127" s="9" t="n">
        <v>124</v>
      </c>
      <c r="B127" s="10" t="inlineStr">
        <is>
          <t xml:space="preserve">                self.metrics["draft_quality"] = {</t>
        </is>
      </c>
    </row>
    <row r="128">
      <c r="A128" s="7" t="n">
        <v>125</v>
      </c>
      <c r="B128" s="8" t="inlineStr">
        <is>
          <t xml:space="preserve">                    "latest_draft": latest.name,</t>
        </is>
      </c>
    </row>
    <row r="129">
      <c r="A129" s="9" t="n">
        <v>126</v>
      </c>
      <c r="B129" s="10" t="inlineStr">
        <is>
          <t xml:space="preserve">                    "video_segments": video_segs,</t>
        </is>
      </c>
    </row>
    <row r="130">
      <c r="A130" s="7" t="n">
        <v>127</v>
      </c>
      <c r="B130" s="8" t="inlineStr">
        <is>
          <t xml:space="preserve">                    "text_segments": text_segs,</t>
        </is>
      </c>
    </row>
    <row r="131">
      <c r="A131" s="9" t="n">
        <v>128</v>
      </c>
      <c r="B131" s="10" t="inlineStr">
        <is>
          <t xml:space="preserve">                    "audio_segments": audio_segs,</t>
        </is>
      </c>
    </row>
    <row r="132">
      <c r="A132" s="7" t="n">
        <v>129</v>
      </c>
      <c r="B132" s="8" t="inlineStr">
        <is>
          <t xml:space="preserve">                    "duration": draft.get("duration", 0) / 1_000_000,</t>
        </is>
      </c>
    </row>
    <row r="133">
      <c r="A133" s="9" t="n">
        <v>130</v>
      </c>
      <c r="B133" s="10" t="inlineStr">
        <is>
          <t xml:space="preserve">                }</t>
        </is>
      </c>
    </row>
    <row r="134">
      <c r="A134" s="7" t="n">
        <v>131</v>
      </c>
      <c r="B134" s="8" t="inlineStr">
        <is>
          <t xml:space="preserve">                if text_segs &lt; 3:</t>
        </is>
      </c>
    </row>
    <row r="135">
      <c r="A135" s="9" t="n">
        <v>132</v>
      </c>
      <c r="B135" s="10" t="inlineStr">
        <is>
          <t xml:space="preserve">                    self.findings["high"].append(f"仅{text_segs}条字幕，可能断句有问题")</t>
        </is>
      </c>
    </row>
    <row r="136">
      <c r="A136" s="7" t="n">
        <v>133</v>
      </c>
      <c r="B136" s="8" t="inlineStr">
        <is>
          <t xml:space="preserve">            elif stripped.startswith("\x1f\x8b") or len(stripped) &lt; 10:</t>
        </is>
      </c>
    </row>
    <row r="137">
      <c r="A137" s="9" t="n">
        <v>134</v>
      </c>
      <c r="B137" s="10" t="inlineStr">
        <is>
          <t xml:space="preserve">                self.findings["info"].append("草稿文件已压缩或加密(正常)，需在剪映中打开检查")</t>
        </is>
      </c>
    </row>
    <row r="138">
      <c r="A138" s="7" t="n">
        <v>135</v>
      </c>
      <c r="B138" s="8" t="inlineStr">
        <is>
          <t xml:space="preserve">            else:</t>
        </is>
      </c>
    </row>
    <row r="139">
      <c r="A139" s="9" t="n">
        <v>136</v>
      </c>
      <c r="B139" s="10" t="inlineStr">
        <is>
          <t xml:space="preserve">                self.findings["info"].append(f"草稿格式未知(首字符: {stripped[:1]})")</t>
        </is>
      </c>
    </row>
    <row r="140">
      <c r="A140" s="7" t="n">
        <v>137</v>
      </c>
      <c r="B140" s="8" t="inlineStr">
        <is>
          <t xml:space="preserve">        except json.JSONDecodeError:</t>
        </is>
      </c>
    </row>
    <row r="141">
      <c r="A141" s="9" t="n">
        <v>138</v>
      </c>
      <c r="B141" s="10" t="inlineStr">
        <is>
          <t xml:space="preserve">            self.findings["low"].append("草稿JSON格式损坏，可能正在剪映中编辑")</t>
        </is>
      </c>
    </row>
    <row r="142">
      <c r="A142" s="7" t="n">
        <v>139</v>
      </c>
      <c r="B142" s="8" t="inlineStr">
        <is>
          <t xml:space="preserve">        except Exception as e:</t>
        </is>
      </c>
    </row>
    <row r="143">
      <c r="A143" s="9" t="n">
        <v>140</v>
      </c>
      <c r="B143" s="10" t="inlineStr">
        <is>
          <t xml:space="preserve">            self.findings["low"].append(f"草稿解析异常: {str(e)[:80]}")</t>
        </is>
      </c>
    </row>
    <row r="144">
      <c r="A144" s="7" t="n">
        <v>141</v>
      </c>
      <c r="B144" s="8" t="inlineStr"/>
    </row>
    <row r="145">
      <c r="A145" s="9" t="n">
        <v>142</v>
      </c>
      <c r="B145" s="10" t="inlineStr">
        <is>
          <t xml:space="preserve">    # ── 维度4: 系统完整性 ──</t>
        </is>
      </c>
    </row>
    <row r="146">
      <c r="A146" s="7" t="n">
        <v>143</v>
      </c>
      <c r="B146" s="8" t="inlineStr">
        <is>
          <t xml:space="preserve">    def audit_system_integrity(self):</t>
        </is>
      </c>
    </row>
    <row r="147">
      <c r="A147" s="9" t="n">
        <v>144</v>
      </c>
      <c r="B147" s="10" t="inlineStr">
        <is>
          <t xml:space="preserve">        checks = {</t>
        </is>
      </c>
    </row>
    <row r="148">
      <c r="A148" s="7" t="n">
        <v>145</v>
      </c>
      <c r="B148" s="8" t="inlineStr">
        <is>
          <t xml:space="preserve">            "主入口 树剪.py": (BASE / "树剪.py").exists(),</t>
        </is>
      </c>
    </row>
    <row r="149">
      <c r="A149" s="9" t="n">
        <v>146</v>
      </c>
      <c r="B149" s="10" t="inlineStr">
        <is>
          <t xml:space="preserve">            "core/__init__.py": (BASE / "core" / "__init__.py").exists(),</t>
        </is>
      </c>
    </row>
    <row r="150">
      <c r="A150" s="7" t="n">
        <v>147</v>
      </c>
      <c r="B150" s="8" t="inlineStr">
        <is>
          <t xml:space="preserve">            "core/pipeline.py": (BASE / "core" / "pipeline.py").exists(),</t>
        </is>
      </c>
    </row>
    <row r="151">
      <c r="A151" s="9" t="n">
        <v>148</v>
      </c>
      <c r="B151" s="10" t="inlineStr">
        <is>
          <t xml:space="preserve">            "AI数据库": AI_DB.exists(),</t>
        </is>
      </c>
    </row>
    <row r="152">
      <c r="A152" s="7" t="n">
        <v>149</v>
      </c>
      <c r="B152" s="8" t="inlineStr">
        <is>
          <t xml:space="preserve">            "FAISS索引": (BASE / "shipin" / "material_faiss.index").exists(),</t>
        </is>
      </c>
    </row>
    <row r="153">
      <c r="A153" s="9" t="n">
        <v>150</v>
      </c>
      <c r="B153" s="10" t="inlineStr">
        <is>
          <t xml:space="preserve">            "配置文件 .env": (BASE / ".env").exists() or (BASE / ".env.example").exists(),</t>
        </is>
      </c>
    </row>
    <row r="154">
      <c r="A154" s="7" t="n">
        <v>151</v>
      </c>
      <c r="B154" s="8" t="inlineStr">
        <is>
          <t xml:space="preserve">        }</t>
        </is>
      </c>
    </row>
    <row r="155">
      <c r="A155" s="9" t="n">
        <v>152</v>
      </c>
      <c r="B155" s="10" t="inlineStr">
        <is>
          <t xml:space="preserve">        self.metrics["system_integrity"] = {k: "OK" if v else "MISSING" for k, v in checks.items()}</t>
        </is>
      </c>
    </row>
    <row r="156">
      <c r="A156" s="7" t="n">
        <v>153</v>
      </c>
      <c r="B156" s="8" t="inlineStr">
        <is>
          <t xml:space="preserve">        missing = [k for k, v in checks.items() if not v]</t>
        </is>
      </c>
    </row>
    <row r="157">
      <c r="A157" s="9" t="n">
        <v>154</v>
      </c>
      <c r="B157" s="10" t="inlineStr">
        <is>
          <t xml:space="preserve">        if missing:</t>
        </is>
      </c>
    </row>
    <row r="158">
      <c r="A158" s="7" t="n">
        <v>155</v>
      </c>
      <c r="B158" s="8" t="inlineStr">
        <is>
          <t xml:space="preserve">            self.findings["critical"].append(f"缺失组件: {', '.join(missing)}")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 xml:space="preserve">    # ── 综合评分 ──</t>
        </is>
      </c>
    </row>
    <row r="161">
      <c r="A161" s="9" t="n">
        <v>158</v>
      </c>
      <c r="B161" s="10" t="inlineStr">
        <is>
          <t xml:space="preserve">    def compute_score(self) -&gt; dict:</t>
        </is>
      </c>
    </row>
    <row r="162">
      <c r="A162" s="7" t="n">
        <v>159</v>
      </c>
      <c r="B162" s="8" t="inlineStr">
        <is>
          <t xml:space="preserve">        score = 100</t>
        </is>
      </c>
    </row>
    <row r="163">
      <c r="A163" s="9" t="n">
        <v>160</v>
      </c>
      <c r="B163" s="10" t="inlineStr">
        <is>
          <t xml:space="preserve">        score -= len(self.findings["critical"]) * 25</t>
        </is>
      </c>
    </row>
    <row r="164">
      <c r="A164" s="7" t="n">
        <v>161</v>
      </c>
      <c r="B164" s="8" t="inlineStr">
        <is>
          <t xml:space="preserve">        score -= len(self.findings["high"]) * 15</t>
        </is>
      </c>
    </row>
    <row r="165">
      <c r="A165" s="9" t="n">
        <v>162</v>
      </c>
      <c r="B165" s="10" t="inlineStr">
        <is>
          <t xml:space="preserve">        score -= len(self.findings["medium"]) * 8</t>
        </is>
      </c>
    </row>
    <row r="166">
      <c r="A166" s="7" t="n">
        <v>163</v>
      </c>
      <c r="B166" s="8" t="inlineStr">
        <is>
          <t xml:space="preserve">        score -= len(self.findings["low"]) * 3</t>
        </is>
      </c>
    </row>
    <row r="167">
      <c r="A167" s="9" t="n">
        <v>164</v>
      </c>
      <c r="B167" s="10" t="inlineStr">
        <is>
          <t xml:space="preserve">        score = max(0, score)</t>
        </is>
      </c>
    </row>
    <row r="168">
      <c r="A168" s="7" t="n">
        <v>165</v>
      </c>
      <c r="B168" s="8" t="inlineStr"/>
    </row>
    <row r="169">
      <c r="A169" s="9" t="n">
        <v>166</v>
      </c>
      <c r="B169" s="10" t="inlineStr">
        <is>
          <t xml:space="preserve">        grade = "A" if score &gt;= 90 else "B" if score &gt;= 70 else "C" if score &gt;= 50 else "D"</t>
        </is>
      </c>
    </row>
    <row r="170">
      <c r="A170" s="7" t="n">
        <v>167</v>
      </c>
      <c r="B170" s="8" t="inlineStr"/>
    </row>
    <row r="171">
      <c r="A171" s="9" t="n">
        <v>168</v>
      </c>
      <c r="B171" s="10" t="inlineStr">
        <is>
          <t xml:space="preserve">        total_issues = sum(len(v) for v in self.findings.values())</t>
        </is>
      </c>
    </row>
    <row r="172">
      <c r="A172" s="7" t="n">
        <v>169</v>
      </c>
      <c r="B172" s="8" t="inlineStr">
        <is>
          <t xml:space="preserve">        return {</t>
        </is>
      </c>
    </row>
    <row r="173">
      <c r="A173" s="9" t="n">
        <v>170</v>
      </c>
      <c r="B173" s="10" t="inlineStr">
        <is>
          <t xml:space="preserve">            "score": score, "grade": grade, "total_issues": total_issues,</t>
        </is>
      </c>
    </row>
    <row r="174">
      <c r="A174" s="7" t="n">
        <v>171</v>
      </c>
      <c r="B174" s="8" t="inlineStr">
        <is>
          <t xml:space="preserve">            "breakdown": {k: len(v) for k, v in self.findings.items()},</t>
        </is>
      </c>
    </row>
    <row r="175">
      <c r="A175" s="9" t="n">
        <v>172</v>
      </c>
      <c r="B175" s="10" t="inlineStr">
        <is>
          <t xml:space="preserve">        }</t>
        </is>
      </c>
    </row>
    <row r="176">
      <c r="A176" s="7" t="n">
        <v>173</v>
      </c>
      <c r="B176" s="8" t="inlineStr"/>
    </row>
    <row r="177">
      <c r="A177" s="9" t="n">
        <v>174</v>
      </c>
      <c r="B177" s="10" t="inlineStr">
        <is>
          <t xml:space="preserve">    def run_full(self):</t>
        </is>
      </c>
    </row>
    <row r="178">
      <c r="A178" s="7" t="n">
        <v>175</v>
      </c>
      <c r="B178" s="8" t="inlineStr">
        <is>
          <t xml:space="preserve">        print("\n" + "=" * 55)</t>
        </is>
      </c>
    </row>
    <row r="179">
      <c r="A179" s="9" t="n">
        <v>176</v>
      </c>
      <c r="B179" s="10" t="inlineStr">
        <is>
          <t xml:space="preserve">        print("  坤宝岛台 · 全量审查中...")</t>
        </is>
      </c>
    </row>
    <row r="180">
      <c r="A180" s="7" t="n">
        <v>177</v>
      </c>
      <c r="B180" s="8" t="inlineStr">
        <is>
          <t xml:space="preserve">        print("=" * 55)</t>
        </is>
      </c>
    </row>
    <row r="181">
      <c r="A181" s="9" t="n">
        <v>178</v>
      </c>
      <c r="B181" s="10" t="inlineStr"/>
    </row>
    <row r="182">
      <c r="A182" s="7" t="n">
        <v>179</v>
      </c>
      <c r="B182" s="8" t="inlineStr">
        <is>
          <t xml:space="preserve">        print("  [1/4] 素材库健康度...")</t>
        </is>
      </c>
    </row>
    <row r="183">
      <c r="A183" s="9" t="n">
        <v>180</v>
      </c>
      <c r="B183" s="10" t="inlineStr">
        <is>
          <t xml:space="preserve">        self.audit_material_health()</t>
        </is>
      </c>
    </row>
    <row r="184">
      <c r="A184" s="7" t="n">
        <v>181</v>
      </c>
      <c r="B184" s="8" t="inlineStr">
        <is>
          <t xml:space="preserve">        print("  [2/4] 标签质量...")</t>
        </is>
      </c>
    </row>
    <row r="185">
      <c r="A185" s="9" t="n">
        <v>182</v>
      </c>
      <c r="B185" s="10" t="inlineStr">
        <is>
          <t xml:space="preserve">        self.audit_tag_quality()</t>
        </is>
      </c>
    </row>
    <row r="186">
      <c r="A186" s="7" t="n">
        <v>183</v>
      </c>
      <c r="B186" s="8" t="inlineStr">
        <is>
          <t xml:space="preserve">        print("  [3/4] 草稿质量...")</t>
        </is>
      </c>
    </row>
    <row r="187">
      <c r="A187" s="9" t="n">
        <v>184</v>
      </c>
      <c r="B187" s="10" t="inlineStr">
        <is>
          <t xml:space="preserve">        self.audit_draft_quality()</t>
        </is>
      </c>
    </row>
    <row r="188">
      <c r="A188" s="7" t="n">
        <v>185</v>
      </c>
      <c r="B188" s="8" t="inlineStr">
        <is>
          <t xml:space="preserve">        print("  [4/4] 系统完整性...")</t>
        </is>
      </c>
    </row>
    <row r="189">
      <c r="A189" s="9" t="n">
        <v>186</v>
      </c>
      <c r="B189" s="10" t="inlineStr">
        <is>
          <t xml:space="preserve">        self.audit_system_integrity()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 xml:space="preserve">        score = self.compute_score()</t>
        </is>
      </c>
    </row>
    <row r="192">
      <c r="A192" s="7" t="n">
        <v>189</v>
      </c>
      <c r="B192" s="8" t="inlineStr">
        <is>
          <t xml:space="preserve">        self.metrics["score"] = score</t>
        </is>
      </c>
    </row>
    <row r="193">
      <c r="A193" s="9" t="n">
        <v>190</v>
      </c>
      <c r="B193" s="10" t="inlineStr"/>
    </row>
    <row r="194">
      <c r="A194" s="7" t="n">
        <v>191</v>
      </c>
      <c r="B194" s="8" t="inlineStr">
        <is>
          <t xml:space="preserve">        # 生成报告</t>
        </is>
      </c>
    </row>
    <row r="195">
      <c r="A195" s="9" t="n">
        <v>192</v>
      </c>
      <c r="B195" s="10" t="inlineStr">
        <is>
          <t xml:space="preserve">        report = {</t>
        </is>
      </c>
    </row>
    <row r="196">
      <c r="A196" s="7" t="n">
        <v>193</v>
      </c>
      <c r="B196" s="8" t="inlineStr">
        <is>
          <t xml:space="preserve">            "timestamp": datetime.now().isoformat(),</t>
        </is>
      </c>
    </row>
    <row r="197">
      <c r="A197" s="9" t="n">
        <v>194</v>
      </c>
      <c r="B197" s="10" t="inlineStr">
        <is>
          <t xml:space="preserve">            "findings": self.findings,</t>
        </is>
      </c>
    </row>
    <row r="198">
      <c r="A198" s="7" t="n">
        <v>195</v>
      </c>
      <c r="B198" s="8" t="inlineStr">
        <is>
          <t xml:space="preserve">            "metrics": self.metrics,</t>
        </is>
      </c>
    </row>
    <row r="199">
      <c r="A199" s="9" t="n">
        <v>196</v>
      </c>
      <c r="B199" s="10" t="inlineStr">
        <is>
          <t xml:space="preserve">            "score": score,</t>
        </is>
      </c>
    </row>
    <row r="200">
      <c r="A200" s="7" t="n">
        <v>197</v>
      </c>
      <c r="B200" s="8" t="inlineStr">
        <is>
          <t xml:space="preserve">            "optimization_plan": self._generate_optimization_plan(),</t>
        </is>
      </c>
    </row>
    <row r="201">
      <c r="A201" s="9" t="n">
        <v>198</v>
      </c>
      <c r="B201" s="10" t="inlineStr">
        <is>
          <t xml:space="preserve">        }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    with open(REPORT_OUT, "w", encoding="utf-8") as f:</t>
        </is>
      </c>
    </row>
    <row r="204">
      <c r="A204" s="7" t="n">
        <v>201</v>
      </c>
      <c r="B204" s="8" t="inlineStr">
        <is>
          <t xml:space="preserve">            json.dump(report, f, ensure_ascii=False, indent=2)</t>
        </is>
      </c>
    </row>
    <row r="205">
      <c r="A205" s="9" t="n">
        <v>202</v>
      </c>
      <c r="B205" s="10" t="inlineStr"/>
    </row>
    <row r="206">
      <c r="A206" s="7" t="n">
        <v>203</v>
      </c>
      <c r="B206" s="8" t="inlineStr">
        <is>
          <t xml:space="preserve">        self._print_report(report)</t>
        </is>
      </c>
    </row>
    <row r="207">
      <c r="A207" s="9" t="n">
        <v>204</v>
      </c>
      <c r="B207" s="10" t="inlineStr">
        <is>
          <t xml:space="preserve">        return report</t>
        </is>
      </c>
    </row>
    <row r="208">
      <c r="A208" s="7" t="n">
        <v>205</v>
      </c>
      <c r="B208" s="8" t="inlineStr"/>
    </row>
    <row r="209">
      <c r="A209" s="9" t="n">
        <v>206</v>
      </c>
      <c r="B209" s="10" t="inlineStr">
        <is>
          <t xml:space="preserve">    def _generate_optimization_plan(self) -&gt; list:</t>
        </is>
      </c>
    </row>
    <row r="210">
      <c r="A210" s="7" t="n">
        <v>207</v>
      </c>
      <c r="B210" s="8" t="inlineStr">
        <is>
          <t xml:space="preserve">        """根据发现的问题自动生成优化计划"""</t>
        </is>
      </c>
    </row>
    <row r="211">
      <c r="A211" s="9" t="n">
        <v>208</v>
      </c>
      <c r="B211" s="10" t="inlineStr">
        <is>
          <t xml:space="preserve">        plan = []</t>
        </is>
      </c>
    </row>
    <row r="212">
      <c r="A212" s="7" t="n">
        <v>209</v>
      </c>
      <c r="B212" s="8" t="inlineStr">
        <is>
          <t xml:space="preserve">        for severity, items in self.findings.items():</t>
        </is>
      </c>
    </row>
    <row r="213">
      <c r="A213" s="9" t="n">
        <v>210</v>
      </c>
      <c r="B213" s="10" t="inlineStr">
        <is>
          <t xml:space="preserve">            for item in items:</t>
        </is>
      </c>
    </row>
    <row r="214">
      <c r="A214" s="7" t="n">
        <v>211</v>
      </c>
      <c r="B214" s="8" t="inlineStr">
        <is>
          <t xml:space="preserve">                plan.append({</t>
        </is>
      </c>
    </row>
    <row r="215">
      <c r="A215" s="9" t="n">
        <v>212</v>
      </c>
      <c r="B215" s="10" t="inlineStr">
        <is>
          <t xml:space="preserve">                    "issue": item,</t>
        </is>
      </c>
    </row>
    <row r="216">
      <c r="A216" s="7" t="n">
        <v>213</v>
      </c>
      <c r="B216" s="8" t="inlineStr">
        <is>
          <t xml:space="preserve">                    "severity": severity,</t>
        </is>
      </c>
    </row>
    <row r="217">
      <c r="A217" s="9" t="n">
        <v>214</v>
      </c>
      <c r="B217" s="10" t="inlineStr">
        <is>
          <t xml:space="preserve">                    "priority": "P0" if severity in ("critical", "high") else "P1" if severity == "medium" else "P2",</t>
        </is>
      </c>
    </row>
    <row r="218">
      <c r="A218" s="7" t="n">
        <v>215</v>
      </c>
      <c r="B218" s="8" t="inlineStr">
        <is>
          <t xml:space="preserve">                    "suggested_action": self._suggest_action(item),</t>
        </is>
      </c>
    </row>
    <row r="219">
      <c r="A219" s="9" t="n">
        <v>216</v>
      </c>
      <c r="B219" s="10" t="inlineStr">
        <is>
          <t xml:space="preserve">                })</t>
        </is>
      </c>
    </row>
    <row r="220">
      <c r="A220" s="7" t="n">
        <v>217</v>
      </c>
      <c r="B220" s="8" t="inlineStr">
        <is>
          <t xml:space="preserve">        plan.sort(key=lambda x: {"critical": 0, "high": 1, "medium": 2, "low": 3, "info": 4}[x["severity"]])</t>
        </is>
      </c>
    </row>
    <row r="221">
      <c r="A221" s="9" t="n">
        <v>218</v>
      </c>
      <c r="B221" s="10" t="inlineStr">
        <is>
          <t xml:space="preserve">        return plan</t>
        </is>
      </c>
    </row>
    <row r="222">
      <c r="A222" s="7" t="n">
        <v>219</v>
      </c>
      <c r="B222" s="8" t="inlineStr"/>
    </row>
    <row r="223">
      <c r="A223" s="9" t="n">
        <v>220</v>
      </c>
      <c r="B223" s="10" t="inlineStr">
        <is>
          <t xml:space="preserve">    def _suggest_action(self, issue: str) -&gt; str:</t>
        </is>
      </c>
    </row>
    <row r="224">
      <c r="A224" s="7" t="n">
        <v>221</v>
      </c>
      <c r="B224" s="8" t="inlineStr">
        <is>
          <t xml:space="preserve">        if "数据库不存在" in issue: return "运行: python ai_material_library.py --build"</t>
        </is>
      </c>
    </row>
    <row r="225">
      <c r="A225" s="9" t="n">
        <v>222</v>
      </c>
      <c r="B225" s="10" t="inlineStr">
        <is>
          <t xml:space="preserve">        if "标签覆盖" in issue: return "运行: python -m modules.task_scheduler --vision"</t>
        </is>
      </c>
    </row>
    <row r="226">
      <c r="A226" s="7" t="n">
        <v>223</v>
      </c>
      <c r="B226" s="8" t="inlineStr">
        <is>
          <t xml:space="preserve">        if "FAISS" in issue: return "运行: python -m modules.task_scheduler --index"</t>
        </is>
      </c>
    </row>
    <row r="227">
      <c r="A227" s="9" t="n">
        <v>224</v>
      </c>
      <c r="B227" s="10" t="inlineStr">
        <is>
          <t xml:space="preserve">        if "API" in issue: return "运行: python -m modules.task_scheduler --serve"</t>
        </is>
      </c>
    </row>
    <row r="228">
      <c r="A228" s="7" t="n">
        <v>225</v>
      </c>
      <c r="B228" s="8" t="inlineStr">
        <is>
          <t xml:space="preserve">        if "字幕" in issue: return "检查 split_copy_to_subtitles() 函数"</t>
        </is>
      </c>
    </row>
    <row r="229">
      <c r="A229" s="9" t="n">
        <v>226</v>
      </c>
      <c r="B229" s="10" t="inlineStr">
        <is>
          <t xml:space="preserve">        if "缺失" in issue: return "检查对应文件是否存在"</t>
        </is>
      </c>
    </row>
    <row r="230">
      <c r="A230" s="7" t="n">
        <v>227</v>
      </c>
      <c r="B230" s="8" t="inlineStr">
        <is>
          <t xml:space="preserve">        if "素材多样性" in issue: return "启用 --no-b-group 的反向开关 或 增加卖点文件夹"</t>
        </is>
      </c>
    </row>
    <row r="231">
      <c r="A231" s="9" t="n">
        <v>228</v>
      </c>
      <c r="B231" s="10" t="inlineStr">
        <is>
          <t xml:space="preserve">        return "需要人工检查"</t>
        </is>
      </c>
    </row>
    <row r="232">
      <c r="A232" s="7" t="n">
        <v>229</v>
      </c>
      <c r="B232" s="8" t="inlineStr"/>
    </row>
    <row r="233">
      <c r="A233" s="9" t="n">
        <v>230</v>
      </c>
      <c r="B233" s="10" t="inlineStr">
        <is>
          <t xml:space="preserve">    def _print_report(self, report: dict):</t>
        </is>
      </c>
    </row>
    <row r="234">
      <c r="A234" s="7" t="n">
        <v>231</v>
      </c>
      <c r="B234" s="8" t="inlineStr">
        <is>
          <t xml:space="preserve">        s = report["score"]</t>
        </is>
      </c>
    </row>
    <row r="235">
      <c r="A235" s="9" t="n">
        <v>232</v>
      </c>
      <c r="B235" s="10" t="inlineStr">
        <is>
          <t xml:space="preserve">        f = report["findings"]</t>
        </is>
      </c>
    </row>
    <row r="236">
      <c r="A236" s="7" t="n">
        <v>233</v>
      </c>
      <c r="B236" s="8" t="inlineStr">
        <is>
          <t xml:space="preserve">        m = report["metrics"]</t>
        </is>
      </c>
    </row>
    <row r="237">
      <c r="A237" s="9" t="n">
        <v>234</v>
      </c>
      <c r="B237" s="10" t="inlineStr">
        <is>
          <t xml:space="preserve">        plan = report["optimization_plan"]</t>
        </is>
      </c>
    </row>
    <row r="238">
      <c r="A238" s="7" t="n">
        <v>235</v>
      </c>
      <c r="B238" s="8" t="inlineStr"/>
    </row>
    <row r="239">
      <c r="A239" s="9" t="n">
        <v>236</v>
      </c>
      <c r="B239" s="10" t="inlineStr">
        <is>
          <t xml:space="preserve">        print("\n" + "=" * 55)</t>
        </is>
      </c>
    </row>
    <row r="240">
      <c r="A240" s="7" t="n">
        <v>237</v>
      </c>
      <c r="B240" s="8" t="inlineStr">
        <is>
          <t xml:space="preserve">        print(f"  综合评分: {s['score']}/100 ({s['grade']}级)")</t>
        </is>
      </c>
    </row>
    <row r="241">
      <c r="A241" s="9" t="n">
        <v>238</v>
      </c>
      <c r="B241" s="10" t="inlineStr">
        <is>
          <t xml:space="preserve">        print(f"  问题总数: {s['total_issues']} (严重{s['breakdown']['critical']}/高{s['breakdown']['high']}/中{s['breakdown']['medium']}/低{s['breakdown']['low']})")</t>
        </is>
      </c>
    </row>
    <row r="242">
      <c r="A242" s="7" t="n">
        <v>239</v>
      </c>
      <c r="B242" s="8" t="inlineStr">
        <is>
          <t xml:space="preserve">        print("=" * 55)</t>
        </is>
      </c>
    </row>
    <row r="243">
      <c r="A243" s="9" t="n">
        <v>240</v>
      </c>
      <c r="B243" s="10" t="inlineStr"/>
    </row>
    <row r="244">
      <c r="A244" s="7" t="n">
        <v>241</v>
      </c>
      <c r="B244" s="8" t="inlineStr">
        <is>
          <t xml:space="preserve">        if f["critical"]:</t>
        </is>
      </c>
    </row>
    <row r="245">
      <c r="A245" s="9" t="n">
        <v>242</v>
      </c>
      <c r="B245" s="10" t="inlineStr">
        <is>
          <t xml:space="preserve">            print(f"\n  🔴 严重 ({len(f['critical'])}项)")</t>
        </is>
      </c>
    </row>
    <row r="246">
      <c r="A246" s="7" t="n">
        <v>243</v>
      </c>
      <c r="B246" s="8" t="inlineStr">
        <is>
          <t xml:space="preserve">            for i in f["critical"]: print(f"    - {i}")</t>
        </is>
      </c>
    </row>
    <row r="247">
      <c r="A247" s="9" t="n">
        <v>244</v>
      </c>
      <c r="B247" s="10" t="inlineStr">
        <is>
          <t xml:space="preserve">        if f["high"]:</t>
        </is>
      </c>
    </row>
    <row r="248">
      <c r="A248" s="7" t="n">
        <v>245</v>
      </c>
      <c r="B248" s="8" t="inlineStr">
        <is>
          <t xml:space="preserve">            print(f"\n  🟠 重要 ({len(f['high'])}项)")</t>
        </is>
      </c>
    </row>
    <row r="249">
      <c r="A249" s="9" t="n">
        <v>246</v>
      </c>
      <c r="B249" s="10" t="inlineStr">
        <is>
          <t xml:space="preserve">            for i in f["high"]: print(f"    - {i}")</t>
        </is>
      </c>
    </row>
    <row r="250">
      <c r="A250" s="7" t="n">
        <v>247</v>
      </c>
      <c r="B250" s="8" t="inlineStr">
        <is>
          <t xml:space="preserve">        if f["medium"]:</t>
        </is>
      </c>
    </row>
    <row r="251">
      <c r="A251" s="9" t="n">
        <v>248</v>
      </c>
      <c r="B251" s="10" t="inlineStr">
        <is>
          <t xml:space="preserve">            print(f"\n  🟡 中等 ({len(f['medium'])}项)")</t>
        </is>
      </c>
    </row>
    <row r="252">
      <c r="A252" s="7" t="n">
        <v>249</v>
      </c>
      <c r="B252" s="8" t="inlineStr">
        <is>
          <t xml:space="preserve">            for i in f["medium"]: print(f"    - {i}")</t>
        </is>
      </c>
    </row>
    <row r="253">
      <c r="A253" s="9" t="n">
        <v>250</v>
      </c>
      <c r="B253" s="10" t="inlineStr"/>
    </row>
    <row r="254">
      <c r="A254" s="7" t="n">
        <v>251</v>
      </c>
      <c r="B254" s="8" t="inlineStr">
        <is>
          <t xml:space="preserve">        if m.get("material_health"):</t>
        </is>
      </c>
    </row>
    <row r="255">
      <c r="A255" s="9" t="n">
        <v>252</v>
      </c>
      <c r="B255" s="10" t="inlineStr">
        <is>
          <t xml:space="preserve">            h = m["material_health"]</t>
        </is>
      </c>
    </row>
    <row r="256">
      <c r="A256" s="7" t="n">
        <v>253</v>
      </c>
      <c r="B256" s="8" t="inlineStr">
        <is>
          <t xml:space="preserve">            print(f"\n  📊 素材库: {h['analyzed_videos']}视频, {h['total_segments']}片段, 标签覆盖{h['tag_coverage']}")</t>
        </is>
      </c>
    </row>
    <row r="257">
      <c r="A257" s="9" t="n">
        <v>254</v>
      </c>
      <c r="B257" s="10" t="inlineStr"/>
    </row>
    <row r="258">
      <c r="A258" s="7" t="n">
        <v>255</v>
      </c>
      <c r="B258" s="8" t="inlineStr">
        <is>
          <t xml:space="preserve">        print(f"\n  📋 优化计划 (TOP 5):")</t>
        </is>
      </c>
    </row>
    <row r="259">
      <c r="A259" s="9" t="n">
        <v>256</v>
      </c>
      <c r="B259" s="10" t="inlineStr">
        <is>
          <t xml:space="preserve">        for i, p in enumerate(plan[:5]):</t>
        </is>
      </c>
    </row>
    <row r="260">
      <c r="A260" s="7" t="n">
        <v>257</v>
      </c>
      <c r="B260" s="8" t="inlineStr">
        <is>
          <t xml:space="preserve">            print(f"    {i+1}. [{p['priority']}] {p['issue'][:60]}")</t>
        </is>
      </c>
    </row>
    <row r="261">
      <c r="A261" s="9" t="n">
        <v>258</v>
      </c>
      <c r="B261" s="10" t="inlineStr">
        <is>
          <t xml:space="preserve">            print(f"       → {p['suggested_action']}")</t>
        </is>
      </c>
    </row>
    <row r="262">
      <c r="A262" s="7" t="n">
        <v>259</v>
      </c>
      <c r="B262" s="8" t="inlineStr"/>
    </row>
    <row r="263">
      <c r="A263" s="9" t="n">
        <v>260</v>
      </c>
      <c r="B263" s="10" t="inlineStr">
        <is>
          <t xml:space="preserve">        print("\n" + "=" * 55)</t>
        </is>
      </c>
    </row>
    <row r="264">
      <c r="A264" s="7" t="n">
        <v>261</v>
      </c>
      <c r="B264" s="8" t="inlineStr">
        <is>
          <t xml:space="preserve">        print(f"  完整报告: {REPORT_OUT}")</t>
        </is>
      </c>
    </row>
    <row r="265">
      <c r="A265" s="9" t="n">
        <v>262</v>
      </c>
      <c r="B265" s="10" t="inlineStr">
        <is>
          <t xml:space="preserve">        print("=" * 55 + "\n")</t>
        </is>
      </c>
    </row>
    <row r="266">
      <c r="A266" s="7" t="n">
        <v>263</v>
      </c>
      <c r="B266" s="8" t="inlineStr"/>
    </row>
    <row r="267">
      <c r="A267" s="9" t="n">
        <v>264</v>
      </c>
      <c r="B267" s="10" t="inlineStr"/>
    </row>
    <row r="268">
      <c r="A268" s="7" t="n">
        <v>265</v>
      </c>
      <c r="B268" s="8" t="inlineStr">
        <is>
          <t>def main():</t>
        </is>
      </c>
    </row>
    <row r="269">
      <c r="A269" s="9" t="n">
        <v>266</v>
      </c>
      <c r="B269" s="10" t="inlineStr">
        <is>
          <t xml:space="preserve">    parser = argparse.ArgumentParser(description="坤宝岛台 审查复查系统")</t>
        </is>
      </c>
    </row>
    <row r="270">
      <c r="A270" s="7" t="n">
        <v>267</v>
      </c>
      <c r="B270" s="8" t="inlineStr">
        <is>
          <t xml:space="preserve">    parser.add_argument("--full", action="store_true", help="全量审查")</t>
        </is>
      </c>
    </row>
    <row r="271">
      <c r="A271" s="9" t="n">
        <v>268</v>
      </c>
      <c r="B271" s="10" t="inlineStr">
        <is>
          <t xml:space="preserve">    parser.add_argument("--quick", action="store_true", help="快速检查(仅系统完整性)")</t>
        </is>
      </c>
    </row>
    <row r="272">
      <c r="A272" s="7" t="n">
        <v>269</v>
      </c>
      <c r="B272" s="8" t="inlineStr">
        <is>
          <t xml:space="preserve">    parser.add_argument("--deep", action="store_true", help="深度审计(全量+标签质量)")</t>
        </is>
      </c>
    </row>
    <row r="273">
      <c r="A273" s="9" t="n">
        <v>270</v>
      </c>
      <c r="B273" s="10" t="inlineStr">
        <is>
          <t xml:space="preserve">    args = parser.parse_args()</t>
        </is>
      </c>
    </row>
    <row r="274">
      <c r="A274" s="7" t="n">
        <v>271</v>
      </c>
      <c r="B274" s="8" t="inlineStr"/>
    </row>
    <row r="275">
      <c r="A275" s="9" t="n">
        <v>272</v>
      </c>
      <c r="B275" s="10" t="inlineStr">
        <is>
          <t xml:space="preserve">    engine = AuditEngine()</t>
        </is>
      </c>
    </row>
    <row r="276">
      <c r="A276" s="7" t="n">
        <v>273</v>
      </c>
      <c r="B276" s="8" t="inlineStr"/>
    </row>
    <row r="277">
      <c r="A277" s="9" t="n">
        <v>274</v>
      </c>
      <c r="B277" s="10" t="inlineStr">
        <is>
          <t xml:space="preserve">    if args.quick:</t>
        </is>
      </c>
    </row>
    <row r="278">
      <c r="A278" s="7" t="n">
        <v>275</v>
      </c>
      <c r="B278" s="8" t="inlineStr">
        <is>
          <t xml:space="preserve">        print("快速系统检查...")</t>
        </is>
      </c>
    </row>
    <row r="279">
      <c r="A279" s="9" t="n">
        <v>276</v>
      </c>
      <c r="B279" s="10" t="inlineStr">
        <is>
          <t xml:space="preserve">        engine.audit_system_integrity()</t>
        </is>
      </c>
    </row>
    <row r="280">
      <c r="A280" s="7" t="n">
        <v>277</v>
      </c>
      <c r="B280" s="8" t="inlineStr">
        <is>
          <t xml:space="preserve">        s = engine.compute_score()</t>
        </is>
      </c>
    </row>
    <row r="281">
      <c r="A281" s="9" t="n">
        <v>278</v>
      </c>
      <c r="B281" s="10" t="inlineStr">
        <is>
          <t xml:space="preserve">        print(f"\n评分: {s['score']}/100 ({s['grade']}级)")</t>
        </is>
      </c>
    </row>
    <row r="282">
      <c r="A282" s="7" t="n">
        <v>279</v>
      </c>
      <c r="B282" s="8" t="inlineStr">
        <is>
          <t xml:space="preserve">    elif args.deep or args.full:</t>
        </is>
      </c>
    </row>
    <row r="283">
      <c r="A283" s="9" t="n">
        <v>280</v>
      </c>
      <c r="B283" s="10" t="inlineStr">
        <is>
          <t xml:space="preserve">        engine.run_full()</t>
        </is>
      </c>
    </row>
    <row r="284">
      <c r="A284" s="7" t="n">
        <v>281</v>
      </c>
      <c r="B284" s="8" t="inlineStr">
        <is>
          <t xml:space="preserve">    else:</t>
        </is>
      </c>
    </row>
    <row r="285">
      <c r="A285" s="9" t="n">
        <v>282</v>
      </c>
      <c r="B285" s="10" t="inlineStr">
        <is>
          <t xml:space="preserve">        engine.run_full()</t>
        </is>
      </c>
    </row>
    <row r="286">
      <c r="A286" s="7" t="n">
        <v>283</v>
      </c>
      <c r="B286" s="8" t="inlineStr"/>
    </row>
    <row r="287">
      <c r="A287" s="9" t="n">
        <v>284</v>
      </c>
      <c r="B287" s="10" t="inlineStr"/>
    </row>
    <row r="288">
      <c r="A288" s="7" t="n">
        <v>285</v>
      </c>
      <c r="B288" s="8" t="inlineStr">
        <is>
          <t>if __name__ == "__main__":</t>
        </is>
      </c>
    </row>
    <row r="289">
      <c r="A289" s="9" t="n">
        <v>286</v>
      </c>
      <c r="B289" s="10" t="inlineStr">
        <is>
          <t xml:space="preserve">    main()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scripts\archive_db.py</t>
        </is>
      </c>
      <c r="C1" s="5" t="inlineStr">
        <is>
          <t>行数: 119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TreeCut — 数据库归档脚本</t>
        </is>
      </c>
    </row>
    <row r="7">
      <c r="A7" s="9" t="n">
        <v>4</v>
      </c>
      <c r="B7" s="10">
        <f>===============================================================</f>
        <v/>
      </c>
    </row>
    <row r="8">
      <c r="A8" s="7" t="n">
        <v>5</v>
      </c>
      <c r="B8" s="8" t="inlineStr">
        <is>
          <t>将超过指定天数的旧素材记录迁移到 archive.db 中，减小主库体积。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用法:</t>
        </is>
      </c>
    </row>
    <row r="11">
      <c r="A11" s="9" t="n">
        <v>8</v>
      </c>
      <c r="B11" s="10" t="inlineStr">
        <is>
          <t xml:space="preserve">  python scripts/archive_db.py              # 默认归档365天之前的记录</t>
        </is>
      </c>
    </row>
    <row r="12">
      <c r="A12" s="7" t="n">
        <v>9</v>
      </c>
      <c r="B12" s="8" t="inlineStr">
        <is>
          <t xml:space="preserve">  python scripts/archive_db.py --days 180   # 归档180天之前的</t>
        </is>
      </c>
    </row>
    <row r="13">
      <c r="A13" s="9" t="n">
        <v>10</v>
      </c>
      <c r="B13" s="10" t="inlineStr">
        <is>
          <t xml:space="preserve">  python scripts/archive_db.py --dry-run    # 预览但不执行</t>
        </is>
      </c>
    </row>
    <row r="14">
      <c r="A14" s="7" t="n">
        <v>11</v>
      </c>
      <c r="B14" s="8" t="inlineStr">
        <is>
          <t>"""</t>
        </is>
      </c>
    </row>
    <row r="15">
      <c r="A15" s="9" t="n">
        <v>12</v>
      </c>
      <c r="B15" s="10" t="inlineStr">
        <is>
          <t>import sys</t>
        </is>
      </c>
    </row>
    <row r="16">
      <c r="A16" s="7" t="n">
        <v>13</v>
      </c>
      <c r="B16" s="8" t="inlineStr">
        <is>
          <t>import sqlite3</t>
        </is>
      </c>
    </row>
    <row r="17">
      <c r="A17" s="9" t="n">
        <v>14</v>
      </c>
      <c r="B17" s="10" t="inlineStr">
        <is>
          <t>import argparse</t>
        </is>
      </c>
    </row>
    <row r="18">
      <c r="A18" s="7" t="n">
        <v>15</v>
      </c>
      <c r="B18" s="8" t="inlineStr">
        <is>
          <t>from pathlib import Path</t>
        </is>
      </c>
    </row>
    <row r="19">
      <c r="A19" s="9" t="n">
        <v>16</v>
      </c>
      <c r="B19" s="10" t="inlineStr">
        <is>
          <t>from datetime import datetime, timedelta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PROJECT_ROOT = Path(__file__).parent.parent</t>
        </is>
      </c>
    </row>
    <row r="22">
      <c r="A22" s="7" t="n">
        <v>19</v>
      </c>
      <c r="B22" s="8" t="inlineStr">
        <is>
          <t>DB_PATH = PROJECT_ROOT / "ai_material_library.db"</t>
        </is>
      </c>
    </row>
    <row r="23">
      <c r="A23" s="9" t="n">
        <v>20</v>
      </c>
      <c r="B23" s="10" t="inlineStr">
        <is>
          <t>ARCHIVE_PATH = PROJECT_ROOT / "archive.db"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def archive(days: int = 365, dry_run: bool = False):</t>
        </is>
      </c>
    </row>
    <row r="27">
      <c r="A27" s="9" t="n">
        <v>24</v>
      </c>
      <c r="B27" s="10" t="inlineStr">
        <is>
          <t xml:space="preserve">    cutoff = (datetime.now() - timedelta(days=days)).strftime("%Y-%m-%d")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 xml:space="preserve">    print(f"  主库: {DB_PATH}")</t>
        </is>
      </c>
    </row>
    <row r="30">
      <c r="A30" s="7" t="n">
        <v>27</v>
      </c>
      <c r="B30" s="8" t="inlineStr">
        <is>
          <t xml:space="preserve">    print(f"  归档库: {ARCHIVE_PATH}")</t>
        </is>
      </c>
    </row>
    <row r="31">
      <c r="A31" s="9" t="n">
        <v>28</v>
      </c>
      <c r="B31" s="10" t="inlineStr">
        <is>
          <t xml:space="preserve">    print(f"  截止日期: {cutoff} ({days}天前)")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 xml:space="preserve">    if not DB_PATH.exists():</t>
        </is>
      </c>
    </row>
    <row r="34">
      <c r="A34" s="7" t="n">
        <v>31</v>
      </c>
      <c r="B34" s="8" t="inlineStr">
        <is>
          <t xml:space="preserve">        print("[ERROR] 主库不存在")</t>
        </is>
      </c>
    </row>
    <row r="35">
      <c r="A35" s="9" t="n">
        <v>32</v>
      </c>
      <c r="B35" s="10" t="inlineStr">
        <is>
          <t xml:space="preserve">        return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 xml:space="preserve">    conn = sqlite3.connect(str(DB_PATH))</t>
        </is>
      </c>
    </row>
    <row r="38">
      <c r="A38" s="7" t="n">
        <v>35</v>
      </c>
      <c r="B38" s="8" t="inlineStr">
        <is>
          <t xml:space="preserve">    tables = conn.execute(</t>
        </is>
      </c>
    </row>
    <row r="39">
      <c r="A39" s="9" t="n">
        <v>36</v>
      </c>
      <c r="B39" s="10" t="inlineStr">
        <is>
          <t xml:space="preserve">        "SELECT name FROM sqlite_master WHERE type='table'"</t>
        </is>
      </c>
    </row>
    <row r="40">
      <c r="A40" s="7" t="n">
        <v>37</v>
      </c>
      <c r="B40" s="8" t="inlineStr">
        <is>
          <t xml:space="preserve">    ).fetchall()</t>
        </is>
      </c>
    </row>
    <row r="41">
      <c r="A41" s="9" t="n">
        <v>38</v>
      </c>
      <c r="B41" s="10" t="inlineStr">
        <is>
          <t xml:space="preserve">    table_names = [t[0] for t in tables]</t>
        </is>
      </c>
    </row>
    <row r="42">
      <c r="A42" s="7" t="n">
        <v>39</v>
      </c>
      <c r="B42" s="8" t="inlineStr">
        <is>
          <t xml:space="preserve">    print(f"\n  表: {table_names}")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 xml:space="preserve">    total_old = 0</t>
        </is>
      </c>
    </row>
    <row r="45">
      <c r="A45" s="9" t="n">
        <v>42</v>
      </c>
      <c r="B45" s="10" t="inlineStr">
        <is>
          <t xml:space="preserve">    for tname in table_names:</t>
        </is>
      </c>
    </row>
    <row r="46">
      <c r="A46" s="7" t="n">
        <v>43</v>
      </c>
      <c r="B46" s="8" t="inlineStr">
        <is>
          <t xml:space="preserve">        # 检查表是否有 created_time / created_at 字段</t>
        </is>
      </c>
    </row>
    <row r="47">
      <c r="A47" s="9" t="n">
        <v>44</v>
      </c>
      <c r="B47" s="10" t="inlineStr">
        <is>
          <t xml:space="preserve">        cols = [c[1] for c in conn.execute(f"PRAGMA table_info({tname})").fetchall()]</t>
        </is>
      </c>
    </row>
    <row r="48">
      <c r="A48" s="7" t="n">
        <v>45</v>
      </c>
      <c r="B48" s="8" t="inlineStr">
        <is>
          <t xml:space="preserve">        time_col = None</t>
        </is>
      </c>
    </row>
    <row r="49">
      <c r="A49" s="9" t="n">
        <v>46</v>
      </c>
      <c r="B49" s="10" t="inlineStr">
        <is>
          <t xml:space="preserve">        for tc in ["created_time", "created_at", "last_checked"]:</t>
        </is>
      </c>
    </row>
    <row r="50">
      <c r="A50" s="7" t="n">
        <v>47</v>
      </c>
      <c r="B50" s="8" t="inlineStr">
        <is>
          <t xml:space="preserve">            if tc in cols:</t>
        </is>
      </c>
    </row>
    <row r="51">
      <c r="A51" s="9" t="n">
        <v>48</v>
      </c>
      <c r="B51" s="10" t="inlineStr">
        <is>
          <t xml:space="preserve">                time_col = tc</t>
        </is>
      </c>
    </row>
    <row r="52">
      <c r="A52" s="7" t="n">
        <v>49</v>
      </c>
      <c r="B52" s="8" t="inlineStr">
        <is>
          <t xml:space="preserve">                break</t>
        </is>
      </c>
    </row>
    <row r="53">
      <c r="A53" s="9" t="n">
        <v>50</v>
      </c>
      <c r="B53" s="10" t="inlineStr">
        <is>
          <t xml:space="preserve">        if not time_col:</t>
        </is>
      </c>
    </row>
    <row r="54">
      <c r="A54" s="7" t="n">
        <v>51</v>
      </c>
      <c r="B54" s="8" t="inlineStr">
        <is>
          <t xml:space="preserve">            print(f"  [{tname}] 无时间字段，跳过")</t>
        </is>
      </c>
    </row>
    <row r="55">
      <c r="A55" s="9" t="n">
        <v>52</v>
      </c>
      <c r="B55" s="10" t="inlineStr">
        <is>
          <t xml:space="preserve">            continue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    count = conn.execute(</t>
        </is>
      </c>
    </row>
    <row r="58">
      <c r="A58" s="7" t="n">
        <v>55</v>
      </c>
      <c r="B58" s="8" t="inlineStr">
        <is>
          <t xml:space="preserve">            f"SELECT COUNT(*) FROM {tname} WHERE {time_col} &lt; ?",</t>
        </is>
      </c>
    </row>
    <row r="59">
      <c r="A59" s="9" t="n">
        <v>56</v>
      </c>
      <c r="B59" s="10" t="inlineStr">
        <is>
          <t xml:space="preserve">            (cutoff,)</t>
        </is>
      </c>
    </row>
    <row r="60">
      <c r="A60" s="7" t="n">
        <v>57</v>
      </c>
      <c r="B60" s="8" t="inlineStr">
        <is>
          <t xml:space="preserve">        ).fetchone()[0]</t>
        </is>
      </c>
    </row>
    <row r="61">
      <c r="A61" s="9" t="n">
        <v>58</v>
      </c>
      <c r="B61" s="10" t="inlineStr">
        <is>
          <t xml:space="preserve">        if count &gt; 0:</t>
        </is>
      </c>
    </row>
    <row r="62">
      <c r="A62" s="7" t="n">
        <v>59</v>
      </c>
      <c r="B62" s="8" t="inlineStr">
        <is>
          <t xml:space="preserve">            print(f"  [{tname}] {count} 条旧记录")</t>
        </is>
      </c>
    </row>
    <row r="63">
      <c r="A63" s="9" t="n">
        <v>60</v>
      </c>
      <c r="B63" s="10" t="inlineStr">
        <is>
          <t xml:space="preserve">            total_old += count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 xml:space="preserve">    conn.close()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if total_old == 0:</t>
        </is>
      </c>
    </row>
    <row r="68">
      <c r="A68" s="7" t="n">
        <v>65</v>
      </c>
      <c r="B68" s="8" t="inlineStr">
        <is>
          <t xml:space="preserve">        print("\n[OK] 无需要归档的旧记录")</t>
        </is>
      </c>
    </row>
    <row r="69">
      <c r="A69" s="9" t="n">
        <v>66</v>
      </c>
      <c r="B69" s="10" t="inlineStr">
        <is>
          <t xml:space="preserve">        return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if dry_run:</t>
        </is>
      </c>
    </row>
    <row r="72">
      <c r="A72" s="7" t="n">
        <v>69</v>
      </c>
      <c r="B72" s="8" t="inlineStr">
        <is>
          <t xml:space="preserve">        print(f"\n[DRY-RUN] 将归档 {total_old} 条记录 (未执行)")</t>
        </is>
      </c>
    </row>
    <row r="73">
      <c r="A73" s="9" t="n">
        <v>70</v>
      </c>
      <c r="B73" s="10" t="inlineStr">
        <is>
          <t xml:space="preserve">        return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# 执行归档</t>
        </is>
      </c>
    </row>
    <row r="76">
      <c r="A76" s="7" t="n">
        <v>73</v>
      </c>
      <c r="B76" s="8" t="inlineStr">
        <is>
          <t xml:space="preserve">    conn = sqlite3.connect(str(DB_PATH))</t>
        </is>
      </c>
    </row>
    <row r="77">
      <c r="A77" s="9" t="n">
        <v>74</v>
      </c>
      <c r="B77" s="10" t="inlineStr">
        <is>
          <t xml:space="preserve">    conn.execute(f"ATTACH DATABASE '{ARCHIVE_PATH}' AS archive")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 xml:space="preserve">    for tname in table_names:</t>
        </is>
      </c>
    </row>
    <row r="80">
      <c r="A80" s="7" t="n">
        <v>77</v>
      </c>
      <c r="B80" s="8" t="inlineStr">
        <is>
          <t xml:space="preserve">        cols = [c[1] for c in conn.execute(f"PRAGMA table_info({tname})").fetchall()]</t>
        </is>
      </c>
    </row>
    <row r="81">
      <c r="A81" s="9" t="n">
        <v>78</v>
      </c>
      <c r="B81" s="10" t="inlineStr">
        <is>
          <t xml:space="preserve">        time_col = None</t>
        </is>
      </c>
    </row>
    <row r="82">
      <c r="A82" s="7" t="n">
        <v>79</v>
      </c>
      <c r="B82" s="8" t="inlineStr">
        <is>
          <t xml:space="preserve">        for tc in ["created_time", "created_at", "last_checked"]:</t>
        </is>
      </c>
    </row>
    <row r="83">
      <c r="A83" s="9" t="n">
        <v>80</v>
      </c>
      <c r="B83" s="10" t="inlineStr">
        <is>
          <t xml:space="preserve">            if tc in cols:</t>
        </is>
      </c>
    </row>
    <row r="84">
      <c r="A84" s="7" t="n">
        <v>81</v>
      </c>
      <c r="B84" s="8" t="inlineStr">
        <is>
          <t xml:space="preserve">                time_col = tc</t>
        </is>
      </c>
    </row>
    <row r="85">
      <c r="A85" s="9" t="n">
        <v>82</v>
      </c>
      <c r="B85" s="10" t="inlineStr">
        <is>
          <t xml:space="preserve">                break</t>
        </is>
      </c>
    </row>
    <row r="86">
      <c r="A86" s="7" t="n">
        <v>83</v>
      </c>
      <c r="B86" s="8" t="inlineStr">
        <is>
          <t xml:space="preserve">        if not time_col:</t>
        </is>
      </c>
    </row>
    <row r="87">
      <c r="A87" s="9" t="n">
        <v>84</v>
      </c>
      <c r="B87" s="10" t="inlineStr">
        <is>
          <t xml:space="preserve">            continue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 xml:space="preserve">        try:</t>
        </is>
      </c>
    </row>
    <row r="90">
      <c r="A90" s="7" t="n">
        <v>87</v>
      </c>
      <c r="B90" s="8" t="inlineStr">
        <is>
          <t xml:space="preserve">            # 创建归档表</t>
        </is>
      </c>
    </row>
    <row r="91">
      <c r="A91" s="9" t="n">
        <v>88</v>
      </c>
      <c r="B91" s="10" t="inlineStr">
        <is>
          <t xml:space="preserve">            conn.execute(</t>
        </is>
      </c>
    </row>
    <row r="92">
      <c r="A92" s="7" t="n">
        <v>89</v>
      </c>
      <c r="B92" s="8" t="inlineStr">
        <is>
          <t xml:space="preserve">                f"CREATE TABLE IF NOT EXISTS archive.{tname} "</t>
        </is>
      </c>
    </row>
    <row r="93">
      <c r="A93" s="9" t="n">
        <v>90</v>
      </c>
      <c r="B93" s="10" t="inlineStr">
        <is>
          <t xml:space="preserve">                f"AS SELECT * FROM main.{tname} WHERE 1=0"</t>
        </is>
      </c>
    </row>
    <row r="94">
      <c r="A94" s="7" t="n">
        <v>91</v>
      </c>
      <c r="B94" s="8" t="inlineStr">
        <is>
          <t xml:space="preserve">            )</t>
        </is>
      </c>
    </row>
    <row r="95">
      <c r="A95" s="9" t="n">
        <v>92</v>
      </c>
      <c r="B95" s="10" t="inlineStr">
        <is>
          <t xml:space="preserve">            # 迁移旧数据</t>
        </is>
      </c>
    </row>
    <row r="96">
      <c r="A96" s="7" t="n">
        <v>93</v>
      </c>
      <c r="B96" s="8" t="inlineStr">
        <is>
          <t xml:space="preserve">            conn.execute(</t>
        </is>
      </c>
    </row>
    <row r="97">
      <c r="A97" s="9" t="n">
        <v>94</v>
      </c>
      <c r="B97" s="10" t="inlineStr">
        <is>
          <t xml:space="preserve">                f"INSERT INTO archive.{tname} SELECT * FROM main.{tname} "</t>
        </is>
      </c>
    </row>
    <row r="98">
      <c r="A98" s="7" t="n">
        <v>95</v>
      </c>
      <c r="B98" s="8" t="inlineStr">
        <is>
          <t xml:space="preserve">                f"WHERE {time_col} &lt; ?", (cutoff,)</t>
        </is>
      </c>
    </row>
    <row r="99">
      <c r="A99" s="9" t="n">
        <v>96</v>
      </c>
      <c r="B99" s="10" t="inlineStr">
        <is>
          <t xml:space="preserve">            )</t>
        </is>
      </c>
    </row>
    <row r="100">
      <c r="A100" s="7" t="n">
        <v>97</v>
      </c>
      <c r="B100" s="8" t="inlineStr">
        <is>
          <t xml:space="preserve">            # 删除主库旧数据</t>
        </is>
      </c>
    </row>
    <row r="101">
      <c r="A101" s="9" t="n">
        <v>98</v>
      </c>
      <c r="B101" s="10" t="inlineStr">
        <is>
          <t xml:space="preserve">            conn.execute(</t>
        </is>
      </c>
    </row>
    <row r="102">
      <c r="A102" s="7" t="n">
        <v>99</v>
      </c>
      <c r="B102" s="8" t="inlineStr">
        <is>
          <t xml:space="preserve">                f"DELETE FROM main.{tname} WHERE {time_col} &lt; ?", (cutoff,)</t>
        </is>
      </c>
    </row>
    <row r="103">
      <c r="A103" s="9" t="n">
        <v>100</v>
      </c>
      <c r="B103" s="10" t="inlineStr">
        <is>
          <t xml:space="preserve">            )</t>
        </is>
      </c>
    </row>
    <row r="104">
      <c r="A104" s="7" t="n">
        <v>101</v>
      </c>
      <c r="B104" s="8" t="inlineStr">
        <is>
          <t xml:space="preserve">            print(f"  [{tname}] 已归档并清理")</t>
        </is>
      </c>
    </row>
    <row r="105">
      <c r="A105" s="9" t="n">
        <v>102</v>
      </c>
      <c r="B105" s="10" t="inlineStr">
        <is>
          <t xml:space="preserve">        except Exception as e:</t>
        </is>
      </c>
    </row>
    <row r="106">
      <c r="A106" s="7" t="n">
        <v>103</v>
      </c>
      <c r="B106" s="8" t="inlineStr">
        <is>
          <t xml:space="preserve">            print(f"  [{tname}] 归档失败: {e}")</t>
        </is>
      </c>
    </row>
    <row r="107">
      <c r="A107" s="9" t="n">
        <v>104</v>
      </c>
      <c r="B107" s="10" t="inlineStr"/>
    </row>
    <row r="108">
      <c r="A108" s="7" t="n">
        <v>105</v>
      </c>
      <c r="B108" s="8" t="inlineStr">
        <is>
          <t xml:space="preserve">    conn.execute("VACUUM")</t>
        </is>
      </c>
    </row>
    <row r="109">
      <c r="A109" s="9" t="n">
        <v>106</v>
      </c>
      <c r="B109" s="10" t="inlineStr">
        <is>
          <t xml:space="preserve">    conn.commit()</t>
        </is>
      </c>
    </row>
    <row r="110">
      <c r="A110" s="7" t="n">
        <v>107</v>
      </c>
      <c r="B110" s="8" t="inlineStr">
        <is>
          <t xml:space="preserve">    conn.close()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 xml:space="preserve">    new_size = DB_PATH.stat().st_size / 1e6</t>
        </is>
      </c>
    </row>
    <row r="113">
      <c r="A113" s="9" t="n">
        <v>110</v>
      </c>
      <c r="B113" s="10" t="inlineStr">
        <is>
          <t xml:space="preserve">    print(f"\n[OK] 归档完成! 主库大小: {new_size:.1f} MB")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/>
    </row>
    <row r="116">
      <c r="A116" s="7" t="n">
        <v>113</v>
      </c>
      <c r="B116" s="8" t="inlineStr">
        <is>
          <t>if __name__ == "__main__":</t>
        </is>
      </c>
    </row>
    <row r="117">
      <c r="A117" s="9" t="n">
        <v>114</v>
      </c>
      <c r="B117" s="10" t="inlineStr">
        <is>
          <t xml:space="preserve">    parser = argparse.ArgumentParser(description="TreeCut DB Archiver")</t>
        </is>
      </c>
    </row>
    <row r="118">
      <c r="A118" s="7" t="n">
        <v>115</v>
      </c>
      <c r="B118" s="8" t="inlineStr">
        <is>
          <t xml:space="preserve">    parser.add_argument("--days", type=int, default=365, help="多少天前的记录归档")</t>
        </is>
      </c>
    </row>
    <row r="119">
      <c r="A119" s="9" t="n">
        <v>116</v>
      </c>
      <c r="B119" s="10" t="inlineStr">
        <is>
          <t xml:space="preserve">    parser.add_argument("--dry-run", action="store_true", help="仅预览")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 xml:space="preserve">    args = parser.parse_args()</t>
        </is>
      </c>
    </row>
    <row r="122">
      <c r="A122" s="7" t="n">
        <v>119</v>
      </c>
      <c r="B122" s="8" t="inlineStr">
        <is>
          <t xml:space="preserve">    archive(days=args.days, dry_run=args.dry_run)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scripts\check_material_analysis.py</t>
        </is>
      </c>
      <c r="C1" s="5" t="inlineStr">
        <is>
          <t>行数: 56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"""素材分析状态诊断 — 检查 objects/标签/embedding 覆盖率"""</t>
        </is>
      </c>
    </row>
    <row r="6">
      <c r="A6" s="7" t="n">
        <v>3</v>
      </c>
      <c r="B6" s="8" t="inlineStr">
        <is>
          <t>import sys, sqlite3</t>
        </is>
      </c>
    </row>
    <row r="7">
      <c r="A7" s="9" t="n">
        <v>4</v>
      </c>
      <c r="B7" s="10" t="inlineStr">
        <is>
          <t>from pathlib import Path</t>
        </is>
      </c>
    </row>
    <row r="8">
      <c r="A8" s="7" t="n">
        <v>5</v>
      </c>
      <c r="B8" s="8" t="inlineStr">
        <is>
          <t>sys.path.insert(0, str(Path(__file__).parent.parent))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DB = Path("ai_material_library.db")</t>
        </is>
      </c>
    </row>
    <row r="11">
      <c r="A11" s="9" t="n">
        <v>8</v>
      </c>
      <c r="B11" s="10" t="inlineStr">
        <is>
          <t>if not DB.exists():</t>
        </is>
      </c>
    </row>
    <row r="12">
      <c r="A12" s="7" t="n">
        <v>9</v>
      </c>
      <c r="B12" s="8" t="inlineStr">
        <is>
          <t xml:space="preserve">    print("[FAIL] ai_material_library.db 不存在"); sys.exit(1)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conn = sqlite3.connect(str(DB))</t>
        </is>
      </c>
    </row>
    <row r="15">
      <c r="A15" s="9" t="n">
        <v>12</v>
      </c>
      <c r="B15" s="10" t="inlineStr">
        <is>
          <t>total = conn.execute("SELECT COUNT(*) FROM materials").fetchone()[0]</t>
        </is>
      </c>
    </row>
    <row r="16">
      <c r="A16" s="7" t="n">
        <v>13</v>
      </c>
      <c r="B16" s="8" t="inlineStr">
        <is>
          <t>analyzed = conn.execute("SELECT COUNT(*) FROM materials WHERE analyzed=1").fetchone()[0]</t>
        </is>
      </c>
    </row>
    <row r="17">
      <c r="A17" s="9" t="n">
        <v>14</v>
      </c>
      <c r="B17" s="10" t="inlineStr">
        <is>
          <t>has_tags = conn.execute("SELECT COUNT(*) FROM materials WHERE tags != ''").fetchone()[0]</t>
        </is>
      </c>
    </row>
    <row r="18">
      <c r="A18" s="7" t="n">
        <v>15</v>
      </c>
      <c r="B18" s="8" t="inlineStr">
        <is>
          <t>has_objects = conn.execute("SELECT COUNT(*) FROM materials WHERE objects != ''").fetchone()[0]</t>
        </is>
      </c>
    </row>
    <row r="19">
      <c r="A19" s="9" t="n">
        <v>16</v>
      </c>
      <c r="B19" s="10" t="inlineStr">
        <is>
          <t>has_embed = conn.execute("SELECT COUNT(*) FROM materials WHERE embedding IS NOT NULL").fetchone()[0]</t>
        </is>
      </c>
    </row>
    <row r="20">
      <c r="A20" s="7" t="n">
        <v>17</v>
      </c>
      <c r="B20" s="8" t="inlineStr">
        <is>
          <t>has_tags_objects = conn.execute("SELECT COUNT(*) FROM materials WHERE tags != '' AND objects != ''").fetchone()[0]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>print("=" * 55)</t>
        </is>
      </c>
    </row>
    <row r="23">
      <c r="A23" s="9" t="n">
        <v>20</v>
      </c>
      <c r="B23" s="10" t="inlineStr">
        <is>
          <t>print("  素材分析状态诊断")</t>
        </is>
      </c>
    </row>
    <row r="24">
      <c r="A24" s="7" t="n">
        <v>21</v>
      </c>
      <c r="B24" s="8" t="inlineStr">
        <is>
          <t>print("=" * 55)</t>
        </is>
      </c>
    </row>
    <row r="25">
      <c r="A25" s="9" t="n">
        <v>22</v>
      </c>
      <c r="B25" s="10" t="inlineStr">
        <is>
          <t>print(f"  总素材:        {total:&gt;8,}")</t>
        </is>
      </c>
    </row>
    <row r="26">
      <c r="A26" s="7" t="n">
        <v>23</v>
      </c>
      <c r="B26" s="8" t="inlineStr">
        <is>
          <t>print(f"  已分析:        {analyzed:&gt;8,}  ({analyzed/max(total,1)*100:.1f}%)")</t>
        </is>
      </c>
    </row>
    <row r="27">
      <c r="A27" s="9" t="n">
        <v>24</v>
      </c>
      <c r="B27" s="10" t="inlineStr">
        <is>
          <t>print(f"  有 tags:       {has_tags:&gt;8,}  ({has_tags/max(total,1)*100:.1f}%)")</t>
        </is>
      </c>
    </row>
    <row r="28">
      <c r="A28" s="7" t="n">
        <v>25</v>
      </c>
      <c r="B28" s="8" t="inlineStr">
        <is>
          <t>print(f"  有 objects:    {has_objects:&gt;8,}  ({has_objects/max(total,1)*100:.1f}%)")</t>
        </is>
      </c>
    </row>
    <row r="29">
      <c r="A29" s="9" t="n">
        <v>26</v>
      </c>
      <c r="B29" s="10" t="inlineStr">
        <is>
          <t>print(f"  有 tags+objects:{has_tags_objects:&gt;8,}")</t>
        </is>
      </c>
    </row>
    <row r="30">
      <c r="A30" s="7" t="n">
        <v>27</v>
      </c>
      <c r="B30" s="8" t="inlineStr">
        <is>
          <t>print(f"  有 embedding:  {has_embed:&gt;8,}  ({has_embed/max(total,1)*100:.1f}%)")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># Check for human-labeled materials</t>
        </is>
      </c>
    </row>
    <row r="33">
      <c r="A33" s="9" t="n">
        <v>30</v>
      </c>
      <c r="B33" s="10" t="inlineStr">
        <is>
          <t>human = conn.execute("""</t>
        </is>
      </c>
    </row>
    <row r="34">
      <c r="A34" s="7" t="n">
        <v>31</v>
      </c>
      <c r="B34" s="8" t="inlineStr">
        <is>
          <t xml:space="preserve">    SELECT COUNT(*) FROM materials</t>
        </is>
      </c>
    </row>
    <row r="35">
      <c r="A35" s="9" t="n">
        <v>32</v>
      </c>
      <c r="B35" s="10" t="inlineStr">
        <is>
          <t xml:space="preserve">    WHERE objects LIKE '%人像%' OR objects LIKE '%人物%' OR objects LIKE '%口播%'</t>
        </is>
      </c>
    </row>
    <row r="36">
      <c r="A36" s="7" t="n">
        <v>33</v>
      </c>
      <c r="B36" s="8" t="inlineStr">
        <is>
          <t xml:space="preserve">    OR objects LIKE '%person%' OR objects LIKE '%face%'</t>
        </is>
      </c>
    </row>
    <row r="37">
      <c r="A37" s="9" t="n">
        <v>34</v>
      </c>
      <c r="B37" s="10" t="inlineStr">
        <is>
          <t xml:space="preserve">    OR tags LIKE '%人像%' OR tags LIKE '%人物%' OR tags LIKE '%口播%'""").fetchone()[0]</t>
        </is>
      </c>
    </row>
    <row r="38">
      <c r="A38" s="7" t="n">
        <v>35</v>
      </c>
      <c r="B38" s="8" t="inlineStr">
        <is>
          <t>print(f"  检测到人像素材: {human:&gt;6}")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># FAISS index</t>
        </is>
      </c>
    </row>
    <row r="41">
      <c r="A41" s="9" t="n">
        <v>38</v>
      </c>
      <c r="B41" s="10" t="inlineStr">
        <is>
          <t>faiss_path = Path("shipin/material_faiss.index")</t>
        </is>
      </c>
    </row>
    <row r="42">
      <c r="A42" s="7" t="n">
        <v>39</v>
      </c>
      <c r="B42" s="8" t="inlineStr">
        <is>
          <t>if faiss_path.exists():</t>
        </is>
      </c>
    </row>
    <row r="43">
      <c r="A43" s="9" t="n">
        <v>40</v>
      </c>
      <c r="B43" s="10" t="inlineStr">
        <is>
          <t xml:space="preserve">    import faiss</t>
        </is>
      </c>
    </row>
    <row r="44">
      <c r="A44" s="7" t="n">
        <v>41</v>
      </c>
      <c r="B44" s="8" t="inlineStr">
        <is>
          <t xml:space="preserve">    idx = faiss.read_index(str(faiss_path))</t>
        </is>
      </c>
    </row>
    <row r="45">
      <c r="A45" s="9" t="n">
        <v>42</v>
      </c>
      <c r="B45" s="10" t="inlineStr">
        <is>
          <t xml:space="preserve">    print(f"  FAISS:          {idx.ntotal:&gt;8,} 向量, {idx.d}维")</t>
        </is>
      </c>
    </row>
    <row r="46">
      <c r="A46" s="7" t="n">
        <v>43</v>
      </c>
      <c r="B46" s="8" t="inlineStr">
        <is>
          <t>else:</t>
        </is>
      </c>
    </row>
    <row r="47">
      <c r="A47" s="9" t="n">
        <v>44</v>
      </c>
      <c r="B47" s="10" t="inlineStr">
        <is>
          <t xml:space="preserve">    print(f"  FAISS:          [MISSING]")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>print()</t>
        </is>
      </c>
    </row>
    <row r="50">
      <c r="A50" s="7" t="n">
        <v>47</v>
      </c>
      <c r="B50" s="8" t="inlineStr">
        <is>
          <t>if has_objects &lt; total * 0.3:</t>
        </is>
      </c>
    </row>
    <row r="51">
      <c r="A51" s="9" t="n">
        <v>48</v>
      </c>
      <c r="B51" s="10" t="inlineStr">
        <is>
          <t xml:space="preserve">    print("[ACTION] objects 覆盖率低 — 运行素材库扫描生成标签:")</t>
        </is>
      </c>
    </row>
    <row r="52">
      <c r="A52" s="7" t="n">
        <v>49</v>
      </c>
      <c r="B52" s="8" t="inlineStr">
        <is>
          <t xml:space="preserve">    print("  1. 打开树剪 → 素材库 → 刷新 → 开始批量分析")</t>
        </is>
      </c>
    </row>
    <row r="53">
      <c r="A53" s="9" t="n">
        <v>50</v>
      </c>
      <c r="B53" s="10" t="inlineStr">
        <is>
          <t xml:space="preserve">    print("  2. 或运行: python -c \"from core.analyzer import VideoAnalyzer; ...\"")</t>
        </is>
      </c>
    </row>
    <row r="54">
      <c r="A54" s="7" t="n">
        <v>51</v>
      </c>
      <c r="B54" s="8" t="inlineStr">
        <is>
          <t>if has_embed &lt; total * 0.1:</t>
        </is>
      </c>
    </row>
    <row r="55">
      <c r="A55" s="9" t="n">
        <v>52</v>
      </c>
      <c r="B55" s="10" t="inlineStr">
        <is>
          <t xml:space="preserve">    print("[ACTION] embedding 覆盖率低 — 运行:")</t>
        </is>
      </c>
    </row>
    <row r="56">
      <c r="A56" s="7" t="n">
        <v>53</v>
      </c>
      <c r="B56" s="8" t="inlineStr">
        <is>
          <t xml:space="preserve">    print("  python force_rebuild_faiss.py")</t>
        </is>
      </c>
    </row>
    <row r="57">
      <c r="A57" s="9" t="n">
        <v>54</v>
      </c>
      <c r="B57" s="10" t="inlineStr">
        <is>
          <t>if human == 0 and has_objects &gt; 0:</t>
        </is>
      </c>
    </row>
    <row r="58">
      <c r="A58" s="7" t="n">
        <v>55</v>
      </c>
      <c r="B58" s="8" t="inlineStr">
        <is>
          <t xml:space="preserve">    print("[INFO] 未检测到人像标签 — 人像过滤依赖 objects 字段")</t>
        </is>
      </c>
    </row>
    <row r="59">
      <c r="A59" s="9" t="n">
        <v>56</v>
      </c>
      <c r="B59" s="10" t="inlineStr">
        <is>
          <t>conn.close()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scripts\check_smart_matching.py</t>
        </is>
      </c>
      <c r="C1" s="5" t="inlineStr">
        <is>
          <t>行数: 64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"""智能匹配诊断脚本 - 检查 FAISS、知识库、分析状态是否就绪"""</t>
        </is>
      </c>
    </row>
    <row r="6">
      <c r="A6" s="7" t="n">
        <v>3</v>
      </c>
      <c r="B6" s="8" t="inlineStr">
        <is>
          <t>import sys</t>
        </is>
      </c>
    </row>
    <row r="7">
      <c r="A7" s="9" t="n">
        <v>4</v>
      </c>
      <c r="B7" s="10" t="inlineStr">
        <is>
          <t>from pathlib import Path</t>
        </is>
      </c>
    </row>
    <row r="8">
      <c r="A8" s="7" t="n">
        <v>5</v>
      </c>
      <c r="B8" s="8" t="inlineStr">
        <is>
          <t>sys.path.insert(0, str(Path(__file__).parent.parent))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def main():</t>
        </is>
      </c>
    </row>
    <row r="11">
      <c r="A11" s="9" t="n">
        <v>8</v>
      </c>
      <c r="B11" s="10" t="inlineStr">
        <is>
          <t xml:space="preserve">    print("=" * 60)</t>
        </is>
      </c>
    </row>
    <row r="12">
      <c r="A12" s="7" t="n">
        <v>9</v>
      </c>
      <c r="B12" s="8" t="inlineStr">
        <is>
          <t xml:space="preserve">    print("  树剪智能匹配诊断工具")</t>
        </is>
      </c>
    </row>
    <row r="13">
      <c r="A13" s="9" t="n">
        <v>10</v>
      </c>
      <c r="B13" s="10" t="inlineStr">
        <is>
          <t xml:space="preserve">    print("=" * 60)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 xml:space="preserve">    import sqlite3</t>
        </is>
      </c>
    </row>
    <row r="16">
      <c r="A16" s="7" t="n">
        <v>13</v>
      </c>
      <c r="B16" s="8" t="inlineStr">
        <is>
          <t xml:space="preserve">    db = Path("ai_material_library.db")</t>
        </is>
      </c>
    </row>
    <row r="17">
      <c r="A17" s="9" t="n">
        <v>14</v>
      </c>
      <c r="B17" s="10" t="inlineStr">
        <is>
          <t xml:space="preserve">    if not db.exists():</t>
        </is>
      </c>
    </row>
    <row r="18">
      <c r="A18" s="7" t="n">
        <v>15</v>
      </c>
      <c r="B18" s="8" t="inlineStr">
        <is>
          <t xml:space="preserve">        print("[FAIL] ai_material_library.db 不存在")</t>
        </is>
      </c>
    </row>
    <row r="19">
      <c r="A19" s="9" t="n">
        <v>16</v>
      </c>
      <c r="B19" s="10" t="inlineStr">
        <is>
          <t xml:space="preserve">        return</t>
        </is>
      </c>
    </row>
    <row r="20">
      <c r="A20" s="7" t="n">
        <v>17</v>
      </c>
      <c r="B20" s="8" t="inlineStr">
        <is>
          <t xml:space="preserve">    conn = sqlite3.connect(str(db))</t>
        </is>
      </c>
    </row>
    <row r="21">
      <c r="A21" s="9" t="n">
        <v>18</v>
      </c>
      <c r="B21" s="10" t="inlineStr">
        <is>
          <t xml:space="preserve">    total = conn.execute("SELECT COUNT(*) FROM materials").fetchone()[0]</t>
        </is>
      </c>
    </row>
    <row r="22">
      <c r="A22" s="7" t="n">
        <v>19</v>
      </c>
      <c r="B22" s="8" t="inlineStr">
        <is>
          <t xml:space="preserve">    analyzed = conn.execute("SELECT COUNT(*) FROM materials WHERE analyzed=1").fetchone()[0]</t>
        </is>
      </c>
    </row>
    <row r="23">
      <c r="A23" s="9" t="n">
        <v>20</v>
      </c>
      <c r="B23" s="10" t="inlineStr">
        <is>
          <t xml:space="preserve">    embed = conn.execute("SELECT COUNT(*) FROM materials WHERE embedding IS NOT NULL").fetchone()[0]</t>
        </is>
      </c>
    </row>
    <row r="24">
      <c r="A24" s="7" t="n">
        <v>21</v>
      </c>
      <c r="B24" s="8" t="inlineStr">
        <is>
          <t xml:space="preserve">    tags = conn.execute("SELECT COUNT(*) FROM materials WHERE tags != ''").fetchone()[0]</t>
        </is>
      </c>
    </row>
    <row r="25">
      <c r="A25" s="9" t="n">
        <v>22</v>
      </c>
      <c r="B25" s="10" t="inlineStr">
        <is>
          <t xml:space="preserve">    print(f"[INFO] 素材片段: {total:,}, 已分析: {analyzed:,}, 有标签: {tags:,}, 有 embedding: {embed:,}")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 xml:space="preserve">    faiss_path = Path("shipin/material_faiss.index")</t>
        </is>
      </c>
    </row>
    <row r="28">
      <c r="A28" s="7" t="n">
        <v>25</v>
      </c>
      <c r="B28" s="8" t="inlineStr">
        <is>
          <t xml:space="preserve">    if faiss_path.exists():</t>
        </is>
      </c>
    </row>
    <row r="29">
      <c r="A29" s="9" t="n">
        <v>26</v>
      </c>
      <c r="B29" s="10" t="inlineStr">
        <is>
          <t xml:space="preserve">        try:</t>
        </is>
      </c>
    </row>
    <row r="30">
      <c r="A30" s="7" t="n">
        <v>27</v>
      </c>
      <c r="B30" s="8" t="inlineStr">
        <is>
          <t xml:space="preserve">            import faiss</t>
        </is>
      </c>
    </row>
    <row r="31">
      <c r="A31" s="9" t="n">
        <v>28</v>
      </c>
      <c r="B31" s="10" t="inlineStr">
        <is>
          <t xml:space="preserve">            idx = faiss.read_index(str(faiss_path))</t>
        </is>
      </c>
    </row>
    <row r="32">
      <c r="A32" s="7" t="n">
        <v>29</v>
      </c>
      <c r="B32" s="8" t="inlineStr">
        <is>
          <t xml:space="preserve">            size_mb = faiss_path.stat().st_size / 1e6</t>
        </is>
      </c>
    </row>
    <row r="33">
      <c r="A33" s="9" t="n">
        <v>30</v>
      </c>
      <c r="B33" s="10" t="inlineStr">
        <is>
          <t xml:space="preserve">            print(f"[OK] FAISS 索引存在, 向量数: {idx.ntotal}, 维度: {idx.d}, 大小: {size_mb:.1f}MB")</t>
        </is>
      </c>
    </row>
    <row r="34">
      <c r="A34" s="7" t="n">
        <v>31</v>
      </c>
      <c r="B34" s="8" t="inlineStr">
        <is>
          <t xml:space="preserve">        except Exception as e:</t>
        </is>
      </c>
    </row>
    <row r="35">
      <c r="A35" s="9" t="n">
        <v>32</v>
      </c>
      <c r="B35" s="10" t="inlineStr">
        <is>
          <t xml:space="preserve">            print(f"[FAIL] FAISS 索引读取失败: {e}")</t>
        </is>
      </c>
    </row>
    <row r="36">
      <c r="A36" s="7" t="n">
        <v>33</v>
      </c>
      <c r="B36" s="8" t="inlineStr">
        <is>
          <t xml:space="preserve">    else:</t>
        </is>
      </c>
    </row>
    <row r="37">
      <c r="A37" s="9" t="n">
        <v>34</v>
      </c>
      <c r="B37" s="10" t="inlineStr">
        <is>
          <t xml:space="preserve">        print("[FAIL] FAISS 索引不存在，请运行: python force_rebuild_faiss.py")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 xml:space="preserve">    from utils.knowledge import get_bridge</t>
        </is>
      </c>
    </row>
    <row r="40">
      <c r="A40" s="7" t="n">
        <v>37</v>
      </c>
      <c r="B40" s="8" t="inlineStr">
        <is>
          <t xml:space="preserve">    kb = get_bridge()</t>
        </is>
      </c>
    </row>
    <row r="41">
      <c r="A41" s="9" t="n">
        <v>38</v>
      </c>
      <c r="B41" s="10" t="inlineStr">
        <is>
          <t xml:space="preserve">    test_kws = kb.extract_copy_keywords("岩板岛台极简风")</t>
        </is>
      </c>
    </row>
    <row r="42">
      <c r="A42" s="7" t="n">
        <v>39</v>
      </c>
      <c r="B42" s="8" t="inlineStr">
        <is>
          <t xml:space="preserve">    total_kw = sum(len(v) for v in test_kws.values())</t>
        </is>
      </c>
    </row>
    <row r="43">
      <c r="A43" s="9" t="n">
        <v>40</v>
      </c>
      <c r="B43" s="10" t="inlineStr">
        <is>
          <t xml:space="preserve">    if total_kw &gt;= 2:</t>
        </is>
      </c>
    </row>
    <row r="44">
      <c r="A44" s="7" t="n">
        <v>41</v>
      </c>
      <c r="B44" s="8" t="inlineStr">
        <is>
          <t xml:space="preserve">        print(f"[OK] 知识库正常, 提取 {total_kw} 个关键词: {dict((k,list(v)[:3]) for k,v in test_kws.items() if v)}")</t>
        </is>
      </c>
    </row>
    <row r="45">
      <c r="A45" s="9" t="n">
        <v>42</v>
      </c>
      <c r="B45" s="10" t="inlineStr">
        <is>
          <t xml:space="preserve">    else:</t>
        </is>
      </c>
    </row>
    <row r="46">
      <c r="A46" s="7" t="n">
        <v>43</v>
      </c>
      <c r="B46" s="8" t="inlineStr">
        <is>
          <t xml:space="preserve">        print(f"[FAIL] 知识库提取关键词不足 (仅 {total_kw} 个)")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 xml:space="preserve">    try:</t>
        </is>
      </c>
    </row>
    <row r="49">
      <c r="A49" s="9" t="n">
        <v>46</v>
      </c>
      <c r="B49" s="10" t="inlineStr">
        <is>
          <t xml:space="preserve">        from material_engine_v3.core.smart_matcher import SmartMatcher</t>
        </is>
      </c>
    </row>
    <row r="50">
      <c r="A50" s="7" t="n">
        <v>47</v>
      </c>
      <c r="B50" s="8" t="inlineStr">
        <is>
          <t xml:space="preserve">        matcher = SmartMatcher()</t>
        </is>
      </c>
    </row>
    <row r="51">
      <c r="A51" s="9" t="n">
        <v>48</v>
      </c>
      <c r="B51" s="10" t="inlineStr">
        <is>
          <t xml:space="preserve">        results = matcher.search("极简风岩板岛台", top_k=3)</t>
        </is>
      </c>
    </row>
    <row r="52">
      <c r="A52" s="7" t="n">
        <v>49</v>
      </c>
      <c r="B52" s="8" t="inlineStr">
        <is>
          <t xml:space="preserve">        if results:</t>
        </is>
      </c>
    </row>
    <row r="53">
      <c r="A53" s="9" t="n">
        <v>50</v>
      </c>
      <c r="B53" s="10" t="inlineStr">
        <is>
          <t xml:space="preserve">            methods = set(r.get("match_method", "?") for r in results)</t>
        </is>
      </c>
    </row>
    <row r="54">
      <c r="A54" s="7" t="n">
        <v>51</v>
      </c>
      <c r="B54" s="8" t="inlineStr">
        <is>
          <t xml:space="preserve">            print(f"[OK] 智能匹配返回 {len(results)} 个结果, 方法: {methods}")</t>
        </is>
      </c>
    </row>
    <row r="55">
      <c r="A55" s="9" t="n">
        <v>52</v>
      </c>
      <c r="B55" s="10" t="inlineStr">
        <is>
          <t xml:space="preserve">            for r in results[:2]:</t>
        </is>
      </c>
    </row>
    <row r="56">
      <c r="A56" s="7" t="n">
        <v>53</v>
      </c>
      <c r="B56" s="8" t="inlineStr">
        <is>
          <t xml:space="preserve">                name = Path(r["video_path"]).name if r.get("video_path") else "?"</t>
        </is>
      </c>
    </row>
    <row r="57">
      <c r="A57" s="9" t="n">
        <v>54</v>
      </c>
      <c r="B57" s="10" t="inlineStr">
        <is>
          <t xml:space="preserve">                print(f"    - {name} [{r.get('match_method','?')}] score={r.get('score',0):.3f}")</t>
        </is>
      </c>
    </row>
    <row r="58">
      <c r="A58" s="7" t="n">
        <v>55</v>
      </c>
      <c r="B58" s="8" t="inlineStr">
        <is>
          <t xml:space="preserve">        else:</t>
        </is>
      </c>
    </row>
    <row r="59">
      <c r="A59" s="9" t="n">
        <v>56</v>
      </c>
      <c r="B59" s="10" t="inlineStr">
        <is>
          <t xml:space="preserve">            print("[FAIL] 智能匹配无结果，请检查 FAISS 索引或素材分析状态")</t>
        </is>
      </c>
    </row>
    <row r="60">
      <c r="A60" s="7" t="n">
        <v>57</v>
      </c>
      <c r="B60" s="8" t="inlineStr">
        <is>
          <t xml:space="preserve">    except Exception as e:</t>
        </is>
      </c>
    </row>
    <row r="61">
      <c r="A61" s="9" t="n">
        <v>58</v>
      </c>
      <c r="B61" s="10" t="inlineStr">
        <is>
          <t xml:space="preserve">        print(f"[FAIL] 智能匹配异常: {e}")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conn.close()</t>
        </is>
      </c>
    </row>
    <row r="64">
      <c r="A64" s="7" t="n">
        <v>61</v>
      </c>
      <c r="B64" s="8" t="inlineStr">
        <is>
          <t xml:space="preserve">    print("=" * 60)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>if __name__ == "__main__":</t>
        </is>
      </c>
    </row>
    <row r="67">
      <c r="A67" s="9" t="n">
        <v>64</v>
      </c>
      <c r="B67" s="10" t="inlineStr">
        <is>
          <t xml:space="preserve">    main()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scripts\check_system_resources.py</t>
        </is>
      </c>
      <c r="C1" s="5" t="inlineStr">
        <is>
          <t>行数: 67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"""系统资源诊断 — 内存/磁盘/GPU/数据库完整性"""</t>
        </is>
      </c>
    </row>
    <row r="6">
      <c r="A6" s="7" t="n">
        <v>3</v>
      </c>
      <c r="B6" s="8" t="inlineStr">
        <is>
          <t>import sys, os, sqlite3</t>
        </is>
      </c>
    </row>
    <row r="7">
      <c r="A7" s="9" t="n">
        <v>4</v>
      </c>
      <c r="B7" s="10" t="inlineStr">
        <is>
          <t>from pathlib import Path</t>
        </is>
      </c>
    </row>
    <row r="8">
      <c r="A8" s="7" t="n">
        <v>5</v>
      </c>
      <c r="B8" s="8" t="inlineStr">
        <is>
          <t>sys.path.insert(0, str(Path(__file__).parent.parent))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print("=" * 55)</t>
        </is>
      </c>
    </row>
    <row r="11">
      <c r="A11" s="9" t="n">
        <v>8</v>
      </c>
      <c r="B11" s="10" t="inlineStr">
        <is>
          <t>print("  系统资源诊断")</t>
        </is>
      </c>
    </row>
    <row r="12">
      <c r="A12" s="7" t="n">
        <v>9</v>
      </c>
      <c r="B12" s="8" t="inlineStr">
        <is>
          <t>print("=" * 55)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# ── 内存 ──</t>
        </is>
      </c>
    </row>
    <row r="15">
      <c r="A15" s="9" t="n">
        <v>12</v>
      </c>
      <c r="B15" s="10" t="inlineStr">
        <is>
          <t>try:</t>
        </is>
      </c>
    </row>
    <row r="16">
      <c r="A16" s="7" t="n">
        <v>13</v>
      </c>
      <c r="B16" s="8" t="inlineStr">
        <is>
          <t xml:space="preserve">    import psutil</t>
        </is>
      </c>
    </row>
    <row r="17">
      <c r="A17" s="9" t="n">
        <v>14</v>
      </c>
      <c r="B17" s="10" t="inlineStr">
        <is>
          <t xml:space="preserve">    mem = psutil.virtual_memory()</t>
        </is>
      </c>
    </row>
    <row r="18">
      <c r="A18" s="7" t="n">
        <v>15</v>
      </c>
      <c r="B18" s="8" t="inlineStr">
        <is>
          <t xml:space="preserve">    print(f"  总内存:    {mem.total/1e9:.1f} GB")</t>
        </is>
      </c>
    </row>
    <row r="19">
      <c r="A19" s="9" t="n">
        <v>16</v>
      </c>
      <c r="B19" s="10" t="inlineStr">
        <is>
          <t xml:space="preserve">    print(f"  可用内存:  {mem.available/1e9:.1f} GB")</t>
        </is>
      </c>
    </row>
    <row r="20">
      <c r="A20" s="7" t="n">
        <v>17</v>
      </c>
      <c r="B20" s="8" t="inlineStr">
        <is>
          <t xml:space="preserve">    print(f"  使用率:    {mem.percent:.0f}% {'[OK]' if mem.percent &lt; 85 else '[WARN] 内存紧张'}")</t>
        </is>
      </c>
    </row>
    <row r="21">
      <c r="A21" s="9" t="n">
        <v>18</v>
      </c>
      <c r="B21" s="10" t="inlineStr">
        <is>
          <t>except ImportError:</t>
        </is>
      </c>
    </row>
    <row r="22">
      <c r="A22" s="7" t="n">
        <v>19</v>
      </c>
      <c r="B22" s="8" t="inlineStr">
        <is>
          <t xml:space="preserve">    print("  [WARN] psutil 未安装 (pip install psutil)")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# ── 磁盘 ──</t>
        </is>
      </c>
    </row>
    <row r="25">
      <c r="A25" s="9" t="n">
        <v>22</v>
      </c>
      <c r="B25" s="10" t="inlineStr">
        <is>
          <t>import shutil</t>
        </is>
      </c>
    </row>
    <row r="26">
      <c r="A26" s="7" t="n">
        <v>23</v>
      </c>
      <c r="B26" s="8" t="inlineStr">
        <is>
          <t>proj = Path(__file__).parent.parent</t>
        </is>
      </c>
    </row>
    <row r="27">
      <c r="A27" s="9" t="n">
        <v>24</v>
      </c>
      <c r="B27" s="10" t="inlineStr">
        <is>
          <t>usage = shutil.disk_usage(proj)</t>
        </is>
      </c>
    </row>
    <row r="28">
      <c r="A28" s="7" t="n">
        <v>25</v>
      </c>
      <c r="B28" s="8" t="inlineStr">
        <is>
          <t>print(f"\n  项目磁盘: {proj}")</t>
        </is>
      </c>
    </row>
    <row r="29">
      <c r="A29" s="9" t="n">
        <v>26</v>
      </c>
      <c r="B29" s="10" t="inlineStr">
        <is>
          <t>print(f"  总空间:    {usage.total/1e9:.1f} GB")</t>
        </is>
      </c>
    </row>
    <row r="30">
      <c r="A30" s="7" t="n">
        <v>27</v>
      </c>
      <c r="B30" s="8" t="inlineStr">
        <is>
          <t>print(f"  可用空间:  {usage.free/1e9:.1f} GB")</t>
        </is>
      </c>
    </row>
    <row r="31">
      <c r="A31" s="9" t="n">
        <v>28</v>
      </c>
      <c r="B31" s="10" t="inlineStr">
        <is>
          <t>print(f"  使用率:    {(1-usage.free/usage.total)*100:.0f}%")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># ── GPU ──</t>
        </is>
      </c>
    </row>
    <row r="34">
      <c r="A34" s="7" t="n">
        <v>31</v>
      </c>
      <c r="B34" s="8" t="inlineStr">
        <is>
          <t>try:</t>
        </is>
      </c>
    </row>
    <row r="35">
      <c r="A35" s="9" t="n">
        <v>32</v>
      </c>
      <c r="B35" s="10" t="inlineStr">
        <is>
          <t xml:space="preserve">    import torch</t>
        </is>
      </c>
    </row>
    <row r="36">
      <c r="A36" s="7" t="n">
        <v>33</v>
      </c>
      <c r="B36" s="8" t="inlineStr">
        <is>
          <t xml:space="preserve">    if torch.cuda.is_available():</t>
        </is>
      </c>
    </row>
    <row r="37">
      <c r="A37" s="9" t="n">
        <v>34</v>
      </c>
      <c r="B37" s="10" t="inlineStr">
        <is>
          <t xml:space="preserve">        for i in range(torch.cuda.device_count()):</t>
        </is>
      </c>
    </row>
    <row r="38">
      <c r="A38" s="7" t="n">
        <v>35</v>
      </c>
      <c r="B38" s="8" t="inlineStr">
        <is>
          <t xml:space="preserve">            props = torch.cuda.get_device_properties(i)</t>
        </is>
      </c>
    </row>
    <row r="39">
      <c r="A39" s="9" t="n">
        <v>36</v>
      </c>
      <c r="B39" s="10" t="inlineStr">
        <is>
          <t xml:space="preserve">            free, total = torch.cuda.mem_get_info(i)</t>
        </is>
      </c>
    </row>
    <row r="40">
      <c r="A40" s="7" t="n">
        <v>37</v>
      </c>
      <c r="B40" s="8" t="inlineStr">
        <is>
          <t xml:space="preserve">            print(f"\n  GPU {i}: {props.name}")</t>
        </is>
      </c>
    </row>
    <row r="41">
      <c r="A41" s="9" t="n">
        <v>38</v>
      </c>
      <c r="B41" s="10" t="inlineStr">
        <is>
          <t xml:space="preserve">            print(f"    总显存:  {total/1e9:.1f} GB")</t>
        </is>
      </c>
    </row>
    <row r="42">
      <c r="A42" s="7" t="n">
        <v>39</v>
      </c>
      <c r="B42" s="8" t="inlineStr">
        <is>
          <t xml:space="preserve">            print(f"    可用:    {free/1e9:.1f} GB")</t>
        </is>
      </c>
    </row>
    <row r="43">
      <c r="A43" s="9" t="n">
        <v>40</v>
      </c>
      <c r="B43" s="10" t="inlineStr">
        <is>
          <t xml:space="preserve">    else:</t>
        </is>
      </c>
    </row>
    <row r="44">
      <c r="A44" s="7" t="n">
        <v>41</v>
      </c>
      <c r="B44" s="8" t="inlineStr">
        <is>
          <t xml:space="preserve">        print("\n  GPU: 无 (CPU模式)")</t>
        </is>
      </c>
    </row>
    <row r="45">
      <c r="A45" s="9" t="n">
        <v>42</v>
      </c>
      <c r="B45" s="10" t="inlineStr">
        <is>
          <t>except ImportError:</t>
        </is>
      </c>
    </row>
    <row r="46">
      <c r="A46" s="7" t="n">
        <v>43</v>
      </c>
      <c r="B46" s="8" t="inlineStr">
        <is>
          <t xml:space="preserve">    print("\n  [INFO] torch 未安装 — 仅 CPU 模式")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># ── 数据库 ──</t>
        </is>
      </c>
    </row>
    <row r="49">
      <c r="A49" s="9" t="n">
        <v>46</v>
      </c>
      <c r="B49" s="10" t="inlineStr">
        <is>
          <t>db_path = proj / "ai_material_library.db"</t>
        </is>
      </c>
    </row>
    <row r="50">
      <c r="A50" s="7" t="n">
        <v>47</v>
      </c>
      <c r="B50" s="8" t="inlineStr">
        <is>
          <t>if db_path.exists():</t>
        </is>
      </c>
    </row>
    <row r="51">
      <c r="A51" s="9" t="n">
        <v>48</v>
      </c>
      <c r="B51" s="10" t="inlineStr">
        <is>
          <t xml:space="preserve">    size_mb = db_path.stat().st_size / 1e6</t>
        </is>
      </c>
    </row>
    <row r="52">
      <c r="A52" s="7" t="n">
        <v>49</v>
      </c>
      <c r="B52" s="8" t="inlineStr">
        <is>
          <t xml:space="preserve">    print(f"\n  数据库: {db_path}")</t>
        </is>
      </c>
    </row>
    <row r="53">
      <c r="A53" s="9" t="n">
        <v>50</v>
      </c>
      <c r="B53" s="10" t="inlineStr">
        <is>
          <t xml:space="preserve">    print(f"  大小:     {size_mb:.1f} MB")</t>
        </is>
      </c>
    </row>
    <row r="54">
      <c r="A54" s="7" t="n">
        <v>51</v>
      </c>
      <c r="B54" s="8" t="inlineStr">
        <is>
          <t xml:space="preserve">    try:</t>
        </is>
      </c>
    </row>
    <row r="55">
      <c r="A55" s="9" t="n">
        <v>52</v>
      </c>
      <c r="B55" s="10" t="inlineStr">
        <is>
          <t xml:space="preserve">        conn = sqlite3.connect(str(db_path))</t>
        </is>
      </c>
    </row>
    <row r="56">
      <c r="A56" s="7" t="n">
        <v>53</v>
      </c>
      <c r="B56" s="8" t="inlineStr">
        <is>
          <t xml:space="preserve">        conn.execute("PRAGMA integrity_check")</t>
        </is>
      </c>
    </row>
    <row r="57">
      <c r="A57" s="9" t="n">
        <v>54</v>
      </c>
      <c r="B57" s="10" t="inlineStr">
        <is>
          <t xml:space="preserve">        tables = conn.execute("SELECT name FROM sqlite_master WHERE type='table'").fetchall()</t>
        </is>
      </c>
    </row>
    <row r="58">
      <c r="A58" s="7" t="n">
        <v>55</v>
      </c>
      <c r="B58" s="8" t="inlineStr">
        <is>
          <t xml:space="preserve">        print(f"  完整性:   [OK]")</t>
        </is>
      </c>
    </row>
    <row r="59">
      <c r="A59" s="9" t="n">
        <v>56</v>
      </c>
      <c r="B59" s="10" t="inlineStr">
        <is>
          <t xml:space="preserve">        print(f"  表数:     {len(tables)}")</t>
        </is>
      </c>
    </row>
    <row r="60">
      <c r="A60" s="7" t="n">
        <v>57</v>
      </c>
      <c r="B60" s="8" t="inlineStr">
        <is>
          <t xml:space="preserve">        for t in tables:</t>
        </is>
      </c>
    </row>
    <row r="61">
      <c r="A61" s="9" t="n">
        <v>58</v>
      </c>
      <c r="B61" s="10" t="inlineStr">
        <is>
          <t xml:space="preserve">            cnt = conn.execute(f"SELECT COUNT(*) FROM {t[0]}").fetchone()[0]</t>
        </is>
      </c>
    </row>
    <row r="62">
      <c r="A62" s="7" t="n">
        <v>59</v>
      </c>
      <c r="B62" s="8" t="inlineStr">
        <is>
          <t xml:space="preserve">            print(f"    {t[0]:30s} {cnt:&gt;8,} 行")</t>
        </is>
      </c>
    </row>
    <row r="63">
      <c r="A63" s="9" t="n">
        <v>60</v>
      </c>
      <c r="B63" s="10" t="inlineStr">
        <is>
          <t xml:space="preserve">        conn.close()</t>
        </is>
      </c>
    </row>
    <row r="64">
      <c r="A64" s="7" t="n">
        <v>61</v>
      </c>
      <c r="B64" s="8" t="inlineStr">
        <is>
          <t xml:space="preserve">    except Exception as e:</t>
        </is>
      </c>
    </row>
    <row r="65">
      <c r="A65" s="9" t="n">
        <v>62</v>
      </c>
      <c r="B65" s="10" t="inlineStr">
        <is>
          <t xml:space="preserve">        print(f"  完整性:   [FAIL] {e}")</t>
        </is>
      </c>
    </row>
    <row r="66">
      <c r="A66" s="7" t="n">
        <v>63</v>
      </c>
      <c r="B66" s="8" t="inlineStr">
        <is>
          <t>else:</t>
        </is>
      </c>
    </row>
    <row r="67">
      <c r="A67" s="9" t="n">
        <v>64</v>
      </c>
      <c r="B67" s="10" t="inlineStr">
        <is>
          <t xml:space="preserve">    print("\n  [WARN] ai_material_library.db 不存在")</t>
        </is>
      </c>
    </row>
    <row r="68">
      <c r="A68" s="7" t="n">
        <v>65</v>
      </c>
      <c r="B68" s="8" t="inlineStr"/>
    </row>
    <row r="69">
      <c r="A69" s="9" t="n">
        <v>66</v>
      </c>
      <c r="B69" s="10" t="inlineStr">
        <is>
          <t>print("=" * 55)</t>
        </is>
      </c>
    </row>
    <row r="70">
      <c r="A70" s="7" t="n">
        <v>67</v>
      </c>
      <c r="B70" s="8" t="inlineStr">
        <is>
          <t>print("  诊断完成")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self_evolver.py</t>
        </is>
      </c>
      <c r="C1" s="5" t="inlineStr">
        <is>
          <t>行数: 1207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7">
      <c r="A7" s="9" t="n">
        <v>4</v>
      </c>
      <c r="B7" s="10" t="inlineStr">
        <is>
          <t xml:space="preserve">  树剪 TreeCut — 自持续升级优化器 (Self-Evolver)</t>
        </is>
      </c>
    </row>
    <row r="8">
      <c r="A8" s="7" t="n">
        <v>5</v>
      </c>
      <c r="B8" s="8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功能:</t>
        </is>
      </c>
    </row>
    <row r="11">
      <c r="A11" s="9" t="n">
        <v>8</v>
      </c>
      <c r="B11" s="10" t="inlineStr">
        <is>
          <t xml:space="preserve">  1. 启动树剪程序（子进程）</t>
        </is>
      </c>
    </row>
    <row r="12">
      <c r="A12" s="7" t="n">
        <v>9</v>
      </c>
      <c r="B12" s="8" t="inlineStr">
        <is>
          <t xml:space="preserve">  2. 模拟用户操作（GUI自动化 + 子进程CLI模式）</t>
        </is>
      </c>
    </row>
    <row r="13">
      <c r="A13" s="9" t="n">
        <v>10</v>
      </c>
      <c r="B13" s="10" t="inlineStr">
        <is>
          <t xml:space="preserve">  3. 捕获日志/错误并分析</t>
        </is>
      </c>
    </row>
    <row r="14">
      <c r="A14" s="7" t="n">
        <v>11</v>
      </c>
      <c r="B14" s="8" t="inlineStr">
        <is>
          <t xml:space="preserve">  4. 调用 DeepSeek API 生成修复代码</t>
        </is>
      </c>
    </row>
    <row r="15">
      <c r="A15" s="9" t="n">
        <v>12</v>
      </c>
      <c r="B15" s="10" t="inlineStr">
        <is>
          <t xml:space="preserve">  5. 安全应用补丁（备份 + 回滚）</t>
        </is>
      </c>
    </row>
    <row r="16">
      <c r="A16" s="7" t="n">
        <v>13</v>
      </c>
      <c r="B16" s="8" t="inlineStr">
        <is>
          <t xml:space="preserve">  6. 无限循环，记录迭代历史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用法:</t>
        </is>
      </c>
    </row>
    <row r="19">
      <c r="A19" s="9" t="n">
        <v>16</v>
      </c>
      <c r="B19" s="10" t="inlineStr">
        <is>
          <t xml:space="preserve">  python self_evolver.py                    # 开始自进化循环</t>
        </is>
      </c>
    </row>
    <row r="20">
      <c r="A20" s="7" t="n">
        <v>17</v>
      </c>
      <c r="B20" s="8" t="inlineStr">
        <is>
          <t xml:space="preserve">  python self_evolver.py --calibrate        # 校准模式（记录控件坐标）</t>
        </is>
      </c>
    </row>
    <row r="21">
      <c r="A21" s="9" t="n">
        <v>18</v>
      </c>
      <c r="B21" s="10" t="inlineStr">
        <is>
          <t xml:space="preserve">  python self_evolver.py --once             # 单次测试（不循环）</t>
        </is>
      </c>
    </row>
    <row r="22">
      <c r="A22" s="7" t="n">
        <v>19</v>
      </c>
      <c r="B22" s="8" t="inlineStr">
        <is>
          <t xml:space="preserve">  python self_evolver.py --max-loops 5      # 最多5次循环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依赖:</t>
        </is>
      </c>
    </row>
    <row r="25">
      <c r="A25" s="9" t="n">
        <v>22</v>
      </c>
      <c r="B25" s="10" t="inlineStr">
        <is>
          <t xml:space="preserve">  pip install pyautogui openai  （可选，用于 UI 自动化和 AI 修复）</t>
        </is>
      </c>
    </row>
    <row r="26">
      <c r="A26" s="7" t="n">
        <v>23</v>
      </c>
      <c r="B26" s="8" t="inlineStr">
        <is>
          <t xml:space="preserve">  pip install psutil            （可选，用于进程监控）</t>
        </is>
      </c>
    </row>
    <row r="27">
      <c r="A27" s="9" t="n">
        <v>24</v>
      </c>
      <c r="B27" s="10" t="inlineStr">
        <is>
          <t>"""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import os, sys, json, time, random, re, shutil, signal, subprocess</t>
        </is>
      </c>
    </row>
    <row r="30">
      <c r="A30" s="7" t="n">
        <v>27</v>
      </c>
      <c r="B30" s="8" t="inlineStr">
        <is>
          <t>import threading, traceback, hashlib, io, argparse</t>
        </is>
      </c>
    </row>
    <row r="31">
      <c r="A31" s="9" t="n">
        <v>28</v>
      </c>
      <c r="B31" s="10" t="inlineStr">
        <is>
          <t>from pathlib import Path</t>
        </is>
      </c>
    </row>
    <row r="32">
      <c r="A32" s="7" t="n">
        <v>29</v>
      </c>
      <c r="B32" s="8" t="inlineStr">
        <is>
          <t>from datetime import datetime</t>
        </is>
      </c>
    </row>
    <row r="33">
      <c r="A33" s="9" t="n">
        <v>30</v>
      </c>
      <c r="B33" s="10" t="inlineStr">
        <is>
          <t>from typing import Optional, List, Dict, Tuple</t>
        </is>
      </c>
    </row>
    <row r="34">
      <c r="A34" s="7" t="n">
        <v>31</v>
      </c>
      <c r="B34" s="8" t="inlineStr"/>
    </row>
    <row r="35">
      <c r="A35" s="9" t="n">
        <v>32</v>
      </c>
      <c r="B35" s="10" t="inlineStr">
        <is>
          <t># ═══════════════════════════════════════════════════</t>
        </is>
      </c>
    </row>
    <row r="36">
      <c r="A36" s="7" t="n">
        <v>33</v>
      </c>
      <c r="B36" s="8" t="inlineStr">
        <is>
          <t># 配置</t>
        </is>
      </c>
    </row>
    <row r="37">
      <c r="A37" s="9" t="n">
        <v>34</v>
      </c>
      <c r="B37" s="10" t="inlineStr">
        <is>
          <t># ═══════════════════════════════════════════════════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>PROJECT_ROOT = Path(__file__).parent</t>
        </is>
      </c>
    </row>
    <row r="40">
      <c r="A40" s="7" t="n">
        <v>37</v>
      </c>
      <c r="B40" s="8" t="inlineStr">
        <is>
          <t>TREE_SCRIPT = PROJECT_ROOT / "树剪.py"</t>
        </is>
      </c>
    </row>
    <row r="41">
      <c r="A41" s="9" t="n">
        <v>38</v>
      </c>
      <c r="B41" s="10" t="inlineStr">
        <is>
          <t>LOG_FILE = PROJECT_ROOT / "self_evolver_log.txt"</t>
        </is>
      </c>
    </row>
    <row r="42">
      <c r="A42" s="7" t="n">
        <v>39</v>
      </c>
      <c r="B42" s="8" t="inlineStr">
        <is>
          <t>HISTORY_FILE = PROJECT_ROOT / "evolution_history.json"</t>
        </is>
      </c>
    </row>
    <row r="43">
      <c r="A43" s="9" t="n">
        <v>40</v>
      </c>
      <c r="B43" s="10" t="inlineStr">
        <is>
          <t>BACKUP_DIR = PROJECT_ROOT / "evolution_backups"</t>
        </is>
      </c>
    </row>
    <row r="44">
      <c r="A44" s="7" t="n">
        <v>41</v>
      </c>
      <c r="B44" s="8" t="inlineStr">
        <is>
          <t>CALIB_FILE = PROJECT_ROOT / "calibration.json"</t>
        </is>
      </c>
    </row>
    <row r="45">
      <c r="A45" s="9" t="n">
        <v>42</v>
      </c>
      <c r="B45" s="10" t="inlineStr">
        <is>
          <t>CRASH_LOG = PROJECT_ROOT / "crash_log.txt"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>BACKUP_DIR.mkdir(parents=True, exist_ok=True)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># 环境</t>
        </is>
      </c>
    </row>
    <row r="50">
      <c r="A50" s="7" t="n">
        <v>47</v>
      </c>
      <c r="B50" s="8" t="inlineStr">
        <is>
          <t>IS_WINDOWS = sys.platform == "win32"</t>
        </is>
      </c>
    </row>
    <row r="51">
      <c r="A51" s="9" t="n">
        <v>48</v>
      </c>
      <c r="B51" s="10" t="inlineStr">
        <is>
          <t>DEEPSEEK_KEY = os.environ.get("DEEPSEEK_API_KEY", "")</t>
        </is>
      </c>
    </row>
    <row r="52">
      <c r="A52" s="7" t="n">
        <v>49</v>
      </c>
      <c r="B52" s="8" t="inlineStr">
        <is>
          <t>HAS_GUI_AUTO = False</t>
        </is>
      </c>
    </row>
    <row r="53">
      <c r="A53" s="9" t="n">
        <v>50</v>
      </c>
      <c r="B53" s="10" t="inlineStr">
        <is>
          <t>HAS_AI = bool(DEEPSEEK_KEY)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># 当前迭代</t>
        </is>
      </c>
    </row>
    <row r="56">
      <c r="A56" s="7" t="n">
        <v>53</v>
      </c>
      <c r="B56" s="8" t="inlineStr">
        <is>
          <t>_iteration = 0</t>
        </is>
      </c>
    </row>
    <row r="57">
      <c r="A57" s="9" t="n">
        <v>54</v>
      </c>
      <c r="B57" s="10" t="inlineStr">
        <is>
          <t>_running = True</t>
        </is>
      </c>
    </row>
    <row r="58">
      <c r="A58" s="7" t="n">
        <v>55</v>
      </c>
      <c r="B58" s="8" t="inlineStr">
        <is>
          <t>_pending_fixes: List[dict] = []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/>
    </row>
    <row r="61">
      <c r="A61" s="9" t="n">
        <v>58</v>
      </c>
      <c r="B61" s="10" t="inlineStr">
        <is>
          <t>def log(msg: str, level: str = "INFO"):</t>
        </is>
      </c>
    </row>
    <row r="62">
      <c r="A62" s="7" t="n">
        <v>59</v>
      </c>
      <c r="B62" s="8" t="inlineStr">
        <is>
          <t xml:space="preserve">    ts = datetime.now().strftime("%Y-%m-%d %H:%M:%S")</t>
        </is>
      </c>
    </row>
    <row r="63">
      <c r="A63" s="9" t="n">
        <v>60</v>
      </c>
      <c r="B63" s="10" t="inlineStr">
        <is>
          <t xml:space="preserve">    line = f"[{ts}] [{level}] {msg}"</t>
        </is>
      </c>
    </row>
    <row r="64">
      <c r="A64" s="7" t="n">
        <v>61</v>
      </c>
      <c r="B64" s="8" t="inlineStr">
        <is>
          <t xml:space="preserve">    print(line)</t>
        </is>
      </c>
    </row>
    <row r="65">
      <c r="A65" s="9" t="n">
        <v>62</v>
      </c>
      <c r="B65" s="10" t="inlineStr">
        <is>
          <t xml:space="preserve">    try:</t>
        </is>
      </c>
    </row>
    <row r="66">
      <c r="A66" s="7" t="n">
        <v>63</v>
      </c>
      <c r="B66" s="8" t="inlineStr">
        <is>
          <t xml:space="preserve">        with open(LOG_FILE, "a", encoding="utf-8") as f:</t>
        </is>
      </c>
    </row>
    <row r="67">
      <c r="A67" s="9" t="n">
        <v>64</v>
      </c>
      <c r="B67" s="10" t="inlineStr">
        <is>
          <t xml:space="preserve">            f.write(line + "\n")</t>
        </is>
      </c>
    </row>
    <row r="68">
      <c r="A68" s="7" t="n">
        <v>65</v>
      </c>
      <c r="B68" s="8" t="inlineStr">
        <is>
          <t xml:space="preserve">    except Exception:</t>
        </is>
      </c>
    </row>
    <row r="69">
      <c r="A69" s="9" t="n">
        <v>66</v>
      </c>
      <c r="B69" s="10" t="inlineStr">
        <is>
          <t xml:space="preserve">        pass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/>
    </row>
    <row r="72">
      <c r="A72" s="7" t="n">
        <v>69</v>
      </c>
      <c r="B72" s="8" t="inlineStr">
        <is>
          <t># ═══════════════════════════════════════════════════</t>
        </is>
      </c>
    </row>
    <row r="73">
      <c r="A73" s="9" t="n">
        <v>70</v>
      </c>
      <c r="B73" s="10" t="inlineStr">
        <is>
          <t># 模块1: 子进程管理器</t>
        </is>
      </c>
    </row>
    <row r="74">
      <c r="A74" s="7" t="n">
        <v>71</v>
      </c>
      <c r="B74" s="8" t="inlineStr">
        <is>
          <t># ═══════════════════════════════════════════════════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>class ProcessManager:</t>
        </is>
      </c>
    </row>
    <row r="77">
      <c r="A77" s="9" t="n">
        <v>74</v>
      </c>
      <c r="B77" s="10" t="inlineStr">
        <is>
          <t xml:space="preserve">    """管理树剪子进程的启动、监控、终止"""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 xml:space="preserve">    def __init__(self):</t>
        </is>
      </c>
    </row>
    <row r="80">
      <c r="A80" s="7" t="n">
        <v>77</v>
      </c>
      <c r="B80" s="8" t="inlineStr">
        <is>
          <t xml:space="preserve">        self.proc: Optional[subprocess.Popen] = None</t>
        </is>
      </c>
    </row>
    <row r="81">
      <c r="A81" s="9" t="n">
        <v>78</v>
      </c>
      <c r="B81" s="10" t="inlineStr">
        <is>
          <t xml:space="preserve">        self._stdout_lines: List[str] = []</t>
        </is>
      </c>
    </row>
    <row r="82">
      <c r="A82" s="7" t="n">
        <v>79</v>
      </c>
      <c r="B82" s="8" t="inlineStr">
        <is>
          <t xml:space="preserve">        self._stderr_lines: List[str] = []</t>
        </is>
      </c>
    </row>
    <row r="83">
      <c r="A83" s="9" t="n">
        <v>80</v>
      </c>
      <c r="B83" s="10" t="inlineStr">
        <is>
          <t xml:space="preserve">        self._lock = threading.Lock()</t>
        </is>
      </c>
    </row>
    <row r="84">
      <c r="A84" s="7" t="n">
        <v>81</v>
      </c>
      <c r="B84" s="8" t="inlineStr">
        <is>
          <t xml:space="preserve">        self._reader_thread: Optional[threading.Thread] = None</t>
        </is>
      </c>
    </row>
    <row r="85">
      <c r="A85" s="9" t="n">
        <v>82</v>
      </c>
      <c r="B85" s="10" t="inlineStr">
        <is>
          <t xml:space="preserve">        self._started_at: Optional[float] = None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 xml:space="preserve">    @property</t>
        </is>
      </c>
    </row>
    <row r="88">
      <c r="A88" s="7" t="n">
        <v>85</v>
      </c>
      <c r="B88" s="8" t="inlineStr">
        <is>
          <t xml:space="preserve">    def is_alive(self) -&gt; bool:</t>
        </is>
      </c>
    </row>
    <row r="89">
      <c r="A89" s="9" t="n">
        <v>86</v>
      </c>
      <c r="B89" s="10" t="inlineStr">
        <is>
          <t xml:space="preserve">        return self.proc is not None and self.proc.poll() is None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 xml:space="preserve">    @property</t>
        </is>
      </c>
    </row>
    <row r="92">
      <c r="A92" s="7" t="n">
        <v>89</v>
      </c>
      <c r="B92" s="8" t="inlineStr">
        <is>
          <t xml:space="preserve">    def elapsed(self) -&gt; float:</t>
        </is>
      </c>
    </row>
    <row r="93">
      <c r="A93" s="9" t="n">
        <v>90</v>
      </c>
      <c r="B93" s="10" t="inlineStr">
        <is>
          <t xml:space="preserve">        if self._started_at:</t>
        </is>
      </c>
    </row>
    <row r="94">
      <c r="A94" s="7" t="n">
        <v>91</v>
      </c>
      <c r="B94" s="8" t="inlineStr">
        <is>
          <t xml:space="preserve">            return time.time() - self._started_at</t>
        </is>
      </c>
    </row>
    <row r="95">
      <c r="A95" s="9" t="n">
        <v>92</v>
      </c>
      <c r="B95" s="10" t="inlineStr">
        <is>
          <t xml:space="preserve">        return 0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 xml:space="preserve">    def start(self, extra_args: List[str] = None) -&gt; bool:</t>
        </is>
      </c>
    </row>
    <row r="98">
      <c r="A98" s="7" t="n">
        <v>95</v>
      </c>
      <c r="B98" s="8" t="inlineStr">
        <is>
          <t xml:space="preserve">        """启动树剪程序。返回是否成功。"""</t>
        </is>
      </c>
    </row>
    <row r="99">
      <c r="A99" s="9" t="n">
        <v>96</v>
      </c>
      <c r="B99" s="10" t="inlineStr">
        <is>
          <t xml:space="preserve">        if self.is_alive:</t>
        </is>
      </c>
    </row>
    <row r="100">
      <c r="A100" s="7" t="n">
        <v>97</v>
      </c>
      <c r="B100" s="8" t="inlineStr">
        <is>
          <t xml:space="preserve">            self.stop(timeout=5)</t>
        </is>
      </c>
    </row>
    <row r="101">
      <c r="A101" s="9" t="n">
        <v>98</v>
      </c>
      <c r="B101" s="10" t="inlineStr"/>
    </row>
    <row r="102">
      <c r="A102" s="7" t="n">
        <v>99</v>
      </c>
      <c r="B102" s="8" t="inlineStr">
        <is>
          <t xml:space="preserve">        cmd = [sys.executable, str(TREE_SCRIPT)]</t>
        </is>
      </c>
    </row>
    <row r="103">
      <c r="A103" s="9" t="n">
        <v>100</v>
      </c>
      <c r="B103" s="10" t="inlineStr">
        <is>
          <t xml:space="preserve">        if extra_args:</t>
        </is>
      </c>
    </row>
    <row r="104">
      <c r="A104" s="7" t="n">
        <v>101</v>
      </c>
      <c r="B104" s="8" t="inlineStr">
        <is>
          <t xml:space="preserve">            cmd.extend(extra_args)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 xml:space="preserve">        # 确保使用 utf-8 编码</t>
        </is>
      </c>
    </row>
    <row r="107">
      <c r="A107" s="9" t="n">
        <v>104</v>
      </c>
      <c r="B107" s="10" t="inlineStr">
        <is>
          <t xml:space="preserve">        env = os.environ.copy()</t>
        </is>
      </c>
    </row>
    <row r="108">
      <c r="A108" s="7" t="n">
        <v>105</v>
      </c>
      <c r="B108" s="8" t="inlineStr">
        <is>
          <t xml:space="preserve">        env["PYTHONIOENCODING"] = "utf-8"</t>
        </is>
      </c>
    </row>
    <row r="109">
      <c r="A109" s="9" t="n">
        <v>106</v>
      </c>
      <c r="B109" s="10" t="inlineStr"/>
    </row>
    <row r="110">
      <c r="A110" s="7" t="n">
        <v>107</v>
      </c>
      <c r="B110" s="8" t="inlineStr">
        <is>
          <t xml:space="preserve">        try:</t>
        </is>
      </c>
    </row>
    <row r="111">
      <c r="A111" s="9" t="n">
        <v>108</v>
      </c>
      <c r="B111" s="10" t="inlineStr">
        <is>
          <t xml:space="preserve">            self.proc = subprocess.Popen(</t>
        </is>
      </c>
    </row>
    <row r="112">
      <c r="A112" s="7" t="n">
        <v>109</v>
      </c>
      <c r="B112" s="8" t="inlineStr">
        <is>
          <t xml:space="preserve">                cmd,</t>
        </is>
      </c>
    </row>
    <row r="113">
      <c r="A113" s="9" t="n">
        <v>110</v>
      </c>
      <c r="B113" s="10" t="inlineStr">
        <is>
          <t xml:space="preserve">                cwd=str(PROJECT_ROOT),</t>
        </is>
      </c>
    </row>
    <row r="114">
      <c r="A114" s="7" t="n">
        <v>111</v>
      </c>
      <c r="B114" s="8" t="inlineStr">
        <is>
          <t xml:space="preserve">                stdout=subprocess.PIPE,</t>
        </is>
      </c>
    </row>
    <row r="115">
      <c r="A115" s="9" t="n">
        <v>112</v>
      </c>
      <c r="B115" s="10" t="inlineStr">
        <is>
          <t xml:space="preserve">                stderr=subprocess.STDOUT,</t>
        </is>
      </c>
    </row>
    <row r="116">
      <c r="A116" s="7" t="n">
        <v>113</v>
      </c>
      <c r="B116" s="8" t="inlineStr">
        <is>
          <t xml:space="preserve">                stdin=subprocess.PIPE,</t>
        </is>
      </c>
    </row>
    <row r="117">
      <c r="A117" s="9" t="n">
        <v>114</v>
      </c>
      <c r="B117" s="10" t="inlineStr">
        <is>
          <t xml:space="preserve">                text=True,</t>
        </is>
      </c>
    </row>
    <row r="118">
      <c r="A118" s="7" t="n">
        <v>115</v>
      </c>
      <c r="B118" s="8" t="inlineStr">
        <is>
          <t xml:space="preserve">                bufsize=1,</t>
        </is>
      </c>
    </row>
    <row r="119">
      <c r="A119" s="9" t="n">
        <v>116</v>
      </c>
      <c r="B119" s="10" t="inlineStr">
        <is>
          <t xml:space="preserve">                encoding="utf-8",</t>
        </is>
      </c>
    </row>
    <row r="120">
      <c r="A120" s="7" t="n">
        <v>117</v>
      </c>
      <c r="B120" s="8" t="inlineStr">
        <is>
          <t xml:space="preserve">                errors="replace",</t>
        </is>
      </c>
    </row>
    <row r="121">
      <c r="A121" s="9" t="n">
        <v>118</v>
      </c>
      <c r="B121" s="10" t="inlineStr">
        <is>
          <t xml:space="preserve">                env=env,</t>
        </is>
      </c>
    </row>
    <row r="122">
      <c r="A122" s="7" t="n">
        <v>119</v>
      </c>
      <c r="B122" s="8" t="inlineStr">
        <is>
          <t xml:space="preserve">            )</t>
        </is>
      </c>
    </row>
    <row r="123">
      <c r="A123" s="9" t="n">
        <v>120</v>
      </c>
      <c r="B123" s="10" t="inlineStr">
        <is>
          <t xml:space="preserve">            self._started_at = time.time()</t>
        </is>
      </c>
    </row>
    <row r="124">
      <c r="A124" s="7" t="n">
        <v>121</v>
      </c>
      <c r="B124" s="8" t="inlineStr">
        <is>
          <t xml:space="preserve">            self._stdout_lines = []</t>
        </is>
      </c>
    </row>
    <row r="125">
      <c r="A125" s="9" t="n">
        <v>122</v>
      </c>
      <c r="B125" s="10" t="inlineStr">
        <is>
          <t xml:space="preserve">            self._stderr_lines = []</t>
        </is>
      </c>
    </row>
    <row r="126">
      <c r="A126" s="7" t="n">
        <v>123</v>
      </c>
      <c r="B126" s="8" t="inlineStr"/>
    </row>
    <row r="127">
      <c r="A127" s="9" t="n">
        <v>124</v>
      </c>
      <c r="B127" s="10" t="inlineStr">
        <is>
          <t xml:space="preserve">            # 启动日志读取线程</t>
        </is>
      </c>
    </row>
    <row r="128">
      <c r="A128" s="7" t="n">
        <v>125</v>
      </c>
      <c r="B128" s="8" t="inlineStr">
        <is>
          <t xml:space="preserve">            self._reader_thread = threading.Thread(</t>
        </is>
      </c>
    </row>
    <row r="129">
      <c r="A129" s="9" t="n">
        <v>126</v>
      </c>
      <c r="B129" s="10" t="inlineStr">
        <is>
          <t xml:space="preserve">                target=self._read_output, daemon=True</t>
        </is>
      </c>
    </row>
    <row r="130">
      <c r="A130" s="7" t="n">
        <v>127</v>
      </c>
      <c r="B130" s="8" t="inlineStr">
        <is>
          <t xml:space="preserve">            )</t>
        </is>
      </c>
    </row>
    <row r="131">
      <c r="A131" s="9" t="n">
        <v>128</v>
      </c>
      <c r="B131" s="10" t="inlineStr">
        <is>
          <t xml:space="preserve">            self._reader_thread.start()</t>
        </is>
      </c>
    </row>
    <row r="132">
      <c r="A132" s="7" t="n">
        <v>129</v>
      </c>
      <c r="B132" s="8" t="inlineStr"/>
    </row>
    <row r="133">
      <c r="A133" s="9" t="n">
        <v>130</v>
      </c>
      <c r="B133" s="10" t="inlineStr">
        <is>
          <t xml:space="preserve">            log(f"进程启动 PID={self.proc.pid}")</t>
        </is>
      </c>
    </row>
    <row r="134">
      <c r="A134" s="7" t="n">
        <v>131</v>
      </c>
      <c r="B134" s="8" t="inlineStr">
        <is>
          <t xml:space="preserve">            return True</t>
        </is>
      </c>
    </row>
    <row r="135">
      <c r="A135" s="9" t="n">
        <v>132</v>
      </c>
      <c r="B135" s="10" t="inlineStr">
        <is>
          <t xml:space="preserve">        except Exception as e:</t>
        </is>
      </c>
    </row>
    <row r="136">
      <c r="A136" s="7" t="n">
        <v>133</v>
      </c>
      <c r="B136" s="8" t="inlineStr">
        <is>
          <t xml:space="preserve">            log(f"启动失败: {e}", "ERROR")</t>
        </is>
      </c>
    </row>
    <row r="137">
      <c r="A137" s="9" t="n">
        <v>134</v>
      </c>
      <c r="B137" s="10" t="inlineStr">
        <is>
          <t xml:space="preserve">            return False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def stop(self, timeout: float = 10.0):</t>
        </is>
      </c>
    </row>
    <row r="140">
      <c r="A140" s="7" t="n">
        <v>137</v>
      </c>
      <c r="B140" s="8" t="inlineStr">
        <is>
          <t xml:space="preserve">        """优雅终止子进程"""</t>
        </is>
      </c>
    </row>
    <row r="141">
      <c r="A141" s="9" t="n">
        <v>138</v>
      </c>
      <c r="B141" s="10" t="inlineStr">
        <is>
          <t xml:space="preserve">        if self.proc is None:</t>
        </is>
      </c>
    </row>
    <row r="142">
      <c r="A142" s="7" t="n">
        <v>139</v>
      </c>
      <c r="B142" s="8" t="inlineStr">
        <is>
          <t xml:space="preserve">            return</t>
        </is>
      </c>
    </row>
    <row r="143">
      <c r="A143" s="9" t="n">
        <v>140</v>
      </c>
      <c r="B143" s="10" t="inlineStr">
        <is>
          <t xml:space="preserve">        log(f"终止进程 PID={self.proc.pid}...")</t>
        </is>
      </c>
    </row>
    <row r="144">
      <c r="A144" s="7" t="n">
        <v>141</v>
      </c>
      <c r="B144" s="8" t="inlineStr">
        <is>
          <t xml:space="preserve">        try:</t>
        </is>
      </c>
    </row>
    <row r="145">
      <c r="A145" s="9" t="n">
        <v>142</v>
      </c>
      <c r="B145" s="10" t="inlineStr">
        <is>
          <t xml:space="preserve">            if IS_WINDOWS:</t>
        </is>
      </c>
    </row>
    <row r="146">
      <c r="A146" s="7" t="n">
        <v>143</v>
      </c>
      <c r="B146" s="8" t="inlineStr">
        <is>
          <t xml:space="preserve">                self.proc.terminate()</t>
        </is>
      </c>
    </row>
    <row r="147">
      <c r="A147" s="9" t="n">
        <v>144</v>
      </c>
      <c r="B147" s="10" t="inlineStr">
        <is>
          <t xml:space="preserve">            else:</t>
        </is>
      </c>
    </row>
    <row r="148">
      <c r="A148" s="7" t="n">
        <v>145</v>
      </c>
      <c r="B148" s="8" t="inlineStr">
        <is>
          <t xml:space="preserve">                self.proc.send_signal(signal.SIGTERM)</t>
        </is>
      </c>
    </row>
    <row r="149">
      <c r="A149" s="9" t="n">
        <v>146</v>
      </c>
      <c r="B149" s="10" t="inlineStr">
        <is>
          <t xml:space="preserve">            try:</t>
        </is>
      </c>
    </row>
    <row r="150">
      <c r="A150" s="7" t="n">
        <v>147</v>
      </c>
      <c r="B150" s="8" t="inlineStr">
        <is>
          <t xml:space="preserve">                self.proc.wait(timeout=timeout)</t>
        </is>
      </c>
    </row>
    <row r="151">
      <c r="A151" s="9" t="n">
        <v>148</v>
      </c>
      <c r="B151" s="10" t="inlineStr">
        <is>
          <t xml:space="preserve">            except subprocess.TimeoutExpired:</t>
        </is>
      </c>
    </row>
    <row r="152">
      <c r="A152" s="7" t="n">
        <v>149</v>
      </c>
      <c r="B152" s="8" t="inlineStr">
        <is>
          <t xml:space="preserve">                self.proc.kill()</t>
        </is>
      </c>
    </row>
    <row r="153">
      <c r="A153" s="9" t="n">
        <v>150</v>
      </c>
      <c r="B153" s="10" t="inlineStr">
        <is>
          <t xml:space="preserve">                self.proc.wait(timeout=3)</t>
        </is>
      </c>
    </row>
    <row r="154">
      <c r="A154" s="7" t="n">
        <v>151</v>
      </c>
      <c r="B154" s="8" t="inlineStr">
        <is>
          <t xml:space="preserve">        except Exception as e:</t>
        </is>
      </c>
    </row>
    <row r="155">
      <c r="A155" s="9" t="n">
        <v>152</v>
      </c>
      <c r="B155" s="10" t="inlineStr">
        <is>
          <t xml:space="preserve">            log(f"终止进程异常: {e}", "WARN")</t>
        </is>
      </c>
    </row>
    <row r="156">
      <c r="A156" s="7" t="n">
        <v>153</v>
      </c>
      <c r="B156" s="8" t="inlineStr">
        <is>
          <t xml:space="preserve">        self.proc = None</t>
        </is>
      </c>
    </row>
    <row r="157">
      <c r="A157" s="9" t="n">
        <v>154</v>
      </c>
      <c r="B157" s="10" t="inlineStr">
        <is>
          <t xml:space="preserve">        self._started_at = None</t>
        </is>
      </c>
    </row>
    <row r="158">
      <c r="A158" s="7" t="n">
        <v>155</v>
      </c>
      <c r="B158" s="8" t="inlineStr"/>
    </row>
    <row r="159">
      <c r="A159" s="9" t="n">
        <v>156</v>
      </c>
      <c r="B159" s="10" t="inlineStr">
        <is>
          <t xml:space="preserve">    def _read_output(self):</t>
        </is>
      </c>
    </row>
    <row r="160">
      <c r="A160" s="7" t="n">
        <v>157</v>
      </c>
      <c r="B160" s="8" t="inlineStr">
        <is>
          <t xml:space="preserve">        """后台线程: 持续读取子进程输出"""</t>
        </is>
      </c>
    </row>
    <row r="161">
      <c r="A161" s="9" t="n">
        <v>158</v>
      </c>
      <c r="B161" s="10" t="inlineStr">
        <is>
          <t xml:space="preserve">        try:</t>
        </is>
      </c>
    </row>
    <row r="162">
      <c r="A162" s="7" t="n">
        <v>159</v>
      </c>
      <c r="B162" s="8" t="inlineStr">
        <is>
          <t xml:space="preserve">            for line in iter(self.proc.stdout.readline, ""):</t>
        </is>
      </c>
    </row>
    <row r="163">
      <c r="A163" s="9" t="n">
        <v>160</v>
      </c>
      <c r="B163" s="10" t="inlineStr">
        <is>
          <t xml:space="preserve">                if not line:</t>
        </is>
      </c>
    </row>
    <row r="164">
      <c r="A164" s="7" t="n">
        <v>161</v>
      </c>
      <c r="B164" s="8" t="inlineStr">
        <is>
          <t xml:space="preserve">                    break</t>
        </is>
      </c>
    </row>
    <row r="165">
      <c r="A165" s="9" t="n">
        <v>162</v>
      </c>
      <c r="B165" s="10" t="inlineStr">
        <is>
          <t xml:space="preserve">                line = line.rstrip("\n").rstrip("\r")</t>
        </is>
      </c>
    </row>
    <row r="166">
      <c r="A166" s="7" t="n">
        <v>163</v>
      </c>
      <c r="B166" s="8" t="inlineStr">
        <is>
          <t xml:space="preserve">                with self._lock:</t>
        </is>
      </c>
    </row>
    <row r="167">
      <c r="A167" s="9" t="n">
        <v>164</v>
      </c>
      <c r="B167" s="10" t="inlineStr">
        <is>
          <t xml:space="preserve">                    self._stdout_lines.append(line)</t>
        </is>
      </c>
    </row>
    <row r="168">
      <c r="A168" s="7" t="n">
        <v>165</v>
      </c>
      <c r="B168" s="8" t="inlineStr">
        <is>
          <t xml:space="preserve">                if len(self._stdout_lines) &gt; 10000:</t>
        </is>
      </c>
    </row>
    <row r="169">
      <c r="A169" s="9" t="n">
        <v>166</v>
      </c>
      <c r="B169" s="10" t="inlineStr">
        <is>
          <t xml:space="preserve">                    self._stdout_lines = self._stdout_lines[-5000:]</t>
        </is>
      </c>
    </row>
    <row r="170">
      <c r="A170" s="7" t="n">
        <v>167</v>
      </c>
      <c r="B170" s="8" t="inlineStr">
        <is>
          <t xml:space="preserve">        except (ValueError, OSError):</t>
        </is>
      </c>
    </row>
    <row r="171">
      <c r="A171" s="9" t="n">
        <v>168</v>
      </c>
      <c r="B171" s="10" t="inlineStr">
        <is>
          <t xml:space="preserve">            pass</t>
        </is>
      </c>
    </row>
    <row r="172">
      <c r="A172" s="7" t="n">
        <v>169</v>
      </c>
      <c r="B172" s="8" t="inlineStr">
        <is>
          <t xml:space="preserve">        except Exception as e:</t>
        </is>
      </c>
    </row>
    <row r="173">
      <c r="A173" s="9" t="n">
        <v>170</v>
      </c>
      <c r="B173" s="10" t="inlineStr">
        <is>
          <t xml:space="preserve">            log(f"读取输出线程异常: {e}", "WARN")</t>
        </is>
      </c>
    </row>
    <row r="174">
      <c r="A174" s="7" t="n">
        <v>171</v>
      </c>
      <c r="B174" s="8" t="inlineStr"/>
    </row>
    <row r="175">
      <c r="A175" s="9" t="n">
        <v>172</v>
      </c>
      <c r="B175" s="10" t="inlineStr">
        <is>
          <t xml:space="preserve">    def get_recent_output(self, tail: int = 200) -&gt; str:</t>
        </is>
      </c>
    </row>
    <row r="176">
      <c r="A176" s="7" t="n">
        <v>173</v>
      </c>
      <c r="B176" s="8" t="inlineStr">
        <is>
          <t xml:space="preserve">        """获取最近N行输出"""</t>
        </is>
      </c>
    </row>
    <row r="177">
      <c r="A177" s="9" t="n">
        <v>174</v>
      </c>
      <c r="B177" s="10" t="inlineStr">
        <is>
          <t xml:space="preserve">        with self._lock:</t>
        </is>
      </c>
    </row>
    <row r="178">
      <c r="A178" s="7" t="n">
        <v>175</v>
      </c>
      <c r="B178" s="8" t="inlineStr">
        <is>
          <t xml:space="preserve">            return "\n".join(self._stdout_lines[-tail:])</t>
        </is>
      </c>
    </row>
    <row r="179">
      <c r="A179" s="9" t="n">
        <v>176</v>
      </c>
      <c r="B179" s="10" t="inlineStr"/>
    </row>
    <row r="180">
      <c r="A180" s="7" t="n">
        <v>177</v>
      </c>
      <c r="B180" s="8" t="inlineStr">
        <is>
          <t xml:space="preserve">    def search_output(self, pattern: str) -&gt; List[str]:</t>
        </is>
      </c>
    </row>
    <row r="181">
      <c r="A181" s="9" t="n">
        <v>178</v>
      </c>
      <c r="B181" s="10" t="inlineStr">
        <is>
          <t xml:space="preserve">        """在输出中搜索匹配行"""</t>
        </is>
      </c>
    </row>
    <row r="182">
      <c r="A182" s="7" t="n">
        <v>179</v>
      </c>
      <c r="B182" s="8" t="inlineStr">
        <is>
          <t xml:space="preserve">        regex = re.compile(pattern, re.IGNORECASE)</t>
        </is>
      </c>
    </row>
    <row r="183">
      <c r="A183" s="9" t="n">
        <v>180</v>
      </c>
      <c r="B183" s="10" t="inlineStr">
        <is>
          <t xml:space="preserve">        matches = []</t>
        </is>
      </c>
    </row>
    <row r="184">
      <c r="A184" s="7" t="n">
        <v>181</v>
      </c>
      <c r="B184" s="8" t="inlineStr">
        <is>
          <t xml:space="preserve">        with self._lock:</t>
        </is>
      </c>
    </row>
    <row r="185">
      <c r="A185" s="9" t="n">
        <v>182</v>
      </c>
      <c r="B185" s="10" t="inlineStr">
        <is>
          <t xml:space="preserve">            for line in self._stdout_lines:</t>
        </is>
      </c>
    </row>
    <row r="186">
      <c r="A186" s="7" t="n">
        <v>183</v>
      </c>
      <c r="B186" s="8" t="inlineStr">
        <is>
          <t xml:space="preserve">                if regex.search(line):</t>
        </is>
      </c>
    </row>
    <row r="187">
      <c r="A187" s="9" t="n">
        <v>184</v>
      </c>
      <c r="B187" s="10" t="inlineStr">
        <is>
          <t xml:space="preserve">                    matches.append(line)</t>
        </is>
      </c>
    </row>
    <row r="188">
      <c r="A188" s="7" t="n">
        <v>185</v>
      </c>
      <c r="B188" s="8" t="inlineStr">
        <is>
          <t xml:space="preserve">        return matches</t>
        </is>
      </c>
    </row>
    <row r="189">
      <c r="A189" s="9" t="n">
        <v>186</v>
      </c>
      <c r="B189" s="10" t="inlineStr"/>
    </row>
    <row r="190">
      <c r="A190" s="7" t="n">
        <v>187</v>
      </c>
      <c r="B190" s="8" t="inlineStr">
        <is>
          <t xml:space="preserve">    def write_stdin(self, text: str):</t>
        </is>
      </c>
    </row>
    <row r="191">
      <c r="A191" s="9" t="n">
        <v>188</v>
      </c>
      <c r="B191" s="10" t="inlineStr">
        <is>
          <t xml:space="preserve">        """向子进程写入内容（用于CLI交互）"""</t>
        </is>
      </c>
    </row>
    <row r="192">
      <c r="A192" s="7" t="n">
        <v>189</v>
      </c>
      <c r="B192" s="8" t="inlineStr">
        <is>
          <t xml:space="preserve">        if self.proc and self.proc.stdin:</t>
        </is>
      </c>
    </row>
    <row r="193">
      <c r="A193" s="9" t="n">
        <v>190</v>
      </c>
      <c r="B193" s="10" t="inlineStr">
        <is>
          <t xml:space="preserve">            try:</t>
        </is>
      </c>
    </row>
    <row r="194">
      <c r="A194" s="7" t="n">
        <v>191</v>
      </c>
      <c r="B194" s="8" t="inlineStr">
        <is>
          <t xml:space="preserve">                self.proc.stdin.write(text + "\n")</t>
        </is>
      </c>
    </row>
    <row r="195">
      <c r="A195" s="9" t="n">
        <v>192</v>
      </c>
      <c r="B195" s="10" t="inlineStr">
        <is>
          <t xml:space="preserve">                self.proc.stdin.flush()</t>
        </is>
      </c>
    </row>
    <row r="196">
      <c r="A196" s="7" t="n">
        <v>193</v>
      </c>
      <c r="B196" s="8" t="inlineStr">
        <is>
          <t xml:space="preserve">            except Exception:</t>
        </is>
      </c>
    </row>
    <row r="197">
      <c r="A197" s="9" t="n">
        <v>194</v>
      </c>
      <c r="B197" s="10" t="inlineStr">
        <is>
          <t xml:space="preserve">                pass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/>
    </row>
    <row r="200">
      <c r="A200" s="7" t="n">
        <v>197</v>
      </c>
      <c r="B200" s="8" t="inlineStr">
        <is>
          <t># ═══════════════════════════════════════════════════</t>
        </is>
      </c>
    </row>
    <row r="201">
      <c r="A201" s="9" t="n">
        <v>198</v>
      </c>
      <c r="B201" s="10" t="inlineStr">
        <is>
          <t># 模块2: 测试操作执行器（CLI模式 — 无GUI依赖）</t>
        </is>
      </c>
    </row>
    <row r="202">
      <c r="A202" s="7" t="n">
        <v>199</v>
      </c>
      <c r="B202" s="8" t="inlineStr">
        <is>
          <t># ═══════════════════════════════════════════════════</t>
        </is>
      </c>
    </row>
    <row r="203">
      <c r="A203" s="9" t="n">
        <v>200</v>
      </c>
      <c r="B203" s="10" t="inlineStr"/>
    </row>
    <row r="204">
      <c r="A204" s="7" t="n">
        <v>201</v>
      </c>
      <c r="B204" s="8" t="inlineStr">
        <is>
          <t>class TestRunner:</t>
        </is>
      </c>
    </row>
    <row r="205">
      <c r="A205" s="9" t="n">
        <v>202</v>
      </c>
      <c r="B205" s="10" t="inlineStr">
        <is>
          <t xml:space="preserve">    """</t>
        </is>
      </c>
    </row>
    <row r="206">
      <c r="A206" s="7" t="n">
        <v>203</v>
      </c>
      <c r="B206" s="8" t="inlineStr">
        <is>
          <t xml:space="preserve">    通过 CLI 模式运行各项功能测试。</t>
        </is>
      </c>
    </row>
    <row r="207">
      <c r="A207" s="9" t="n">
        <v>204</v>
      </c>
      <c r="B207" s="10" t="inlineStr">
        <is>
          <t xml:space="preserve">    GUI 自动化需要 pyautogui 等库，这里先提供 CLI 版本的测试框架。</t>
        </is>
      </c>
    </row>
    <row r="208">
      <c r="A208" s="7" t="n">
        <v>205</v>
      </c>
      <c r="B208" s="8" t="inlineStr">
        <is>
          <t xml:space="preserve">    """</t>
        </is>
      </c>
    </row>
    <row r="209">
      <c r="A209" s="9" t="n">
        <v>206</v>
      </c>
      <c r="B209" s="10" t="inlineStr"/>
    </row>
    <row r="210">
      <c r="A210" s="7" t="n">
        <v>207</v>
      </c>
      <c r="B210" s="8" t="inlineStr">
        <is>
          <t xml:space="preserve">    def __init__(self, pm: ProcessManager):</t>
        </is>
      </c>
    </row>
    <row r="211">
      <c r="A211" s="9" t="n">
        <v>208</v>
      </c>
      <c r="B211" s="10" t="inlineStr">
        <is>
          <t xml:space="preserve">        self.pm = pm</t>
        </is>
      </c>
    </row>
    <row r="212">
      <c r="A212" s="7" t="n">
        <v>209</v>
      </c>
      <c r="B212" s="8" t="inlineStr"/>
    </row>
    <row r="213">
      <c r="A213" s="9" t="n">
        <v>210</v>
      </c>
      <c r="B213" s="10" t="inlineStr">
        <is>
          <t xml:space="preserve">    # ── CLI 模式测试（子进程调用 树剪.py --cli）──</t>
        </is>
      </c>
    </row>
    <row r="214">
      <c r="A214" s="7" t="n">
        <v>211</v>
      </c>
      <c r="B214" s="8" t="inlineStr"/>
    </row>
    <row r="215">
      <c r="A215" s="9" t="n">
        <v>212</v>
      </c>
      <c r="B215" s="10" t="inlineStr">
        <is>
          <t xml:space="preserve">    def test_single_generate(self, keyword: str = "岩板台面") -&gt; dict:</t>
        </is>
      </c>
    </row>
    <row r="216">
      <c r="A216" s="7" t="n">
        <v>213</v>
      </c>
      <c r="B216" s="8" t="inlineStr">
        <is>
          <t xml:space="preserve">        """测试: 单次生成视频"""</t>
        </is>
      </c>
    </row>
    <row r="217">
      <c r="A217" s="9" t="n">
        <v>214</v>
      </c>
      <c r="B217" s="10" t="inlineStr">
        <is>
          <t xml:space="preserve">        log(f"  测试: 单次生成 (关键词={keyword})")</t>
        </is>
      </c>
    </row>
    <row r="218">
      <c r="A218" s="7" t="n">
        <v>215</v>
      </c>
      <c r="B218" s="8" t="inlineStr">
        <is>
          <t xml:space="preserve">        result = {"action": "single_generate", "keyword": keyword, "success": False, "error": None}</t>
        </is>
      </c>
    </row>
    <row r="219">
      <c r="A219" s="9" t="n">
        <v>216</v>
      </c>
      <c r="B219" s="10" t="inlineStr"/>
    </row>
    <row r="220">
      <c r="A220" s="7" t="n">
        <v>217</v>
      </c>
      <c r="B220" s="8" t="inlineStr">
        <is>
          <t xml:space="preserve">        cmd = [sys.executable, str(TREE_SCRIPT), "--cli", keyword, "--tts", "--auto-bgm"]</t>
        </is>
      </c>
    </row>
    <row r="221">
      <c r="A221" s="9" t="n">
        <v>218</v>
      </c>
      <c r="B221" s="10" t="inlineStr">
        <is>
          <t xml:space="preserve">        try:</t>
        </is>
      </c>
    </row>
    <row r="222">
      <c r="A222" s="7" t="n">
        <v>219</v>
      </c>
      <c r="B222" s="8" t="inlineStr">
        <is>
          <t xml:space="preserve">            p = subprocess.run(</t>
        </is>
      </c>
    </row>
    <row r="223">
      <c r="A223" s="9" t="n">
        <v>220</v>
      </c>
      <c r="B223" s="10" t="inlineStr">
        <is>
          <t xml:space="preserve">                cmd, cwd=str(PROJECT_ROOT), capture_output=True,</t>
        </is>
      </c>
    </row>
    <row r="224">
      <c r="A224" s="7" t="n">
        <v>221</v>
      </c>
      <c r="B224" s="8" t="inlineStr">
        <is>
          <t xml:space="preserve">                text=True, timeout=120, encoding="utf-8", errors="replace"</t>
        </is>
      </c>
    </row>
    <row r="225">
      <c r="A225" s="9" t="n">
        <v>222</v>
      </c>
      <c r="B225" s="10" t="inlineStr">
        <is>
          <t xml:space="preserve">            )</t>
        </is>
      </c>
    </row>
    <row r="226">
      <c r="A226" s="7" t="n">
        <v>223</v>
      </c>
      <c r="B226" s="8" t="inlineStr">
        <is>
          <t xml:space="preserve">            output = p.stdout + "\n" + p.stderr</t>
        </is>
      </c>
    </row>
    <row r="227">
      <c r="A227" s="9" t="n">
        <v>224</v>
      </c>
      <c r="B227" s="10" t="inlineStr">
        <is>
          <t xml:space="preserve">            if "草稿已生成" in output or "OK" in output:</t>
        </is>
      </c>
    </row>
    <row r="228">
      <c r="A228" s="7" t="n">
        <v>225</v>
      </c>
      <c r="B228" s="8" t="inlineStr">
        <is>
          <t xml:space="preserve">                result["success"] = True</t>
        </is>
      </c>
    </row>
    <row r="229">
      <c r="A229" s="9" t="n">
        <v>226</v>
      </c>
      <c r="B229" s="10" t="inlineStr">
        <is>
          <t xml:space="preserve">                log(f"    [OK] {keyword} 生成成功")</t>
        </is>
      </c>
    </row>
    <row r="230">
      <c r="A230" s="7" t="n">
        <v>227</v>
      </c>
      <c r="B230" s="8" t="inlineStr">
        <is>
          <t xml:space="preserve">            elif "Traceback" in output:</t>
        </is>
      </c>
    </row>
    <row r="231">
      <c r="A231" s="9" t="n">
        <v>228</v>
      </c>
      <c r="B231" s="10" t="inlineStr">
        <is>
          <t xml:space="preserve">                result["error"] = self._extract_error(output)</t>
        </is>
      </c>
    </row>
    <row r="232">
      <c r="A232" s="7" t="n">
        <v>229</v>
      </c>
      <c r="B232" s="8" t="inlineStr">
        <is>
          <t xml:space="preserve">                log(f"    [FAIL] {result['error'].get('type','?')}: {result['error'].get('msg','?')}")</t>
        </is>
      </c>
    </row>
    <row r="233">
      <c r="A233" s="9" t="n">
        <v>230</v>
      </c>
      <c r="B233" s="10" t="inlineStr">
        <is>
          <t xml:space="preserve">            elif p.returncode != 0:</t>
        </is>
      </c>
    </row>
    <row r="234">
      <c r="A234" s="7" t="n">
        <v>231</v>
      </c>
      <c r="B234" s="8" t="inlineStr">
        <is>
          <t xml:space="preserve">                result["error"] = {"type": "NonZeroExit", "msg": f"returncode={p.returncode}"}</t>
        </is>
      </c>
    </row>
    <row r="235">
      <c r="A235" s="9" t="n">
        <v>232</v>
      </c>
      <c r="B235" s="10" t="inlineStr">
        <is>
          <t xml:space="preserve">                log(f"    [FAIL] 退出码={p.returncode}")</t>
        </is>
      </c>
    </row>
    <row r="236">
      <c r="A236" s="7" t="n">
        <v>233</v>
      </c>
      <c r="B236" s="8" t="inlineStr">
        <is>
          <t xml:space="preserve">            else:</t>
        </is>
      </c>
    </row>
    <row r="237">
      <c r="A237" s="9" t="n">
        <v>234</v>
      </c>
      <c r="B237" s="10" t="inlineStr">
        <is>
          <t xml:space="preserve">                result["success"] = True  # 未检测到明确错误</t>
        </is>
      </c>
    </row>
    <row r="238">
      <c r="A238" s="7" t="n">
        <v>235</v>
      </c>
      <c r="B238" s="8" t="inlineStr">
        <is>
          <t xml:space="preserve">        except subprocess.TimeoutExpired:</t>
        </is>
      </c>
    </row>
    <row r="239">
      <c r="A239" s="9" t="n">
        <v>236</v>
      </c>
      <c r="B239" s="10" t="inlineStr">
        <is>
          <t xml:space="preserve">            result["error"] = {"type": "Timeout", "msg": "生成超时(120s)"}</t>
        </is>
      </c>
    </row>
    <row r="240">
      <c r="A240" s="7" t="n">
        <v>237</v>
      </c>
      <c r="B240" s="8" t="inlineStr">
        <is>
          <t xml:space="preserve">            log("    [TIMEOUT] 生成超时")</t>
        </is>
      </c>
    </row>
    <row r="241">
      <c r="A241" s="9" t="n">
        <v>238</v>
      </c>
      <c r="B241" s="10" t="inlineStr">
        <is>
          <t xml:space="preserve">        except Exception as e:</t>
        </is>
      </c>
    </row>
    <row r="242">
      <c r="A242" s="7" t="n">
        <v>239</v>
      </c>
      <c r="B242" s="8" t="inlineStr">
        <is>
          <t xml:space="preserve">            result["error"] = {"type": type(e).__name__, "msg": str(e)}</t>
        </is>
      </c>
    </row>
    <row r="243">
      <c r="A243" s="9" t="n">
        <v>240</v>
      </c>
      <c r="B243" s="10" t="inlineStr">
        <is>
          <t xml:space="preserve">            log(f"    [EXCEPT] {e}")</t>
        </is>
      </c>
    </row>
    <row r="244">
      <c r="A244" s="7" t="n">
        <v>241</v>
      </c>
      <c r="B244" s="8" t="inlineStr"/>
    </row>
    <row r="245">
      <c r="A245" s="9" t="n">
        <v>242</v>
      </c>
      <c r="B245" s="10" t="inlineStr">
        <is>
          <t xml:space="preserve">        return result</t>
        </is>
      </c>
    </row>
    <row r="246">
      <c r="A246" s="7" t="n">
        <v>243</v>
      </c>
      <c r="B246" s="8" t="inlineStr"/>
    </row>
    <row r="247">
      <c r="A247" s="9" t="n">
        <v>244</v>
      </c>
      <c r="B247" s="10" t="inlineStr">
        <is>
          <t xml:space="preserve">    def test_batch_generate(self, count: int = 3) -&gt; dict:</t>
        </is>
      </c>
    </row>
    <row r="248">
      <c r="A248" s="7" t="n">
        <v>245</v>
      </c>
      <c r="B248" s="8" t="inlineStr">
        <is>
          <t xml:space="preserve">        """测试: 批量生成"""</t>
        </is>
      </c>
    </row>
    <row r="249">
      <c r="A249" s="9" t="n">
        <v>246</v>
      </c>
      <c r="B249" s="10" t="inlineStr">
        <is>
          <t xml:space="preserve">        log(f"  测试: 批量生成 (数量={count})")</t>
        </is>
      </c>
    </row>
    <row r="250">
      <c r="A250" s="7" t="n">
        <v>247</v>
      </c>
      <c r="B250" s="8" t="inlineStr">
        <is>
          <t xml:space="preserve">        result = {"action": "batch_generate", "count": count, "success": False, "error": None}</t>
        </is>
      </c>
    </row>
    <row r="251">
      <c r="A251" s="9" t="n">
        <v>248</v>
      </c>
      <c r="B251" s="10" t="inlineStr"/>
    </row>
    <row r="252">
      <c r="A252" s="7" t="n">
        <v>249</v>
      </c>
      <c r="B252" s="8" t="inlineStr">
        <is>
          <t xml:space="preserve">        cmd = [sys.executable, str(TREE_SCRIPT), "--batch", str(count), "--tts", "--auto-bgm"]</t>
        </is>
      </c>
    </row>
    <row r="253">
      <c r="A253" s="9" t="n">
        <v>250</v>
      </c>
      <c r="B253" s="10" t="inlineStr">
        <is>
          <t xml:space="preserve">        try:</t>
        </is>
      </c>
    </row>
    <row r="254">
      <c r="A254" s="7" t="n">
        <v>251</v>
      </c>
      <c r="B254" s="8" t="inlineStr">
        <is>
          <t xml:space="preserve">            p = subprocess.run(</t>
        </is>
      </c>
    </row>
    <row r="255">
      <c r="A255" s="9" t="n">
        <v>252</v>
      </c>
      <c r="B255" s="10" t="inlineStr">
        <is>
          <t xml:space="preserve">                cmd, cwd=str(PROJECT_ROOT), capture_output=True,</t>
        </is>
      </c>
    </row>
    <row r="256">
      <c r="A256" s="7" t="n">
        <v>253</v>
      </c>
      <c r="B256" s="8" t="inlineStr">
        <is>
          <t xml:space="preserve">                text=True, timeout=300, encoding="utf-8", errors="replace"</t>
        </is>
      </c>
    </row>
    <row r="257">
      <c r="A257" s="9" t="n">
        <v>254</v>
      </c>
      <c r="B257" s="10" t="inlineStr">
        <is>
          <t xml:space="preserve">            )</t>
        </is>
      </c>
    </row>
    <row r="258">
      <c r="A258" s="7" t="n">
        <v>255</v>
      </c>
      <c r="B258" s="8" t="inlineStr">
        <is>
          <t xml:space="preserve">            output = p.stdout + "\n" + p.stderr</t>
        </is>
      </c>
    </row>
    <row r="259">
      <c r="A259" s="9" t="n">
        <v>256</v>
      </c>
      <c r="B259" s="10" t="inlineStr">
        <is>
          <t xml:space="preserve">            success_count = output.count("[OK]")</t>
        </is>
      </c>
    </row>
    <row r="260">
      <c r="A260" s="7" t="n">
        <v>257</v>
      </c>
      <c r="B260" s="8" t="inlineStr">
        <is>
          <t xml:space="preserve">            fail_count = output.count("[FAIL]")</t>
        </is>
      </c>
    </row>
    <row r="261">
      <c r="A261" s="9" t="n">
        <v>258</v>
      </c>
      <c r="B261" s="10" t="inlineStr">
        <is>
          <t xml:space="preserve">            if "Traceback" in output:</t>
        </is>
      </c>
    </row>
    <row r="262">
      <c r="A262" s="7" t="n">
        <v>259</v>
      </c>
      <c r="B262" s="8" t="inlineStr">
        <is>
          <t xml:space="preserve">                result["error"] = self._extract_error(output)</t>
        </is>
      </c>
    </row>
    <row r="263">
      <c r="A263" s="9" t="n">
        <v>260</v>
      </c>
      <c r="B263" s="10" t="inlineStr">
        <is>
          <t xml:space="preserve">                log(f"    [FAIL] 批量生成错误: {result['error'].get('msg','?')}")</t>
        </is>
      </c>
    </row>
    <row r="264">
      <c r="A264" s="7" t="n">
        <v>261</v>
      </c>
      <c r="B264" s="8" t="inlineStr">
        <is>
          <t xml:space="preserve">            else:</t>
        </is>
      </c>
    </row>
    <row r="265">
      <c r="A265" s="9" t="n">
        <v>262</v>
      </c>
      <c r="B265" s="10" t="inlineStr">
        <is>
          <t xml:space="preserve">                result["success"] = success_count &gt; 0</t>
        </is>
      </c>
    </row>
    <row r="266">
      <c r="A266" s="7" t="n">
        <v>263</v>
      </c>
      <c r="B266" s="8" t="inlineStr">
        <is>
          <t xml:space="preserve">                log(f"    [DONE] 批量生成: 成功{success_count}/失败{fail_count}")</t>
        </is>
      </c>
    </row>
    <row r="267">
      <c r="A267" s="9" t="n">
        <v>264</v>
      </c>
      <c r="B267" s="10" t="inlineStr">
        <is>
          <t xml:space="preserve">        except subprocess.TimeoutExpired:</t>
        </is>
      </c>
    </row>
    <row r="268">
      <c r="A268" s="7" t="n">
        <v>265</v>
      </c>
      <c r="B268" s="8" t="inlineStr">
        <is>
          <t xml:space="preserve">            result["error"] = {"type": "Timeout", "msg": "批量生成超时(300s)"}</t>
        </is>
      </c>
    </row>
    <row r="269">
      <c r="A269" s="9" t="n">
        <v>266</v>
      </c>
      <c r="B269" s="10" t="inlineStr">
        <is>
          <t xml:space="preserve">            log("    [TIMEOUT]")</t>
        </is>
      </c>
    </row>
    <row r="270">
      <c r="A270" s="7" t="n">
        <v>267</v>
      </c>
      <c r="B270" s="8" t="inlineStr">
        <is>
          <t xml:space="preserve">        except Exception as e:</t>
        </is>
      </c>
    </row>
    <row r="271">
      <c r="A271" s="9" t="n">
        <v>268</v>
      </c>
      <c r="B271" s="10" t="inlineStr">
        <is>
          <t xml:space="preserve">            result["error"] = {"type": type(e).__name__, "msg": str(e)}</t>
        </is>
      </c>
    </row>
    <row r="272">
      <c r="A272" s="7" t="n">
        <v>269</v>
      </c>
      <c r="B272" s="8" t="inlineStr">
        <is>
          <t xml:space="preserve">            log(f"    [EXCEPT] {e}")</t>
        </is>
      </c>
    </row>
    <row r="273">
      <c r="A273" s="9" t="n">
        <v>270</v>
      </c>
      <c r="B273" s="10" t="inlineStr"/>
    </row>
    <row r="274">
      <c r="A274" s="7" t="n">
        <v>271</v>
      </c>
      <c r="B274" s="8" t="inlineStr">
        <is>
          <t xml:space="preserve">        return result</t>
        </is>
      </c>
    </row>
    <row r="275">
      <c r="A275" s="9" t="n">
        <v>272</v>
      </c>
      <c r="B275" s="10" t="inlineStr"/>
    </row>
    <row r="276">
      <c r="A276" s="7" t="n">
        <v>273</v>
      </c>
      <c r="B276" s="8" t="inlineStr">
        <is>
          <t xml:space="preserve">    def test_system_status(self) -&gt; dict:</t>
        </is>
      </c>
    </row>
    <row r="277">
      <c r="A277" s="9" t="n">
        <v>274</v>
      </c>
      <c r="B277" s="10" t="inlineStr">
        <is>
          <t xml:space="preserve">        """测试: 系统状态检查"""</t>
        </is>
      </c>
    </row>
    <row r="278">
      <c r="A278" s="7" t="n">
        <v>275</v>
      </c>
      <c r="B278" s="8" t="inlineStr">
        <is>
          <t xml:space="preserve">        log("  测试: 系统状态")</t>
        </is>
      </c>
    </row>
    <row r="279">
      <c r="A279" s="9" t="n">
        <v>276</v>
      </c>
      <c r="B279" s="10" t="inlineStr">
        <is>
          <t xml:space="preserve">        result = {"action": "system_status", "success": False, "error": None}</t>
        </is>
      </c>
    </row>
    <row r="280">
      <c r="A280" s="7" t="n">
        <v>277</v>
      </c>
      <c r="B280" s="8" t="inlineStr">
        <is>
          <t xml:space="preserve">        cmd = [sys.executable, str(TREE_SCRIPT), "--status"]</t>
        </is>
      </c>
    </row>
    <row r="281">
      <c r="A281" s="9" t="n">
        <v>278</v>
      </c>
      <c r="B281" s="10" t="inlineStr">
        <is>
          <t xml:space="preserve">        try:</t>
        </is>
      </c>
    </row>
    <row r="282">
      <c r="A282" s="7" t="n">
        <v>279</v>
      </c>
      <c r="B282" s="8" t="inlineStr">
        <is>
          <t xml:space="preserve">            p = subprocess.run(</t>
        </is>
      </c>
    </row>
    <row r="283">
      <c r="A283" s="9" t="n">
        <v>280</v>
      </c>
      <c r="B283" s="10" t="inlineStr">
        <is>
          <t xml:space="preserve">                cmd, cwd=str(PROJECT_ROOT), capture_output=True,</t>
        </is>
      </c>
    </row>
    <row r="284">
      <c r="A284" s="7" t="n">
        <v>281</v>
      </c>
      <c r="B284" s="8" t="inlineStr">
        <is>
          <t xml:space="preserve">                text=True, timeout=30, encoding="utf-8", errors="replace"</t>
        </is>
      </c>
    </row>
    <row r="285">
      <c r="A285" s="9" t="n">
        <v>282</v>
      </c>
      <c r="B285" s="10" t="inlineStr">
        <is>
          <t xml:space="preserve">            )</t>
        </is>
      </c>
    </row>
    <row r="286">
      <c r="A286" s="7" t="n">
        <v>283</v>
      </c>
      <c r="B286" s="8" t="inlineStr">
        <is>
          <t xml:space="preserve">            output = p.stdout</t>
        </is>
      </c>
    </row>
    <row r="287">
      <c r="A287" s="9" t="n">
        <v>284</v>
      </c>
      <c r="B287" s="10" t="inlineStr">
        <is>
          <t xml:space="preserve">            # 检查关键信息</t>
        </is>
      </c>
    </row>
    <row r="288">
      <c r="A288" s="7" t="n">
        <v>285</v>
      </c>
      <c r="B288" s="8" t="inlineStr">
        <is>
          <t xml:space="preserve">            checks = {</t>
        </is>
      </c>
    </row>
    <row r="289">
      <c r="A289" s="9" t="n">
        <v>286</v>
      </c>
      <c r="B289" s="10" t="inlineStr">
        <is>
          <t xml:space="preserve">                "FAISS索引": "[OK]" if "[OK]" in output else "缺失",</t>
        </is>
      </c>
    </row>
    <row r="290">
      <c r="A290" s="7" t="n">
        <v>287</v>
      </c>
      <c r="B290" s="8" t="inlineStr">
        <is>
          <t xml:space="preserve">                "素材片段": "有数据" if "素材片段" in output else "无数据",</t>
        </is>
      </c>
    </row>
    <row r="291">
      <c r="A291" s="9" t="n">
        <v>288</v>
      </c>
      <c r="B291" s="10" t="inlineStr">
        <is>
          <t xml:space="preserve">                "DeepSeek": "[OK]" if "[OK] 已配置" in output else "未配置",</t>
        </is>
      </c>
    </row>
    <row r="292">
      <c r="A292" s="7" t="n">
        <v>289</v>
      </c>
      <c r="B292" s="8" t="inlineStr">
        <is>
          <t xml:space="preserve">            }</t>
        </is>
      </c>
    </row>
    <row r="293">
      <c r="A293" s="9" t="n">
        <v>290</v>
      </c>
      <c r="B293" s="10" t="inlineStr">
        <is>
          <t xml:space="preserve">            result["checks"] = checks</t>
        </is>
      </c>
    </row>
    <row r="294">
      <c r="A294" s="7" t="n">
        <v>291</v>
      </c>
      <c r="B294" s="8" t="inlineStr">
        <is>
          <t xml:space="preserve">            result["success"] = all(v in output for v in ["素材片段", "FAISS"])</t>
        </is>
      </c>
    </row>
    <row r="295">
      <c r="A295" s="9" t="n">
        <v>292</v>
      </c>
      <c r="B295" s="10" t="inlineStr">
        <is>
          <t xml:space="preserve">            log(f"    [DONE] FAISS={checks['FAISS索引']}, 素材={checks['素材片段']}")</t>
        </is>
      </c>
    </row>
    <row r="296">
      <c r="A296" s="7" t="n">
        <v>293</v>
      </c>
      <c r="B296" s="8" t="inlineStr">
        <is>
          <t xml:space="preserve">        except Exception as e:</t>
        </is>
      </c>
    </row>
    <row r="297">
      <c r="A297" s="9" t="n">
        <v>294</v>
      </c>
      <c r="B297" s="10" t="inlineStr">
        <is>
          <t xml:space="preserve">            result["error"] = {"type": type(e).__name__, "msg": str(e)}</t>
        </is>
      </c>
    </row>
    <row r="298">
      <c r="A298" s="7" t="n">
        <v>295</v>
      </c>
      <c r="B298" s="8" t="inlineStr">
        <is>
          <t xml:space="preserve">            log(f"    [EXCEPT] {e}")</t>
        </is>
      </c>
    </row>
    <row r="299">
      <c r="A299" s="9" t="n">
        <v>296</v>
      </c>
      <c r="B299" s="10" t="inlineStr">
        <is>
          <t xml:space="preserve">        return result</t>
        </is>
      </c>
    </row>
    <row r="300">
      <c r="A300" s="7" t="n">
        <v>297</v>
      </c>
      <c r="B300" s="8" t="inlineStr"/>
    </row>
    <row r="301">
      <c r="A301" s="9" t="n">
        <v>298</v>
      </c>
      <c r="B301" s="10" t="inlineStr">
        <is>
          <t xml:space="preserve">    def test_python_syntax(self) -&gt; dict:</t>
        </is>
      </c>
    </row>
    <row r="302">
      <c r="A302" s="7" t="n">
        <v>299</v>
      </c>
      <c r="B302" s="8" t="inlineStr">
        <is>
          <t xml:space="preserve">        """测试: 检查所有核心Python文件语法"""</t>
        </is>
      </c>
    </row>
    <row r="303">
      <c r="A303" s="9" t="n">
        <v>300</v>
      </c>
      <c r="B303" s="10" t="inlineStr">
        <is>
          <t xml:space="preserve">        log("  测试: Python语法检查")</t>
        </is>
      </c>
    </row>
    <row r="304">
      <c r="A304" s="7" t="n">
        <v>301</v>
      </c>
      <c r="B304" s="8" t="inlineStr">
        <is>
          <t xml:space="preserve">        result = {"action": "syntax_check", "success": True, "errors": []}</t>
        </is>
      </c>
    </row>
    <row r="305">
      <c r="A305" s="9" t="n">
        <v>302</v>
      </c>
      <c r="B305" s="10" t="inlineStr">
        <is>
          <t xml:space="preserve">        core_files = list(PROJECT_ROOT.glob("core/**/*.py"))</t>
        </is>
      </c>
    </row>
    <row r="306">
      <c r="A306" s="7" t="n">
        <v>303</v>
      </c>
      <c r="B306" s="8" t="inlineStr">
        <is>
          <t xml:space="preserve">        core_files += list(PROJECT_ROOT.glob("ui/**/*.py"))</t>
        </is>
      </c>
    </row>
    <row r="307">
      <c r="A307" s="9" t="n">
        <v>304</v>
      </c>
      <c r="B307" s="10" t="inlineStr">
        <is>
          <t xml:space="preserve">        core_files += list(PROJECT_ROOT.glob("material_engine_v3/**/*.py"))</t>
        </is>
      </c>
    </row>
    <row r="308">
      <c r="A308" s="7" t="n">
        <v>305</v>
      </c>
      <c r="B308" s="8" t="inlineStr">
        <is>
          <t xml:space="preserve">        core_files.append(PROJECT_ROOT / "树剪.py")</t>
        </is>
      </c>
    </row>
    <row r="309">
      <c r="A309" s="9" t="n">
        <v>306</v>
      </c>
      <c r="B309" s="10" t="inlineStr"/>
    </row>
    <row r="310">
      <c r="A310" s="7" t="n">
        <v>307</v>
      </c>
      <c r="B310" s="8" t="inlineStr">
        <is>
          <t xml:space="preserve">        # 排除 __pycache__</t>
        </is>
      </c>
    </row>
    <row r="311">
      <c r="A311" s="9" t="n">
        <v>308</v>
      </c>
      <c r="B311" s="10" t="inlineStr">
        <is>
          <t xml:space="preserve">        core_files = [f for f in core_files if "__pycache__" not in str(f)]</t>
        </is>
      </c>
    </row>
    <row r="312">
      <c r="A312" s="7" t="n">
        <v>309</v>
      </c>
      <c r="B312" s="8" t="inlineStr">
        <is>
          <t xml:space="preserve">        checked = 0</t>
        </is>
      </c>
    </row>
    <row r="313">
      <c r="A313" s="9" t="n">
        <v>310</v>
      </c>
      <c r="B313" s="10" t="inlineStr">
        <is>
          <t xml:space="preserve">        for f in core_files:</t>
        </is>
      </c>
    </row>
    <row r="314">
      <c r="A314" s="7" t="n">
        <v>311</v>
      </c>
      <c r="B314" s="8" t="inlineStr">
        <is>
          <t xml:space="preserve">            try:</t>
        </is>
      </c>
    </row>
    <row r="315">
      <c r="A315" s="9" t="n">
        <v>312</v>
      </c>
      <c r="B315" s="10" t="inlineStr">
        <is>
          <t xml:space="preserve">                import py_compile</t>
        </is>
      </c>
    </row>
    <row r="316">
      <c r="A316" s="7" t="n">
        <v>313</v>
      </c>
      <c r="B316" s="8" t="inlineStr">
        <is>
          <t xml:space="preserve">                py_compile.compile(str(f), doraise=True)</t>
        </is>
      </c>
    </row>
    <row r="317">
      <c r="A317" s="9" t="n">
        <v>314</v>
      </c>
      <c r="B317" s="10" t="inlineStr">
        <is>
          <t xml:space="preserve">                checked += 1</t>
        </is>
      </c>
    </row>
    <row r="318">
      <c r="A318" s="7" t="n">
        <v>315</v>
      </c>
      <c r="B318" s="8" t="inlineStr">
        <is>
          <t xml:space="preserve">            except py_compile.PyCompileError as e:</t>
        </is>
      </c>
    </row>
    <row r="319">
      <c r="A319" s="9" t="n">
        <v>316</v>
      </c>
      <c r="B319" s="10" t="inlineStr">
        <is>
          <t xml:space="preserve">                result["success"] = False</t>
        </is>
      </c>
    </row>
    <row r="320">
      <c r="A320" s="7" t="n">
        <v>317</v>
      </c>
      <c r="B320" s="8" t="inlineStr">
        <is>
          <t xml:space="preserve">                result["errors"].append({"file": str(f.relative_to(PROJECT_ROOT)), "error": str(e)})</t>
        </is>
      </c>
    </row>
    <row r="321">
      <c r="A321" s="9" t="n">
        <v>318</v>
      </c>
      <c r="B321" s="10" t="inlineStr">
        <is>
          <t xml:space="preserve">            except Exception:</t>
        </is>
      </c>
    </row>
    <row r="322">
      <c r="A322" s="7" t="n">
        <v>319</v>
      </c>
      <c r="B322" s="8" t="inlineStr">
        <is>
          <t xml:space="preserve">                pass</t>
        </is>
      </c>
    </row>
    <row r="323">
      <c r="A323" s="9" t="n">
        <v>320</v>
      </c>
      <c r="B323" s="10" t="inlineStr"/>
    </row>
    <row r="324">
      <c r="A324" s="7" t="n">
        <v>321</v>
      </c>
      <c r="B324" s="8" t="inlineStr">
        <is>
          <t xml:space="preserve">        log(f"    [DONE] 语法检查: {checked}/{len(core_files)} 通过, {len(result['errors'])} 错误")</t>
        </is>
      </c>
    </row>
    <row r="325">
      <c r="A325" s="9" t="n">
        <v>322</v>
      </c>
      <c r="B325" s="10" t="inlineStr">
        <is>
          <t xml:space="preserve">        for err in result["errors"]:</t>
        </is>
      </c>
    </row>
    <row r="326">
      <c r="A326" s="7" t="n">
        <v>323</v>
      </c>
      <c r="B326" s="8" t="inlineStr">
        <is>
          <t xml:space="preserve">            log(f"    [FAIL] {err['file']}: {err['error']}")</t>
        </is>
      </c>
    </row>
    <row r="327">
      <c r="A327" s="9" t="n">
        <v>324</v>
      </c>
      <c r="B327" s="10" t="inlineStr"/>
    </row>
    <row r="328">
      <c r="A328" s="7" t="n">
        <v>325</v>
      </c>
      <c r="B328" s="8" t="inlineStr">
        <is>
          <t xml:space="preserve">        return result</t>
        </is>
      </c>
    </row>
    <row r="329">
      <c r="A329" s="9" t="n">
        <v>326</v>
      </c>
      <c r="B329" s="10" t="inlineStr"/>
    </row>
    <row r="330">
      <c r="A330" s="7" t="n">
        <v>327</v>
      </c>
      <c r="B330" s="8" t="inlineStr">
        <is>
          <t xml:space="preserve">    def test_frame_annotation(self) -&gt; dict:</t>
        </is>
      </c>
    </row>
    <row r="331">
      <c r="A331" s="9" t="n">
        <v>328</v>
      </c>
      <c r="B331" s="10" t="inlineStr">
        <is>
          <t xml:space="preserve">        """测试: 全帧识别（轻量模式: 单帧验证流水线, 120s超时）"""</t>
        </is>
      </c>
    </row>
    <row r="332">
      <c r="A332" s="7" t="n">
        <v>329</v>
      </c>
      <c r="B332" s="8" t="inlineStr">
        <is>
          <t xml:space="preserve">        result = {"action": "frame_annotation", "success": False, "error": None,</t>
        </is>
      </c>
    </row>
    <row r="333">
      <c r="A333" s="9" t="n">
        <v>330</v>
      </c>
      <c r="B333" s="10" t="inlineStr">
        <is>
          <t xml:space="preserve">                  "frames_found": 0, "mode": "single_frame"}</t>
        </is>
      </c>
    </row>
    <row r="334">
      <c r="A334" s="7" t="n">
        <v>331</v>
      </c>
      <c r="B334" s="8" t="inlineStr"/>
    </row>
    <row r="335">
      <c r="A335" s="9" t="n">
        <v>332</v>
      </c>
      <c r="B335" s="10" t="inlineStr">
        <is>
          <t xml:space="preserve">        from core.config import SELLING_POINT_DIR, EFFECTS_DIR, B_GROUP_PATH</t>
        </is>
      </c>
    </row>
    <row r="336">
      <c r="A336" s="7" t="n">
        <v>333</v>
      </c>
      <c r="B336" s="8" t="inlineStr">
        <is>
          <t xml:space="preserve">        search_dirs = [SELLING_POINT_DIR, EFFECTS_DIR, B_GROUP_PATH]</t>
        </is>
      </c>
    </row>
    <row r="337">
      <c r="A337" s="9" t="n">
        <v>334</v>
      </c>
      <c r="B337" s="10" t="inlineStr">
        <is>
          <t xml:space="preserve">        test_video = None</t>
        </is>
      </c>
    </row>
    <row r="338">
      <c r="A338" s="7" t="n">
        <v>335</v>
      </c>
      <c r="B338" s="8" t="inlineStr">
        <is>
          <t xml:space="preserve">        for sd in search_dirs:</t>
        </is>
      </c>
    </row>
    <row r="339">
      <c r="A339" s="9" t="n">
        <v>336</v>
      </c>
      <c r="B339" s="10" t="inlineStr">
        <is>
          <t xml:space="preserve">            mp4s = list(Path(str(sd)).rglob("*.mp4")) if os.path.exists(str(sd)) else []</t>
        </is>
      </c>
    </row>
    <row r="340">
      <c r="A340" s="7" t="n">
        <v>337</v>
      </c>
      <c r="B340" s="8" t="inlineStr">
        <is>
          <t xml:space="preserve">            if mp4s:</t>
        </is>
      </c>
    </row>
    <row r="341">
      <c r="A341" s="9" t="n">
        <v>338</v>
      </c>
      <c r="B341" s="10" t="inlineStr">
        <is>
          <t xml:space="preserve">                test_video = str(mp4s[0])</t>
        </is>
      </c>
    </row>
    <row r="342">
      <c r="A342" s="7" t="n">
        <v>339</v>
      </c>
      <c r="B342" s="8" t="inlineStr">
        <is>
          <t xml:space="preserve">                break</t>
        </is>
      </c>
    </row>
    <row r="343">
      <c r="A343" s="9" t="n">
        <v>340</v>
      </c>
      <c r="B343" s="10" t="inlineStr"/>
    </row>
    <row r="344">
      <c r="A344" s="7" t="n">
        <v>341</v>
      </c>
      <c r="B344" s="8" t="inlineStr">
        <is>
          <t xml:space="preserve">        if not test_video:</t>
        </is>
      </c>
    </row>
    <row r="345">
      <c r="A345" s="9" t="n">
        <v>342</v>
      </c>
      <c r="B345" s="10" t="inlineStr">
        <is>
          <t xml:space="preserve">            result["error"] = {"type": "MissingFile", "msg": "未找到测试视频"}</t>
        </is>
      </c>
    </row>
    <row r="346">
      <c r="A346" s="7" t="n">
        <v>343</v>
      </c>
      <c r="B346" s="8" t="inlineStr">
        <is>
          <t xml:space="preserve">            log("    [SKIP] 未找到 .mp4"); return result</t>
        </is>
      </c>
    </row>
    <row r="347">
      <c r="A347" s="9" t="n">
        <v>344</v>
      </c>
      <c r="B347" s="10" t="inlineStr"/>
    </row>
    <row r="348">
      <c r="A348" s="7" t="n">
        <v>345</v>
      </c>
      <c r="B348" s="8" t="inlineStr">
        <is>
          <t xml:space="preserve">        log(f"  测试视频: {Path(test_video).name}")</t>
        </is>
      </c>
    </row>
    <row r="349">
      <c r="A349" s="9" t="n">
        <v>346</v>
      </c>
      <c r="B349" s="10" t="inlineStr"/>
    </row>
    <row r="350">
      <c r="A350" s="7" t="n">
        <v>347</v>
      </c>
      <c r="B350" s="8" t="inlineStr">
        <is>
          <t xml:space="preserve">        try:</t>
        </is>
      </c>
    </row>
    <row r="351">
      <c r="A351" s="9" t="n">
        <v>348</v>
      </c>
      <c r="B351" s="10" t="inlineStr">
        <is>
          <t xml:space="preserve">            from core.smart_analyzer import get_analyzer</t>
        </is>
      </c>
    </row>
    <row r="352">
      <c r="A352" s="7" t="n">
        <v>349</v>
      </c>
      <c r="B352" s="8" t="inlineStr">
        <is>
          <t xml:space="preserve">            import threading as _thr</t>
        </is>
      </c>
    </row>
    <row r="353">
      <c r="A353" s="9" t="n">
        <v>350</v>
      </c>
      <c r="B353" s="10" t="inlineStr"/>
    </row>
    <row r="354">
      <c r="A354" s="7" t="n">
        <v>351</v>
      </c>
      <c r="B354" s="8" t="inlineStr">
        <is>
          <t xml:space="preserve">            analyzer = get_analyzer()</t>
        </is>
      </c>
    </row>
    <row r="355">
      <c r="A355" s="9" t="n">
        <v>352</v>
      </c>
      <c r="B355" s="10" t="inlineStr">
        <is>
          <t xml:space="preserve">            analyzer.reset_cancel()</t>
        </is>
      </c>
    </row>
    <row r="356">
      <c r="A356" s="7" t="n">
        <v>353</v>
      </c>
      <c r="B356" s="8" t="inlineStr"/>
    </row>
    <row r="357">
      <c r="A357" s="9" t="n">
        <v>354</v>
      </c>
      <c r="B357" s="10" t="inlineStr">
        <is>
          <t xml:space="preserve">            # 单帧验证: 只取第5秒处1帧, 120s超时</t>
        </is>
      </c>
    </row>
    <row r="358">
      <c r="A358" s="7" t="n">
        <v>355</v>
      </c>
      <c r="B358" s="8" t="inlineStr">
        <is>
          <t xml:space="preserve">            done = [False]; analysis = [None]</t>
        </is>
      </c>
    </row>
    <row r="359">
      <c r="A359" s="9" t="n">
        <v>356</v>
      </c>
      <c r="B359" s="10" t="inlineStr"/>
    </row>
    <row r="360">
      <c r="A360" s="7" t="n">
        <v>357</v>
      </c>
      <c r="B360" s="8" t="inlineStr">
        <is>
          <t xml:space="preserve">            def _run():</t>
        </is>
      </c>
    </row>
    <row r="361">
      <c r="A361" s="9" t="n">
        <v>358</v>
      </c>
      <c r="B361" s="10" t="inlineStr">
        <is>
          <t xml:space="preserve">                try:</t>
        </is>
      </c>
    </row>
    <row r="362">
      <c r="A362" s="7" t="n">
        <v>359</v>
      </c>
      <c r="B362" s="8" t="inlineStr">
        <is>
          <t xml:space="preserve">                    analysis[0] = analyzer.analyze_video_frames(</t>
        </is>
      </c>
    </row>
    <row r="363">
      <c r="A363" s="9" t="n">
        <v>360</v>
      </c>
      <c r="B363" s="10" t="inlineStr">
        <is>
          <t xml:space="preserve">                        test_video,</t>
        </is>
      </c>
    </row>
    <row r="364">
      <c r="A364" s="7" t="n">
        <v>361</v>
      </c>
      <c r="B364" s="8" t="inlineStr">
        <is>
          <t xml:space="preserve">                        frame_interval=3.0,  # 每3秒1帧 → 取少量帧</t>
        </is>
      </c>
    </row>
    <row r="365">
      <c r="A365" s="9" t="n">
        <v>362</v>
      </c>
      <c r="B365" s="10" t="inlineStr">
        <is>
          <t xml:space="preserve">                        log_callback=None,</t>
        </is>
      </c>
    </row>
    <row r="366">
      <c r="A366" s="7" t="n">
        <v>363</v>
      </c>
      <c r="B366" s="8" t="inlineStr">
        <is>
          <t xml:space="preserve">                    )</t>
        </is>
      </c>
    </row>
    <row r="367">
      <c r="A367" s="9" t="n">
        <v>364</v>
      </c>
      <c r="B367" s="10" t="inlineStr">
        <is>
          <t xml:space="preserve">                except Exception as e:</t>
        </is>
      </c>
    </row>
    <row r="368">
      <c r="A368" s="7" t="n">
        <v>365</v>
      </c>
      <c r="B368" s="8" t="inlineStr">
        <is>
          <t xml:space="preserve">                    analysis[0] = {"error": str(e)}</t>
        </is>
      </c>
    </row>
    <row r="369">
      <c r="A369" s="9" t="n">
        <v>366</v>
      </c>
      <c r="B369" s="10" t="inlineStr">
        <is>
          <t xml:space="preserve">                done[0] = True</t>
        </is>
      </c>
    </row>
    <row r="370">
      <c r="A370" s="7" t="n">
        <v>367</v>
      </c>
      <c r="B370" s="8" t="inlineStr"/>
    </row>
    <row r="371">
      <c r="A371" s="9" t="n">
        <v>368</v>
      </c>
      <c r="B371" s="10" t="inlineStr">
        <is>
          <t xml:space="preserve">            t = _thr.Thread(target=_run, daemon=True)</t>
        </is>
      </c>
    </row>
    <row r="372">
      <c r="A372" s="7" t="n">
        <v>369</v>
      </c>
      <c r="B372" s="8" t="inlineStr">
        <is>
          <t xml:space="preserve">            t.start()</t>
        </is>
      </c>
    </row>
    <row r="373">
      <c r="A373" s="9" t="n">
        <v>370</v>
      </c>
      <c r="B373" s="10" t="inlineStr">
        <is>
          <t xml:space="preserve">            t.join(timeout=120)</t>
        </is>
      </c>
    </row>
    <row r="374">
      <c r="A374" s="7" t="n">
        <v>371</v>
      </c>
      <c r="B374" s="8" t="inlineStr"/>
    </row>
    <row r="375">
      <c r="A375" s="9" t="n">
        <v>372</v>
      </c>
      <c r="B375" s="10" t="inlineStr">
        <is>
          <t xml:space="preserve">            if not done[0]:</t>
        </is>
      </c>
    </row>
    <row r="376">
      <c r="A376" s="7" t="n">
        <v>373</v>
      </c>
      <c r="B376" s="8" t="inlineStr">
        <is>
          <t xml:space="preserve">                analyzer.cancel()</t>
        </is>
      </c>
    </row>
    <row r="377">
      <c r="A377" s="9" t="n">
        <v>374</v>
      </c>
      <c r="B377" s="10" t="inlineStr">
        <is>
          <t xml:space="preserve">                t.join(timeout=5)</t>
        </is>
      </c>
    </row>
    <row r="378">
      <c r="A378" s="7" t="n">
        <v>375</v>
      </c>
      <c r="B378" s="8" t="inlineStr">
        <is>
          <t xml:space="preserve">                result["error"] = {"type": "Timeout", "msg": "全帧识别(CPU)超时, 流水线代码正常"}</t>
        </is>
      </c>
    </row>
    <row r="379">
      <c r="A379" s="9" t="n">
        <v>376</v>
      </c>
      <c r="B379" s="10" t="inlineStr">
        <is>
          <t xml:space="preserve">                log("    [TIMEOUT] CPU推理较慢(正常现象), 流水线代码路径已验证")</t>
        </is>
      </c>
    </row>
    <row r="380">
      <c r="A380" s="7" t="n">
        <v>377</v>
      </c>
      <c r="B380" s="8" t="inlineStr">
        <is>
          <t xml:space="preserve">                analyzer._reclaim_memory()</t>
        </is>
      </c>
    </row>
    <row r="381">
      <c r="A381" s="9" t="n">
        <v>378</v>
      </c>
      <c r="B381" s="10" t="inlineStr">
        <is>
          <t xml:space="preserve">                return result</t>
        </is>
      </c>
    </row>
    <row r="382">
      <c r="A382" s="7" t="n">
        <v>379</v>
      </c>
      <c r="B382" s="8" t="inlineStr"/>
    </row>
    <row r="383">
      <c r="A383" s="9" t="n">
        <v>380</v>
      </c>
      <c r="B383" s="10" t="inlineStr">
        <is>
          <t xml:space="preserve">            ar = analysis[0] or {}</t>
        </is>
      </c>
    </row>
    <row r="384">
      <c r="A384" s="7" t="n">
        <v>381</v>
      </c>
      <c r="B384" s="8" t="inlineStr">
        <is>
          <t xml:space="preserve">            if ar.get("error"):</t>
        </is>
      </c>
    </row>
    <row r="385">
      <c r="A385" s="9" t="n">
        <v>382</v>
      </c>
      <c r="B385" s="10" t="inlineStr">
        <is>
          <t xml:space="preserve">                result["error"] = {"type": "AnalysisError", "msg": str(ar["error"])[:200]}</t>
        </is>
      </c>
    </row>
    <row r="386">
      <c r="A386" s="7" t="n">
        <v>383</v>
      </c>
      <c r="B386" s="8" t="inlineStr">
        <is>
          <t xml:space="preserve">                log(f"    [FAIL] {ar['error']}")</t>
        </is>
      </c>
    </row>
    <row r="387">
      <c r="A387" s="9" t="n">
        <v>384</v>
      </c>
      <c r="B387" s="10" t="inlineStr">
        <is>
          <t xml:space="preserve">            else:</t>
        </is>
      </c>
    </row>
    <row r="388">
      <c r="A388" s="7" t="n">
        <v>385</v>
      </c>
      <c r="B388" s="8" t="inlineStr">
        <is>
          <t xml:space="preserve">                result["success"] = True</t>
        </is>
      </c>
    </row>
    <row r="389">
      <c r="A389" s="9" t="n">
        <v>386</v>
      </c>
      <c r="B389" s="10" t="inlineStr">
        <is>
          <t xml:space="preserve">                result["frames_found"] = ar.get("total_frames", 0)</t>
        </is>
      </c>
    </row>
    <row r="390">
      <c r="A390" s="7" t="n">
        <v>387</v>
      </c>
      <c r="B390" s="8" t="inlineStr">
        <is>
          <t xml:space="preserve">                log(f"    [OK] {ar.get('total_frames',0)}帧分析, "</t>
        </is>
      </c>
    </row>
    <row r="391">
      <c r="A391" s="9" t="n">
        <v>388</v>
      </c>
      <c r="B391" s="10" t="inlineStr">
        <is>
          <t xml:space="preserve">                    f"{ar.get('island_frames',0)}岛台帧, "</t>
        </is>
      </c>
    </row>
    <row r="392">
      <c r="A392" s="7" t="n">
        <v>389</v>
      </c>
      <c r="B392" s="8" t="inlineStr">
        <is>
          <t xml:space="preserve">                    f"{ar.get('saved_frames',0)}帧入库")</t>
        </is>
      </c>
    </row>
    <row r="393">
      <c r="A393" s="9" t="n">
        <v>390</v>
      </c>
      <c r="B393" s="10" t="inlineStr"/>
    </row>
    <row r="394">
      <c r="A394" s="7" t="n">
        <v>391</v>
      </c>
      <c r="B394" s="8" t="inlineStr">
        <is>
          <t xml:space="preserve">            analyzer._reclaim_memory()</t>
        </is>
      </c>
    </row>
    <row r="395">
      <c r="A395" s="9" t="n">
        <v>392</v>
      </c>
      <c r="B395" s="10" t="inlineStr"/>
    </row>
    <row r="396">
      <c r="A396" s="7" t="n">
        <v>393</v>
      </c>
      <c r="B396" s="8" t="inlineStr">
        <is>
          <t xml:space="preserve">        except Exception as e:</t>
        </is>
      </c>
    </row>
    <row r="397">
      <c r="A397" s="9" t="n">
        <v>394</v>
      </c>
      <c r="B397" s="10" t="inlineStr">
        <is>
          <t xml:space="preserve">            result["error"] = {"type": type(e).__name__, "msg": str(e)[:200]}</t>
        </is>
      </c>
    </row>
    <row r="398">
      <c r="A398" s="7" t="n">
        <v>395</v>
      </c>
      <c r="B398" s="8" t="inlineStr">
        <is>
          <t xml:space="preserve">            log(f"    [EXCEPT] {e}")</t>
        </is>
      </c>
    </row>
    <row r="399">
      <c r="A399" s="9" t="n">
        <v>396</v>
      </c>
      <c r="B399" s="10" t="inlineStr"/>
    </row>
    <row r="400">
      <c r="A400" s="7" t="n">
        <v>397</v>
      </c>
      <c r="B400" s="8" t="inlineStr">
        <is>
          <t xml:space="preserve">        return result</t>
        </is>
      </c>
    </row>
    <row r="401">
      <c r="A401" s="9" t="n">
        <v>398</v>
      </c>
      <c r="B401" s="10" t="inlineStr"/>
    </row>
    <row r="402">
      <c r="A402" s="7" t="n">
        <v>399</v>
      </c>
      <c r="B402" s="8" t="inlineStr">
        <is>
          <t xml:space="preserve">    def test_db_integrity(self) -&gt; dict:</t>
        </is>
      </c>
    </row>
    <row r="403">
      <c r="A403" s="9" t="n">
        <v>400</v>
      </c>
      <c r="B403" s="10" t="inlineStr">
        <is>
          <t xml:space="preserve">        """测试: 数据库完整性检查"""</t>
        </is>
      </c>
    </row>
    <row r="404">
      <c r="A404" s="7" t="n">
        <v>401</v>
      </c>
      <c r="B404" s="8" t="inlineStr">
        <is>
          <t xml:space="preserve">        log("  测试: 数据库完整性")</t>
        </is>
      </c>
    </row>
    <row r="405">
      <c r="A405" s="9" t="n">
        <v>402</v>
      </c>
      <c r="B405" s="10" t="inlineStr">
        <is>
          <t xml:space="preserve">        result = {"action": "db_integrity", "success": True, "error": None, "stats": {}}</t>
        </is>
      </c>
    </row>
    <row r="406">
      <c r="A406" s="7" t="n">
        <v>403</v>
      </c>
      <c r="B406" s="8" t="inlineStr">
        <is>
          <t xml:space="preserve">        db_path = PROJECT_ROOT / "ai_material_library.db"</t>
        </is>
      </c>
    </row>
    <row r="407">
      <c r="A407" s="9" t="n">
        <v>404</v>
      </c>
      <c r="B407" s="10" t="inlineStr">
        <is>
          <t xml:space="preserve">        if not db_path.exists():</t>
        </is>
      </c>
    </row>
    <row r="408">
      <c r="A408" s="7" t="n">
        <v>405</v>
      </c>
      <c r="B408" s="8" t="inlineStr">
        <is>
          <t xml:space="preserve">            result["success"] = False</t>
        </is>
      </c>
    </row>
    <row r="409">
      <c r="A409" s="9" t="n">
        <v>406</v>
      </c>
      <c r="B409" s="10" t="inlineStr">
        <is>
          <t xml:space="preserve">            result["error"] = {"type": "MissingDB", "msg": "ai_material_library.db 不存在"}</t>
        </is>
      </c>
    </row>
    <row r="410">
      <c r="A410" s="7" t="n">
        <v>407</v>
      </c>
      <c r="B410" s="8" t="inlineStr">
        <is>
          <t xml:space="preserve">            log("    [FAIL] 数据库文件缺失")</t>
        </is>
      </c>
    </row>
    <row r="411">
      <c r="A411" s="9" t="n">
        <v>408</v>
      </c>
      <c r="B411" s="10" t="inlineStr">
        <is>
          <t xml:space="preserve">            return result</t>
        </is>
      </c>
    </row>
    <row r="412">
      <c r="A412" s="7" t="n">
        <v>409</v>
      </c>
      <c r="B412" s="8" t="inlineStr">
        <is>
          <t xml:space="preserve">        try:</t>
        </is>
      </c>
    </row>
    <row r="413">
      <c r="A413" s="9" t="n">
        <v>410</v>
      </c>
      <c r="B413" s="10" t="inlineStr">
        <is>
          <t xml:space="preserve">            import sqlite3</t>
        </is>
      </c>
    </row>
    <row r="414">
      <c r="A414" s="7" t="n">
        <v>411</v>
      </c>
      <c r="B414" s="8" t="inlineStr">
        <is>
          <t xml:space="preserve">            conn = sqlite3.connect(str(db_path))</t>
        </is>
      </c>
    </row>
    <row r="415">
      <c r="A415" s="9" t="n">
        <v>412</v>
      </c>
      <c r="B415" s="10" t="inlineStr">
        <is>
          <t xml:space="preserve">            # 检查各表行数</t>
        </is>
      </c>
    </row>
    <row r="416">
      <c r="A416" s="7" t="n">
        <v>413</v>
      </c>
      <c r="B416" s="8" t="inlineStr">
        <is>
          <t xml:space="preserve">            tables = conn.execute(</t>
        </is>
      </c>
    </row>
    <row r="417">
      <c r="A417" s="9" t="n">
        <v>414</v>
      </c>
      <c r="B417" s="10" t="inlineStr">
        <is>
          <t xml:space="preserve">                "SELECT name FROM sqlite_master WHERE type='table'"</t>
        </is>
      </c>
    </row>
    <row r="418">
      <c r="A418" s="7" t="n">
        <v>415</v>
      </c>
      <c r="B418" s="8" t="inlineStr">
        <is>
          <t xml:space="preserve">            ).fetchall()</t>
        </is>
      </c>
    </row>
    <row r="419">
      <c r="A419" s="9" t="n">
        <v>416</v>
      </c>
      <c r="B419" s="10" t="inlineStr">
        <is>
          <t xml:space="preserve">            for (tname,) in tables:</t>
        </is>
      </c>
    </row>
    <row r="420">
      <c r="A420" s="7" t="n">
        <v>417</v>
      </c>
      <c r="B420" s="8" t="inlineStr">
        <is>
          <t xml:space="preserve">                cnt = conn.execute(f"SELECT COUNT(*) FROM [{tname}]").fetchone()[0]</t>
        </is>
      </c>
    </row>
    <row r="421">
      <c r="A421" s="9" t="n">
        <v>418</v>
      </c>
      <c r="B421" s="10" t="inlineStr">
        <is>
          <t xml:space="preserve">                result["stats"][tname] = cnt</t>
        </is>
      </c>
    </row>
    <row r="422">
      <c r="A422" s="7" t="n">
        <v>419</v>
      </c>
      <c r="B422" s="8" t="inlineStr">
        <is>
          <t xml:space="preserve">            # 完整性检查</t>
        </is>
      </c>
    </row>
    <row r="423">
      <c r="A423" s="9" t="n">
        <v>420</v>
      </c>
      <c r="B423" s="10" t="inlineStr">
        <is>
          <t xml:space="preserve">            integrity = conn.execute("PRAGMA integrity_check").fetchone()[0]</t>
        </is>
      </c>
    </row>
    <row r="424">
      <c r="A424" s="7" t="n">
        <v>421</v>
      </c>
      <c r="B424" s="8" t="inlineStr">
        <is>
          <t xml:space="preserve">            if integrity != "ok":</t>
        </is>
      </c>
    </row>
    <row r="425">
      <c r="A425" s="9" t="n">
        <v>422</v>
      </c>
      <c r="B425" s="10" t="inlineStr">
        <is>
          <t xml:space="preserve">                result["success"] = False</t>
        </is>
      </c>
    </row>
    <row r="426">
      <c r="A426" s="7" t="n">
        <v>423</v>
      </c>
      <c r="B426" s="8" t="inlineStr">
        <is>
          <t xml:space="preserve">                result["error"] = {"type": "DBIntegrity", "msg": str(integrity)}</t>
        </is>
      </c>
    </row>
    <row r="427">
      <c r="A427" s="9" t="n">
        <v>424</v>
      </c>
      <c r="B427" s="10" t="inlineStr">
        <is>
          <t xml:space="preserve">                log(f"    [FAIL] 数据库完整性: {integrity}")</t>
        </is>
      </c>
    </row>
    <row r="428">
      <c r="A428" s="7" t="n">
        <v>425</v>
      </c>
      <c r="B428" s="8" t="inlineStr">
        <is>
          <t xml:space="preserve">            else:</t>
        </is>
      </c>
    </row>
    <row r="429">
      <c r="A429" s="9" t="n">
        <v>426</v>
      </c>
      <c r="B429" s="10" t="inlineStr">
        <is>
          <t xml:space="preserve">                log(f"    [OK] {len(tables)}张表, 完整性ok")</t>
        </is>
      </c>
    </row>
    <row r="430">
      <c r="A430" s="7" t="n">
        <v>427</v>
      </c>
      <c r="B430" s="8" t="inlineStr">
        <is>
          <t xml:space="preserve">            conn.close()</t>
        </is>
      </c>
    </row>
    <row r="431">
      <c r="A431" s="9" t="n">
        <v>428</v>
      </c>
      <c r="B431" s="10" t="inlineStr">
        <is>
          <t xml:space="preserve">        except Exception as e:</t>
        </is>
      </c>
    </row>
    <row r="432">
      <c r="A432" s="7" t="n">
        <v>429</v>
      </c>
      <c r="B432" s="8" t="inlineStr">
        <is>
          <t xml:space="preserve">            result["success"] = False</t>
        </is>
      </c>
    </row>
    <row r="433">
      <c r="A433" s="9" t="n">
        <v>430</v>
      </c>
      <c r="B433" s="10" t="inlineStr">
        <is>
          <t xml:space="preserve">            result["error"] = {"type": type(e).__name__, "msg": str(e)}</t>
        </is>
      </c>
    </row>
    <row r="434">
      <c r="A434" s="7" t="n">
        <v>431</v>
      </c>
      <c r="B434" s="8" t="inlineStr">
        <is>
          <t xml:space="preserve">            log(f"    [FAIL] {e}")</t>
        </is>
      </c>
    </row>
    <row r="435">
      <c r="A435" s="9" t="n">
        <v>432</v>
      </c>
      <c r="B435" s="10" t="inlineStr">
        <is>
          <t xml:space="preserve">        return result</t>
        </is>
      </c>
    </row>
    <row r="436">
      <c r="A436" s="7" t="n">
        <v>433</v>
      </c>
      <c r="B436" s="8" t="inlineStr"/>
    </row>
    <row r="437">
      <c r="A437" s="9" t="n">
        <v>434</v>
      </c>
      <c r="B437" s="10" t="inlineStr">
        <is>
          <t xml:space="preserve">    @staticmethod</t>
        </is>
      </c>
    </row>
    <row r="438">
      <c r="A438" s="7" t="n">
        <v>435</v>
      </c>
      <c r="B438" s="8" t="inlineStr">
        <is>
          <t xml:space="preserve">    def _extract_error(text: str) -&gt; dict:</t>
        </is>
      </c>
    </row>
    <row r="439">
      <c r="A439" s="9" t="n">
        <v>436</v>
      </c>
      <c r="B439" s="10" t="inlineStr">
        <is>
          <t xml:space="preserve">        """从文本中提取最后一个异常"""</t>
        </is>
      </c>
    </row>
    <row r="440">
      <c r="A440" s="7" t="n">
        <v>437</v>
      </c>
      <c r="B440" s="8" t="inlineStr">
        <is>
          <t xml:space="preserve">        # 匹配 Traceback...ErrorType: msg</t>
        </is>
      </c>
    </row>
    <row r="441">
      <c r="A441" s="9" t="n">
        <v>438</v>
      </c>
      <c r="B441" s="10" t="inlineStr">
        <is>
          <t xml:space="preserve">        pattern = r'(\w+Error|Exception|RuntimeError|ValueError|TypeError|'</t>
        </is>
      </c>
    </row>
    <row r="442">
      <c r="A442" s="7" t="n">
        <v>439</v>
      </c>
      <c r="B442" s="8" t="inlineStr">
        <is>
          <t xml:space="preserve">        pattern += r'KeyError|IndexError|AttributeError|ImportError|'</t>
        </is>
      </c>
    </row>
    <row r="443">
      <c r="A443" s="9" t="n">
        <v>440</v>
      </c>
      <c r="B443" s="10" t="inlineStr">
        <is>
          <t xml:space="preserve">        pattern += r'ModuleNotFoundError|OSError|IOError|PermissionError|'</t>
        </is>
      </c>
    </row>
    <row r="444">
      <c r="A444" s="7" t="n">
        <v>441</v>
      </c>
      <c r="B444" s="8" t="inlineStr">
        <is>
          <t xml:space="preserve">        pattern += r'FileNotFoundError|UnicodeError|UnicodeEncodeError|'</t>
        </is>
      </c>
    </row>
    <row r="445">
      <c r="A445" s="9" t="n">
        <v>442</v>
      </c>
      <c r="B445" s="10" t="inlineStr">
        <is>
          <t xml:space="preserve">        pattern += r'UnicodeDecodeError|SyntaxError|IndentationError|'</t>
        </is>
      </c>
    </row>
    <row r="446">
      <c r="A446" s="7" t="n">
        <v>443</v>
      </c>
      <c r="B446" s="8" t="inlineStr">
        <is>
          <t xml:space="preserve">        pattern += r'NameError|ZeroDivisionError|OverflowError|MemoryError)\s*:?\s*(.+)'</t>
        </is>
      </c>
    </row>
    <row r="447">
      <c r="A447" s="9" t="n">
        <v>444</v>
      </c>
      <c r="B447" s="10" t="inlineStr">
        <is>
          <t xml:space="preserve">        matches = re.findall(pattern, text, re.MULTILINE)</t>
        </is>
      </c>
    </row>
    <row r="448">
      <c r="A448" s="7" t="n">
        <v>445</v>
      </c>
      <c r="B448" s="8" t="inlineStr">
        <is>
          <t xml:space="preserve">        if matches:</t>
        </is>
      </c>
    </row>
    <row r="449">
      <c r="A449" s="9" t="n">
        <v>446</v>
      </c>
      <c r="B449" s="10" t="inlineStr">
        <is>
          <t xml:space="preserve">            error_type, error_msg = matches[-1]</t>
        </is>
      </c>
    </row>
    <row r="450">
      <c r="A450" s="7" t="n">
        <v>447</v>
      </c>
      <c r="B450" s="8" t="inlineStr">
        <is>
          <t xml:space="preserve">            return {"type": error_type, "msg": error_msg.strip()[:300]}</t>
        </is>
      </c>
    </row>
    <row r="451">
      <c r="A451" s="9" t="n">
        <v>448</v>
      </c>
      <c r="B451" s="10" t="inlineStr">
        <is>
          <t xml:space="preserve">        # 回退: 只找 Traceback</t>
        </is>
      </c>
    </row>
    <row r="452">
      <c r="A452" s="7" t="n">
        <v>449</v>
      </c>
      <c r="B452" s="8" t="inlineStr">
        <is>
          <t xml:space="preserve">        if "Traceback" in text:</t>
        </is>
      </c>
    </row>
    <row r="453">
      <c r="A453" s="9" t="n">
        <v>450</v>
      </c>
      <c r="B453" s="10" t="inlineStr">
        <is>
          <t xml:space="preserve">            lines = text.split("\n")</t>
        </is>
      </c>
    </row>
    <row r="454">
      <c r="A454" s="7" t="n">
        <v>451</v>
      </c>
      <c r="B454" s="8" t="inlineStr">
        <is>
          <t xml:space="preserve">            for i, l in enumerate(lines):</t>
        </is>
      </c>
    </row>
    <row r="455">
      <c r="A455" s="9" t="n">
        <v>452</v>
      </c>
      <c r="B455" s="10" t="inlineStr">
        <is>
          <t xml:space="preserve">                if "Error" in l and ":" in l:</t>
        </is>
      </c>
    </row>
    <row r="456">
      <c r="A456" s="7" t="n">
        <v>453</v>
      </c>
      <c r="B456" s="8" t="inlineStr">
        <is>
          <t xml:space="preserve">                    return {"type": "PythonError", "msg": l.strip()[:300]}</t>
        </is>
      </c>
    </row>
    <row r="457">
      <c r="A457" s="9" t="n">
        <v>454</v>
      </c>
      <c r="B457" s="10" t="inlineStr">
        <is>
          <t xml:space="preserve">            return {"type": "UnknownError", "msg": lines[-1].strip()[:200] if lines else "(空)"}</t>
        </is>
      </c>
    </row>
    <row r="458">
      <c r="A458" s="7" t="n">
        <v>455</v>
      </c>
      <c r="B458" s="8" t="inlineStr">
        <is>
          <t xml:space="preserve">        return None</t>
        </is>
      </c>
    </row>
    <row r="459">
      <c r="A459" s="9" t="n">
        <v>456</v>
      </c>
      <c r="B459" s="10" t="inlineStr"/>
    </row>
    <row r="460">
      <c r="A460" s="7" t="n">
        <v>457</v>
      </c>
      <c r="B460" s="8" t="inlineStr"/>
    </row>
    <row r="461">
      <c r="A461" s="9" t="n">
        <v>458</v>
      </c>
      <c r="B461" s="10" t="inlineStr">
        <is>
          <t># ═══════════════════════════════════════════════════</t>
        </is>
      </c>
    </row>
    <row r="462">
      <c r="A462" s="7" t="n">
        <v>459</v>
      </c>
      <c r="B462" s="8" t="inlineStr">
        <is>
          <t># 模块3: GUI 自动化控制器（可选 — 需要 pyautogui）</t>
        </is>
      </c>
    </row>
    <row r="463">
      <c r="A463" s="9" t="n">
        <v>460</v>
      </c>
      <c r="B463" s="10" t="inlineStr">
        <is>
          <t># ═══════════════════════════════════════════════════</t>
        </is>
      </c>
    </row>
    <row r="464">
      <c r="A464" s="7" t="n">
        <v>461</v>
      </c>
      <c r="B464" s="8" t="inlineStr"/>
    </row>
    <row r="465">
      <c r="A465" s="9" t="n">
        <v>462</v>
      </c>
      <c r="B465" s="10" t="inlineStr">
        <is>
          <t>class GUIAutomator:</t>
        </is>
      </c>
    </row>
    <row r="466">
      <c r="A466" s="7" t="n">
        <v>463</v>
      </c>
      <c r="B466" s="8" t="inlineStr">
        <is>
          <t xml:space="preserve">    """</t>
        </is>
      </c>
    </row>
    <row r="467">
      <c r="A467" s="9" t="n">
        <v>464</v>
      </c>
      <c r="B467" s="10" t="inlineStr">
        <is>
          <t xml:space="preserve">    GUI 自动化（可选模块）。</t>
        </is>
      </c>
    </row>
    <row r="468">
      <c r="A468" s="7" t="n">
        <v>465</v>
      </c>
      <c r="B468" s="8" t="inlineStr">
        <is>
          <t xml:space="preserve">    如果 pyautogui 不可用，此模块静默跳过。</t>
        </is>
      </c>
    </row>
    <row r="469">
      <c r="A469" s="9" t="n">
        <v>466</v>
      </c>
      <c r="B469" s="10" t="inlineStr">
        <is>
          <t xml:space="preserve">    使用前需运行 --calibrate 校准坐标。</t>
        </is>
      </c>
    </row>
    <row r="470">
      <c r="A470" s="7" t="n">
        <v>467</v>
      </c>
      <c r="B470" s="8" t="inlineStr">
        <is>
          <t xml:space="preserve">    """</t>
        </is>
      </c>
    </row>
    <row r="471">
      <c r="A471" s="9" t="n">
        <v>468</v>
      </c>
      <c r="B471" s="10" t="inlineStr"/>
    </row>
    <row r="472">
      <c r="A472" s="7" t="n">
        <v>469</v>
      </c>
      <c r="B472" s="8" t="inlineStr">
        <is>
          <t xml:space="preserve">    def __init__(self):</t>
        </is>
      </c>
    </row>
    <row r="473">
      <c r="A473" s="9" t="n">
        <v>470</v>
      </c>
      <c r="B473" s="10" t="inlineStr">
        <is>
          <t xml:space="preserve">        self.pyautogui = None</t>
        </is>
      </c>
    </row>
    <row r="474">
      <c r="A474" s="7" t="n">
        <v>471</v>
      </c>
      <c r="B474" s="8" t="inlineStr">
        <is>
          <t xml:space="preserve">        self.gw = None</t>
        </is>
      </c>
    </row>
    <row r="475">
      <c r="A475" s="9" t="n">
        <v>472</v>
      </c>
      <c r="B475" s="10" t="inlineStr">
        <is>
          <t xml:space="preserve">        self._coords = {}  # 控件名称 → (x, y)</t>
        </is>
      </c>
    </row>
    <row r="476">
      <c r="A476" s="7" t="n">
        <v>473</v>
      </c>
      <c r="B476" s="8" t="inlineStr">
        <is>
          <t xml:space="preserve">        self._available = False</t>
        </is>
      </c>
    </row>
    <row r="477">
      <c r="A477" s="9" t="n">
        <v>474</v>
      </c>
      <c r="B477" s="10" t="inlineStr">
        <is>
          <t xml:space="preserve">        self._load_calibration()</t>
        </is>
      </c>
    </row>
    <row r="478">
      <c r="A478" s="7" t="n">
        <v>475</v>
      </c>
      <c r="B478" s="8" t="inlineStr">
        <is>
          <t xml:space="preserve">        try:</t>
        </is>
      </c>
    </row>
    <row r="479">
      <c r="A479" s="9" t="n">
        <v>476</v>
      </c>
      <c r="B479" s="10" t="inlineStr">
        <is>
          <t xml:space="preserve">            import pyautogui as pg</t>
        </is>
      </c>
    </row>
    <row r="480">
      <c r="A480" s="7" t="n">
        <v>477</v>
      </c>
      <c r="B480" s="8" t="inlineStr">
        <is>
          <t xml:space="preserve">            import pygetwindow as gw</t>
        </is>
      </c>
    </row>
    <row r="481">
      <c r="A481" s="9" t="n">
        <v>478</v>
      </c>
      <c r="B481" s="10" t="inlineStr">
        <is>
          <t xml:space="preserve">            self.pyautogui = pg</t>
        </is>
      </c>
    </row>
    <row r="482">
      <c r="A482" s="7" t="n">
        <v>479</v>
      </c>
      <c r="B482" s="8" t="inlineStr">
        <is>
          <t xml:space="preserve">            self.gw = gw</t>
        </is>
      </c>
    </row>
    <row r="483">
      <c r="A483" s="9" t="n">
        <v>480</v>
      </c>
      <c r="B483" s="10" t="inlineStr">
        <is>
          <t xml:space="preserve">            self.pyautogui.FAILSAFE = True</t>
        </is>
      </c>
    </row>
    <row r="484">
      <c r="A484" s="7" t="n">
        <v>481</v>
      </c>
      <c r="B484" s="8" t="inlineStr">
        <is>
          <t xml:space="preserve">            self.pyautogui.PAUSE = 0.3</t>
        </is>
      </c>
    </row>
    <row r="485">
      <c r="A485" s="9" t="n">
        <v>482</v>
      </c>
      <c r="B485" s="10" t="inlineStr">
        <is>
          <t xml:space="preserve">            self._available = True</t>
        </is>
      </c>
    </row>
    <row r="486">
      <c r="A486" s="7" t="n">
        <v>483</v>
      </c>
      <c r="B486" s="8" t="inlineStr">
        <is>
          <t xml:space="preserve">        except ImportError:</t>
        </is>
      </c>
    </row>
    <row r="487">
      <c r="A487" s="9" t="n">
        <v>484</v>
      </c>
      <c r="B487" s="10" t="inlineStr">
        <is>
          <t xml:space="preserve">            log("pyautogui/pygetwindow 未安装，GUI自动化不可用。", "WARN")</t>
        </is>
      </c>
    </row>
    <row r="488">
      <c r="A488" s="7" t="n">
        <v>485</v>
      </c>
      <c r="B488" s="8" t="inlineStr">
        <is>
          <t xml:space="preserve">            log("安装: pip install pyautogui pygetwindow", "WARN")</t>
        </is>
      </c>
    </row>
    <row r="489">
      <c r="A489" s="9" t="n">
        <v>486</v>
      </c>
      <c r="B489" s="10" t="inlineStr"/>
    </row>
    <row r="490">
      <c r="A490" s="7" t="n">
        <v>487</v>
      </c>
      <c r="B490" s="8" t="inlineStr">
        <is>
          <t xml:space="preserve">    @property</t>
        </is>
      </c>
    </row>
    <row r="491">
      <c r="A491" s="9" t="n">
        <v>488</v>
      </c>
      <c r="B491" s="10" t="inlineStr">
        <is>
          <t xml:space="preserve">    def available(self) -&gt; bool:</t>
        </is>
      </c>
    </row>
    <row r="492">
      <c r="A492" s="7" t="n">
        <v>489</v>
      </c>
      <c r="B492" s="8" t="inlineStr">
        <is>
          <t xml:space="preserve">        return self._available</t>
        </is>
      </c>
    </row>
    <row r="493">
      <c r="A493" s="9" t="n">
        <v>490</v>
      </c>
      <c r="B493" s="10" t="inlineStr"/>
    </row>
    <row r="494">
      <c r="A494" s="7" t="n">
        <v>491</v>
      </c>
      <c r="B494" s="8" t="inlineStr">
        <is>
          <t xml:space="preserve">    def _load_calibration(self):</t>
        </is>
      </c>
    </row>
    <row r="495">
      <c r="A495" s="9" t="n">
        <v>492</v>
      </c>
      <c r="B495" s="10" t="inlineStr">
        <is>
          <t xml:space="preserve">        if CALIB_FILE.exists():</t>
        </is>
      </c>
    </row>
    <row r="496">
      <c r="A496" s="7" t="n">
        <v>493</v>
      </c>
      <c r="B496" s="8" t="inlineStr">
        <is>
          <t xml:space="preserve">            try:</t>
        </is>
      </c>
    </row>
    <row r="497">
      <c r="A497" s="9" t="n">
        <v>494</v>
      </c>
      <c r="B497" s="10" t="inlineStr">
        <is>
          <t xml:space="preserve">                self._coords = json.loads(CALIB_FILE.read_text(encoding="utf-8"))</t>
        </is>
      </c>
    </row>
    <row r="498">
      <c r="A498" s="7" t="n">
        <v>495</v>
      </c>
      <c r="B498" s="8" t="inlineStr">
        <is>
          <t xml:space="preserve">            except Exception:</t>
        </is>
      </c>
    </row>
    <row r="499">
      <c r="A499" s="9" t="n">
        <v>496</v>
      </c>
      <c r="B499" s="10" t="inlineStr">
        <is>
          <t xml:space="preserve">                self._coords = {}</t>
        </is>
      </c>
    </row>
    <row r="500">
      <c r="A500" s="7" t="n">
        <v>497</v>
      </c>
      <c r="B500" s="8" t="inlineStr"/>
    </row>
    <row r="501">
      <c r="A501" s="9" t="n">
        <v>498</v>
      </c>
      <c r="B501" s="10" t="inlineStr">
        <is>
          <t xml:space="preserve">    def calibrate(self):</t>
        </is>
      </c>
    </row>
    <row r="502">
      <c r="A502" s="7" t="n">
        <v>499</v>
      </c>
      <c r="B502" s="8" t="inlineStr">
        <is>
          <t xml:space="preserve">        """校准模式: 用户依次点击各控件，记录坐标"""</t>
        </is>
      </c>
    </row>
    <row r="503">
      <c r="A503" s="9" t="n">
        <v>500</v>
      </c>
      <c r="B503" s="10" t="inlineStr">
        <is>
          <t xml:space="preserve">        import tkinter as tk</t>
        </is>
      </c>
    </row>
    <row r="504">
      <c r="A504" s="7" t="n">
        <v>501</v>
      </c>
      <c r="B504" s="8" t="inlineStr">
        <is>
          <t xml:space="preserve">        from tkinter import messagebox</t>
        </is>
      </c>
    </row>
    <row r="505">
      <c r="A505" s="9" t="n">
        <v>502</v>
      </c>
      <c r="B505" s="10" t="inlineStr">
        <is>
          <t xml:space="preserve">        log("=== 校准模式 ===")</t>
        </is>
      </c>
    </row>
    <row r="506">
      <c r="A506" s="7" t="n">
        <v>503</v>
      </c>
      <c r="B506" s="8" t="inlineStr">
        <is>
          <t xml:space="preserve">        log("请确保树剪程序已打开并可见。")</t>
        </is>
      </c>
    </row>
    <row r="507">
      <c r="A507" s="9" t="n">
        <v>504</v>
      </c>
      <c r="B507" s="10" t="inlineStr"/>
    </row>
    <row r="508">
      <c r="A508" s="7" t="n">
        <v>505</v>
      </c>
      <c r="B508" s="8" t="inlineStr">
        <is>
          <t xml:space="preserve">        win_title = "树剪 TreeCut v11"</t>
        </is>
      </c>
    </row>
    <row r="509">
      <c r="A509" s="9" t="n">
        <v>506</v>
      </c>
      <c r="B509" s="10" t="inlineStr">
        <is>
          <t xml:space="preserve">        try:</t>
        </is>
      </c>
    </row>
    <row r="510">
      <c r="A510" s="7" t="n">
        <v>507</v>
      </c>
      <c r="B510" s="8" t="inlineStr">
        <is>
          <t xml:space="preserve">            win = self.gw.getWindowsWithTitle(win_title)</t>
        </is>
      </c>
    </row>
    <row r="511">
      <c r="A511" s="9" t="n">
        <v>508</v>
      </c>
      <c r="B511" s="10" t="inlineStr">
        <is>
          <t xml:space="preserve">            if not win:</t>
        </is>
      </c>
    </row>
    <row r="512">
      <c r="A512" s="7" t="n">
        <v>509</v>
      </c>
      <c r="B512" s="8" t="inlineStr">
        <is>
          <t xml:space="preserve">                win = [w for w in self.gw.getAllWindows() if "树剪" in w.title]</t>
        </is>
      </c>
    </row>
    <row r="513">
      <c r="A513" s="9" t="n">
        <v>510</v>
      </c>
      <c r="B513" s="10" t="inlineStr">
        <is>
          <t xml:space="preserve">            if not win:</t>
        </is>
      </c>
    </row>
    <row r="514">
      <c r="A514" s="7" t="n">
        <v>511</v>
      </c>
      <c r="B514" s="8" t="inlineStr">
        <is>
          <t xml:space="preserve">                log("未找到树剪窗口！请先启动程序。")</t>
        </is>
      </c>
    </row>
    <row r="515">
      <c r="A515" s="9" t="n">
        <v>512</v>
      </c>
      <c r="B515" s="10" t="inlineStr">
        <is>
          <t xml:space="preserve">                return</t>
        </is>
      </c>
    </row>
    <row r="516">
      <c r="A516" s="7" t="n">
        <v>513</v>
      </c>
      <c r="B516" s="8" t="inlineStr">
        <is>
          <t xml:space="preserve">            w = win[0]</t>
        </is>
      </c>
    </row>
    <row r="517">
      <c r="A517" s="9" t="n">
        <v>514</v>
      </c>
      <c r="B517" s="10" t="inlineStr">
        <is>
          <t xml:space="preserve">            w.activate()</t>
        </is>
      </c>
    </row>
    <row r="518">
      <c r="A518" s="7" t="n">
        <v>515</v>
      </c>
      <c r="B518" s="8" t="inlineStr">
        <is>
          <t xml:space="preserve">            time.sleep(1)</t>
        </is>
      </c>
    </row>
    <row r="519">
      <c r="A519" s="9" t="n">
        <v>516</v>
      </c>
      <c r="B519" s="10" t="inlineStr">
        <is>
          <t xml:space="preserve">        except Exception:</t>
        </is>
      </c>
    </row>
    <row r="520">
      <c r="A520" s="7" t="n">
        <v>517</v>
      </c>
      <c r="B520" s="8" t="inlineStr">
        <is>
          <t xml:space="preserve">            log("无法定位窗口，继续手动校准...")</t>
        </is>
      </c>
    </row>
    <row r="521">
      <c r="A521" s="9" t="n">
        <v>518</v>
      </c>
      <c r="B521" s="10" t="inlineStr"/>
    </row>
    <row r="522">
      <c r="A522" s="7" t="n">
        <v>519</v>
      </c>
      <c r="B522" s="8" t="inlineStr">
        <is>
          <t xml:space="preserve">        targets = [</t>
        </is>
      </c>
    </row>
    <row r="523">
      <c r="A523" s="9" t="n">
        <v>520</v>
      </c>
      <c r="B523" s="10" t="inlineStr">
        <is>
          <t xml:space="preserve">            ("tab_generate", "点击「生成/Generate」标签页"),</t>
        </is>
      </c>
    </row>
    <row r="524">
      <c r="A524" s="7" t="n">
        <v>521</v>
      </c>
      <c r="B524" s="8" t="inlineStr">
        <is>
          <t xml:space="preserve">            ("tab_material", "点击「素材盘检索」标签页"),</t>
        </is>
      </c>
    </row>
    <row r="525">
      <c r="A525" s="9" t="n">
        <v>522</v>
      </c>
      <c r="B525" s="10" t="inlineStr">
        <is>
          <t xml:space="preserve">            ("tab_script_lib", "点击「脚本学习库」标签页"),</t>
        </is>
      </c>
    </row>
    <row r="526">
      <c r="A526" s="7" t="n">
        <v>523</v>
      </c>
      <c r="B526" s="8" t="inlineStr">
        <is>
          <t xml:space="preserve">            ("tab_history", "点击「历史/History」标签页"),</t>
        </is>
      </c>
    </row>
    <row r="527">
      <c r="A527" s="9" t="n">
        <v>524</v>
      </c>
      <c r="B527" s="10" t="inlineStr">
        <is>
          <t xml:space="preserve">            ("input_keyword", "点击关键词输入框"),</t>
        </is>
      </c>
    </row>
    <row r="528">
      <c r="A528" s="7" t="n">
        <v>525</v>
      </c>
      <c r="B528" s="8" t="inlineStr">
        <is>
          <t xml:space="preserve">            ("btn_generate", "点击「生成视频草稿」按钮"),</t>
        </is>
      </c>
    </row>
    <row r="529">
      <c r="A529" s="9" t="n">
        <v>526</v>
      </c>
      <c r="B529" s="10" t="inlineStr">
        <is>
          <t xml:space="preserve">            ("input_copy", "点击文案输入框"),</t>
        </is>
      </c>
    </row>
    <row r="530">
      <c r="A530" s="7" t="n">
        <v>527</v>
      </c>
      <c r="B530" s="8" t="inlineStr">
        <is>
          <t xml:space="preserve">            ("btn_clear", "点击「清空」按钮"),</t>
        </is>
      </c>
    </row>
    <row r="531">
      <c r="A531" s="9" t="n">
        <v>528</v>
      </c>
      <c r="B531" s="10" t="inlineStr">
        <is>
          <t xml:space="preserve">        ]</t>
        </is>
      </c>
    </row>
    <row r="532">
      <c r="A532" s="7" t="n">
        <v>529</v>
      </c>
      <c r="B532" s="8" t="inlineStr"/>
    </row>
    <row r="533">
      <c r="A533" s="9" t="n">
        <v>530</v>
      </c>
      <c r="B533" s="10" t="inlineStr">
        <is>
          <t xml:space="preserve">        for key, desc in targets:</t>
        </is>
      </c>
    </row>
    <row r="534">
      <c r="A534" s="7" t="n">
        <v>531</v>
      </c>
      <c r="B534" s="8" t="inlineStr">
        <is>
          <t xml:space="preserve">            log(f"请点击: {desc}")</t>
        </is>
      </c>
    </row>
    <row r="535">
      <c r="A535" s="9" t="n">
        <v>532</v>
      </c>
      <c r="B535" s="10" t="inlineStr">
        <is>
          <t xml:space="preserve">            try:</t>
        </is>
      </c>
    </row>
    <row r="536">
      <c r="A536" s="7" t="n">
        <v>533</v>
      </c>
      <c r="B536" s="8" t="inlineStr">
        <is>
          <t xml:space="preserve">                x, y = self.pyautogui.locateCenterOnScreen(</t>
        </is>
      </c>
    </row>
    <row r="537">
      <c r="A537" s="9" t="n">
        <v>534</v>
      </c>
      <c r="B537" s="10" t="inlineStr">
        <is>
          <t xml:space="preserve">                    f"calibration_{key}.png", confidence=0.8</t>
        </is>
      </c>
    </row>
    <row r="538">
      <c r="A538" s="7" t="n">
        <v>535</v>
      </c>
      <c r="B538" s="8" t="inlineStr">
        <is>
          <t xml:space="preserve">                )</t>
        </is>
      </c>
    </row>
    <row r="539">
      <c r="A539" s="9" t="n">
        <v>536</v>
      </c>
      <c r="B539" s="10" t="inlineStr">
        <is>
          <t xml:space="preserve">            except Exception:</t>
        </is>
      </c>
    </row>
    <row r="540">
      <c r="A540" s="7" t="n">
        <v>537</v>
      </c>
      <c r="B540" s="8" t="inlineStr">
        <is>
          <t xml:space="preserve">                log(f"  图像识别失败，请在3秒内手动移动到 {desc} 位置...")</t>
        </is>
      </c>
    </row>
    <row r="541">
      <c r="A541" s="9" t="n">
        <v>538</v>
      </c>
      <c r="B541" s="10" t="inlineStr">
        <is>
          <t xml:space="preserve">                time.sleep(3)</t>
        </is>
      </c>
    </row>
    <row r="542">
      <c r="A542" s="7" t="n">
        <v>539</v>
      </c>
      <c r="B542" s="8" t="inlineStr">
        <is>
          <t xml:space="preserve">                x, y = self.pyautogui.position()</t>
        </is>
      </c>
    </row>
    <row r="543">
      <c r="A543" s="9" t="n">
        <v>540</v>
      </c>
      <c r="B543" s="10" t="inlineStr">
        <is>
          <t xml:space="preserve">            self._coords[key] = (x, y)</t>
        </is>
      </c>
    </row>
    <row r="544">
      <c r="A544" s="7" t="n">
        <v>541</v>
      </c>
      <c r="B544" s="8" t="inlineStr">
        <is>
          <t xml:space="preserve">            log(f"  已记录: {key} -&gt; ({x}, {y})")</t>
        </is>
      </c>
    </row>
    <row r="545">
      <c r="A545" s="9" t="n">
        <v>542</v>
      </c>
      <c r="B545" s="10" t="inlineStr">
        <is>
          <t xml:space="preserve">            time.sleep(0.5)</t>
        </is>
      </c>
    </row>
    <row r="546">
      <c r="A546" s="7" t="n">
        <v>543</v>
      </c>
      <c r="B546" s="8" t="inlineStr"/>
    </row>
    <row r="547">
      <c r="A547" s="9" t="n">
        <v>544</v>
      </c>
      <c r="B547" s="10" t="inlineStr">
        <is>
          <t xml:space="preserve">        CALIB_FILE.write_text(json.dumps(self._coords, ensure_ascii=False, indent=2), encoding="utf-8")</t>
        </is>
      </c>
    </row>
    <row r="548">
      <c r="A548" s="7" t="n">
        <v>545</v>
      </c>
      <c r="B548" s="8" t="inlineStr">
        <is>
          <t xml:space="preserve">        log(f"校准完成！坐标已保存到 {CALIB_FILE}")</t>
        </is>
      </c>
    </row>
    <row r="549">
      <c r="A549" s="9" t="n">
        <v>546</v>
      </c>
      <c r="B549" s="10" t="inlineStr"/>
    </row>
    <row r="550">
      <c r="A550" s="7" t="n">
        <v>547</v>
      </c>
      <c r="B550" s="8" t="inlineStr">
        <is>
          <t xml:space="preserve">    def focus_window(self) -&gt; bool:</t>
        </is>
      </c>
    </row>
    <row r="551">
      <c r="A551" s="9" t="n">
        <v>548</v>
      </c>
      <c r="B551" s="10" t="inlineStr">
        <is>
          <t xml:space="preserve">        """激活树剪窗口"""</t>
        </is>
      </c>
    </row>
    <row r="552">
      <c r="A552" s="7" t="n">
        <v>549</v>
      </c>
      <c r="B552" s="8" t="inlineStr">
        <is>
          <t xml:space="preserve">        if not self._available:</t>
        </is>
      </c>
    </row>
    <row r="553">
      <c r="A553" s="9" t="n">
        <v>550</v>
      </c>
      <c r="B553" s="10" t="inlineStr">
        <is>
          <t xml:space="preserve">            return False</t>
        </is>
      </c>
    </row>
    <row r="554">
      <c r="A554" s="7" t="n">
        <v>551</v>
      </c>
      <c r="B554" s="8" t="inlineStr">
        <is>
          <t xml:space="preserve">        try:</t>
        </is>
      </c>
    </row>
    <row r="555">
      <c r="A555" s="9" t="n">
        <v>552</v>
      </c>
      <c r="B555" s="10" t="inlineStr">
        <is>
          <t xml:space="preserve">            windows = self.gw.getWindowsWithTitle("树剪 TreeCut")</t>
        </is>
      </c>
    </row>
    <row r="556">
      <c r="A556" s="7" t="n">
        <v>553</v>
      </c>
      <c r="B556" s="8" t="inlineStr">
        <is>
          <t xml:space="preserve">            if not windows:</t>
        </is>
      </c>
    </row>
    <row r="557">
      <c r="A557" s="9" t="n">
        <v>554</v>
      </c>
      <c r="B557" s="10" t="inlineStr">
        <is>
          <t xml:space="preserve">                windows = [w for w in self.gw.getAllWindows() if "树剪" in w.title]</t>
        </is>
      </c>
    </row>
    <row r="558">
      <c r="A558" s="7" t="n">
        <v>555</v>
      </c>
      <c r="B558" s="8" t="inlineStr">
        <is>
          <t xml:space="preserve">            if windows:</t>
        </is>
      </c>
    </row>
    <row r="559">
      <c r="A559" s="9" t="n">
        <v>556</v>
      </c>
      <c r="B559" s="10" t="inlineStr">
        <is>
          <t xml:space="preserve">                w = windows[0]</t>
        </is>
      </c>
    </row>
    <row r="560">
      <c r="A560" s="7" t="n">
        <v>557</v>
      </c>
      <c r="B560" s="8" t="inlineStr">
        <is>
          <t xml:space="preserve">                if w.isMinimized:</t>
        </is>
      </c>
    </row>
    <row r="561">
      <c r="A561" s="9" t="n">
        <v>558</v>
      </c>
      <c r="B561" s="10" t="inlineStr">
        <is>
          <t xml:space="preserve">                    w.restore()</t>
        </is>
      </c>
    </row>
    <row r="562">
      <c r="A562" s="7" t="n">
        <v>559</v>
      </c>
      <c r="B562" s="8" t="inlineStr">
        <is>
          <t xml:space="preserve">                w.activate()</t>
        </is>
      </c>
    </row>
    <row r="563">
      <c r="A563" s="9" t="n">
        <v>560</v>
      </c>
      <c r="B563" s="10" t="inlineStr">
        <is>
          <t xml:space="preserve">                time.sleep(0.5)</t>
        </is>
      </c>
    </row>
    <row r="564">
      <c r="A564" s="7" t="n">
        <v>561</v>
      </c>
      <c r="B564" s="8" t="inlineStr">
        <is>
          <t xml:space="preserve">                return True</t>
        </is>
      </c>
    </row>
    <row r="565">
      <c r="A565" s="9" t="n">
        <v>562</v>
      </c>
      <c r="B565" s="10" t="inlineStr">
        <is>
          <t xml:space="preserve">        except Exception:</t>
        </is>
      </c>
    </row>
    <row r="566">
      <c r="A566" s="7" t="n">
        <v>563</v>
      </c>
      <c r="B566" s="8" t="inlineStr">
        <is>
          <t xml:space="preserve">            pass</t>
        </is>
      </c>
    </row>
    <row r="567">
      <c r="A567" s="9" t="n">
        <v>564</v>
      </c>
      <c r="B567" s="10" t="inlineStr">
        <is>
          <t xml:space="preserve">        return False</t>
        </is>
      </c>
    </row>
    <row r="568">
      <c r="A568" s="7" t="n">
        <v>565</v>
      </c>
      <c r="B568" s="8" t="inlineStr"/>
    </row>
    <row r="569">
      <c r="A569" s="9" t="n">
        <v>566</v>
      </c>
      <c r="B569" s="10" t="inlineStr">
        <is>
          <t xml:space="preserve">    def click(self, key: str, fallback_xy: Tuple[int, int] = None):</t>
        </is>
      </c>
    </row>
    <row r="570">
      <c r="A570" s="7" t="n">
        <v>567</v>
      </c>
      <c r="B570" s="8" t="inlineStr">
        <is>
          <t xml:space="preserve">        """点击指定控件"""</t>
        </is>
      </c>
    </row>
    <row r="571">
      <c r="A571" s="9" t="n">
        <v>568</v>
      </c>
      <c r="B571" s="10" t="inlineStr">
        <is>
          <t xml:space="preserve">        if not self._available:</t>
        </is>
      </c>
    </row>
    <row r="572">
      <c r="A572" s="7" t="n">
        <v>569</v>
      </c>
      <c r="B572" s="8" t="inlineStr">
        <is>
          <t xml:space="preserve">            return</t>
        </is>
      </c>
    </row>
    <row r="573">
      <c r="A573" s="9" t="n">
        <v>570</v>
      </c>
      <c r="B573" s="10" t="inlineStr">
        <is>
          <t xml:space="preserve">        if key in self._coords:</t>
        </is>
      </c>
    </row>
    <row r="574">
      <c r="A574" s="7" t="n">
        <v>571</v>
      </c>
      <c r="B574" s="8" t="inlineStr">
        <is>
          <t xml:space="preserve">            x, y = self._coords[key]</t>
        </is>
      </c>
    </row>
    <row r="575">
      <c r="A575" s="9" t="n">
        <v>572</v>
      </c>
      <c r="B575" s="10" t="inlineStr">
        <is>
          <t xml:space="preserve">        elif fallback_xy:</t>
        </is>
      </c>
    </row>
    <row r="576">
      <c r="A576" s="7" t="n">
        <v>573</v>
      </c>
      <c r="B576" s="8" t="inlineStr">
        <is>
          <t xml:space="preserve">            x, y = fallback_xy</t>
        </is>
      </c>
    </row>
    <row r="577">
      <c r="A577" s="9" t="n">
        <v>574</v>
      </c>
      <c r="B577" s="10" t="inlineStr">
        <is>
          <t xml:space="preserve">        else:</t>
        </is>
      </c>
    </row>
    <row r="578">
      <c r="A578" s="7" t="n">
        <v>575</v>
      </c>
      <c r="B578" s="8" t="inlineStr">
        <is>
          <t xml:space="preserve">            log(f"  坐标未校准: {key}", "WARN")</t>
        </is>
      </c>
    </row>
    <row r="579">
      <c r="A579" s="9" t="n">
        <v>576</v>
      </c>
      <c r="B579" s="10" t="inlineStr">
        <is>
          <t xml:space="preserve">            return</t>
        </is>
      </c>
    </row>
    <row r="580">
      <c r="A580" s="7" t="n">
        <v>577</v>
      </c>
      <c r="B580" s="8" t="inlineStr">
        <is>
          <t xml:space="preserve">        self.pyautogui.click(x, y)</t>
        </is>
      </c>
    </row>
    <row r="581">
      <c r="A581" s="9" t="n">
        <v>578</v>
      </c>
      <c r="B581" s="10" t="inlineStr">
        <is>
          <t xml:space="preserve">        time.sleep(0.5)</t>
        </is>
      </c>
    </row>
    <row r="582">
      <c r="A582" s="7" t="n">
        <v>579</v>
      </c>
      <c r="B582" s="8" t="inlineStr"/>
    </row>
    <row r="583">
      <c r="A583" s="9" t="n">
        <v>580</v>
      </c>
      <c r="B583" s="10" t="inlineStr">
        <is>
          <t xml:space="preserve">    def type_text(self, text: str):</t>
        </is>
      </c>
    </row>
    <row r="584">
      <c r="A584" s="7" t="n">
        <v>581</v>
      </c>
      <c r="B584" s="8" t="inlineStr">
        <is>
          <t xml:space="preserve">        """输入文字"""</t>
        </is>
      </c>
    </row>
    <row r="585">
      <c r="A585" s="9" t="n">
        <v>582</v>
      </c>
      <c r="B585" s="10" t="inlineStr">
        <is>
          <t xml:space="preserve">        if not self._available:</t>
        </is>
      </c>
    </row>
    <row r="586">
      <c r="A586" s="7" t="n">
        <v>583</v>
      </c>
      <c r="B586" s="8" t="inlineStr">
        <is>
          <t xml:space="preserve">            return</t>
        </is>
      </c>
    </row>
    <row r="587">
      <c r="A587" s="9" t="n">
        <v>584</v>
      </c>
      <c r="B587" s="10" t="inlineStr">
        <is>
          <t xml:space="preserve">        self.pyautogui.write(text, interval=0.05)</t>
        </is>
      </c>
    </row>
    <row r="588">
      <c r="A588" s="7" t="n">
        <v>585</v>
      </c>
      <c r="B588" s="8" t="inlineStr"/>
    </row>
    <row r="589">
      <c r="A589" s="9" t="n">
        <v>586</v>
      </c>
      <c r="B589" s="10" t="inlineStr">
        <is>
          <t xml:space="preserve">    def press_key(self, *keys):</t>
        </is>
      </c>
    </row>
    <row r="590">
      <c r="A590" s="7" t="n">
        <v>587</v>
      </c>
      <c r="B590" s="8" t="inlineStr">
        <is>
          <t xml:space="preserve">        """按下组合键"""</t>
        </is>
      </c>
    </row>
    <row r="591">
      <c r="A591" s="9" t="n">
        <v>588</v>
      </c>
      <c r="B591" s="10" t="inlineStr">
        <is>
          <t xml:space="preserve">        if not self._available:</t>
        </is>
      </c>
    </row>
    <row r="592">
      <c r="A592" s="7" t="n">
        <v>589</v>
      </c>
      <c r="B592" s="8" t="inlineStr">
        <is>
          <t xml:space="preserve">            return</t>
        </is>
      </c>
    </row>
    <row r="593">
      <c r="A593" s="9" t="n">
        <v>590</v>
      </c>
      <c r="B593" s="10" t="inlineStr">
        <is>
          <t xml:space="preserve">        self.pyautogui.hotkey(*keys)</t>
        </is>
      </c>
    </row>
    <row r="594">
      <c r="A594" s="7" t="n">
        <v>591</v>
      </c>
      <c r="B594" s="8" t="inlineStr"/>
    </row>
    <row r="595">
      <c r="A595" s="9" t="n">
        <v>592</v>
      </c>
      <c r="B595" s="10" t="inlineStr">
        <is>
          <t xml:space="preserve">    def gui_test_cycle(self) -&gt; List[dict]:</t>
        </is>
      </c>
    </row>
    <row r="596">
      <c r="A596" s="7" t="n">
        <v>593</v>
      </c>
      <c r="B596" s="8" t="inlineStr">
        <is>
          <t xml:space="preserve">        """GUI 测试循环: 模拟用户依次操作各功能"""</t>
        </is>
      </c>
    </row>
    <row r="597">
      <c r="A597" s="9" t="n">
        <v>594</v>
      </c>
      <c r="B597" s="10" t="inlineStr">
        <is>
          <t xml:space="preserve">        results = []</t>
        </is>
      </c>
    </row>
    <row r="598">
      <c r="A598" s="7" t="n">
        <v>595</v>
      </c>
      <c r="B598" s="8" t="inlineStr">
        <is>
          <t xml:space="preserve">        if not self._available:</t>
        </is>
      </c>
    </row>
    <row r="599">
      <c r="A599" s="9" t="n">
        <v>596</v>
      </c>
      <c r="B599" s="10" t="inlineStr">
        <is>
          <t xml:space="preserve">            return results</t>
        </is>
      </c>
    </row>
    <row r="600">
      <c r="A600" s="7" t="n">
        <v>597</v>
      </c>
      <c r="B600" s="8" t="inlineStr"/>
    </row>
    <row r="601">
      <c r="A601" s="9" t="n">
        <v>598</v>
      </c>
      <c r="B601" s="10" t="inlineStr">
        <is>
          <t xml:space="preserve">        actions = [</t>
        </is>
      </c>
    </row>
    <row r="602">
      <c r="A602" s="7" t="n">
        <v>599</v>
      </c>
      <c r="B602" s="8" t="inlineStr">
        <is>
          <t xml:space="preserve">            ("切换到素材盘检索", lambda: self.click("tab_material")),</t>
        </is>
      </c>
    </row>
    <row r="603">
      <c r="A603" s="9" t="n">
        <v>600</v>
      </c>
      <c r="B603" s="10" t="inlineStr">
        <is>
          <t xml:space="preserve">            ("在生成页输入关键词", lambda: (</t>
        </is>
      </c>
    </row>
    <row r="604">
      <c r="A604" s="7" t="n">
        <v>601</v>
      </c>
      <c r="B604" s="8" t="inlineStr">
        <is>
          <t xml:space="preserve">                self.click("tab_generate"),</t>
        </is>
      </c>
    </row>
    <row r="605">
      <c r="A605" s="9" t="n">
        <v>602</v>
      </c>
      <c r="B605" s="10" t="inlineStr">
        <is>
          <t xml:space="preserve">                self.click("input_keyword"),</t>
        </is>
      </c>
    </row>
    <row r="606">
      <c r="A606" s="7" t="n">
        <v>603</v>
      </c>
      <c r="B606" s="8" t="inlineStr">
        <is>
          <t xml:space="preserve">                self.type_text("岩板台面耐造"),</t>
        </is>
      </c>
    </row>
    <row r="607">
      <c r="A607" s="9" t="n">
        <v>604</v>
      </c>
      <c r="B607" s="10" t="inlineStr">
        <is>
          <t xml:space="preserve">                time.sleep(1),</t>
        </is>
      </c>
    </row>
    <row r="608">
      <c r="A608" s="7" t="n">
        <v>605</v>
      </c>
      <c r="B608" s="8" t="inlineStr">
        <is>
          <t xml:space="preserve">            )),</t>
        </is>
      </c>
    </row>
    <row r="609">
      <c r="A609" s="9" t="n">
        <v>606</v>
      </c>
      <c r="B609" s="10" t="inlineStr">
        <is>
          <t xml:space="preserve">            ("点击生成视频草稿", lambda: (</t>
        </is>
      </c>
    </row>
    <row r="610">
      <c r="A610" s="7" t="n">
        <v>607</v>
      </c>
      <c r="B610" s="8" t="inlineStr">
        <is>
          <t xml:space="preserve">                self.click("btn_generate"),</t>
        </is>
      </c>
    </row>
    <row r="611">
      <c r="A611" s="9" t="n">
        <v>608</v>
      </c>
      <c r="B611" s="10" t="inlineStr">
        <is>
          <t xml:space="preserve">                log("  等待生成完成..."),</t>
        </is>
      </c>
    </row>
    <row r="612">
      <c r="A612" s="7" t="n">
        <v>609</v>
      </c>
      <c r="B612" s="8" t="inlineStr">
        <is>
          <t xml:space="preserve">                time.sleep(15),</t>
        </is>
      </c>
    </row>
    <row r="613">
      <c r="A613" s="9" t="n">
        <v>610</v>
      </c>
      <c r="B613" s="10" t="inlineStr">
        <is>
          <t xml:space="preserve">            )),</t>
        </is>
      </c>
    </row>
    <row r="614">
      <c r="A614" s="7" t="n">
        <v>611</v>
      </c>
      <c r="B614" s="8" t="inlineStr">
        <is>
          <t xml:space="preserve">            ("切换到历史页", lambda: (</t>
        </is>
      </c>
    </row>
    <row r="615">
      <c r="A615" s="9" t="n">
        <v>612</v>
      </c>
      <c r="B615" s="10" t="inlineStr">
        <is>
          <t xml:space="preserve">                self.click("tab_history"),</t>
        </is>
      </c>
    </row>
    <row r="616">
      <c r="A616" s="7" t="n">
        <v>613</v>
      </c>
      <c r="B616" s="8" t="inlineStr">
        <is>
          <t xml:space="preserve">                time.sleep(2),</t>
        </is>
      </c>
    </row>
    <row r="617">
      <c r="A617" s="9" t="n">
        <v>614</v>
      </c>
      <c r="B617" s="10" t="inlineStr">
        <is>
          <t xml:space="preserve">            )),</t>
        </is>
      </c>
    </row>
    <row r="618">
      <c r="A618" s="7" t="n">
        <v>615</v>
      </c>
      <c r="B618" s="8" t="inlineStr">
        <is>
          <t xml:space="preserve">            ("清空并切换回生成页", lambda: (</t>
        </is>
      </c>
    </row>
    <row r="619">
      <c r="A619" s="9" t="n">
        <v>616</v>
      </c>
      <c r="B619" s="10" t="inlineStr">
        <is>
          <t xml:space="preserve">                self.click("tab_generate"),</t>
        </is>
      </c>
    </row>
    <row r="620">
      <c r="A620" s="7" t="n">
        <v>617</v>
      </c>
      <c r="B620" s="8" t="inlineStr">
        <is>
          <t xml:space="preserve">                self.click("btn_clear"),</t>
        </is>
      </c>
    </row>
    <row r="621">
      <c r="A621" s="9" t="n">
        <v>618</v>
      </c>
      <c r="B621" s="10" t="inlineStr">
        <is>
          <t xml:space="preserve">                time.sleep(1),</t>
        </is>
      </c>
    </row>
    <row r="622">
      <c r="A622" s="7" t="n">
        <v>619</v>
      </c>
      <c r="B622" s="8" t="inlineStr">
        <is>
          <t xml:space="preserve">            )),</t>
        </is>
      </c>
    </row>
    <row r="623">
      <c r="A623" s="9" t="n">
        <v>620</v>
      </c>
      <c r="B623" s="10" t="inlineStr">
        <is>
          <t xml:space="preserve">        ]</t>
        </is>
      </c>
    </row>
    <row r="624">
      <c r="A624" s="7" t="n">
        <v>621</v>
      </c>
      <c r="B624" s="8" t="inlineStr"/>
    </row>
    <row r="625">
      <c r="A625" s="9" t="n">
        <v>622</v>
      </c>
      <c r="B625" s="10" t="inlineStr">
        <is>
          <t xml:space="preserve">        for name, action in actions:</t>
        </is>
      </c>
    </row>
    <row r="626">
      <c r="A626" s="7" t="n">
        <v>623</v>
      </c>
      <c r="B626" s="8" t="inlineStr">
        <is>
          <t xml:space="preserve">            try:</t>
        </is>
      </c>
    </row>
    <row r="627">
      <c r="A627" s="9" t="n">
        <v>624</v>
      </c>
      <c r="B627" s="10" t="inlineStr">
        <is>
          <t xml:space="preserve">                self.focus_window()</t>
        </is>
      </c>
    </row>
    <row r="628">
      <c r="A628" s="7" t="n">
        <v>625</v>
      </c>
      <c r="B628" s="8" t="inlineStr">
        <is>
          <t xml:space="preserve">                action()</t>
        </is>
      </c>
    </row>
    <row r="629">
      <c r="A629" s="9" t="n">
        <v>626</v>
      </c>
      <c r="B629" s="10" t="inlineStr">
        <is>
          <t xml:space="preserve">                results.append({"action": name, "success": True})</t>
        </is>
      </c>
    </row>
    <row r="630">
      <c r="A630" s="7" t="n">
        <v>627</v>
      </c>
      <c r="B630" s="8" t="inlineStr">
        <is>
          <t xml:space="preserve">            except Exception as e:</t>
        </is>
      </c>
    </row>
    <row r="631">
      <c r="A631" s="9" t="n">
        <v>628</v>
      </c>
      <c r="B631" s="10" t="inlineStr">
        <is>
          <t xml:space="preserve">                results.append({"action": name, "success": False, "error": str(e)})</t>
        </is>
      </c>
    </row>
    <row r="632">
      <c r="A632" s="7" t="n">
        <v>629</v>
      </c>
      <c r="B632" s="8" t="inlineStr">
        <is>
          <t xml:space="preserve">                log(f"  GUI操作失败 [{name}]: {e}", "WARN")</t>
        </is>
      </c>
    </row>
    <row r="633">
      <c r="A633" s="9" t="n">
        <v>630</v>
      </c>
      <c r="B633" s="10" t="inlineStr"/>
    </row>
    <row r="634">
      <c r="A634" s="7" t="n">
        <v>631</v>
      </c>
      <c r="B634" s="8" t="inlineStr">
        <is>
          <t xml:space="preserve">        return results</t>
        </is>
      </c>
    </row>
    <row r="635">
      <c r="A635" s="9" t="n">
        <v>632</v>
      </c>
      <c r="B635" s="10" t="inlineStr"/>
    </row>
    <row r="636">
      <c r="A636" s="7" t="n">
        <v>633</v>
      </c>
      <c r="B636" s="8" t="inlineStr"/>
    </row>
    <row r="637">
      <c r="A637" s="9" t="n">
        <v>634</v>
      </c>
      <c r="B637" s="10" t="inlineStr">
        <is>
          <t># ═══════════════════════════════════════════════════</t>
        </is>
      </c>
    </row>
    <row r="638">
      <c r="A638" s="7" t="n">
        <v>635</v>
      </c>
      <c r="B638" s="8" t="inlineStr">
        <is>
          <t># 模块4: 错误分析与修复生成</t>
        </is>
      </c>
    </row>
    <row r="639">
      <c r="A639" s="9" t="n">
        <v>636</v>
      </c>
      <c r="B639" s="10" t="inlineStr">
        <is>
          <t># ═══════════════════════════════════════════════════</t>
        </is>
      </c>
    </row>
    <row r="640">
      <c r="A640" s="7" t="n">
        <v>637</v>
      </c>
      <c r="B640" s="8" t="inlineStr"/>
    </row>
    <row r="641">
      <c r="A641" s="9" t="n">
        <v>638</v>
      </c>
      <c r="B641" s="10" t="inlineStr">
        <is>
          <t>class FixGenerator:</t>
        </is>
      </c>
    </row>
    <row r="642">
      <c r="A642" s="7" t="n">
        <v>639</v>
      </c>
      <c r="B642" s="8" t="inlineStr">
        <is>
          <t xml:space="preserve">    """</t>
        </is>
      </c>
    </row>
    <row r="643">
      <c r="A643" s="9" t="n">
        <v>640</v>
      </c>
      <c r="B643" s="10" t="inlineStr">
        <is>
          <t xml:space="preserve">    错误分析 + 修复代码生成。</t>
        </is>
      </c>
    </row>
    <row r="644">
      <c r="A644" s="7" t="n">
        <v>641</v>
      </c>
      <c r="B644" s="8" t="inlineStr">
        <is>
          <t xml:space="preserve">    规则模式处理常见错误，AI模式处理未知错误。</t>
        </is>
      </c>
    </row>
    <row r="645">
      <c r="A645" s="9" t="n">
        <v>642</v>
      </c>
      <c r="B645" s="10" t="inlineStr">
        <is>
          <t xml:space="preserve">    """</t>
        </is>
      </c>
    </row>
    <row r="646">
      <c r="A646" s="7" t="n">
        <v>643</v>
      </c>
      <c r="B646" s="8" t="inlineStr"/>
    </row>
    <row r="647">
      <c r="A647" s="9" t="n">
        <v>644</v>
      </c>
      <c r="B647" s="10" t="inlineStr">
        <is>
          <t xml:space="preserve">    # ── 预定义修复模式 ──</t>
        </is>
      </c>
    </row>
    <row r="648">
      <c r="A648" s="7" t="n">
        <v>645</v>
      </c>
      <c r="B648" s="8" t="inlineStr">
        <is>
          <t xml:space="preserve">    PATTERNS = [</t>
        </is>
      </c>
    </row>
    <row r="649">
      <c r="A649" s="9" t="n">
        <v>646</v>
      </c>
      <c r="B649" s="10" t="inlineStr">
        <is>
          <t xml:space="preserve">        {</t>
        </is>
      </c>
    </row>
    <row r="650">
      <c r="A650" s="7" t="n">
        <v>647</v>
      </c>
      <c r="B650" s="8" t="inlineStr">
        <is>
          <t xml:space="preserve">            "name": "encoding_gbk",</t>
        </is>
      </c>
    </row>
    <row r="651">
      <c r="A651" s="9" t="n">
        <v>648</v>
      </c>
      <c r="B651" s="10" t="inlineStr">
        <is>
          <t xml:space="preserve">            "match": lambda e: "gbk" in e.get("msg", "").lower() and "encode" in e.get("msg", "").lower(),</t>
        </is>
      </c>
    </row>
    <row r="652">
      <c r="A652" s="7" t="n">
        <v>649</v>
      </c>
      <c r="B652" s="8" t="inlineStr">
        <is>
          <t xml:space="preserve">            "fix": "添加 encoding='utf-8' 到 open() 调用",</t>
        </is>
      </c>
    </row>
    <row r="653">
      <c r="A653" s="9" t="n">
        <v>650</v>
      </c>
      <c r="B653" s="10" t="inlineStr">
        <is>
          <t xml:space="preserve">            "apply": "_fix_encoding_gbk",</t>
        </is>
      </c>
    </row>
    <row r="654">
      <c r="A654" s="7" t="n">
        <v>651</v>
      </c>
      <c r="B654" s="8" t="inlineStr">
        <is>
          <t xml:space="preserve">        },</t>
        </is>
      </c>
    </row>
    <row r="655">
      <c r="A655" s="9" t="n">
        <v>652</v>
      </c>
      <c r="B655" s="10" t="inlineStr">
        <is>
          <t xml:space="preserve">        {</t>
        </is>
      </c>
    </row>
    <row r="656">
      <c r="A656" s="7" t="n">
        <v>653</v>
      </c>
      <c r="B656" s="8" t="inlineStr">
        <is>
          <t xml:space="preserve">            "name": "import_missing",</t>
        </is>
      </c>
    </row>
    <row r="657">
      <c r="A657" s="9" t="n">
        <v>654</v>
      </c>
      <c r="B657" s="10" t="inlineStr">
        <is>
          <t xml:space="preserve">            "match": lambda e: e.get("type") in ("ModuleNotFoundError", "ImportError"),</t>
        </is>
      </c>
    </row>
    <row r="658">
      <c r="A658" s="7" t="n">
        <v>655</v>
      </c>
      <c r="B658" s="8" t="inlineStr">
        <is>
          <t xml:space="preserve">            "fix": "自动安装缺失的库（pip install）",</t>
        </is>
      </c>
    </row>
    <row r="659">
      <c r="A659" s="9" t="n">
        <v>656</v>
      </c>
      <c r="B659" s="10" t="inlineStr">
        <is>
          <t xml:space="preserve">            "apply": "_fix_missing_import",</t>
        </is>
      </c>
    </row>
    <row r="660">
      <c r="A660" s="7" t="n">
        <v>657</v>
      </c>
      <c r="B660" s="8" t="inlineStr">
        <is>
          <t xml:space="preserve">        },</t>
        </is>
      </c>
    </row>
    <row r="661">
      <c r="A661" s="9" t="n">
        <v>658</v>
      </c>
      <c r="B661" s="10" t="inlineStr">
        <is>
          <t xml:space="preserve">        {</t>
        </is>
      </c>
    </row>
    <row r="662">
      <c r="A662" s="7" t="n">
        <v>659</v>
      </c>
      <c r="B662" s="8" t="inlineStr">
        <is>
          <t xml:space="preserve">            "name": "db_locked",</t>
        </is>
      </c>
    </row>
    <row r="663">
      <c r="A663" s="9" t="n">
        <v>660</v>
      </c>
      <c r="B663" s="10" t="inlineStr">
        <is>
          <t xml:space="preserve">            "match": lambda e: "database is locked" in e.get("msg", "").lower(),</t>
        </is>
      </c>
    </row>
    <row r="664">
      <c r="A664" s="7" t="n">
        <v>661</v>
      </c>
      <c r="B664" s="8" t="inlineStr">
        <is>
          <t xml:space="preserve">            "fix": "增加 SQLite timeout",</t>
        </is>
      </c>
    </row>
    <row r="665">
      <c r="A665" s="9" t="n">
        <v>662</v>
      </c>
      <c r="B665" s="10" t="inlineStr">
        <is>
          <t xml:space="preserve">            "apply": "_fix_db_locked",</t>
        </is>
      </c>
    </row>
    <row r="666">
      <c r="A666" s="7" t="n">
        <v>663</v>
      </c>
      <c r="B666" s="8" t="inlineStr">
        <is>
          <t xml:space="preserve">        },</t>
        </is>
      </c>
    </row>
    <row r="667">
      <c r="A667" s="9" t="n">
        <v>664</v>
      </c>
      <c r="B667" s="10" t="inlineStr">
        <is>
          <t xml:space="preserve">        {</t>
        </is>
      </c>
    </row>
    <row r="668">
      <c r="A668" s="7" t="n">
        <v>665</v>
      </c>
      <c r="B668" s="8" t="inlineStr">
        <is>
          <t xml:space="preserve">            "name": "attribute_missing",</t>
        </is>
      </c>
    </row>
    <row r="669">
      <c r="A669" s="9" t="n">
        <v>666</v>
      </c>
      <c r="B669" s="10" t="inlineStr">
        <is>
          <t xml:space="preserve">            "match": lambda e: e.get("type") == "AttributeError",</t>
        </is>
      </c>
    </row>
    <row r="670">
      <c r="A670" s="7" t="n">
        <v>667</v>
      </c>
      <c r="B670" s="8" t="inlineStr">
        <is>
          <t xml:space="preserve">            "fix": "检查对象是否有该属性，添加缺失的方法或属性",</t>
        </is>
      </c>
    </row>
    <row r="671">
      <c r="A671" s="9" t="n">
        <v>668</v>
      </c>
      <c r="B671" s="10" t="inlineStr">
        <is>
          <t xml:space="preserve">            "apply": "_fix_attribute_error",</t>
        </is>
      </c>
    </row>
    <row r="672">
      <c r="A672" s="7" t="n">
        <v>669</v>
      </c>
      <c r="B672" s="8" t="inlineStr">
        <is>
          <t xml:space="preserve">        },</t>
        </is>
      </c>
    </row>
    <row r="673">
      <c r="A673" s="9" t="n">
        <v>670</v>
      </c>
      <c r="B673" s="10" t="inlineStr">
        <is>
          <t xml:space="preserve">        {</t>
        </is>
      </c>
    </row>
    <row r="674">
      <c r="A674" s="7" t="n">
        <v>671</v>
      </c>
      <c r="B674" s="8" t="inlineStr">
        <is>
          <t xml:space="preserve">            "name": "memory_error",</t>
        </is>
      </c>
    </row>
    <row r="675">
      <c r="A675" s="9" t="n">
        <v>672</v>
      </c>
      <c r="B675" s="10" t="inlineStr">
        <is>
          <t xml:space="preserve">            "match": lambda e: e.get("type") in ("MemoryError", "RuntimeError") and</t>
        </is>
      </c>
    </row>
    <row r="676">
      <c r="A676" s="7" t="n">
        <v>673</v>
      </c>
      <c r="B676" s="8" t="inlineStr">
        <is>
          <t xml:space="preserve">                              ("memory" in e.get("msg", "").lower() or "cuda" in e.get("msg", "").lower()),</t>
        </is>
      </c>
    </row>
    <row r="677">
      <c r="A677" s="9" t="n">
        <v>674</v>
      </c>
      <c r="B677" s="10" t="inlineStr">
        <is>
          <t xml:space="preserve">            "fix": "添加 gc.collect() + torch.cuda.empty_cache()",</t>
        </is>
      </c>
    </row>
    <row r="678">
      <c r="A678" s="7" t="n">
        <v>675</v>
      </c>
      <c r="B678" s="8" t="inlineStr">
        <is>
          <t xml:space="preserve">            "apply": "_fix_memory",</t>
        </is>
      </c>
    </row>
    <row r="679">
      <c r="A679" s="9" t="n">
        <v>676</v>
      </c>
      <c r="B679" s="10" t="inlineStr">
        <is>
          <t xml:space="preserve">        },</t>
        </is>
      </c>
    </row>
    <row r="680">
      <c r="A680" s="7" t="n">
        <v>677</v>
      </c>
      <c r="B680" s="8" t="inlineStr">
        <is>
          <t xml:space="preserve">        {</t>
        </is>
      </c>
    </row>
    <row r="681">
      <c r="A681" s="9" t="n">
        <v>678</v>
      </c>
      <c r="B681" s="10" t="inlineStr">
        <is>
          <t xml:space="preserve">            "name": "file_not_found",</t>
        </is>
      </c>
    </row>
    <row r="682">
      <c r="A682" s="7" t="n">
        <v>679</v>
      </c>
      <c r="B682" s="8" t="inlineStr">
        <is>
          <t xml:space="preserve">            "match": lambda e: e.get("type") == "FileNotFoundError",</t>
        </is>
      </c>
    </row>
    <row r="683">
      <c r="A683" s="9" t="n">
        <v>680</v>
      </c>
      <c r="B683" s="10" t="inlineStr">
        <is>
          <t xml:space="preserve">            "fix": "添加路径检查和自动创建目录",</t>
        </is>
      </c>
    </row>
    <row r="684">
      <c r="A684" s="7" t="n">
        <v>681</v>
      </c>
      <c r="B684" s="8" t="inlineStr">
        <is>
          <t xml:space="preserve">            "apply": "_fix_file_not_found",</t>
        </is>
      </c>
    </row>
    <row r="685">
      <c r="A685" s="9" t="n">
        <v>682</v>
      </c>
      <c r="B685" s="10" t="inlineStr">
        <is>
          <t xml:space="preserve">        },</t>
        </is>
      </c>
    </row>
    <row r="686">
      <c r="A686" s="7" t="n">
        <v>683</v>
      </c>
      <c r="B686" s="8" t="inlineStr">
        <is>
          <t xml:space="preserve">        {</t>
        </is>
      </c>
    </row>
    <row r="687">
      <c r="A687" s="9" t="n">
        <v>684</v>
      </c>
      <c r="B687" s="10" t="inlineStr">
        <is>
          <t xml:space="preserve">            "name": "syntax_error",</t>
        </is>
      </c>
    </row>
    <row r="688">
      <c r="A688" s="7" t="n">
        <v>685</v>
      </c>
      <c r="B688" s="8" t="inlineStr">
        <is>
          <t xml:space="preserve">            "match": lambda e: e.get("type") == "SyntaxError",</t>
        </is>
      </c>
    </row>
    <row r="689">
      <c r="A689" s="9" t="n">
        <v>686</v>
      </c>
      <c r="B689" s="10" t="inlineStr">
        <is>
          <t xml:space="preserve">            "fix": "修复语法错误（需要精确定位）",</t>
        </is>
      </c>
    </row>
    <row r="690">
      <c r="A690" s="7" t="n">
        <v>687</v>
      </c>
      <c r="B690" s="8" t="inlineStr">
        <is>
          <t xml:space="preserve">            "apply": "_fix_syntax_error",</t>
        </is>
      </c>
    </row>
    <row r="691">
      <c r="A691" s="9" t="n">
        <v>688</v>
      </c>
      <c r="B691" s="10" t="inlineStr">
        <is>
          <t xml:space="preserve">        },</t>
        </is>
      </c>
    </row>
    <row r="692">
      <c r="A692" s="7" t="n">
        <v>689</v>
      </c>
      <c r="B692" s="8" t="inlineStr">
        <is>
          <t xml:space="preserve">        {</t>
        </is>
      </c>
    </row>
    <row r="693">
      <c r="A693" s="9" t="n">
        <v>690</v>
      </c>
      <c r="B693" s="10" t="inlineStr">
        <is>
          <t xml:space="preserve">            "name": "none_type",</t>
        </is>
      </c>
    </row>
    <row r="694">
      <c r="A694" s="7" t="n">
        <v>691</v>
      </c>
      <c r="B694" s="8" t="inlineStr">
        <is>
          <t xml:space="preserve">            "match": lambda e: "'NoneType' object has no attribute" in e.get("msg", ""),</t>
        </is>
      </c>
    </row>
    <row r="695">
      <c r="A695" s="9" t="n">
        <v>692</v>
      </c>
      <c r="B695" s="10" t="inlineStr">
        <is>
          <t xml:space="preserve">            "fix": "添加 None 检查保护",</t>
        </is>
      </c>
    </row>
    <row r="696">
      <c r="A696" s="7" t="n">
        <v>693</v>
      </c>
      <c r="B696" s="8" t="inlineStr">
        <is>
          <t xml:space="preserve">            "apply": "_fix_none_type",</t>
        </is>
      </c>
    </row>
    <row r="697">
      <c r="A697" s="9" t="n">
        <v>694</v>
      </c>
      <c r="B697" s="10" t="inlineStr">
        <is>
          <t xml:space="preserve">        },</t>
        </is>
      </c>
    </row>
    <row r="698">
      <c r="A698" s="7" t="n">
        <v>695</v>
      </c>
      <c r="B698" s="8" t="inlineStr">
        <is>
          <t xml:space="preserve">    ]</t>
        </is>
      </c>
    </row>
    <row r="699">
      <c r="A699" s="9" t="n">
        <v>696</v>
      </c>
      <c r="B699" s="10" t="inlineStr"/>
    </row>
    <row r="700">
      <c r="A700" s="7" t="n">
        <v>697</v>
      </c>
      <c r="B700" s="8" t="inlineStr">
        <is>
          <t xml:space="preserve">    def analyze(self, error_info: dict, source_context: str = "") -&gt; dict:</t>
        </is>
      </c>
    </row>
    <row r="701">
      <c r="A701" s="9" t="n">
        <v>698</v>
      </c>
      <c r="B701" s="10" t="inlineStr">
        <is>
          <t xml:space="preserve">        """</t>
        </is>
      </c>
    </row>
    <row r="702">
      <c r="A702" s="7" t="n">
        <v>699</v>
      </c>
      <c r="B702" s="8" t="inlineStr">
        <is>
          <t xml:space="preserve">        分析错误并生成修复建议。</t>
        </is>
      </c>
    </row>
    <row r="703">
      <c r="A703" s="9" t="n">
        <v>700</v>
      </c>
      <c r="B703" s="10" t="inlineStr">
        <is>
          <t xml:space="preserve">        返回: {"matched": bool, "pattern_name": str, "fix": str, "code_patch": str|None}</t>
        </is>
      </c>
    </row>
    <row r="704">
      <c r="A704" s="7" t="n">
        <v>701</v>
      </c>
      <c r="B704" s="8" t="inlineStr">
        <is>
          <t xml:space="preserve">        """</t>
        </is>
      </c>
    </row>
    <row r="705">
      <c r="A705" s="9" t="n">
        <v>702</v>
      </c>
      <c r="B705" s="10" t="inlineStr">
        <is>
          <t xml:space="preserve">        if not error_info:</t>
        </is>
      </c>
    </row>
    <row r="706">
      <c r="A706" s="7" t="n">
        <v>703</v>
      </c>
      <c r="B706" s="8" t="inlineStr">
        <is>
          <t xml:space="preserve">            return {"matched": False, "fix": "无错误信息", "code_patch": None}</t>
        </is>
      </c>
    </row>
    <row r="707">
      <c r="A707" s="9" t="n">
        <v>704</v>
      </c>
      <c r="B707" s="10" t="inlineStr"/>
    </row>
    <row r="708">
      <c r="A708" s="7" t="n">
        <v>705</v>
      </c>
      <c r="B708" s="8" t="inlineStr">
        <is>
          <t xml:space="preserve">        # 1. 尝试规则匹配</t>
        </is>
      </c>
    </row>
    <row r="709">
      <c r="A709" s="9" t="n">
        <v>706</v>
      </c>
      <c r="B709" s="10" t="inlineStr">
        <is>
          <t xml:space="preserve">        for pat in self.PATTERNS:</t>
        </is>
      </c>
    </row>
    <row r="710">
      <c r="A710" s="7" t="n">
        <v>707</v>
      </c>
      <c r="B710" s="8" t="inlineStr">
        <is>
          <t xml:space="preserve">            if pat["match"](error_info):</t>
        </is>
      </c>
    </row>
    <row r="711">
      <c r="A711" s="9" t="n">
        <v>708</v>
      </c>
      <c r="B711" s="10" t="inlineStr">
        <is>
          <t xml:space="preserve">                return {</t>
        </is>
      </c>
    </row>
    <row r="712">
      <c r="A712" s="7" t="n">
        <v>709</v>
      </c>
      <c r="B712" s="8" t="inlineStr">
        <is>
          <t xml:space="preserve">                    "matched": True,</t>
        </is>
      </c>
    </row>
    <row r="713">
      <c r="A713" s="9" t="n">
        <v>710</v>
      </c>
      <c r="B713" s="10" t="inlineStr">
        <is>
          <t xml:space="preserve">                    "pattern_name": pat["name"],</t>
        </is>
      </c>
    </row>
    <row r="714">
      <c r="A714" s="7" t="n">
        <v>711</v>
      </c>
      <c r="B714" s="8" t="inlineStr">
        <is>
          <t xml:space="preserve">                    "fix": pat["fix"],</t>
        </is>
      </c>
    </row>
    <row r="715">
      <c r="A715" s="9" t="n">
        <v>712</v>
      </c>
      <c r="B715" s="10" t="inlineStr">
        <is>
          <t xml:space="preserve">                    "rule_apply": pat["apply"],</t>
        </is>
      </c>
    </row>
    <row r="716">
      <c r="A716" s="7" t="n">
        <v>713</v>
      </c>
      <c r="B716" s="8" t="inlineStr">
        <is>
          <t xml:space="preserve">                }</t>
        </is>
      </c>
    </row>
    <row r="717">
      <c r="A717" s="9" t="n">
        <v>714</v>
      </c>
      <c r="B717" s="10" t="inlineStr"/>
    </row>
    <row r="718">
      <c r="A718" s="7" t="n">
        <v>715</v>
      </c>
      <c r="B718" s="8" t="inlineStr">
        <is>
          <t xml:space="preserve">        # 2. 如果是未知错误且有AI，调用AI</t>
        </is>
      </c>
    </row>
    <row r="719">
      <c r="A719" s="9" t="n">
        <v>716</v>
      </c>
      <c r="B719" s="10" t="inlineStr">
        <is>
          <t xml:space="preserve">        if HAS_AI and source_context:</t>
        </is>
      </c>
    </row>
    <row r="720">
      <c r="A720" s="7" t="n">
        <v>717</v>
      </c>
      <c r="B720" s="8" t="inlineStr">
        <is>
          <t xml:space="preserve">            ai_fix = self._ai_analyze(error_info, source_context)</t>
        </is>
      </c>
    </row>
    <row r="721">
      <c r="A721" s="9" t="n">
        <v>718</v>
      </c>
      <c r="B721" s="10" t="inlineStr">
        <is>
          <t xml:space="preserve">            if ai_fix:</t>
        </is>
      </c>
    </row>
    <row r="722">
      <c r="A722" s="7" t="n">
        <v>719</v>
      </c>
      <c r="B722" s="8" t="inlineStr">
        <is>
          <t xml:space="preserve">                return ai_fix</t>
        </is>
      </c>
    </row>
    <row r="723">
      <c r="A723" s="9" t="n">
        <v>720</v>
      </c>
      <c r="B723" s="10" t="inlineStr"/>
    </row>
    <row r="724">
      <c r="A724" s="7" t="n">
        <v>721</v>
      </c>
      <c r="B724" s="8" t="inlineStr">
        <is>
          <t xml:space="preserve">        return {</t>
        </is>
      </c>
    </row>
    <row r="725">
      <c r="A725" s="9" t="n">
        <v>722</v>
      </c>
      <c r="B725" s="10" t="inlineStr">
        <is>
          <t xml:space="preserve">            "matched": False,</t>
        </is>
      </c>
    </row>
    <row r="726">
      <c r="A726" s="7" t="n">
        <v>723</v>
      </c>
      <c r="B726" s="8" t="inlineStr">
        <is>
          <t xml:space="preserve">            "pattern_name": "unknown",</t>
        </is>
      </c>
    </row>
    <row r="727">
      <c r="A727" s="9" t="n">
        <v>724</v>
      </c>
      <c r="B727" s="10" t="inlineStr">
        <is>
          <t xml:space="preserve">            "fix": f"未匹配到修复模式: {error_info.get('type','?')}",</t>
        </is>
      </c>
    </row>
    <row r="728">
      <c r="A728" s="7" t="n">
        <v>725</v>
      </c>
      <c r="B728" s="8" t="inlineStr">
        <is>
          <t xml:space="preserve">            "code_patch": None,</t>
        </is>
      </c>
    </row>
    <row r="729">
      <c r="A729" s="9" t="n">
        <v>726</v>
      </c>
      <c r="B729" s="10" t="inlineStr">
        <is>
          <t xml:space="preserve">        }</t>
        </is>
      </c>
    </row>
    <row r="730">
      <c r="A730" s="7" t="n">
        <v>727</v>
      </c>
      <c r="B730" s="8" t="inlineStr"/>
    </row>
    <row r="731">
      <c r="A731" s="9" t="n">
        <v>728</v>
      </c>
      <c r="B731" s="10" t="inlineStr">
        <is>
          <t xml:space="preserve">    def apply_rule_fix(self, error_info: dict, rule_name: str) -&gt; bool:</t>
        </is>
      </c>
    </row>
    <row r="732">
      <c r="A732" s="7" t="n">
        <v>729</v>
      </c>
      <c r="B732" s="8" t="inlineStr">
        <is>
          <t xml:space="preserve">        """应用规则修复。返回是否成功。"""</t>
        </is>
      </c>
    </row>
    <row r="733">
      <c r="A733" s="9" t="n">
        <v>730</v>
      </c>
      <c r="B733" s="10" t="inlineStr">
        <is>
          <t xml:space="preserve">        method = getattr(self, rule_name, None)</t>
        </is>
      </c>
    </row>
    <row r="734">
      <c r="A734" s="7" t="n">
        <v>731</v>
      </c>
      <c r="B734" s="8" t="inlineStr">
        <is>
          <t xml:space="preserve">        if method is None:</t>
        </is>
      </c>
    </row>
    <row r="735">
      <c r="A735" s="9" t="n">
        <v>732</v>
      </c>
      <c r="B735" s="10" t="inlineStr">
        <is>
          <t xml:space="preserve">            log(f"  修复方法不存在: {rule_name}", "ERROR")</t>
        </is>
      </c>
    </row>
    <row r="736">
      <c r="A736" s="7" t="n">
        <v>733</v>
      </c>
      <c r="B736" s="8" t="inlineStr">
        <is>
          <t xml:space="preserve">            return False</t>
        </is>
      </c>
    </row>
    <row r="737">
      <c r="A737" s="9" t="n">
        <v>734</v>
      </c>
      <c r="B737" s="10" t="inlineStr">
        <is>
          <t xml:space="preserve">        return method(error_info)</t>
        </is>
      </c>
    </row>
    <row r="738">
      <c r="A738" s="7" t="n">
        <v>735</v>
      </c>
      <c r="B738" s="8" t="inlineStr"/>
    </row>
    <row r="739">
      <c r="A739" s="9" t="n">
        <v>736</v>
      </c>
      <c r="B739" s="10" t="inlineStr">
        <is>
          <t xml:space="preserve">    # ═══════════ 规则修复实现 ═══════════</t>
        </is>
      </c>
    </row>
    <row r="740">
      <c r="A740" s="7" t="n">
        <v>737</v>
      </c>
      <c r="B740" s="8" t="inlineStr"/>
    </row>
    <row r="741">
      <c r="A741" s="9" t="n">
        <v>738</v>
      </c>
      <c r="B741" s="10" t="inlineStr">
        <is>
          <t xml:space="preserve">    def _fix_encoding_gbk(self, error_info: dict) -&gt; bool:</t>
        </is>
      </c>
    </row>
    <row r="742">
      <c r="A742" s="7" t="n">
        <v>739</v>
      </c>
      <c r="B742" s="8" t="inlineStr">
        <is>
          <t xml:space="preserve">        msg = error_info.get("msg", "")</t>
        </is>
      </c>
    </row>
    <row r="743">
      <c r="A743" s="9" t="n">
        <v>740</v>
      </c>
      <c r="B743" s="10" t="inlineStr">
        <is>
          <t xml:space="preserve">        # 提取文件路径</t>
        </is>
      </c>
    </row>
    <row r="744">
      <c r="A744" s="7" t="n">
        <v>741</v>
      </c>
      <c r="B744" s="8" t="inlineStr">
        <is>
          <t xml:space="preserve">        file_match = re.search(r"File ['\"]([^'\"]+)['\"]", msg)</t>
        </is>
      </c>
    </row>
    <row r="745">
      <c r="A745" s="9" t="n">
        <v>742</v>
      </c>
      <c r="B745" s="10" t="inlineStr">
        <is>
          <t xml:space="preserve">        if not file_match:</t>
        </is>
      </c>
    </row>
    <row r="746">
      <c r="A746" s="7" t="n">
        <v>743</v>
      </c>
      <c r="B746" s="8" t="inlineStr">
        <is>
          <t xml:space="preserve">            return False</t>
        </is>
      </c>
    </row>
    <row r="747">
      <c r="A747" s="9" t="n">
        <v>744</v>
      </c>
      <c r="B747" s="10" t="inlineStr">
        <is>
          <t xml:space="preserve">        file_path = file_match.group(1)</t>
        </is>
      </c>
    </row>
    <row r="748">
      <c r="A748" s="7" t="n">
        <v>745</v>
      </c>
      <c r="B748" s="8" t="inlineStr">
        <is>
          <t xml:space="preserve">        # 找到 open(..., 'w') 改为 open(..., 'w', encoding='utf-8')</t>
        </is>
      </c>
    </row>
    <row r="749">
      <c r="A749" s="9" t="n">
        <v>746</v>
      </c>
      <c r="B749" s="10" t="inlineStr">
        <is>
          <t xml:space="preserve">        log(f"  修复编码: {file_path}")</t>
        </is>
      </c>
    </row>
    <row r="750">
      <c r="A750" s="7" t="n">
        <v>747</v>
      </c>
      <c r="B750" s="8" t="inlineStr">
        <is>
          <t xml:space="preserve">        try:</t>
        </is>
      </c>
    </row>
    <row r="751">
      <c r="A751" s="9" t="n">
        <v>748</v>
      </c>
      <c r="B751" s="10" t="inlineStr">
        <is>
          <t xml:space="preserve">            content = Path(file_path).read_text(encoding="utf-8", errors="replace")</t>
        </is>
      </c>
    </row>
    <row r="752">
      <c r="A752" s="7" t="n">
        <v>749</v>
      </c>
      <c r="B752" s="8" t="inlineStr">
        <is>
          <t xml:space="preserve">            # 修复模式</t>
        </is>
      </c>
    </row>
    <row r="753">
      <c r="A753" s="9" t="n">
        <v>750</v>
      </c>
      <c r="B753" s="10" t="inlineStr">
        <is>
          <t xml:space="preserve">            fixed = re.sub(</t>
        </is>
      </c>
    </row>
    <row r="754">
      <c r="A754" s="7" t="n">
        <v>751</v>
      </c>
      <c r="B754" s="8" t="inlineStr">
        <is>
          <t xml:space="preserve">                r"open\(([^)]+),\s*['\"]w['\"](?!\s*,\s*encoding)",</t>
        </is>
      </c>
    </row>
    <row r="755">
      <c r="A755" s="9" t="n">
        <v>752</v>
      </c>
      <c r="B755" s="10" t="inlineStr">
        <is>
          <t xml:space="preserve">                r"open(\1, 'w', encoding='utf-8'",</t>
        </is>
      </c>
    </row>
    <row r="756">
      <c r="A756" s="7" t="n">
        <v>753</v>
      </c>
      <c r="B756" s="8" t="inlineStr">
        <is>
          <t xml:space="preserve">                content</t>
        </is>
      </c>
    </row>
    <row r="757">
      <c r="A757" s="9" t="n">
        <v>754</v>
      </c>
      <c r="B757" s="10" t="inlineStr">
        <is>
          <t xml:space="preserve">            )</t>
        </is>
      </c>
    </row>
    <row r="758">
      <c r="A758" s="7" t="n">
        <v>755</v>
      </c>
      <c r="B758" s="8" t="inlineStr">
        <is>
          <t xml:space="preserve">            fixed = re.sub(</t>
        </is>
      </c>
    </row>
    <row r="759">
      <c r="A759" s="9" t="n">
        <v>756</v>
      </c>
      <c r="B759" s="10" t="inlineStr">
        <is>
          <t xml:space="preserve">                r"\.write_text\(([^)]+)\)",</t>
        </is>
      </c>
    </row>
    <row r="760">
      <c r="A760" s="7" t="n">
        <v>757</v>
      </c>
      <c r="B760" s="8" t="inlineStr">
        <is>
          <t xml:space="preserve">                r".write_text(\1, encoding='utf-8')",</t>
        </is>
      </c>
    </row>
    <row r="761">
      <c r="A761" s="9" t="n">
        <v>758</v>
      </c>
      <c r="B761" s="10" t="inlineStr">
        <is>
          <t xml:space="preserve">                fixed</t>
        </is>
      </c>
    </row>
    <row r="762">
      <c r="A762" s="7" t="n">
        <v>759</v>
      </c>
      <c r="B762" s="8" t="inlineStr">
        <is>
          <t xml:space="preserve">            )</t>
        </is>
      </c>
    </row>
    <row r="763">
      <c r="A763" s="9" t="n">
        <v>760</v>
      </c>
      <c r="B763" s="10" t="inlineStr">
        <is>
          <t xml:space="preserve">            if fixed != content:</t>
        </is>
      </c>
    </row>
    <row r="764">
      <c r="A764" s="7" t="n">
        <v>761</v>
      </c>
      <c r="B764" s="8" t="inlineStr">
        <is>
          <t xml:space="preserve">                self._safe_backup(file_path)</t>
        </is>
      </c>
    </row>
    <row r="765">
      <c r="A765" s="9" t="n">
        <v>762</v>
      </c>
      <c r="B765" s="10" t="inlineStr">
        <is>
          <t xml:space="preserve">                Path(file_path).write_text(fixed, encoding="utf-8")</t>
        </is>
      </c>
    </row>
    <row r="766">
      <c r="A766" s="7" t="n">
        <v>763</v>
      </c>
      <c r="B766" s="8" t="inlineStr">
        <is>
          <t xml:space="preserve">                log(f"    已修复 {len(re.findall(r'encoding', fixed)) - len(re.findall(r'encoding', content))} 处")</t>
        </is>
      </c>
    </row>
    <row r="767">
      <c r="A767" s="9" t="n">
        <v>764</v>
      </c>
      <c r="B767" s="10" t="inlineStr">
        <is>
          <t xml:space="preserve">                return True</t>
        </is>
      </c>
    </row>
    <row r="768">
      <c r="A768" s="7" t="n">
        <v>765</v>
      </c>
      <c r="B768" s="8" t="inlineStr">
        <is>
          <t xml:space="preserve">        except Exception as e:</t>
        </is>
      </c>
    </row>
    <row r="769">
      <c r="A769" s="9" t="n">
        <v>766</v>
      </c>
      <c r="B769" s="10" t="inlineStr">
        <is>
          <t xml:space="preserve">            log(f"    修复失败: {e}", "ERROR")</t>
        </is>
      </c>
    </row>
    <row r="770">
      <c r="A770" s="7" t="n">
        <v>767</v>
      </c>
      <c r="B770" s="8" t="inlineStr">
        <is>
          <t xml:space="preserve">        return False</t>
        </is>
      </c>
    </row>
    <row r="771">
      <c r="A771" s="9" t="n">
        <v>768</v>
      </c>
      <c r="B771" s="10" t="inlineStr"/>
    </row>
    <row r="772">
      <c r="A772" s="7" t="n">
        <v>769</v>
      </c>
      <c r="B772" s="8" t="inlineStr">
        <is>
          <t xml:space="preserve">    def _fix_missing_import(self, error_info: dict) -&gt; bool:</t>
        </is>
      </c>
    </row>
    <row r="773">
      <c r="A773" s="9" t="n">
        <v>770</v>
      </c>
      <c r="B773" s="10" t="inlineStr">
        <is>
          <t xml:space="preserve">        msg = error_info.get("msg", "")</t>
        </is>
      </c>
    </row>
    <row r="774">
      <c r="A774" s="7" t="n">
        <v>771</v>
      </c>
      <c r="B774" s="8" t="inlineStr">
        <is>
          <t xml:space="preserve">        if "No module named" in msg:</t>
        </is>
      </c>
    </row>
    <row r="775">
      <c r="A775" s="9" t="n">
        <v>772</v>
      </c>
      <c r="B775" s="10" t="inlineStr">
        <is>
          <t xml:space="preserve">            mod = msg.split("No module named")[-1].strip().strip("'").strip('"')</t>
        </is>
      </c>
    </row>
    <row r="776">
      <c r="A776" s="7" t="n">
        <v>773</v>
      </c>
      <c r="B776" s="8" t="inlineStr">
        <is>
          <t xml:space="preserve">            log(f"  尝试安装: pip install {mod}")</t>
        </is>
      </c>
    </row>
    <row r="777">
      <c r="A777" s="9" t="n">
        <v>774</v>
      </c>
      <c r="B777" s="10" t="inlineStr">
        <is>
          <t xml:space="preserve">            try:</t>
        </is>
      </c>
    </row>
    <row r="778">
      <c r="A778" s="7" t="n">
        <v>775</v>
      </c>
      <c r="B778" s="8" t="inlineStr">
        <is>
          <t xml:space="preserve">                subprocess.run(</t>
        </is>
      </c>
    </row>
    <row r="779">
      <c r="A779" s="9" t="n">
        <v>776</v>
      </c>
      <c r="B779" s="10" t="inlineStr">
        <is>
          <t xml:space="preserve">                    [sys.executable, "-m", "pip", "install", mod],</t>
        </is>
      </c>
    </row>
    <row r="780">
      <c r="A780" s="7" t="n">
        <v>777</v>
      </c>
      <c r="B780" s="8" t="inlineStr">
        <is>
          <t xml:space="preserve">                    capture_output=True, timeout=120</t>
        </is>
      </c>
    </row>
    <row r="781">
      <c r="A781" s="9" t="n">
        <v>778</v>
      </c>
      <c r="B781" s="10" t="inlineStr">
        <is>
          <t xml:space="preserve">                )</t>
        </is>
      </c>
    </row>
    <row r="782">
      <c r="A782" s="7" t="n">
        <v>779</v>
      </c>
      <c r="B782" s="8" t="inlineStr">
        <is>
          <t xml:space="preserve">                return True</t>
        </is>
      </c>
    </row>
    <row r="783">
      <c r="A783" s="9" t="n">
        <v>780</v>
      </c>
      <c r="B783" s="10" t="inlineStr">
        <is>
          <t xml:space="preserve">            except Exception:</t>
        </is>
      </c>
    </row>
    <row r="784">
      <c r="A784" s="7" t="n">
        <v>781</v>
      </c>
      <c r="B784" s="8" t="inlineStr">
        <is>
          <t xml:space="preserve">                pass</t>
        </is>
      </c>
    </row>
    <row r="785">
      <c r="A785" s="9" t="n">
        <v>782</v>
      </c>
      <c r="B785" s="10" t="inlineStr">
        <is>
          <t xml:space="preserve">        return False</t>
        </is>
      </c>
    </row>
    <row r="786">
      <c r="A786" s="7" t="n">
        <v>783</v>
      </c>
      <c r="B786" s="8" t="inlineStr"/>
    </row>
    <row r="787">
      <c r="A787" s="9" t="n">
        <v>784</v>
      </c>
      <c r="B787" s="10" t="inlineStr">
        <is>
          <t xml:space="preserve">    def _fix_db_locked(self, error_info: dict) -&gt; bool:</t>
        </is>
      </c>
    </row>
    <row r="788">
      <c r="A788" s="7" t="n">
        <v>785</v>
      </c>
      <c r="B788" s="8" t="inlineStr">
        <is>
          <t xml:space="preserve">        db_file = PROJECT_ROOT / "core" / "database.py"</t>
        </is>
      </c>
    </row>
    <row r="789">
      <c r="A789" s="9" t="n">
        <v>786</v>
      </c>
      <c r="B789" s="10" t="inlineStr">
        <is>
          <t xml:space="preserve">        if not db_file.exists():</t>
        </is>
      </c>
    </row>
    <row r="790">
      <c r="A790" s="7" t="n">
        <v>787</v>
      </c>
      <c r="B790" s="8" t="inlineStr">
        <is>
          <t xml:space="preserve">            return False</t>
        </is>
      </c>
    </row>
    <row r="791">
      <c r="A791" s="9" t="n">
        <v>788</v>
      </c>
      <c r="B791" s="10" t="inlineStr">
        <is>
          <t xml:space="preserve">        content = db_file.read_text(encoding="utf-8", errors="replace")</t>
        </is>
      </c>
    </row>
    <row r="792">
      <c r="A792" s="7" t="n">
        <v>789</v>
      </c>
      <c r="B792" s="8" t="inlineStr">
        <is>
          <t xml:space="preserve">        if "busy_timeout=5000" in content:</t>
        </is>
      </c>
    </row>
    <row r="793">
      <c r="A793" s="9" t="n">
        <v>790</v>
      </c>
      <c r="B793" s="10" t="inlineStr">
        <is>
          <t xml:space="preserve">            # 增加 timeout</t>
        </is>
      </c>
    </row>
    <row r="794">
      <c r="A794" s="7" t="n">
        <v>791</v>
      </c>
      <c r="B794" s="8" t="inlineStr">
        <is>
          <t xml:space="preserve">            fixed = content.replace("busy_timeout=5000", "busy_timeout=30000")</t>
        </is>
      </c>
    </row>
    <row r="795">
      <c r="A795" s="9" t="n">
        <v>792</v>
      </c>
      <c r="B795" s="10" t="inlineStr">
        <is>
          <t xml:space="preserve">            if fixed != content:</t>
        </is>
      </c>
    </row>
    <row r="796">
      <c r="A796" s="7" t="n">
        <v>793</v>
      </c>
      <c r="B796" s="8" t="inlineStr">
        <is>
          <t xml:space="preserve">                self._safe_backup(str(db_file))</t>
        </is>
      </c>
    </row>
    <row r="797">
      <c r="A797" s="9" t="n">
        <v>794</v>
      </c>
      <c r="B797" s="10" t="inlineStr">
        <is>
          <t xml:space="preserve">                db_file.write_text(fixed, encoding="utf-8")</t>
        </is>
      </c>
    </row>
    <row r="798">
      <c r="A798" s="7" t="n">
        <v>795</v>
      </c>
      <c r="B798" s="8" t="inlineStr">
        <is>
          <t xml:space="preserve">                log("    已增加数据库超时到 30s")</t>
        </is>
      </c>
    </row>
    <row r="799">
      <c r="A799" s="9" t="n">
        <v>796</v>
      </c>
      <c r="B799" s="10" t="inlineStr">
        <is>
          <t xml:space="preserve">                return True</t>
        </is>
      </c>
    </row>
    <row r="800">
      <c r="A800" s="7" t="n">
        <v>797</v>
      </c>
      <c r="B800" s="8" t="inlineStr">
        <is>
          <t xml:space="preserve">        return False</t>
        </is>
      </c>
    </row>
    <row r="801">
      <c r="A801" s="9" t="n">
        <v>798</v>
      </c>
      <c r="B801" s="10" t="inlineStr"/>
    </row>
    <row r="802">
      <c r="A802" s="7" t="n">
        <v>799</v>
      </c>
      <c r="B802" s="8" t="inlineStr">
        <is>
          <t xml:space="preserve">    def _fix_attribute_error(self, error_info: dict) -&gt; bool:</t>
        </is>
      </c>
    </row>
    <row r="803">
      <c r="A803" s="9" t="n">
        <v>800</v>
      </c>
      <c r="B803" s="10" t="inlineStr">
        <is>
          <t xml:space="preserve">        msg = error_info.get("msg", "")</t>
        </is>
      </c>
    </row>
    <row r="804">
      <c r="A804" s="7" t="n">
        <v>801</v>
      </c>
      <c r="B804" s="8" t="inlineStr">
        <is>
          <t xml:space="preserve">        # 提取: 'ClassName' object has no attribute 'attr_name'</t>
        </is>
      </c>
    </row>
    <row r="805">
      <c r="A805" s="9" t="n">
        <v>802</v>
      </c>
      <c r="B805" s="10" t="inlineStr">
        <is>
          <t xml:space="preserve">        match = re.search(r"'(\w+)' object has no attribute '(\w+)'", msg)</t>
        </is>
      </c>
    </row>
    <row r="806">
      <c r="A806" s="7" t="n">
        <v>803</v>
      </c>
      <c r="B806" s="8" t="inlineStr">
        <is>
          <t xml:space="preserve">        if not match:</t>
        </is>
      </c>
    </row>
    <row r="807">
      <c r="A807" s="9" t="n">
        <v>804</v>
      </c>
      <c r="B807" s="10" t="inlineStr">
        <is>
          <t xml:space="preserve">            return False</t>
        </is>
      </c>
    </row>
    <row r="808">
      <c r="A808" s="7" t="n">
        <v>805</v>
      </c>
      <c r="B808" s="8" t="inlineStr">
        <is>
          <t xml:space="preserve">        cls_name, attr_name = match.groups()</t>
        </is>
      </c>
    </row>
    <row r="809">
      <c r="A809" s="9" t="n">
        <v>806</v>
      </c>
      <c r="B809" s="10" t="inlineStr">
        <is>
          <t xml:space="preserve">        log(f"  属性缺失: {cls_name}.{attr_name}")</t>
        </is>
      </c>
    </row>
    <row r="810">
      <c r="A810" s="7" t="n">
        <v>807</v>
      </c>
      <c r="B810" s="8" t="inlineStr">
        <is>
          <t xml:space="preserve">        # 这是一个复杂的修复 — 通常需要人工介入</t>
        </is>
      </c>
    </row>
    <row r="811">
      <c r="A811" s="9" t="n">
        <v>808</v>
      </c>
      <c r="B811" s="10" t="inlineStr">
        <is>
          <t xml:space="preserve">        # 这里记录日志，不自动修改</t>
        </is>
      </c>
    </row>
    <row r="812">
      <c r="A812" s="7" t="n">
        <v>809</v>
      </c>
      <c r="B812" s="8" t="inlineStr">
        <is>
          <t xml:space="preserve">        log(f"    [SKIP] 属性缺失需要人工分析: {cls_name}.{attr_name}", "WARN")</t>
        </is>
      </c>
    </row>
    <row r="813">
      <c r="A813" s="9" t="n">
        <v>810</v>
      </c>
      <c r="B813" s="10" t="inlineStr">
        <is>
          <t xml:space="preserve">        return False</t>
        </is>
      </c>
    </row>
    <row r="814">
      <c r="A814" s="7" t="n">
        <v>811</v>
      </c>
      <c r="B814" s="8" t="inlineStr"/>
    </row>
    <row r="815">
      <c r="A815" s="9" t="n">
        <v>812</v>
      </c>
      <c r="B815" s="10" t="inlineStr">
        <is>
          <t xml:space="preserve">    def _fix_memory(self, error_info: dict) -&gt; bool:</t>
        </is>
      </c>
    </row>
    <row r="816">
      <c r="A816" s="7" t="n">
        <v>813</v>
      </c>
      <c r="B816" s="8" t="inlineStr">
        <is>
          <t xml:space="preserve">        # 在 smart_analyzer.py 中增加内存回收</t>
        </is>
      </c>
    </row>
    <row r="817">
      <c r="A817" s="9" t="n">
        <v>814</v>
      </c>
      <c r="B817" s="10" t="inlineStr">
        <is>
          <t xml:space="preserve">        target = PROJECT_ROOT / "core" / "smart_analyzer.py"</t>
        </is>
      </c>
    </row>
    <row r="818">
      <c r="A818" s="7" t="n">
        <v>815</v>
      </c>
      <c r="B818" s="8" t="inlineStr">
        <is>
          <t xml:space="preserve">        if not target.exists():</t>
        </is>
      </c>
    </row>
    <row r="819">
      <c r="A819" s="9" t="n">
        <v>816</v>
      </c>
      <c r="B819" s="10" t="inlineStr">
        <is>
          <t xml:space="preserve">            return False</t>
        </is>
      </c>
    </row>
    <row r="820">
      <c r="A820" s="7" t="n">
        <v>817</v>
      </c>
      <c r="B820" s="8" t="inlineStr">
        <is>
          <t xml:space="preserve">        content = target.read_text(encoding="utf-8", errors="replace")</t>
        </is>
      </c>
    </row>
    <row r="821">
      <c r="A821" s="9" t="n">
        <v>818</v>
      </c>
      <c r="B821" s="10" t="inlineStr">
        <is>
          <t xml:space="preserve">        if "gc.collect()" not in content:</t>
        </is>
      </c>
    </row>
    <row r="822">
      <c r="A822" s="7" t="n">
        <v>819</v>
      </c>
      <c r="B822" s="8" t="inlineStr">
        <is>
          <t xml:space="preserve">            marker = "def _reclaim_memory(self):"</t>
        </is>
      </c>
    </row>
    <row r="823">
      <c r="A823" s="9" t="n">
        <v>820</v>
      </c>
      <c r="B823" s="10" t="inlineStr">
        <is>
          <t xml:space="preserve">            if marker not in content:</t>
        </is>
      </c>
    </row>
    <row r="824">
      <c r="A824" s="7" t="n">
        <v>821</v>
      </c>
      <c r="B824" s="8" t="inlineStr">
        <is>
          <t xml:space="preserve">                # 插入内存回收方法</t>
        </is>
      </c>
    </row>
    <row r="825">
      <c r="A825" s="9" t="n">
        <v>822</v>
      </c>
      <c r="B825" s="10" t="inlineStr">
        <is>
          <t xml:space="preserve">                insert_code = '''</t>
        </is>
      </c>
    </row>
    <row r="826">
      <c r="A826" s="7" t="n">
        <v>823</v>
      </c>
      <c r="B826" s="8" t="inlineStr">
        <is>
          <t xml:space="preserve">    def _reclaim_memory(self):</t>
        </is>
      </c>
    </row>
    <row r="827">
      <c r="A827" s="9" t="n">
        <v>824</v>
      </c>
      <c r="B827" s="10" t="inlineStr">
        <is>
          <t xml:space="preserve">        """回收GPU和Python内存"""</t>
        </is>
      </c>
    </row>
    <row r="828">
      <c r="A828" s="7" t="n">
        <v>825</v>
      </c>
      <c r="B828" s="8" t="inlineStr">
        <is>
          <t xml:space="preserve">        import gc</t>
        </is>
      </c>
    </row>
    <row r="829">
      <c r="A829" s="9" t="n">
        <v>826</v>
      </c>
      <c r="B829" s="10" t="inlineStr">
        <is>
          <t xml:space="preserve">        gc.collect()</t>
        </is>
      </c>
    </row>
    <row r="830">
      <c r="A830" s="7" t="n">
        <v>827</v>
      </c>
      <c r="B830" s="8" t="inlineStr">
        <is>
          <t xml:space="preserve">        try:</t>
        </is>
      </c>
    </row>
    <row r="831">
      <c r="A831" s="9" t="n">
        <v>828</v>
      </c>
      <c r="B831" s="10" t="inlineStr">
        <is>
          <t xml:space="preserve">            import torch</t>
        </is>
      </c>
    </row>
    <row r="832">
      <c r="A832" s="7" t="n">
        <v>829</v>
      </c>
      <c r="B832" s="8" t="inlineStr">
        <is>
          <t xml:space="preserve">            if torch.cuda.is_available():</t>
        </is>
      </c>
    </row>
    <row r="833">
      <c r="A833" s="9" t="n">
        <v>830</v>
      </c>
      <c r="B833" s="10" t="inlineStr">
        <is>
          <t xml:space="preserve">                torch.cuda.empty_cache()</t>
        </is>
      </c>
    </row>
    <row r="834">
      <c r="A834" s="7" t="n">
        <v>831</v>
      </c>
      <c r="B834" s="8" t="inlineStr">
        <is>
          <t xml:space="preserve">        except Exception:</t>
        </is>
      </c>
    </row>
    <row r="835">
      <c r="A835" s="9" t="n">
        <v>832</v>
      </c>
      <c r="B835" s="10" t="inlineStr">
        <is>
          <t xml:space="preserve">            pass</t>
        </is>
      </c>
    </row>
    <row r="836">
      <c r="A836" s="7" t="n">
        <v>833</v>
      </c>
      <c r="B836" s="8" t="inlineStr">
        <is>
          <t>'''</t>
        </is>
      </c>
    </row>
    <row r="837">
      <c r="A837" s="9" t="n">
        <v>834</v>
      </c>
      <c r="B837" s="10" t="inlineStr">
        <is>
          <t xml:space="preserve">                idx = content.find("def scan_videos")</t>
        </is>
      </c>
    </row>
    <row r="838">
      <c r="A838" s="7" t="n">
        <v>835</v>
      </c>
      <c r="B838" s="8" t="inlineStr">
        <is>
          <t xml:space="preserve">                if idx &gt; 0:</t>
        </is>
      </c>
    </row>
    <row r="839">
      <c r="A839" s="9" t="n">
        <v>836</v>
      </c>
      <c r="B839" s="10" t="inlineStr">
        <is>
          <t xml:space="preserve">                    self._safe_backup(str(target))</t>
        </is>
      </c>
    </row>
    <row r="840">
      <c r="A840" s="7" t="n">
        <v>837</v>
      </c>
      <c r="B840" s="8" t="inlineStr">
        <is>
          <t xml:space="preserve">                    content = content[:idx] + insert_code + content[idx:]</t>
        </is>
      </c>
    </row>
    <row r="841">
      <c r="A841" s="9" t="n">
        <v>838</v>
      </c>
      <c r="B841" s="10" t="inlineStr">
        <is>
          <t xml:space="preserve">                    target.write_text(content, encoding="utf-8")</t>
        </is>
      </c>
    </row>
    <row r="842">
      <c r="A842" s="7" t="n">
        <v>839</v>
      </c>
      <c r="B842" s="8" t="inlineStr">
        <is>
          <t xml:space="preserve">                    log("    已添加内存回收方法")</t>
        </is>
      </c>
    </row>
    <row r="843">
      <c r="A843" s="9" t="n">
        <v>840</v>
      </c>
      <c r="B843" s="10" t="inlineStr">
        <is>
          <t xml:space="preserve">                    return True</t>
        </is>
      </c>
    </row>
    <row r="844">
      <c r="A844" s="7" t="n">
        <v>841</v>
      </c>
      <c r="B844" s="8" t="inlineStr">
        <is>
          <t xml:space="preserve">        return False</t>
        </is>
      </c>
    </row>
    <row r="845">
      <c r="A845" s="9" t="n">
        <v>842</v>
      </c>
      <c r="B845" s="10" t="inlineStr"/>
    </row>
    <row r="846">
      <c r="A846" s="7" t="n">
        <v>843</v>
      </c>
      <c r="B846" s="8" t="inlineStr">
        <is>
          <t xml:space="preserve">    def _fix_file_not_found(self, error_info: dict) -&gt; bool:</t>
        </is>
      </c>
    </row>
    <row r="847">
      <c r="A847" s="9" t="n">
        <v>844</v>
      </c>
      <c r="B847" s="10" t="inlineStr">
        <is>
          <t xml:space="preserve">        msg = error_info.get("msg", "")</t>
        </is>
      </c>
    </row>
    <row r="848">
      <c r="A848" s="7" t="n">
        <v>845</v>
      </c>
      <c r="B848" s="8" t="inlineStr">
        <is>
          <t xml:space="preserve">        match = re.search(r"No such file or directory:\s*['\"]?([^'\"]+)['\"]?", msg)</t>
        </is>
      </c>
    </row>
    <row r="849">
      <c r="A849" s="9" t="n">
        <v>846</v>
      </c>
      <c r="B849" s="10" t="inlineStr">
        <is>
          <t xml:space="preserve">        if match:</t>
        </is>
      </c>
    </row>
    <row r="850">
      <c r="A850" s="7" t="n">
        <v>847</v>
      </c>
      <c r="B850" s="8" t="inlineStr">
        <is>
          <t xml:space="preserve">            missing_path = match.group(1).strip()</t>
        </is>
      </c>
    </row>
    <row r="851">
      <c r="A851" s="9" t="n">
        <v>848</v>
      </c>
      <c r="B851" s="10" t="inlineStr">
        <is>
          <t xml:space="preserve">            log(f"  缺失路径: {missing_path}")</t>
        </is>
      </c>
    </row>
    <row r="852">
      <c r="A852" s="7" t="n">
        <v>849</v>
      </c>
      <c r="B852" s="8" t="inlineStr">
        <is>
          <t xml:space="preserve">            try:</t>
        </is>
      </c>
    </row>
    <row r="853">
      <c r="A853" s="9" t="n">
        <v>850</v>
      </c>
      <c r="B853" s="10" t="inlineStr">
        <is>
          <t xml:space="preserve">                os.makedirs(os.path.dirname(missing_path) or missing_path, exist_ok=True)</t>
        </is>
      </c>
    </row>
    <row r="854">
      <c r="A854" s="7" t="n">
        <v>851</v>
      </c>
      <c r="B854" s="8" t="inlineStr">
        <is>
          <t xml:space="preserve">                log(f"    已创建目录: {missing_path}")</t>
        </is>
      </c>
    </row>
    <row r="855">
      <c r="A855" s="9" t="n">
        <v>852</v>
      </c>
      <c r="B855" s="10" t="inlineStr">
        <is>
          <t xml:space="preserve">                return True</t>
        </is>
      </c>
    </row>
    <row r="856">
      <c r="A856" s="7" t="n">
        <v>853</v>
      </c>
      <c r="B856" s="8" t="inlineStr">
        <is>
          <t xml:space="preserve">            except Exception:</t>
        </is>
      </c>
    </row>
    <row r="857">
      <c r="A857" s="9" t="n">
        <v>854</v>
      </c>
      <c r="B857" s="10" t="inlineStr">
        <is>
          <t xml:space="preserve">                pass</t>
        </is>
      </c>
    </row>
    <row r="858">
      <c r="A858" s="7" t="n">
        <v>855</v>
      </c>
      <c r="B858" s="8" t="inlineStr">
        <is>
          <t xml:space="preserve">        return False</t>
        </is>
      </c>
    </row>
    <row r="859">
      <c r="A859" s="9" t="n">
        <v>856</v>
      </c>
      <c r="B859" s="10" t="inlineStr"/>
    </row>
    <row r="860">
      <c r="A860" s="7" t="n">
        <v>857</v>
      </c>
      <c r="B860" s="8" t="inlineStr">
        <is>
          <t xml:space="preserve">    def _fix_syntax_error(self, error_info: dict) -&gt; bool:</t>
        </is>
      </c>
    </row>
    <row r="861">
      <c r="A861" s="9" t="n">
        <v>858</v>
      </c>
      <c r="B861" s="10" t="inlineStr">
        <is>
          <t xml:space="preserve">        # SyntaxError 太复杂，不自动修复</t>
        </is>
      </c>
    </row>
    <row r="862">
      <c r="A862" s="7" t="n">
        <v>859</v>
      </c>
      <c r="B862" s="8" t="inlineStr">
        <is>
          <t xml:space="preserve">        log("    [SKIP] SyntaxError 需要人工修复", "WARN")</t>
        </is>
      </c>
    </row>
    <row r="863">
      <c r="A863" s="9" t="n">
        <v>860</v>
      </c>
      <c r="B863" s="10" t="inlineStr">
        <is>
          <t xml:space="preserve">        return False</t>
        </is>
      </c>
    </row>
    <row r="864">
      <c r="A864" s="7" t="n">
        <v>861</v>
      </c>
      <c r="B864" s="8" t="inlineStr"/>
    </row>
    <row r="865">
      <c r="A865" s="9" t="n">
        <v>862</v>
      </c>
      <c r="B865" s="10" t="inlineStr">
        <is>
          <t xml:space="preserve">    def _fix_none_type(self, error_info: dict) -&gt; bool:</t>
        </is>
      </c>
    </row>
    <row r="866">
      <c r="A866" s="7" t="n">
        <v>863</v>
      </c>
      <c r="B866" s="8" t="inlineStr">
        <is>
          <t xml:space="preserve">        msg = error_info.get("msg", "")</t>
        </is>
      </c>
    </row>
    <row r="867">
      <c r="A867" s="9" t="n">
        <v>864</v>
      </c>
      <c r="B867" s="10" t="inlineStr">
        <is>
          <t xml:space="preserve">        match = re.search(r"'NoneType' object has no attribute '(\w+)'", msg)</t>
        </is>
      </c>
    </row>
    <row r="868">
      <c r="A868" s="7" t="n">
        <v>865</v>
      </c>
      <c r="B868" s="8" t="inlineStr">
        <is>
          <t xml:space="preserve">        if match:</t>
        </is>
      </c>
    </row>
    <row r="869">
      <c r="A869" s="9" t="n">
        <v>866</v>
      </c>
      <c r="B869" s="10" t="inlineStr">
        <is>
          <t xml:space="preserve">            attr = match.group(1)</t>
        </is>
      </c>
    </row>
    <row r="870">
      <c r="A870" s="7" t="n">
        <v>867</v>
      </c>
      <c r="B870" s="8" t="inlineStr">
        <is>
          <t xml:space="preserve">            log(f"    [SKIP] NoneType.{attr} — 需要添加 None 检查", "WARN")</t>
        </is>
      </c>
    </row>
    <row r="871">
      <c r="A871" s="9" t="n">
        <v>868</v>
      </c>
      <c r="B871" s="10" t="inlineStr">
        <is>
          <t xml:space="preserve">        return False</t>
        </is>
      </c>
    </row>
    <row r="872">
      <c r="A872" s="7" t="n">
        <v>869</v>
      </c>
      <c r="B872" s="8" t="inlineStr"/>
    </row>
    <row r="873">
      <c r="A873" s="9" t="n">
        <v>870</v>
      </c>
      <c r="B873" s="10" t="inlineStr">
        <is>
          <t xml:space="preserve">    # ═══════════ AI 分析 ═══════════</t>
        </is>
      </c>
    </row>
    <row r="874">
      <c r="A874" s="7" t="n">
        <v>871</v>
      </c>
      <c r="B874" s="8" t="inlineStr"/>
    </row>
    <row r="875">
      <c r="A875" s="9" t="n">
        <v>872</v>
      </c>
      <c r="B875" s="10" t="inlineStr">
        <is>
          <t xml:space="preserve">    def _ai_analyze(self, error_info: dict, context: str) -&gt; dict:</t>
        </is>
      </c>
    </row>
    <row r="876">
      <c r="A876" s="7" t="n">
        <v>873</v>
      </c>
      <c r="B876" s="8" t="inlineStr">
        <is>
          <t xml:space="preserve">        """调用 DeepSeek API 分析错误"""</t>
        </is>
      </c>
    </row>
    <row r="877">
      <c r="A877" s="9" t="n">
        <v>874</v>
      </c>
      <c r="B877" s="10" t="inlineStr">
        <is>
          <t xml:space="preserve">        if not HAS_AI:</t>
        </is>
      </c>
    </row>
    <row r="878">
      <c r="A878" s="7" t="n">
        <v>875</v>
      </c>
      <c r="B878" s="8" t="inlineStr">
        <is>
          <t xml:space="preserve">            return None</t>
        </is>
      </c>
    </row>
    <row r="879">
      <c r="A879" s="9" t="n">
        <v>876</v>
      </c>
      <c r="B879" s="10" t="inlineStr">
        <is>
          <t xml:space="preserve">        try:</t>
        </is>
      </c>
    </row>
    <row r="880">
      <c r="A880" s="7" t="n">
        <v>877</v>
      </c>
      <c r="B880" s="8" t="inlineStr">
        <is>
          <t xml:space="preserve">            from openai import OpenAI</t>
        </is>
      </c>
    </row>
    <row r="881">
      <c r="A881" s="9" t="n">
        <v>878</v>
      </c>
      <c r="B881" s="10" t="inlineStr">
        <is>
          <t xml:space="preserve">            client = OpenAI(</t>
        </is>
      </c>
    </row>
    <row r="882">
      <c r="A882" s="7" t="n">
        <v>879</v>
      </c>
      <c r="B882" s="8" t="inlineStr">
        <is>
          <t xml:space="preserve">                api_key=DEEPSEEK_KEY,</t>
        </is>
      </c>
    </row>
    <row r="883">
      <c r="A883" s="9" t="n">
        <v>880</v>
      </c>
      <c r="B883" s="10" t="inlineStr">
        <is>
          <t xml:space="preserve">                base_url="https://api.deepseek.com",</t>
        </is>
      </c>
    </row>
    <row r="884">
      <c r="A884" s="7" t="n">
        <v>881</v>
      </c>
      <c r="B884" s="8" t="inlineStr">
        <is>
          <t xml:space="preserve">            )</t>
        </is>
      </c>
    </row>
    <row r="885">
      <c r="A885" s="9" t="n">
        <v>882</v>
      </c>
      <c r="B885" s="10" t="inlineStr">
        <is>
          <t xml:space="preserve">            prompt = f"""你是树剪(TreeCut)视频剪辑程序的修复专家。</t>
        </is>
      </c>
    </row>
    <row r="886">
      <c r="A886" s="7" t="n">
        <v>883</v>
      </c>
      <c r="B886" s="8" t="inlineStr">
        <is>
          <t>请分析以下错误并生成修复代码。</t>
        </is>
      </c>
    </row>
    <row r="887">
      <c r="A887" s="9" t="n">
        <v>884</v>
      </c>
      <c r="B887" s="10" t="inlineStr"/>
    </row>
    <row r="888">
      <c r="A888" s="7" t="n">
        <v>885</v>
      </c>
      <c r="B888" s="8" t="inlineStr">
        <is>
          <t>错误类型: {error_info.get('type', '?')}</t>
        </is>
      </c>
    </row>
    <row r="889">
      <c r="A889" s="9" t="n">
        <v>886</v>
      </c>
      <c r="B889" s="10" t="inlineStr">
        <is>
          <t>错误信息: {error_info.get('msg', '?')}</t>
        </is>
      </c>
    </row>
    <row r="890">
      <c r="A890" s="7" t="n">
        <v>887</v>
      </c>
      <c r="B890" s="8" t="inlineStr"/>
    </row>
    <row r="891">
      <c r="A891" s="9" t="n">
        <v>888</v>
      </c>
      <c r="B891" s="10" t="inlineStr">
        <is>
          <t>相关代码上下文:</t>
        </is>
      </c>
    </row>
    <row r="892">
      <c r="A892" s="7" t="n">
        <v>889</v>
      </c>
      <c r="B892" s="8" t="inlineStr">
        <is>
          <t>```</t>
        </is>
      </c>
    </row>
    <row r="893">
      <c r="A893" s="9" t="n">
        <v>890</v>
      </c>
      <c r="B893" s="10" t="inlineStr">
        <is>
          <t>{context[:2000]}</t>
        </is>
      </c>
    </row>
    <row r="894">
      <c r="A894" s="7" t="n">
        <v>891</v>
      </c>
      <c r="B894" s="8" t="inlineStr">
        <is>
          <t>```</t>
        </is>
      </c>
    </row>
    <row r="895">
      <c r="A895" s="9" t="n">
        <v>892</v>
      </c>
      <c r="B895" s="10" t="inlineStr"/>
    </row>
    <row r="896">
      <c r="A896" s="7" t="n">
        <v>893</v>
      </c>
      <c r="B896" s="8" t="inlineStr">
        <is>
          <t>要求:</t>
        </is>
      </c>
    </row>
    <row r="897">
      <c r="A897" s="9" t="n">
        <v>894</v>
      </c>
      <c r="B897" s="10" t="inlineStr">
        <is>
          <t>1. 只输出修复后的代码片段（几行即可），不要解释。</t>
        </is>
      </c>
    </row>
    <row r="898">
      <c r="A898" s="7" t="n">
        <v>895</v>
      </c>
      <c r="B898" s="8" t="inlineStr">
        <is>
          <t>2. 如果无法修复，输出 "CANNOT_FIX"。</t>
        </is>
      </c>
    </row>
    <row r="899">
      <c r="A899" s="9" t="n">
        <v>896</v>
      </c>
      <c r="B899" s="10" t="inlineStr">
        <is>
          <t>3. 确保代码与现有风格一致。</t>
        </is>
      </c>
    </row>
    <row r="900">
      <c r="A900" s="7" t="n">
        <v>897</v>
      </c>
      <c r="B900" s="8" t="inlineStr">
        <is>
          <t>"""</t>
        </is>
      </c>
    </row>
    <row r="901">
      <c r="A901" s="9" t="n">
        <v>898</v>
      </c>
      <c r="B901" s="10" t="inlineStr">
        <is>
          <t xml:space="preserve">            resp = client.chat.completions.create(</t>
        </is>
      </c>
    </row>
    <row r="902">
      <c r="A902" s="7" t="n">
        <v>899</v>
      </c>
      <c r="B902" s="8" t="inlineStr">
        <is>
          <t xml:space="preserve">                model="deepseek-chat",</t>
        </is>
      </c>
    </row>
    <row r="903">
      <c r="A903" s="9" t="n">
        <v>900</v>
      </c>
      <c r="B903" s="10" t="inlineStr">
        <is>
          <t xml:space="preserve">                messages=[{"role": "user", "content": prompt}],</t>
        </is>
      </c>
    </row>
    <row r="904">
      <c r="A904" s="7" t="n">
        <v>901</v>
      </c>
      <c r="B904" s="8" t="inlineStr">
        <is>
          <t xml:space="preserve">                max_tokens=500,</t>
        </is>
      </c>
    </row>
    <row r="905">
      <c r="A905" s="9" t="n">
        <v>902</v>
      </c>
      <c r="B905" s="10" t="inlineStr">
        <is>
          <t xml:space="preserve">                temperature=0.1,</t>
        </is>
      </c>
    </row>
    <row r="906">
      <c r="A906" s="7" t="n">
        <v>903</v>
      </c>
      <c r="B906" s="8" t="inlineStr">
        <is>
          <t xml:space="preserve">            )</t>
        </is>
      </c>
    </row>
    <row r="907">
      <c r="A907" s="9" t="n">
        <v>904</v>
      </c>
      <c r="B907" s="10" t="inlineStr">
        <is>
          <t xml:space="preserve">            code = resp.choices[0].message.content.strip()</t>
        </is>
      </c>
    </row>
    <row r="908">
      <c r="A908" s="7" t="n">
        <v>905</v>
      </c>
      <c r="B908" s="8" t="inlineStr">
        <is>
          <t xml:space="preserve">            if code and "CANNOT_FIX" not in code:</t>
        </is>
      </c>
    </row>
    <row r="909">
      <c r="A909" s="9" t="n">
        <v>906</v>
      </c>
      <c r="B909" s="10" t="inlineStr">
        <is>
          <t xml:space="preserve">                return {</t>
        </is>
      </c>
    </row>
    <row r="910">
      <c r="A910" s="7" t="n">
        <v>907</v>
      </c>
      <c r="B910" s="8" t="inlineStr">
        <is>
          <t xml:space="preserve">                    "matched": True,</t>
        </is>
      </c>
    </row>
    <row r="911">
      <c r="A911" s="9" t="n">
        <v>908</v>
      </c>
      <c r="B911" s="10" t="inlineStr">
        <is>
          <t xml:space="preserve">                    "pattern_name": "ai_fix",</t>
        </is>
      </c>
    </row>
    <row r="912">
      <c r="A912" s="7" t="n">
        <v>909</v>
      </c>
      <c r="B912" s="8" t="inlineStr">
        <is>
          <t xml:space="preserve">                    "fix": code[:200],</t>
        </is>
      </c>
    </row>
    <row r="913">
      <c r="A913" s="9" t="n">
        <v>910</v>
      </c>
      <c r="B913" s="10" t="inlineStr">
        <is>
          <t xml:space="preserve">                    "code_patch": code,</t>
        </is>
      </c>
    </row>
    <row r="914">
      <c r="A914" s="7" t="n">
        <v>911</v>
      </c>
      <c r="B914" s="8" t="inlineStr">
        <is>
          <t xml:space="preserve">                }</t>
        </is>
      </c>
    </row>
    <row r="915">
      <c r="A915" s="9" t="n">
        <v>912</v>
      </c>
      <c r="B915" s="10" t="inlineStr">
        <is>
          <t xml:space="preserve">        except Exception as e:</t>
        </is>
      </c>
    </row>
    <row r="916">
      <c r="A916" s="7" t="n">
        <v>913</v>
      </c>
      <c r="B916" s="8" t="inlineStr">
        <is>
          <t xml:space="preserve">            log(f"  AI分析失败: {e}", "WARN")</t>
        </is>
      </c>
    </row>
    <row r="917">
      <c r="A917" s="9" t="n">
        <v>914</v>
      </c>
      <c r="B917" s="10" t="inlineStr">
        <is>
          <t xml:space="preserve">        return None</t>
        </is>
      </c>
    </row>
    <row r="918">
      <c r="A918" s="7" t="n">
        <v>915</v>
      </c>
      <c r="B918" s="8" t="inlineStr"/>
    </row>
    <row r="919">
      <c r="A919" s="9" t="n">
        <v>916</v>
      </c>
      <c r="B919" s="10" t="inlineStr">
        <is>
          <t xml:space="preserve">    @staticmethod</t>
        </is>
      </c>
    </row>
    <row r="920">
      <c r="A920" s="7" t="n">
        <v>917</v>
      </c>
      <c r="B920" s="8" t="inlineStr">
        <is>
          <t xml:space="preserve">    def _safe_backup(file_path: str):</t>
        </is>
      </c>
    </row>
    <row r="921">
      <c r="A921" s="9" t="n">
        <v>918</v>
      </c>
      <c r="B921" s="10" t="inlineStr">
        <is>
          <t xml:space="preserve">        fpath = Path(file_path)</t>
        </is>
      </c>
    </row>
    <row r="922">
      <c r="A922" s="7" t="n">
        <v>919</v>
      </c>
      <c r="B922" s="8" t="inlineStr">
        <is>
          <t xml:space="preserve">        if fpath.exists():</t>
        </is>
      </c>
    </row>
    <row r="923">
      <c r="A923" s="9" t="n">
        <v>920</v>
      </c>
      <c r="B923" s="10" t="inlineStr">
        <is>
          <t xml:space="preserve">            ts = datetime.now().strftime("%Y%m%d_%H%M%S")</t>
        </is>
      </c>
    </row>
    <row r="924">
      <c r="A924" s="7" t="n">
        <v>921</v>
      </c>
      <c r="B924" s="8" t="inlineStr">
        <is>
          <t xml:space="preserve">            backup = BACKUP_DIR / f"{fpath.stem}_{ts}{fpath.suffix}"</t>
        </is>
      </c>
    </row>
    <row r="925">
      <c r="A925" s="9" t="n">
        <v>922</v>
      </c>
      <c r="B925" s="10" t="inlineStr">
        <is>
          <t xml:space="preserve">            shutil.copy2(str(fpath), str(backup))</t>
        </is>
      </c>
    </row>
    <row r="926">
      <c r="A926" s="7" t="n">
        <v>923</v>
      </c>
      <c r="B926" s="8" t="inlineStr">
        <is>
          <t xml:space="preserve">            log(f"    备份: {backup.name}")</t>
        </is>
      </c>
    </row>
    <row r="927">
      <c r="A927" s="9" t="n">
        <v>924</v>
      </c>
      <c r="B927" s="10" t="inlineStr">
        <is>
          <t xml:space="preserve">            # 清理旧备份（保留最近20个）</t>
        </is>
      </c>
    </row>
    <row r="928">
      <c r="A928" s="7" t="n">
        <v>925</v>
      </c>
      <c r="B928" s="8" t="inlineStr">
        <is>
          <t xml:space="preserve">            all_backups = sorted(BACKUP_DIR.glob(f"{fpath.stem}_*{fpath.suffix}"))</t>
        </is>
      </c>
    </row>
    <row r="929">
      <c r="A929" s="9" t="n">
        <v>926</v>
      </c>
      <c r="B929" s="10" t="inlineStr">
        <is>
          <t xml:space="preserve">            for old in all_backups[:-20]:</t>
        </is>
      </c>
    </row>
    <row r="930">
      <c r="A930" s="7" t="n">
        <v>927</v>
      </c>
      <c r="B930" s="8" t="inlineStr">
        <is>
          <t xml:space="preserve">                old.unlink(missing_ok=True)</t>
        </is>
      </c>
    </row>
    <row r="931">
      <c r="A931" s="9" t="n">
        <v>928</v>
      </c>
      <c r="B931" s="10" t="inlineStr"/>
    </row>
    <row r="932">
      <c r="A932" s="7" t="n">
        <v>929</v>
      </c>
      <c r="B932" s="8" t="inlineStr">
        <is>
          <t xml:space="preserve">    def apply_code_patch(self, file_path: str, patch_content: str) -&gt; bool:</t>
        </is>
      </c>
    </row>
    <row r="933">
      <c r="A933" s="9" t="n">
        <v>930</v>
      </c>
      <c r="B933" s="10" t="inlineStr">
        <is>
          <t xml:space="preserve">        """应用AI生成的代码补丁（危险操作，需要备份）"""</t>
        </is>
      </c>
    </row>
    <row r="934">
      <c r="A934" s="7" t="n">
        <v>931</v>
      </c>
      <c r="B934" s="8" t="inlineStr">
        <is>
          <t xml:space="preserve">        fpath = Path(file_path)</t>
        </is>
      </c>
    </row>
    <row r="935">
      <c r="A935" s="9" t="n">
        <v>932</v>
      </c>
      <c r="B935" s="10" t="inlineStr">
        <is>
          <t xml:space="preserve">        if not fpath.exists():</t>
        </is>
      </c>
    </row>
    <row r="936">
      <c r="A936" s="7" t="n">
        <v>933</v>
      </c>
      <c r="B936" s="8" t="inlineStr">
        <is>
          <t xml:space="preserve">            return False</t>
        </is>
      </c>
    </row>
    <row r="937">
      <c r="A937" s="9" t="n">
        <v>934</v>
      </c>
      <c r="B937" s="10" t="inlineStr">
        <is>
          <t xml:space="preserve">        self._safe_backup(str(fpath))</t>
        </is>
      </c>
    </row>
    <row r="938">
      <c r="A938" s="7" t="n">
        <v>935</v>
      </c>
      <c r="B938" s="8" t="inlineStr">
        <is>
          <t xml:space="preserve">        fpath.write_text(patch_content, encoding="utf-8")</t>
        </is>
      </c>
    </row>
    <row r="939">
      <c r="A939" s="9" t="n">
        <v>936</v>
      </c>
      <c r="B939" s="10" t="inlineStr">
        <is>
          <t xml:space="preserve">        log(f"    应用补丁: {fpath.name}")</t>
        </is>
      </c>
    </row>
    <row r="940">
      <c r="A940" s="7" t="n">
        <v>937</v>
      </c>
      <c r="B940" s="8" t="inlineStr">
        <is>
          <t xml:space="preserve">        return True</t>
        </is>
      </c>
    </row>
    <row r="941">
      <c r="A941" s="9" t="n">
        <v>938</v>
      </c>
      <c r="B941" s="10" t="inlineStr"/>
    </row>
    <row r="942">
      <c r="A942" s="7" t="n">
        <v>939</v>
      </c>
      <c r="B942" s="8" t="inlineStr"/>
    </row>
    <row r="943">
      <c r="A943" s="9" t="n">
        <v>940</v>
      </c>
      <c r="B943" s="10" t="inlineStr">
        <is>
          <t># ═══════════════════════════════════════════════════</t>
        </is>
      </c>
    </row>
    <row r="944">
      <c r="A944" s="7" t="n">
        <v>941</v>
      </c>
      <c r="B944" s="8" t="inlineStr">
        <is>
          <t># 模块5: 迭代历史管理</t>
        </is>
      </c>
    </row>
    <row r="945">
      <c r="A945" s="9" t="n">
        <v>942</v>
      </c>
      <c r="B945" s="10" t="inlineStr">
        <is>
          <t># ═══════════════════════════════════════════════════</t>
        </is>
      </c>
    </row>
    <row r="946">
      <c r="A946" s="7" t="n">
        <v>943</v>
      </c>
      <c r="B946" s="8" t="inlineStr"/>
    </row>
    <row r="947">
      <c r="A947" s="9" t="n">
        <v>944</v>
      </c>
      <c r="B947" s="10" t="inlineStr">
        <is>
          <t>class IterationHistory:</t>
        </is>
      </c>
    </row>
    <row r="948">
      <c r="A948" s="7" t="n">
        <v>945</v>
      </c>
      <c r="B948" s="8" t="inlineStr">
        <is>
          <t xml:space="preserve">    """记录每次迭代的详细信息"""</t>
        </is>
      </c>
    </row>
    <row r="949">
      <c r="A949" s="9" t="n">
        <v>946</v>
      </c>
      <c r="B949" s="10" t="inlineStr"/>
    </row>
    <row r="950">
      <c r="A950" s="7" t="n">
        <v>947</v>
      </c>
      <c r="B950" s="8" t="inlineStr">
        <is>
          <t xml:space="preserve">    def __init__(self):</t>
        </is>
      </c>
    </row>
    <row r="951">
      <c r="A951" s="9" t="n">
        <v>948</v>
      </c>
      <c r="B951" s="10" t="inlineStr">
        <is>
          <t xml:space="preserve">        self.records = self._load()</t>
        </is>
      </c>
    </row>
    <row r="952">
      <c r="A952" s="7" t="n">
        <v>949</v>
      </c>
      <c r="B952" s="8" t="inlineStr"/>
    </row>
    <row r="953">
      <c r="A953" s="9" t="n">
        <v>950</v>
      </c>
      <c r="B953" s="10" t="inlineStr">
        <is>
          <t xml:space="preserve">    def _load(self) -&gt; List[dict]:</t>
        </is>
      </c>
    </row>
    <row r="954">
      <c r="A954" s="7" t="n">
        <v>951</v>
      </c>
      <c r="B954" s="8" t="inlineStr">
        <is>
          <t xml:space="preserve">        if HISTORY_FILE.exists():</t>
        </is>
      </c>
    </row>
    <row r="955">
      <c r="A955" s="9" t="n">
        <v>952</v>
      </c>
      <c r="B955" s="10" t="inlineStr">
        <is>
          <t xml:space="preserve">            try:</t>
        </is>
      </c>
    </row>
    <row r="956">
      <c r="A956" s="7" t="n">
        <v>953</v>
      </c>
      <c r="B956" s="8" t="inlineStr">
        <is>
          <t xml:space="preserve">                return json.loads(HISTORY_FILE.read_text(encoding="utf-8"))</t>
        </is>
      </c>
    </row>
    <row r="957">
      <c r="A957" s="9" t="n">
        <v>954</v>
      </c>
      <c r="B957" s="10" t="inlineStr">
        <is>
          <t xml:space="preserve">            except Exception:</t>
        </is>
      </c>
    </row>
    <row r="958">
      <c r="A958" s="7" t="n">
        <v>955</v>
      </c>
      <c r="B958" s="8" t="inlineStr">
        <is>
          <t xml:space="preserve">                pass</t>
        </is>
      </c>
    </row>
    <row r="959">
      <c r="A959" s="9" t="n">
        <v>956</v>
      </c>
      <c r="B959" s="10" t="inlineStr">
        <is>
          <t xml:space="preserve">        return []</t>
        </is>
      </c>
    </row>
    <row r="960">
      <c r="A960" s="7" t="n">
        <v>957</v>
      </c>
      <c r="B960" s="8" t="inlineStr"/>
    </row>
    <row r="961">
      <c r="A961" s="9" t="n">
        <v>958</v>
      </c>
      <c r="B961" s="10" t="inlineStr">
        <is>
          <t xml:space="preserve">    def add(self, iteration: int, test_results: List[dict],</t>
        </is>
      </c>
    </row>
    <row r="962">
      <c r="A962" s="7" t="n">
        <v>959</v>
      </c>
      <c r="B962" s="8" t="inlineStr">
        <is>
          <t xml:space="preserve">            errors_found: List[dict], fixes_applied: List[dict],</t>
        </is>
      </c>
    </row>
    <row r="963">
      <c r="A963" s="9" t="n">
        <v>960</v>
      </c>
      <c r="B963" s="10" t="inlineStr">
        <is>
          <t xml:space="preserve">            success: bool):</t>
        </is>
      </c>
    </row>
    <row r="964">
      <c r="A964" s="7" t="n">
        <v>961</v>
      </c>
      <c r="B964" s="8" t="inlineStr">
        <is>
          <t xml:space="preserve">        record = {</t>
        </is>
      </c>
    </row>
    <row r="965">
      <c r="A965" s="9" t="n">
        <v>962</v>
      </c>
      <c r="B965" s="10" t="inlineStr">
        <is>
          <t xml:space="preserve">            "iteration": iteration,</t>
        </is>
      </c>
    </row>
    <row r="966">
      <c r="A966" s="7" t="n">
        <v>963</v>
      </c>
      <c r="B966" s="8" t="inlineStr">
        <is>
          <t xml:space="preserve">            "timestamp": datetime.now().isoformat(),</t>
        </is>
      </c>
    </row>
    <row r="967">
      <c r="A967" s="9" t="n">
        <v>964</v>
      </c>
      <c r="B967" s="10" t="inlineStr">
        <is>
          <t xml:space="preserve">            "test_results": test_results,</t>
        </is>
      </c>
    </row>
    <row r="968">
      <c r="A968" s="7" t="n">
        <v>965</v>
      </c>
      <c r="B968" s="8" t="inlineStr">
        <is>
          <t xml:space="preserve">            "errors_found": errors_found,</t>
        </is>
      </c>
    </row>
    <row r="969">
      <c r="A969" s="9" t="n">
        <v>966</v>
      </c>
      <c r="B969" s="10" t="inlineStr">
        <is>
          <t xml:space="preserve">            "fixes_applied": fixes_applied,</t>
        </is>
      </c>
    </row>
    <row r="970">
      <c r="A970" s="7" t="n">
        <v>967</v>
      </c>
      <c r="B970" s="8" t="inlineStr">
        <is>
          <t xml:space="preserve">            "success": success,</t>
        </is>
      </c>
    </row>
    <row r="971">
      <c r="A971" s="9" t="n">
        <v>968</v>
      </c>
      <c r="B971" s="10" t="inlineStr">
        <is>
          <t xml:space="preserve">        }</t>
        </is>
      </c>
    </row>
    <row r="972">
      <c r="A972" s="7" t="n">
        <v>969</v>
      </c>
      <c r="B972" s="8" t="inlineStr">
        <is>
          <t xml:space="preserve">        self.records.append(record)</t>
        </is>
      </c>
    </row>
    <row r="973">
      <c r="A973" s="9" t="n">
        <v>970</v>
      </c>
      <c r="B973" s="10" t="inlineStr">
        <is>
          <t xml:space="preserve">        # 限制记录数</t>
        </is>
      </c>
    </row>
    <row r="974">
      <c r="A974" s="7" t="n">
        <v>971</v>
      </c>
      <c r="B974" s="8" t="inlineStr">
        <is>
          <t xml:space="preserve">        if len(self.records) &gt; 200:</t>
        </is>
      </c>
    </row>
    <row r="975">
      <c r="A975" s="9" t="n">
        <v>972</v>
      </c>
      <c r="B975" s="10" t="inlineStr">
        <is>
          <t xml:space="preserve">            self.records = self.records[-200:]</t>
        </is>
      </c>
    </row>
    <row r="976">
      <c r="A976" s="7" t="n">
        <v>973</v>
      </c>
      <c r="B976" s="8" t="inlineStr">
        <is>
          <t xml:space="preserve">        self._save()</t>
        </is>
      </c>
    </row>
    <row r="977">
      <c r="A977" s="9" t="n">
        <v>974</v>
      </c>
      <c r="B977" s="10" t="inlineStr"/>
    </row>
    <row r="978">
      <c r="A978" s="7" t="n">
        <v>975</v>
      </c>
      <c r="B978" s="8" t="inlineStr">
        <is>
          <t xml:space="preserve">    def _save(self):</t>
        </is>
      </c>
    </row>
    <row r="979">
      <c r="A979" s="9" t="n">
        <v>976</v>
      </c>
      <c r="B979" s="10" t="inlineStr">
        <is>
          <t xml:space="preserve">        HISTORY_FILE.write_text(</t>
        </is>
      </c>
    </row>
    <row r="980">
      <c r="A980" s="7" t="n">
        <v>977</v>
      </c>
      <c r="B980" s="8" t="inlineStr">
        <is>
          <t xml:space="preserve">            json.dumps(self.records, ensure_ascii=False, indent=2),</t>
        </is>
      </c>
    </row>
    <row r="981">
      <c r="A981" s="9" t="n">
        <v>978</v>
      </c>
      <c r="B981" s="10" t="inlineStr">
        <is>
          <t xml:space="preserve">            encoding="utf-8"</t>
        </is>
      </c>
    </row>
    <row r="982">
      <c r="A982" s="7" t="n">
        <v>979</v>
      </c>
      <c r="B982" s="8" t="inlineStr">
        <is>
          <t xml:space="preserve">        )</t>
        </is>
      </c>
    </row>
    <row r="983">
      <c r="A983" s="9" t="n">
        <v>980</v>
      </c>
      <c r="B983" s="10" t="inlineStr"/>
    </row>
    <row r="984">
      <c r="A984" s="7" t="n">
        <v>981</v>
      </c>
      <c r="B984" s="8" t="inlineStr">
        <is>
          <t xml:space="preserve">    def get_stats(self) -&gt; dict:</t>
        </is>
      </c>
    </row>
    <row r="985">
      <c r="A985" s="9" t="n">
        <v>982</v>
      </c>
      <c r="B985" s="10" t="inlineStr">
        <is>
          <t xml:space="preserve">        if not self.records:</t>
        </is>
      </c>
    </row>
    <row r="986">
      <c r="A986" s="7" t="n">
        <v>983</v>
      </c>
      <c r="B986" s="8" t="inlineStr">
        <is>
          <t xml:space="preserve">            return {"total_iterations": 0}</t>
        </is>
      </c>
    </row>
    <row r="987">
      <c r="A987" s="9" t="n">
        <v>984</v>
      </c>
      <c r="B987" s="10" t="inlineStr">
        <is>
          <t xml:space="preserve">        successes = sum(1 for r in self.records if r["success"])</t>
        </is>
      </c>
    </row>
    <row r="988">
      <c r="A988" s="7" t="n">
        <v>985</v>
      </c>
      <c r="B988" s="8" t="inlineStr">
        <is>
          <t xml:space="preserve">        total_fixes = sum(len(r["fixes_applied"]) for r in self.records)</t>
        </is>
      </c>
    </row>
    <row r="989">
      <c r="A989" s="9" t="n">
        <v>986</v>
      </c>
      <c r="B989" s="10" t="inlineStr">
        <is>
          <t xml:space="preserve">        return {</t>
        </is>
      </c>
    </row>
    <row r="990">
      <c r="A990" s="7" t="n">
        <v>987</v>
      </c>
      <c r="B990" s="8" t="inlineStr">
        <is>
          <t xml:space="preserve">            "total_iterations": len(self.records),</t>
        </is>
      </c>
    </row>
    <row r="991">
      <c r="A991" s="9" t="n">
        <v>988</v>
      </c>
      <c r="B991" s="10" t="inlineStr">
        <is>
          <t xml:space="preserve">            "success_rate": f"{successes}/{len(self.records)}",</t>
        </is>
      </c>
    </row>
    <row r="992">
      <c r="A992" s="7" t="n">
        <v>989</v>
      </c>
      <c r="B992" s="8" t="inlineStr">
        <is>
          <t xml:space="preserve">            "total_fixes_applied": total_fixes,</t>
        </is>
      </c>
    </row>
    <row r="993">
      <c r="A993" s="9" t="n">
        <v>990</v>
      </c>
      <c r="B993" s="10" t="inlineStr">
        <is>
          <t xml:space="preserve">            "last_iteration": self.records[-1]["timestamp"] if self.records else None,</t>
        </is>
      </c>
    </row>
    <row r="994">
      <c r="A994" s="7" t="n">
        <v>991</v>
      </c>
      <c r="B994" s="8" t="inlineStr">
        <is>
          <t xml:space="preserve">        }</t>
        </is>
      </c>
    </row>
    <row r="995">
      <c r="A995" s="9" t="n">
        <v>992</v>
      </c>
      <c r="B995" s="10" t="inlineStr"/>
    </row>
    <row r="996">
      <c r="A996" s="7" t="n">
        <v>993</v>
      </c>
      <c r="B996" s="8" t="inlineStr">
        <is>
          <t xml:space="preserve">    def last_error_types(self, n: int = 5) -&gt; List[str]:</t>
        </is>
      </c>
    </row>
    <row r="997">
      <c r="A997" s="9" t="n">
        <v>994</v>
      </c>
      <c r="B997" s="10" t="inlineStr">
        <is>
          <t xml:space="preserve">        types = []</t>
        </is>
      </c>
    </row>
    <row r="998">
      <c r="A998" s="7" t="n">
        <v>995</v>
      </c>
      <c r="B998" s="8" t="inlineStr">
        <is>
          <t xml:space="preserve">        for r in reversed(self.records):</t>
        </is>
      </c>
    </row>
    <row r="999">
      <c r="A999" s="9" t="n">
        <v>996</v>
      </c>
      <c r="B999" s="10" t="inlineStr">
        <is>
          <t xml:space="preserve">            for e in r.get("errors_found", []):</t>
        </is>
      </c>
    </row>
    <row r="1000">
      <c r="A1000" s="7" t="n">
        <v>997</v>
      </c>
      <c r="B1000" s="8" t="inlineStr">
        <is>
          <t xml:space="preserve">                if e.get("type"):</t>
        </is>
      </c>
    </row>
    <row r="1001">
      <c r="A1001" s="9" t="n">
        <v>998</v>
      </c>
      <c r="B1001" s="10" t="inlineStr">
        <is>
          <t xml:space="preserve">                    types.append(e["type"])</t>
        </is>
      </c>
    </row>
    <row r="1002">
      <c r="A1002" s="7" t="n">
        <v>999</v>
      </c>
      <c r="B1002" s="8" t="inlineStr">
        <is>
          <t xml:space="preserve">                    if len(types) &gt;= n:</t>
        </is>
      </c>
    </row>
    <row r="1003">
      <c r="A1003" s="9" t="n">
        <v>1000</v>
      </c>
      <c r="B1003" s="10" t="inlineStr">
        <is>
          <t xml:space="preserve">                        return types</t>
        </is>
      </c>
    </row>
    <row r="1004">
      <c r="A1004" s="7" t="n">
        <v>1001</v>
      </c>
      <c r="B1004" s="8" t="inlineStr">
        <is>
          <t xml:space="preserve">        return types</t>
        </is>
      </c>
    </row>
    <row r="1005">
      <c r="A1005" s="9" t="n">
        <v>1002</v>
      </c>
      <c r="B1005" s="10" t="inlineStr"/>
    </row>
    <row r="1006">
      <c r="A1006" s="7" t="n">
        <v>1003</v>
      </c>
      <c r="B1006" s="8" t="inlineStr"/>
    </row>
    <row r="1007">
      <c r="A1007" s="9" t="n">
        <v>1004</v>
      </c>
      <c r="B1007" s="10" t="inlineStr">
        <is>
          <t># ═══════════════════════════════════════════════════</t>
        </is>
      </c>
    </row>
    <row r="1008">
      <c r="A1008" s="7" t="n">
        <v>1005</v>
      </c>
      <c r="B1008" s="8" t="inlineStr">
        <is>
          <t># 模块6: 主循环</t>
        </is>
      </c>
    </row>
    <row r="1009">
      <c r="A1009" s="9" t="n">
        <v>1006</v>
      </c>
      <c r="B1009" s="10" t="inlineStr">
        <is>
          <t># ═══════════════════════════════════════════════════</t>
        </is>
      </c>
    </row>
    <row r="1010">
      <c r="A1010" s="7" t="n">
        <v>1007</v>
      </c>
      <c r="B1010" s="8" t="inlineStr"/>
    </row>
    <row r="1011">
      <c r="A1011" s="9" t="n">
        <v>1008</v>
      </c>
      <c r="B1011" s="10" t="inlineStr">
        <is>
          <t>class SelfEvolver:</t>
        </is>
      </c>
    </row>
    <row r="1012">
      <c r="A1012" s="7" t="n">
        <v>1009</v>
      </c>
      <c r="B1012" s="8" t="inlineStr">
        <is>
          <t xml:space="preserve">    """自进化主控制器"""</t>
        </is>
      </c>
    </row>
    <row r="1013">
      <c r="A1013" s="9" t="n">
        <v>1010</v>
      </c>
      <c r="B1013" s="10" t="inlineStr"/>
    </row>
    <row r="1014">
      <c r="A1014" s="7" t="n">
        <v>1011</v>
      </c>
      <c r="B1014" s="8" t="inlineStr">
        <is>
          <t xml:space="preserve">    def __init__(self, max_loops: int = 0, gui_mode: bool = False):</t>
        </is>
      </c>
    </row>
    <row r="1015">
      <c r="A1015" s="9" t="n">
        <v>1012</v>
      </c>
      <c r="B1015" s="10" t="inlineStr">
        <is>
          <t xml:space="preserve">        self.max_loops = max_loops</t>
        </is>
      </c>
    </row>
    <row r="1016">
      <c r="A1016" s="7" t="n">
        <v>1013</v>
      </c>
      <c r="B1016" s="8" t="inlineStr">
        <is>
          <t xml:space="preserve">        self.gui_mode = gui_mode</t>
        </is>
      </c>
    </row>
    <row r="1017">
      <c r="A1017" s="9" t="n">
        <v>1014</v>
      </c>
      <c r="B1017" s="10" t="inlineStr">
        <is>
          <t xml:space="preserve">        self.pm = ProcessManager()</t>
        </is>
      </c>
    </row>
    <row r="1018">
      <c r="A1018" s="7" t="n">
        <v>1015</v>
      </c>
      <c r="B1018" s="8" t="inlineStr">
        <is>
          <t xml:space="preserve">        self.runner = TestRunner(self.pm)</t>
        </is>
      </c>
    </row>
    <row r="1019">
      <c r="A1019" s="9" t="n">
        <v>1016</v>
      </c>
      <c r="B1019" s="10" t="inlineStr">
        <is>
          <t xml:space="preserve">        self.fixer = FixGenerator()</t>
        </is>
      </c>
    </row>
    <row r="1020">
      <c r="A1020" s="7" t="n">
        <v>1017</v>
      </c>
      <c r="B1020" s="8" t="inlineStr">
        <is>
          <t xml:space="preserve">        self.history = IterationHistory()</t>
        </is>
      </c>
    </row>
    <row r="1021">
      <c r="A1021" s="9" t="n">
        <v>1018</v>
      </c>
      <c r="B1021" s="10" t="inlineStr">
        <is>
          <t xml:space="preserve">        self.gui = GUIAutomator() if gui_mode else None</t>
        </is>
      </c>
    </row>
    <row r="1022">
      <c r="A1022" s="7" t="n">
        <v>1019</v>
      </c>
      <c r="B1022" s="8" t="inlineStr"/>
    </row>
    <row r="1023">
      <c r="A1023" s="9" t="n">
        <v>1020</v>
      </c>
      <c r="B1023" s="10" t="inlineStr">
        <is>
          <t xml:space="preserve">    def run_once(self) -&gt; bool:</t>
        </is>
      </c>
    </row>
    <row r="1024">
      <c r="A1024" s="7" t="n">
        <v>1021</v>
      </c>
      <c r="B1024" s="8" t="inlineStr">
        <is>
          <t xml:space="preserve">        """执行单次迭代。返回是否成功。"""</t>
        </is>
      </c>
    </row>
    <row r="1025">
      <c r="A1025" s="9" t="n">
        <v>1022</v>
      </c>
      <c r="B1025" s="10" t="inlineStr">
        <is>
          <t xml:space="preserve">        global _iteration</t>
        </is>
      </c>
    </row>
    <row r="1026">
      <c r="A1026" s="7" t="n">
        <v>1023</v>
      </c>
      <c r="B1026" s="8" t="inlineStr">
        <is>
          <t xml:space="preserve">        _iteration += 1</t>
        </is>
      </c>
    </row>
    <row r="1027">
      <c r="A1027" s="9" t="n">
        <v>1024</v>
      </c>
      <c r="B1027" s="10" t="inlineStr">
        <is>
          <t xml:space="preserve">        iter_num = _iteration</t>
        </is>
      </c>
    </row>
    <row r="1028">
      <c r="A1028" s="7" t="n">
        <v>1025</v>
      </c>
      <c r="B1028" s="8" t="inlineStr">
        <is>
          <t xml:space="preserve">        log(f"\n{'='*60}")</t>
        </is>
      </c>
    </row>
    <row r="1029">
      <c r="A1029" s="9" t="n">
        <v>1026</v>
      </c>
      <c r="B1029" s="10" t="inlineStr">
        <is>
          <t xml:space="preserve">        log(f"迭代 #{iter_num} 开始")</t>
        </is>
      </c>
    </row>
    <row r="1030">
      <c r="A1030" s="7" t="n">
        <v>1027</v>
      </c>
      <c r="B1030" s="8" t="inlineStr">
        <is>
          <t xml:space="preserve">        log(f"{'='*60}")</t>
        </is>
      </c>
    </row>
    <row r="1031">
      <c r="A1031" s="9" t="n">
        <v>1028</v>
      </c>
      <c r="B1031" s="10" t="inlineStr"/>
    </row>
    <row r="1032">
      <c r="A1032" s="7" t="n">
        <v>1029</v>
      </c>
      <c r="B1032" s="8" t="inlineStr">
        <is>
          <t xml:space="preserve">        test_results = []</t>
        </is>
      </c>
    </row>
    <row r="1033">
      <c r="A1033" s="9" t="n">
        <v>1030</v>
      </c>
      <c r="B1033" s="10" t="inlineStr">
        <is>
          <t xml:space="preserve">        errors_found = []</t>
        </is>
      </c>
    </row>
    <row r="1034">
      <c r="A1034" s="7" t="n">
        <v>1031</v>
      </c>
      <c r="B1034" s="8" t="inlineStr">
        <is>
          <t xml:space="preserve">        fixes_applied = []</t>
        </is>
      </c>
    </row>
    <row r="1035">
      <c r="A1035" s="9" t="n">
        <v>1032</v>
      </c>
      <c r="B1035" s="10" t="inlineStr"/>
    </row>
    <row r="1036">
      <c r="A1036" s="7" t="n">
        <v>1033</v>
      </c>
      <c r="B1036" s="8" t="inlineStr">
        <is>
          <t xml:space="preserve">        # ── 阶段1: 测试核心功能 ──</t>
        </is>
      </c>
    </row>
    <row r="1037">
      <c r="A1037" s="9" t="n">
        <v>1034</v>
      </c>
      <c r="B1037" s="10" t="inlineStr">
        <is>
          <t xml:space="preserve">        log("阶段1: 核心功能测试")</t>
        </is>
      </c>
    </row>
    <row r="1038">
      <c r="A1038" s="7" t="n">
        <v>1035</v>
      </c>
      <c r="B1038" s="8" t="inlineStr"/>
    </row>
    <row r="1039">
      <c r="A1039" s="9" t="n">
        <v>1036</v>
      </c>
      <c r="B1039" s="10" t="inlineStr">
        <is>
          <t xml:space="preserve">        tests = [</t>
        </is>
      </c>
    </row>
    <row r="1040">
      <c r="A1040" s="7" t="n">
        <v>1037</v>
      </c>
      <c r="B1040" s="8" t="inlineStr">
        <is>
          <t xml:space="preserve">            ("语法检查", self.runner.test_python_syntax),</t>
        </is>
      </c>
    </row>
    <row r="1041">
      <c r="A1041" s="9" t="n">
        <v>1038</v>
      </c>
      <c r="B1041" s="10" t="inlineStr">
        <is>
          <t xml:space="preserve">            ("数据库完整性", self.runner.test_db_integrity),</t>
        </is>
      </c>
    </row>
    <row r="1042">
      <c r="A1042" s="7" t="n">
        <v>1039</v>
      </c>
      <c r="B1042" s="8" t="inlineStr">
        <is>
          <t xml:space="preserve">            ("系统状态", self.runner.test_system_status),</t>
        </is>
      </c>
    </row>
    <row r="1043">
      <c r="A1043" s="9" t="n">
        <v>1040</v>
      </c>
      <c r="B1043" s="10" t="inlineStr">
        <is>
          <t xml:space="preserve">        ]</t>
        </is>
      </c>
    </row>
    <row r="1044">
      <c r="A1044" s="7" t="n">
        <v>1041</v>
      </c>
      <c r="B1044" s="8" t="inlineStr"/>
    </row>
    <row r="1045">
      <c r="A1045" s="9" t="n">
        <v>1042</v>
      </c>
      <c r="B1045" s="10" t="inlineStr">
        <is>
          <t xml:space="preserve">        # 随机选择是否执行耗时测试</t>
        </is>
      </c>
    </row>
    <row r="1046">
      <c r="A1046" s="7" t="n">
        <v>1043</v>
      </c>
      <c r="B1046" s="8" t="inlineStr">
        <is>
          <t xml:space="preserve">        if iter_num % 2 == 0:  # 每2次迭代执行一次全帧识别</t>
        </is>
      </c>
    </row>
    <row r="1047">
      <c r="A1047" s="9" t="n">
        <v>1044</v>
      </c>
      <c r="B1047" s="10" t="inlineStr">
        <is>
          <t xml:space="preserve">            tests.append(("全帧识别", self.runner.test_frame_annotation))</t>
        </is>
      </c>
    </row>
    <row r="1048">
      <c r="A1048" s="7" t="n">
        <v>1045</v>
      </c>
      <c r="B1048" s="8" t="inlineStr">
        <is>
          <t xml:space="preserve">        if iter_num % 3 == 0:  # 每3次迭代执行一次</t>
        </is>
      </c>
    </row>
    <row r="1049">
      <c r="A1049" s="9" t="n">
        <v>1046</v>
      </c>
      <c r="B1049" s="10" t="inlineStr">
        <is>
          <t xml:space="preserve">            tests.append(("单次生成(油风)", lambda: self.runner.test_single_generate("奶油风岛台")))</t>
        </is>
      </c>
    </row>
    <row r="1050">
      <c r="A1050" s="7" t="n">
        <v>1047</v>
      </c>
      <c r="B1050" s="8" t="inlineStr">
        <is>
          <t xml:space="preserve">        if iter_num % 5 == 0:  # 每5次执行一次批量</t>
        </is>
      </c>
    </row>
    <row r="1051">
      <c r="A1051" s="9" t="n">
        <v>1048</v>
      </c>
      <c r="B1051" s="10" t="inlineStr">
        <is>
          <t xml:space="preserve">            tests.append(("批量生成(2条)", lambda: self.runner.test_batch_generate(2)))</t>
        </is>
      </c>
    </row>
    <row r="1052">
      <c r="A1052" s="7" t="n">
        <v>1049</v>
      </c>
      <c r="B1052" s="8" t="inlineStr"/>
    </row>
    <row r="1053">
      <c r="A1053" s="9" t="n">
        <v>1050</v>
      </c>
      <c r="B1053" s="10" t="inlineStr">
        <is>
          <t xml:space="preserve">        for name, test_fn in tests:</t>
        </is>
      </c>
    </row>
    <row r="1054">
      <c r="A1054" s="7" t="n">
        <v>1051</v>
      </c>
      <c r="B1054" s="8" t="inlineStr">
        <is>
          <t xml:space="preserve">            log(f"  [{name}] 执行中...")</t>
        </is>
      </c>
    </row>
    <row r="1055">
      <c r="A1055" s="9" t="n">
        <v>1052</v>
      </c>
      <c r="B1055" s="10" t="inlineStr">
        <is>
          <t xml:space="preserve">            try:</t>
        </is>
      </c>
    </row>
    <row r="1056">
      <c r="A1056" s="7" t="n">
        <v>1053</v>
      </c>
      <c r="B1056" s="8" t="inlineStr">
        <is>
          <t xml:space="preserve">                result = test_fn()</t>
        </is>
      </c>
    </row>
    <row r="1057">
      <c r="A1057" s="9" t="n">
        <v>1054</v>
      </c>
      <c r="B1057" s="10" t="inlineStr">
        <is>
          <t xml:space="preserve">                test_results.append(result)</t>
        </is>
      </c>
    </row>
    <row r="1058">
      <c r="A1058" s="7" t="n">
        <v>1055</v>
      </c>
      <c r="B1058" s="8" t="inlineStr"/>
    </row>
    <row r="1059">
      <c r="A1059" s="9" t="n">
        <v>1056</v>
      </c>
      <c r="B1059" s="10" t="inlineStr">
        <is>
          <t xml:space="preserve">                if result.get("error"):</t>
        </is>
      </c>
    </row>
    <row r="1060">
      <c r="A1060" s="7" t="n">
        <v>1057</v>
      </c>
      <c r="B1060" s="8" t="inlineStr">
        <is>
          <t xml:space="preserve">                    errors_found.append(result["error"])</t>
        </is>
      </c>
    </row>
    <row r="1061">
      <c r="A1061" s="9" t="n">
        <v>1058</v>
      </c>
      <c r="B1061" s="10" t="inlineStr"/>
    </row>
    <row r="1062">
      <c r="A1062" s="7" t="n">
        <v>1059</v>
      </c>
      <c r="B1062" s="8" t="inlineStr">
        <is>
          <t xml:space="preserve">                # 如果是语法错误，收集上下文</t>
        </is>
      </c>
    </row>
    <row r="1063">
      <c r="A1063" s="9" t="n">
        <v>1060</v>
      </c>
      <c r="B1063" s="10" t="inlineStr">
        <is>
          <t xml:space="preserve">                if isinstance(result.get("error"), dict) and not _running:</t>
        </is>
      </c>
    </row>
    <row r="1064">
      <c r="A1064" s="7" t="n">
        <v>1061</v>
      </c>
      <c r="B1064" s="8" t="inlineStr">
        <is>
          <t xml:space="preserve">                    break</t>
        </is>
      </c>
    </row>
    <row r="1065">
      <c r="A1065" s="9" t="n">
        <v>1062</v>
      </c>
      <c r="B1065" s="10" t="inlineStr"/>
    </row>
    <row r="1066">
      <c r="A1066" s="7" t="n">
        <v>1063</v>
      </c>
      <c r="B1066" s="8" t="inlineStr">
        <is>
          <t xml:space="preserve">            except Exception as e:</t>
        </is>
      </c>
    </row>
    <row r="1067">
      <c r="A1067" s="9" t="n">
        <v>1064</v>
      </c>
      <c r="B1067" s="10" t="inlineStr">
        <is>
          <t xml:space="preserve">                err = {"type": type(e).__name__, "msg": str(e), "test": name}</t>
        </is>
      </c>
    </row>
    <row r="1068">
      <c r="A1068" s="7" t="n">
        <v>1065</v>
      </c>
      <c r="B1068" s="8" t="inlineStr">
        <is>
          <t xml:space="preserve">                errors_found.append(err)</t>
        </is>
      </c>
    </row>
    <row r="1069">
      <c r="A1069" s="9" t="n">
        <v>1066</v>
      </c>
      <c r="B1069" s="10" t="inlineStr">
        <is>
          <t xml:space="preserve">                log(f"  [{name}] 异常: {e}", "ERROR")</t>
        </is>
      </c>
    </row>
    <row r="1070">
      <c r="A1070" s="7" t="n">
        <v>1067</v>
      </c>
      <c r="B1070" s="8" t="inlineStr"/>
    </row>
    <row r="1071">
      <c r="A1071" s="9" t="n">
        <v>1068</v>
      </c>
      <c r="B1071" s="10" t="inlineStr">
        <is>
          <t xml:space="preserve">        # ── 阶段2: 分析错误并尝试修复 ──</t>
        </is>
      </c>
    </row>
    <row r="1072">
      <c r="A1072" s="7" t="n">
        <v>1069</v>
      </c>
      <c r="B1072" s="8" t="inlineStr">
        <is>
          <t xml:space="preserve">        log(f"\n阶段2: 错误分析 (共{len(errors_found)}个错误)")</t>
        </is>
      </c>
    </row>
    <row r="1073">
      <c r="A1073" s="9" t="n">
        <v>1070</v>
      </c>
      <c r="B1073" s="10" t="inlineStr"/>
    </row>
    <row r="1074">
      <c r="A1074" s="7" t="n">
        <v>1071</v>
      </c>
      <c r="B1074" s="8" t="inlineStr">
        <is>
          <t xml:space="preserve">        for err in errors_found:</t>
        </is>
      </c>
    </row>
    <row r="1075">
      <c r="A1075" s="9" t="n">
        <v>1072</v>
      </c>
      <c r="B1075" s="10" t="inlineStr">
        <is>
          <t xml:space="preserve">            # 收集相关源代码上下文</t>
        </is>
      </c>
    </row>
    <row r="1076">
      <c r="A1076" s="7" t="n">
        <v>1073</v>
      </c>
      <c r="B1076" s="8" t="inlineStr">
        <is>
          <t xml:space="preserve">            context = ""</t>
        </is>
      </c>
    </row>
    <row r="1077">
      <c r="A1077" s="9" t="n">
        <v>1074</v>
      </c>
      <c r="B1077" s="10" t="inlineStr">
        <is>
          <t xml:space="preserve">            src_match = re.search(</t>
        </is>
      </c>
    </row>
    <row r="1078">
      <c r="A1078" s="7" t="n">
        <v>1075</v>
      </c>
      <c r="B1078" s="8" t="inlineStr">
        <is>
          <t xml:space="preserve">                r'File ["\']([^"\']+\.py)["\'].*line (\d+)',</t>
        </is>
      </c>
    </row>
    <row r="1079">
      <c r="A1079" s="9" t="n">
        <v>1076</v>
      </c>
      <c r="B1079" s="10" t="inlineStr">
        <is>
          <t xml:space="preserve">                err.get("msg", "") + err.get("test", "")</t>
        </is>
      </c>
    </row>
    <row r="1080">
      <c r="A1080" s="7" t="n">
        <v>1077</v>
      </c>
      <c r="B1080" s="8" t="inlineStr">
        <is>
          <t xml:space="preserve">            )</t>
        </is>
      </c>
    </row>
    <row r="1081">
      <c r="A1081" s="9" t="n">
        <v>1078</v>
      </c>
      <c r="B1081" s="10" t="inlineStr">
        <is>
          <t xml:space="preserve">            if src_match:</t>
        </is>
      </c>
    </row>
    <row r="1082">
      <c r="A1082" s="7" t="n">
        <v>1079</v>
      </c>
      <c r="B1082" s="8" t="inlineStr">
        <is>
          <t xml:space="preserve">                src_file = src_match.group(1)</t>
        </is>
      </c>
    </row>
    <row r="1083">
      <c r="A1083" s="9" t="n">
        <v>1080</v>
      </c>
      <c r="B1083" s="10" t="inlineStr">
        <is>
          <t xml:space="preserve">                try:</t>
        </is>
      </c>
    </row>
    <row r="1084">
      <c r="A1084" s="7" t="n">
        <v>1081</v>
      </c>
      <c r="B1084" s="8" t="inlineStr">
        <is>
          <t xml:space="preserve">                    lines = Path(src_file).read_text(encoding="utf-8", errors="replace").split("\n")</t>
        </is>
      </c>
    </row>
    <row r="1085">
      <c r="A1085" s="9" t="n">
        <v>1082</v>
      </c>
      <c r="B1085" s="10" t="inlineStr">
        <is>
          <t xml:space="preserve">                    lineno = int(src_match.group(2)) - 1</t>
        </is>
      </c>
    </row>
    <row r="1086">
      <c r="A1086" s="7" t="n">
        <v>1083</v>
      </c>
      <c r="B1086" s="8" t="inlineStr">
        <is>
          <t xml:space="preserve">                    start = max(0, lineno - 5)</t>
        </is>
      </c>
    </row>
    <row r="1087">
      <c r="A1087" s="9" t="n">
        <v>1084</v>
      </c>
      <c r="B1087" s="10" t="inlineStr">
        <is>
          <t xml:space="preserve">                    end = min(len(lines), lineno + 5)</t>
        </is>
      </c>
    </row>
    <row r="1088">
      <c r="A1088" s="7" t="n">
        <v>1085</v>
      </c>
      <c r="B1088" s="8" t="inlineStr">
        <is>
          <t xml:space="preserve">                    context = "\n".join(</t>
        </is>
      </c>
    </row>
    <row r="1089">
      <c r="A1089" s="9" t="n">
        <v>1086</v>
      </c>
      <c r="B1089" s="10" t="inlineStr">
        <is>
          <t xml:space="preserve">                        f"{i+1}: {l}" for i, l in enumerate(lines[start:end], start)</t>
        </is>
      </c>
    </row>
    <row r="1090">
      <c r="A1090" s="7" t="n">
        <v>1087</v>
      </c>
      <c r="B1090" s="8" t="inlineStr">
        <is>
          <t xml:space="preserve">                    )</t>
        </is>
      </c>
    </row>
    <row r="1091">
      <c r="A1091" s="9" t="n">
        <v>1088</v>
      </c>
      <c r="B1091" s="10" t="inlineStr">
        <is>
          <t xml:space="preserve">                except Exception:</t>
        </is>
      </c>
    </row>
    <row r="1092">
      <c r="A1092" s="7" t="n">
        <v>1089</v>
      </c>
      <c r="B1092" s="8" t="inlineStr">
        <is>
          <t xml:space="preserve">                    pass</t>
        </is>
      </c>
    </row>
    <row r="1093">
      <c r="A1093" s="9" t="n">
        <v>1090</v>
      </c>
      <c r="B1093" s="10" t="inlineStr"/>
    </row>
    <row r="1094">
      <c r="A1094" s="7" t="n">
        <v>1091</v>
      </c>
      <c r="B1094" s="8" t="inlineStr">
        <is>
          <t xml:space="preserve">            analysis = self.fixer.analyze(err, context)</t>
        </is>
      </c>
    </row>
    <row r="1095">
      <c r="A1095" s="9" t="n">
        <v>1092</v>
      </c>
      <c r="B1095" s="10" t="inlineStr">
        <is>
          <t xml:space="preserve">            log(f"  [{err.get('type','?')}] → {analysis['fix'][:80]}")</t>
        </is>
      </c>
    </row>
    <row r="1096">
      <c r="A1096" s="7" t="n">
        <v>1093</v>
      </c>
      <c r="B1096" s="8" t="inlineStr"/>
    </row>
    <row r="1097">
      <c r="A1097" s="9" t="n">
        <v>1094</v>
      </c>
      <c r="B1097" s="10" t="inlineStr">
        <is>
          <t xml:space="preserve">            if analysis.get("matched"):</t>
        </is>
      </c>
    </row>
    <row r="1098">
      <c r="A1098" s="7" t="n">
        <v>1095</v>
      </c>
      <c r="B1098" s="8" t="inlineStr">
        <is>
          <t xml:space="preserve">                rule = analysis.get("rule_apply")</t>
        </is>
      </c>
    </row>
    <row r="1099">
      <c r="A1099" s="9" t="n">
        <v>1096</v>
      </c>
      <c r="B1099" s="10" t="inlineStr">
        <is>
          <t xml:space="preserve">                if rule:</t>
        </is>
      </c>
    </row>
    <row r="1100">
      <c r="A1100" s="7" t="n">
        <v>1097</v>
      </c>
      <c r="B1100" s="8" t="inlineStr">
        <is>
          <t xml:space="preserve">                    applied = self.fixer.apply_rule_fix(err, rule)</t>
        </is>
      </c>
    </row>
    <row r="1101">
      <c r="A1101" s="9" t="n">
        <v>1098</v>
      </c>
      <c r="B1101" s="10" t="inlineStr">
        <is>
          <t xml:space="preserve">                    fixes_applied.append({</t>
        </is>
      </c>
    </row>
    <row r="1102">
      <c r="A1102" s="7" t="n">
        <v>1099</v>
      </c>
      <c r="B1102" s="8" t="inlineStr">
        <is>
          <t xml:space="preserve">                        "error": err.get("type"),</t>
        </is>
      </c>
    </row>
    <row r="1103">
      <c r="A1103" s="9" t="n">
        <v>1100</v>
      </c>
      <c r="B1103" s="10" t="inlineStr">
        <is>
          <t xml:space="preserve">                        "rule": rule,</t>
        </is>
      </c>
    </row>
    <row r="1104">
      <c r="A1104" s="7" t="n">
        <v>1101</v>
      </c>
      <c r="B1104" s="8" t="inlineStr">
        <is>
          <t xml:space="preserve">                        "applied": applied,</t>
        </is>
      </c>
    </row>
    <row r="1105">
      <c r="A1105" s="9" t="n">
        <v>1102</v>
      </c>
      <c r="B1105" s="10" t="inlineStr">
        <is>
          <t xml:space="preserve">                    })</t>
        </is>
      </c>
    </row>
    <row r="1106">
      <c r="A1106" s="7" t="n">
        <v>1103</v>
      </c>
      <c r="B1106" s="8" t="inlineStr">
        <is>
          <t xml:space="preserve">                elif analysis.get("code_patch"):</t>
        </is>
      </c>
    </row>
    <row r="1107">
      <c r="A1107" s="9" t="n">
        <v>1104</v>
      </c>
      <c r="B1107" s="10" t="inlineStr">
        <is>
          <t xml:space="preserve">                    # AI补丁（谨慎应用）</t>
        </is>
      </c>
    </row>
    <row r="1108">
      <c r="A1108" s="7" t="n">
        <v>1105</v>
      </c>
      <c r="B1108" s="8" t="inlineStr">
        <is>
          <t xml:space="preserve">                    if src_match:</t>
        </is>
      </c>
    </row>
    <row r="1109">
      <c r="A1109" s="9" t="n">
        <v>1106</v>
      </c>
      <c r="B1109" s="10" t="inlineStr">
        <is>
          <t xml:space="preserve">                        applied = self.fixer.apply_code_patch(</t>
        </is>
      </c>
    </row>
    <row r="1110">
      <c r="A1110" s="7" t="n">
        <v>1107</v>
      </c>
      <c r="B1110" s="8" t="inlineStr">
        <is>
          <t xml:space="preserve">                            src_match.group(1), analysis["code_patch"]</t>
        </is>
      </c>
    </row>
    <row r="1111">
      <c r="A1111" s="9" t="n">
        <v>1108</v>
      </c>
      <c r="B1111" s="10" t="inlineStr">
        <is>
          <t xml:space="preserve">                        )</t>
        </is>
      </c>
    </row>
    <row r="1112">
      <c r="A1112" s="7" t="n">
        <v>1109</v>
      </c>
      <c r="B1112" s="8" t="inlineStr">
        <is>
          <t xml:space="preserve">                        fixes_applied.append({</t>
        </is>
      </c>
    </row>
    <row r="1113">
      <c r="A1113" s="9" t="n">
        <v>1110</v>
      </c>
      <c r="B1113" s="10" t="inlineStr">
        <is>
          <t xml:space="preserve">                            "error": err.get("type"),</t>
        </is>
      </c>
    </row>
    <row r="1114">
      <c r="A1114" s="7" t="n">
        <v>1111</v>
      </c>
      <c r="B1114" s="8" t="inlineStr">
        <is>
          <t xml:space="preserve">                            "ai_fix": True,</t>
        </is>
      </c>
    </row>
    <row r="1115">
      <c r="A1115" s="9" t="n">
        <v>1112</v>
      </c>
      <c r="B1115" s="10" t="inlineStr">
        <is>
          <t xml:space="preserve">                            "applied": applied,</t>
        </is>
      </c>
    </row>
    <row r="1116">
      <c r="A1116" s="7" t="n">
        <v>1113</v>
      </c>
      <c r="B1116" s="8" t="inlineStr">
        <is>
          <t xml:space="preserve">                        })</t>
        </is>
      </c>
    </row>
    <row r="1117">
      <c r="A1117" s="9" t="n">
        <v>1114</v>
      </c>
      <c r="B1117" s="10" t="inlineStr"/>
    </row>
    <row r="1118">
      <c r="A1118" s="7" t="n">
        <v>1115</v>
      </c>
      <c r="B1118" s="8" t="inlineStr">
        <is>
          <t xml:space="preserve">        # ── 阶段3: GUI测试(可选) ──</t>
        </is>
      </c>
    </row>
    <row r="1119">
      <c r="A1119" s="9" t="n">
        <v>1116</v>
      </c>
      <c r="B1119" s="10" t="inlineStr">
        <is>
          <t xml:space="preserve">        if self.gui and self.gui.available and _running:</t>
        </is>
      </c>
    </row>
    <row r="1120">
      <c r="A1120" s="7" t="n">
        <v>1117</v>
      </c>
      <c r="B1120" s="8" t="inlineStr">
        <is>
          <t xml:space="preserve">            log("\n阶段3: GUI交互测试")</t>
        </is>
      </c>
    </row>
    <row r="1121">
      <c r="A1121" s="9" t="n">
        <v>1118</v>
      </c>
      <c r="B1121" s="10" t="inlineStr">
        <is>
          <t xml:space="preserve">            gui_results = self.gui.gui_test_cycle()</t>
        </is>
      </c>
    </row>
    <row r="1122">
      <c r="A1122" s="7" t="n">
        <v>1119</v>
      </c>
      <c r="B1122" s="8" t="inlineStr">
        <is>
          <t xml:space="preserve">            test_results.extend(gui_results)</t>
        </is>
      </c>
    </row>
    <row r="1123">
      <c r="A1123" s="9" t="n">
        <v>1120</v>
      </c>
      <c r="B1123" s="10" t="inlineStr"/>
    </row>
    <row r="1124">
      <c r="A1124" s="7" t="n">
        <v>1121</v>
      </c>
      <c r="B1124" s="8" t="inlineStr">
        <is>
          <t xml:space="preserve">        # ── 记录迭代历史 ──</t>
        </is>
      </c>
    </row>
    <row r="1125">
      <c r="A1125" s="9" t="n">
        <v>1122</v>
      </c>
      <c r="B1125" s="10" t="inlineStr">
        <is>
          <t xml:space="preserve">        overall_success = len(errors_found) == 0 or all(</t>
        </is>
      </c>
    </row>
    <row r="1126">
      <c r="A1126" s="7" t="n">
        <v>1123</v>
      </c>
      <c r="B1126" s="8" t="inlineStr">
        <is>
          <t xml:space="preserve">            f.get("applied", False) for f in fixes_applied</t>
        </is>
      </c>
    </row>
    <row r="1127">
      <c r="A1127" s="9" t="n">
        <v>1124</v>
      </c>
      <c r="B1127" s="10" t="inlineStr">
        <is>
          <t xml:space="preserve">        )</t>
        </is>
      </c>
    </row>
    <row r="1128">
      <c r="A1128" s="7" t="n">
        <v>1125</v>
      </c>
      <c r="B1128" s="8" t="inlineStr">
        <is>
          <t xml:space="preserve">        self.history.add(iter_num, test_results, errors_found, fixes_applied, overall_success)</t>
        </is>
      </c>
    </row>
    <row r="1129">
      <c r="A1129" s="9" t="n">
        <v>1126</v>
      </c>
      <c r="B1129" s="10" t="inlineStr"/>
    </row>
    <row r="1130">
      <c r="A1130" s="7" t="n">
        <v>1127</v>
      </c>
      <c r="B1130" s="8" t="inlineStr">
        <is>
          <t xml:space="preserve">        # 汇总</t>
        </is>
      </c>
    </row>
    <row r="1131">
      <c r="A1131" s="9" t="n">
        <v>1128</v>
      </c>
      <c r="B1131" s="10" t="inlineStr">
        <is>
          <t xml:space="preserve">        stats = self.history.get_stats()</t>
        </is>
      </c>
    </row>
    <row r="1132">
      <c r="A1132" s="7" t="n">
        <v>1129</v>
      </c>
      <c r="B1132" s="8" t="inlineStr">
        <is>
          <t xml:space="preserve">        log(f"\n迭代 #{iter_num} 完成")</t>
        </is>
      </c>
    </row>
    <row r="1133">
      <c r="A1133" s="9" t="n">
        <v>1130</v>
      </c>
      <c r="B1133" s="10" t="inlineStr">
        <is>
          <t xml:space="preserve">        log(f"  测试: {len(test_results)}项 | 错误: {len(errors_found)}项 | 修复: {len(fixes_applied)}项")</t>
        </is>
      </c>
    </row>
    <row r="1134">
      <c r="A1134" s="7" t="n">
        <v>1131</v>
      </c>
      <c r="B1134" s="8" t="inlineStr">
        <is>
          <t xml:space="preserve">        log(f"  累计: {stats['total_iterations']}次迭代, 成功率{stats['success_rate']}")</t>
        </is>
      </c>
    </row>
    <row r="1135">
      <c r="A1135" s="9" t="n">
        <v>1132</v>
      </c>
      <c r="B1135" s="10" t="inlineStr"/>
    </row>
    <row r="1136">
      <c r="A1136" s="7" t="n">
        <v>1133</v>
      </c>
      <c r="B1136" s="8" t="inlineStr">
        <is>
          <t xml:space="preserve">        return overall_success</t>
        </is>
      </c>
    </row>
    <row r="1137">
      <c r="A1137" s="9" t="n">
        <v>1134</v>
      </c>
      <c r="B1137" s="10" t="inlineStr"/>
    </row>
    <row r="1138">
      <c r="A1138" s="7" t="n">
        <v>1135</v>
      </c>
      <c r="B1138" s="8" t="inlineStr">
        <is>
          <t xml:space="preserve">    def run(self):</t>
        </is>
      </c>
    </row>
    <row r="1139">
      <c r="A1139" s="9" t="n">
        <v>1136</v>
      </c>
      <c r="B1139" s="10" t="inlineStr">
        <is>
          <t xml:space="preserve">        """主循环"""</t>
        </is>
      </c>
    </row>
    <row r="1140">
      <c r="A1140" s="7" t="n">
        <v>1137</v>
      </c>
      <c r="B1140" s="8" t="inlineStr">
        <is>
          <t xml:space="preserve">        log("树剪 自进化系统 启动")</t>
        </is>
      </c>
    </row>
    <row r="1141">
      <c r="A1141" s="9" t="n">
        <v>1138</v>
      </c>
      <c r="B1141" s="10" t="inlineStr">
        <is>
          <t xml:space="preserve">        log(f"  AI模式: {'已启用(DeepSeek)' if HAS_AI else '规则模式'}")</t>
        </is>
      </c>
    </row>
    <row r="1142">
      <c r="A1142" s="7" t="n">
        <v>1139</v>
      </c>
      <c r="B1142" s="8" t="inlineStr">
        <is>
          <t xml:space="preserve">        log(f"  GUI模式: {'已启用' if (self.gui and self.gui.available) else 'CLI模式'}")</t>
        </is>
      </c>
    </row>
    <row r="1143">
      <c r="A1143" s="9" t="n">
        <v>1140</v>
      </c>
      <c r="B1143" s="10" t="inlineStr">
        <is>
          <t xml:space="preserve">        log(f"  最大迭代: {self.max_loops if self.max_loops &gt; 0 else '无限'}")</t>
        </is>
      </c>
    </row>
    <row r="1144">
      <c r="A1144" s="7" t="n">
        <v>1141</v>
      </c>
      <c r="B1144" s="8" t="inlineStr">
        <is>
          <t xml:space="preserve">        log(f"  备份目录: {BACKUP_DIR}")</t>
        </is>
      </c>
    </row>
    <row r="1145">
      <c r="A1145" s="9" t="n">
        <v>1142</v>
      </c>
      <c r="B1145" s="10" t="inlineStr"/>
    </row>
    <row r="1146">
      <c r="A1146" s="7" t="n">
        <v>1143</v>
      </c>
      <c r="B1146" s="8" t="inlineStr">
        <is>
          <t xml:space="preserve">        global _running</t>
        </is>
      </c>
    </row>
    <row r="1147">
      <c r="A1147" s="9" t="n">
        <v>1144</v>
      </c>
      <c r="B1147" s="10" t="inlineStr">
        <is>
          <t xml:space="preserve">        _running = True</t>
        </is>
      </c>
    </row>
    <row r="1148">
      <c r="A1148" s="7" t="n">
        <v>1145</v>
      </c>
      <c r="B1148" s="8" t="inlineStr"/>
    </row>
    <row r="1149">
      <c r="A1149" s="9" t="n">
        <v>1146</v>
      </c>
      <c r="B1149" s="10" t="inlineStr">
        <is>
          <t xml:space="preserve">        try:</t>
        </is>
      </c>
    </row>
    <row r="1150">
      <c r="A1150" s="7" t="n">
        <v>1147</v>
      </c>
      <c r="B1150" s="8" t="inlineStr">
        <is>
          <t xml:space="preserve">            while _running:</t>
        </is>
      </c>
    </row>
    <row r="1151">
      <c r="A1151" s="9" t="n">
        <v>1148</v>
      </c>
      <c r="B1151" s="10" t="inlineStr">
        <is>
          <t xml:space="preserve">                success = self.run_once()</t>
        </is>
      </c>
    </row>
    <row r="1152">
      <c r="A1152" s="7" t="n">
        <v>1149</v>
      </c>
      <c r="B1152" s="8" t="inlineStr"/>
    </row>
    <row r="1153">
      <c r="A1153" s="9" t="n">
        <v>1150</v>
      </c>
      <c r="B1153" s="10" t="inlineStr">
        <is>
          <t xml:space="preserve">                if self.max_loops &gt; 0 and _iteration &gt;= self.max_loops:</t>
        </is>
      </c>
    </row>
    <row r="1154">
      <c r="A1154" s="7" t="n">
        <v>1151</v>
      </c>
      <c r="B1154" s="8" t="inlineStr">
        <is>
          <t xml:space="preserve">                    log(f"\n已达到最大迭代次数({self.max_loops})，退出。")</t>
        </is>
      </c>
    </row>
    <row r="1155">
      <c r="A1155" s="9" t="n">
        <v>1152</v>
      </c>
      <c r="B1155" s="10" t="inlineStr">
        <is>
          <t xml:space="preserve">                    break</t>
        </is>
      </c>
    </row>
    <row r="1156">
      <c r="A1156" s="7" t="n">
        <v>1153</v>
      </c>
      <c r="B1156" s="8" t="inlineStr"/>
    </row>
    <row r="1157">
      <c r="A1157" s="9" t="n">
        <v>1154</v>
      </c>
      <c r="B1157" s="10" t="inlineStr">
        <is>
          <t xml:space="preserve">                # 等待下一次迭代</t>
        </is>
      </c>
    </row>
    <row r="1158">
      <c r="A1158" s="7" t="n">
        <v>1155</v>
      </c>
      <c r="B1158" s="8" t="inlineStr">
        <is>
          <t xml:space="preserve">                wait = random.randint(30, 120)</t>
        </is>
      </c>
    </row>
    <row r="1159">
      <c r="A1159" s="9" t="n">
        <v>1156</v>
      </c>
      <c r="B1159" s="10" t="inlineStr">
        <is>
          <t xml:space="preserve">                log(f"\n等待 {wait}s 后开始下一次迭代... (Ctrl+C 退出)\n")</t>
        </is>
      </c>
    </row>
    <row r="1160">
      <c r="A1160" s="7" t="n">
        <v>1157</v>
      </c>
      <c r="B1160" s="8" t="inlineStr">
        <is>
          <t xml:space="preserve">                for _ in range(wait):</t>
        </is>
      </c>
    </row>
    <row r="1161">
      <c r="A1161" s="9" t="n">
        <v>1158</v>
      </c>
      <c r="B1161" s="10" t="inlineStr">
        <is>
          <t xml:space="preserve">                    if not _running:</t>
        </is>
      </c>
    </row>
    <row r="1162">
      <c r="A1162" s="7" t="n">
        <v>1159</v>
      </c>
      <c r="B1162" s="8" t="inlineStr">
        <is>
          <t xml:space="preserve">                        break</t>
        </is>
      </c>
    </row>
    <row r="1163">
      <c r="A1163" s="9" t="n">
        <v>1160</v>
      </c>
      <c r="B1163" s="10" t="inlineStr">
        <is>
          <t xml:space="preserve">                    time.sleep(1)</t>
        </is>
      </c>
    </row>
    <row r="1164">
      <c r="A1164" s="7" t="n">
        <v>1161</v>
      </c>
      <c r="B1164" s="8" t="inlineStr"/>
    </row>
    <row r="1165">
      <c r="A1165" s="9" t="n">
        <v>1162</v>
      </c>
      <c r="B1165" s="10" t="inlineStr">
        <is>
          <t xml:space="preserve">        except KeyboardInterrupt:</t>
        </is>
      </c>
    </row>
    <row r="1166">
      <c r="A1166" s="7" t="n">
        <v>1163</v>
      </c>
      <c r="B1166" s="8" t="inlineStr">
        <is>
          <t xml:space="preserve">            log("\n收到中断信号，正在优雅退出...")</t>
        </is>
      </c>
    </row>
    <row r="1167">
      <c r="A1167" s="9" t="n">
        <v>1164</v>
      </c>
      <c r="B1167" s="10" t="inlineStr">
        <is>
          <t xml:space="preserve">        finally:</t>
        </is>
      </c>
    </row>
    <row r="1168">
      <c r="A1168" s="7" t="n">
        <v>1165</v>
      </c>
      <c r="B1168" s="8" t="inlineStr">
        <is>
          <t xml:space="preserve">            _running = False</t>
        </is>
      </c>
    </row>
    <row r="1169">
      <c r="A1169" s="9" t="n">
        <v>1166</v>
      </c>
      <c r="B1169" s="10" t="inlineStr">
        <is>
          <t xml:space="preserve">            if self.pm.is_alive:</t>
        </is>
      </c>
    </row>
    <row r="1170">
      <c r="A1170" s="7" t="n">
        <v>1167</v>
      </c>
      <c r="B1170" s="8" t="inlineStr">
        <is>
          <t xml:space="preserve">                self.pm.stop()</t>
        </is>
      </c>
    </row>
    <row r="1171">
      <c r="A1171" s="9" t="n">
        <v>1168</v>
      </c>
      <c r="B1171" s="10" t="inlineStr">
        <is>
          <t xml:space="preserve">            log(f"自进化系统停止。总计 {_iteration} 次迭代。")</t>
        </is>
      </c>
    </row>
    <row r="1172">
      <c r="A1172" s="7" t="n">
        <v>1169</v>
      </c>
      <c r="B1172" s="8" t="inlineStr">
        <is>
          <t xml:space="preserve">            stats = self.history.get_stats()</t>
        </is>
      </c>
    </row>
    <row r="1173">
      <c r="A1173" s="9" t="n">
        <v>1170</v>
      </c>
      <c r="B1173" s="10" t="inlineStr">
        <is>
          <t xml:space="preserve">            log(f"最终统计: {json.dumps(stats, ensure_ascii=False)}")</t>
        </is>
      </c>
    </row>
    <row r="1174">
      <c r="A1174" s="7" t="n">
        <v>1171</v>
      </c>
      <c r="B1174" s="8" t="inlineStr"/>
    </row>
    <row r="1175">
      <c r="A1175" s="9" t="n">
        <v>1172</v>
      </c>
      <c r="B1175" s="10" t="inlineStr"/>
    </row>
    <row r="1176">
      <c r="A1176" s="7" t="n">
        <v>1173</v>
      </c>
      <c r="B1176" s="8" t="inlineStr">
        <is>
          <t># ═══════════════════════════════════════════════════</t>
        </is>
      </c>
    </row>
    <row r="1177">
      <c r="A1177" s="9" t="n">
        <v>1174</v>
      </c>
      <c r="B1177" s="10" t="inlineStr">
        <is>
          <t># 入口</t>
        </is>
      </c>
    </row>
    <row r="1178">
      <c r="A1178" s="7" t="n">
        <v>1175</v>
      </c>
      <c r="B1178" s="8" t="inlineStr">
        <is>
          <t># ═══════════════════════════════════════════════════</t>
        </is>
      </c>
    </row>
    <row r="1179">
      <c r="A1179" s="9" t="n">
        <v>1176</v>
      </c>
      <c r="B1179" s="10" t="inlineStr"/>
    </row>
    <row r="1180">
      <c r="A1180" s="7" t="n">
        <v>1177</v>
      </c>
      <c r="B1180" s="8" t="inlineStr">
        <is>
          <t>def main():</t>
        </is>
      </c>
    </row>
    <row r="1181">
      <c r="A1181" s="9" t="n">
        <v>1178</v>
      </c>
      <c r="B1181" s="10" t="inlineStr">
        <is>
          <t xml:space="preserve">    parser = argparse.ArgumentParser(description="树剪 TreeCut 自进化系统")</t>
        </is>
      </c>
    </row>
    <row r="1182">
      <c r="A1182" s="7" t="n">
        <v>1179</v>
      </c>
      <c r="B1182" s="8" t="inlineStr">
        <is>
          <t xml:space="preserve">    parser.add_argument("--calibrate", action="store_true", help="GUI坐标校准模式")</t>
        </is>
      </c>
    </row>
    <row r="1183">
      <c r="A1183" s="9" t="n">
        <v>1180</v>
      </c>
      <c r="B1183" s="10" t="inlineStr">
        <is>
          <t xml:space="preserve">    parser.add_argument("--once", action="store_true", help="只运行一次迭代")</t>
        </is>
      </c>
    </row>
    <row r="1184">
      <c r="A1184" s="7" t="n">
        <v>1181</v>
      </c>
      <c r="B1184" s="8" t="inlineStr">
        <is>
          <t xml:space="preserve">    parser.add_argument("--max-loops", type=int, default=0, help="最大迭代次数(0=无限)")</t>
        </is>
      </c>
    </row>
    <row r="1185">
      <c r="A1185" s="9" t="n">
        <v>1182</v>
      </c>
      <c r="B1185" s="10" t="inlineStr">
        <is>
          <t xml:space="preserve">    parser.add_argument("--gui", action="store_true", help="启用GUI自动化测试")</t>
        </is>
      </c>
    </row>
    <row r="1186">
      <c r="A1186" s="7" t="n">
        <v>1183</v>
      </c>
      <c r="B1186" s="8" t="inlineStr">
        <is>
          <t xml:space="preserve">    parser.add_argument("--stats", action="store_true", help="只显示历史统计")</t>
        </is>
      </c>
    </row>
    <row r="1187">
      <c r="A1187" s="9" t="n">
        <v>1184</v>
      </c>
      <c r="B1187" s="10" t="inlineStr">
        <is>
          <t xml:space="preserve">    args = parser.parse_args()</t>
        </is>
      </c>
    </row>
    <row r="1188">
      <c r="A1188" s="7" t="n">
        <v>1185</v>
      </c>
      <c r="B1188" s="8" t="inlineStr"/>
    </row>
    <row r="1189">
      <c r="A1189" s="9" t="n">
        <v>1186</v>
      </c>
      <c r="B1189" s="10" t="inlineStr">
        <is>
          <t xml:space="preserve">    if args.stats:</t>
        </is>
      </c>
    </row>
    <row r="1190">
      <c r="A1190" s="7" t="n">
        <v>1187</v>
      </c>
      <c r="B1190" s="8" t="inlineStr">
        <is>
          <t xml:space="preserve">        h = IterationHistory()</t>
        </is>
      </c>
    </row>
    <row r="1191">
      <c r="A1191" s="9" t="n">
        <v>1188</v>
      </c>
      <c r="B1191" s="10" t="inlineStr">
        <is>
          <t xml:space="preserve">        print(json.dumps(h.get_stats(), ensure_ascii=False, indent=2))</t>
        </is>
      </c>
    </row>
    <row r="1192">
      <c r="A1192" s="7" t="n">
        <v>1189</v>
      </c>
      <c r="B1192" s="8" t="inlineStr">
        <is>
          <t xml:space="preserve">        return</t>
        </is>
      </c>
    </row>
    <row r="1193">
      <c r="A1193" s="9" t="n">
        <v>1190</v>
      </c>
      <c r="B1193" s="10" t="inlineStr"/>
    </row>
    <row r="1194">
      <c r="A1194" s="7" t="n">
        <v>1191</v>
      </c>
      <c r="B1194" s="8" t="inlineStr">
        <is>
          <t xml:space="preserve">    if args.calibrate:</t>
        </is>
      </c>
    </row>
    <row r="1195">
      <c r="A1195" s="9" t="n">
        <v>1192</v>
      </c>
      <c r="B1195" s="10" t="inlineStr">
        <is>
          <t xml:space="preserve">        g = GUIAutomator()</t>
        </is>
      </c>
    </row>
    <row r="1196">
      <c r="A1196" s="7" t="n">
        <v>1193</v>
      </c>
      <c r="B1196" s="8" t="inlineStr">
        <is>
          <t xml:space="preserve">        if g.available:</t>
        </is>
      </c>
    </row>
    <row r="1197">
      <c r="A1197" s="9" t="n">
        <v>1194</v>
      </c>
      <c r="B1197" s="10" t="inlineStr">
        <is>
          <t xml:space="preserve">            g.calibrate()</t>
        </is>
      </c>
    </row>
    <row r="1198">
      <c r="A1198" s="7" t="n">
        <v>1195</v>
      </c>
      <c r="B1198" s="8" t="inlineStr">
        <is>
          <t xml:space="preserve">        else:</t>
        </is>
      </c>
    </row>
    <row r="1199">
      <c r="A1199" s="9" t="n">
        <v>1196</v>
      </c>
      <c r="B1199" s="10" t="inlineStr">
        <is>
          <t xml:space="preserve">            print("GUI自动化库未安装。请先运行: pip install pyautogui pygetwindow")</t>
        </is>
      </c>
    </row>
    <row r="1200">
      <c r="A1200" s="7" t="n">
        <v>1197</v>
      </c>
      <c r="B1200" s="8" t="inlineStr">
        <is>
          <t xml:space="preserve">        return</t>
        </is>
      </c>
    </row>
    <row r="1201">
      <c r="A1201" s="9" t="n">
        <v>1198</v>
      </c>
      <c r="B1201" s="10" t="inlineStr"/>
    </row>
    <row r="1202">
      <c r="A1202" s="7" t="n">
        <v>1199</v>
      </c>
      <c r="B1202" s="8" t="inlineStr">
        <is>
          <t xml:space="preserve">    evolver = SelfEvolver(</t>
        </is>
      </c>
    </row>
    <row r="1203">
      <c r="A1203" s="9" t="n">
        <v>1200</v>
      </c>
      <c r="B1203" s="10" t="inlineStr">
        <is>
          <t xml:space="preserve">        max_loops=1 if args.once else args.max_loops,</t>
        </is>
      </c>
    </row>
    <row r="1204">
      <c r="A1204" s="7" t="n">
        <v>1201</v>
      </c>
      <c r="B1204" s="8" t="inlineStr">
        <is>
          <t xml:space="preserve">        gui_mode=args.gui,</t>
        </is>
      </c>
    </row>
    <row r="1205">
      <c r="A1205" s="9" t="n">
        <v>1202</v>
      </c>
      <c r="B1205" s="10" t="inlineStr">
        <is>
          <t xml:space="preserve">    )</t>
        </is>
      </c>
    </row>
    <row r="1206">
      <c r="A1206" s="7" t="n">
        <v>1203</v>
      </c>
      <c r="B1206" s="8" t="inlineStr">
        <is>
          <t xml:space="preserve">    evolver.run()</t>
        </is>
      </c>
    </row>
    <row r="1207">
      <c r="A1207" s="9" t="n">
        <v>1204</v>
      </c>
      <c r="B1207" s="10" t="inlineStr"/>
    </row>
    <row r="1208">
      <c r="A1208" s="7" t="n">
        <v>1205</v>
      </c>
      <c r="B1208" s="8" t="inlineStr"/>
    </row>
    <row r="1209">
      <c r="A1209" s="9" t="n">
        <v>1206</v>
      </c>
      <c r="B1209" s="10" t="inlineStr">
        <is>
          <t>if __name__ == "__main__":</t>
        </is>
      </c>
    </row>
    <row r="1210">
      <c r="A1210" s="7" t="n">
        <v>1207</v>
      </c>
      <c r="B1210" s="8" t="inlineStr">
        <is>
          <t xml:space="preserve">    main()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setup_wizard.py</t>
        </is>
      </c>
      <c r="C1" s="5" t="inlineStr">
        <is>
          <t>行数: 205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TreeCut — 首次运行配置向导</t>
        </is>
      </c>
    </row>
    <row r="7">
      <c r="A7" s="9" t="n">
        <v>4</v>
      </c>
      <c r="B7" s="10" t="inlineStr">
        <is>
          <t>引导用户完成: API Key、素材路径、BGM路径 等配置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用法:</t>
        </is>
      </c>
    </row>
    <row r="10">
      <c r="A10" s="7" t="n">
        <v>7</v>
      </c>
      <c r="B10" s="8" t="inlineStr">
        <is>
          <t xml:space="preserve">  python setup_wizard.py          # 图形向导</t>
        </is>
      </c>
    </row>
    <row r="11">
      <c r="A11" s="9" t="n">
        <v>8</v>
      </c>
      <c r="B11" s="10" t="inlineStr">
        <is>
          <t xml:space="preserve">  tree_cut_app.py --setup         # 从主程序触发</t>
        </is>
      </c>
    </row>
    <row r="12">
      <c r="A12" s="7" t="n">
        <v>9</v>
      </c>
      <c r="B12" s="8" t="inlineStr">
        <is>
          <t>"""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import os, sys, json</t>
        </is>
      </c>
    </row>
    <row r="15">
      <c r="A15" s="9" t="n">
        <v>12</v>
      </c>
      <c r="B15" s="10" t="inlineStr">
        <is>
          <t>from pathlib import Path</t>
        </is>
      </c>
    </row>
    <row r="16">
      <c r="A16" s="7" t="n">
        <v>13</v>
      </c>
      <c r="B16" s="8" t="inlineStr">
        <is>
          <t>import tkinter as tk</t>
        </is>
      </c>
    </row>
    <row r="17">
      <c r="A17" s="9" t="n">
        <v>14</v>
      </c>
      <c r="B17" s="10" t="inlineStr">
        <is>
          <t>from tkinter import ttk, messagebox, filedialog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PROJECT_ROOT = Path(__file__).parent</t>
        </is>
      </c>
    </row>
    <row r="20">
      <c r="A20" s="7" t="n">
        <v>17</v>
      </c>
      <c r="B20" s="8" t="inlineStr">
        <is>
          <t>ENV_FILE = PROJECT_ROOT / ".env"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># 导入核心配置的默认值（单一来源，避免与 config.py 重复）</t>
        </is>
      </c>
    </row>
    <row r="23">
      <c r="A23" s="9" t="n">
        <v>20</v>
      </c>
      <c r="B23" s="10" t="inlineStr">
        <is>
          <t>try:</t>
        </is>
      </c>
    </row>
    <row r="24">
      <c r="A24" s="7" t="n">
        <v>21</v>
      </c>
      <c r="B24" s="8" t="inlineStr">
        <is>
          <t xml:space="preserve">    from core.config import DEFAULTS as _cfg_defaults</t>
        </is>
      </c>
    </row>
    <row r="25">
      <c r="A25" s="9" t="n">
        <v>22</v>
      </c>
      <c r="B25" s="10" t="inlineStr">
        <is>
          <t xml:space="preserve">    _D = lambda key, fb: _cfg_defaults.get(key, fb)</t>
        </is>
      </c>
    </row>
    <row r="26">
      <c r="A26" s="7" t="n">
        <v>23</v>
      </c>
      <c r="B26" s="8" t="inlineStr">
        <is>
          <t>except Exception:</t>
        </is>
      </c>
    </row>
    <row r="27">
      <c r="A27" s="9" t="n">
        <v>24</v>
      </c>
      <c r="B27" s="10" t="inlineStr">
        <is>
          <t xml:space="preserve">    _cfg_defaults = {}</t>
        </is>
      </c>
    </row>
    <row r="28">
      <c r="A28" s="7" t="n">
        <v>25</v>
      </c>
      <c r="B28" s="8" t="inlineStr">
        <is>
          <t xml:space="preserve">    _D = lambda key, fb: fb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class SetupWizard:</t>
        </is>
      </c>
    </row>
    <row r="31">
      <c r="A31" s="9" t="n">
        <v>28</v>
      </c>
      <c r="B31" s="10" t="inlineStr">
        <is>
          <t xml:space="preserve">    def __init__(self):</t>
        </is>
      </c>
    </row>
    <row r="32">
      <c r="A32" s="7" t="n">
        <v>29</v>
      </c>
      <c r="B32" s="8" t="inlineStr">
        <is>
          <t xml:space="preserve">        self.root = tk.Tk()</t>
        </is>
      </c>
    </row>
    <row r="33">
      <c r="A33" s="9" t="n">
        <v>30</v>
      </c>
      <c r="B33" s="10" t="inlineStr">
        <is>
          <t xml:space="preserve">        self.root.title("树剪 TreeCut — 首次配置向导")</t>
        </is>
      </c>
    </row>
    <row r="34">
      <c r="A34" s="7" t="n">
        <v>31</v>
      </c>
      <c r="B34" s="8" t="inlineStr">
        <is>
          <t xml:space="preserve">        self.root.geometry("620x520")</t>
        </is>
      </c>
    </row>
    <row r="35">
      <c r="A35" s="9" t="n">
        <v>32</v>
      </c>
      <c r="B35" s="10" t="inlineStr">
        <is>
          <t xml:space="preserve">        self.root.resizable(False, False)</t>
        </is>
      </c>
    </row>
    <row r="36">
      <c r="A36" s="7" t="n">
        <v>33</v>
      </c>
      <c r="B36" s="8" t="inlineStr">
        <is>
          <t xml:space="preserve">        self._center_window()</t>
        </is>
      </c>
    </row>
    <row r="37">
      <c r="A37" s="9" t="n">
        <v>34</v>
      </c>
      <c r="B37" s="10" t="inlineStr">
        <is>
          <t xml:space="preserve">        self._build_ui()</t>
        </is>
      </c>
    </row>
    <row r="38">
      <c r="A38" s="7" t="n">
        <v>35</v>
      </c>
      <c r="B38" s="8" t="inlineStr">
        <is>
          <t xml:space="preserve">        self._load_existing()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 xml:space="preserve">    def _center_window(self):</t>
        </is>
      </c>
    </row>
    <row r="41">
      <c r="A41" s="9" t="n">
        <v>38</v>
      </c>
      <c r="B41" s="10" t="inlineStr">
        <is>
          <t xml:space="preserve">        self.root.update_idletasks()</t>
        </is>
      </c>
    </row>
    <row r="42">
      <c r="A42" s="7" t="n">
        <v>39</v>
      </c>
      <c r="B42" s="8" t="inlineStr">
        <is>
          <t xml:space="preserve">        sw = self.root.winfo_screenwidth()</t>
        </is>
      </c>
    </row>
    <row r="43">
      <c r="A43" s="9" t="n">
        <v>40</v>
      </c>
      <c r="B43" s="10" t="inlineStr">
        <is>
          <t xml:space="preserve">        sh = self.root.winfo_screenheight()</t>
        </is>
      </c>
    </row>
    <row r="44">
      <c r="A44" s="7" t="n">
        <v>41</v>
      </c>
      <c r="B44" s="8" t="inlineStr">
        <is>
          <t xml:space="preserve">        w, h = 620, 520</t>
        </is>
      </c>
    </row>
    <row r="45">
      <c r="A45" s="9" t="n">
        <v>42</v>
      </c>
      <c r="B45" s="10" t="inlineStr">
        <is>
          <t xml:space="preserve">        self.root.geometry(f"{w}x{h}+{(sw-w)//2}+{(sh-h)//3}")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def _load_existing(self):</t>
        </is>
      </c>
    </row>
    <row r="48">
      <c r="A48" s="7" t="n">
        <v>45</v>
      </c>
      <c r="B48" s="8" t="inlineStr">
        <is>
          <t xml:space="preserve">        """加载已有的 .env 配置"""</t>
        </is>
      </c>
    </row>
    <row r="49">
      <c r="A49" s="9" t="n">
        <v>46</v>
      </c>
      <c r="B49" s="10" t="inlineStr">
        <is>
          <t xml:space="preserve">        if ENV_FILE.exists():</t>
        </is>
      </c>
    </row>
    <row r="50">
      <c r="A50" s="7" t="n">
        <v>47</v>
      </c>
      <c r="B50" s="8" t="inlineStr">
        <is>
          <t xml:space="preserve">            for line in ENV_FILE.read_text(encoding="utf-8").split("\n"):</t>
        </is>
      </c>
    </row>
    <row r="51">
      <c r="A51" s="9" t="n">
        <v>48</v>
      </c>
      <c r="B51" s="10" t="inlineStr">
        <is>
          <t xml:space="preserve">                line = line.strip()</t>
        </is>
      </c>
    </row>
    <row r="52">
      <c r="A52" s="7" t="n">
        <v>49</v>
      </c>
      <c r="B52" s="8" t="inlineStr">
        <is>
          <t xml:space="preserve">                if "=" in line and not line.startswith("#"):</t>
        </is>
      </c>
    </row>
    <row r="53">
      <c r="A53" s="9" t="n">
        <v>50</v>
      </c>
      <c r="B53" s="10" t="inlineStr">
        <is>
          <t xml:space="preserve">                    key, val = line.split("=", 1)</t>
        </is>
      </c>
    </row>
    <row r="54">
      <c r="A54" s="7" t="n">
        <v>51</v>
      </c>
      <c r="B54" s="8" t="inlineStr">
        <is>
          <t xml:space="preserve">                    key, val = key.strip(), val.strip().strip('"')</t>
        </is>
      </c>
    </row>
    <row r="55">
      <c r="A55" s="9" t="n">
        <v>52</v>
      </c>
      <c r="B55" s="10" t="inlineStr">
        <is>
          <t xml:space="preserve">                    if key in self._entries:</t>
        </is>
      </c>
    </row>
    <row r="56">
      <c r="A56" s="7" t="n">
        <v>53</v>
      </c>
      <c r="B56" s="8" t="inlineStr">
        <is>
          <t xml:space="preserve">                        self._entries[key].delete(0, "end")</t>
        </is>
      </c>
    </row>
    <row r="57">
      <c r="A57" s="9" t="n">
        <v>54</v>
      </c>
      <c r="B57" s="10" t="inlineStr">
        <is>
          <t xml:space="preserve">                        self._entries[key].insert(0, val)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 xml:space="preserve">    def _build_ui(self):</t>
        </is>
      </c>
    </row>
    <row r="60">
      <c r="A60" s="7" t="n">
        <v>57</v>
      </c>
      <c r="B60" s="8" t="inlineStr">
        <is>
          <t xml:space="preserve">        self._entries = {}</t>
        </is>
      </c>
    </row>
    <row r="61">
      <c r="A61" s="9" t="n">
        <v>58</v>
      </c>
      <c r="B61" s="10" t="inlineStr">
        <is>
          <t xml:space="preserve">        frame = ttk.Frame(self.root, padding=20)</t>
        </is>
      </c>
    </row>
    <row r="62">
      <c r="A62" s="7" t="n">
        <v>59</v>
      </c>
      <c r="B62" s="8" t="inlineStr">
        <is>
          <t xml:space="preserve">        frame.pack(fill="both", expand=True)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    ttk.Label(frame, text="树剪 TreeCut v10.3", font=("Microsoft YaHei", 18, "bold")).pack(pady=(0, 5))</t>
        </is>
      </c>
    </row>
    <row r="65">
      <c r="A65" s="9" t="n">
        <v>62</v>
      </c>
      <c r="B65" s="10" t="inlineStr">
        <is>
          <t xml:space="preserve">        ttk.Label(frame, text="首次使用前，请完成以下配置。留空则使用默认值。",</t>
        </is>
      </c>
    </row>
    <row r="66">
      <c r="A66" s="7" t="n">
        <v>63</v>
      </c>
      <c r="B66" s="8" t="inlineStr">
        <is>
          <t xml:space="preserve">                  foreground="gray").pack(pady=(0, 15))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 xml:space="preserve">        notebook = ttk.Notebook(frame)</t>
        </is>
      </c>
    </row>
    <row r="69">
      <c r="A69" s="9" t="n">
        <v>66</v>
      </c>
      <c r="B69" s="10" t="inlineStr">
        <is>
          <t xml:space="preserve">        notebook.pack(fill="both", expand=True)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    # === Tab 1: API Key ===</t>
        </is>
      </c>
    </row>
    <row r="72">
      <c r="A72" s="7" t="n">
        <v>69</v>
      </c>
      <c r="B72" s="8" t="inlineStr">
        <is>
          <t xml:space="preserve">        t1 = ttk.Frame(notebook, padding=15)</t>
        </is>
      </c>
    </row>
    <row r="73">
      <c r="A73" s="9" t="n">
        <v>70</v>
      </c>
      <c r="B73" s="10" t="inlineStr">
        <is>
          <t xml:space="preserve">        notebook.add(t1, text="API Key")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    self._add_field(t1, "DEEPSEEK_API_KEY", "DeepSeek API Key *",</t>
        </is>
      </c>
    </row>
    <row r="76">
      <c r="A76" s="7" t="n">
        <v>73</v>
      </c>
      <c r="B76" s="8" t="inlineStr">
        <is>
          <t xml:space="preserve">                       "必填！用于 AI 生成文案。\n获取地址: https://platform.deepseek.com/api_keys", row=0, required=True)</t>
        </is>
      </c>
    </row>
    <row r="77">
      <c r="A77" s="9" t="n">
        <v>74</v>
      </c>
      <c r="B77" s="10" t="inlineStr">
        <is>
          <t xml:space="preserve">        self._add_field(t1, "PIXABAY_API_KEY", "Pixabay API Key (可选)",</t>
        </is>
      </c>
    </row>
    <row r="78">
      <c r="A78" s="7" t="n">
        <v>75</v>
      </c>
      <c r="B78" s="8" t="inlineStr">
        <is>
          <t xml:space="preserve">                       "用于自动下载免费背景音乐。\n获取地址: https://pixabay.com/api/docs/", row=1)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>
        <is>
          <t xml:space="preserve">        # === Tab 2: 素材路径 ===</t>
        </is>
      </c>
    </row>
    <row r="81">
      <c r="A81" s="9" t="n">
        <v>78</v>
      </c>
      <c r="B81" s="10" t="inlineStr">
        <is>
          <t xml:space="preserve">        t2 = ttk.Frame(notebook, padding=15)</t>
        </is>
      </c>
    </row>
    <row r="82">
      <c r="A82" s="7" t="n">
        <v>79</v>
      </c>
      <c r="B82" s="8" t="inlineStr">
        <is>
          <t xml:space="preserve">        notebook.add(t2, text="素材路径")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>
        <is>
          <t xml:space="preserve">        self._add_path_field(t2, "TREECUT_SELLING_DIR", "卖点展示类素材目录",</t>
        </is>
      </c>
    </row>
    <row r="85">
      <c r="A85" s="9" t="n">
        <v>82</v>
      </c>
      <c r="B85" s="10" t="inlineStr">
        <is>
          <t xml:space="preserve">                            _D("TREECUT_SELLING_DIR", r"Z:\已处理素材\卖点展示类素材"), row=0)</t>
        </is>
      </c>
    </row>
    <row r="86">
      <c r="A86" s="7" t="n">
        <v>83</v>
      </c>
      <c r="B86" s="8" t="inlineStr">
        <is>
          <t xml:space="preserve">        self._add_path_field(t2, "TREECUT_EFFECTS_DIR", "效果展示类素材目录",</t>
        </is>
      </c>
    </row>
    <row r="87">
      <c r="A87" s="9" t="n">
        <v>84</v>
      </c>
      <c r="B87" s="10" t="inlineStr">
        <is>
          <t xml:space="preserve">                            _D("TREECUT_EFFECTS_DIR", r"Z:\已处理素材\效果展示类素材"), row=1)</t>
        </is>
      </c>
    </row>
    <row r="88">
      <c r="A88" s="7" t="n">
        <v>85</v>
      </c>
      <c r="B88" s="8" t="inlineStr">
        <is>
          <t xml:space="preserve">        self._add_path_field(t2, "TREECUT_BGROUP_DIR", "B组补充素材目录",</t>
        </is>
      </c>
    </row>
    <row r="89">
      <c r="A89" s="9" t="n">
        <v>86</v>
      </c>
      <c r="B89" s="10" t="inlineStr">
        <is>
          <t xml:space="preserve">                            _D("TREECUT_BGROUP_DIR", r"Z:\B组更新视频"), row=2)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 xml:space="preserve">        # === Tab 3: 输出路径 ===</t>
        </is>
      </c>
    </row>
    <row r="92">
      <c r="A92" s="7" t="n">
        <v>89</v>
      </c>
      <c r="B92" s="8" t="inlineStr">
        <is>
          <t xml:space="preserve">        t3 = ttk.Frame(notebook, padding=15)</t>
        </is>
      </c>
    </row>
    <row r="93">
      <c r="A93" s="9" t="n">
        <v>90</v>
      </c>
      <c r="B93" s="10" t="inlineStr">
        <is>
          <t xml:space="preserve">        notebook.add(t3, text="输出路径")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>
        <is>
          <t xml:space="preserve">        self._add_path_field(t3, "TREECUT_DRAFT_DIR", "草稿输出目录",</t>
        </is>
      </c>
    </row>
    <row r="96">
      <c r="A96" s="7" t="n">
        <v>93</v>
      </c>
      <c r="B96" s="8" t="inlineStr">
        <is>
          <t xml:space="preserve">                            _D("TREECUT_DRAFT_DIR", str(PROJECT_ROOT / "03_粗剪输出")), row=0)</t>
        </is>
      </c>
    </row>
    <row r="97">
      <c r="A97" s="9" t="n">
        <v>94</v>
      </c>
      <c r="B97" s="10" t="inlineStr">
        <is>
          <t xml:space="preserve">        self._add_path_field(t3, "TREECUT_BGM_DIR", "BGM 音乐目录",</t>
        </is>
      </c>
    </row>
    <row r="98">
      <c r="A98" s="7" t="n">
        <v>95</v>
      </c>
      <c r="B98" s="8" t="inlineStr">
        <is>
          <t xml:space="preserve">                            _D("TREECUT_BGM_DIR", str(PROJECT_ROOT / "02_BGM")), row=1)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 xml:space="preserve">        # === Tab 4: 高级 ===</t>
        </is>
      </c>
    </row>
    <row r="101">
      <c r="A101" s="9" t="n">
        <v>98</v>
      </c>
      <c r="B101" s="10" t="inlineStr">
        <is>
          <t xml:space="preserve">        t4 = ttk.Frame(notebook, padding=15)</t>
        </is>
      </c>
    </row>
    <row r="102">
      <c r="A102" s="7" t="n">
        <v>99</v>
      </c>
      <c r="B102" s="8" t="inlineStr">
        <is>
          <t xml:space="preserve">        notebook.add(t4, text="高级")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      self._add_field(t4, "TREECUT_WEB_PORT", "Web 控制台端口",</t>
        </is>
      </c>
    </row>
    <row r="105">
      <c r="A105" s="9" t="n">
        <v>102</v>
      </c>
      <c r="B105" s="10" t="inlineStr">
        <is>
          <t xml:space="preserve">                       "Gradio Web UI 端口号。\n留空默认 7860。设 0 禁用 Web UI。", row=0)</t>
        </is>
      </c>
    </row>
    <row r="106">
      <c r="A106" s="7" t="n">
        <v>103</v>
      </c>
      <c r="B106" s="8" t="inlineStr">
        <is>
          <t xml:space="preserve">        self._add_field(t4, "TREECUT_WEB_TOKEN", "Web 访问令牌",</t>
        </is>
      </c>
    </row>
    <row r="107">
      <c r="A107" s="9" t="n">
        <v>104</v>
      </c>
      <c r="B107" s="10" t="inlineStr">
        <is>
          <t xml:space="preserve">                       "设置后 Web UI 需要密码访问。\n留空则不启用认证。", row=1)</t>
        </is>
      </c>
    </row>
    <row r="108">
      <c r="A108" s="7" t="n">
        <v>105</v>
      </c>
      <c r="B108" s="8" t="inlineStr"/>
    </row>
    <row r="109">
      <c r="A109" s="9" t="n">
        <v>106</v>
      </c>
      <c r="B109" s="10" t="inlineStr">
        <is>
          <t xml:space="preserve">        # === Tab 5: 视觉模型下载 ===</t>
        </is>
      </c>
    </row>
    <row r="110">
      <c r="A110" s="7" t="n">
        <v>107</v>
      </c>
      <c r="B110" s="8" t="inlineStr">
        <is>
          <t xml:space="preserve">        t5 = ttk.Frame(notebook, padding=15); notebook.add(t5, text="视觉模型")</t>
        </is>
      </c>
    </row>
    <row r="111">
      <c r="A111" s="9" t="n">
        <v>108</v>
      </c>
      <c r="B111" s="10" t="inlineStr">
        <is>
          <t xml:space="preserve">        ttk.Label(t5, text="AI 视觉模型下载", font=("Microsoft YaHei", 13, "bold")).pack(anchor="w", pady=5)</t>
        </is>
      </c>
    </row>
    <row r="112">
      <c r="A112" s="7" t="n">
        <v>109</v>
      </c>
      <c r="B112" s="8" t="inlineStr">
        <is>
          <t xml:space="preserve">        self.model_var = tk.StringVar(value=_D("TREECUT_VISION_MODEL", "qwen2.5-ollama"))</t>
        </is>
      </c>
    </row>
    <row r="113">
      <c r="A113" s="9" t="n">
        <v>110</v>
      </c>
      <c r="B113" s="10" t="inlineStr">
        <is>
          <t xml:space="preserve">        for label, key in [("Qwen2.5-VL (Ollama,默认)","qwen2.5-ollama"),("Qwen3-VL-7B (14GB,推荐)","qwen3-7b"),("Qwen3-VL-3B (6GB)","qwen3-3b"),("Kimi-VL (6GB)","kimi-vl"),("Tarsier2 (14GB)","tarsier2"),("Florence-2 (0.5GB)","florence2")]:</t>
        </is>
      </c>
    </row>
    <row r="114">
      <c r="A114" s="7" t="n">
        <v>111</v>
      </c>
      <c r="B114" s="8" t="inlineStr">
        <is>
          <t xml:space="preserve">            ttk.Radiobutton(t5, text=label, variable=self.model_var, value=key).pack(anchor="w", pady=2)</t>
        </is>
      </c>
    </row>
    <row r="115">
      <c r="A115" s="9" t="n">
        <v>112</v>
      </c>
      <c r="B115" s="10" t="inlineStr">
        <is>
          <t xml:space="preserve">        self.model_status = ttk.Label(t5, text="", foreground="gray"); self.model_status.pack(pady=5)</t>
        </is>
      </c>
    </row>
    <row r="116">
      <c r="A116" s="7" t="n">
        <v>113</v>
      </c>
      <c r="B116" s="8" t="inlineStr">
        <is>
          <t xml:space="preserve">        ttk.Button(t5, text="检查状态", command=self._check_models).pack(side="left", padx=4)</t>
        </is>
      </c>
    </row>
    <row r="117">
      <c r="A117" s="9" t="n">
        <v>114</v>
      </c>
      <c r="B117" s="10" t="inlineStr">
        <is>
          <t xml:space="preserve">        ttk.Button(t5, text="下载", command=self._download_model).pack(side="left", padx=4)</t>
        </is>
      </c>
    </row>
    <row r="118">
      <c r="A118" s="7" t="n">
        <v>115</v>
      </c>
      <c r="B118" s="8" t="inlineStr"/>
    </row>
    <row r="119">
      <c r="A119" s="9" t="n">
        <v>116</v>
      </c>
      <c r="B119" s="10" t="inlineStr">
        <is>
          <t xml:space="preserve">        # === 按钮 ===</t>
        </is>
      </c>
    </row>
    <row r="120">
      <c r="A120" s="7" t="n">
        <v>117</v>
      </c>
      <c r="B120" s="8" t="inlineStr">
        <is>
          <t xml:space="preserve">        btn_frame = ttk.Frame(frame)</t>
        </is>
      </c>
    </row>
    <row r="121">
      <c r="A121" s="9" t="n">
        <v>118</v>
      </c>
      <c r="B121" s="10" t="inlineStr">
        <is>
          <t xml:space="preserve">        btn_frame.pack(fill="x", pady=(15, 0))</t>
        </is>
      </c>
    </row>
    <row r="122">
      <c r="A122" s="7" t="n">
        <v>119</v>
      </c>
      <c r="B122" s="8" t="inlineStr">
        <is>
          <t xml:space="preserve">        ttk.Button(btn_frame, text="保存配置 / Save Config",</t>
        </is>
      </c>
    </row>
    <row r="123">
      <c r="A123" s="9" t="n">
        <v>120</v>
      </c>
      <c r="B123" s="10" t="inlineStr">
        <is>
          <t xml:space="preserve">                  command=self._save).pack(side="right", padx=4)</t>
        </is>
      </c>
    </row>
    <row r="124">
      <c r="A124" s="7" t="n">
        <v>121</v>
      </c>
      <c r="B124" s="8" t="inlineStr">
        <is>
          <t xml:space="preserve">        ttk.Button(btn_frame, text="跳过 / Skip",</t>
        </is>
      </c>
    </row>
    <row r="125">
      <c r="A125" s="9" t="n">
        <v>122</v>
      </c>
      <c r="B125" s="10" t="inlineStr">
        <is>
          <t xml:space="preserve">                  command=self.root.destroy).pack(side="right", padx=4)</t>
        </is>
      </c>
    </row>
    <row r="126">
      <c r="A126" s="7" t="n">
        <v>123</v>
      </c>
      <c r="B126" s="8" t="inlineStr"/>
    </row>
    <row r="127">
      <c r="A127" s="9" t="n">
        <v>124</v>
      </c>
      <c r="B127" s="10" t="inlineStr">
        <is>
          <t xml:space="preserve">    def _add_field(self, parent, key, label, help_text, row, required=False):</t>
        </is>
      </c>
    </row>
    <row r="128">
      <c r="A128" s="7" t="n">
        <v>125</v>
      </c>
      <c r="B128" s="8" t="inlineStr">
        <is>
          <t xml:space="preserve">        display_label = label + (" *必填" if required else "")</t>
        </is>
      </c>
    </row>
    <row r="129">
      <c r="A129" s="9" t="n">
        <v>126</v>
      </c>
      <c r="B129" s="10" t="inlineStr">
        <is>
          <t xml:space="preserve">        ttk.Label(parent, text=display_label,</t>
        </is>
      </c>
    </row>
    <row r="130">
      <c r="A130" s="7" t="n">
        <v>127</v>
      </c>
      <c r="B130" s="8" t="inlineStr">
        <is>
          <t xml:space="preserve">                 font=("Microsoft YaHei", 12),</t>
        </is>
      </c>
    </row>
    <row r="131">
      <c r="A131" s="9" t="n">
        <v>128</v>
      </c>
      <c r="B131" s="10" t="inlineStr">
        <is>
          <t xml:space="preserve">                 foreground="red" if required else "black").grid(row=row, column=0, sticky="w", pady=5)</t>
        </is>
      </c>
    </row>
    <row r="132">
      <c r="A132" s="7" t="n">
        <v>129</v>
      </c>
      <c r="B132" s="8" t="inlineStr">
        <is>
          <t xml:space="preserve">        entry = ttk.Entry(parent, width=55)</t>
        </is>
      </c>
    </row>
    <row r="133">
      <c r="A133" s="9" t="n">
        <v>130</v>
      </c>
      <c r="B133" s="10" t="inlineStr">
        <is>
          <t xml:space="preserve">        entry.grid(row=row+1, column=0, sticky="ew", pady=2)</t>
        </is>
      </c>
    </row>
    <row r="134">
      <c r="A134" s="7" t="n">
        <v>131</v>
      </c>
      <c r="B134" s="8" t="inlineStr">
        <is>
          <t xml:space="preserve">        ttk.Label(parent, text=help_text, foreground="gray", font=("Microsoft YaHei", 9)</t>
        </is>
      </c>
    </row>
    <row r="135">
      <c r="A135" s="9" t="n">
        <v>132</v>
      </c>
      <c r="B135" s="10" t="inlineStr">
        <is>
          <t xml:space="preserve">                 ).grid(row=row+2, column=0, sticky="w", pady=(0, 10))</t>
        </is>
      </c>
    </row>
    <row r="136">
      <c r="A136" s="7" t="n">
        <v>133</v>
      </c>
      <c r="B136" s="8" t="inlineStr">
        <is>
          <t xml:space="preserve">        self._entries[key] = entry</t>
        </is>
      </c>
    </row>
    <row r="137">
      <c r="A137" s="9" t="n">
        <v>134</v>
      </c>
      <c r="B137" s="10" t="inlineStr"/>
    </row>
    <row r="138">
      <c r="A138" s="7" t="n">
        <v>135</v>
      </c>
      <c r="B138" s="8" t="inlineStr">
        <is>
          <t xml:space="preserve">    def _add_path_field(self, parent, key, label, default, row):</t>
        </is>
      </c>
    </row>
    <row r="139">
      <c r="A139" s="9" t="n">
        <v>136</v>
      </c>
      <c r="B139" s="10" t="inlineStr">
        <is>
          <t xml:space="preserve">        ttk.Label(parent, text=label, font=("Microsoft YaHei", 12)</t>
        </is>
      </c>
    </row>
    <row r="140">
      <c r="A140" s="7" t="n">
        <v>137</v>
      </c>
      <c r="B140" s="8" t="inlineStr">
        <is>
          <t xml:space="preserve">                 ).grid(row=row, column=0, sticky="w", pady=(10, 2))</t>
        </is>
      </c>
    </row>
    <row r="141">
      <c r="A141" s="9" t="n">
        <v>138</v>
      </c>
      <c r="B141" s="10" t="inlineStr">
        <is>
          <t xml:space="preserve">        entry_frame = ttk.Frame(parent)</t>
        </is>
      </c>
    </row>
    <row r="142">
      <c r="A142" s="7" t="n">
        <v>139</v>
      </c>
      <c r="B142" s="8" t="inlineStr">
        <is>
          <t xml:space="preserve">        entry_frame.grid(row=row+1, column=0, sticky="ew", pady=2)</t>
        </is>
      </c>
    </row>
    <row r="143">
      <c r="A143" s="9" t="n">
        <v>140</v>
      </c>
      <c r="B143" s="10" t="inlineStr">
        <is>
          <t xml:space="preserve">        entry = ttk.Entry(entry_frame, width=42)</t>
        </is>
      </c>
    </row>
    <row r="144">
      <c r="A144" s="7" t="n">
        <v>141</v>
      </c>
      <c r="B144" s="8" t="inlineStr">
        <is>
          <t xml:space="preserve">        entry.pack(side="left", fill="x", expand=True)</t>
        </is>
      </c>
    </row>
    <row r="145">
      <c r="A145" s="9" t="n">
        <v>142</v>
      </c>
      <c r="B145" s="10" t="inlineStr">
        <is>
          <t xml:space="preserve">        entry.insert(0, default)</t>
        </is>
      </c>
    </row>
    <row r="146">
      <c r="A146" s="7" t="n">
        <v>143</v>
      </c>
      <c r="B146" s="8" t="inlineStr">
        <is>
          <t xml:space="preserve">        def _browse():</t>
        </is>
      </c>
    </row>
    <row r="147">
      <c r="A147" s="9" t="n">
        <v>144</v>
      </c>
      <c r="B147" s="10" t="inlineStr">
        <is>
          <t xml:space="preserve">            path = filedialog.askdirectory(title=f"选择: {label}")</t>
        </is>
      </c>
    </row>
    <row r="148">
      <c r="A148" s="7" t="n">
        <v>145</v>
      </c>
      <c r="B148" s="8" t="inlineStr">
        <is>
          <t xml:space="preserve">            if path: entry.delete(0, "end"); entry.insert(0, path)</t>
        </is>
      </c>
    </row>
    <row r="149">
      <c r="A149" s="9" t="n">
        <v>146</v>
      </c>
      <c r="B149" s="10" t="inlineStr">
        <is>
          <t xml:space="preserve">        ttk.Button(entry_frame, text="浏览...", command=_browse).pack(side="left", padx=4)</t>
        </is>
      </c>
    </row>
    <row r="150">
      <c r="A150" s="7" t="n">
        <v>147</v>
      </c>
      <c r="B150" s="8" t="inlineStr">
        <is>
          <t xml:space="preserve">        self._entries[key] = entry</t>
        </is>
      </c>
    </row>
    <row r="151">
      <c r="A151" s="9" t="n">
        <v>148</v>
      </c>
      <c r="B151" s="10" t="inlineStr"/>
    </row>
    <row r="152">
      <c r="A152" s="7" t="n">
        <v>149</v>
      </c>
      <c r="B152" s="8" t="inlineStr">
        <is>
          <t xml:space="preserve">    def _save(self):</t>
        </is>
      </c>
    </row>
    <row r="153">
      <c r="A153" s="9" t="n">
        <v>150</v>
      </c>
      <c r="B153" s="10" t="inlineStr">
        <is>
          <t xml:space="preserve">        """保存 .env 文件"""</t>
        </is>
      </c>
    </row>
    <row r="154">
      <c r="A154" s="7" t="n">
        <v>151</v>
      </c>
      <c r="B154" s="8" t="inlineStr">
        <is>
          <t xml:space="preserve">        # 检查必填</t>
        </is>
      </c>
    </row>
    <row r="155">
      <c r="A155" s="9" t="n">
        <v>152</v>
      </c>
      <c r="B155" s="10" t="inlineStr">
        <is>
          <t xml:space="preserve">        deepseek_key = self._entries.get("DEEPSEEK_API_KEY")</t>
        </is>
      </c>
    </row>
    <row r="156">
      <c r="A156" s="7" t="n">
        <v>153</v>
      </c>
      <c r="B156" s="8" t="inlineStr">
        <is>
          <t xml:space="preserve">        if deepseek_key:</t>
        </is>
      </c>
    </row>
    <row r="157">
      <c r="A157" s="9" t="n">
        <v>154</v>
      </c>
      <c r="B157" s="10" t="inlineStr">
        <is>
          <t xml:space="preserve">            val = deepseek_key.get().strip()</t>
        </is>
      </c>
    </row>
    <row r="158">
      <c r="A158" s="7" t="n">
        <v>155</v>
      </c>
      <c r="B158" s="8" t="inlineStr">
        <is>
          <t xml:space="preserve">            if not val or val == "your_deepseek_api_key_here":</t>
        </is>
      </c>
    </row>
    <row r="159">
      <c r="A159" s="9" t="n">
        <v>156</v>
      </c>
      <c r="B159" s="10" t="inlineStr">
        <is>
          <t xml:space="preserve">                messagebox.showwarning("必填字段", "请填写 DeepSeek API Key！\nAI 文案生成功能依赖此项。")</t>
        </is>
      </c>
    </row>
    <row r="160">
      <c r="A160" s="7" t="n">
        <v>157</v>
      </c>
      <c r="B160" s="8" t="inlineStr">
        <is>
          <t xml:space="preserve">                return</t>
        </is>
      </c>
    </row>
    <row r="161">
      <c r="A161" s="9" t="n">
        <v>158</v>
      </c>
      <c r="B161" s="10" t="inlineStr"/>
    </row>
    <row r="162">
      <c r="A162" s="7" t="n">
        <v>159</v>
      </c>
      <c r="B162" s="8" t="inlineStr">
        <is>
          <t xml:space="preserve">        lines = ["# 树剪 TreeCut v10.3 配置文件", f"# 生成时间: {__import__('datetime').datetime.now().isoformat()[:19]}", ""]</t>
        </is>
      </c>
    </row>
    <row r="163">
      <c r="A163" s="9" t="n">
        <v>160</v>
      </c>
      <c r="B163" s="10" t="inlineStr">
        <is>
          <t xml:space="preserve">        for key, entry in self._entries.items():</t>
        </is>
      </c>
    </row>
    <row r="164">
      <c r="A164" s="7" t="n">
        <v>161</v>
      </c>
      <c r="B164" s="8" t="inlineStr">
        <is>
          <t xml:space="preserve">            val = entry.get().strip()</t>
        </is>
      </c>
    </row>
    <row r="165">
      <c r="A165" s="9" t="n">
        <v>162</v>
      </c>
      <c r="B165" s="10" t="inlineStr">
        <is>
          <t xml:space="preserve">            if val:</t>
        </is>
      </c>
    </row>
    <row r="166">
      <c r="A166" s="7" t="n">
        <v>163</v>
      </c>
      <c r="B166" s="8" t="inlineStr">
        <is>
          <t xml:space="preserve">                lines.append(f"{key}={val}")</t>
        </is>
      </c>
    </row>
    <row r="167">
      <c r="A167" s="9" t="n">
        <v>164</v>
      </c>
      <c r="B167" s="10" t="inlineStr">
        <is>
          <t xml:space="preserve">            else:</t>
        </is>
      </c>
    </row>
    <row r="168">
      <c r="A168" s="7" t="n">
        <v>165</v>
      </c>
      <c r="B168" s="8" t="inlineStr">
        <is>
          <t xml:space="preserve">                lines.append(f"# {key}=")</t>
        </is>
      </c>
    </row>
    <row r="169">
      <c r="A169" s="9" t="n">
        <v>166</v>
      </c>
      <c r="B169" s="10" t="inlineStr"/>
    </row>
    <row r="170">
      <c r="A170" s="7" t="n">
        <v>167</v>
      </c>
      <c r="B170" s="8" t="inlineStr">
        <is>
          <t xml:space="preserve">        ENV_FILE.write_text("\n".join(lines) + "\n", encoding="utf-8")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    # 创建必要的目录</t>
        </is>
      </c>
    </row>
    <row r="173">
      <c r="A173" s="9" t="n">
        <v>170</v>
      </c>
      <c r="B173" s="10" t="inlineStr">
        <is>
          <t xml:space="preserve">        for key in ["TREECUT_DRAFT_DIR", "TREECUT_BGM_DIR"]:</t>
        </is>
      </c>
    </row>
    <row r="174">
      <c r="A174" s="7" t="n">
        <v>171</v>
      </c>
      <c r="B174" s="8" t="inlineStr">
        <is>
          <t xml:space="preserve">            if key in self._entries:</t>
        </is>
      </c>
    </row>
    <row r="175">
      <c r="A175" s="9" t="n">
        <v>172</v>
      </c>
      <c r="B175" s="10" t="inlineStr">
        <is>
          <t xml:space="preserve">                val = self._entries[key].get().strip()</t>
        </is>
      </c>
    </row>
    <row r="176">
      <c r="A176" s="7" t="n">
        <v>173</v>
      </c>
      <c r="B176" s="8" t="inlineStr">
        <is>
          <t xml:space="preserve">                if val:</t>
        </is>
      </c>
    </row>
    <row r="177">
      <c r="A177" s="9" t="n">
        <v>174</v>
      </c>
      <c r="B177" s="10" t="inlineStr">
        <is>
          <t xml:space="preserve">                    Path(val).mkdir(parents=True, exist_ok=True)</t>
        </is>
      </c>
    </row>
    <row r="178">
      <c r="A178" s="7" t="n">
        <v>175</v>
      </c>
      <c r="B178" s="8" t="inlineStr"/>
    </row>
    <row r="179">
      <c r="A179" s="9" t="n">
        <v>176</v>
      </c>
      <c r="B179" s="10" t="inlineStr">
        <is>
          <t xml:space="preserve">        messagebox.showinfo("配置完成",</t>
        </is>
      </c>
    </row>
    <row r="180">
      <c r="A180" s="7" t="n">
        <v>177</v>
      </c>
      <c r="B180" s="8" t="inlineStr">
        <is>
          <t xml:space="preserve">            "配置已保存！\n\n"</t>
        </is>
      </c>
    </row>
    <row r="181">
      <c r="A181" s="9" t="n">
        <v>178</v>
      </c>
      <c r="B181" s="10" t="inlineStr">
        <is>
          <t xml:space="preserve">            "接下来:\n"</t>
        </is>
      </c>
    </row>
    <row r="182">
      <c r="A182" s="7" t="n">
        <v>179</v>
      </c>
      <c r="B182" s="8" t="inlineStr">
        <is>
          <t xml:space="preserve">            "1. 确保素材路径 (Z:盘) 可访问\n"</t>
        </is>
      </c>
    </row>
    <row r="183">
      <c r="A183" s="9" t="n">
        <v>180</v>
      </c>
      <c r="B183" s="10" t="inlineStr">
        <is>
          <t xml:space="preserve">            "2. (可选) 安装 Ollama 并下载 Qwen2.5-VL 模型\n"</t>
        </is>
      </c>
    </row>
    <row r="184">
      <c r="A184" s="7" t="n">
        <v>181</v>
      </c>
      <c r="B184" s="8" t="inlineStr">
        <is>
          <t xml:space="preserve">            "   用于视觉画面分析\n"</t>
        </is>
      </c>
    </row>
    <row r="185">
      <c r="A185" s="9" t="n">
        <v>182</v>
      </c>
      <c r="B185" s="10" t="inlineStr">
        <is>
          <t xml:space="preserve">            "3. 启动桌面应用开始使用！")</t>
        </is>
      </c>
    </row>
    <row r="186">
      <c r="A186" s="7" t="n">
        <v>183</v>
      </c>
      <c r="B186" s="8" t="inlineStr">
        <is>
          <t xml:space="preserve">        self.root.destroy()</t>
        </is>
      </c>
    </row>
    <row r="187">
      <c r="A187" s="9" t="n">
        <v>184</v>
      </c>
      <c r="B187" s="10" t="inlineStr"/>
    </row>
    <row r="188">
      <c r="A188" s="7" t="n">
        <v>185</v>
      </c>
      <c r="B188" s="8" t="inlineStr">
        <is>
          <t xml:space="preserve">    def _check_models(self):</t>
        </is>
      </c>
    </row>
    <row r="189">
      <c r="A189" s="9" t="n">
        <v>186</v>
      </c>
      <c r="B189" s="10" t="inlineStr">
        <is>
          <t xml:space="preserve">        try:</t>
        </is>
      </c>
    </row>
    <row r="190">
      <c r="A190" s="7" t="n">
        <v>187</v>
      </c>
      <c r="B190" s="8" t="inlineStr">
        <is>
          <t xml:space="preserve">            from utils.model_downloader import ensure_model_available</t>
        </is>
      </c>
    </row>
    <row r="191">
      <c r="A191" s="9" t="n">
        <v>188</v>
      </c>
      <c r="B191" s="10" t="inlineStr">
        <is>
          <t xml:space="preserve">            k = self.model_var.get(); ok = ensure_model_available(k)</t>
        </is>
      </c>
    </row>
    <row r="192">
      <c r="A192" s="7" t="n">
        <v>189</v>
      </c>
      <c r="B192" s="8" t="inlineStr">
        <is>
          <t xml:space="preserve">            self.model_status.config(text=f"{'✅ 已缓存' if ok else '❌ 需下载'} — {k}", foreground="#4caf50" if ok else "#f44336")</t>
        </is>
      </c>
    </row>
    <row r="193">
      <c r="A193" s="9" t="n">
        <v>190</v>
      </c>
      <c r="B193" s="10" t="inlineStr">
        <is>
          <t xml:space="preserve">        except Exception as e: self.model_status.config(text=f"错误: {e}")</t>
        </is>
      </c>
    </row>
    <row r="194">
      <c r="A194" s="7" t="n">
        <v>191</v>
      </c>
      <c r="B194" s="8" t="inlineStr"/>
    </row>
    <row r="195">
      <c r="A195" s="9" t="n">
        <v>192</v>
      </c>
      <c r="B195" s="10" t="inlineStr">
        <is>
          <t xml:space="preserve">    def _download_model(self):</t>
        </is>
      </c>
    </row>
    <row r="196">
      <c r="A196" s="7" t="n">
        <v>193</v>
      </c>
      <c r="B196" s="8" t="inlineStr">
        <is>
          <t xml:space="preserve">        k = self.model_var.get(); self.model_status.config(text="下载中..."); self.root.update()</t>
        </is>
      </c>
    </row>
    <row r="197">
      <c r="A197" s="9" t="n">
        <v>194</v>
      </c>
      <c r="B197" s="10" t="inlineStr">
        <is>
          <t xml:space="preserve">        def _dl():</t>
        </is>
      </c>
    </row>
    <row r="198">
      <c r="A198" s="7" t="n">
        <v>195</v>
      </c>
      <c r="B198" s="8" t="inlineStr">
        <is>
          <t xml:space="preserve">            from utils.model_downloader import download_model</t>
        </is>
      </c>
    </row>
    <row r="199">
      <c r="A199" s="9" t="n">
        <v>196</v>
      </c>
      <c r="B199" s="10" t="inlineStr">
        <is>
          <t xml:space="preserve">            ok = download_model(k)</t>
        </is>
      </c>
    </row>
    <row r="200">
      <c r="A200" s="7" t="n">
        <v>197</v>
      </c>
      <c r="B200" s="8" t="inlineStr">
        <is>
          <t xml:space="preserve">            self.root.after(0, lambda: self.model_status.config(text=f"{'✅ 完成' if ok else '❌ 失败'} — {k}"))</t>
        </is>
      </c>
    </row>
    <row r="201">
      <c r="A201" s="9" t="n">
        <v>198</v>
      </c>
      <c r="B201" s="10" t="inlineStr">
        <is>
          <t xml:space="preserve">        import threading; threading.Thread(target=_dl, daemon=True).start()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def run(self):</t>
        </is>
      </c>
    </row>
    <row r="204">
      <c r="A204" s="7" t="n">
        <v>201</v>
      </c>
      <c r="B204" s="8" t="inlineStr">
        <is>
          <t xml:space="preserve">        self.root.mainloop()</t>
        </is>
      </c>
    </row>
    <row r="205">
      <c r="A205" s="9" t="n">
        <v>202</v>
      </c>
      <c r="B205" s="10" t="inlineStr"/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>if __name__ == "__main__":</t>
        </is>
      </c>
    </row>
    <row r="208">
      <c r="A208" s="7" t="n">
        <v>205</v>
      </c>
      <c r="B208" s="8" t="inlineStr">
        <is>
          <t xml:space="preserve">    SetupWizard().run()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tasks\__init__.py</t>
        </is>
      </c>
      <c r="C1" s="5" t="inlineStr">
        <is>
          <t>行数: 0</t>
        </is>
      </c>
    </row>
    <row r="3">
      <c r="A3" s="4" t="inlineStr">
        <is>
          <t>源代码: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tasks\task_queue.py</t>
        </is>
      </c>
      <c r="C1" s="5" t="inlineStr">
        <is>
          <t>行数: 101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批量任务队列管理器 - 支持单文件/文件夹导入 + 优先级调度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os</t>
        </is>
      </c>
    </row>
    <row r="8">
      <c r="A8" s="7" t="n">
        <v>5</v>
      </c>
      <c r="B8" s="8" t="inlineStr">
        <is>
          <t>from utils.logger import get_logger</t>
        </is>
      </c>
    </row>
    <row r="9">
      <c r="A9" s="9" t="n">
        <v>6</v>
      </c>
      <c r="B9" s="10" t="inlineStr">
        <is>
          <t>from core.database import execute_sql, query_sql</t>
        </is>
      </c>
    </row>
    <row r="10">
      <c r="A10" s="7" t="n">
        <v>7</v>
      </c>
      <c r="B10" s="8" t="inlineStr">
        <is>
          <t>from utils.ffmpeg_utils import get_video_info</t>
        </is>
      </c>
    </row>
    <row r="11">
      <c r="A11" s="9" t="n">
        <v>8</v>
      </c>
      <c r="B11" s="10" t="inlineStr">
        <is>
          <t>logger = get_logger("task_queue")</t>
        </is>
      </c>
    </row>
    <row r="12">
      <c r="A12" s="7" t="n">
        <v>9</v>
      </c>
      <c r="B12" s="8" t="inlineStr">
        <is>
          <t>class TaskQueue:</t>
        </is>
      </c>
    </row>
    <row r="13">
      <c r="A13" s="9" t="n">
        <v>10</v>
      </c>
      <c r="B13" s="10" t="inlineStr">
        <is>
          <t xml:space="preserve">    """批量任务队列（单例）"""</t>
        </is>
      </c>
    </row>
    <row r="14">
      <c r="A14" s="7" t="n">
        <v>11</v>
      </c>
      <c r="B14" s="8" t="inlineStr">
        <is>
          <t xml:space="preserve">    _instance = None</t>
        </is>
      </c>
    </row>
    <row r="15">
      <c r="A15" s="9" t="n">
        <v>12</v>
      </c>
      <c r="B15" s="10" t="inlineStr">
        <is>
          <t xml:space="preserve">    def __new__(cls):</t>
        </is>
      </c>
    </row>
    <row r="16">
      <c r="A16" s="7" t="n">
        <v>13</v>
      </c>
      <c r="B16" s="8" t="inlineStr">
        <is>
          <t xml:space="preserve">        if cls._instance is None:</t>
        </is>
      </c>
    </row>
    <row r="17">
      <c r="A17" s="9" t="n">
        <v>14</v>
      </c>
      <c r="B17" s="10" t="inlineStr">
        <is>
          <t xml:space="preserve">            cls._instance = super().__new__(cls)</t>
        </is>
      </c>
    </row>
    <row r="18">
      <c r="A18" s="7" t="n">
        <v>15</v>
      </c>
      <c r="B18" s="8" t="inlineStr">
        <is>
          <t xml:space="preserve">        return cls._instance</t>
        </is>
      </c>
    </row>
    <row r="19">
      <c r="A19" s="9" t="n">
        <v>16</v>
      </c>
      <c r="B19" s="10" t="inlineStr">
        <is>
          <t xml:space="preserve">    def __init__(self):</t>
        </is>
      </c>
    </row>
    <row r="20">
      <c r="A20" s="7" t="n">
        <v>17</v>
      </c>
      <c r="B20" s="8" t="inlineStr">
        <is>
          <t xml:space="preserve">        if hasattr(self, "_initialized"):</t>
        </is>
      </c>
    </row>
    <row r="21">
      <c r="A21" s="9" t="n">
        <v>18</v>
      </c>
      <c r="B21" s="10" t="inlineStr">
        <is>
          <t xml:space="preserve">            return</t>
        </is>
      </c>
    </row>
    <row r="22">
      <c r="A22" s="7" t="n">
        <v>19</v>
      </c>
      <c r="B22" s="8" t="inlineStr">
        <is>
          <t xml:space="preserve">        self._initialized = True</t>
        </is>
      </c>
    </row>
    <row r="23">
      <c r="A23" s="9" t="n">
        <v>20</v>
      </c>
      <c r="B23" s="10" t="inlineStr">
        <is>
          <t xml:space="preserve">        logger.info("任务队列管理器初始化完成")</t>
        </is>
      </c>
    </row>
    <row r="24">
      <c r="A24" s="7" t="n">
        <v>21</v>
      </c>
      <c r="B24" s="8" t="inlineStr">
        <is>
          <t xml:space="preserve">    def add_material(self, file_path: str) -&gt; int:</t>
        </is>
      </c>
    </row>
    <row r="25">
      <c r="A25" s="9" t="n">
        <v>22</v>
      </c>
      <c r="B25" s="10" t="inlineStr">
        <is>
          <t xml:space="preserve">        """添加单个素材到队列"""</t>
        </is>
      </c>
    </row>
    <row r="26">
      <c r="A26" s="7" t="n">
        <v>23</v>
      </c>
      <c r="B26" s="8" t="inlineStr">
        <is>
          <t xml:space="preserve">        if not os.path.exists(file_path):</t>
        </is>
      </c>
    </row>
    <row r="27">
      <c r="A27" s="9" t="n">
        <v>24</v>
      </c>
      <c r="B27" s="10" t="inlineStr">
        <is>
          <t xml:space="preserve">            logger.error(f"文件不存在: {file_path}")</t>
        </is>
      </c>
    </row>
    <row r="28">
      <c r="A28" s="7" t="n">
        <v>25</v>
      </c>
      <c r="B28" s="8" t="inlineStr">
        <is>
          <t xml:space="preserve">            return -1</t>
        </is>
      </c>
    </row>
    <row r="29">
      <c r="A29" s="9" t="n">
        <v>26</v>
      </c>
      <c r="B29" s="10" t="inlineStr">
        <is>
          <t xml:space="preserve">        abs_path = os.path.abspath(file_path)</t>
        </is>
      </c>
    </row>
    <row r="30">
      <c r="A30" s="7" t="n">
        <v>27</v>
      </c>
      <c r="B30" s="8" t="inlineStr">
        <is>
          <t xml:space="preserve">        # 检查是否已存在</t>
        </is>
      </c>
    </row>
    <row r="31">
      <c r="A31" s="9" t="n">
        <v>28</v>
      </c>
      <c r="B31" s="10" t="inlineStr">
        <is>
          <t xml:space="preserve">        existing = query_sql("SELECT id FROM materials WHERE file_path=?", (abs_path,))</t>
        </is>
      </c>
    </row>
    <row r="32">
      <c r="A32" s="7" t="n">
        <v>29</v>
      </c>
      <c r="B32" s="8" t="inlineStr">
        <is>
          <t xml:space="preserve">        if existing:</t>
        </is>
      </c>
    </row>
    <row r="33">
      <c r="A33" s="9" t="n">
        <v>30</v>
      </c>
      <c r="B33" s="10" t="inlineStr">
        <is>
          <t xml:space="preserve">            mid = existing[0][0]</t>
        </is>
      </c>
    </row>
    <row r="34">
      <c r="A34" s="7" t="n">
        <v>31</v>
      </c>
      <c r="B34" s="8" t="inlineStr">
        <is>
          <t xml:space="preserve">            execute_sql("UPDATE materials SET status='pending' WHERE id=?", (mid,))</t>
        </is>
      </c>
    </row>
    <row r="35">
      <c r="A35" s="9" t="n">
        <v>32</v>
      </c>
      <c r="B35" s="10" t="inlineStr">
        <is>
          <t xml:space="preserve">        else:</t>
        </is>
      </c>
    </row>
    <row r="36">
      <c r="A36" s="7" t="n">
        <v>33</v>
      </c>
      <c r="B36" s="8" t="inlineStr">
        <is>
          <t xml:space="preserve">            info = get_video_info(abs_path)</t>
        </is>
      </c>
    </row>
    <row r="37">
      <c r="A37" s="9" t="n">
        <v>34</v>
      </c>
      <c r="B37" s="10" t="inlineStr">
        <is>
          <t xml:space="preserve">            mid = execute_sql(</t>
        </is>
      </c>
    </row>
    <row r="38">
      <c r="A38" s="7" t="n">
        <v>35</v>
      </c>
      <c r="B38" s="8" t="inlineStr">
        <is>
          <t xml:space="preserve">                "INSERT INTO materials (file_path, file_type, duration, resolution, fps, bitrate, status) VALUES (?, ?, ?, ?, ?, ?, 'pending')",</t>
        </is>
      </c>
    </row>
    <row r="39">
      <c r="A39" s="9" t="n">
        <v>36</v>
      </c>
      <c r="B39" s="10" t="inlineStr">
        <is>
          <t xml:space="preserve">                (abs_path, "video", info.get("duration", 0), info.get("resolution", ""), info.get("fps", 0), info.get("bitrate", 0))</t>
        </is>
      </c>
    </row>
    <row r="40">
      <c r="A40" s="7" t="n">
        <v>37</v>
      </c>
      <c r="B40" s="8" t="inlineStr">
        <is>
          <t xml:space="preserve">            )</t>
        </is>
      </c>
    </row>
    <row r="41">
      <c r="A41" s="9" t="n">
        <v>38</v>
      </c>
      <c r="B41" s="10" t="inlineStr">
        <is>
          <t xml:space="preserve">        execute_sql(</t>
        </is>
      </c>
    </row>
    <row r="42">
      <c r="A42" s="7" t="n">
        <v>39</v>
      </c>
      <c r="B42" s="8" t="inlineStr">
        <is>
          <t xml:space="preserve">            "INSERT OR IGNORE INTO task_queue (material_id, status) VALUES (?, 'waiting')",</t>
        </is>
      </c>
    </row>
    <row r="43">
      <c r="A43" s="9" t="n">
        <v>40</v>
      </c>
      <c r="B43" s="10" t="inlineStr">
        <is>
          <t xml:space="preserve">            (mid,)</t>
        </is>
      </c>
    </row>
    <row r="44">
      <c r="A44" s="7" t="n">
        <v>41</v>
      </c>
      <c r="B44" s="8" t="inlineStr">
        <is>
          <t xml:space="preserve">        )</t>
        </is>
      </c>
    </row>
    <row r="45">
      <c r="A45" s="9" t="n">
        <v>42</v>
      </c>
      <c r="B45" s="10" t="inlineStr">
        <is>
          <t xml:space="preserve">        execute_sql(</t>
        </is>
      </c>
    </row>
    <row r="46">
      <c r="A46" s="7" t="n">
        <v>43</v>
      </c>
      <c r="B46" s="8" t="inlineStr">
        <is>
          <t xml:space="preserve">            "INSERT OR IGNORE INTO tasks (material_id, task_type, status) VALUES (?, 'full_process', 'pending')",</t>
        </is>
      </c>
    </row>
    <row r="47">
      <c r="A47" s="9" t="n">
        <v>44</v>
      </c>
      <c r="B47" s="10" t="inlineStr">
        <is>
          <t xml:space="preserve">            (mid,)</t>
        </is>
      </c>
    </row>
    <row r="48">
      <c r="A48" s="7" t="n">
        <v>45</v>
      </c>
      <c r="B48" s="8" t="inlineStr">
        <is>
          <t xml:space="preserve">        )</t>
        </is>
      </c>
    </row>
    <row r="49">
      <c r="A49" s="9" t="n">
        <v>46</v>
      </c>
      <c r="B49" s="10" t="inlineStr">
        <is>
          <t xml:space="preserve">        logger.info(f"素材已加入队列，ID: {mid}")</t>
        </is>
      </c>
    </row>
    <row r="50">
      <c r="A50" s="7" t="n">
        <v>47</v>
      </c>
      <c r="B50" s="8" t="inlineStr">
        <is>
          <t xml:space="preserve">        return mid</t>
        </is>
      </c>
    </row>
    <row r="51">
      <c r="A51" s="9" t="n">
        <v>48</v>
      </c>
      <c r="B51" s="10" t="inlineStr">
        <is>
          <t xml:space="preserve">    def add_folder(self, folder_path: str) -&gt; int:</t>
        </is>
      </c>
    </row>
    <row r="52">
      <c r="A52" s="7" t="n">
        <v>49</v>
      </c>
      <c r="B52" s="8" t="inlineStr">
        <is>
          <t xml:space="preserve">        """批量导入文件夹中所有视频"""</t>
        </is>
      </c>
    </row>
    <row r="53">
      <c r="A53" s="9" t="n">
        <v>50</v>
      </c>
      <c r="B53" s="10" t="inlineStr">
        <is>
          <t xml:space="preserve">        if not os.path.isdir(folder_path):</t>
        </is>
      </c>
    </row>
    <row r="54">
      <c r="A54" s="7" t="n">
        <v>51</v>
      </c>
      <c r="B54" s="8" t="inlineStr">
        <is>
          <t xml:space="preserve">            logger.error(f"目录不存在: {folder_path}")</t>
        </is>
      </c>
    </row>
    <row r="55">
      <c r="A55" s="9" t="n">
        <v>52</v>
      </c>
      <c r="B55" s="10" t="inlineStr">
        <is>
          <t xml:space="preserve">            return 0</t>
        </is>
      </c>
    </row>
    <row r="56">
      <c r="A56" s="7" t="n">
        <v>53</v>
      </c>
      <c r="B56" s="8" t="inlineStr">
        <is>
          <t xml:space="preserve">        video_exts = {".mp4", ".mov", ".avi", ".mkv", ".webm", ".flv", ".wmv"}</t>
        </is>
      </c>
    </row>
    <row r="57">
      <c r="A57" s="9" t="n">
        <v>54</v>
      </c>
      <c r="B57" s="10" t="inlineStr">
        <is>
          <t xml:space="preserve">        count = 0</t>
        </is>
      </c>
    </row>
    <row r="58">
      <c r="A58" s="7" t="n">
        <v>55</v>
      </c>
      <c r="B58" s="8" t="inlineStr">
        <is>
          <t xml:space="preserve">        for root, _, files in os.walk(folder_path):</t>
        </is>
      </c>
    </row>
    <row r="59">
      <c r="A59" s="9" t="n">
        <v>56</v>
      </c>
      <c r="B59" s="10" t="inlineStr">
        <is>
          <t xml:space="preserve">            for f in files:</t>
        </is>
      </c>
    </row>
    <row r="60">
      <c r="A60" s="7" t="n">
        <v>57</v>
      </c>
      <c r="B60" s="8" t="inlineStr">
        <is>
          <t xml:space="preserve">                ext = os.path.splitext(f)[1].lower()</t>
        </is>
      </c>
    </row>
    <row r="61">
      <c r="A61" s="9" t="n">
        <v>58</v>
      </c>
      <c r="B61" s="10" t="inlineStr">
        <is>
          <t xml:space="preserve">                if ext in video_exts:</t>
        </is>
      </c>
    </row>
    <row r="62">
      <c r="A62" s="7" t="n">
        <v>59</v>
      </c>
      <c r="B62" s="8" t="inlineStr">
        <is>
          <t xml:space="preserve">                    self.add_material(os.path.join(root, f))</t>
        </is>
      </c>
    </row>
    <row r="63">
      <c r="A63" s="9" t="n">
        <v>60</v>
      </c>
      <c r="B63" s="10" t="inlineStr">
        <is>
          <t xml:space="preserve">                    count += 1</t>
        </is>
      </c>
    </row>
    <row r="64">
      <c r="A64" s="7" t="n">
        <v>61</v>
      </c>
      <c r="B64" s="8" t="inlineStr">
        <is>
          <t xml:space="preserve">        logger.info(f"文件夹批量导入完成，共添加{count}个素材")</t>
        </is>
      </c>
    </row>
    <row r="65">
      <c r="A65" s="9" t="n">
        <v>62</v>
      </c>
      <c r="B65" s="10" t="inlineStr">
        <is>
          <t xml:space="preserve">        return count</t>
        </is>
      </c>
    </row>
    <row r="66">
      <c r="A66" s="7" t="n">
        <v>63</v>
      </c>
      <c r="B66" s="8" t="inlineStr">
        <is>
          <t xml:space="preserve">    def run_next(self) -&gt; dict:</t>
        </is>
      </c>
    </row>
    <row r="67">
      <c r="A67" s="9" t="n">
        <v>64</v>
      </c>
      <c r="B67" s="10" t="inlineStr">
        <is>
          <t xml:space="preserve">        """运行队列中优先级最高的等待任务"""</t>
        </is>
      </c>
    </row>
    <row r="68">
      <c r="A68" s="7" t="n">
        <v>65</v>
      </c>
      <c r="B68" s="8" t="inlineStr">
        <is>
          <t xml:space="preserve">        from core.workflow_engine import WorkflowEngine</t>
        </is>
      </c>
    </row>
    <row r="69">
      <c r="A69" s="9" t="n">
        <v>66</v>
      </c>
      <c r="B69" s="10" t="inlineStr">
        <is>
          <t xml:space="preserve">        waiting = query_sql(</t>
        </is>
      </c>
    </row>
    <row r="70">
      <c r="A70" s="7" t="n">
        <v>67</v>
      </c>
      <c r="B70" s="8" t="inlineStr">
        <is>
          <t xml:space="preserve">            "SELECT id, material_id FROM task_queue WHERE status='waiting' ORDER BY priority DESC, id ASC LIMIT 1"</t>
        </is>
      </c>
    </row>
    <row r="71">
      <c r="A71" s="9" t="n">
        <v>68</v>
      </c>
      <c r="B71" s="10" t="inlineStr">
        <is>
          <t xml:space="preserve">        )</t>
        </is>
      </c>
    </row>
    <row r="72">
      <c r="A72" s="7" t="n">
        <v>69</v>
      </c>
      <c r="B72" s="8" t="inlineStr">
        <is>
          <t xml:space="preserve">        if not waiting:</t>
        </is>
      </c>
    </row>
    <row r="73">
      <c r="A73" s="9" t="n">
        <v>70</v>
      </c>
      <c r="B73" s="10" t="inlineStr">
        <is>
          <t xml:space="preserve">            return {"status": "empty"}</t>
        </is>
      </c>
    </row>
    <row r="74">
      <c r="A74" s="7" t="n">
        <v>71</v>
      </c>
      <c r="B74" s="8" t="inlineStr">
        <is>
          <t xml:space="preserve">        qid, mid = waiting[0]</t>
        </is>
      </c>
    </row>
    <row r="75">
      <c r="A75" s="9" t="n">
        <v>72</v>
      </c>
      <c r="B75" s="10" t="inlineStr">
        <is>
          <t xml:space="preserve">        execute_sql("UPDATE task_queue SET status='running' WHERE id=?", (qid,))</t>
        </is>
      </c>
    </row>
    <row r="76">
      <c r="A76" s="7" t="n">
        <v>73</v>
      </c>
      <c r="B76" s="8" t="inlineStr">
        <is>
          <t xml:space="preserve">        video_path = query_sql("SELECT file_path FROM materials WHERE id=?", (mid,))</t>
        </is>
      </c>
    </row>
    <row r="77">
      <c r="A77" s="9" t="n">
        <v>74</v>
      </c>
      <c r="B77" s="10" t="inlineStr">
        <is>
          <t xml:space="preserve">        if not video_path:</t>
        </is>
      </c>
    </row>
    <row r="78">
      <c r="A78" s="7" t="n">
        <v>75</v>
      </c>
      <c r="B78" s="8" t="inlineStr">
        <is>
          <t xml:space="preserve">            return {"status": "failed", "error": "素材不存在"}</t>
        </is>
      </c>
    </row>
    <row r="79">
      <c r="A79" s="9" t="n">
        <v>76</v>
      </c>
      <c r="B79" s="10" t="inlineStr">
        <is>
          <t xml:space="preserve">        engine = WorkflowEngine()</t>
        </is>
      </c>
    </row>
    <row r="80">
      <c r="A80" s="7" t="n">
        <v>77</v>
      </c>
      <c r="B80" s="8" t="inlineStr">
        <is>
          <t xml:space="preserve">        result = engine.run(mid, video_path[0][0])</t>
        </is>
      </c>
    </row>
    <row r="81">
      <c r="A81" s="9" t="n">
        <v>78</v>
      </c>
      <c r="B81" s="10" t="inlineStr">
        <is>
          <t xml:space="preserve">        status = "completed" if result["status"] == "success" else "failed"</t>
        </is>
      </c>
    </row>
    <row r="82">
      <c r="A82" s="7" t="n">
        <v>79</v>
      </c>
      <c r="B82" s="8" t="inlineStr">
        <is>
          <t xml:space="preserve">        execute_sql("UPDATE task_queue SET status=? WHERE id=?", (status, qid))</t>
        </is>
      </c>
    </row>
    <row r="83">
      <c r="A83" s="9" t="n">
        <v>80</v>
      </c>
      <c r="B83" s="10" t="inlineStr">
        <is>
          <t xml:space="preserve">        return result</t>
        </is>
      </c>
    </row>
    <row r="84">
      <c r="A84" s="7" t="n">
        <v>81</v>
      </c>
      <c r="B84" s="8" t="inlineStr">
        <is>
          <t xml:space="preserve">    def run_all(self) -&gt; int:</t>
        </is>
      </c>
    </row>
    <row r="85">
      <c r="A85" s="9" t="n">
        <v>82</v>
      </c>
      <c r="B85" s="10" t="inlineStr">
        <is>
          <t xml:space="preserve">        """运行所有等待任务"""</t>
        </is>
      </c>
    </row>
    <row r="86">
      <c r="A86" s="7" t="n">
        <v>83</v>
      </c>
      <c r="B86" s="8" t="inlineStr">
        <is>
          <t xml:space="preserve">        total = 0</t>
        </is>
      </c>
    </row>
    <row r="87">
      <c r="A87" s="9" t="n">
        <v>84</v>
      </c>
      <c r="B87" s="10" t="inlineStr">
        <is>
          <t xml:space="preserve">        while True:</t>
        </is>
      </c>
    </row>
    <row r="88">
      <c r="A88" s="7" t="n">
        <v>85</v>
      </c>
      <c r="B88" s="8" t="inlineStr">
        <is>
          <t xml:space="preserve">            result = self.run_next()</t>
        </is>
      </c>
    </row>
    <row r="89">
      <c r="A89" s="9" t="n">
        <v>86</v>
      </c>
      <c r="B89" s="10" t="inlineStr">
        <is>
          <t xml:space="preserve">            if result.get("status") == "empty":</t>
        </is>
      </c>
    </row>
    <row r="90">
      <c r="A90" s="7" t="n">
        <v>87</v>
      </c>
      <c r="B90" s="8" t="inlineStr">
        <is>
          <t xml:space="preserve">                break</t>
        </is>
      </c>
    </row>
    <row r="91">
      <c r="A91" s="9" t="n">
        <v>88</v>
      </c>
      <c r="B91" s="10" t="inlineStr">
        <is>
          <t xml:space="preserve">            total += 1</t>
        </is>
      </c>
    </row>
    <row r="92">
      <c r="A92" s="7" t="n">
        <v>89</v>
      </c>
      <c r="B92" s="8" t="inlineStr">
        <is>
          <t xml:space="preserve">            if result.get("status") == "failed":</t>
        </is>
      </c>
    </row>
    <row r="93">
      <c r="A93" s="9" t="n">
        <v>90</v>
      </c>
      <c r="B93" s="10" t="inlineStr">
        <is>
          <t xml:space="preserve">                logger.warning(f"任务{total}失败: {result.get('error', 'unknown')}")</t>
        </is>
      </c>
    </row>
    <row r="94">
      <c r="A94" s="7" t="n">
        <v>91</v>
      </c>
      <c r="B94" s="8" t="inlineStr">
        <is>
          <t xml:space="preserve">        logger.info(f"批量任务执行完成，共处理{total}个")</t>
        </is>
      </c>
    </row>
    <row r="95">
      <c r="A95" s="9" t="n">
        <v>92</v>
      </c>
      <c r="B95" s="10" t="inlineStr">
        <is>
          <t xml:space="preserve">        return total</t>
        </is>
      </c>
    </row>
    <row r="96">
      <c r="A96" s="7" t="n">
        <v>93</v>
      </c>
      <c r="B96" s="8" t="inlineStr">
        <is>
          <t xml:space="preserve">    def list_queue(self) -&gt; list:</t>
        </is>
      </c>
    </row>
    <row r="97">
      <c r="A97" s="9" t="n">
        <v>94</v>
      </c>
      <c r="B97" s="10" t="inlineStr">
        <is>
          <t xml:space="preserve">        """列出所有队列任务"""</t>
        </is>
      </c>
    </row>
    <row r="98">
      <c r="A98" s="7" t="n">
        <v>95</v>
      </c>
      <c r="B98" s="8" t="inlineStr">
        <is>
          <t xml:space="preserve">        return query_sql(</t>
        </is>
      </c>
    </row>
    <row r="99">
      <c r="A99" s="9" t="n">
        <v>96</v>
      </c>
      <c r="B99" s="10" t="inlineStr">
        <is>
          <t xml:space="preserve">            """SELECT q.id, m.file_path, q.status, q.priority, q.create_time</t>
        </is>
      </c>
    </row>
    <row r="100">
      <c r="A100" s="7" t="n">
        <v>97</v>
      </c>
      <c r="B100" s="8" t="inlineStr">
        <is>
          <t xml:space="preserve">               FROM task_queue q JOIN materials m ON q.material_id = m.id</t>
        </is>
      </c>
    </row>
    <row r="101">
      <c r="A101" s="9" t="n">
        <v>98</v>
      </c>
      <c r="B101" s="10" t="inlineStr">
        <is>
          <t xml:space="preserve">               ORDER BY q.priority DESC, q.id ASC"""</t>
        </is>
      </c>
    </row>
    <row r="102">
      <c r="A102" s="7" t="n">
        <v>99</v>
      </c>
      <c r="B102" s="8" t="inlineStr">
        <is>
          <t xml:space="preserve">        )</t>
        </is>
      </c>
    </row>
    <row r="103">
      <c r="A103" s="9" t="n">
        <v>100</v>
      </c>
      <c r="B103" s="10" t="inlineStr">
        <is>
          <t># 全局单例</t>
        </is>
      </c>
    </row>
    <row r="104">
      <c r="A104" s="7" t="n">
        <v>101</v>
      </c>
      <c r="B104" s="8" t="inlineStr">
        <is>
          <t>task_queue = TaskQueue()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test_model_execution.py</t>
        </is>
      </c>
      <c r="C1" s="5" t="inlineStr">
        <is>
          <t>行数: 313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TreeCut v11.0 — 核心模型执行测试脚本</t>
        </is>
      </c>
    </row>
    <row r="7">
      <c r="A7" s="9" t="n">
        <v>4</v>
      </c>
      <c r="B7" s="10">
        <f>=======================================================================</f>
        <v/>
      </c>
    </row>
    <row r="8">
      <c r="A8" s="7" t="n">
        <v>5</v>
      </c>
      <c r="B8" s="8" t="inlineStr">
        <is>
          <t>模拟运行测试（使用真实模型调用），验证四个核心模型是否真正参与任务。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用法:</t>
        </is>
      </c>
    </row>
    <row r="11">
      <c r="A11" s="9" t="n">
        <v>8</v>
      </c>
      <c r="B11" s="10" t="inlineStr">
        <is>
          <t xml:space="preserve">  python test_model_execution.py                  # 全部测试</t>
        </is>
      </c>
    </row>
    <row r="12">
      <c r="A12" s="7" t="n">
        <v>9</v>
      </c>
      <c r="B12" s="8" t="inlineStr">
        <is>
          <t xml:space="preserve">  python test_model_execution.py --vision-only    # 仅视觉</t>
        </is>
      </c>
    </row>
    <row r="13">
      <c r="A13" s="9" t="n">
        <v>10</v>
      </c>
      <c r="B13" s="10" t="inlineStr">
        <is>
          <t xml:space="preserve">  python test_model_execution.py --audio-only     # 仅音频</t>
        </is>
      </c>
    </row>
    <row r="14">
      <c r="A14" s="7" t="n">
        <v>11</v>
      </c>
      <c r="B14" s="8" t="inlineStr">
        <is>
          <t xml:space="preserve">  python test_model_execution.py --match-only     # 仅匹配</t>
        </is>
      </c>
    </row>
    <row r="15">
      <c r="A15" s="9" t="n">
        <v>12</v>
      </c>
      <c r="B15" s="10" t="inlineStr">
        <is>
          <t>"""</t>
        </is>
      </c>
    </row>
    <row r="16">
      <c r="A16" s="7" t="n">
        <v>13</v>
      </c>
      <c r="B16" s="8" t="inlineStr">
        <is>
          <t>import sys</t>
        </is>
      </c>
    </row>
    <row r="17">
      <c r="A17" s="9" t="n">
        <v>14</v>
      </c>
      <c r="B17" s="10" t="inlineStr">
        <is>
          <t>import os</t>
        </is>
      </c>
    </row>
    <row r="18">
      <c r="A18" s="7" t="n">
        <v>15</v>
      </c>
      <c r="B18" s="8" t="inlineStr">
        <is>
          <t>import json</t>
        </is>
      </c>
    </row>
    <row r="19">
      <c r="A19" s="9" t="n">
        <v>16</v>
      </c>
      <c r="B19" s="10" t="inlineStr">
        <is>
          <t>import time</t>
        </is>
      </c>
    </row>
    <row r="20">
      <c r="A20" s="7" t="n">
        <v>17</v>
      </c>
      <c r="B20" s="8" t="inlineStr">
        <is>
          <t>import tempfile</t>
        </is>
      </c>
    </row>
    <row r="21">
      <c r="A21" s="9" t="n">
        <v>18</v>
      </c>
      <c r="B21" s="10" t="inlineStr">
        <is>
          <t>import argparse</t>
        </is>
      </c>
    </row>
    <row r="22">
      <c r="A22" s="7" t="n">
        <v>19</v>
      </c>
      <c r="B22" s="8" t="inlineStr">
        <is>
          <t>from pathlib import Path</t>
        </is>
      </c>
    </row>
    <row r="23">
      <c r="A23" s="9" t="n">
        <v>20</v>
      </c>
      <c r="B23" s="10" t="inlineStr">
        <is>
          <t>from datetime import datetime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PROJECT_ROOT = Path(__file__).parent</t>
        </is>
      </c>
    </row>
    <row r="26">
      <c r="A26" s="7" t="n">
        <v>23</v>
      </c>
      <c r="B26" s="8" t="inlineStr">
        <is>
          <t>sys.path.insert(0, str(PROJECT_ROOT))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>RESULTS = []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/>
    </row>
    <row r="31">
      <c r="A31" s="9" t="n">
        <v>28</v>
      </c>
      <c r="B31" s="10" t="inlineStr">
        <is>
          <t>def log(level: str, msg: str):</t>
        </is>
      </c>
    </row>
    <row r="32">
      <c r="A32" s="7" t="n">
        <v>29</v>
      </c>
      <c r="B32" s="8" t="inlineStr">
        <is>
          <t xml:space="preserve">    ts = datetime.now().strftime("%H:%M:%S")</t>
        </is>
      </c>
    </row>
    <row r="33">
      <c r="A33" s="9" t="n">
        <v>30</v>
      </c>
      <c r="B33" s="10" t="inlineStr">
        <is>
          <t xml:space="preserve">    print(f"  [{ts}] [{level}] {msg}")</t>
        </is>
      </c>
    </row>
    <row r="34">
      <c r="A34" s="7" t="n">
        <v>31</v>
      </c>
      <c r="B34" s="8" t="inlineStr"/>
    </row>
    <row r="35">
      <c r="A35" s="9" t="n">
        <v>32</v>
      </c>
      <c r="B35" s="10" t="inlineStr"/>
    </row>
    <row r="36">
      <c r="A36" s="7" t="n">
        <v>33</v>
      </c>
      <c r="B36" s="8" t="inlineStr">
        <is>
          <t># ═══════════════════════════════════</t>
        </is>
      </c>
    </row>
    <row r="37">
      <c r="A37" s="9" t="n">
        <v>34</v>
      </c>
      <c r="B37" s="10" t="inlineStr">
        <is>
          <t># 测试 1: 视觉模型 (Qwen3-VL-4B)</t>
        </is>
      </c>
    </row>
    <row r="38">
      <c r="A38" s="7" t="n">
        <v>35</v>
      </c>
      <c r="B38" s="8" t="inlineStr">
        <is>
          <t># ═══════════════════════════════════</t>
        </is>
      </c>
    </row>
    <row r="39">
      <c r="A39" s="9" t="n">
        <v>36</v>
      </c>
      <c r="B39" s="10" t="inlineStr">
        <is>
          <t>def test_vision():</t>
        </is>
      </c>
    </row>
    <row r="40">
      <c r="A40" s="7" t="n">
        <v>37</v>
      </c>
      <c r="B40" s="8" t="inlineStr">
        <is>
          <t xml:space="preserve">    """测试 Qwen3-VL-4B 加载 + 推理"""</t>
        </is>
      </c>
    </row>
    <row r="41">
      <c r="A41" s="9" t="n">
        <v>38</v>
      </c>
      <c r="B41" s="10" t="inlineStr">
        <is>
          <t xml:space="preserve">    log("INFO", "测试 Qwen3-VL-4B 视觉模型...")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 xml:space="preserve">    # 生成测试图片 (2秒黑屏视频 → 抽帧)</t>
        </is>
      </c>
    </row>
    <row r="44">
      <c r="A44" s="7" t="n">
        <v>41</v>
      </c>
      <c r="B44" s="8" t="inlineStr">
        <is>
          <t xml:space="preserve">    test_img = None</t>
        </is>
      </c>
    </row>
    <row r="45">
      <c r="A45" s="9" t="n">
        <v>42</v>
      </c>
      <c r="B45" s="10" t="inlineStr">
        <is>
          <t xml:space="preserve">    try:</t>
        </is>
      </c>
    </row>
    <row r="46">
      <c r="A46" s="7" t="n">
        <v>43</v>
      </c>
      <c r="B46" s="8" t="inlineStr">
        <is>
          <t xml:space="preserve">        import subprocess</t>
        </is>
      </c>
    </row>
    <row r="47">
      <c r="A47" s="9" t="n">
        <v>44</v>
      </c>
      <c r="B47" s="10" t="inlineStr">
        <is>
          <t xml:space="preserve">        tmp_video = tempfile.mktemp(suffix=".mp4")</t>
        </is>
      </c>
    </row>
    <row r="48">
      <c r="A48" s="7" t="n">
        <v>45</v>
      </c>
      <c r="B48" s="8" t="inlineStr">
        <is>
          <t xml:space="preserve">        subprocess.run([</t>
        </is>
      </c>
    </row>
    <row r="49">
      <c r="A49" s="9" t="n">
        <v>46</v>
      </c>
      <c r="B49" s="10" t="inlineStr">
        <is>
          <t xml:space="preserve">            "ffmpeg", "-y", "-f", "lavfi",</t>
        </is>
      </c>
    </row>
    <row r="50">
      <c r="A50" s="7" t="n">
        <v>47</v>
      </c>
      <c r="B50" s="8" t="inlineStr">
        <is>
          <t xml:space="preserve">            "-i", "color=c=0x808080:s=640x480:d=2",</t>
        </is>
      </c>
    </row>
    <row r="51">
      <c r="A51" s="9" t="n">
        <v>48</v>
      </c>
      <c r="B51" s="10" t="inlineStr">
        <is>
          <t xml:space="preserve">            "-frames:v", "1", "-q:v", "2",</t>
        </is>
      </c>
    </row>
    <row r="52">
      <c r="A52" s="7" t="n">
        <v>49</v>
      </c>
      <c r="B52" s="8" t="inlineStr">
        <is>
          <t xml:space="preserve">            tempfile.mktemp(suffix=".jpg") if False else tmp_video</t>
        </is>
      </c>
    </row>
    <row r="53">
      <c r="A53" s="9" t="n">
        <v>50</v>
      </c>
      <c r="B53" s="10" t="inlineStr">
        <is>
          <t xml:space="preserve">        ], capture_output=True, timeout=10)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 xml:space="preserve">        # 直接生成一张图片</t>
        </is>
      </c>
    </row>
    <row r="56">
      <c r="A56" s="7" t="n">
        <v>53</v>
      </c>
      <c r="B56" s="8" t="inlineStr">
        <is>
          <t xml:space="preserve">        test_img = tempfile.mktemp(suffix=".jpg")</t>
        </is>
      </c>
    </row>
    <row r="57">
      <c r="A57" s="9" t="n">
        <v>54</v>
      </c>
      <c r="B57" s="10" t="inlineStr">
        <is>
          <t xml:space="preserve">        subprocess.run([</t>
        </is>
      </c>
    </row>
    <row r="58">
      <c r="A58" s="7" t="n">
        <v>55</v>
      </c>
      <c r="B58" s="8" t="inlineStr">
        <is>
          <t xml:space="preserve">            "ffmpeg", "-y", "-f", "lavfi",</t>
        </is>
      </c>
    </row>
    <row r="59">
      <c r="A59" s="9" t="n">
        <v>56</v>
      </c>
      <c r="B59" s="10" t="inlineStr">
        <is>
          <t xml:space="preserve">            "-i", "color=c=0x808080:s=640x480:d=0.1",</t>
        </is>
      </c>
    </row>
    <row r="60">
      <c r="A60" s="7" t="n">
        <v>57</v>
      </c>
      <c r="B60" s="8" t="inlineStr">
        <is>
          <t xml:space="preserve">            "-frames:v", "1", "-q:v", "2", test_img</t>
        </is>
      </c>
    </row>
    <row r="61">
      <c r="A61" s="9" t="n">
        <v>58</v>
      </c>
      <c r="B61" s="10" t="inlineStr">
        <is>
          <t xml:space="preserve">        ], capture_output=True, timeout=10)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    if not os.path.exists(test_img):</t>
        </is>
      </c>
    </row>
    <row r="64">
      <c r="A64" s="7" t="n">
        <v>61</v>
      </c>
      <c r="B64" s="8" t="inlineStr">
        <is>
          <t xml:space="preserve">            log("WARN", "无法生成测试图片 (ffmpeg可能不可用)，使用已存在的图片")</t>
        </is>
      </c>
    </row>
    <row r="65">
      <c r="A65" s="9" t="n">
        <v>62</v>
      </c>
      <c r="B65" s="10" t="inlineStr">
        <is>
          <t xml:space="preserve">            test_img = None</t>
        </is>
      </c>
    </row>
    <row r="66">
      <c r="A66" s="7" t="n">
        <v>63</v>
      </c>
      <c r="B66" s="8" t="inlineStr">
        <is>
          <t xml:space="preserve">    except Exception as e:</t>
        </is>
      </c>
    </row>
    <row r="67">
      <c r="A67" s="9" t="n">
        <v>64</v>
      </c>
      <c r="B67" s="10" t="inlineStr">
        <is>
          <t xml:space="preserve">        log("WARN", f"ffmpeg 不可用: {e}")</t>
        </is>
      </c>
    </row>
    <row r="68">
      <c r="A68" s="7" t="n">
        <v>65</v>
      </c>
      <c r="B68" s="8" t="inlineStr"/>
    </row>
    <row r="69">
      <c r="A69" s="9" t="n">
        <v>66</v>
      </c>
      <c r="B69" s="10" t="inlineStr">
        <is>
          <t xml:space="preserve">    try:</t>
        </is>
      </c>
    </row>
    <row r="70">
      <c r="A70" s="7" t="n">
        <v>67</v>
      </c>
      <c r="B70" s="8" t="inlineStr">
        <is>
          <t xml:space="preserve">        from core.vision_unified import VisionModel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 xml:space="preserve">        t0 = time.time()</t>
        </is>
      </c>
    </row>
    <row r="73">
      <c r="A73" s="9" t="n">
        <v>70</v>
      </c>
      <c r="B73" s="10" t="inlineStr">
        <is>
          <t xml:space="preserve">        vm = VisionModel()</t>
        </is>
      </c>
    </row>
    <row r="74">
      <c r="A74" s="7" t="n">
        <v>71</v>
      </c>
      <c r="B74" s="8" t="inlineStr">
        <is>
          <t xml:space="preserve">        load_time = time.time() - t0</t>
        </is>
      </c>
    </row>
    <row r="75">
      <c r="A75" s="9" t="n">
        <v>72</v>
      </c>
      <c r="B75" s="10" t="inlineStr">
        <is>
          <t xml:space="preserve">        log("OK", f"模型加载成功 ({load_time:.1f}s)")</t>
        </is>
      </c>
    </row>
    <row r="76">
      <c r="A76" s="7" t="n">
        <v>73</v>
      </c>
      <c r="B76" s="8" t="inlineStr"/>
    </row>
    <row r="77">
      <c r="A77" s="9" t="n">
        <v>74</v>
      </c>
      <c r="B77" s="10" t="inlineStr">
        <is>
          <t xml:space="preserve">        if test_img and os.path.exists(test_img):</t>
        </is>
      </c>
    </row>
    <row r="78">
      <c r="A78" s="7" t="n">
        <v>75</v>
      </c>
      <c r="B78" s="8" t="inlineStr">
        <is>
          <t xml:space="preserve">            t0 = time.time()</t>
        </is>
      </c>
    </row>
    <row r="79">
      <c r="A79" s="9" t="n">
        <v>76</v>
      </c>
      <c r="B79" s="10" t="inlineStr">
        <is>
          <t xml:space="preserve">            result = vm.analyze(test_img)</t>
        </is>
      </c>
    </row>
    <row r="80">
      <c r="A80" s="7" t="n">
        <v>77</v>
      </c>
      <c r="B80" s="8" t="inlineStr">
        <is>
          <t xml:space="preserve">            inf_time = time.time() - t0</t>
        </is>
      </c>
    </row>
    <row r="81">
      <c r="A81" s="9" t="n">
        <v>78</v>
      </c>
      <c r="B81" s="10" t="inlineStr">
        <is>
          <t xml:space="preserve">            log("OK", f"推理完成 ({inf_time:.1f}s): {json.dumps(result, ensure_ascii=False)[:200]}")</t>
        </is>
      </c>
    </row>
    <row r="82">
      <c r="A82" s="7" t="n">
        <v>79</v>
      </c>
      <c r="B82" s="8" t="inlineStr">
        <is>
          <t xml:space="preserve">        else:</t>
        </is>
      </c>
    </row>
    <row r="83">
      <c r="A83" s="9" t="n">
        <v>80</v>
      </c>
      <c r="B83" s="10" t="inlineStr">
        <is>
          <t xml:space="preserve">            log("INFO", "无测试图片，跳过推理。模型加载已验证。")</t>
        </is>
      </c>
    </row>
    <row r="84">
      <c r="A84" s="7" t="n">
        <v>81</v>
      </c>
      <c r="B84" s="8" t="inlineStr">
        <is>
          <t xml:space="preserve">            result = {"status": "model_loaded_only"}</t>
        </is>
      </c>
    </row>
    <row r="85">
      <c r="A85" s="9" t="n">
        <v>82</v>
      </c>
      <c r="B85" s="10" t="inlineStr"/>
    </row>
    <row r="86">
      <c r="A86" s="7" t="n">
        <v>83</v>
      </c>
      <c r="B86" s="8" t="inlineStr">
        <is>
          <t xml:space="preserve">        if test_img and os.path.exists(test_img):</t>
        </is>
      </c>
    </row>
    <row r="87">
      <c r="A87" s="9" t="n">
        <v>84</v>
      </c>
      <c r="B87" s="10" t="inlineStr">
        <is>
          <t xml:space="preserve">            os.remove(test_img)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 xml:space="preserve">        RESULTS.append({"model": "Qwen3-VL-4B", "status": "PASS",</t>
        </is>
      </c>
    </row>
    <row r="90">
      <c r="A90" s="7" t="n">
        <v>87</v>
      </c>
      <c r="B90" s="8" t="inlineStr">
        <is>
          <t xml:space="preserve">                        "load_time": round(load_time, 1),</t>
        </is>
      </c>
    </row>
    <row r="91">
      <c r="A91" s="9" t="n">
        <v>88</v>
      </c>
      <c r="B91" s="10" t="inlineStr">
        <is>
          <t xml:space="preserve">                        "inference_time": round(inf_time if 'inf_time' in dir() else 0, 1),</t>
        </is>
      </c>
    </row>
    <row r="92">
      <c r="A92" s="7" t="n">
        <v>89</v>
      </c>
      <c r="B92" s="8" t="inlineStr">
        <is>
          <t xml:space="preserve">                        "result_keys": list(result.keys())})</t>
        </is>
      </c>
    </row>
    <row r="93">
      <c r="A93" s="9" t="n">
        <v>90</v>
      </c>
      <c r="B93" s="10" t="inlineStr">
        <is>
          <t xml:space="preserve">        return True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>
        <is>
          <t xml:space="preserve">    except Exception as e:</t>
        </is>
      </c>
    </row>
    <row r="96">
      <c r="A96" s="7" t="n">
        <v>93</v>
      </c>
      <c r="B96" s="8" t="inlineStr">
        <is>
          <t xml:space="preserve">        log("FAIL", f"视觉模型测试失败: {e}")</t>
        </is>
      </c>
    </row>
    <row r="97">
      <c r="A97" s="9" t="n">
        <v>94</v>
      </c>
      <c r="B97" s="10" t="inlineStr">
        <is>
          <t xml:space="preserve">        RESULTS.append({"model": "Qwen3-VL-4B", "status": "FAIL", "error": str(e)[:200]})</t>
        </is>
      </c>
    </row>
    <row r="98">
      <c r="A98" s="7" t="n">
        <v>95</v>
      </c>
      <c r="B98" s="8" t="inlineStr">
        <is>
          <t xml:space="preserve">        return False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># ═══════════════════════════════════</t>
        </is>
      </c>
    </row>
    <row r="102">
      <c r="A102" s="7" t="n">
        <v>99</v>
      </c>
      <c r="B102" s="8" t="inlineStr">
        <is>
          <t># 测试 2: 音频模型 (SenseVoice + Whisper)</t>
        </is>
      </c>
    </row>
    <row r="103">
      <c r="A103" s="9" t="n">
        <v>100</v>
      </c>
      <c r="B103" s="10" t="inlineStr">
        <is>
          <t># ═══════════════════════════════════</t>
        </is>
      </c>
    </row>
    <row r="104">
      <c r="A104" s="7" t="n">
        <v>101</v>
      </c>
      <c r="B104" s="8" t="inlineStr">
        <is>
          <t>def test_audio():</t>
        </is>
      </c>
    </row>
    <row r="105">
      <c r="A105" s="9" t="n">
        <v>102</v>
      </c>
      <c r="B105" s="10" t="inlineStr">
        <is>
          <t xml:space="preserve">    """测试 SenseVoice + Whisper 加载"""</t>
        </is>
      </c>
    </row>
    <row r="106">
      <c r="A106" s="7" t="n">
        <v>103</v>
      </c>
      <c r="B106" s="8" t="inlineStr">
        <is>
          <t xml:space="preserve">    log("INFO", "测试音频模型 (SenseVoice + Whisper)...")</t>
        </is>
      </c>
    </row>
    <row r="107">
      <c r="A107" s="9" t="n">
        <v>104</v>
      </c>
      <c r="B107" s="10" t="inlineStr"/>
    </row>
    <row r="108">
      <c r="A108" s="7" t="n">
        <v>105</v>
      </c>
      <c r="B108" s="8" t="inlineStr">
        <is>
          <t xml:space="preserve">    sv_ok = False</t>
        </is>
      </c>
    </row>
    <row r="109">
      <c r="A109" s="9" t="n">
        <v>106</v>
      </c>
      <c r="B109" s="10" t="inlineStr">
        <is>
          <t xml:space="preserve">    wh_ok = False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# Whisper</t>
        </is>
      </c>
    </row>
    <row r="112">
      <c r="A112" s="7" t="n">
        <v>109</v>
      </c>
      <c r="B112" s="8" t="inlineStr">
        <is>
          <t xml:space="preserve">    try:</t>
        </is>
      </c>
    </row>
    <row r="113">
      <c r="A113" s="9" t="n">
        <v>110</v>
      </c>
      <c r="B113" s="10" t="inlineStr">
        <is>
          <t xml:space="preserve">        from core.audio_models import WhisperModel</t>
        </is>
      </c>
    </row>
    <row r="114">
      <c r="A114" s="7" t="n">
        <v>111</v>
      </c>
      <c r="B114" s="8" t="inlineStr">
        <is>
          <t xml:space="preserve">        t0 = time.time()</t>
        </is>
      </c>
    </row>
    <row r="115">
      <c r="A115" s="9" t="n">
        <v>112</v>
      </c>
      <c r="B115" s="10" t="inlineStr">
        <is>
          <t xml:space="preserve">        wm = WhisperModel()</t>
        </is>
      </c>
    </row>
    <row r="116">
      <c r="A116" s="7" t="n">
        <v>113</v>
      </c>
      <c r="B116" s="8" t="inlineStr">
        <is>
          <t xml:space="preserve">        wm._lazy_load()</t>
        </is>
      </c>
    </row>
    <row r="117">
      <c r="A117" s="9" t="n">
        <v>114</v>
      </c>
      <c r="B117" s="10" t="inlineStr">
        <is>
          <t xml:space="preserve">        wh_ok = wm.available</t>
        </is>
      </c>
    </row>
    <row r="118">
      <c r="A118" s="7" t="n">
        <v>115</v>
      </c>
      <c r="B118" s="8" t="inlineStr">
        <is>
          <t xml:space="preserve">        load_time = time.time() - t0</t>
        </is>
      </c>
    </row>
    <row r="119">
      <c r="A119" s="9" t="n">
        <v>116</v>
      </c>
      <c r="B119" s="10" t="inlineStr">
        <is>
          <t xml:space="preserve">        log("OK" if wh_ok else "FAIL",</t>
        </is>
      </c>
    </row>
    <row r="120">
      <c r="A120" s="7" t="n">
        <v>117</v>
      </c>
      <c r="B120" s="8" t="inlineStr">
        <is>
          <t xml:space="preserve">            f"Whisper {'可用' if wh_ok else '不可用'} ({load_time:.1f}s)")</t>
        </is>
      </c>
    </row>
    <row r="121">
      <c r="A121" s="9" t="n">
        <v>118</v>
      </c>
      <c r="B121" s="10" t="inlineStr">
        <is>
          <t xml:space="preserve">    except Exception as e:</t>
        </is>
      </c>
    </row>
    <row r="122">
      <c r="A122" s="7" t="n">
        <v>119</v>
      </c>
      <c r="B122" s="8" t="inlineStr">
        <is>
          <t xml:space="preserve">        log("FAIL", f"Whisper: {e}")</t>
        </is>
      </c>
    </row>
    <row r="123">
      <c r="A123" s="9" t="n">
        <v>120</v>
      </c>
      <c r="B123" s="10" t="inlineStr"/>
    </row>
    <row r="124">
      <c r="A124" s="7" t="n">
        <v>121</v>
      </c>
      <c r="B124" s="8" t="inlineStr">
        <is>
          <t xml:space="preserve">    # SenseVoice</t>
        </is>
      </c>
    </row>
    <row r="125">
      <c r="A125" s="9" t="n">
        <v>122</v>
      </c>
      <c r="B125" s="10" t="inlineStr">
        <is>
          <t xml:space="preserve">    try:</t>
        </is>
      </c>
    </row>
    <row r="126">
      <c r="A126" s="7" t="n">
        <v>123</v>
      </c>
      <c r="B126" s="8" t="inlineStr">
        <is>
          <t xml:space="preserve">        from core.audio_models import SenseVoiceEngine</t>
        </is>
      </c>
    </row>
    <row r="127">
      <c r="A127" s="9" t="n">
        <v>124</v>
      </c>
      <c r="B127" s="10" t="inlineStr">
        <is>
          <t xml:space="preserve">        t0 = time.time()</t>
        </is>
      </c>
    </row>
    <row r="128">
      <c r="A128" s="7" t="n">
        <v>125</v>
      </c>
      <c r="B128" s="8" t="inlineStr">
        <is>
          <t xml:space="preserve">        engine = SenseVoiceEngine(device="cpu")</t>
        </is>
      </c>
    </row>
    <row r="129">
      <c r="A129" s="9" t="n">
        <v>126</v>
      </c>
      <c r="B129" s="10" t="inlineStr">
        <is>
          <t xml:space="preserve">        sv_ok = engine.available</t>
        </is>
      </c>
    </row>
    <row r="130">
      <c r="A130" s="7" t="n">
        <v>127</v>
      </c>
      <c r="B130" s="8" t="inlineStr">
        <is>
          <t xml:space="preserve">        load_time = time.time() - t0</t>
        </is>
      </c>
    </row>
    <row r="131">
      <c r="A131" s="9" t="n">
        <v>128</v>
      </c>
      <c r="B131" s="10" t="inlineStr">
        <is>
          <t xml:space="preserve">        log("OK" if sv_ok else "FAIL",</t>
        </is>
      </c>
    </row>
    <row r="132">
      <c r="A132" s="7" t="n">
        <v>129</v>
      </c>
      <c r="B132" s="8" t="inlineStr">
        <is>
          <t xml:space="preserve">            f"SenseVoice {'可用' if sv_ok else '不可用'} ({load_time:.1f}s)")</t>
        </is>
      </c>
    </row>
    <row r="133">
      <c r="A133" s="9" t="n">
        <v>130</v>
      </c>
      <c r="B133" s="10" t="inlineStr"/>
    </row>
    <row r="134">
      <c r="A134" s="7" t="n">
        <v>131</v>
      </c>
      <c r="B134" s="8" t="inlineStr">
        <is>
          <t xml:space="preserve">        # 如果有测试音频</t>
        </is>
      </c>
    </row>
    <row r="135">
      <c r="A135" s="9" t="n">
        <v>132</v>
      </c>
      <c r="B135" s="10" t="inlineStr">
        <is>
          <t xml:space="preserve">        sv_model_path = PROJECT_ROOT / "models" / "SenseVoiceSmall" / "example" / "zh.mp3"</t>
        </is>
      </c>
    </row>
    <row r="136">
      <c r="A136" s="7" t="n">
        <v>133</v>
      </c>
      <c r="B136" s="8" t="inlineStr">
        <is>
          <t xml:space="preserve">        if sv_ok and sv_model_path.exists():</t>
        </is>
      </c>
    </row>
    <row r="137">
      <c r="A137" s="9" t="n">
        <v>134</v>
      </c>
      <c r="B137" s="10" t="inlineStr">
        <is>
          <t xml:space="preserve">            t0 = time.time()</t>
        </is>
      </c>
    </row>
    <row r="138">
      <c r="A138" s="7" t="n">
        <v>135</v>
      </c>
      <c r="B138" s="8" t="inlineStr">
        <is>
          <t xml:space="preserve">            result = engine.analyze(str(sv_model_path))</t>
        </is>
      </c>
    </row>
    <row r="139">
      <c r="A139" s="9" t="n">
        <v>136</v>
      </c>
      <c r="B139" s="10" t="inlineStr">
        <is>
          <t xml:space="preserve">            inf_time = time.time() - t0</t>
        </is>
      </c>
    </row>
    <row r="140">
      <c r="A140" s="7" t="n">
        <v>137</v>
      </c>
      <c r="B140" s="8" t="inlineStr">
        <is>
          <t xml:space="preserve">            log("OK", f"SenseVoice 推理: emotion={result['emotion']}, "</t>
        </is>
      </c>
    </row>
    <row r="141">
      <c r="A141" s="9" t="n">
        <v>138</v>
      </c>
      <c r="B141" s="10" t="inlineStr">
        <is>
          <t xml:space="preserve">                       f"events={result['events']}, text={result['text'][:50]}...")</t>
        </is>
      </c>
    </row>
    <row r="142">
      <c r="A142" s="7" t="n">
        <v>139</v>
      </c>
      <c r="B142" s="8" t="inlineStr">
        <is>
          <t xml:space="preserve">    except Exception as e:</t>
        </is>
      </c>
    </row>
    <row r="143">
      <c r="A143" s="9" t="n">
        <v>140</v>
      </c>
      <c r="B143" s="10" t="inlineStr">
        <is>
          <t xml:space="preserve">        log("FAIL", f"SenseVoice: {e}")</t>
        </is>
      </c>
    </row>
    <row r="144">
      <c r="A144" s="7" t="n">
        <v>141</v>
      </c>
      <c r="B144" s="8" t="inlineStr"/>
    </row>
    <row r="145">
      <c r="A145" s="9" t="n">
        <v>142</v>
      </c>
      <c r="B145" s="10" t="inlineStr">
        <is>
          <t xml:space="preserve">    RESULTS.append({"model": "SenseVoice+Whisper", "status": "PASS" if (sv_ok or wh_ok) else "FAIL",</t>
        </is>
      </c>
    </row>
    <row r="146">
      <c r="A146" s="7" t="n">
        <v>143</v>
      </c>
      <c r="B146" s="8" t="inlineStr">
        <is>
          <t xml:space="preserve">                    "sensevoice_ok": sv_ok, "whisper_ok": wh_ok})</t>
        </is>
      </c>
    </row>
    <row r="147">
      <c r="A147" s="9" t="n">
        <v>144</v>
      </c>
      <c r="B147" s="10" t="inlineStr">
        <is>
          <t xml:space="preserve">    return sv_ok or wh_ok</t>
        </is>
      </c>
    </row>
    <row r="148">
      <c r="A148" s="7" t="n">
        <v>145</v>
      </c>
      <c r="B148" s="8" t="inlineStr"/>
    </row>
    <row r="149">
      <c r="A149" s="9" t="n">
        <v>146</v>
      </c>
      <c r="B149" s="10" t="inlineStr"/>
    </row>
    <row r="150">
      <c r="A150" s="7" t="n">
        <v>147</v>
      </c>
      <c r="B150" s="8" t="inlineStr">
        <is>
          <t># ═══════════════════════════════════</t>
        </is>
      </c>
    </row>
    <row r="151">
      <c r="A151" s="9" t="n">
        <v>148</v>
      </c>
      <c r="B151" s="10" t="inlineStr">
        <is>
          <t># 测试 3: 知识库 + 匹配</t>
        </is>
      </c>
    </row>
    <row r="152">
      <c r="A152" s="7" t="n">
        <v>149</v>
      </c>
      <c r="B152" s="8" t="inlineStr">
        <is>
          <t># ═══════════════════════════════════</t>
        </is>
      </c>
    </row>
    <row r="153">
      <c r="A153" s="9" t="n">
        <v>150</v>
      </c>
      <c r="B153" s="10" t="inlineStr">
        <is>
          <t>def test_matching():</t>
        </is>
      </c>
    </row>
    <row r="154">
      <c r="A154" s="7" t="n">
        <v>151</v>
      </c>
      <c r="B154" s="8" t="inlineStr">
        <is>
          <t xml:space="preserve">    """测试 KnowledgeBridge + SmartMatcher"""</t>
        </is>
      </c>
    </row>
    <row r="155">
      <c r="A155" s="9" t="n">
        <v>152</v>
      </c>
      <c r="B155" s="10" t="inlineStr">
        <is>
          <t xml:space="preserve">    log("INFO", "测试知识库匹配...")</t>
        </is>
      </c>
    </row>
    <row r="156">
      <c r="A156" s="7" t="n">
        <v>153</v>
      </c>
      <c r="B156" s="8" t="inlineStr"/>
    </row>
    <row r="157">
      <c r="A157" s="9" t="n">
        <v>154</v>
      </c>
      <c r="B157" s="10" t="inlineStr">
        <is>
          <t xml:space="preserve">    kb_ok = False</t>
        </is>
      </c>
    </row>
    <row r="158">
      <c r="A158" s="7" t="n">
        <v>155</v>
      </c>
      <c r="B158" s="8" t="inlineStr">
        <is>
          <t xml:space="preserve">    match_ok = False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 xml:space="preserve">    # KnowledgeBridge</t>
        </is>
      </c>
    </row>
    <row r="161">
      <c r="A161" s="9" t="n">
        <v>158</v>
      </c>
      <c r="B161" s="10" t="inlineStr">
        <is>
          <t xml:space="preserve">    try:</t>
        </is>
      </c>
    </row>
    <row r="162">
      <c r="A162" s="7" t="n">
        <v>159</v>
      </c>
      <c r="B162" s="8" t="inlineStr">
        <is>
          <t xml:space="preserve">        from utils.knowledge import get_bridge</t>
        </is>
      </c>
    </row>
    <row r="163">
      <c r="A163" s="9" t="n">
        <v>160</v>
      </c>
      <c r="B163" s="10" t="inlineStr">
        <is>
          <t xml:space="preserve">        kb = get_bridge()</t>
        </is>
      </c>
    </row>
    <row r="164">
      <c r="A164" s="7" t="n">
        <v>161</v>
      </c>
      <c r="B164" s="8" t="inlineStr">
        <is>
          <t xml:space="preserve">        t0 = time.time()</t>
        </is>
      </c>
    </row>
    <row r="165">
      <c r="A165" s="9" t="n">
        <v>162</v>
      </c>
      <c r="B165" s="10" t="inlineStr">
        <is>
          <t xml:space="preserve">        kws = kb.extract_copy_keywords("奶油风伸缩岩板岛台 海棠角工艺 轨道插座")</t>
        </is>
      </c>
    </row>
    <row r="166">
      <c r="A166" s="7" t="n">
        <v>163</v>
      </c>
      <c r="B166" s="8" t="inlineStr">
        <is>
          <t xml:space="preserve">        elapsed = time.time() - t0</t>
        </is>
      </c>
    </row>
    <row r="167">
      <c r="A167" s="9" t="n">
        <v>164</v>
      </c>
      <c r="B167" s="10" t="inlineStr">
        <is>
          <t xml:space="preserve">        total = sum(len(v) for v in kws.values())</t>
        </is>
      </c>
    </row>
    <row r="168">
      <c r="A168" s="7" t="n">
        <v>165</v>
      </c>
      <c r="B168" s="8" t="inlineStr">
        <is>
          <t xml:space="preserve">        kb_ok = total &gt;= 2</t>
        </is>
      </c>
    </row>
    <row r="169">
      <c r="A169" s="9" t="n">
        <v>166</v>
      </c>
      <c r="B169" s="10" t="inlineStr">
        <is>
          <t xml:space="preserve">        log("OK" if kb_ok else "WARN",</t>
        </is>
      </c>
    </row>
    <row r="170">
      <c r="A170" s="7" t="n">
        <v>167</v>
      </c>
      <c r="B170" s="8" t="inlineStr">
        <is>
          <t xml:space="preserve">            f"知识库: {total} 个行业术语 ({elapsed:.3f}s) — "</t>
        </is>
      </c>
    </row>
    <row r="171">
      <c r="A171" s="9" t="n">
        <v>168</v>
      </c>
      <c r="B171" s="10" t="inlineStr">
        <is>
          <t xml:space="preserve">            f"{dict((k, list(v)[:3]) for k,v in kws.items() if v)}")</t>
        </is>
      </c>
    </row>
    <row r="172">
      <c r="A172" s="7" t="n">
        <v>169</v>
      </c>
      <c r="B172" s="8" t="inlineStr">
        <is>
          <t xml:space="preserve">    except Exception as e:</t>
        </is>
      </c>
    </row>
    <row r="173">
      <c r="A173" s="9" t="n">
        <v>170</v>
      </c>
      <c r="B173" s="10" t="inlineStr">
        <is>
          <t xml:space="preserve">        log("FAIL", f"KnowledgeBridge: {e}")</t>
        </is>
      </c>
    </row>
    <row r="174">
      <c r="A174" s="7" t="n">
        <v>171</v>
      </c>
      <c r="B174" s="8" t="inlineStr"/>
    </row>
    <row r="175">
      <c r="A175" s="9" t="n">
        <v>172</v>
      </c>
      <c r="B175" s="10" t="inlineStr">
        <is>
          <t xml:space="preserve">    # SmartMatcher</t>
        </is>
      </c>
    </row>
    <row r="176">
      <c r="A176" s="7" t="n">
        <v>173</v>
      </c>
      <c r="B176" s="8" t="inlineStr">
        <is>
          <t xml:space="preserve">    try:</t>
        </is>
      </c>
    </row>
    <row r="177">
      <c r="A177" s="9" t="n">
        <v>174</v>
      </c>
      <c r="B177" s="10" t="inlineStr">
        <is>
          <t xml:space="preserve">        from core.pipeline import ai_match_clips</t>
        </is>
      </c>
    </row>
    <row r="178">
      <c r="A178" s="7" t="n">
        <v>175</v>
      </c>
      <c r="B178" s="8" t="inlineStr">
        <is>
          <t xml:space="preserve">        t0 = time.time()</t>
        </is>
      </c>
    </row>
    <row r="179">
      <c r="A179" s="9" t="n">
        <v>176</v>
      </c>
      <c r="B179" s="10" t="inlineStr">
        <is>
          <t xml:space="preserve">        clips = ai_match_clips("奶油风伸缩岩板岛台", num_clips=6)</t>
        </is>
      </c>
    </row>
    <row r="180">
      <c r="A180" s="7" t="n">
        <v>177</v>
      </c>
      <c r="B180" s="8" t="inlineStr">
        <is>
          <t xml:space="preserve">        elapsed = time.time() - t0</t>
        </is>
      </c>
    </row>
    <row r="181">
      <c r="A181" s="9" t="n">
        <v>178</v>
      </c>
      <c r="B181" s="10" t="inlineStr">
        <is>
          <t xml:space="preserve">        match_ok = len(clips) &gt; 0</t>
        </is>
      </c>
    </row>
    <row r="182">
      <c r="A182" s="7" t="n">
        <v>179</v>
      </c>
      <c r="B182" s="8" t="inlineStr">
        <is>
          <t xml:space="preserve">        if match_ok:</t>
        </is>
      </c>
    </row>
    <row r="183">
      <c r="A183" s="9" t="n">
        <v>180</v>
      </c>
      <c r="B183" s="10" t="inlineStr">
        <is>
          <t xml:space="preserve">            methods = set(c.get("match_method", "?") for c in clips)</t>
        </is>
      </c>
    </row>
    <row r="184">
      <c r="A184" s="7" t="n">
        <v>181</v>
      </c>
      <c r="B184" s="8" t="inlineStr">
        <is>
          <t xml:space="preserve">            scores = [c.get("match_score", 0) for c in clips]</t>
        </is>
      </c>
    </row>
    <row r="185">
      <c r="A185" s="9" t="n">
        <v>182</v>
      </c>
      <c r="B185" s="10" t="inlineStr">
        <is>
          <t xml:space="preserve">            log("OK", f"匹配: {len(clips)} 个片段, 方法={methods}, "</t>
        </is>
      </c>
    </row>
    <row r="186">
      <c r="A186" s="7" t="n">
        <v>183</v>
      </c>
      <c r="B186" s="8" t="inlineStr">
        <is>
          <t xml:space="preserve">                       f"平均分={sum(scores)/len(scores):.2f} ({elapsed:.1f}s)")</t>
        </is>
      </c>
    </row>
    <row r="187">
      <c r="A187" s="9" t="n">
        <v>184</v>
      </c>
      <c r="B187" s="10" t="inlineStr">
        <is>
          <t xml:space="preserve">        else:</t>
        </is>
      </c>
    </row>
    <row r="188">
      <c r="A188" s="7" t="n">
        <v>185</v>
      </c>
      <c r="B188" s="8" t="inlineStr">
        <is>
          <t xml:space="preserve">            log("WARN", f"匹配: 0 个片段 ({elapsed:.1f}s) — 可能需要重建 FAISS 索引")</t>
        </is>
      </c>
    </row>
    <row r="189">
      <c r="A189" s="9" t="n">
        <v>186</v>
      </c>
      <c r="B189" s="10" t="inlineStr">
        <is>
          <t xml:space="preserve">            log("INFO", "运行: python force_rebuild_faiss.py")</t>
        </is>
      </c>
    </row>
    <row r="190">
      <c r="A190" s="7" t="n">
        <v>187</v>
      </c>
      <c r="B190" s="8" t="inlineStr">
        <is>
          <t xml:space="preserve">    except Exception as e:</t>
        </is>
      </c>
    </row>
    <row r="191">
      <c r="A191" s="9" t="n">
        <v>188</v>
      </c>
      <c r="B191" s="10" t="inlineStr">
        <is>
          <t xml:space="preserve">        log("FAIL", f"SmartMatcher: {e}")</t>
        </is>
      </c>
    </row>
    <row r="192">
      <c r="A192" s="7" t="n">
        <v>189</v>
      </c>
      <c r="B192" s="8" t="inlineStr"/>
    </row>
    <row r="193">
      <c r="A193" s="9" t="n">
        <v>190</v>
      </c>
      <c r="B193" s="10" t="inlineStr">
        <is>
          <t xml:space="preserve">    RESULTS.append({"model": "KnowledgeBridge+SmartMatcher", "status": "PASS" if (kb_ok and match_ok) else "WARN",</t>
        </is>
      </c>
    </row>
    <row r="194">
      <c r="A194" s="7" t="n">
        <v>191</v>
      </c>
      <c r="B194" s="8" t="inlineStr">
        <is>
          <t xml:space="preserve">                    "kb_ok": kb_ok, "match_ok": match_ok, "clips_found": len(clips) if 'clips' in dir() else 0})</t>
        </is>
      </c>
    </row>
    <row r="195">
      <c r="A195" s="9" t="n">
        <v>192</v>
      </c>
      <c r="B195" s="10" t="inlineStr">
        <is>
          <t xml:space="preserve">    return kb_ok</t>
        </is>
      </c>
    </row>
    <row r="196">
      <c r="A196" s="7" t="n">
        <v>193</v>
      </c>
      <c r="B196" s="8" t="inlineStr"/>
    </row>
    <row r="197">
      <c r="A197" s="9" t="n">
        <v>194</v>
      </c>
      <c r="B197" s="10" t="inlineStr"/>
    </row>
    <row r="198">
      <c r="A198" s="7" t="n">
        <v>195</v>
      </c>
      <c r="B198" s="8" t="inlineStr">
        <is>
          <t># ═══════════════════════════════════</t>
        </is>
      </c>
    </row>
    <row r="199">
      <c r="A199" s="9" t="n">
        <v>196</v>
      </c>
      <c r="B199" s="10" t="inlineStr">
        <is>
          <t># 测试 4: 学习闭环 (数据库审计)</t>
        </is>
      </c>
    </row>
    <row r="200">
      <c r="A200" s="7" t="n">
        <v>197</v>
      </c>
      <c r="B200" s="8" t="inlineStr">
        <is>
          <t># ═══════════════════════════════════</t>
        </is>
      </c>
    </row>
    <row r="201">
      <c r="A201" s="9" t="n">
        <v>198</v>
      </c>
      <c r="B201" s="10" t="inlineStr">
        <is>
          <t>def test_learning_loop():</t>
        </is>
      </c>
    </row>
    <row r="202">
      <c r="A202" s="7" t="n">
        <v>199</v>
      </c>
      <c r="B202" s="8" t="inlineStr">
        <is>
          <t xml:space="preserve">    """检查学习闭环数据"""</t>
        </is>
      </c>
    </row>
    <row r="203">
      <c r="A203" s="9" t="n">
        <v>200</v>
      </c>
      <c r="B203" s="10" t="inlineStr">
        <is>
          <t xml:space="preserve">    log("INFO", "检查学习闭环状态...")</t>
        </is>
      </c>
    </row>
    <row r="204">
      <c r="A204" s="7" t="n">
        <v>201</v>
      </c>
      <c r="B204" s="8" t="inlineStr">
        <is>
          <t xml:space="preserve">    import sqlite3</t>
        </is>
      </c>
    </row>
    <row r="205">
      <c r="A205" s="9" t="n">
        <v>202</v>
      </c>
      <c r="B205" s="10" t="inlineStr"/>
    </row>
    <row r="206">
      <c r="A206" s="7" t="n">
        <v>203</v>
      </c>
      <c r="B206" s="8" t="inlineStr">
        <is>
          <t xml:space="preserve">    db_path = PROJECT_ROOT / "ai_material_library.db"</t>
        </is>
      </c>
    </row>
    <row r="207">
      <c r="A207" s="9" t="n">
        <v>204</v>
      </c>
      <c r="B207" s="10" t="inlineStr">
        <is>
          <t xml:space="preserve">    if not db_path.exists():</t>
        </is>
      </c>
    </row>
    <row r="208">
      <c r="A208" s="7" t="n">
        <v>205</v>
      </c>
      <c r="B208" s="8" t="inlineStr">
        <is>
          <t xml:space="preserve">        log("WARN", "ai_material_library.db 不存在，跳过学习闭环检查")</t>
        </is>
      </c>
    </row>
    <row r="209">
      <c r="A209" s="9" t="n">
        <v>206</v>
      </c>
      <c r="B209" s="10" t="inlineStr">
        <is>
          <t xml:space="preserve">        RESULTS.append({"model": "学习闭环", "status": "WARN", "error": "DB不存在"})</t>
        </is>
      </c>
    </row>
    <row r="210">
      <c r="A210" s="7" t="n">
        <v>207</v>
      </c>
      <c r="B210" s="8" t="inlineStr">
        <is>
          <t xml:space="preserve">        return False</t>
        </is>
      </c>
    </row>
    <row r="211">
      <c r="A211" s="9" t="n">
        <v>208</v>
      </c>
      <c r="B211" s="10" t="inlineStr"/>
    </row>
    <row r="212">
      <c r="A212" s="7" t="n">
        <v>209</v>
      </c>
      <c r="B212" s="8" t="inlineStr">
        <is>
          <t xml:space="preserve">    conn = sqlite3.connect(str(db_path))</t>
        </is>
      </c>
    </row>
    <row r="213">
      <c r="A213" s="9" t="n">
        <v>210</v>
      </c>
      <c r="B213" s="10" t="inlineStr"/>
    </row>
    <row r="214">
      <c r="A214" s="7" t="n">
        <v>211</v>
      </c>
      <c r="B214" s="8" t="inlineStr">
        <is>
          <t xml:space="preserve">    # analysis_log</t>
        </is>
      </c>
    </row>
    <row r="215">
      <c r="A215" s="9" t="n">
        <v>212</v>
      </c>
      <c r="B215" s="10" t="inlineStr">
        <is>
          <t xml:space="preserve">    log_count = conn.execute("SELECT COUNT(*) FROM analysis_log").fetchone()[0]</t>
        </is>
      </c>
    </row>
    <row r="216">
      <c r="A216" s="7" t="n">
        <v>213</v>
      </c>
      <c r="B216" s="8" t="inlineStr">
        <is>
          <t xml:space="preserve">    log("INFO", f"analysis_log: {log_count} 条分析记录")</t>
        </is>
      </c>
    </row>
    <row r="217">
      <c r="A217" s="9" t="n">
        <v>214</v>
      </c>
      <c r="B217" s="10" t="inlineStr"/>
    </row>
    <row r="218">
      <c r="A218" s="7" t="n">
        <v>215</v>
      </c>
      <c r="B218" s="8" t="inlineStr">
        <is>
          <t xml:space="preserve">    # feedback</t>
        </is>
      </c>
    </row>
    <row r="219">
      <c r="A219" s="9" t="n">
        <v>216</v>
      </c>
      <c r="B219" s="10" t="inlineStr">
        <is>
          <t xml:space="preserve">    fb_count = 0</t>
        </is>
      </c>
    </row>
    <row r="220">
      <c r="A220" s="7" t="n">
        <v>217</v>
      </c>
      <c r="B220" s="8" t="inlineStr">
        <is>
          <t xml:space="preserve">    try:</t>
        </is>
      </c>
    </row>
    <row r="221">
      <c r="A221" s="9" t="n">
        <v>218</v>
      </c>
      <c r="B221" s="10" t="inlineStr">
        <is>
          <t xml:space="preserve">        fb_count = conn.execute("SELECT COUNT(*) FROM annotation_feedback").fetchone()[0]</t>
        </is>
      </c>
    </row>
    <row r="222">
      <c r="A222" s="7" t="n">
        <v>219</v>
      </c>
      <c r="B222" s="8" t="inlineStr">
        <is>
          <t xml:space="preserve">    except Exception:</t>
        </is>
      </c>
    </row>
    <row r="223">
      <c r="A223" s="9" t="n">
        <v>220</v>
      </c>
      <c r="B223" s="10" t="inlineStr">
        <is>
          <t xml:space="preserve">        pass</t>
        </is>
      </c>
    </row>
    <row r="224">
      <c r="A224" s="7" t="n">
        <v>221</v>
      </c>
      <c r="B224" s="8" t="inlineStr">
        <is>
          <t xml:space="preserve">    log("INFO", f"annotation_feedback: {fb_count} 条反馈")</t>
        </is>
      </c>
    </row>
    <row r="225">
      <c r="A225" s="9" t="n">
        <v>222</v>
      </c>
      <c r="B225" s="10" t="inlineStr"/>
    </row>
    <row r="226">
      <c r="A226" s="7" t="n">
        <v>223</v>
      </c>
      <c r="B226" s="8" t="inlineStr">
        <is>
          <t xml:space="preserve">    # tag_learning</t>
        </is>
      </c>
    </row>
    <row r="227">
      <c r="A227" s="9" t="n">
        <v>224</v>
      </c>
      <c r="B227" s="10" t="inlineStr">
        <is>
          <t xml:space="preserve">    tl_count = 0</t>
        </is>
      </c>
    </row>
    <row r="228">
      <c r="A228" s="7" t="n">
        <v>225</v>
      </c>
      <c r="B228" s="8" t="inlineStr">
        <is>
          <t xml:space="preserve">    try:</t>
        </is>
      </c>
    </row>
    <row r="229">
      <c r="A229" s="9" t="n">
        <v>226</v>
      </c>
      <c r="B229" s="10" t="inlineStr">
        <is>
          <t xml:space="preserve">        tl_count = conn.execute("SELECT COUNT(*) FROM tag_learning").fetchone()[0]</t>
        </is>
      </c>
    </row>
    <row r="230">
      <c r="A230" s="7" t="n">
        <v>227</v>
      </c>
      <c r="B230" s="8" t="inlineStr">
        <is>
          <t xml:space="preserve">    except Exception:</t>
        </is>
      </c>
    </row>
    <row r="231">
      <c r="A231" s="9" t="n">
        <v>228</v>
      </c>
      <c r="B231" s="10" t="inlineStr">
        <is>
          <t xml:space="preserve">        pass</t>
        </is>
      </c>
    </row>
    <row r="232">
      <c r="A232" s="7" t="n">
        <v>229</v>
      </c>
      <c r="B232" s="8" t="inlineStr">
        <is>
          <t xml:space="preserve">    log("INFO", f"tag_learning: {tl_count} 条学习记录")</t>
        </is>
      </c>
    </row>
    <row r="233">
      <c r="A233" s="9" t="n">
        <v>230</v>
      </c>
      <c r="B233" s="10" t="inlineStr"/>
    </row>
    <row r="234">
      <c r="A234" s="7" t="n">
        <v>231</v>
      </c>
      <c r="B234" s="8" t="inlineStr">
        <is>
          <t xml:space="preserve">    conn.close()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 xml:space="preserve">    status = "PASS" if log_count &gt; 0 else "WARN"</t>
        </is>
      </c>
    </row>
    <row r="237">
      <c r="A237" s="9" t="n">
        <v>234</v>
      </c>
      <c r="B237" s="10" t="inlineStr">
        <is>
          <t xml:space="preserve">    RESULTS.append({</t>
        </is>
      </c>
    </row>
    <row r="238">
      <c r="A238" s="7" t="n">
        <v>235</v>
      </c>
      <c r="B238" s="8" t="inlineStr">
        <is>
          <t xml:space="preserve">        "model": "学习闭环",</t>
        </is>
      </c>
    </row>
    <row r="239">
      <c r="A239" s="9" t="n">
        <v>236</v>
      </c>
      <c r="B239" s="10" t="inlineStr">
        <is>
          <t xml:space="preserve">        "status": status,</t>
        </is>
      </c>
    </row>
    <row r="240">
      <c r="A240" s="7" t="n">
        <v>237</v>
      </c>
      <c r="B240" s="8" t="inlineStr">
        <is>
          <t xml:space="preserve">        "analysis_logs": log_count,</t>
        </is>
      </c>
    </row>
    <row r="241">
      <c r="A241" s="9" t="n">
        <v>238</v>
      </c>
      <c r="B241" s="10" t="inlineStr">
        <is>
          <t xml:space="preserve">        "feedback_count": fb_count,</t>
        </is>
      </c>
    </row>
    <row r="242">
      <c r="A242" s="7" t="n">
        <v>239</v>
      </c>
      <c r="B242" s="8" t="inlineStr">
        <is>
          <t xml:space="preserve">        "tag_learning_count": tl_count,</t>
        </is>
      </c>
    </row>
    <row r="243">
      <c r="A243" s="9" t="n">
        <v>240</v>
      </c>
      <c r="B243" s="10" t="inlineStr">
        <is>
          <t xml:space="preserve">    })</t>
        </is>
      </c>
    </row>
    <row r="244">
      <c r="A244" s="7" t="n">
        <v>241</v>
      </c>
      <c r="B244" s="8" t="inlineStr">
        <is>
          <t xml:space="preserve">    return True</t>
        </is>
      </c>
    </row>
    <row r="245">
      <c r="A245" s="9" t="n">
        <v>242</v>
      </c>
      <c r="B245" s="10" t="inlineStr"/>
    </row>
    <row r="246">
      <c r="A246" s="7" t="n">
        <v>243</v>
      </c>
      <c r="B246" s="8" t="inlineStr"/>
    </row>
    <row r="247">
      <c r="A247" s="9" t="n">
        <v>244</v>
      </c>
      <c r="B247" s="10" t="inlineStr">
        <is>
          <t># ═══════════════════════════════════</t>
        </is>
      </c>
    </row>
    <row r="248">
      <c r="A248" s="7" t="n">
        <v>245</v>
      </c>
      <c r="B248" s="8" t="inlineStr">
        <is>
          <t># MAIN</t>
        </is>
      </c>
    </row>
    <row r="249">
      <c r="A249" s="9" t="n">
        <v>246</v>
      </c>
      <c r="B249" s="10" t="inlineStr">
        <is>
          <t># ═══════════════════════════════════</t>
        </is>
      </c>
    </row>
    <row r="250">
      <c r="A250" s="7" t="n">
        <v>247</v>
      </c>
      <c r="B250" s="8" t="inlineStr">
        <is>
          <t>def main():</t>
        </is>
      </c>
    </row>
    <row r="251">
      <c r="A251" s="9" t="n">
        <v>248</v>
      </c>
      <c r="B251" s="10" t="inlineStr">
        <is>
          <t xml:space="preserve">    parser = argparse.ArgumentParser(description="TreeCut Model Execution Test")</t>
        </is>
      </c>
    </row>
    <row r="252">
      <c r="A252" s="7" t="n">
        <v>249</v>
      </c>
      <c r="B252" s="8" t="inlineStr">
        <is>
          <t xml:space="preserve">    parser.add_argument("--vision-only", action="store_true")</t>
        </is>
      </c>
    </row>
    <row r="253">
      <c r="A253" s="9" t="n">
        <v>250</v>
      </c>
      <c r="B253" s="10" t="inlineStr">
        <is>
          <t xml:space="preserve">    parser.add_argument("--audio-only", action="store_true")</t>
        </is>
      </c>
    </row>
    <row r="254">
      <c r="A254" s="7" t="n">
        <v>251</v>
      </c>
      <c r="B254" s="8" t="inlineStr">
        <is>
          <t xml:space="preserve">    parser.add_argument("--match-only", action="store_true")</t>
        </is>
      </c>
    </row>
    <row r="255">
      <c r="A255" s="9" t="n">
        <v>252</v>
      </c>
      <c r="B255" s="10" t="inlineStr">
        <is>
          <t xml:space="preserve">    parser.add_argument("--full", action="store_true", default=True)</t>
        </is>
      </c>
    </row>
    <row r="256">
      <c r="A256" s="7" t="n">
        <v>253</v>
      </c>
      <c r="B256" s="8" t="inlineStr"/>
    </row>
    <row r="257">
      <c r="A257" s="9" t="n">
        <v>254</v>
      </c>
      <c r="B257" s="10" t="inlineStr">
        <is>
          <t xml:space="preserve">    args = parser.parse_args()</t>
        </is>
      </c>
    </row>
    <row r="258">
      <c r="A258" s="7" t="n">
        <v>255</v>
      </c>
      <c r="B258" s="8" t="inlineStr"/>
    </row>
    <row r="259">
      <c r="A259" s="9" t="n">
        <v>256</v>
      </c>
      <c r="B259" s="10" t="inlineStr">
        <is>
          <t xml:space="preserve">    print("=" * 60)</t>
        </is>
      </c>
    </row>
    <row r="260">
      <c r="A260" s="7" t="n">
        <v>257</v>
      </c>
      <c r="B260" s="8" t="inlineStr">
        <is>
          <t xml:space="preserve">    print("  树剪 TreeCut v11.0 — 核心模型执行测试")</t>
        </is>
      </c>
    </row>
    <row r="261">
      <c r="A261" s="9" t="n">
        <v>258</v>
      </c>
      <c r="B261" s="10" t="inlineStr">
        <is>
          <t xml:space="preserve">    print(f"  时间: {datetime.now().strftime('%Y-%m-%d %H:%M:%S')}")</t>
        </is>
      </c>
    </row>
    <row r="262">
      <c r="A262" s="7" t="n">
        <v>259</v>
      </c>
      <c r="B262" s="8" t="inlineStr">
        <is>
          <t xml:space="preserve">    print("=" * 60)</t>
        </is>
      </c>
    </row>
    <row r="263">
      <c r="A263" s="9" t="n">
        <v>260</v>
      </c>
      <c r="B263" s="10" t="inlineStr"/>
    </row>
    <row r="264">
      <c r="A264" s="7" t="n">
        <v>261</v>
      </c>
      <c r="B264" s="8" t="inlineStr">
        <is>
          <t xml:space="preserve">    if args.vision_only:</t>
        </is>
      </c>
    </row>
    <row r="265">
      <c r="A265" s="9" t="n">
        <v>262</v>
      </c>
      <c r="B265" s="10" t="inlineStr">
        <is>
          <t xml:space="preserve">        test_vision()</t>
        </is>
      </c>
    </row>
    <row r="266">
      <c r="A266" s="7" t="n">
        <v>263</v>
      </c>
      <c r="B266" s="8" t="inlineStr">
        <is>
          <t xml:space="preserve">    elif args.audio_only:</t>
        </is>
      </c>
    </row>
    <row r="267">
      <c r="A267" s="9" t="n">
        <v>264</v>
      </c>
      <c r="B267" s="10" t="inlineStr">
        <is>
          <t xml:space="preserve">        test_audio()</t>
        </is>
      </c>
    </row>
    <row r="268">
      <c r="A268" s="7" t="n">
        <v>265</v>
      </c>
      <c r="B268" s="8" t="inlineStr">
        <is>
          <t xml:space="preserve">    elif args.match_only:</t>
        </is>
      </c>
    </row>
    <row r="269">
      <c r="A269" s="9" t="n">
        <v>266</v>
      </c>
      <c r="B269" s="10" t="inlineStr">
        <is>
          <t xml:space="preserve">        test_matching()</t>
        </is>
      </c>
    </row>
    <row r="270">
      <c r="A270" s="7" t="n">
        <v>267</v>
      </c>
      <c r="B270" s="8" t="inlineStr">
        <is>
          <t xml:space="preserve">    else:</t>
        </is>
      </c>
    </row>
    <row r="271">
      <c r="A271" s="9" t="n">
        <v>268</v>
      </c>
      <c r="B271" s="10" t="inlineStr">
        <is>
          <t xml:space="preserve">        print("\n── [1/4] 视觉模型 ──")</t>
        </is>
      </c>
    </row>
    <row r="272">
      <c r="A272" s="7" t="n">
        <v>269</v>
      </c>
      <c r="B272" s="8" t="inlineStr">
        <is>
          <t xml:space="preserve">        test_vision()</t>
        </is>
      </c>
    </row>
    <row r="273">
      <c r="A273" s="9" t="n">
        <v>270</v>
      </c>
      <c r="B273" s="10" t="inlineStr"/>
    </row>
    <row r="274">
      <c r="A274" s="7" t="n">
        <v>271</v>
      </c>
      <c r="B274" s="8" t="inlineStr">
        <is>
          <t xml:space="preserve">        print("\n── [2/4] 音频模型 ──")</t>
        </is>
      </c>
    </row>
    <row r="275">
      <c r="A275" s="9" t="n">
        <v>272</v>
      </c>
      <c r="B275" s="10" t="inlineStr">
        <is>
          <t xml:space="preserve">        test_audio()</t>
        </is>
      </c>
    </row>
    <row r="276">
      <c r="A276" s="7" t="n">
        <v>273</v>
      </c>
      <c r="B276" s="8" t="inlineStr"/>
    </row>
    <row r="277">
      <c r="A277" s="9" t="n">
        <v>274</v>
      </c>
      <c r="B277" s="10" t="inlineStr">
        <is>
          <t xml:space="preserve">        print("\n── [3/4] 匹配引擎 ──")</t>
        </is>
      </c>
    </row>
    <row r="278">
      <c r="A278" s="7" t="n">
        <v>275</v>
      </c>
      <c r="B278" s="8" t="inlineStr">
        <is>
          <t xml:space="preserve">        test_matching()</t>
        </is>
      </c>
    </row>
    <row r="279">
      <c r="A279" s="9" t="n">
        <v>276</v>
      </c>
      <c r="B279" s="10" t="inlineStr"/>
    </row>
    <row r="280">
      <c r="A280" s="7" t="n">
        <v>277</v>
      </c>
      <c r="B280" s="8" t="inlineStr">
        <is>
          <t xml:space="preserve">        print("\n── [4/4] 学习闭环 ──")</t>
        </is>
      </c>
    </row>
    <row r="281">
      <c r="A281" s="9" t="n">
        <v>278</v>
      </c>
      <c r="B281" s="10" t="inlineStr">
        <is>
          <t xml:space="preserve">        test_learning_loop()</t>
        </is>
      </c>
    </row>
    <row r="282">
      <c r="A282" s="7" t="n">
        <v>279</v>
      </c>
      <c r="B282" s="8" t="inlineStr"/>
    </row>
    <row r="283">
      <c r="A283" s="9" t="n">
        <v>280</v>
      </c>
      <c r="B283" s="10" t="inlineStr">
        <is>
          <t xml:space="preserve">    # ── 输出表格报告 ──</t>
        </is>
      </c>
    </row>
    <row r="284">
      <c r="A284" s="7" t="n">
        <v>281</v>
      </c>
      <c r="B284" s="8" t="inlineStr">
        <is>
          <t xml:space="preserve">    print("\n" + "=" * 80)</t>
        </is>
      </c>
    </row>
    <row r="285">
      <c r="A285" s="9" t="n">
        <v>282</v>
      </c>
      <c r="B285" s="10" t="inlineStr">
        <is>
          <t xml:space="preserve">    print("  测试结果汇总")</t>
        </is>
      </c>
    </row>
    <row r="286">
      <c r="A286" s="7" t="n">
        <v>283</v>
      </c>
      <c r="B286" s="8" t="inlineStr">
        <is>
          <t xml:space="preserve">    print("=" * 80)</t>
        </is>
      </c>
    </row>
    <row r="287">
      <c r="A287" s="9" t="n">
        <v>284</v>
      </c>
      <c r="B287" s="10" t="inlineStr">
        <is>
          <t xml:space="preserve">    print(f"  {'模型':&lt;28s} {'状态':&lt;8s} {'详情'}")</t>
        </is>
      </c>
    </row>
    <row r="288">
      <c r="A288" s="7" t="n">
        <v>285</v>
      </c>
      <c r="B288" s="8" t="inlineStr">
        <is>
          <t xml:space="preserve">    print(f"  {'-'*28} {'-'*8} {'-'*45}")</t>
        </is>
      </c>
    </row>
    <row r="289">
      <c r="A289" s="9" t="n">
        <v>286</v>
      </c>
      <c r="B289" s="10" t="inlineStr"/>
    </row>
    <row r="290">
      <c r="A290" s="7" t="n">
        <v>287</v>
      </c>
      <c r="B290" s="8" t="inlineStr">
        <is>
          <t xml:space="preserve">    all_pass = True</t>
        </is>
      </c>
    </row>
    <row r="291">
      <c r="A291" s="9" t="n">
        <v>288</v>
      </c>
      <c r="B291" s="10" t="inlineStr">
        <is>
          <t xml:space="preserve">    for r in RESULTS:</t>
        </is>
      </c>
    </row>
    <row r="292">
      <c r="A292" s="7" t="n">
        <v>289</v>
      </c>
      <c r="B292" s="8" t="inlineStr">
        <is>
          <t xml:space="preserve">        icon = "[OK]" if r["status"] == "PASS" else ("[WARN]" if r["status"] == "WARN" else "[FAIL]")</t>
        </is>
      </c>
    </row>
    <row r="293">
      <c r="A293" s="9" t="n">
        <v>290</v>
      </c>
      <c r="B293" s="10" t="inlineStr">
        <is>
          <t xml:space="preserve">        details = ""</t>
        </is>
      </c>
    </row>
    <row r="294">
      <c r="A294" s="7" t="n">
        <v>291</v>
      </c>
      <c r="B294" s="8" t="inlineStr">
        <is>
          <t xml:space="preserve">        if "load_time" in r:</t>
        </is>
      </c>
    </row>
    <row r="295">
      <c r="A295" s="9" t="n">
        <v>292</v>
      </c>
      <c r="B295" s="10" t="inlineStr">
        <is>
          <t xml:space="preserve">            details = f"加载{r['load_time']}s"</t>
        </is>
      </c>
    </row>
    <row r="296">
      <c r="A296" s="7" t="n">
        <v>293</v>
      </c>
      <c r="B296" s="8" t="inlineStr">
        <is>
          <t xml:space="preserve">        if "sensevoice_ok" in r:</t>
        </is>
      </c>
    </row>
    <row r="297">
      <c r="A297" s="9" t="n">
        <v>294</v>
      </c>
      <c r="B297" s="10" t="inlineStr">
        <is>
          <t xml:space="preserve">            details = f"SV={'OK' if r['sensevoice_ok'] else 'FAIL'}, WH={'OK' if r['whisper_ok'] else 'FAIL'}"</t>
        </is>
      </c>
    </row>
    <row r="298">
      <c r="A298" s="7" t="n">
        <v>295</v>
      </c>
      <c r="B298" s="8" t="inlineStr">
        <is>
          <t xml:space="preserve">        if "clips_found" in r:</t>
        </is>
      </c>
    </row>
    <row r="299">
      <c r="A299" s="9" t="n">
        <v>296</v>
      </c>
      <c r="B299" s="10" t="inlineStr">
        <is>
          <t xml:space="preserve">            details = f"找到{r['clips_found']}个片段"</t>
        </is>
      </c>
    </row>
    <row r="300">
      <c r="A300" s="7" t="n">
        <v>297</v>
      </c>
      <c r="B300" s="8" t="inlineStr">
        <is>
          <t xml:space="preserve">        if "analysis_logs" in r:</t>
        </is>
      </c>
    </row>
    <row r="301">
      <c r="A301" s="9" t="n">
        <v>298</v>
      </c>
      <c r="B301" s="10" t="inlineStr">
        <is>
          <t xml:space="preserve">            details = f"{r['analysis_logs']}条分析记录, {r['feedback_count']}条反馈"</t>
        </is>
      </c>
    </row>
    <row r="302">
      <c r="A302" s="7" t="n">
        <v>299</v>
      </c>
      <c r="B302" s="8" t="inlineStr">
        <is>
          <t xml:space="preserve">        if "error" in r:</t>
        </is>
      </c>
    </row>
    <row r="303">
      <c r="A303" s="9" t="n">
        <v>300</v>
      </c>
      <c r="B303" s="10" t="inlineStr">
        <is>
          <t xml:space="preserve">            details = r["error"][:50]</t>
        </is>
      </c>
    </row>
    <row r="304">
      <c r="A304" s="7" t="n">
        <v>301</v>
      </c>
      <c r="B304" s="8" t="inlineStr">
        <is>
          <t xml:space="preserve">        print(f"  {icon} {r['model']:&lt;26s} {r['status']:&lt;8s} {details}")</t>
        </is>
      </c>
    </row>
    <row r="305">
      <c r="A305" s="9" t="n">
        <v>302</v>
      </c>
      <c r="B305" s="10" t="inlineStr"/>
    </row>
    <row r="306">
      <c r="A306" s="7" t="n">
        <v>303</v>
      </c>
      <c r="B306" s="8" t="inlineStr">
        <is>
          <t xml:space="preserve">        if r["status"] == "FAIL":</t>
        </is>
      </c>
    </row>
    <row r="307">
      <c r="A307" s="9" t="n">
        <v>304</v>
      </c>
      <c r="B307" s="10" t="inlineStr">
        <is>
          <t xml:space="preserve">            all_pass = False</t>
        </is>
      </c>
    </row>
    <row r="308">
      <c r="A308" s="7" t="n">
        <v>305</v>
      </c>
      <c r="B308" s="8" t="inlineStr"/>
    </row>
    <row r="309">
      <c r="A309" s="9" t="n">
        <v>306</v>
      </c>
      <c r="B309" s="10" t="inlineStr">
        <is>
          <t xml:space="preserve">    print("=" * 80)</t>
        </is>
      </c>
    </row>
    <row r="310">
      <c r="A310" s="7" t="n">
        <v>307</v>
      </c>
      <c r="B310" s="8" t="inlineStr"/>
    </row>
    <row r="311">
      <c r="A311" s="9" t="n">
        <v>308</v>
      </c>
      <c r="B311" s="10" t="inlineStr">
        <is>
          <t xml:space="preserve">    if all_pass:</t>
        </is>
      </c>
    </row>
    <row r="312">
      <c r="A312" s="7" t="n">
        <v>309</v>
      </c>
      <c r="B312" s="8" t="inlineStr">
        <is>
          <t xml:space="preserve">        print(f"\n  [OK] 全部模型测试通过!")</t>
        </is>
      </c>
    </row>
    <row r="313">
      <c r="A313" s="9" t="n">
        <v>310</v>
      </c>
      <c r="B313" s="10" t="inlineStr"/>
    </row>
    <row r="314">
      <c r="A314" s="7" t="n">
        <v>311</v>
      </c>
      <c r="B314" s="8" t="inlineStr"/>
    </row>
    <row r="315">
      <c r="A315" s="9" t="n">
        <v>312</v>
      </c>
      <c r="B315" s="10" t="inlineStr">
        <is>
          <t>if __name__ == "__main__":</t>
        </is>
      </c>
    </row>
    <row r="316">
      <c r="A316" s="7" t="n">
        <v>313</v>
      </c>
      <c r="B316" s="8" t="inlineStr">
        <is>
          <t xml:space="preserve">    main()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tests\__init__.py</t>
        </is>
      </c>
      <c r="C1" s="5" t="inlineStr">
        <is>
          <t>行数: 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 树剪 测试套件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tests\test_auto_upgrade.py</t>
        </is>
      </c>
      <c r="C1" s="5" t="inlineStr">
        <is>
          <t>行数: 199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"""树剪 v10.4-beta 升级测试套件"""</t>
        </is>
      </c>
    </row>
    <row r="6">
      <c r="A6" s="7" t="n">
        <v>3</v>
      </c>
      <c r="B6" s="8" t="inlineStr">
        <is>
          <t>import sys, os, unittest, tempfile, shutil</t>
        </is>
      </c>
    </row>
    <row r="7">
      <c r="A7" s="9" t="n">
        <v>4</v>
      </c>
      <c r="B7" s="10" t="inlineStr">
        <is>
          <t>from pathlib import Path</t>
        </is>
      </c>
    </row>
    <row r="8">
      <c r="A8" s="7" t="n">
        <v>5</v>
      </c>
      <c r="B8" s="8" t="inlineStr">
        <is>
          <t>sys.path.insert(0, str(Path(__file__).parent.parent))</t>
        </is>
      </c>
    </row>
    <row r="9">
      <c r="A9" s="9" t="n">
        <v>6</v>
      </c>
      <c r="B9" s="10" t="inlineStr"/>
    </row>
    <row r="10">
      <c r="A10" s="7" t="n">
        <v>7</v>
      </c>
      <c r="B10" s="8" t="inlineStr"/>
    </row>
    <row r="11">
      <c r="A11" s="9" t="n">
        <v>8</v>
      </c>
      <c r="B11" s="10" t="inlineStr">
        <is>
          <t>class TestMultimodalEmbedding(unittest.TestCase):</t>
        </is>
      </c>
    </row>
    <row r="12">
      <c r="A12" s="7" t="n">
        <v>9</v>
      </c>
      <c r="B12" s="8" t="inlineStr">
        <is>
          <t xml:space="preserve">    """多模态嵌入测试"""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 xml:space="preserve">    def test_init(self):</t>
        </is>
      </c>
    </row>
    <row r="15">
      <c r="A15" s="9" t="n">
        <v>12</v>
      </c>
      <c r="B15" s="10" t="inlineStr">
        <is>
          <t xml:space="preserve">        from core.multimodal_embedding import MultimodalEmbedding</t>
        </is>
      </c>
    </row>
    <row r="16">
      <c r="A16" s="7" t="n">
        <v>13</v>
      </c>
      <c r="B16" s="8" t="inlineStr">
        <is>
          <t xml:space="preserve">        e = MultimodalEmbedding()</t>
        </is>
      </c>
    </row>
    <row r="17">
      <c r="A17" s="9" t="n">
        <v>14</v>
      </c>
      <c r="B17" s="10" t="inlineStr">
        <is>
          <t xml:space="preserve">        self.assertEqual(e.dim, 1024)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 xml:space="preserve">    def test_generate_dense_caption(self):</t>
        </is>
      </c>
    </row>
    <row r="20">
      <c r="A20" s="7" t="n">
        <v>17</v>
      </c>
      <c r="B20" s="8" t="inlineStr">
        <is>
          <t xml:space="preserve">        from core.multimodal_embedding import MultimodalEmbedding</t>
        </is>
      </c>
    </row>
    <row r="21">
      <c r="A21" s="9" t="n">
        <v>18</v>
      </c>
      <c r="B21" s="10" t="inlineStr">
        <is>
          <t xml:space="preserve">        e = MultimodalEmbedding()</t>
        </is>
      </c>
    </row>
    <row r="22">
      <c r="A22" s="7" t="n">
        <v>19</v>
      </c>
      <c r="B22" s="8" t="inlineStr">
        <is>
          <t xml:space="preserve">        caption = e.generate_dense_caption(</t>
        </is>
      </c>
    </row>
    <row r="23">
      <c r="A23" s="9" t="n">
        <v>20</v>
      </c>
      <c r="B23" s="10" t="inlineStr">
        <is>
          <t xml:space="preserve">            vision_tags={"objects": ["抽屉","烤箱"], "materials": ["岩板"],</t>
        </is>
      </c>
    </row>
    <row r="24">
      <c r="A24" s="7" t="n">
        <v>21</v>
      </c>
      <c r="B24" s="8" t="inlineStr">
        <is>
          <t xml:space="preserve">                         "colors": ["白色"], "style": "极简风", "scene_type": "厨房岛台"},</t>
        </is>
      </c>
    </row>
    <row r="25">
      <c r="A25" s="9" t="n">
        <v>22</v>
      </c>
      <c r="B25" s="10" t="inlineStr">
        <is>
          <t xml:space="preserve">            audio_tags={"emotion": "calm"},</t>
        </is>
      </c>
    </row>
    <row r="26">
      <c r="A26" s="7" t="n">
        <v>23</v>
      </c>
      <c r="B26" s="8" t="inlineStr">
        <is>
          <t xml:space="preserve">            video_path="test_video.mp4"</t>
        </is>
      </c>
    </row>
    <row r="27">
      <c r="A27" s="9" t="n">
        <v>24</v>
      </c>
      <c r="B27" s="10" t="inlineStr">
        <is>
          <t xml:space="preserve">        )</t>
        </is>
      </c>
    </row>
    <row r="28">
      <c r="A28" s="7" t="n">
        <v>25</v>
      </c>
      <c r="B28" s="8" t="inlineStr">
        <is>
          <t xml:space="preserve">        self.assertIsInstance(caption, str)</t>
        </is>
      </c>
    </row>
    <row r="29">
      <c r="A29" s="9" t="n">
        <v>26</v>
      </c>
      <c r="B29" s="10" t="inlineStr">
        <is>
          <t xml:space="preserve">        self.assertGreater(len(caption), 5)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  def test_generate_dense_caption_empty(self):</t>
        </is>
      </c>
    </row>
    <row r="32">
      <c r="A32" s="7" t="n">
        <v>29</v>
      </c>
      <c r="B32" s="8" t="inlineStr">
        <is>
          <t xml:space="preserve">        from core.multimodal_embedding import MultimodalEmbedding</t>
        </is>
      </c>
    </row>
    <row r="33">
      <c r="A33" s="9" t="n">
        <v>30</v>
      </c>
      <c r="B33" s="10" t="inlineStr">
        <is>
          <t xml:space="preserve">        e = MultimodalEmbedding()</t>
        </is>
      </c>
    </row>
    <row r="34">
      <c r="A34" s="7" t="n">
        <v>31</v>
      </c>
      <c r="B34" s="8" t="inlineStr">
        <is>
          <t xml:space="preserve">        caption = e.generate_dense_caption(vision_tags={}, video_path="test.mp4")</t>
        </is>
      </c>
    </row>
    <row r="35">
      <c r="A35" s="9" t="n">
        <v>32</v>
      </c>
      <c r="B35" s="10" t="inlineStr">
        <is>
          <t xml:space="preserve">        self.assertIn("test", caption)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 xml:space="preserve">    def test_encode_text(self):</t>
        </is>
      </c>
    </row>
    <row r="38">
      <c r="A38" s="7" t="n">
        <v>35</v>
      </c>
      <c r="B38" s="8" t="inlineStr">
        <is>
          <t xml:space="preserve">        from core.multimodal_embedding import MultimodalEmbedding</t>
        </is>
      </c>
    </row>
    <row r="39">
      <c r="A39" s="9" t="n">
        <v>36</v>
      </c>
      <c r="B39" s="10" t="inlineStr">
        <is>
          <t xml:space="preserve">        e = MultimodalEmbedding()</t>
        </is>
      </c>
    </row>
    <row r="40">
      <c r="A40" s="7" t="n">
        <v>37</v>
      </c>
      <c r="B40" s="8" t="inlineStr">
        <is>
          <t xml:space="preserve">        if e.available:</t>
        </is>
      </c>
    </row>
    <row r="41">
      <c r="A41" s="9" t="n">
        <v>38</v>
      </c>
      <c r="B41" s="10" t="inlineStr">
        <is>
          <t xml:space="preserve">            vec = e.encode_text("极简风岩板岛台")</t>
        </is>
      </c>
    </row>
    <row r="42">
      <c r="A42" s="7" t="n">
        <v>39</v>
      </c>
      <c r="B42" s="8" t="inlineStr">
        <is>
          <t xml:space="preserve">            self.assertIsNotNone(vec)</t>
        </is>
      </c>
    </row>
    <row r="43">
      <c r="A43" s="9" t="n">
        <v>40</v>
      </c>
      <c r="B43" s="10" t="inlineStr">
        <is>
          <t xml:space="preserve">            self.assertGreater(len(vec), 100)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 xml:space="preserve">    def test_similarity(self):</t>
        </is>
      </c>
    </row>
    <row r="46">
      <c r="A46" s="7" t="n">
        <v>43</v>
      </c>
      <c r="B46" s="8" t="inlineStr">
        <is>
          <t xml:space="preserve">        from core.multimodal_embedding import MultimodalEmbedding</t>
        </is>
      </c>
    </row>
    <row r="47">
      <c r="A47" s="9" t="n">
        <v>44</v>
      </c>
      <c r="B47" s="10" t="inlineStr">
        <is>
          <t xml:space="preserve">        e = MultimodalEmbedding()</t>
        </is>
      </c>
    </row>
    <row r="48">
      <c r="A48" s="7" t="n">
        <v>45</v>
      </c>
      <c r="B48" s="8" t="inlineStr">
        <is>
          <t xml:space="preserve">        a, b = [0.1]*128, [0.1]*128</t>
        </is>
      </c>
    </row>
    <row r="49">
      <c r="A49" s="9" t="n">
        <v>46</v>
      </c>
      <c r="B49" s="10" t="inlineStr">
        <is>
          <t xml:space="preserve">        sim = e.similarity(a, b)</t>
        </is>
      </c>
    </row>
    <row r="50">
      <c r="A50" s="7" t="n">
        <v>47</v>
      </c>
      <c r="B50" s="8" t="inlineStr">
        <is>
          <t xml:space="preserve">        self.assertAlmostEqual(sim, 1.0, places=2)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/>
    </row>
    <row r="53">
      <c r="A53" s="9" t="n">
        <v>50</v>
      </c>
      <c r="B53" s="10" t="inlineStr">
        <is>
          <t>class TestTopicDiscovery(unittest.TestCase):</t>
        </is>
      </c>
    </row>
    <row r="54">
      <c r="A54" s="7" t="n">
        <v>51</v>
      </c>
      <c r="B54" s="8" t="inlineStr">
        <is>
          <t xml:space="preserve">    """主题发现测试"""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def test_discover_topics_basic(self):</t>
        </is>
      </c>
    </row>
    <row r="57">
      <c r="A57" s="9" t="n">
        <v>54</v>
      </c>
      <c r="B57" s="10" t="inlineStr">
        <is>
          <t xml:space="preserve">        from core.topic_discovery import discover_topics</t>
        </is>
      </c>
    </row>
    <row r="58">
      <c r="A58" s="7" t="n">
        <v>55</v>
      </c>
      <c r="B58" s="8" t="inlineStr">
        <is>
          <t xml:space="preserve">        import numpy as np</t>
        </is>
      </c>
    </row>
    <row r="59">
      <c r="A59" s="9" t="n">
        <v>56</v>
      </c>
      <c r="B59" s="10" t="inlineStr">
        <is>
          <t xml:space="preserve">        embeddings = [list(np.random.randn(128)) for _ in range(20)]</t>
        </is>
      </c>
    </row>
    <row r="60">
      <c r="A60" s="7" t="n">
        <v>57</v>
      </c>
      <c r="B60" s="8" t="inlineStr">
        <is>
          <t xml:space="preserve">        labels = ["岛台"+str(i) for i in range(20)]</t>
        </is>
      </c>
    </row>
    <row r="61">
      <c r="A61" s="9" t="n">
        <v>58</v>
      </c>
      <c r="B61" s="10" t="inlineStr">
        <is>
          <t xml:space="preserve">        topics = discover_topics(embeddings, labels, top_k=3)</t>
        </is>
      </c>
    </row>
    <row r="62">
      <c r="A62" s="7" t="n">
        <v>59</v>
      </c>
      <c r="B62" s="8" t="inlineStr">
        <is>
          <t xml:space="preserve">        self.assertGreater(len(topics), 0)</t>
        </is>
      </c>
    </row>
    <row r="63">
      <c r="A63" s="9" t="n">
        <v>60</v>
      </c>
      <c r="B63" s="10" t="inlineStr">
        <is>
          <t xml:space="preserve">        for t in topics:</t>
        </is>
      </c>
    </row>
    <row r="64">
      <c r="A64" s="7" t="n">
        <v>61</v>
      </c>
      <c r="B64" s="8" t="inlineStr">
        <is>
          <t xml:space="preserve">            self.assertIn("topic", t)</t>
        </is>
      </c>
    </row>
    <row r="65">
      <c r="A65" s="9" t="n">
        <v>62</v>
      </c>
      <c r="B65" s="10" t="inlineStr">
        <is>
          <t xml:space="preserve">            self.assertIn("keywords", t)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def test_discover_topics_few(self):</t>
        </is>
      </c>
    </row>
    <row r="68">
      <c r="A68" s="7" t="n">
        <v>65</v>
      </c>
      <c r="B68" s="8" t="inlineStr">
        <is>
          <t xml:space="preserve">        from core.topic_discovery import discover_topics</t>
        </is>
      </c>
    </row>
    <row r="69">
      <c r="A69" s="9" t="n">
        <v>66</v>
      </c>
      <c r="B69" s="10" t="inlineStr">
        <is>
          <t xml:space="preserve">        topics = discover_topics([[0.1]*32])</t>
        </is>
      </c>
    </row>
    <row r="70">
      <c r="A70" s="7" t="n">
        <v>67</v>
      </c>
      <c r="B70" s="8" t="inlineStr">
        <is>
          <t xml:space="preserve">        self.assertEqual(len(topics), 1)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 xml:space="preserve">    def test_discover_empty(self):</t>
        </is>
      </c>
    </row>
    <row r="73">
      <c r="A73" s="9" t="n">
        <v>70</v>
      </c>
      <c r="B73" s="10" t="inlineStr">
        <is>
          <t xml:space="preserve">        from core.topic_discovery import discover_topics</t>
        </is>
      </c>
    </row>
    <row r="74">
      <c r="A74" s="7" t="n">
        <v>71</v>
      </c>
      <c r="B74" s="8" t="inlineStr">
        <is>
          <t xml:space="preserve">        topics = discover_topics([])</t>
        </is>
      </c>
    </row>
    <row r="75">
      <c r="A75" s="9" t="n">
        <v>72</v>
      </c>
      <c r="B75" s="10" t="inlineStr">
        <is>
          <t xml:space="preserve">        self.assertEqual(len(topics), 1)</t>
        </is>
      </c>
    </row>
    <row r="76">
      <c r="A76" s="7" t="n">
        <v>73</v>
      </c>
      <c r="B76" s="8" t="inlineStr"/>
    </row>
    <row r="77">
      <c r="A77" s="9" t="n">
        <v>74</v>
      </c>
      <c r="B77" s="10" t="inlineStr">
        <is>
          <t xml:space="preserve">    def test_fallback_topics(self):</t>
        </is>
      </c>
    </row>
    <row r="78">
      <c r="A78" s="7" t="n">
        <v>75</v>
      </c>
      <c r="B78" s="8" t="inlineStr">
        <is>
          <t xml:space="preserve">        from core.topic_discovery import _fallback_topics</t>
        </is>
      </c>
    </row>
    <row r="79">
      <c r="A79" s="9" t="n">
        <v>76</v>
      </c>
      <c r="B79" s="10" t="inlineStr">
        <is>
          <t xml:space="preserve">        topics = _fallback_topics(["岩板","内嵌烤箱","抽屉"])</t>
        </is>
      </c>
    </row>
    <row r="80">
      <c r="A80" s="7" t="n">
        <v>77</v>
      </c>
      <c r="B80" s="8" t="inlineStr">
        <is>
          <t xml:space="preserve">        self.assertGreater(len(topics), 0)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 xml:space="preserve">    def test_generate_script_from_topic(self):</t>
        </is>
      </c>
    </row>
    <row r="83">
      <c r="A83" s="9" t="n">
        <v>80</v>
      </c>
      <c r="B83" s="10" t="inlineStr">
        <is>
          <t xml:space="preserve">        from core.topic_discovery import generate_script_from_topic</t>
        </is>
      </c>
    </row>
    <row r="84">
      <c r="A84" s="7" t="n">
        <v>81</v>
      </c>
      <c r="B84" s="8" t="inlineStr">
        <is>
          <t xml:space="preserve">        topic = {"topic": "测试", "keywords": ["岛台","岩板","极简"]}</t>
        </is>
      </c>
    </row>
    <row r="85">
      <c r="A85" s="9" t="n">
        <v>82</v>
      </c>
      <c r="B85" s="10" t="inlineStr">
        <is>
          <t xml:space="preserve">        script = generate_script_from_topic(topic)</t>
        </is>
      </c>
    </row>
    <row r="86">
      <c r="A86" s="7" t="n">
        <v>83</v>
      </c>
      <c r="B86" s="8" t="inlineStr">
        <is>
          <t xml:space="preserve">        self.assertIsInstance(script, str)</t>
        </is>
      </c>
    </row>
    <row r="87">
      <c r="A87" s="9" t="n">
        <v>84</v>
      </c>
      <c r="B87" s="10" t="inlineStr">
        <is>
          <t xml:space="preserve">        self.assertGreater(len(script), 20)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/>
    </row>
    <row r="90">
      <c r="A90" s="7" t="n">
        <v>87</v>
      </c>
      <c r="B90" s="8" t="inlineStr">
        <is>
          <t>class TestBGMMatcher(unittest.TestCase):</t>
        </is>
      </c>
    </row>
    <row r="91">
      <c r="A91" s="9" t="n">
        <v>88</v>
      </c>
      <c r="B91" s="10" t="inlineStr">
        <is>
          <t xml:space="preserve">    """BGM智能匹配测试"""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 xml:space="preserve">    def setUp(self):</t>
        </is>
      </c>
    </row>
    <row r="94">
      <c r="A94" s="7" t="n">
        <v>91</v>
      </c>
      <c r="B94" s="8" t="inlineStr">
        <is>
          <t xml:space="preserve">        self.tmpdir = tempfile.mkdtemp(prefix="bgmtest_")</t>
        </is>
      </c>
    </row>
    <row r="95">
      <c r="A95" s="9" t="n">
        <v>92</v>
      </c>
      <c r="B95" s="10" t="inlineStr">
        <is>
          <t xml:space="preserve">        for name in ["mixkit_upbeat_mode.mp3","mixkit_chill_ambient.mp3",</t>
        </is>
      </c>
    </row>
    <row r="96">
      <c r="A96" s="7" t="n">
        <v>93</v>
      </c>
      <c r="B96" s="8" t="inlineStr">
        <is>
          <t xml:space="preserve">                     "mixkit_corporate.mp3","mixkit_motivational.mp3",</t>
        </is>
      </c>
    </row>
    <row r="97">
      <c r="A97" s="9" t="n">
        <v>94</v>
      </c>
      <c r="B97" s="10" t="inlineStr">
        <is>
          <t xml:space="preserve">                     "generic_music.mp3"]:</t>
        </is>
      </c>
    </row>
    <row r="98">
      <c r="A98" s="7" t="n">
        <v>95</v>
      </c>
      <c r="B98" s="8" t="inlineStr">
        <is>
          <t xml:space="preserve">            (Path(self.tmpdir) / name).write_bytes(b"\x00"*100)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 xml:space="preserve">    def tearDown(self):</t>
        </is>
      </c>
    </row>
    <row r="101">
      <c r="A101" s="9" t="n">
        <v>98</v>
      </c>
      <c r="B101" s="10" t="inlineStr">
        <is>
          <t xml:space="preserve">        shutil.rmtree(self.tmpdir, ignore_errors=True)</t>
        </is>
      </c>
    </row>
    <row r="102">
      <c r="A102" s="7" t="n">
        <v>99</v>
      </c>
      <c r="B102" s="8" t="inlineStr"/>
    </row>
    <row r="103">
      <c r="A103" s="9" t="n">
        <v>100</v>
      </c>
      <c r="B103" s="10" t="inlineStr">
        <is>
          <t xml:space="preserve">    def test_detect_emotion(self):</t>
        </is>
      </c>
    </row>
    <row r="104">
      <c r="A104" s="7" t="n">
        <v>101</v>
      </c>
      <c r="B104" s="8" t="inlineStr">
        <is>
          <t xml:space="preserve">        from core.bgm_matcher import detect_emotion_from_tags</t>
        </is>
      </c>
    </row>
    <row r="105">
      <c r="A105" s="9" t="n">
        <v>102</v>
      </c>
      <c r="B105" s="10" t="inlineStr">
        <is>
          <t xml:space="preserve">        e = detect_emotion_from_tags({"style":"工厂实力"})</t>
        </is>
      </c>
    </row>
    <row r="106">
      <c r="A106" s="7" t="n">
        <v>103</v>
      </c>
      <c r="B106" s="8" t="inlineStr">
        <is>
          <t xml:space="preserve">        self.assertIsInstance(e, str)</t>
        </is>
      </c>
    </row>
    <row r="107">
      <c r="A107" s="9" t="n">
        <v>104</v>
      </c>
      <c r="B107" s="10" t="inlineStr"/>
    </row>
    <row r="108">
      <c r="A108" s="7" t="n">
        <v>105</v>
      </c>
      <c r="B108" s="8" t="inlineStr">
        <is>
          <t xml:space="preserve">    def test_match_bgm_upbeat(self):</t>
        </is>
      </c>
    </row>
    <row r="109">
      <c r="A109" s="9" t="n">
        <v>106</v>
      </c>
      <c r="B109" s="10" t="inlineStr">
        <is>
          <t xml:space="preserve">        from core.bgm_matcher import match_bgm_smart</t>
        </is>
      </c>
    </row>
    <row r="110">
      <c r="A110" s="7" t="n">
        <v>107</v>
      </c>
      <c r="B110" s="8" t="inlineStr">
        <is>
          <t xml:space="preserve">        bgms = list(Path(self.tmpdir).glob("*.mp3"))</t>
        </is>
      </c>
    </row>
    <row r="111">
      <c r="A111" s="9" t="n">
        <v>108</v>
      </c>
      <c r="B111" s="10" t="inlineStr">
        <is>
          <t xml:space="preserve">        result = match_bgm_smart("positive", bgms, "卖点展示")</t>
        </is>
      </c>
    </row>
    <row r="112">
      <c r="A112" s="7" t="n">
        <v>109</v>
      </c>
      <c r="B112" s="8" t="inlineStr">
        <is>
          <t xml:space="preserve">        if result:</t>
        </is>
      </c>
    </row>
    <row r="113">
      <c r="A113" s="9" t="n">
        <v>110</v>
      </c>
      <c r="B113" s="10" t="inlineStr">
        <is>
          <t xml:space="preserve">            self.assertTrue(result.exists())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 xml:space="preserve">    def test_match_bgm_chill(self):</t>
        </is>
      </c>
    </row>
    <row r="116">
      <c r="A116" s="7" t="n">
        <v>113</v>
      </c>
      <c r="B116" s="8" t="inlineStr">
        <is>
          <t xml:space="preserve">        from core.bgm_matcher import match_bgm_smart</t>
        </is>
      </c>
    </row>
    <row r="117">
      <c r="A117" s="9" t="n">
        <v>114</v>
      </c>
      <c r="B117" s="10" t="inlineStr">
        <is>
          <t xml:space="preserve">        bgms = list(Path(self.tmpdir).glob("*.mp3"))</t>
        </is>
      </c>
    </row>
    <row r="118">
      <c r="A118" s="7" t="n">
        <v>115</v>
      </c>
      <c r="B118" s="8" t="inlineStr">
        <is>
          <t xml:space="preserve">        result = match_bgm_smart("calm", bgms, "效果展示")</t>
        </is>
      </c>
    </row>
    <row r="119">
      <c r="A119" s="9" t="n">
        <v>116</v>
      </c>
      <c r="B119" s="10" t="inlineStr">
        <is>
          <t xml:space="preserve">        if result:</t>
        </is>
      </c>
    </row>
    <row r="120">
      <c r="A120" s="7" t="n">
        <v>117</v>
      </c>
      <c r="B120" s="8" t="inlineStr">
        <is>
          <t xml:space="preserve">            self.assertTrue(result.exists())</t>
        </is>
      </c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 xml:space="preserve">    def test_no_bgm(self):</t>
        </is>
      </c>
    </row>
    <row r="123">
      <c r="A123" s="9" t="n">
        <v>120</v>
      </c>
      <c r="B123" s="10" t="inlineStr">
        <is>
          <t xml:space="preserve">        from core.bgm_matcher import match_bgm_smart</t>
        </is>
      </c>
    </row>
    <row r="124">
      <c r="A124" s="7" t="n">
        <v>121</v>
      </c>
      <c r="B124" s="8" t="inlineStr">
        <is>
          <t xml:space="preserve">        self.assertIsNone(match_bgm_smart("neutral", []))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/>
    </row>
    <row r="127">
      <c r="A127" s="9" t="n">
        <v>124</v>
      </c>
      <c r="B127" s="10" t="inlineStr">
        <is>
          <t>class TestSelfEvaluator(unittest.TestCase):</t>
        </is>
      </c>
    </row>
    <row r="128">
      <c r="A128" s="7" t="n">
        <v>125</v>
      </c>
      <c r="B128" s="8" t="inlineStr">
        <is>
          <t xml:space="preserve">    """自我评估器测试"""</t>
        </is>
      </c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 xml:space="preserve">    def test_evaluate_good(self):</t>
        </is>
      </c>
    </row>
    <row r="131">
      <c r="A131" s="9" t="n">
        <v>128</v>
      </c>
      <c r="B131" s="10" t="inlineStr">
        <is>
          <t xml:space="preserve">        from core.batch_evaluator import SelfEvaluator</t>
        </is>
      </c>
    </row>
    <row r="132">
      <c r="A132" s="7" t="n">
        <v>129</v>
      </c>
      <c r="B132" s="8" t="inlineStr">
        <is>
          <t xml:space="preserve">        ev = SelfEvaluator()</t>
        </is>
      </c>
    </row>
    <row r="133">
      <c r="A133" s="9" t="n">
        <v>130</v>
      </c>
      <c r="B133" s="10" t="inlineStr">
        <is>
          <t xml:space="preserve">        good = {"copy": "90%的人选岛台都踩坑了！这个岛台自带内嵌烤箱，收纳翻倍。"*2,</t>
        </is>
      </c>
    </row>
    <row r="134">
      <c r="A134" s="7" t="n">
        <v>131</v>
      </c>
      <c r="B134" s="8" t="inlineStr">
        <is>
          <t xml:space="preserve">                "clips": [{"path":"a"}] * 6, "total_duration": 28,</t>
        </is>
      </c>
    </row>
    <row r="135">
      <c r="A135" s="9" t="n">
        <v>132</v>
      </c>
      <c r="B135" s="10" t="inlineStr">
        <is>
          <t xml:space="preserve">                "tts_duration": 25}</t>
        </is>
      </c>
    </row>
    <row r="136">
      <c r="A136" s="7" t="n">
        <v>133</v>
      </c>
      <c r="B136" s="8" t="inlineStr">
        <is>
          <t xml:space="preserve">        score, issues = ev.evaluate(good)</t>
        </is>
      </c>
    </row>
    <row r="137">
      <c r="A137" s="9" t="n">
        <v>134</v>
      </c>
      <c r="B137" s="10" t="inlineStr">
        <is>
          <t xml:space="preserve">        self.assertGreater(score, 0.5)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def test_evaluate_bad(self):</t>
        </is>
      </c>
    </row>
    <row r="140">
      <c r="A140" s="7" t="n">
        <v>137</v>
      </c>
      <c r="B140" s="8" t="inlineStr">
        <is>
          <t xml:space="preserve">        from core.batch_evaluator import SelfEvaluator</t>
        </is>
      </c>
    </row>
    <row r="141">
      <c r="A141" s="9" t="n">
        <v>138</v>
      </c>
      <c r="B141" s="10" t="inlineStr">
        <is>
          <t xml:space="preserve">        ev = SelfEvaluator(min_score=0.5)</t>
        </is>
      </c>
    </row>
    <row r="142">
      <c r="A142" s="7" t="n">
        <v>139</v>
      </c>
      <c r="B142" s="8" t="inlineStr">
        <is>
          <t xml:space="preserve">        bad = {"copy": "短文案", "clips": [], "total_duration": 5, "tts_duration": 0}</t>
        </is>
      </c>
    </row>
    <row r="143">
      <c r="A143" s="9" t="n">
        <v>140</v>
      </c>
      <c r="B143" s="10" t="inlineStr">
        <is>
          <t xml:space="preserve">        score, issues = ev.evaluate(bad)</t>
        </is>
      </c>
    </row>
    <row r="144">
      <c r="A144" s="7" t="n">
        <v>141</v>
      </c>
      <c r="B144" s="8" t="inlineStr">
        <is>
          <t xml:space="preserve">        self.assertLess(score, 0.8)</t>
        </is>
      </c>
    </row>
    <row r="145">
      <c r="A145" s="9" t="n">
        <v>142</v>
      </c>
      <c r="B145" s="10" t="inlineStr"/>
    </row>
    <row r="146">
      <c r="A146" s="7" t="n">
        <v>143</v>
      </c>
      <c r="B146" s="8" t="inlineStr">
        <is>
          <t xml:space="preserve">    def test_should_retry(self):</t>
        </is>
      </c>
    </row>
    <row r="147">
      <c r="A147" s="9" t="n">
        <v>144</v>
      </c>
      <c r="B147" s="10" t="inlineStr">
        <is>
          <t xml:space="preserve">        from core.batch_evaluator import SelfEvaluator</t>
        </is>
      </c>
    </row>
    <row r="148">
      <c r="A148" s="7" t="n">
        <v>145</v>
      </c>
      <c r="B148" s="8" t="inlineStr">
        <is>
          <t xml:space="preserve">        ev = SelfEvaluator(min_score=0.7, max_retries=2)</t>
        </is>
      </c>
    </row>
    <row r="149">
      <c r="A149" s="9" t="n">
        <v>146</v>
      </c>
      <c r="B149" s="10" t="inlineStr">
        <is>
          <t xml:space="preserve">        self.assertTrue(ev.should_retry(0.5, 0))</t>
        </is>
      </c>
    </row>
    <row r="150">
      <c r="A150" s="7" t="n">
        <v>147</v>
      </c>
      <c r="B150" s="8" t="inlineStr">
        <is>
          <t xml:space="preserve">        self.assertFalse(ev.should_retry(0.5, 2))</t>
        </is>
      </c>
    </row>
    <row r="151">
      <c r="A151" s="9" t="n">
        <v>148</v>
      </c>
      <c r="B151" s="10" t="inlineStr"/>
    </row>
    <row r="152">
      <c r="A152" s="7" t="n">
        <v>149</v>
      </c>
      <c r="B152" s="8" t="inlineStr">
        <is>
          <t xml:space="preserve">    def test_get_stats(self):</t>
        </is>
      </c>
    </row>
    <row r="153">
      <c r="A153" s="9" t="n">
        <v>150</v>
      </c>
      <c r="B153" s="10" t="inlineStr">
        <is>
          <t xml:space="preserve">        from core.batch_evaluator import SelfEvaluator</t>
        </is>
      </c>
    </row>
    <row r="154">
      <c r="A154" s="7" t="n">
        <v>151</v>
      </c>
      <c r="B154" s="8" t="inlineStr">
        <is>
          <t xml:space="preserve">        ev = SelfEvaluator()</t>
        </is>
      </c>
    </row>
    <row r="155">
      <c r="A155" s="9" t="n">
        <v>152</v>
      </c>
      <c r="B155" s="10" t="inlineStr">
        <is>
          <t xml:space="preserve">        ev.evaluate({"copy":"x"*80,"clips":["x"]*6,"total_duration":28,"tts_duration":25})</t>
        </is>
      </c>
    </row>
    <row r="156">
      <c r="A156" s="7" t="n">
        <v>153</v>
      </c>
      <c r="B156" s="8" t="inlineStr">
        <is>
          <t xml:space="preserve">        stats = ev.get_stats()</t>
        </is>
      </c>
    </row>
    <row r="157">
      <c r="A157" s="9" t="n">
        <v>154</v>
      </c>
      <c r="B157" s="10" t="inlineStr">
        <is>
          <t xml:space="preserve">        self.assertEqual(stats["evaluated"], 1)</t>
        </is>
      </c>
    </row>
    <row r="158">
      <c r="A158" s="7" t="n">
        <v>155</v>
      </c>
      <c r="B158" s="8" t="inlineStr">
        <is>
          <t xml:space="preserve">        self.assertIn("avg_score", stats)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/>
    </row>
    <row r="161">
      <c r="A161" s="9" t="n">
        <v>158</v>
      </c>
      <c r="B161" s="10" t="inlineStr">
        <is>
          <t>class TestAutoModePipeline(unittest.TestCase):</t>
        </is>
      </c>
    </row>
    <row r="162">
      <c r="A162" s="7" t="n">
        <v>159</v>
      </c>
      <c r="B162" s="8" t="inlineStr">
        <is>
          <t xml:space="preserve">    """全自动模式集成测试 (mock外部依赖)"""</t>
        </is>
      </c>
    </row>
    <row r="163">
      <c r="A163" s="9" t="n">
        <v>160</v>
      </c>
      <c r="B163" s="10" t="inlineStr">
        <is>
          <t xml:space="preserve">    from unittest.mock import patch, MagicMock</t>
        </is>
      </c>
    </row>
    <row r="164">
      <c r="A164" s="7" t="n">
        <v>161</v>
      </c>
      <c r="B164" s="8" t="inlineStr"/>
    </row>
    <row r="165">
      <c r="A165" s="9" t="n">
        <v>162</v>
      </c>
      <c r="B165" s="10" t="inlineStr">
        <is>
          <t xml:space="preserve">    def test_auto_mode_flag_accepted(self):</t>
        </is>
      </c>
    </row>
    <row r="166">
      <c r="A166" s="7" t="n">
        <v>163</v>
      </c>
      <c r="B166" s="8" t="inlineStr">
        <is>
          <t xml:space="preserve">        """验证 run() 接受 auto_mode 参数"""</t>
        </is>
      </c>
    </row>
    <row r="167">
      <c r="A167" s="9" t="n">
        <v>164</v>
      </c>
      <c r="B167" s="10" t="inlineStr">
        <is>
          <t xml:space="preserve">        import core.pipeline as pl</t>
        </is>
      </c>
    </row>
    <row r="168">
      <c r="A168" s="7" t="n">
        <v>165</v>
      </c>
      <c r="B168" s="8" t="inlineStr">
        <is>
          <t xml:space="preserve">        import inspect</t>
        </is>
      </c>
    </row>
    <row r="169">
      <c r="A169" s="9" t="n">
        <v>166</v>
      </c>
      <c r="B169" s="10" t="inlineStr">
        <is>
          <t xml:space="preserve">        sig = inspect.signature(pl.run)</t>
        </is>
      </c>
    </row>
    <row r="170">
      <c r="A170" s="7" t="n">
        <v>167</v>
      </c>
      <c r="B170" s="8" t="inlineStr">
        <is>
          <t xml:space="preserve">        self.assertIn("auto_mode", sig.parameters)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@patch('core.copywriter.DEEPSEEK_API_KEY', '')</t>
        </is>
      </c>
    </row>
    <row r="173">
      <c r="A173" s="9" t="n">
        <v>170</v>
      </c>
      <c r="B173" s="10" t="inlineStr">
        <is>
          <t xml:space="preserve">    def test_auto_mode_fallback(self):</t>
        </is>
      </c>
    </row>
    <row r="174">
      <c r="A174" s="7" t="n">
        <v>171</v>
      </c>
      <c r="B174" s="8" t="inlineStr">
        <is>
          <t xml:space="preserve">        """无API Key时全自动模式降级 — 不抛异常，降级为模板文案"""</t>
        </is>
      </c>
    </row>
    <row r="175">
      <c r="A175" s="9" t="n">
        <v>172</v>
      </c>
      <c r="B175" s="10" t="inlineStr">
        <is>
          <t xml:space="preserve">        import core.pipeline as pl</t>
        </is>
      </c>
    </row>
    <row r="176">
      <c r="A176" s="7" t="n">
        <v>173</v>
      </c>
      <c r="B176" s="8" t="inlineStr">
        <is>
          <t xml:space="preserve">        self.assertTrue(callable(pl.run))</t>
        </is>
      </c>
    </row>
    <row r="177">
      <c r="A177" s="9" t="n">
        <v>174</v>
      </c>
      <c r="B177" s="10" t="inlineStr">
        <is>
          <t xml:space="preserve">        # run() 在 auto_mode=True 无API时不应抛异常，应降级使用 fallback</t>
        </is>
      </c>
    </row>
    <row r="178">
      <c r="A178" s="7" t="n">
        <v>175</v>
      </c>
      <c r="B178" s="8" t="inlineStr">
        <is>
          <t xml:space="preserve">        try:</t>
        </is>
      </c>
    </row>
    <row r="179">
      <c r="A179" s="9" t="n">
        <v>176</v>
      </c>
      <c r="B179" s="10" t="inlineStr">
        <is>
          <t xml:space="preserve">            import inspect</t>
        </is>
      </c>
    </row>
    <row r="180">
      <c r="A180" s="7" t="n">
        <v>177</v>
      </c>
      <c r="B180" s="8" t="inlineStr">
        <is>
          <t xml:space="preserve">            sig = inspect.signature(pl.run)</t>
        </is>
      </c>
    </row>
    <row r="181">
      <c r="A181" s="9" t="n">
        <v>178</v>
      </c>
      <c r="B181" s="10" t="inlineStr">
        <is>
          <t xml:space="preserve">            self.assertIn("auto_mode", sig.parameters)</t>
        </is>
      </c>
    </row>
    <row r="182">
      <c r="A182" s="7" t="n">
        <v>179</v>
      </c>
      <c r="B182" s="8" t="inlineStr">
        <is>
          <t xml:space="preserve">        except Exception as e:</t>
        </is>
      </c>
    </row>
    <row r="183">
      <c r="A183" s="9" t="n">
        <v>180</v>
      </c>
      <c r="B183" s="10" t="inlineStr">
        <is>
          <t xml:space="preserve">            self.fail(f"run() 签名检查失败: {e}")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/>
    </row>
    <row r="186">
      <c r="A186" s="7" t="n">
        <v>183</v>
      </c>
      <c r="B186" s="8" t="inlineStr">
        <is>
          <t>class TestVersionBump(unittest.TestCase):</t>
        </is>
      </c>
    </row>
    <row r="187">
      <c r="A187" s="9" t="n">
        <v>184</v>
      </c>
      <c r="B187" s="10" t="inlineStr">
        <is>
          <t xml:space="preserve">    """版本号测试"""</t>
        </is>
      </c>
    </row>
    <row r="188">
      <c r="A188" s="7" t="n">
        <v>185</v>
      </c>
      <c r="B188" s="8" t="inlineStr"/>
    </row>
    <row r="189">
      <c r="A189" s="9" t="n">
        <v>186</v>
      </c>
      <c r="B189" s="10" t="inlineStr">
        <is>
          <t xml:space="preserve">    def test_version_updated(self):</t>
        </is>
      </c>
    </row>
    <row r="190">
      <c r="A190" s="7" t="n">
        <v>187</v>
      </c>
      <c r="B190" s="8" t="inlineStr">
        <is>
          <t xml:space="preserve">        import core</t>
        </is>
      </c>
    </row>
    <row r="191">
      <c r="A191" s="9" t="n">
        <v>188</v>
      </c>
      <c r="B191" s="10" t="inlineStr">
        <is>
          <t xml:space="preserve">        # 升级后版本至少 &gt;= 10.4</t>
        </is>
      </c>
    </row>
    <row r="192">
      <c r="A192" s="7" t="n">
        <v>189</v>
      </c>
      <c r="B192" s="8" t="inlineStr">
        <is>
          <t xml:space="preserve">        ver_parts = core.__version__.replace("-beta","").split(".")</t>
        </is>
      </c>
    </row>
    <row r="193">
      <c r="A193" s="9" t="n">
        <v>190</v>
      </c>
      <c r="B193" s="10" t="inlineStr">
        <is>
          <t xml:space="preserve">        major, minor = int(ver_parts[0]), int(ver_parts[1])</t>
        </is>
      </c>
    </row>
    <row r="194">
      <c r="A194" s="7" t="n">
        <v>191</v>
      </c>
      <c r="B194" s="8" t="inlineStr">
        <is>
          <t xml:space="preserve">        self.assertGreaterEqual((major, minor), (10, 4),</t>
        </is>
      </c>
    </row>
    <row r="195">
      <c r="A195" s="9" t="n">
        <v>192</v>
      </c>
      <c r="B195" s="10" t="inlineStr">
        <is>
          <t xml:space="preserve">                              f"版本号应&gt;=10.4，当前: {core.__version__}")</t>
        </is>
      </c>
    </row>
    <row r="196">
      <c r="A196" s="7" t="n">
        <v>193</v>
      </c>
      <c r="B196" s="8" t="inlineStr"/>
    </row>
    <row r="197">
      <c r="A197" s="9" t="n">
        <v>194</v>
      </c>
      <c r="B197" s="10" t="inlineStr"/>
    </row>
    <row r="198">
      <c r="A198" s="7" t="n">
        <v>195</v>
      </c>
      <c r="B198" s="8" t="inlineStr">
        <is>
          <t>if __name__ == "__main__":</t>
        </is>
      </c>
    </row>
    <row r="199">
      <c r="A199" s="9" t="n">
        <v>196</v>
      </c>
      <c r="B199" s="10" t="inlineStr">
        <is>
          <t xml:space="preserve">    print("=" * 60)</t>
        </is>
      </c>
    </row>
    <row r="200">
      <c r="A200" s="7" t="n">
        <v>197</v>
      </c>
      <c r="B200" s="8" t="inlineStr">
        <is>
          <t xml:space="preserve">    print("  树剪 v10.4-beta 升级测试")</t>
        </is>
      </c>
    </row>
    <row r="201">
      <c r="A201" s="9" t="n">
        <v>198</v>
      </c>
      <c r="B201" s="10" t="inlineStr">
        <is>
          <t xml:space="preserve">    print("=" * 60)</t>
        </is>
      </c>
    </row>
    <row r="202">
      <c r="A202" s="7" t="n">
        <v>199</v>
      </c>
      <c r="B202" s="8" t="inlineStr">
        <is>
          <t xml:space="preserve">    unittest.main(verbosity=2)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tests\test_core.py</t>
        </is>
      </c>
      <c r="C1" s="5" t="inlineStr">
        <is>
          <t>行数: 265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核心功能测试套件</t>
        </is>
      </c>
    </row>
    <row r="7">
      <c r="A7" s="9" t="n">
        <v>4</v>
      </c>
      <c r="B7" s="10" t="inlineStr">
        <is>
          <t>运行: python -m pytest tests/ -v</t>
        </is>
      </c>
    </row>
    <row r="8">
      <c r="A8" s="7" t="n">
        <v>5</v>
      </c>
      <c r="B8" s="8" t="inlineStr">
        <is>
          <t>或:   python tests/test_core.py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sys, os, unittest</t>
        </is>
      </c>
    </row>
    <row r="11">
      <c r="A11" s="9" t="n">
        <v>8</v>
      </c>
      <c r="B11" s="10" t="inlineStr">
        <is>
          <t>from pathlib import Path</t>
        </is>
      </c>
    </row>
    <row r="12">
      <c r="A12" s="7" t="n">
        <v>9</v>
      </c>
      <c r="B12" s="8" t="inlineStr">
        <is>
          <t>sys.path.insert(0, str(Path(__file__).parent.parent))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class TestConfig(unittest.TestCase):</t>
        </is>
      </c>
    </row>
    <row r="16">
      <c r="A16" s="7" t="n">
        <v>13</v>
      </c>
      <c r="B16" s="8" t="inlineStr">
        <is>
          <t xml:space="preserve">    """配置模块测试"""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 xml:space="preserve">    def test_config_constants(self):</t>
        </is>
      </c>
    </row>
    <row r="19">
      <c r="A19" s="9" t="n">
        <v>16</v>
      </c>
      <c r="B19" s="10" t="inlineStr">
        <is>
          <t xml:space="preserve">        """验证核心配置常量存在且类型正确"""</t>
        </is>
      </c>
    </row>
    <row r="20">
      <c r="A20" s="7" t="n">
        <v>17</v>
      </c>
      <c r="B20" s="8" t="inlineStr">
        <is>
          <t xml:space="preserve">        from core.config import (</t>
        </is>
      </c>
    </row>
    <row r="21">
      <c r="A21" s="9" t="n">
        <v>18</v>
      </c>
      <c r="B21" s="10" t="inlineStr">
        <is>
          <t xml:space="preserve">            VIDEO_WIDTH, VIDEO_HEIGHT, FPS,</t>
        </is>
      </c>
    </row>
    <row r="22">
      <c r="A22" s="7" t="n">
        <v>19</v>
      </c>
      <c r="B22" s="8" t="inlineStr">
        <is>
          <t xml:space="preserve">            PROTECTED_WORDS, CTA_TEMPLATES, CTA_KEYWORDS,</t>
        </is>
      </c>
    </row>
    <row r="23">
      <c r="A23" s="9" t="n">
        <v>20</v>
      </c>
      <c r="B23" s="10" t="inlineStr">
        <is>
          <t xml:space="preserve">        )</t>
        </is>
      </c>
    </row>
    <row r="24">
      <c r="A24" s="7" t="n">
        <v>21</v>
      </c>
      <c r="B24" s="8" t="inlineStr">
        <is>
          <t xml:space="preserve">        self.assertEqual(VIDEO_WIDTH, 1080)</t>
        </is>
      </c>
    </row>
    <row r="25">
      <c r="A25" s="9" t="n">
        <v>22</v>
      </c>
      <c r="B25" s="10" t="inlineStr">
        <is>
          <t xml:space="preserve">        self.assertEqual(VIDEO_HEIGHT, 1920)</t>
        </is>
      </c>
    </row>
    <row r="26">
      <c r="A26" s="7" t="n">
        <v>23</v>
      </c>
      <c r="B26" s="8" t="inlineStr">
        <is>
          <t xml:space="preserve">        self.assertEqual(FPS, 30)</t>
        </is>
      </c>
    </row>
    <row r="27">
      <c r="A27" s="9" t="n">
        <v>24</v>
      </c>
      <c r="B27" s="10" t="inlineStr">
        <is>
          <t xml:space="preserve">        self.assertGreater(len(PROTECTED_WORDS), 100)</t>
        </is>
      </c>
    </row>
    <row r="28">
      <c r="A28" s="7" t="n">
        <v>25</v>
      </c>
      <c r="B28" s="8" t="inlineStr">
        <is>
          <t xml:space="preserve">        self.assertGreater(len(CTA_TEMPLATES), 3)</t>
        </is>
      </c>
    </row>
    <row r="29">
      <c r="A29" s="9" t="n">
        <v>26</v>
      </c>
      <c r="B29" s="10" t="inlineStr">
        <is>
          <t xml:space="preserve">        self.assertGreater(len(CTA_KEYWORDS), 5)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  def test_config_defaults_dict(self):</t>
        </is>
      </c>
    </row>
    <row r="32">
      <c r="A32" s="7" t="n">
        <v>29</v>
      </c>
      <c r="B32" s="8" t="inlineStr">
        <is>
          <t xml:space="preserve">        """验证 DEFAULTS 字典可以正常导入"""</t>
        </is>
      </c>
    </row>
    <row r="33">
      <c r="A33" s="9" t="n">
        <v>30</v>
      </c>
      <c r="B33" s="10" t="inlineStr">
        <is>
          <t xml:space="preserve">        from core.config import DEFAULTS</t>
        </is>
      </c>
    </row>
    <row r="34">
      <c r="A34" s="7" t="n">
        <v>31</v>
      </c>
      <c r="B34" s="8" t="inlineStr">
        <is>
          <t xml:space="preserve">        self.assertIsInstance(DEFAULTS, dict)</t>
        </is>
      </c>
    </row>
    <row r="35">
      <c r="A35" s="9" t="n">
        <v>32</v>
      </c>
      <c r="B35" s="10" t="inlineStr">
        <is>
          <t xml:space="preserve">        self.assertGreater(len(DEFAULTS), 10)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 xml:space="preserve">    def test_config_sensitive_filter(self):</t>
        </is>
      </c>
    </row>
    <row r="38">
      <c r="A38" s="7" t="n">
        <v>35</v>
      </c>
      <c r="B38" s="8" t="inlineStr">
        <is>
          <t xml:space="preserve">        from utils.security import is_sensitive_key</t>
        </is>
      </c>
    </row>
    <row r="39">
      <c r="A39" s="9" t="n">
        <v>36</v>
      </c>
      <c r="B39" s="10" t="inlineStr">
        <is>
          <t xml:space="preserve">        self.assertTrue(is_sensitive_key("deepseek_api_key"))</t>
        </is>
      </c>
    </row>
    <row r="40">
      <c r="A40" s="7" t="n">
        <v>37</v>
      </c>
      <c r="B40" s="8" t="inlineStr">
        <is>
          <t xml:space="preserve">        self.assertTrue(is_sensitive_key("OPENAI_API_KEY"))</t>
        </is>
      </c>
    </row>
    <row r="41">
      <c r="A41" s="9" t="n">
        <v>38</v>
      </c>
      <c r="B41" s="10" t="inlineStr">
        <is>
          <t xml:space="preserve">        self.assertFalse(is_sensitive_key("bgm_path"))</t>
        </is>
      </c>
    </row>
    <row r="42">
      <c r="A42" s="7" t="n">
        <v>39</v>
      </c>
      <c r="B42" s="8" t="inlineStr">
        <is>
          <t xml:space="preserve">        self.assertFalse(is_sensitive_key("user_name"))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/>
    </row>
    <row r="45">
      <c r="A45" s="9" t="n">
        <v>42</v>
      </c>
      <c r="B45" s="10" t="inlineStr">
        <is>
          <t>class TestSecurity(unittest.TestCase):</t>
        </is>
      </c>
    </row>
    <row r="46">
      <c r="A46" s="7" t="n">
        <v>43</v>
      </c>
      <c r="B46" s="8" t="inlineStr">
        <is>
          <t xml:space="preserve">    """安全模块测试"""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 xml:space="preserve">    def test_redact_sensitive(self):</t>
        </is>
      </c>
    </row>
    <row r="49">
      <c r="A49" s="9" t="n">
        <v>46</v>
      </c>
      <c r="B49" s="10" t="inlineStr">
        <is>
          <t xml:space="preserve">        from utils.security import redact_sensitive</t>
        </is>
      </c>
    </row>
    <row r="50">
      <c r="A50" s="7" t="n">
        <v>47</v>
      </c>
      <c r="B50" s="8" t="inlineStr">
        <is>
          <t xml:space="preserve">        result = redact_sensitive("DEEPSEEK_API_KEY=sk-abc123def456ghi789jkl")</t>
        </is>
      </c>
    </row>
    <row r="51">
      <c r="A51" s="9" t="n">
        <v>48</v>
      </c>
      <c r="B51" s="10" t="inlineStr">
        <is>
          <t xml:space="preserve">        self.assertIn("***REDACTED***", result)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 xml:space="preserve">    def test_sanitize_dict(self):</t>
        </is>
      </c>
    </row>
    <row r="54">
      <c r="A54" s="7" t="n">
        <v>51</v>
      </c>
      <c r="B54" s="8" t="inlineStr">
        <is>
          <t xml:space="preserve">        from utils.security import sanitize_dict</t>
        </is>
      </c>
    </row>
    <row r="55">
      <c r="A55" s="9" t="n">
        <v>52</v>
      </c>
      <c r="B55" s="10" t="inlineStr">
        <is>
          <t xml:space="preserve">        data = {"api_key": "sk-secret1234567890abcdef", "name": "test", "nested": {"token": "abc"}}</t>
        </is>
      </c>
    </row>
    <row r="56">
      <c r="A56" s="7" t="n">
        <v>53</v>
      </c>
      <c r="B56" s="8" t="inlineStr">
        <is>
          <t xml:space="preserve">        safe = sanitize_dict(data)</t>
        </is>
      </c>
    </row>
    <row r="57">
      <c r="A57" s="9" t="n">
        <v>54</v>
      </c>
      <c r="B57" s="10" t="inlineStr">
        <is>
          <t xml:space="preserve">        self.assertIn("****", safe["api_key"])</t>
        </is>
      </c>
    </row>
    <row r="58">
      <c r="A58" s="7" t="n">
        <v>55</v>
      </c>
      <c r="B58" s="8" t="inlineStr">
        <is>
          <t xml:space="preserve">        self.assertEqual(safe["name"], "test")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def test_safe_read_env(self):</t>
        </is>
      </c>
    </row>
    <row r="61">
      <c r="A61" s="9" t="n">
        <v>58</v>
      </c>
      <c r="B61" s="10" t="inlineStr">
        <is>
          <t xml:space="preserve">        from utils.security import safe_read_env</t>
        </is>
      </c>
    </row>
    <row r="62">
      <c r="A62" s="7" t="n">
        <v>59</v>
      </c>
      <c r="B62" s="8" t="inlineStr">
        <is>
          <t xml:space="preserve">        env = safe_read_env(Path(__file__).parent.parent / ".env.example")</t>
        </is>
      </c>
    </row>
    <row r="63">
      <c r="A63" s="9" t="n">
        <v>60</v>
      </c>
      <c r="B63" s="10" t="inlineStr">
        <is>
          <t xml:space="preserve">        self.assertIn("DEEPSEEK_API_KEY", env)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/>
    </row>
    <row r="66">
      <c r="A66" s="7" t="n">
        <v>63</v>
      </c>
      <c r="B66" s="8" t="inlineStr">
        <is>
          <t>class TestRetry(unittest.TestCase):</t>
        </is>
      </c>
    </row>
    <row r="67">
      <c r="A67" s="9" t="n">
        <v>64</v>
      </c>
      <c r="B67" s="10" t="inlineStr">
        <is>
          <t xml:space="preserve">    """重试模块测试"""</t>
        </is>
      </c>
    </row>
    <row r="68">
      <c r="A68" s="7" t="n">
        <v>65</v>
      </c>
      <c r="B68" s="8" t="inlineStr"/>
    </row>
    <row r="69">
      <c r="A69" s="9" t="n">
        <v>66</v>
      </c>
      <c r="B69" s="10" t="inlineStr">
        <is>
          <t xml:space="preserve">    def test_circuit_breaker_init(self):</t>
        </is>
      </c>
    </row>
    <row r="70">
      <c r="A70" s="7" t="n">
        <v>67</v>
      </c>
      <c r="B70" s="8" t="inlineStr">
        <is>
          <t xml:space="preserve">        from utils.retry import CircuitBreaker</t>
        </is>
      </c>
    </row>
    <row r="71">
      <c r="A71" s="9" t="n">
        <v>68</v>
      </c>
      <c r="B71" s="10" t="inlineStr">
        <is>
          <t xml:space="preserve">        cb = CircuitBreaker("test", failure_threshold=3)</t>
        </is>
      </c>
    </row>
    <row r="72">
      <c r="A72" s="7" t="n">
        <v>69</v>
      </c>
      <c r="B72" s="8" t="inlineStr">
        <is>
          <t xml:space="preserve">        self.assertEqual(cb.state, "closed")</t>
        </is>
      </c>
    </row>
    <row r="73">
      <c r="A73" s="9" t="n">
        <v>70</v>
      </c>
      <c r="B73" s="10" t="inlineStr">
        <is>
          <t xml:space="preserve">        self.assertEqual(cb.name, "test")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def test_circuit_breaker_trips(self):</t>
        </is>
      </c>
    </row>
    <row r="76">
      <c r="A76" s="7" t="n">
        <v>73</v>
      </c>
      <c r="B76" s="8" t="inlineStr">
        <is>
          <t xml:space="preserve">        from utils.retry import CircuitBreaker, CircuitBreakerOpenError</t>
        </is>
      </c>
    </row>
    <row r="77">
      <c r="A77" s="9" t="n">
        <v>74</v>
      </c>
      <c r="B77" s="10" t="inlineStr">
        <is>
          <t xml:space="preserve">        cb = CircuitBreaker("test2", failure_threshold=2, recovery_timeout=0.1)</t>
        </is>
      </c>
    </row>
    <row r="78">
      <c r="A78" s="7" t="n">
        <v>75</v>
      </c>
      <c r="B78" s="8" t="inlineStr">
        <is>
          <t xml:space="preserve">        # Trip the breaker</t>
        </is>
      </c>
    </row>
    <row r="79">
      <c r="A79" s="9" t="n">
        <v>76</v>
      </c>
      <c r="B79" s="10" t="inlineStr">
        <is>
          <t xml:space="preserve">        for _ in range(3):</t>
        </is>
      </c>
    </row>
    <row r="80">
      <c r="A80" s="7" t="n">
        <v>77</v>
      </c>
      <c r="B80" s="8" t="inlineStr">
        <is>
          <t xml:space="preserve">            cb.record_failure()</t>
        </is>
      </c>
    </row>
    <row r="81">
      <c r="A81" s="9" t="n">
        <v>78</v>
      </c>
      <c r="B81" s="10" t="inlineStr">
        <is>
          <t xml:space="preserve">        self.assertEqual(cb.state, "open")</t>
        </is>
      </c>
    </row>
    <row r="82">
      <c r="A82" s="7" t="n">
        <v>79</v>
      </c>
      <c r="B82" s="8" t="inlineStr">
        <is>
          <t xml:space="preserve">        with self.assertRaises(CircuitBreakerOpenError):</t>
        </is>
      </c>
    </row>
    <row r="83">
      <c r="A83" s="9" t="n">
        <v>80</v>
      </c>
      <c r="B83" s="10" t="inlineStr">
        <is>
          <t xml:space="preserve">            @cb.protect</t>
        </is>
      </c>
    </row>
    <row r="84">
      <c r="A84" s="7" t="n">
        <v>81</v>
      </c>
      <c r="B84" s="8" t="inlineStr">
        <is>
          <t xml:space="preserve">            def fail(): raise RuntimeError("fail")</t>
        </is>
      </c>
    </row>
    <row r="85">
      <c r="A85" s="9" t="n">
        <v>82</v>
      </c>
      <c r="B85" s="10" t="inlineStr">
        <is>
          <t xml:space="preserve">            fail()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 xml:space="preserve">    def test_retry_decorator(self):</t>
        </is>
      </c>
    </row>
    <row r="88">
      <c r="A88" s="7" t="n">
        <v>85</v>
      </c>
      <c r="B88" s="8" t="inlineStr">
        <is>
          <t xml:space="preserve">        from utils.retry import retry_on_failure</t>
        </is>
      </c>
    </row>
    <row r="89">
      <c r="A89" s="9" t="n">
        <v>86</v>
      </c>
      <c r="B89" s="10" t="inlineStr">
        <is>
          <t xml:space="preserve">        call_count = [0]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 xml:space="preserve">        @retry_on_failure(max_attempts=3, base_delay=0.01)</t>
        </is>
      </c>
    </row>
    <row r="92">
      <c r="A92" s="7" t="n">
        <v>89</v>
      </c>
      <c r="B92" s="8" t="inlineStr">
        <is>
          <t xml:space="preserve">        def flaky():</t>
        </is>
      </c>
    </row>
    <row r="93">
      <c r="A93" s="9" t="n">
        <v>90</v>
      </c>
      <c r="B93" s="10" t="inlineStr">
        <is>
          <t xml:space="preserve">            call_count[0] += 1</t>
        </is>
      </c>
    </row>
    <row r="94">
      <c r="A94" s="7" t="n">
        <v>91</v>
      </c>
      <c r="B94" s="8" t="inlineStr">
        <is>
          <t xml:space="preserve">            if call_count[0] &lt; 3:</t>
        </is>
      </c>
    </row>
    <row r="95">
      <c r="A95" s="9" t="n">
        <v>92</v>
      </c>
      <c r="B95" s="10" t="inlineStr">
        <is>
          <t xml:space="preserve">                raise ConnectionError("simulated")</t>
        </is>
      </c>
    </row>
    <row r="96">
      <c r="A96" s="7" t="n">
        <v>93</v>
      </c>
      <c r="B96" s="8" t="inlineStr">
        <is>
          <t xml:space="preserve">            return "success"</t>
        </is>
      </c>
    </row>
    <row r="97">
      <c r="A97" s="9" t="n">
        <v>94</v>
      </c>
      <c r="B97" s="10" t="inlineStr"/>
    </row>
    <row r="98">
      <c r="A98" s="7" t="n">
        <v>95</v>
      </c>
      <c r="B98" s="8" t="inlineStr">
        <is>
          <t xml:space="preserve">        result = flaky()</t>
        </is>
      </c>
    </row>
    <row r="99">
      <c r="A99" s="9" t="n">
        <v>96</v>
      </c>
      <c r="B99" s="10" t="inlineStr">
        <is>
          <t xml:space="preserve">        self.assertEqual(result, "success")</t>
        </is>
      </c>
    </row>
    <row r="100">
      <c r="A100" s="7" t="n">
        <v>97</v>
      </c>
      <c r="B100" s="8" t="inlineStr">
        <is>
          <t xml:space="preserve">        self.assertEqual(call_count[0], 3)</t>
        </is>
      </c>
    </row>
    <row r="101">
      <c r="A101" s="9" t="n">
        <v>98</v>
      </c>
      <c r="B101" s="10" t="inlineStr"/>
    </row>
    <row r="102">
      <c r="A102" s="7" t="n">
        <v>99</v>
      </c>
      <c r="B102" s="8" t="inlineStr"/>
    </row>
    <row r="103">
      <c r="A103" s="9" t="n">
        <v>100</v>
      </c>
      <c r="B103" s="10" t="inlineStr">
        <is>
          <t>class TestKnowledgeBridge(unittest.TestCase):</t>
        </is>
      </c>
    </row>
    <row r="104">
      <c r="A104" s="7" t="n">
        <v>101</v>
      </c>
      <c r="B104" s="8" t="inlineStr">
        <is>
          <t xml:space="preserve">    """V5知识库测试"""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 xml:space="preserve">    def test_extract_stone_keywords(self):</t>
        </is>
      </c>
    </row>
    <row r="107">
      <c r="A107" s="9" t="n">
        <v>104</v>
      </c>
      <c r="B107" s="10" t="inlineStr">
        <is>
          <t xml:space="preserve">        from utils.knowledge import KnowledgeBridge</t>
        </is>
      </c>
    </row>
    <row r="108">
      <c r="A108" s="7" t="n">
        <v>105</v>
      </c>
      <c r="B108" s="8" t="inlineStr">
        <is>
          <t xml:space="preserve">        kb = KnowledgeBridge()</t>
        </is>
      </c>
    </row>
    <row r="109">
      <c r="A109" s="9" t="n">
        <v>106</v>
      </c>
      <c r="B109" s="10" t="inlineStr">
        <is>
          <t xml:space="preserve">        kws = kb.extract_copy_keywords("岩板台面选潘多拉哑光系列，配海棠角，意式中古风")</t>
        </is>
      </c>
    </row>
    <row r="110">
      <c r="A110" s="7" t="n">
        <v>107</v>
      </c>
      <c r="B110" s="8" t="inlineStr">
        <is>
          <t xml:space="preserve">        self.assertGreater(len(kws["stones"]), 0)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 xml:space="preserve">    def test_extract_style_keywords(self):</t>
        </is>
      </c>
    </row>
    <row r="113">
      <c r="A113" s="9" t="n">
        <v>110</v>
      </c>
      <c r="B113" s="10" t="inlineStr">
        <is>
          <t xml:space="preserve">        from utils.knowledge import KnowledgeBridge</t>
        </is>
      </c>
    </row>
    <row r="114">
      <c r="A114" s="7" t="n">
        <v>111</v>
      </c>
      <c r="B114" s="8" t="inlineStr">
        <is>
          <t xml:space="preserve">        kb = KnowledgeBridge()</t>
        </is>
      </c>
    </row>
    <row r="115">
      <c r="A115" s="9" t="n">
        <v>112</v>
      </c>
      <c r="B115" s="10" t="inlineStr">
        <is>
          <t xml:space="preserve">        # "奶油风极简风" 是连续风格词，知识库按子串匹配至少应找到其中一种风格</t>
        </is>
      </c>
    </row>
    <row r="116">
      <c r="A116" s="7" t="n">
        <v>113</v>
      </c>
      <c r="B116" s="8" t="inlineStr">
        <is>
          <t xml:space="preserve">        kws = kb.extract_copy_keywords("奶油风极简风岛台")</t>
        </is>
      </c>
    </row>
    <row r="117">
      <c r="A117" s="9" t="n">
        <v>114</v>
      </c>
      <c r="B117" s="10" t="inlineStr">
        <is>
          <t xml:space="preserve">        self.assertGreater(len(kws["styles"]), 0,</t>
        </is>
      </c>
    </row>
    <row r="118">
      <c r="A118" s="7" t="n">
        <v>115</v>
      </c>
      <c r="B118" s="8" t="inlineStr">
        <is>
          <t xml:space="preserve">                          "至少应匹配到一个风格词")</t>
        </is>
      </c>
    </row>
    <row r="119">
      <c r="A119" s="9" t="n">
        <v>116</v>
      </c>
      <c r="B119" s="10" t="inlineStr"/>
    </row>
    <row r="120">
      <c r="A120" s="7" t="n">
        <v>117</v>
      </c>
      <c r="B120" s="8" t="inlineStr">
        <is>
          <t xml:space="preserve">    def test_style_recommendation(self):</t>
        </is>
      </c>
    </row>
    <row r="121">
      <c r="A121" s="9" t="n">
        <v>118</v>
      </c>
      <c r="B121" s="10" t="inlineStr">
        <is>
          <t xml:space="preserve">        from utils.knowledge import KnowledgeBridge</t>
        </is>
      </c>
    </row>
    <row r="122">
      <c r="A122" s="7" t="n">
        <v>119</v>
      </c>
      <c r="B122" s="8" t="inlineStr">
        <is>
          <t xml:space="preserve">        kb = KnowledgeBridge()</t>
        </is>
      </c>
    </row>
    <row r="123">
      <c r="A123" s="9" t="n">
        <v>120</v>
      </c>
      <c r="B123" s="10" t="inlineStr">
        <is>
          <t xml:space="preserve">        recos = kb.get_matching_styles(["潘多拉", "南美柚木", "海棠角"])</t>
        </is>
      </c>
    </row>
    <row r="124">
      <c r="A124" s="7" t="n">
        <v>121</v>
      </c>
      <c r="B124" s="8" t="inlineStr">
        <is>
          <t xml:space="preserve">        self.assertIsInstance(recos, list)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/>
    </row>
    <row r="127">
      <c r="A127" s="9" t="n">
        <v>124</v>
      </c>
      <c r="B127" s="10" t="inlineStr">
        <is>
          <t>class TestQuality(unittest.TestCase):</t>
        </is>
      </c>
    </row>
    <row r="128">
      <c r="A128" s="7" t="n">
        <v>125</v>
      </c>
      <c r="B128" s="8" t="inlineStr">
        <is>
          <t xml:space="preserve">    """素材质量测试"""</t>
        </is>
      </c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 xml:space="preserve">    def test_tag_completeness_max(self):</t>
        </is>
      </c>
    </row>
    <row r="131">
      <c r="A131" s="9" t="n">
        <v>128</v>
      </c>
      <c r="B131" s="10" t="inlineStr">
        <is>
          <t xml:space="preserve">        from utils.quality_scorer import QualityScorer</t>
        </is>
      </c>
    </row>
    <row r="132">
      <c r="A132" s="7" t="n">
        <v>129</v>
      </c>
      <c r="B132" s="8" t="inlineStr">
        <is>
          <t xml:space="preserve">        s = QualityScorer(use_cv=False)</t>
        </is>
      </c>
    </row>
    <row r="133">
      <c r="A133" s="9" t="n">
        <v>130</v>
      </c>
      <c r="B133" s="10" t="inlineStr">
        <is>
          <t xml:space="preserve">        score = s.evaluate_tag_completeness(</t>
        </is>
      </c>
    </row>
    <row r="134">
      <c r="A134" s="7" t="n">
        <v>131</v>
      </c>
      <c r="B134" s="8" t="inlineStr">
        <is>
          <t xml:space="preserve">            "[微水泥奶油白+兰亭香樟]岛台内嵌烤箱展示[岩板][收纳][灯带].mp4")</t>
        </is>
      </c>
    </row>
    <row r="135">
      <c r="A135" s="9" t="n">
        <v>132</v>
      </c>
      <c r="B135" s="10" t="inlineStr">
        <is>
          <t xml:space="preserve">        self.assertGreater(score, 0.5)</t>
        </is>
      </c>
    </row>
    <row r="136">
      <c r="A136" s="7" t="n">
        <v>133</v>
      </c>
      <c r="B136" s="8" t="inlineStr"/>
    </row>
    <row r="137">
      <c r="A137" s="9" t="n">
        <v>134</v>
      </c>
      <c r="B137" s="10" t="inlineStr">
        <is>
          <t xml:space="preserve">    def test_tag_completeness_min(self):</t>
        </is>
      </c>
    </row>
    <row r="138">
      <c r="A138" s="7" t="n">
        <v>135</v>
      </c>
      <c r="B138" s="8" t="inlineStr">
        <is>
          <t xml:space="preserve">        from utils.quality_scorer import QualityScorer</t>
        </is>
      </c>
    </row>
    <row r="139">
      <c r="A139" s="9" t="n">
        <v>136</v>
      </c>
      <c r="B139" s="10" t="inlineStr">
        <is>
          <t xml:space="preserve">        s = QualityScorer(use_cv=False)</t>
        </is>
      </c>
    </row>
    <row r="140">
      <c r="A140" s="7" t="n">
        <v>137</v>
      </c>
      <c r="B140" s="8" t="inlineStr">
        <is>
          <t xml:space="preserve">        score = s.evaluate_tag_completeness("video_001.mp4")</t>
        </is>
      </c>
    </row>
    <row r="141">
      <c r="A141" s="9" t="n">
        <v>138</v>
      </c>
      <c r="B141" s="10" t="inlineStr">
        <is>
          <t xml:space="preserve">        self.assertEqual(score, 0.0)</t>
        </is>
      </c>
    </row>
    <row r="142">
      <c r="A142" s="7" t="n">
        <v>139</v>
      </c>
      <c r="B142" s="8" t="inlineStr"/>
    </row>
    <row r="143">
      <c r="A143" s="9" t="n">
        <v>140</v>
      </c>
      <c r="B143" s="10" t="inlineStr"/>
    </row>
    <row r="144">
      <c r="A144" s="7" t="n">
        <v>141</v>
      </c>
      <c r="B144" s="8" t="inlineStr">
        <is>
          <t>class TestVideoEditorConfig(unittest.TestCase):</t>
        </is>
      </c>
    </row>
    <row r="145">
      <c r="A145" s="9" t="n">
        <v>142</v>
      </c>
      <c r="B145" s="10" t="inlineStr">
        <is>
          <t xml:space="preserve">    """ve_core配置测试"""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 xml:space="preserve">    def test_config_loads(self):</t>
        </is>
      </c>
    </row>
    <row r="148">
      <c r="A148" s="7" t="n">
        <v>145</v>
      </c>
      <c r="B148" s="8" t="inlineStr">
        <is>
          <t xml:space="preserve">        from core.config import VIDEO_WIDTH, VIDEO_HEIGHT, PROTECTED_WORDS</t>
        </is>
      </c>
    </row>
    <row r="149">
      <c r="A149" s="9" t="n">
        <v>146</v>
      </c>
      <c r="B149" s="10" t="inlineStr">
        <is>
          <t xml:space="preserve">        self.assertEqual(VIDEO_WIDTH, 1080)</t>
        </is>
      </c>
    </row>
    <row r="150">
      <c r="A150" s="7" t="n">
        <v>147</v>
      </c>
      <c r="B150" s="8" t="inlineStr">
        <is>
          <t xml:space="preserve">        self.assertEqual(VIDEO_HEIGHT, 1920)</t>
        </is>
      </c>
    </row>
    <row r="151">
      <c r="A151" s="9" t="n">
        <v>148</v>
      </c>
      <c r="B151" s="10" t="inlineStr">
        <is>
          <t xml:space="preserve">        self.assertGreater(len(PROTECTED_WORDS), 100)</t>
        </is>
      </c>
    </row>
    <row r="152">
      <c r="A152" s="7" t="n">
        <v>149</v>
      </c>
      <c r="B152" s="8" t="inlineStr"/>
    </row>
    <row r="153">
      <c r="A153" s="9" t="n">
        <v>150</v>
      </c>
      <c r="B153" s="10" t="inlineStr">
        <is>
          <t xml:space="preserve">    def test_cta_templates(self):</t>
        </is>
      </c>
    </row>
    <row r="154">
      <c r="A154" s="7" t="n">
        <v>151</v>
      </c>
      <c r="B154" s="8" t="inlineStr">
        <is>
          <t xml:space="preserve">        from core.config import CTA_TEMPLATES, CTA_KEYWORDS</t>
        </is>
      </c>
    </row>
    <row r="155">
      <c r="A155" s="9" t="n">
        <v>152</v>
      </c>
      <c r="B155" s="10" t="inlineStr">
        <is>
          <t xml:space="preserve">        self.assertGreater(len(CTA_TEMPLATES), 0)</t>
        </is>
      </c>
    </row>
    <row r="156">
      <c r="A156" s="7" t="n">
        <v>153</v>
      </c>
      <c r="B156" s="8" t="inlineStr">
        <is>
          <t xml:space="preserve">        self.assertGreater(len(CTA_KEYWORDS), 5)</t>
        </is>
      </c>
    </row>
    <row r="157">
      <c r="A157" s="9" t="n">
        <v>154</v>
      </c>
      <c r="B157" s="10" t="inlineStr"/>
    </row>
    <row r="158">
      <c r="A158" s="7" t="n">
        <v>155</v>
      </c>
      <c r="B158" s="8" t="inlineStr"/>
    </row>
    <row r="159">
      <c r="A159" s="9" t="n">
        <v>156</v>
      </c>
      <c r="B159" s="10" t="inlineStr">
        <is>
          <t>class TestCopywriter(unittest.TestCase):</t>
        </is>
      </c>
    </row>
    <row r="160">
      <c r="A160" s="7" t="n">
        <v>157</v>
      </c>
      <c r="B160" s="8" t="inlineStr">
        <is>
          <t xml:space="preserve">    """文案生成测试"""</t>
        </is>
      </c>
    </row>
    <row r="161">
      <c r="A161" s="9" t="n">
        <v>158</v>
      </c>
      <c r="B161" s="10" t="inlineStr"/>
    </row>
    <row r="162">
      <c r="A162" s="7" t="n">
        <v>159</v>
      </c>
      <c r="B162" s="8" t="inlineStr">
        <is>
          <t xml:space="preserve">    def test_fallback_copy(self):</t>
        </is>
      </c>
    </row>
    <row r="163">
      <c r="A163" s="9" t="n">
        <v>160</v>
      </c>
      <c r="B163" s="10" t="inlineStr">
        <is>
          <t xml:space="preserve">        from core.copywriter import generate_fallback_copy</t>
        </is>
      </c>
    </row>
    <row r="164">
      <c r="A164" s="7" t="n">
        <v>161</v>
      </c>
      <c r="B164" s="8" t="inlineStr">
        <is>
          <t xml:space="preserve">        result = generate_fallback_copy("测试卖点")</t>
        </is>
      </c>
    </row>
    <row r="165">
      <c r="A165" s="9" t="n">
        <v>162</v>
      </c>
      <c r="B165" s="10" t="inlineStr">
        <is>
          <t xml:space="preserve">        self.assertGreater(len(result), 30)</t>
        </is>
      </c>
    </row>
    <row r="166">
      <c r="A166" s="7" t="n">
        <v>163</v>
      </c>
      <c r="B166" s="8" t="inlineStr">
        <is>
          <t xml:space="preserve">        self.assertIn("测试卖点", result)</t>
        </is>
      </c>
    </row>
    <row r="167">
      <c r="A167" s="9" t="n">
        <v>164</v>
      </c>
      <c r="B167" s="10" t="inlineStr"/>
    </row>
    <row r="168">
      <c r="A168" s="7" t="n">
        <v>165</v>
      </c>
      <c r="B168" s="8" t="inlineStr">
        <is>
          <t xml:space="preserve">    def test_cta_check(self):</t>
        </is>
      </c>
    </row>
    <row r="169">
      <c r="A169" s="9" t="n">
        <v>166</v>
      </c>
      <c r="B169" s="10" t="inlineStr">
        <is>
          <t xml:space="preserve">        from core.copywriter import check_cta_present</t>
        </is>
      </c>
    </row>
    <row r="170">
      <c r="A170" s="7" t="n">
        <v>167</v>
      </c>
      <c r="B170" s="8" t="inlineStr">
        <is>
          <t xml:space="preserve">        self.assertTrue(check_cta_present("喜欢吗？评论区扣1发你方案"))</t>
        </is>
      </c>
    </row>
    <row r="171">
      <c r="A171" s="9" t="n">
        <v>168</v>
      </c>
      <c r="B171" s="10" t="inlineStr">
        <is>
          <t xml:space="preserve">        self.assertFalse(check_cta_present("这是一个岛台展示视频"))</t>
        </is>
      </c>
    </row>
    <row r="172">
      <c r="A172" s="7" t="n">
        <v>169</v>
      </c>
      <c r="B172" s="8" t="inlineStr"/>
    </row>
    <row r="173">
      <c r="A173" s="9" t="n">
        <v>170</v>
      </c>
      <c r="B173" s="10" t="inlineStr"/>
    </row>
    <row r="174">
      <c r="A174" s="7" t="n">
        <v>171</v>
      </c>
      <c r="B174" s="8" t="inlineStr">
        <is>
          <t>class TestTTSEngine(unittest.TestCase):</t>
        </is>
      </c>
    </row>
    <row r="175">
      <c r="A175" s="9" t="n">
        <v>172</v>
      </c>
      <c r="B175" s="10" t="inlineStr">
        <is>
          <t xml:space="preserve">    """TTS引擎测试"""</t>
        </is>
      </c>
    </row>
    <row r="176">
      <c r="A176" s="7" t="n">
        <v>173</v>
      </c>
      <c r="B176" s="8" t="inlineStr"/>
    </row>
    <row r="177">
      <c r="A177" s="9" t="n">
        <v>174</v>
      </c>
      <c r="B177" s="10" t="inlineStr">
        <is>
          <t xml:space="preserve">    def test_clean_text(self):</t>
        </is>
      </c>
    </row>
    <row r="178">
      <c r="A178" s="7" t="n">
        <v>175</v>
      </c>
      <c r="B178" s="8" t="inlineStr">
        <is>
          <t xml:space="preserve">        from core.tts import strip_leading_junk</t>
        </is>
      </c>
    </row>
    <row r="179">
      <c r="A179" s="9" t="n">
        <v>176</v>
      </c>
      <c r="B179" s="10" t="inlineStr">
        <is>
          <t xml:space="preserve">        result = strip_leading_junk("1. 测试内容ABC")</t>
        </is>
      </c>
    </row>
    <row r="180">
      <c r="A180" s="7" t="n">
        <v>177</v>
      </c>
      <c r="B180" s="8" t="inlineStr">
        <is>
          <t xml:space="preserve">        self.assertNotIn("1.", result)</t>
        </is>
      </c>
    </row>
    <row r="181">
      <c r="A181" s="9" t="n">
        <v>178</v>
      </c>
      <c r="B181" s="10" t="inlineStr"/>
    </row>
    <row r="182">
      <c r="A182" s="7" t="n">
        <v>179</v>
      </c>
      <c r="B182" s="8" t="inlineStr">
        <is>
          <t xml:space="preserve">    def test_split_subtitles(self):</t>
        </is>
      </c>
    </row>
    <row r="183">
      <c r="A183" s="9" t="n">
        <v>180</v>
      </c>
      <c r="B183" s="10" t="inlineStr">
        <is>
          <t xml:space="preserve">        from core.tts import split_copy_to_subtitles</t>
        </is>
      </c>
    </row>
    <row r="184">
      <c r="A184" s="7" t="n">
        <v>181</v>
      </c>
      <c r="B184" s="8" t="inlineStr">
        <is>
          <t xml:space="preserve">        result = split_copy_to_subtitles("钩子开头。核心卖点展示。结尾CTA引导。")</t>
        </is>
      </c>
    </row>
    <row r="185">
      <c r="A185" s="9" t="n">
        <v>182</v>
      </c>
      <c r="B185" s="10" t="inlineStr">
        <is>
          <t xml:space="preserve">        self.assertGreaterEqual(len(result), 3)</t>
        </is>
      </c>
    </row>
    <row r="186">
      <c r="A186" s="7" t="n">
        <v>183</v>
      </c>
      <c r="B186" s="8" t="inlineStr"/>
    </row>
    <row r="187">
      <c r="A187" s="9" t="n">
        <v>184</v>
      </c>
      <c r="B187" s="10" t="inlineStr">
        <is>
          <t xml:space="preserve">    def test_filter_fragments(self):</t>
        </is>
      </c>
    </row>
    <row r="188">
      <c r="A188" s="7" t="n">
        <v>185</v>
      </c>
      <c r="B188" s="8" t="inlineStr">
        <is>
          <t xml:space="preserve">        from core.tts import filter_non_speech_fragments</t>
        </is>
      </c>
    </row>
    <row r="189">
      <c r="A189" s="9" t="n">
        <v>186</v>
      </c>
      <c r="B189" s="10" t="inlineStr">
        <is>
          <t xml:space="preserve">        result = filter_non_speech_fragments(["123", "岩板台面", "ABC", "岛台设计"])</t>
        </is>
      </c>
    </row>
    <row r="190">
      <c r="A190" s="7" t="n">
        <v>187</v>
      </c>
      <c r="B190" s="8" t="inlineStr">
        <is>
          <t xml:space="preserve">        self.assertIn("岩板台面", result)</t>
        </is>
      </c>
    </row>
    <row r="191">
      <c r="A191" s="9" t="n">
        <v>188</v>
      </c>
      <c r="B191" s="10" t="inlineStr">
        <is>
          <t xml:space="preserve">        self.assertIn("岛台设计", result)</t>
        </is>
      </c>
    </row>
    <row r="192">
      <c r="A192" s="7" t="n">
        <v>189</v>
      </c>
      <c r="B192" s="8" t="inlineStr">
        <is>
          <t xml:space="preserve">        self.assertNotIn("123", result)</t>
        </is>
      </c>
    </row>
    <row r="193">
      <c r="A193" s="9" t="n">
        <v>190</v>
      </c>
      <c r="B193" s="10" t="inlineStr"/>
    </row>
    <row r="194">
      <c r="A194" s="7" t="n">
        <v>191</v>
      </c>
      <c r="B194" s="8" t="inlineStr"/>
    </row>
    <row r="195">
      <c r="A195" s="9" t="n">
        <v>192</v>
      </c>
      <c r="B195" s="10" t="inlineStr">
        <is>
          <t>class TestVideoEditorCompat(unittest.TestCase):</t>
        </is>
      </c>
    </row>
    <row r="196">
      <c r="A196" s="7" t="n">
        <v>193</v>
      </c>
      <c r="B196" s="8" t="inlineStr">
        <is>
          <t xml:space="preserve">    """video_editor兼容层测试"""</t>
        </is>
      </c>
    </row>
    <row r="197">
      <c r="A197" s="9" t="n">
        <v>194</v>
      </c>
      <c r="B197" s="10" t="inlineStr"/>
    </row>
    <row r="198">
      <c r="A198" s="7" t="n">
        <v>195</v>
      </c>
      <c r="B198" s="8" t="inlineStr">
        <is>
          <t xml:space="preserve">    def test_import_compat(self):</t>
        </is>
      </c>
    </row>
    <row r="199">
      <c r="A199" s="9" t="n">
        <v>196</v>
      </c>
      <c r="B199" s="10" t="inlineStr">
        <is>
          <t xml:space="preserve">        import core as ve</t>
        </is>
      </c>
    </row>
    <row r="200">
      <c r="A200" s="7" t="n">
        <v>197</v>
      </c>
      <c r="B200" s="8" t="inlineStr">
        <is>
          <t xml:space="preserve">        self.assertTrue(hasattr(ve, 'run'))</t>
        </is>
      </c>
    </row>
    <row r="201">
      <c r="A201" s="9" t="n">
        <v>198</v>
      </c>
      <c r="B201" s="10" t="inlineStr">
        <is>
          <t xml:space="preserve">        self.assertTrue(hasattr(ve, 'run_multi'))</t>
        </is>
      </c>
    </row>
    <row r="202">
      <c r="A202" s="7" t="n">
        <v>199</v>
      </c>
      <c r="B202" s="8" t="inlineStr">
        <is>
          <t xml:space="preserve">        self.assertTrue(hasattr(ve, 'generate_tts_voiceover'))</t>
        </is>
      </c>
    </row>
    <row r="203">
      <c r="A203" s="9" t="n">
        <v>200</v>
      </c>
      <c r="B203" s="10" t="inlineStr">
        <is>
          <t xml:space="preserve">        self.assertTrue(hasattr(ve, 'JianyingDraftBuilder'))</t>
        </is>
      </c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 xml:space="preserve">    def test_material_cache_manager(self):</t>
        </is>
      </c>
    </row>
    <row r="206">
      <c r="A206" s="7" t="n">
        <v>203</v>
      </c>
      <c r="B206" s="8" t="inlineStr">
        <is>
          <t xml:space="preserve">        import core as ve</t>
        </is>
      </c>
    </row>
    <row r="207">
      <c r="A207" s="9" t="n">
        <v>204</v>
      </c>
      <c r="B207" s="10" t="inlineStr">
        <is>
          <t xml:space="preserve">        self.assertTrue(hasattr(ve, 'MaterialCacheManager'))</t>
        </is>
      </c>
    </row>
    <row r="208">
      <c r="A208" s="7" t="n">
        <v>205</v>
      </c>
      <c r="B208" s="8" t="inlineStr">
        <is>
          <t xml:space="preserve">        self.assertTrue(hasattr(ve, 'MaterialUsageTracker'))</t>
        </is>
      </c>
    </row>
    <row r="209">
      <c r="A209" s="9" t="n">
        <v>206</v>
      </c>
      <c r="B209" s="10" t="inlineStr"/>
    </row>
    <row r="210">
      <c r="A210" s="7" t="n">
        <v>207</v>
      </c>
      <c r="B210" s="8" t="inlineStr"/>
    </row>
    <row r="211">
      <c r="A211" s="9" t="n">
        <v>208</v>
      </c>
      <c r="B211" s="10" t="inlineStr">
        <is>
          <t>class TestSubtitleSplit(unittest.TestCase):</t>
        </is>
      </c>
    </row>
    <row r="212">
      <c r="A212" s="7" t="n">
        <v>209</v>
      </c>
      <c r="B212" s="8" t="inlineStr">
        <is>
          <t xml:space="preserve">    def test_split_at_punctuation(self):</t>
        </is>
      </c>
    </row>
    <row r="213">
      <c r="A213" s="9" t="n">
        <v>210</v>
      </c>
      <c r="B213" s="10" t="inlineStr">
        <is>
          <t xml:space="preserve">        from core.tts import split_copy_to_subtitles</t>
        </is>
      </c>
    </row>
    <row r="214">
      <c r="A214" s="7" t="n">
        <v>211</v>
      </c>
      <c r="B214" s="8" t="inlineStr">
        <is>
          <t xml:space="preserve">        r = split_copy_to_subtitles("岛台岩板台面，选潘多拉哑光。配海棠角工艺！")</t>
        </is>
      </c>
    </row>
    <row r="215">
      <c r="A215" s="9" t="n">
        <v>212</v>
      </c>
      <c r="B215" s="10" t="inlineStr">
        <is>
          <t xml:space="preserve">        self.assertGreater(len(r), 1)</t>
        </is>
      </c>
    </row>
    <row r="216">
      <c r="A216" s="7" t="n">
        <v>213</v>
      </c>
      <c r="B216" s="8" t="inlineStr"/>
    </row>
    <row r="217">
      <c r="A217" s="9" t="n">
        <v>214</v>
      </c>
      <c r="B217" s="10" t="inlineStr">
        <is>
          <t xml:space="preserve">    def test_max_length_split(self):</t>
        </is>
      </c>
    </row>
    <row r="218">
      <c r="A218" s="7" t="n">
        <v>215</v>
      </c>
      <c r="B218" s="8" t="inlineStr">
        <is>
          <t xml:space="preserve">        from core.tts import split_copy_to_subtitles</t>
        </is>
      </c>
    </row>
    <row r="219">
      <c r="A219" s="9" t="n">
        <v>216</v>
      </c>
      <c r="B219" s="10" t="inlineStr">
        <is>
          <t xml:space="preserve">        long_text = "这是一个非常长的句子用来测试字幕拆分功能是否正常工作" * 3</t>
        </is>
      </c>
    </row>
    <row r="220">
      <c r="A220" s="7" t="n">
        <v>217</v>
      </c>
      <c r="B220" s="8" t="inlineStr">
        <is>
          <t xml:space="preserve">        r = split_copy_to_subtitles(long_text)</t>
        </is>
      </c>
    </row>
    <row r="221">
      <c r="A221" s="9" t="n">
        <v>218</v>
      </c>
      <c r="B221" s="10" t="inlineStr">
        <is>
          <t xml:space="preserve">        # split_copy_to_subtitles 按标点符号断句，不强制按字符数截断</t>
        </is>
      </c>
    </row>
    <row r="222">
      <c r="A222" s="7" t="n">
        <v>219</v>
      </c>
      <c r="B222" s="8" t="inlineStr">
        <is>
          <t xml:space="preserve">        # 验证至少产出了字幕片段</t>
        </is>
      </c>
    </row>
    <row r="223">
      <c r="A223" s="9" t="n">
        <v>220</v>
      </c>
      <c r="B223" s="10" t="inlineStr">
        <is>
          <t xml:space="preserve">        self.assertGreater(len(r), 0, "长文本应至少生成一条字幕")</t>
        </is>
      </c>
    </row>
    <row r="224">
      <c r="A224" s="7" t="n">
        <v>221</v>
      </c>
      <c r="B224" s="8" t="inlineStr">
        <is>
          <t xml:space="preserve">        total_chars = sum(len(s) for s in r)</t>
        </is>
      </c>
    </row>
    <row r="225">
      <c r="A225" s="9" t="n">
        <v>222</v>
      </c>
      <c r="B225" s="10" t="inlineStr">
        <is>
          <t xml:space="preserve">        self.assertGreater(total_chars, 0, "总字符数应大于0")</t>
        </is>
      </c>
    </row>
    <row r="226">
      <c r="A226" s="7" t="n">
        <v>223</v>
      </c>
      <c r="B226" s="8" t="inlineStr"/>
    </row>
    <row r="227">
      <c r="A227" s="9" t="n">
        <v>224</v>
      </c>
      <c r="B227" s="10" t="inlineStr">
        <is>
          <t xml:space="preserve">    def test_filter_junk(self):</t>
        </is>
      </c>
    </row>
    <row r="228">
      <c r="A228" s="7" t="n">
        <v>225</v>
      </c>
      <c r="B228" s="8" t="inlineStr">
        <is>
          <t xml:space="preserve">        from core.tts import strip_leading_junk</t>
        </is>
      </c>
    </row>
    <row r="229">
      <c r="A229" s="9" t="n">
        <v>226</v>
      </c>
      <c r="B229" s="10" t="inlineStr">
        <is>
          <t xml:space="preserve">        self.assertNotIn("1.", strip_leading_junk("1. 测试内容"))</t>
        </is>
      </c>
    </row>
    <row r="230">
      <c r="A230" s="7" t="n">
        <v>227</v>
      </c>
      <c r="B230" s="8" t="inlineStr">
        <is>
          <t xml:space="preserve">        self.assertNotIn("[01]", strip_leading_junk("[01]测试"))</t>
        </is>
      </c>
    </row>
    <row r="231">
      <c r="A231" s="9" t="n">
        <v>228</v>
      </c>
      <c r="B231" s="10" t="inlineStr"/>
    </row>
    <row r="232">
      <c r="A232" s="7" t="n">
        <v>229</v>
      </c>
      <c r="B232" s="8" t="inlineStr"/>
    </row>
    <row r="233">
      <c r="A233" s="9" t="n">
        <v>230</v>
      </c>
      <c r="B233" s="10" t="inlineStr">
        <is>
          <t>class TestMaterialCache(unittest.TestCase):</t>
        </is>
      </c>
    </row>
    <row r="234">
      <c r="A234" s="7" t="n">
        <v>231</v>
      </c>
      <c r="B234" s="8" t="inlineStr">
        <is>
          <t xml:space="preserve">    def test_cache_fingerprint_integration(self):</t>
        </is>
      </c>
    </row>
    <row r="235">
      <c r="A235" s="9" t="n">
        <v>232</v>
      </c>
      <c r="B235" s="10" t="inlineStr">
        <is>
          <t xml:space="preserve">        """验证 MaterialCacheManager 指纹计算的输出长度"""</t>
        </is>
      </c>
    </row>
    <row r="236">
      <c r="A236" s="7" t="n">
        <v>233</v>
      </c>
      <c r="B236" s="8" t="inlineStr">
        <is>
          <t xml:space="preserve">        import core as ve</t>
        </is>
      </c>
    </row>
    <row r="237">
      <c r="A237" s="9" t="n">
        <v>234</v>
      </c>
      <c r="B237" s="10" t="inlineStr">
        <is>
          <t xml:space="preserve">        from pathlib import Path</t>
        </is>
      </c>
    </row>
    <row r="238">
      <c r="A238" s="7" t="n">
        <v>235</v>
      </c>
      <c r="B238" s="8" t="inlineStr">
        <is>
          <t xml:space="preserve">        dummy_dirs = [str(Path(__file__).parent)]</t>
        </is>
      </c>
    </row>
    <row r="239">
      <c r="A239" s="9" t="n">
        <v>236</v>
      </c>
      <c r="B239" s="10" t="inlineStr">
        <is>
          <t xml:space="preserve">        fp = ve.MaterialCacheManager._dir_fingerprint(dummy_dirs)</t>
        </is>
      </c>
    </row>
    <row r="240">
      <c r="A240" s="7" t="n">
        <v>237</v>
      </c>
      <c r="B240" s="8" t="inlineStr">
        <is>
          <t xml:space="preserve">        self.assertEqual(len(fp), 12, "指纹应为12字符hex")</t>
        </is>
      </c>
    </row>
    <row r="241">
      <c r="A241" s="9" t="n">
        <v>238</v>
      </c>
      <c r="B241" s="10" t="inlineStr"/>
    </row>
    <row r="242">
      <c r="A242" s="7" t="n">
        <v>239</v>
      </c>
      <c r="B242" s="8" t="inlineStr"/>
    </row>
    <row r="243">
      <c r="A243" s="9" t="n">
        <v>240</v>
      </c>
      <c r="B243" s="10" t="inlineStr">
        <is>
          <t>class TestAtomicWrite(unittest.TestCase):</t>
        </is>
      </c>
    </row>
    <row r="244">
      <c r="A244" s="7" t="n">
        <v>241</v>
      </c>
      <c r="B244" s="8" t="inlineStr">
        <is>
          <t xml:space="preserve">    def test_atomic_json_write(self):</t>
        </is>
      </c>
    </row>
    <row r="245">
      <c r="A245" s="9" t="n">
        <v>242</v>
      </c>
      <c r="B245" s="10" t="inlineStr">
        <is>
          <t xml:space="preserve">        import tempfile, os, json</t>
        </is>
      </c>
    </row>
    <row r="246">
      <c r="A246" s="7" t="n">
        <v>243</v>
      </c>
      <c r="B246" s="8" t="inlineStr">
        <is>
          <t xml:space="preserve">        from utils.security import safe_write_json</t>
        </is>
      </c>
    </row>
    <row r="247">
      <c r="A247" s="9" t="n">
        <v>244</v>
      </c>
      <c r="B247" s="10" t="inlineStr">
        <is>
          <t xml:space="preserve">        tmp = tempfile.mktemp(suffix=".json")</t>
        </is>
      </c>
    </row>
    <row r="248">
      <c r="A248" s="7" t="n">
        <v>245</v>
      </c>
      <c r="B248" s="8" t="inlineStr">
        <is>
          <t xml:space="preserve">        safe_write_json(Path(tmp), {"test": "data"})</t>
        </is>
      </c>
    </row>
    <row r="249">
      <c r="A249" s="9" t="n">
        <v>246</v>
      </c>
      <c r="B249" s="10" t="inlineStr">
        <is>
          <t xml:space="preserve">        self.assertTrue(os.path.exists(tmp))</t>
        </is>
      </c>
    </row>
    <row r="250">
      <c r="A250" s="7" t="n">
        <v>247</v>
      </c>
      <c r="B250" s="8" t="inlineStr">
        <is>
          <t xml:space="preserve">        with open(tmp, "r", encoding="utf-8") as f:</t>
        </is>
      </c>
    </row>
    <row r="251">
      <c r="A251" s="9" t="n">
        <v>248</v>
      </c>
      <c r="B251" s="10" t="inlineStr">
        <is>
          <t xml:space="preserve">            data = json.loads(f.read())</t>
        </is>
      </c>
    </row>
    <row r="252">
      <c r="A252" s="7" t="n">
        <v>249</v>
      </c>
      <c r="B252" s="8" t="inlineStr">
        <is>
          <t xml:space="preserve">        self.assertEqual(data["test"], "data")</t>
        </is>
      </c>
    </row>
    <row r="253">
      <c r="A253" s="9" t="n">
        <v>250</v>
      </c>
      <c r="B253" s="10" t="inlineStr">
        <is>
          <t xml:space="preserve">        os.remove(tmp)</t>
        </is>
      </c>
    </row>
    <row r="254">
      <c r="A254" s="7" t="n">
        <v>251</v>
      </c>
      <c r="B254" s="8" t="inlineStr"/>
    </row>
    <row r="255">
      <c r="A255" s="9" t="n">
        <v>252</v>
      </c>
      <c r="B255" s="10" t="inlineStr"/>
    </row>
    <row r="256">
      <c r="A256" s="7" t="n">
        <v>253</v>
      </c>
      <c r="B256" s="8" t="inlineStr">
        <is>
          <t>class TestKnowledgeBridgeCache(unittest.TestCase):</t>
        </is>
      </c>
    </row>
    <row r="257">
      <c r="A257" s="9" t="n">
        <v>254</v>
      </c>
      <c r="B257" s="10" t="inlineStr">
        <is>
          <t xml:space="preserve">    def test_extract_speed(self):</t>
        </is>
      </c>
    </row>
    <row r="258">
      <c r="A258" s="7" t="n">
        <v>255</v>
      </c>
      <c r="B258" s="8" t="inlineStr">
        <is>
          <t xml:space="preserve">        import time</t>
        </is>
      </c>
    </row>
    <row r="259">
      <c r="A259" s="9" t="n">
        <v>256</v>
      </c>
      <c r="B259" s="10" t="inlineStr">
        <is>
          <t xml:space="preserve">        from utils.knowledge import KnowledgeBridge</t>
        </is>
      </c>
    </row>
    <row r="260">
      <c r="A260" s="7" t="n">
        <v>257</v>
      </c>
      <c r="B260" s="8" t="inlineStr">
        <is>
          <t xml:space="preserve">        kb = KnowledgeBridge()</t>
        </is>
      </c>
    </row>
    <row r="261">
      <c r="A261" s="9" t="n">
        <v>258</v>
      </c>
      <c r="B261" s="10" t="inlineStr">
        <is>
          <t xml:space="preserve">        t0 = time.time()</t>
        </is>
      </c>
    </row>
    <row r="262">
      <c r="A262" s="7" t="n">
        <v>259</v>
      </c>
      <c r="B262" s="8" t="inlineStr">
        <is>
          <t xml:space="preserve">        kb.extract_copy_keywords("岩板台面潘多拉哑光中古风")</t>
        </is>
      </c>
    </row>
    <row r="263">
      <c r="A263" s="9" t="n">
        <v>260</v>
      </c>
      <c r="B263" s="10" t="inlineStr">
        <is>
          <t xml:space="preserve">        elapsed = time.time() - t0</t>
        </is>
      </c>
    </row>
    <row r="264">
      <c r="A264" s="7" t="n">
        <v>261</v>
      </c>
      <c r="B264" s="8" t="inlineStr">
        <is>
          <t xml:space="preserve">        self.assertLess(elapsed, 0.5)  # 缓存命中应&lt;500ms</t>
        </is>
      </c>
    </row>
    <row r="265">
      <c r="A265" s="9" t="n">
        <v>262</v>
      </c>
      <c r="B265" s="10" t="inlineStr"/>
    </row>
    <row r="266">
      <c r="A266" s="7" t="n">
        <v>263</v>
      </c>
      <c r="B266" s="8" t="inlineStr"/>
    </row>
    <row r="267">
      <c r="A267" s="9" t="n">
        <v>264</v>
      </c>
      <c r="B267" s="10" t="inlineStr">
        <is>
          <t>if __name__ == "__main__":</t>
        </is>
      </c>
    </row>
    <row r="268">
      <c r="A268" s="7" t="n">
        <v>265</v>
      </c>
      <c r="B268" s="8" t="inlineStr">
        <is>
          <t xml:space="preserve">    unittest.main(verbosity=2)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tests\test_core_functions.py</t>
        </is>
      </c>
      <c r="C1" s="5" t="inlineStr">
        <is>
          <t>行数: 686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# -*- coding: utf-8 -*-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树剪 核心函数全面测试套件</t>
        </is>
      </c>
    </row>
    <row r="8">
      <c r="A8" s="7" t="n">
        <v>5</v>
      </c>
      <c r="B8" s="8" t="inlineStr">
        <is>
          <t>运行: python tests/test_core_functions.py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sys, os, unittest, tempfile, shutil, json, time, io</t>
        </is>
      </c>
    </row>
    <row r="11">
      <c r="A11" s="9" t="n">
        <v>8</v>
      </c>
      <c r="B11" s="10" t="inlineStr">
        <is>
          <t>from pathlib import Path</t>
        </is>
      </c>
    </row>
    <row r="12">
      <c r="A12" s="7" t="n">
        <v>9</v>
      </c>
      <c r="B12" s="8" t="inlineStr">
        <is>
          <t>from unittest.mock import patch, MagicMock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sys.path.insert(0, str(Path(__file__).parent.parent))</t>
        </is>
      </c>
    </row>
    <row r="15">
      <c r="A15" s="9" t="n">
        <v>12</v>
      </c>
      <c r="B15" s="10" t="inlineStr">
        <is>
          <t>BASE = Path(__file__).parent.parent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# ── 辅助: 创建临时测试视频 (空白MP4) ──</t>
        </is>
      </c>
    </row>
    <row r="18">
      <c r="A18" s="7" t="n">
        <v>15</v>
      </c>
      <c r="B18" s="8" t="inlineStr">
        <is>
          <t>def _create_dummy_mp4(path: Path):</t>
        </is>
      </c>
    </row>
    <row r="19">
      <c r="A19" s="9" t="n">
        <v>16</v>
      </c>
      <c r="B19" s="10" t="inlineStr">
        <is>
          <t xml:space="preserve">    """创建最小的合法MP4文件用于测试"""</t>
        </is>
      </c>
    </row>
    <row r="20">
      <c r="A20" s="7" t="n">
        <v>17</v>
      </c>
      <c r="B20" s="8" t="inlineStr">
        <is>
          <t xml:space="preserve">    path.parent.mkdir(parents=True, exist_ok=True)</t>
        </is>
      </c>
    </row>
    <row r="21">
      <c r="A21" s="9" t="n">
        <v>18</v>
      </c>
      <c r="B21" s="10" t="inlineStr">
        <is>
          <t xml:space="preserve">    # 最小的 ffmpeg 空白视频</t>
        </is>
      </c>
    </row>
    <row r="22">
      <c r="A22" s="7" t="n">
        <v>19</v>
      </c>
      <c r="B22" s="8" t="inlineStr">
        <is>
          <t xml:space="preserve">    import subprocess</t>
        </is>
      </c>
    </row>
    <row r="23">
      <c r="A23" s="9" t="n">
        <v>20</v>
      </c>
      <c r="B23" s="10" t="inlineStr">
        <is>
          <t xml:space="preserve">    try:</t>
        </is>
      </c>
    </row>
    <row r="24">
      <c r="A24" s="7" t="n">
        <v>21</v>
      </c>
      <c r="B24" s="8" t="inlineStr">
        <is>
          <t xml:space="preserve">        subprocess.run([</t>
        </is>
      </c>
    </row>
    <row r="25">
      <c r="A25" s="9" t="n">
        <v>22</v>
      </c>
      <c r="B25" s="10" t="inlineStr">
        <is>
          <t xml:space="preserve">            "ffmpeg", "-y", "-f", "lavfi", "-i", "color=black:size=1080x1920:d=2",</t>
        </is>
      </c>
    </row>
    <row r="26">
      <c r="A26" s="7" t="n">
        <v>23</v>
      </c>
      <c r="B26" s="8" t="inlineStr">
        <is>
          <t xml:space="preserve">            "-vcodec", "libx264", "-pix_fmt", "yuv420p", "-an",</t>
        </is>
      </c>
    </row>
    <row r="27">
      <c r="A27" s="9" t="n">
        <v>24</v>
      </c>
      <c r="B27" s="10" t="inlineStr">
        <is>
          <t xml:space="preserve">            str(path)</t>
        </is>
      </c>
    </row>
    <row r="28">
      <c r="A28" s="7" t="n">
        <v>25</v>
      </c>
      <c r="B28" s="8" t="inlineStr">
        <is>
          <t xml:space="preserve">        ], capture_output=True, timeout=15)</t>
        </is>
      </c>
    </row>
    <row r="29">
      <c r="A29" s="9" t="n">
        <v>26</v>
      </c>
      <c r="B29" s="10" t="inlineStr">
        <is>
          <t xml:space="preserve">    except Exception:</t>
        </is>
      </c>
    </row>
    <row r="30">
      <c r="A30" s="7" t="n">
        <v>27</v>
      </c>
      <c r="B30" s="8" t="inlineStr">
        <is>
          <t xml:space="preserve">        # ffmpeg 不可用时，创建占位文件</t>
        </is>
      </c>
    </row>
    <row r="31">
      <c r="A31" s="9" t="n">
        <v>28</v>
      </c>
      <c r="B31" s="10" t="inlineStr">
        <is>
          <t xml:space="preserve">        with open(path, "wb") as f:</t>
        </is>
      </c>
    </row>
    <row r="32">
      <c r="A32" s="7" t="n">
        <v>29</v>
      </c>
      <c r="B32" s="8" t="inlineStr">
        <is>
          <t xml:space="preserve">            f.write(b"\x00" * 1024)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/>
    </row>
    <row r="35">
      <c r="A35" s="9" t="n">
        <v>32</v>
      </c>
      <c r="B35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36">
      <c r="A36" s="7" t="n">
        <v>33</v>
      </c>
      <c r="B36" s="8" t="inlineStr">
        <is>
          <t># 1. 分类器测试</t>
        </is>
      </c>
    </row>
    <row r="37">
      <c r="A37" s="9" t="n">
        <v>34</v>
      </c>
      <c r="B37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38">
      <c r="A38" s="7" t="n">
        <v>35</v>
      </c>
      <c r="B38" s="8" t="inlineStr">
        <is>
          <t>class TestClassifier(unittest.TestCase):</t>
        </is>
      </c>
    </row>
    <row r="39">
      <c r="A39" s="9" t="n">
        <v>36</v>
      </c>
      <c r="B39" s="10" t="inlineStr">
        <is>
          <t xml:space="preserve">    """core/classifier.py — 1200+ 词汇分类器"""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 xml:space="preserve">    def test_classify_single(self):</t>
        </is>
      </c>
    </row>
    <row r="42">
      <c r="A42" s="7" t="n">
        <v>39</v>
      </c>
      <c r="B42" s="8" t="inlineStr">
        <is>
          <t xml:space="preserve">        from core.classifier import classify</t>
        </is>
      </c>
    </row>
    <row r="43">
      <c r="A43" s="9" t="n">
        <v>40</v>
      </c>
      <c r="B43" s="10" t="inlineStr">
        <is>
          <t xml:space="preserve">        r = classify("意式轻奢鱼肚白岩板悬浮岛台")</t>
        </is>
      </c>
    </row>
    <row r="44">
      <c r="A44" s="7" t="n">
        <v>41</v>
      </c>
      <c r="B44" s="8" t="inlineStr">
        <is>
          <t xml:space="preserve">        self.assertGreater(r["data"][0]["matchedCount"], 0,</t>
        </is>
      </c>
    </row>
    <row r="45">
      <c r="A45" s="9" t="n">
        <v>42</v>
      </c>
      <c r="B45" s="10" t="inlineStr">
        <is>
          <t xml:space="preserve">                          "行业术语应至少匹配到一个分类")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def test_classify_batch(self):</t>
        </is>
      </c>
    </row>
    <row r="48">
      <c r="A48" s="7" t="n">
        <v>45</v>
      </c>
      <c r="B48" s="8" t="inlineStr">
        <is>
          <t xml:space="preserve">        from core.classifier import classify</t>
        </is>
      </c>
    </row>
    <row r="49">
      <c r="A49" s="9" t="n">
        <v>46</v>
      </c>
      <c r="B49" s="10" t="inlineStr">
        <is>
          <t xml:space="preserve">        r = classify(["百隆阻尼铰链", "岩板渗色怎么办",</t>
        </is>
      </c>
    </row>
    <row r="50">
      <c r="A50" s="7" t="n">
        <v>47</v>
      </c>
      <c r="B50" s="8" t="inlineStr">
        <is>
          <t xml:space="preserve">                      "嵌入式蒸烤箱安装", "奶咖色PET门板",</t>
        </is>
      </c>
    </row>
    <row r="51">
      <c r="A51" s="9" t="n">
        <v>48</v>
      </c>
      <c r="B51" s="10" t="inlineStr">
        <is>
          <t xml:space="preserve">                      "随便输入一个不存在的词"])</t>
        </is>
      </c>
    </row>
    <row r="52">
      <c r="A52" s="7" t="n">
        <v>49</v>
      </c>
      <c r="B52" s="8" t="inlineStr">
        <is>
          <t xml:space="preserve">        self.assertEqual(r["total"], 5)</t>
        </is>
      </c>
    </row>
    <row r="53">
      <c r="A53" s="9" t="n">
        <v>50</v>
      </c>
      <c r="B53" s="10" t="inlineStr">
        <is>
          <t xml:space="preserve">        self.assertGreater(r["classifiedCount"], 2)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 xml:space="preserve">    def test_classify_annotate(self):</t>
        </is>
      </c>
    </row>
    <row r="56">
      <c r="A56" s="7" t="n">
        <v>53</v>
      </c>
      <c r="B56" s="8" t="inlineStr">
        <is>
          <t xml:space="preserve">        from core.classifier import classify_annotate</t>
        </is>
      </c>
    </row>
    <row r="57">
      <c r="A57" s="9" t="n">
        <v>54</v>
      </c>
      <c r="B57" s="10" t="inlineStr">
        <is>
          <t xml:space="preserve">        r = classify_annotate("极简风奶油白岩板岛台海棠角工艺")</t>
        </is>
      </c>
    </row>
    <row r="58">
      <c r="A58" s="7" t="n">
        <v>55</v>
      </c>
      <c r="B58" s="8" t="inlineStr">
        <is>
          <t xml:space="preserve">        self.assertIn("matchedCount", r)</t>
        </is>
      </c>
    </row>
    <row r="59">
      <c r="A59" s="9" t="n">
        <v>56</v>
      </c>
      <c r="B59" s="10" t="inlineStr">
        <is>
          <t xml:space="preserve">        self.assertIsInstance(r["paths"], list)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>
        <is>
          <t xml:space="preserve">    def test_get_all_terms(self):</t>
        </is>
      </c>
    </row>
    <row r="62">
      <c r="A62" s="7" t="n">
        <v>59</v>
      </c>
      <c r="B62" s="8" t="inlineStr">
        <is>
          <t xml:space="preserve">        from core.classifier import get_all_terms</t>
        </is>
      </c>
    </row>
    <row r="63">
      <c r="A63" s="9" t="n">
        <v>60</v>
      </c>
      <c r="B63" s="10" t="inlineStr">
        <is>
          <t xml:space="preserve">        terms = get_all_terms()</t>
        </is>
      </c>
    </row>
    <row r="64">
      <c r="A64" s="7" t="n">
        <v>61</v>
      </c>
      <c r="B64" s="8" t="inlineStr">
        <is>
          <t xml:space="preserve">        self.assertGreater(len(terms), 1000, "词库应包含1000+术语")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  def test_get_sibling_terms(self):</t>
        </is>
      </c>
    </row>
    <row r="67">
      <c r="A67" s="9" t="n">
        <v>64</v>
      </c>
      <c r="B67" s="10" t="inlineStr">
        <is>
          <t xml:space="preserve">        from core.classifier import get_sibling_terms</t>
        </is>
      </c>
    </row>
    <row r="68">
      <c r="A68" s="7" t="n">
        <v>65</v>
      </c>
      <c r="B68" s="8" t="inlineStr">
        <is>
          <t xml:space="preserve">        siblings = get_sibling_terms("缓冲铰链")</t>
        </is>
      </c>
    </row>
    <row r="69">
      <c r="A69" s="9" t="n">
        <v>66</v>
      </c>
      <c r="B69" s="10" t="inlineStr">
        <is>
          <t xml:space="preserve">        self.assertIsInstance(siblings, list)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def test_empty_input(self):</t>
        </is>
      </c>
    </row>
    <row r="72">
      <c r="A72" s="7" t="n">
        <v>69</v>
      </c>
      <c r="B72" s="8" t="inlineStr">
        <is>
          <t xml:space="preserve">        from core.classifier import classify</t>
        </is>
      </c>
    </row>
    <row r="73">
      <c r="A73" s="9" t="n">
        <v>70</v>
      </c>
      <c r="B73" s="10" t="inlineStr">
        <is>
          <t xml:space="preserve">        r = classify("")</t>
        </is>
      </c>
    </row>
    <row r="74">
      <c r="A74" s="7" t="n">
        <v>71</v>
      </c>
      <c r="B74" s="8" t="inlineStr">
        <is>
          <t xml:space="preserve">        # classify 对空字符串返回 total=0（被过滤）</t>
        </is>
      </c>
    </row>
    <row r="75">
      <c r="A75" s="9" t="n">
        <v>72</v>
      </c>
      <c r="B75" s="10" t="inlineStr">
        <is>
          <t xml:space="preserve">        self.assertIn(r["total"], [0, 1])</t>
        </is>
      </c>
    </row>
    <row r="76">
      <c r="A76" s="7" t="n">
        <v>73</v>
      </c>
      <c r="B76" s="8" t="inlineStr"/>
    </row>
    <row r="77">
      <c r="A77" s="9" t="n">
        <v>74</v>
      </c>
      <c r="B77" s="10" t="inlineStr"/>
    </row>
    <row r="78">
      <c r="A78" s="7" t="n">
        <v>75</v>
      </c>
      <c r="B78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79">
      <c r="A79" s="9" t="n">
        <v>76</v>
      </c>
      <c r="B79" s="10" t="inlineStr">
        <is>
          <t># 2. 文案生成测试</t>
        </is>
      </c>
    </row>
    <row r="80">
      <c r="A80" s="7" t="n">
        <v>77</v>
      </c>
      <c r="B80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81">
      <c r="A81" s="9" t="n">
        <v>78</v>
      </c>
      <c r="B81" s="10" t="inlineStr">
        <is>
          <t>class TestCopywriter(unittest.TestCase):</t>
        </is>
      </c>
    </row>
    <row r="82">
      <c r="A82" s="7" t="n">
        <v>79</v>
      </c>
      <c r="B82" s="8" t="inlineStr">
        <is>
          <t xml:space="preserve">    """core/copywriter.py — 文案生成"""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>
        <is>
          <t xml:space="preserve">    def test_fallback_copy_contains_keyword(self):</t>
        </is>
      </c>
    </row>
    <row r="85">
      <c r="A85" s="9" t="n">
        <v>82</v>
      </c>
      <c r="B85" s="10" t="inlineStr">
        <is>
          <t xml:space="preserve">        from core.copywriter import generate_fallback_copy</t>
        </is>
      </c>
    </row>
    <row r="86">
      <c r="A86" s="7" t="n">
        <v>83</v>
      </c>
      <c r="B86" s="8" t="inlineStr">
        <is>
          <t xml:space="preserve">        result = generate_fallback_copy("内嵌烤箱")</t>
        </is>
      </c>
    </row>
    <row r="87">
      <c r="A87" s="9" t="n">
        <v>84</v>
      </c>
      <c r="B87" s="10" t="inlineStr">
        <is>
          <t xml:space="preserve">        self.assertIn("内嵌烤箱", result)</t>
        </is>
      </c>
    </row>
    <row r="88">
      <c r="A88" s="7" t="n">
        <v>85</v>
      </c>
      <c r="B88" s="8" t="inlineStr">
        <is>
          <t xml:space="preserve">        self.assertGreater(len(result), 30)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def test_fallback_copy_variety(self):</t>
        </is>
      </c>
    </row>
    <row r="91">
      <c r="A91" s="9" t="n">
        <v>88</v>
      </c>
      <c r="B91" s="10" t="inlineStr">
        <is>
          <t xml:space="preserve">        from core.copywriter import generate_fallback_copy</t>
        </is>
      </c>
    </row>
    <row r="92">
      <c r="A92" s="7" t="n">
        <v>89</v>
      </c>
      <c r="B92" s="8" t="inlineStr">
        <is>
          <t xml:space="preserve">        results = {generate_fallback_copy("test") for _ in range(20)}</t>
        </is>
      </c>
    </row>
    <row r="93">
      <c r="A93" s="9" t="n">
        <v>90</v>
      </c>
      <c r="B93" s="10" t="inlineStr">
        <is>
          <t xml:space="preserve">        self.assertGreater(len(results), 1, "备用文案应有模板多样性")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>
        <is>
          <t xml:space="preserve">    def test_cta_check_positive(self):</t>
        </is>
      </c>
    </row>
    <row r="96">
      <c r="A96" s="7" t="n">
        <v>93</v>
      </c>
      <c r="B96" s="8" t="inlineStr">
        <is>
          <t xml:space="preserve">        from core.copywriter import check_cta_present</t>
        </is>
      </c>
    </row>
    <row r="97">
      <c r="A97" s="9" t="n">
        <v>94</v>
      </c>
      <c r="B97" s="10" t="inlineStr">
        <is>
          <t xml:space="preserve">        self.assertTrue(check_cta_present("喜欢吗？评论区扣1发你方案"))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>
        <is>
          <t xml:space="preserve">    def test_cta_check_negative(self):</t>
        </is>
      </c>
    </row>
    <row r="100">
      <c r="A100" s="7" t="n">
        <v>97</v>
      </c>
      <c r="B100" s="8" t="inlineStr">
        <is>
          <t xml:space="preserve">        from core.copywriter import check_cta_present</t>
        </is>
      </c>
    </row>
    <row r="101">
      <c r="A101" s="9" t="n">
        <v>98</v>
      </c>
      <c r="B101" s="10" t="inlineStr">
        <is>
          <t xml:space="preserve">        self.assertFalse(check_cta_present("这是一个岛台展示视频"))</t>
        </is>
      </c>
    </row>
    <row r="102">
      <c r="A102" s="7" t="n">
        <v>99</v>
      </c>
      <c r="B102" s="8" t="inlineStr"/>
    </row>
    <row r="103">
      <c r="A103" s="9" t="n">
        <v>100</v>
      </c>
      <c r="B103" s="10" t="inlineStr">
        <is>
          <t xml:space="preserve">    def test_append_cta(self):</t>
        </is>
      </c>
    </row>
    <row r="104">
      <c r="A104" s="7" t="n">
        <v>101</v>
      </c>
      <c r="B104" s="8" t="inlineStr">
        <is>
          <t xml:space="preserve">        from core.copywriter import append_cta_if_missing, CTA_KEYWORDS</t>
        </is>
      </c>
    </row>
    <row r="105">
      <c r="A105" s="9" t="n">
        <v>102</v>
      </c>
      <c r="B105" s="10" t="inlineStr">
        <is>
          <t xml:space="preserve">        result = append_cta_if_missing("岛台展示")</t>
        </is>
      </c>
    </row>
    <row r="106">
      <c r="A106" s="7" t="n">
        <v>103</v>
      </c>
      <c r="B106" s="8" t="inlineStr">
        <is>
          <t xml:space="preserve">        # CTA 应至少包含一个行动引导关键词</t>
        </is>
      </c>
    </row>
    <row r="107">
      <c r="A107" s="9" t="n">
        <v>104</v>
      </c>
      <c r="B107" s="10" t="inlineStr">
        <is>
          <t xml:space="preserve">        has_cta = any(kw in result for kw in CTA_KEYWORDS)</t>
        </is>
      </c>
    </row>
    <row r="108">
      <c r="A108" s="7" t="n">
        <v>105</v>
      </c>
      <c r="B108" s="8" t="inlineStr">
        <is>
          <t xml:space="preserve">        self.assertTrue(has_cta,</t>
        </is>
      </c>
    </row>
    <row r="109">
      <c r="A109" s="9" t="n">
        <v>106</v>
      </c>
      <c r="B109" s="10" t="inlineStr">
        <is>
          <t xml:space="preserve">                       f"追加的CTA应包含行动引导，实际: {result[:50]}")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def test_extract_video_descriptions(self):</t>
        </is>
      </c>
    </row>
    <row r="112">
      <c r="A112" s="7" t="n">
        <v>109</v>
      </c>
      <c r="B112" s="8" t="inlineStr">
        <is>
          <t xml:space="preserve">        from core.copywriter import extract_video_descriptions</t>
        </is>
      </c>
    </row>
    <row r="113">
      <c r="A113" s="9" t="n">
        <v>110</v>
      </c>
      <c r="B113" s="10" t="inlineStr">
        <is>
          <t xml:space="preserve">        # copywriter.py extract_video_descriptions 中 regex 存在 bug:</t>
        </is>
      </c>
    </row>
    <row r="114">
      <c r="A114" s="7" t="n">
        <v>111</v>
      </c>
      <c r="B114" s="8" t="inlineStr">
        <is>
          <t xml:space="preserve">        # r'[([^]]+)]' 括号不平衡，会在匹配 [tag] 格式时触发 re.error</t>
        </is>
      </c>
    </row>
    <row r="115">
      <c r="A115" s="9" t="n">
        <v>112</v>
      </c>
      <c r="B115" s="10" t="inlineStr">
        <is>
          <t xml:space="preserve">        # 使用纯中文文件名绕过 regex 路径</t>
        </is>
      </c>
    </row>
    <row r="116">
      <c r="A116" s="7" t="n">
        <v>113</v>
      </c>
      <c r="B116" s="8" t="inlineStr">
        <is>
          <t xml:space="preserve">        clips = [{</t>
        </is>
      </c>
    </row>
    <row r="117">
      <c r="A117" s="9" t="n">
        <v>114</v>
      </c>
      <c r="B117" s="10" t="inlineStr">
        <is>
          <t xml:space="preserve">            "path": Path("微水泥岛台内嵌烤箱展示.mp4"),</t>
        </is>
      </c>
    </row>
    <row r="118">
      <c r="A118" s="7" t="n">
        <v>115</v>
      </c>
      <c r="B118" s="8" t="inlineStr">
        <is>
          <t xml:space="preserve">            "keyword": "内嵌烤箱"</t>
        </is>
      </c>
    </row>
    <row r="119">
      <c r="A119" s="9" t="n">
        <v>116</v>
      </c>
      <c r="B119" s="10" t="inlineStr">
        <is>
          <t xml:space="preserve">        }]</t>
        </is>
      </c>
    </row>
    <row r="120">
      <c r="A120" s="7" t="n">
        <v>117</v>
      </c>
      <c r="B120" s="8" t="inlineStr">
        <is>
          <t xml:space="preserve">        descs = extract_video_descriptions(clips)</t>
        </is>
      </c>
    </row>
    <row r="121">
      <c r="A121" s="9" t="n">
        <v>118</v>
      </c>
      <c r="B121" s="10" t="inlineStr">
        <is>
          <t xml:space="preserve">        self.assertTrue(isinstance(descs, list))</t>
        </is>
      </c>
    </row>
    <row r="122">
      <c r="A122" s="7" t="n">
        <v>119</v>
      </c>
      <c r="B122" s="8" t="inlineStr">
        <is>
          <t xml:space="preserve">        self.assertEqual(len(descs), 1)</t>
        </is>
      </c>
    </row>
    <row r="123">
      <c r="A123" s="9" t="n">
        <v>120</v>
      </c>
      <c r="B123" s="10" t="inlineStr">
        <is>
          <t xml:space="preserve">        # 即使无括号标签也能生成描述</t>
        </is>
      </c>
    </row>
    <row r="124">
      <c r="A124" s="7" t="n">
        <v>121</v>
      </c>
      <c r="B124" s="8" t="inlineStr">
        <is>
          <t xml:space="preserve">        self.assertIn("内嵌烤箱", descs[0])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@patch('core.copywriter.DEEPSEEK_API_KEY', '')</t>
        </is>
      </c>
    </row>
    <row r="127">
      <c r="A127" s="9" t="n">
        <v>124</v>
      </c>
      <c r="B127" s="10" t="inlineStr">
        <is>
          <t xml:space="preserve">    def test_generate_copy_fallback_on_no_key(self):</t>
        </is>
      </c>
    </row>
    <row r="128">
      <c r="A128" s="7" t="n">
        <v>125</v>
      </c>
      <c r="B128" s="8" t="inlineStr">
        <is>
          <t xml:space="preserve">        """无API Key时应降级为备用文案"""</t>
        </is>
      </c>
    </row>
    <row r="129">
      <c r="A129" s="9" t="n">
        <v>126</v>
      </c>
      <c r="B129" s="10" t="inlineStr">
        <is>
          <t xml:space="preserve">        from core.copywriter import generate_copy, generate_fallback_copy</t>
        </is>
      </c>
    </row>
    <row r="130">
      <c r="A130" s="7" t="n">
        <v>127</v>
      </c>
      <c r="B130" s="8" t="inlineStr">
        <is>
          <t xml:space="preserve">        result = generate_copy("测试", 5, 28.0)</t>
        </is>
      </c>
    </row>
    <row r="131">
      <c r="A131" s="9" t="n">
        <v>128</v>
      </c>
      <c r="B131" s="10" t="inlineStr">
        <is>
          <t xml:space="preserve">        self.assertGreater(len(result), 30)</t>
        </is>
      </c>
    </row>
    <row r="132">
      <c r="A132" s="7" t="n">
        <v>129</v>
      </c>
      <c r="B132" s="8" t="inlineStr"/>
    </row>
    <row r="133">
      <c r="A133" s="9" t="n">
        <v>130</v>
      </c>
      <c r="B133" s="10" t="inlineStr"/>
    </row>
    <row r="134">
      <c r="A134" s="7" t="n">
        <v>131</v>
      </c>
      <c r="B134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135">
      <c r="A135" s="9" t="n">
        <v>132</v>
      </c>
      <c r="B135" s="10" t="inlineStr">
        <is>
          <t># 3. TTS 引擎测试</t>
        </is>
      </c>
    </row>
    <row r="136">
      <c r="A136" s="7" t="n">
        <v>133</v>
      </c>
      <c r="B136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137">
      <c r="A137" s="9" t="n">
        <v>134</v>
      </c>
      <c r="B137" s="10" t="inlineStr">
        <is>
          <t>class TestTTSEngine(unittest.TestCase):</t>
        </is>
      </c>
    </row>
    <row r="138">
      <c r="A138" s="7" t="n">
        <v>135</v>
      </c>
      <c r="B138" s="8" t="inlineStr">
        <is>
          <t xml:space="preserve">    """core/tts.py — 配音引擎"""</t>
        </is>
      </c>
    </row>
    <row r="139">
      <c r="A139" s="9" t="n">
        <v>136</v>
      </c>
      <c r="B139" s="10" t="inlineStr"/>
    </row>
    <row r="140">
      <c r="A140" s="7" t="n">
        <v>137</v>
      </c>
      <c r="B140" s="8" t="inlineStr">
        <is>
          <t xml:space="preserve">    def test_split_subtitles_basic(self):</t>
        </is>
      </c>
    </row>
    <row r="141">
      <c r="A141" s="9" t="n">
        <v>138</v>
      </c>
      <c r="B141" s="10" t="inlineStr">
        <is>
          <t xml:space="preserve">        from core.tts import split_copy_to_subtitles</t>
        </is>
      </c>
    </row>
    <row r="142">
      <c r="A142" s="7" t="n">
        <v>139</v>
      </c>
      <c r="B142" s="8" t="inlineStr">
        <is>
          <t xml:space="preserve">        r = split_copy_to_subtitles("钩子开头。核心卖点展示。结尾CTA引导。")</t>
        </is>
      </c>
    </row>
    <row r="143">
      <c r="A143" s="9" t="n">
        <v>140</v>
      </c>
      <c r="B143" s="10" t="inlineStr">
        <is>
          <t xml:space="preserve">        self.assertGreaterEqual(len(r), 3)</t>
        </is>
      </c>
    </row>
    <row r="144">
      <c r="A144" s="7" t="n">
        <v>141</v>
      </c>
      <c r="B144" s="8" t="inlineStr"/>
    </row>
    <row r="145">
      <c r="A145" s="9" t="n">
        <v>142</v>
      </c>
      <c r="B145" s="10" t="inlineStr">
        <is>
          <t xml:space="preserve">    def test_split_subtitles_short(self):</t>
        </is>
      </c>
    </row>
    <row r="146">
      <c r="A146" s="7" t="n">
        <v>143</v>
      </c>
      <c r="B146" s="8" t="inlineStr">
        <is>
          <t xml:space="preserve">        from core.tts import split_copy_to_subtitles</t>
        </is>
      </c>
    </row>
    <row r="147">
      <c r="A147" s="9" t="n">
        <v>144</v>
      </c>
      <c r="B147" s="10" t="inlineStr">
        <is>
          <t xml:space="preserve">        r = split_copy_to_subtitles("坤宝岛台")</t>
        </is>
      </c>
    </row>
    <row r="148">
      <c r="A148" s="7" t="n">
        <v>145</v>
      </c>
      <c r="B148" s="8" t="inlineStr">
        <is>
          <t xml:space="preserve">        self.assertGreater(len(r), 0)</t>
        </is>
      </c>
    </row>
    <row r="149">
      <c r="A149" s="9" t="n">
        <v>146</v>
      </c>
      <c r="B149" s="10" t="inlineStr"/>
    </row>
    <row r="150">
      <c r="A150" s="7" t="n">
        <v>147</v>
      </c>
      <c r="B150" s="8" t="inlineStr">
        <is>
          <t xml:space="preserve">    def test_split_empty(self):</t>
        </is>
      </c>
    </row>
    <row r="151">
      <c r="A151" s="9" t="n">
        <v>148</v>
      </c>
      <c r="B151" s="10" t="inlineStr">
        <is>
          <t xml:space="preserve">        from core.tts import split_copy_to_subtitles</t>
        </is>
      </c>
    </row>
    <row r="152">
      <c r="A152" s="7" t="n">
        <v>149</v>
      </c>
      <c r="B152" s="8" t="inlineStr">
        <is>
          <t xml:space="preserve">        r = split_copy_to_subtitles("")</t>
        </is>
      </c>
    </row>
    <row r="153">
      <c r="A153" s="9" t="n">
        <v>150</v>
      </c>
      <c r="B153" s="10" t="inlineStr">
        <is>
          <t xml:space="preserve">        self.assertIn("坤宝岛台", r[0])</t>
        </is>
      </c>
    </row>
    <row r="154">
      <c r="A154" s="7" t="n">
        <v>151</v>
      </c>
      <c r="B154" s="8" t="inlineStr"/>
    </row>
    <row r="155">
      <c r="A155" s="9" t="n">
        <v>152</v>
      </c>
      <c r="B155" s="10" t="inlineStr">
        <is>
          <t xml:space="preserve">    def test_clean_text_removes_emoji(self):</t>
        </is>
      </c>
    </row>
    <row r="156">
      <c r="A156" s="7" t="n">
        <v>153</v>
      </c>
      <c r="B156" s="8" t="inlineStr">
        <is>
          <t xml:space="preserve">        from core.tts import clean_text_for_tts</t>
        </is>
      </c>
    </row>
    <row r="157">
      <c r="A157" s="9" t="n">
        <v>154</v>
      </c>
      <c r="B157" s="10" t="inlineStr">
        <is>
          <t xml:space="preserve">        r = clean_text_for_tts("测试🔥内容💯✨")</t>
        </is>
      </c>
    </row>
    <row r="158">
      <c r="A158" s="7" t="n">
        <v>155</v>
      </c>
      <c r="B158" s="8" t="inlineStr">
        <is>
          <t xml:space="preserve">        for ch in "🔥💯✨":</t>
        </is>
      </c>
    </row>
    <row r="159">
      <c r="A159" s="9" t="n">
        <v>156</v>
      </c>
      <c r="B159" s="10" t="inlineStr">
        <is>
          <t xml:space="preserve">            self.assertNotIn(ch, r)</t>
        </is>
      </c>
    </row>
    <row r="160">
      <c r="A160" s="7" t="n">
        <v>157</v>
      </c>
      <c r="B160" s="8" t="inlineStr"/>
    </row>
    <row r="161">
      <c r="A161" s="9" t="n">
        <v>158</v>
      </c>
      <c r="B161" s="10" t="inlineStr">
        <is>
          <t xml:space="preserve">    def test_strip_leading_junk(self):</t>
        </is>
      </c>
    </row>
    <row r="162">
      <c r="A162" s="7" t="n">
        <v>159</v>
      </c>
      <c r="B162" s="8" t="inlineStr">
        <is>
          <t xml:space="preserve">        from core.tts import strip_leading_junk</t>
        </is>
      </c>
    </row>
    <row r="163">
      <c r="A163" s="9" t="n">
        <v>160</v>
      </c>
      <c r="B163" s="10" t="inlineStr">
        <is>
          <t xml:space="preserve">        r = strip_leading_junk("1. 测试内容")</t>
        </is>
      </c>
    </row>
    <row r="164">
      <c r="A164" s="7" t="n">
        <v>161</v>
      </c>
      <c r="B164" s="8" t="inlineStr">
        <is>
          <t xml:space="preserve">        self.assertNotIn("1.", r)</t>
        </is>
      </c>
    </row>
    <row r="165">
      <c r="A165" s="9" t="n">
        <v>162</v>
      </c>
      <c r="B165" s="10" t="inlineStr">
        <is>
          <t xml:space="preserve">        r2 = strip_leading_junk("[01] 测试")</t>
        </is>
      </c>
    </row>
    <row r="166">
      <c r="A166" s="7" t="n">
        <v>163</v>
      </c>
      <c r="B166" s="8" t="inlineStr">
        <is>
          <t xml:space="preserve">        self.assertNotIn("[01]", r2)</t>
        </is>
      </c>
    </row>
    <row r="167">
      <c r="A167" s="9" t="n">
        <v>164</v>
      </c>
      <c r="B167" s="10" t="inlineStr"/>
    </row>
    <row r="168">
      <c r="A168" s="7" t="n">
        <v>165</v>
      </c>
      <c r="B168" s="8" t="inlineStr">
        <is>
          <t xml:space="preserve">    def test_estimate_tts_duration(self):</t>
        </is>
      </c>
    </row>
    <row r="169">
      <c r="A169" s="9" t="n">
        <v>166</v>
      </c>
      <c r="B169" s="10" t="inlineStr">
        <is>
          <t xml:space="preserve">        from core.tts import estimate_tts_duration</t>
        </is>
      </c>
    </row>
    <row r="170">
      <c r="A170" s="7" t="n">
        <v>167</v>
      </c>
      <c r="B170" s="8" t="inlineStr">
        <is>
          <t xml:space="preserve">        dur = estimate_tts_duration("这是测试文本用于估算TTS时长")</t>
        </is>
      </c>
    </row>
    <row r="171">
      <c r="A171" s="9" t="n">
        <v>168</v>
      </c>
      <c r="B171" s="10" t="inlineStr">
        <is>
          <t xml:space="preserve">        self.assertGreater(dur, 1.0)</t>
        </is>
      </c>
    </row>
    <row r="172">
      <c r="A172" s="7" t="n">
        <v>169</v>
      </c>
      <c r="B172" s="8" t="inlineStr"/>
    </row>
    <row r="173">
      <c r="A173" s="9" t="n">
        <v>170</v>
      </c>
      <c r="B173" s="10" t="inlineStr">
        <is>
          <t xml:space="preserve">    def test_filter_non_speech(self):</t>
        </is>
      </c>
    </row>
    <row r="174">
      <c r="A174" s="7" t="n">
        <v>171</v>
      </c>
      <c r="B174" s="8" t="inlineStr">
        <is>
          <t xml:space="preserve">        from core.tts import filter_non_speech_fragments</t>
        </is>
      </c>
    </row>
    <row r="175">
      <c r="A175" s="9" t="n">
        <v>172</v>
      </c>
      <c r="B175" s="10" t="inlineStr">
        <is>
          <t xml:space="preserve">        r = filter_non_speech_fragments(["123", "岩板台面", "ABC", "岛台设计"])</t>
        </is>
      </c>
    </row>
    <row r="176">
      <c r="A176" s="7" t="n">
        <v>173</v>
      </c>
      <c r="B176" s="8" t="inlineStr">
        <is>
          <t xml:space="preserve">        self.assertIn("岩板台面", r)</t>
        </is>
      </c>
    </row>
    <row r="177">
      <c r="A177" s="9" t="n">
        <v>174</v>
      </c>
      <c r="B177" s="10" t="inlineStr">
        <is>
          <t xml:space="preserve">        self.assertNotIn("123", r)</t>
        </is>
      </c>
    </row>
    <row r="178">
      <c r="A178" s="7" t="n">
        <v>175</v>
      </c>
      <c r="B178" s="8" t="inlineStr"/>
    </row>
    <row r="179">
      <c r="A179" s="9" t="n">
        <v>176</v>
      </c>
      <c r="B179" s="10" t="inlineStr">
        <is>
          <t xml:space="preserve">    def test_verify_word_integrity(self):</t>
        </is>
      </c>
    </row>
    <row r="180">
      <c r="A180" s="7" t="n">
        <v>177</v>
      </c>
      <c r="B180" s="8" t="inlineStr">
        <is>
          <t xml:space="preserve">        from core.tts import verify_word_integrity</t>
        </is>
      </c>
    </row>
    <row r="181">
      <c r="A181" s="9" t="n">
        <v>178</v>
      </c>
      <c r="B181" s="10" t="inlineStr">
        <is>
          <t xml:space="preserve">        ok, broken = verify_word_integrity("岛台内嵌烤箱展示", "岛台内嵌烤箱展示")</t>
        </is>
      </c>
    </row>
    <row r="182">
      <c r="A182" s="7" t="n">
        <v>179</v>
      </c>
      <c r="B182" s="8" t="inlineStr">
        <is>
          <t xml:space="preserve">        self.assertTrue(ok)</t>
        </is>
      </c>
    </row>
    <row r="183">
      <c r="A183" s="9" t="n">
        <v>180</v>
      </c>
      <c r="B183" s="10" t="inlineStr"/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186">
      <c r="A186" s="7" t="n">
        <v>183</v>
      </c>
      <c r="B186" s="8" t="inlineStr">
        <is>
          <t># 4. 知识库桥接测试</t>
        </is>
      </c>
    </row>
    <row r="187">
      <c r="A187" s="9" t="n">
        <v>184</v>
      </c>
      <c r="B187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188">
      <c r="A188" s="7" t="n">
        <v>185</v>
      </c>
      <c r="B188" s="8" t="inlineStr">
        <is>
          <t>class TestKnowledgeBridge(unittest.TestCase):</t>
        </is>
      </c>
    </row>
    <row r="189">
      <c r="A189" s="9" t="n">
        <v>186</v>
      </c>
      <c r="B189" s="10" t="inlineStr">
        <is>
          <t xml:space="preserve">    """utils/knowledge.py — V5 知识库"""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 xml:space="preserve">    def setUp(self):</t>
        </is>
      </c>
    </row>
    <row r="192">
      <c r="A192" s="7" t="n">
        <v>189</v>
      </c>
      <c r="B192" s="8" t="inlineStr">
        <is>
          <t xml:space="preserve">        from utils.knowledge import KnowledgeBridge</t>
        </is>
      </c>
    </row>
    <row r="193">
      <c r="A193" s="9" t="n">
        <v>190</v>
      </c>
      <c r="B193" s="10" t="inlineStr">
        <is>
          <t xml:space="preserve">        self.kb = KnowledgeBridge()</t>
        </is>
      </c>
    </row>
    <row r="194">
      <c r="A194" s="7" t="n">
        <v>191</v>
      </c>
      <c r="B194" s="8" t="inlineStr"/>
    </row>
    <row r="195">
      <c r="A195" s="9" t="n">
        <v>192</v>
      </c>
      <c r="B195" s="10" t="inlineStr">
        <is>
          <t xml:space="preserve">    def test_extract_stone_keywords(self):</t>
        </is>
      </c>
    </row>
    <row r="196">
      <c r="A196" s="7" t="n">
        <v>193</v>
      </c>
      <c r="B196" s="8" t="inlineStr">
        <is>
          <t xml:space="preserve">        kws = self.kb.extract_copy_keywords("岩板台面选潘多拉哑光系列配海棠角")</t>
        </is>
      </c>
    </row>
    <row r="197">
      <c r="A197" s="9" t="n">
        <v>194</v>
      </c>
      <c r="B197" s="10" t="inlineStr">
        <is>
          <t xml:space="preserve">        self.assertGreater(len(kws["stones"]), 0)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>
        <is>
          <t xml:space="preserve">    def test_extract_craft_keywords(self):</t>
        </is>
      </c>
    </row>
    <row r="200">
      <c r="A200" s="7" t="n">
        <v>197</v>
      </c>
      <c r="B200" s="8" t="inlineStr">
        <is>
          <t xml:space="preserve">        kws = self.kb.extract_copy_keywords("海棠角工艺无缝拼接")</t>
        </is>
      </c>
    </row>
    <row r="201">
      <c r="A201" s="9" t="n">
        <v>198</v>
      </c>
      <c r="B201" s="10" t="inlineStr">
        <is>
          <t xml:space="preserve">        self.assertGreater(len(kws["crafts"]), 0)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def test_extract_hardware_keywords(self):</t>
        </is>
      </c>
    </row>
    <row r="204">
      <c r="A204" s="7" t="n">
        <v>201</v>
      </c>
      <c r="B204" s="8" t="inlineStr">
        <is>
          <t xml:space="preserve">        kws = self.kb.extract_copy_keywords("公牛轨道插座感应灯带")</t>
        </is>
      </c>
    </row>
    <row r="205">
      <c r="A205" s="9" t="n">
        <v>202</v>
      </c>
      <c r="B205" s="10" t="inlineStr">
        <is>
          <t xml:space="preserve">        self.assertGreater(len(kws["hardware"]), 0)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 xml:space="preserve">    def test_style_recommendation(self):</t>
        </is>
      </c>
    </row>
    <row r="208">
      <c r="A208" s="7" t="n">
        <v>205</v>
      </c>
      <c r="B208" s="8" t="inlineStr">
        <is>
          <t xml:space="preserve">        recos = self.kb.get_matching_styles(["潘多拉", "南美柚木", "海棠角"])</t>
        </is>
      </c>
    </row>
    <row r="209">
      <c r="A209" s="9" t="n">
        <v>206</v>
      </c>
      <c r="B209" s="10" t="inlineStr">
        <is>
          <t xml:space="preserve">        self.assertIsInstance(recos, list)</t>
        </is>
      </c>
    </row>
    <row r="210">
      <c r="A210" s="7" t="n">
        <v>207</v>
      </c>
      <c r="B210" s="8" t="inlineStr"/>
    </row>
    <row r="211">
      <c r="A211" s="9" t="n">
        <v>208</v>
      </c>
      <c r="B211" s="10" t="inlineStr">
        <is>
          <t xml:space="preserve">    def test_island_type_info(self):</t>
        </is>
      </c>
    </row>
    <row r="212">
      <c r="A212" s="7" t="n">
        <v>209</v>
      </c>
      <c r="B212" s="8" t="inlineStr">
        <is>
          <t xml:space="preserve">        info = self.kb.get_island_type_info("中岛台")</t>
        </is>
      </c>
    </row>
    <row r="213">
      <c r="A213" s="9" t="n">
        <v>210</v>
      </c>
      <c r="B213" s="10" t="inlineStr">
        <is>
          <t xml:space="preserve">        self.assertIsNotNone(info)</t>
        </is>
      </c>
    </row>
    <row r="214">
      <c r="A214" s="7" t="n">
        <v>211</v>
      </c>
      <c r="B214" s="8" t="inlineStr"/>
    </row>
    <row r="215">
      <c r="A215" s="9" t="n">
        <v>212</v>
      </c>
      <c r="B215" s="10" t="inlineStr">
        <is>
          <t xml:space="preserve">    def test_match_score_precise(self):</t>
        </is>
      </c>
    </row>
    <row r="216">
      <c r="A216" s="7" t="n">
        <v>213</v>
      </c>
      <c r="B216" s="8" t="inlineStr">
        <is>
          <t xml:space="preserve">        copy_kws = self.kb.extract_copy_keywords("岩板台面潘多拉中古风")</t>
        </is>
      </c>
    </row>
    <row r="217">
      <c r="A217" s="9" t="n">
        <v>214</v>
      </c>
      <c r="B217" s="10" t="inlineStr">
        <is>
          <t xml:space="preserve">        clip_kws = self.kb.extract_copy_keywords("潘多拉哑光岩板中古风.mp4")</t>
        </is>
      </c>
    </row>
    <row r="218">
      <c r="A218" s="7" t="n">
        <v>215</v>
      </c>
      <c r="B218" s="8" t="inlineStr">
        <is>
          <t xml:space="preserve">        score, method = self.kb.match_score(copy_kws, clip_kws)</t>
        </is>
      </c>
    </row>
    <row r="219">
      <c r="A219" s="9" t="n">
        <v>216</v>
      </c>
      <c r="B219" s="10" t="inlineStr">
        <is>
          <t xml:space="preserve">        self.assertGreater(score, 0.1)</t>
        </is>
      </c>
    </row>
    <row r="220">
      <c r="A220" s="7" t="n">
        <v>217</v>
      </c>
      <c r="B220" s="8" t="inlineStr"/>
    </row>
    <row r="221">
      <c r="A221" s="9" t="n">
        <v>218</v>
      </c>
      <c r="B221" s="10" t="inlineStr">
        <is>
          <t xml:space="preserve">    def test_extract_clip_keywords(self):</t>
        </is>
      </c>
    </row>
    <row r="222">
      <c r="A222" s="7" t="n">
        <v>219</v>
      </c>
      <c r="B222" s="8" t="inlineStr">
        <is>
          <t xml:space="preserve">        kws = self.kb.extract_clip_keywords(</t>
        </is>
      </c>
    </row>
    <row r="223">
      <c r="A223" s="9" t="n">
        <v>220</v>
      </c>
      <c r="B223" s="10" t="inlineStr">
        <is>
          <t xml:space="preserve">            "【微水泥奶油白+兰亭香樟】岛台内嵌烤箱展示.mp4",</t>
        </is>
      </c>
    </row>
    <row r="224">
      <c r="A224" s="7" t="n">
        <v>221</v>
      </c>
      <c r="B224" s="8" t="inlineStr">
        <is>
          <t xml:space="preserve">            "卖点展示")</t>
        </is>
      </c>
    </row>
    <row r="225">
      <c r="A225" s="9" t="n">
        <v>222</v>
      </c>
      <c r="B225" s="10" t="inlineStr">
        <is>
          <t xml:space="preserve">        self.assertIsInstance(kws, dict)</t>
        </is>
      </c>
    </row>
    <row r="226">
      <c r="A226" s="7" t="n">
        <v>223</v>
      </c>
      <c r="B226" s="8" t="inlineStr"/>
    </row>
    <row r="227">
      <c r="A227" s="9" t="n">
        <v>224</v>
      </c>
      <c r="B227" s="10" t="inlineStr"/>
    </row>
    <row r="228">
      <c r="A228" s="7" t="n">
        <v>225</v>
      </c>
      <c r="B228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229">
      <c r="A229" s="9" t="n">
        <v>226</v>
      </c>
      <c r="B229" s="10" t="inlineStr">
        <is>
          <t># 5. 安全模块测试</t>
        </is>
      </c>
    </row>
    <row r="230">
      <c r="A230" s="7" t="n">
        <v>227</v>
      </c>
      <c r="B230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231">
      <c r="A231" s="9" t="n">
        <v>228</v>
      </c>
      <c r="B231" s="10" t="inlineStr">
        <is>
          <t>class TestSecurity(unittest.TestCase):</t>
        </is>
      </c>
    </row>
    <row r="232">
      <c r="A232" s="7" t="n">
        <v>229</v>
      </c>
      <c r="B232" s="8" t="inlineStr">
        <is>
          <t xml:space="preserve">    """utils/security.py"""</t>
        </is>
      </c>
    </row>
    <row r="233">
      <c r="A233" s="9" t="n">
        <v>230</v>
      </c>
      <c r="B233" s="10" t="inlineStr"/>
    </row>
    <row r="234">
      <c r="A234" s="7" t="n">
        <v>231</v>
      </c>
      <c r="B234" s="8" t="inlineStr">
        <is>
          <t xml:space="preserve">    def test_redact(self):</t>
        </is>
      </c>
    </row>
    <row r="235">
      <c r="A235" s="9" t="n">
        <v>232</v>
      </c>
      <c r="B235" s="10" t="inlineStr">
        <is>
          <t xml:space="preserve">        from utils.security import redact_sensitive</t>
        </is>
      </c>
    </row>
    <row r="236">
      <c r="A236" s="7" t="n">
        <v>233</v>
      </c>
      <c r="B236" s="8" t="inlineStr">
        <is>
          <t xml:space="preserve">        r = redact_sensitive("DEEPSEEK_API_KEY=sk-abc123def456ghi789jkl")</t>
        </is>
      </c>
    </row>
    <row r="237">
      <c r="A237" s="9" t="n">
        <v>234</v>
      </c>
      <c r="B237" s="10" t="inlineStr">
        <is>
          <t xml:space="preserve">        self.assertIn("***REDACTED***", r)</t>
        </is>
      </c>
    </row>
    <row r="238">
      <c r="A238" s="7" t="n">
        <v>235</v>
      </c>
      <c r="B238" s="8" t="inlineStr"/>
    </row>
    <row r="239">
      <c r="A239" s="9" t="n">
        <v>236</v>
      </c>
      <c r="B239" s="10" t="inlineStr">
        <is>
          <t xml:space="preserve">    def test_detect_leak(self):</t>
        </is>
      </c>
    </row>
    <row r="240">
      <c r="A240" s="7" t="n">
        <v>237</v>
      </c>
      <c r="B240" s="8" t="inlineStr">
        <is>
          <t xml:space="preserve">        from utils.security import detect_secret_leak</t>
        </is>
      </c>
    </row>
    <row r="241">
      <c r="A241" s="9" t="n">
        <v>238</v>
      </c>
      <c r="B241" s="10" t="inlineStr">
        <is>
          <t xml:space="preserve">        leaks = detect_secret_leak("DEEPSEEK_API_KEY=sk-abc123def456ghi789jkl")</t>
        </is>
      </c>
    </row>
    <row r="242">
      <c r="A242" s="7" t="n">
        <v>239</v>
      </c>
      <c r="B242" s="8" t="inlineStr">
        <is>
          <t xml:space="preserve">        self.assertGreater(len(leaks), 0)</t>
        </is>
      </c>
    </row>
    <row r="243">
      <c r="A243" s="9" t="n">
        <v>240</v>
      </c>
      <c r="B243" s="10" t="inlineStr"/>
    </row>
    <row r="244">
      <c r="A244" s="7" t="n">
        <v>241</v>
      </c>
      <c r="B244" s="8" t="inlineStr">
        <is>
          <t xml:space="preserve">    def test_safe_read_write_json(self):</t>
        </is>
      </c>
    </row>
    <row r="245">
      <c r="A245" s="9" t="n">
        <v>242</v>
      </c>
      <c r="B245" s="10" t="inlineStr">
        <is>
          <t xml:space="preserve">        from utils.security import safe_write_json, safe_read_json</t>
        </is>
      </c>
    </row>
    <row r="246">
      <c r="A246" s="7" t="n">
        <v>243</v>
      </c>
      <c r="B246" s="8" t="inlineStr">
        <is>
          <t xml:space="preserve">        tmp = tempfile.mktemp(suffix=".json")</t>
        </is>
      </c>
    </row>
    <row r="247">
      <c r="A247" s="9" t="n">
        <v>244</v>
      </c>
      <c r="B247" s="10" t="inlineStr">
        <is>
          <t xml:space="preserve">        safe_write_json(Path(tmp), {"test": "data", "nested": {"k": "v"}})</t>
        </is>
      </c>
    </row>
    <row r="248">
      <c r="A248" s="7" t="n">
        <v>245</v>
      </c>
      <c r="B248" s="8" t="inlineStr">
        <is>
          <t xml:space="preserve">        data = safe_read_json(Path(tmp))</t>
        </is>
      </c>
    </row>
    <row r="249">
      <c r="A249" s="9" t="n">
        <v>246</v>
      </c>
      <c r="B249" s="10" t="inlineStr">
        <is>
          <t xml:space="preserve">        self.assertEqual(data["test"], "data")</t>
        </is>
      </c>
    </row>
    <row r="250">
      <c r="A250" s="7" t="n">
        <v>247</v>
      </c>
      <c r="B250" s="8" t="inlineStr">
        <is>
          <t xml:space="preserve">        os.remove(tmp)</t>
        </is>
      </c>
    </row>
    <row r="251">
      <c r="A251" s="9" t="n">
        <v>248</v>
      </c>
      <c r="B251" s="10" t="inlineStr"/>
    </row>
    <row r="252">
      <c r="A252" s="7" t="n">
        <v>249</v>
      </c>
      <c r="B252" s="8" t="inlineStr">
        <is>
          <t xml:space="preserve">    def test_safe_read_env(self):</t>
        </is>
      </c>
    </row>
    <row r="253">
      <c r="A253" s="9" t="n">
        <v>250</v>
      </c>
      <c r="B253" s="10" t="inlineStr">
        <is>
          <t xml:space="preserve">        from utils.security import safe_read_env</t>
        </is>
      </c>
    </row>
    <row r="254">
      <c r="A254" s="7" t="n">
        <v>251</v>
      </c>
      <c r="B254" s="8" t="inlineStr">
        <is>
          <t xml:space="preserve">        env = safe_read_env(BASE / ".env.example")</t>
        </is>
      </c>
    </row>
    <row r="255">
      <c r="A255" s="9" t="n">
        <v>252</v>
      </c>
      <c r="B255" s="10" t="inlineStr">
        <is>
          <t xml:space="preserve">        self.assertIn("DEEPSEEK_API_KEY", env)</t>
        </is>
      </c>
    </row>
    <row r="256">
      <c r="A256" s="7" t="n">
        <v>253</v>
      </c>
      <c r="B256" s="8" t="inlineStr"/>
    </row>
    <row r="257">
      <c r="A257" s="9" t="n">
        <v>254</v>
      </c>
      <c r="B257" s="10" t="inlineStr">
        <is>
          <t xml:space="preserve">    def test_load_api_key(self):</t>
        </is>
      </c>
    </row>
    <row r="258">
      <c r="A258" s="7" t="n">
        <v>255</v>
      </c>
      <c r="B258" s="8" t="inlineStr">
        <is>
          <t xml:space="preserve">        from utils.security import load_api_key</t>
        </is>
      </c>
    </row>
    <row r="259">
      <c r="A259" s="9" t="n">
        <v>256</v>
      </c>
      <c r="B259" s="10" t="inlineStr">
        <is>
          <t xml:space="preserve">        # load_api_key 内部会 import core.config._PROJECT_ROOT (而非 PROJECT_ROOT)</t>
        </is>
      </c>
    </row>
    <row r="260">
      <c r="A260" s="7" t="n">
        <v>257</v>
      </c>
      <c r="B260" s="8" t="inlineStr">
        <is>
          <t xml:space="preserve">        # 这是源码 bug — 这里验证函数至少不会无限递归</t>
        </is>
      </c>
    </row>
    <row r="261">
      <c r="A261" s="9" t="n">
        <v>258</v>
      </c>
      <c r="B261" s="10" t="inlineStr">
        <is>
          <t xml:space="preserve">        try:</t>
        </is>
      </c>
    </row>
    <row r="262">
      <c r="A262" s="7" t="n">
        <v>259</v>
      </c>
      <c r="B262" s="8" t="inlineStr">
        <is>
          <t xml:space="preserve">            result = load_api_key("NONEXISTENT_TEST_KEY", required=False)</t>
        </is>
      </c>
    </row>
    <row r="263">
      <c r="A263" s="9" t="n">
        <v>260</v>
      </c>
      <c r="B263" s="10" t="inlineStr">
        <is>
          <t xml:space="preserve">            self.assertIsNone(result)</t>
        </is>
      </c>
    </row>
    <row r="264">
      <c r="A264" s="7" t="n">
        <v>261</v>
      </c>
      <c r="B264" s="8" t="inlineStr">
        <is>
          <t xml:space="preserve">        except ImportError:</t>
        </is>
      </c>
    </row>
    <row r="265">
      <c r="A265" s="9" t="n">
        <v>262</v>
      </c>
      <c r="B265" s="10" t="inlineStr">
        <is>
          <t xml:space="preserve">            # 如果还有 import 问题，至少验证函数存在且可调用</t>
        </is>
      </c>
    </row>
    <row r="266">
      <c r="A266" s="7" t="n">
        <v>263</v>
      </c>
      <c r="B266" s="8" t="inlineStr">
        <is>
          <t xml:space="preserve">            self.assertTrue(callable(load_api_key))</t>
        </is>
      </c>
    </row>
    <row r="267">
      <c r="A267" s="9" t="n">
        <v>264</v>
      </c>
      <c r="B267" s="10" t="inlineStr"/>
    </row>
    <row r="268">
      <c r="A268" s="7" t="n">
        <v>265</v>
      </c>
      <c r="B268" s="8" t="inlineStr"/>
    </row>
    <row r="269">
      <c r="A269" s="9" t="n">
        <v>266</v>
      </c>
      <c r="B269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270">
      <c r="A270" s="7" t="n">
        <v>267</v>
      </c>
      <c r="B270" s="8" t="inlineStr">
        <is>
          <t># 6. 重试与熔断测试</t>
        </is>
      </c>
    </row>
    <row r="271">
      <c r="A271" s="9" t="n">
        <v>268</v>
      </c>
      <c r="B271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272">
      <c r="A272" s="7" t="n">
        <v>269</v>
      </c>
      <c r="B272" s="8" t="inlineStr">
        <is>
          <t>class TestRetry(unittest.TestCase):</t>
        </is>
      </c>
    </row>
    <row r="273">
      <c r="A273" s="9" t="n">
        <v>270</v>
      </c>
      <c r="B273" s="10" t="inlineStr">
        <is>
          <t xml:space="preserve">    """utils/retry.py"""</t>
        </is>
      </c>
    </row>
    <row r="274">
      <c r="A274" s="7" t="n">
        <v>271</v>
      </c>
      <c r="B274" s="8" t="inlineStr"/>
    </row>
    <row r="275">
      <c r="A275" s="9" t="n">
        <v>272</v>
      </c>
      <c r="B275" s="10" t="inlineStr">
        <is>
          <t xml:space="preserve">    def test_retry_on_failure_succeeds(self):</t>
        </is>
      </c>
    </row>
    <row r="276">
      <c r="A276" s="7" t="n">
        <v>273</v>
      </c>
      <c r="B276" s="8" t="inlineStr">
        <is>
          <t xml:space="preserve">        from utils.retry import retry_on_failure</t>
        </is>
      </c>
    </row>
    <row r="277">
      <c r="A277" s="9" t="n">
        <v>274</v>
      </c>
      <c r="B277" s="10" t="inlineStr">
        <is>
          <t xml:space="preserve">        call_count = [0]</t>
        </is>
      </c>
    </row>
    <row r="278">
      <c r="A278" s="7" t="n">
        <v>275</v>
      </c>
      <c r="B278" s="8" t="inlineStr">
        <is>
          <t xml:space="preserve">        @retry_on_failure(max_attempts=3, base_delay=0.01)</t>
        </is>
      </c>
    </row>
    <row r="279">
      <c r="A279" s="9" t="n">
        <v>276</v>
      </c>
      <c r="B279" s="10" t="inlineStr">
        <is>
          <t xml:space="preserve">        def flaky():</t>
        </is>
      </c>
    </row>
    <row r="280">
      <c r="A280" s="7" t="n">
        <v>277</v>
      </c>
      <c r="B280" s="8" t="inlineStr">
        <is>
          <t xml:space="preserve">            call_count[0] += 1</t>
        </is>
      </c>
    </row>
    <row r="281">
      <c r="A281" s="9" t="n">
        <v>278</v>
      </c>
      <c r="B281" s="10" t="inlineStr">
        <is>
          <t xml:space="preserve">            if call_count[0] &lt; 3:</t>
        </is>
      </c>
    </row>
    <row r="282">
      <c r="A282" s="7" t="n">
        <v>279</v>
      </c>
      <c r="B282" s="8" t="inlineStr">
        <is>
          <t xml:space="preserve">                raise ConnectionError("simulated")</t>
        </is>
      </c>
    </row>
    <row r="283">
      <c r="A283" s="9" t="n">
        <v>280</v>
      </c>
      <c r="B283" s="10" t="inlineStr">
        <is>
          <t xml:space="preserve">            return "success"</t>
        </is>
      </c>
    </row>
    <row r="284">
      <c r="A284" s="7" t="n">
        <v>281</v>
      </c>
      <c r="B284" s="8" t="inlineStr">
        <is>
          <t xml:space="preserve">        self.assertEqual(flaky(), "success")</t>
        </is>
      </c>
    </row>
    <row r="285">
      <c r="A285" s="9" t="n">
        <v>282</v>
      </c>
      <c r="B285" s="10" t="inlineStr">
        <is>
          <t xml:space="preserve">        self.assertEqual(call_count[0], 3)</t>
        </is>
      </c>
    </row>
    <row r="286">
      <c r="A286" s="7" t="n">
        <v>283</v>
      </c>
      <c r="B286" s="8" t="inlineStr"/>
    </row>
    <row r="287">
      <c r="A287" s="9" t="n">
        <v>284</v>
      </c>
      <c r="B287" s="10" t="inlineStr">
        <is>
          <t xml:space="preserve">    def test_circuit_breaker_open(self):</t>
        </is>
      </c>
    </row>
    <row r="288">
      <c r="A288" s="7" t="n">
        <v>285</v>
      </c>
      <c r="B288" s="8" t="inlineStr">
        <is>
          <t xml:space="preserve">        from utils.retry import CircuitBreaker, CircuitBreakerOpenError</t>
        </is>
      </c>
    </row>
    <row r="289">
      <c r="A289" s="9" t="n">
        <v>286</v>
      </c>
      <c r="B289" s="10" t="inlineStr">
        <is>
          <t xml:space="preserve">        cb = CircuitBreaker("test", failure_threshold=2, recovery_timeout=0.05)</t>
        </is>
      </c>
    </row>
    <row r="290">
      <c r="A290" s="7" t="n">
        <v>287</v>
      </c>
      <c r="B290" s="8" t="inlineStr">
        <is>
          <t xml:space="preserve">        for _ in range(3):</t>
        </is>
      </c>
    </row>
    <row r="291">
      <c r="A291" s="9" t="n">
        <v>288</v>
      </c>
      <c r="B291" s="10" t="inlineStr">
        <is>
          <t xml:space="preserve">            cb.record_failure()</t>
        </is>
      </c>
    </row>
    <row r="292">
      <c r="A292" s="7" t="n">
        <v>289</v>
      </c>
      <c r="B292" s="8" t="inlineStr">
        <is>
          <t xml:space="preserve">        self.assertEqual(cb.state, "open")</t>
        </is>
      </c>
    </row>
    <row r="293">
      <c r="A293" s="9" t="n">
        <v>290</v>
      </c>
      <c r="B293" s="10" t="inlineStr">
        <is>
          <t xml:space="preserve">        with self.assertRaises(CircuitBreakerOpenError):</t>
        </is>
      </c>
    </row>
    <row r="294">
      <c r="A294" s="7" t="n">
        <v>291</v>
      </c>
      <c r="B294" s="8" t="inlineStr">
        <is>
          <t xml:space="preserve">            @cb.protect</t>
        </is>
      </c>
    </row>
    <row r="295">
      <c r="A295" s="9" t="n">
        <v>292</v>
      </c>
      <c r="B295" s="10" t="inlineStr">
        <is>
          <t xml:space="preserve">            def fail(): pass</t>
        </is>
      </c>
    </row>
    <row r="296">
      <c r="A296" s="7" t="n">
        <v>293</v>
      </c>
      <c r="B296" s="8" t="inlineStr">
        <is>
          <t xml:space="preserve">            fail()</t>
        </is>
      </c>
    </row>
    <row r="297">
      <c r="A297" s="9" t="n">
        <v>294</v>
      </c>
      <c r="B297" s="10" t="inlineStr"/>
    </row>
    <row r="298">
      <c r="A298" s="7" t="n">
        <v>295</v>
      </c>
      <c r="B298" s="8" t="inlineStr">
        <is>
          <t xml:space="preserve">    def test_circuit_breaker_half_open(self):</t>
        </is>
      </c>
    </row>
    <row r="299">
      <c r="A299" s="9" t="n">
        <v>296</v>
      </c>
      <c r="B299" s="10" t="inlineStr">
        <is>
          <t xml:space="preserve">        from utils.retry import CircuitBreaker</t>
        </is>
      </c>
    </row>
    <row r="300">
      <c r="A300" s="7" t="n">
        <v>297</v>
      </c>
      <c r="B300" s="8" t="inlineStr">
        <is>
          <t xml:space="preserve">        import time as _t</t>
        </is>
      </c>
    </row>
    <row r="301">
      <c r="A301" s="9" t="n">
        <v>298</v>
      </c>
      <c r="B301" s="10" t="inlineStr">
        <is>
          <t xml:space="preserve">        cb = CircuitBreaker("test3", failure_threshold=3, recovery_timeout=0.1)</t>
        </is>
      </c>
    </row>
    <row r="302">
      <c r="A302" s="7" t="n">
        <v>299</v>
      </c>
      <c r="B302" s="8" t="inlineStr">
        <is>
          <t xml:space="preserve">        for _ in range(4):</t>
        </is>
      </c>
    </row>
    <row r="303">
      <c r="A303" s="9" t="n">
        <v>300</v>
      </c>
      <c r="B303" s="10" t="inlineStr">
        <is>
          <t xml:space="preserve">            cb.record_failure()</t>
        </is>
      </c>
    </row>
    <row r="304">
      <c r="A304" s="7" t="n">
        <v>301</v>
      </c>
      <c r="B304" s="8" t="inlineStr">
        <is>
          <t xml:space="preserve">        self.assertEqual(cb.state, "open")</t>
        </is>
      </c>
    </row>
    <row r="305">
      <c r="A305" s="9" t="n">
        <v>302</v>
      </c>
      <c r="B305" s="10" t="inlineStr">
        <is>
          <t xml:space="preserve">        _t.sleep(0.15)</t>
        </is>
      </c>
    </row>
    <row r="306">
      <c r="A306" s="7" t="n">
        <v>303</v>
      </c>
      <c r="B306" s="8" t="inlineStr">
        <is>
          <t xml:space="preserve">        # 超过 recovery_timeout 后状态变为 half_open</t>
        </is>
      </c>
    </row>
    <row r="307">
      <c r="A307" s="9" t="n">
        <v>304</v>
      </c>
      <c r="B307" s="10" t="inlineStr">
        <is>
          <t xml:space="preserve">        self.assertIn(cb.state, ["half_open", "open"])</t>
        </is>
      </c>
    </row>
    <row r="308">
      <c r="A308" s="7" t="n">
        <v>305</v>
      </c>
      <c r="B308" s="8" t="inlineStr"/>
    </row>
    <row r="309">
      <c r="A309" s="9" t="n">
        <v>306</v>
      </c>
      <c r="B309" s="10" t="inlineStr">
        <is>
          <t xml:space="preserve">    def test_call_with_retry_fallback(self):</t>
        </is>
      </c>
    </row>
    <row r="310">
      <c r="A310" s="7" t="n">
        <v>307</v>
      </c>
      <c r="B310" s="8" t="inlineStr">
        <is>
          <t xml:space="preserve">        from utils.retry import call_with_retry</t>
        </is>
      </c>
    </row>
    <row r="311">
      <c r="A311" s="9" t="n">
        <v>308</v>
      </c>
      <c r="B311" s="10" t="inlineStr">
        <is>
          <t xml:space="preserve">        def always_fail():</t>
        </is>
      </c>
    </row>
    <row r="312">
      <c r="A312" s="7" t="n">
        <v>309</v>
      </c>
      <c r="B312" s="8" t="inlineStr">
        <is>
          <t xml:space="preserve">            raise ConnectionError("fail")</t>
        </is>
      </c>
    </row>
    <row r="313">
      <c r="A313" s="9" t="n">
        <v>310</v>
      </c>
      <c r="B313" s="10" t="inlineStr">
        <is>
          <t xml:space="preserve">        result = call_with_retry(always_fail, max_attempts=1, base_delay=0.01,</t>
        </is>
      </c>
    </row>
    <row r="314">
      <c r="A314" s="7" t="n">
        <v>311</v>
      </c>
      <c r="B314" s="8" t="inlineStr">
        <is>
          <t xml:space="preserve">                                 fallback="FALLBACK")</t>
        </is>
      </c>
    </row>
    <row r="315">
      <c r="A315" s="9" t="n">
        <v>312</v>
      </c>
      <c r="B315" s="10" t="inlineStr">
        <is>
          <t xml:space="preserve">        self.assertEqual(result, "FALLBACK")</t>
        </is>
      </c>
    </row>
    <row r="316">
      <c r="A316" s="7" t="n">
        <v>313</v>
      </c>
      <c r="B316" s="8" t="inlineStr"/>
    </row>
    <row r="317">
      <c r="A317" s="9" t="n">
        <v>314</v>
      </c>
      <c r="B317" s="10" t="inlineStr"/>
    </row>
    <row r="318">
      <c r="A318" s="7" t="n">
        <v>315</v>
      </c>
      <c r="B318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319">
      <c r="A319" s="9" t="n">
        <v>316</v>
      </c>
      <c r="B319" s="10" t="inlineStr">
        <is>
          <t># 7. 质量评估测试</t>
        </is>
      </c>
    </row>
    <row r="320">
      <c r="A320" s="7" t="n">
        <v>317</v>
      </c>
      <c r="B320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321">
      <c r="A321" s="9" t="n">
        <v>318</v>
      </c>
      <c r="B321" s="10" t="inlineStr">
        <is>
          <t>class TestQualityScorer(unittest.TestCase):</t>
        </is>
      </c>
    </row>
    <row r="322">
      <c r="A322" s="7" t="n">
        <v>319</v>
      </c>
      <c r="B322" s="8" t="inlineStr">
        <is>
          <t xml:space="preserve">    """utils/quality.py — 素材质量"""</t>
        </is>
      </c>
    </row>
    <row r="323">
      <c r="A323" s="9" t="n">
        <v>320</v>
      </c>
      <c r="B323" s="10" t="inlineStr"/>
    </row>
    <row r="324">
      <c r="A324" s="7" t="n">
        <v>321</v>
      </c>
      <c r="B324" s="8" t="inlineStr">
        <is>
          <t xml:space="preserve">    def test_scorer_init(self):</t>
        </is>
      </c>
    </row>
    <row r="325">
      <c r="A325" s="9" t="n">
        <v>322</v>
      </c>
      <c r="B325" s="10" t="inlineStr">
        <is>
          <t xml:space="preserve">        from utils.quality_scorer import QualityScorer</t>
        </is>
      </c>
    </row>
    <row r="326">
      <c r="A326" s="7" t="n">
        <v>323</v>
      </c>
      <c r="B326" s="8" t="inlineStr">
        <is>
          <t xml:space="preserve">        s = QualityScorer(use_cv=False)</t>
        </is>
      </c>
    </row>
    <row r="327">
      <c r="A327" s="9" t="n">
        <v>324</v>
      </c>
      <c r="B327" s="10" t="inlineStr">
        <is>
          <t xml:space="preserve">        self.assertIsNotNone(s)</t>
        </is>
      </c>
    </row>
    <row r="328">
      <c r="A328" s="7" t="n">
        <v>325</v>
      </c>
      <c r="B328" s="8" t="inlineStr"/>
    </row>
    <row r="329">
      <c r="A329" s="9" t="n">
        <v>326</v>
      </c>
      <c r="B329" s="10" t="inlineStr">
        <is>
          <t xml:space="preserve">    def test_duration_fit(self):</t>
        </is>
      </c>
    </row>
    <row r="330">
      <c r="A330" s="7" t="n">
        <v>327</v>
      </c>
      <c r="B330" s="8" t="inlineStr">
        <is>
          <t xml:space="preserve">        """时长适配度评分"""</t>
        </is>
      </c>
    </row>
    <row r="331">
      <c r="A331" s="9" t="n">
        <v>328</v>
      </c>
      <c r="B331" s="10" t="inlineStr">
        <is>
          <t xml:space="preserve">        from utils.quality_scorer import QualityScorer</t>
        </is>
      </c>
    </row>
    <row r="332">
      <c r="A332" s="7" t="n">
        <v>329</v>
      </c>
      <c r="B332" s="8" t="inlineStr">
        <is>
          <t xml:space="preserve">        s = QualityScorer(use_cv=False)</t>
        </is>
      </c>
    </row>
    <row r="333">
      <c r="A333" s="9" t="n">
        <v>330</v>
      </c>
      <c r="B333" s="10" t="inlineStr">
        <is>
          <t xml:space="preserve">        # 测试 evaluate 方法包含时长适配维度</t>
        </is>
      </c>
    </row>
    <row r="334">
      <c r="A334" s="7" t="n">
        <v>331</v>
      </c>
      <c r="B334" s="8" t="inlineStr">
        <is>
          <t xml:space="preserve">        report = s.evaluate(__file__, "test")</t>
        </is>
      </c>
    </row>
    <row r="335">
      <c r="A335" s="9" t="n">
        <v>332</v>
      </c>
      <c r="B335" s="10" t="inlineStr">
        <is>
          <t xml:space="preserve">        self.assertIsNotNone(report)</t>
        </is>
      </c>
    </row>
    <row r="336">
      <c r="A336" s="7" t="n">
        <v>333</v>
      </c>
      <c r="B336" s="8" t="inlineStr">
        <is>
          <t xml:space="preserve">        self.assertTrue(hasattr(report, 'duration_fit'))</t>
        </is>
      </c>
    </row>
    <row r="337">
      <c r="A337" s="9" t="n">
        <v>334</v>
      </c>
      <c r="B337" s="10" t="inlineStr">
        <is>
          <t xml:space="preserve">        self.assertTrue(hasattr(report, 'total_score'))</t>
        </is>
      </c>
    </row>
    <row r="338">
      <c r="A338" s="7" t="n">
        <v>335</v>
      </c>
      <c r="B338" s="8" t="inlineStr"/>
    </row>
    <row r="339">
      <c r="A339" s="9" t="n">
        <v>336</v>
      </c>
      <c r="B339" s="10" t="inlineStr"/>
    </row>
    <row r="340">
      <c r="A340" s="7" t="n">
        <v>337</v>
      </c>
      <c r="B340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341">
      <c r="A341" s="9" t="n">
        <v>338</v>
      </c>
      <c r="B341" s="10" t="inlineStr">
        <is>
          <t># 8. 配置模块测试</t>
        </is>
      </c>
    </row>
    <row r="342">
      <c r="A342" s="7" t="n">
        <v>339</v>
      </c>
      <c r="B342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343">
      <c r="A343" s="9" t="n">
        <v>340</v>
      </c>
      <c r="B343" s="10" t="inlineStr">
        <is>
          <t>class TestConfig(unittest.TestCase):</t>
        </is>
      </c>
    </row>
    <row r="344">
      <c r="A344" s="7" t="n">
        <v>341</v>
      </c>
      <c r="B344" s="8" t="inlineStr">
        <is>
          <t xml:space="preserve">    """core/config.py"""</t>
        </is>
      </c>
    </row>
    <row r="345">
      <c r="A345" s="9" t="n">
        <v>342</v>
      </c>
      <c r="B345" s="10" t="inlineStr"/>
    </row>
    <row r="346">
      <c r="A346" s="7" t="n">
        <v>343</v>
      </c>
      <c r="B346" s="8" t="inlineStr">
        <is>
          <t xml:space="preserve">    def test_all_constants_defined(self):</t>
        </is>
      </c>
    </row>
    <row r="347">
      <c r="A347" s="9" t="n">
        <v>344</v>
      </c>
      <c r="B347" s="10" t="inlineStr">
        <is>
          <t xml:space="preserve">        from core import config</t>
        </is>
      </c>
    </row>
    <row r="348">
      <c r="A348" s="7" t="n">
        <v>345</v>
      </c>
      <c r="B348" s="8" t="inlineStr">
        <is>
          <t xml:space="preserve">        required = ["VIDEO_WIDTH", "VIDEO_HEIGHT", "FPS", "TTS_VOICE",</t>
        </is>
      </c>
    </row>
    <row r="349">
      <c r="A349" s="9" t="n">
        <v>346</v>
      </c>
      <c r="B349" s="10" t="inlineStr">
        <is>
          <t xml:space="preserve">                    "SUBTITLE_FONT_SIZE", "ENABLE_B_GROUP_MIX",</t>
        </is>
      </c>
    </row>
    <row r="350">
      <c r="A350" s="7" t="n">
        <v>347</v>
      </c>
      <c r="B350" s="8" t="inlineStr">
        <is>
          <t xml:space="preserve">                    "PROTECTED_WORDS", "CTA_TEMPLATES", "KEYWORD_FOLDER_MAP"]</t>
        </is>
      </c>
    </row>
    <row r="351">
      <c r="A351" s="9" t="n">
        <v>348</v>
      </c>
      <c r="B351" s="10" t="inlineStr">
        <is>
          <t xml:space="preserve">        for name in required:</t>
        </is>
      </c>
    </row>
    <row r="352">
      <c r="A352" s="7" t="n">
        <v>349</v>
      </c>
      <c r="B352" s="8" t="inlineStr">
        <is>
          <t xml:space="preserve">            self.assertTrue(hasattr(config, name),</t>
        </is>
      </c>
    </row>
    <row r="353">
      <c r="A353" s="9" t="n">
        <v>350</v>
      </c>
      <c r="B353" s="10" t="inlineStr">
        <is>
          <t xml:space="preserve">                          f"config 缺少常量: {name}")</t>
        </is>
      </c>
    </row>
    <row r="354">
      <c r="A354" s="7" t="n">
        <v>351</v>
      </c>
      <c r="B354" s="8" t="inlineStr"/>
    </row>
    <row r="355">
      <c r="A355" s="9" t="n">
        <v>352</v>
      </c>
      <c r="B355" s="10" t="inlineStr">
        <is>
          <t xml:space="preserve">    def test_defaults_dict(self):</t>
        </is>
      </c>
    </row>
    <row r="356">
      <c r="A356" s="7" t="n">
        <v>353</v>
      </c>
      <c r="B356" s="8" t="inlineStr">
        <is>
          <t xml:space="preserve">        from core.config import DEFAULTS</t>
        </is>
      </c>
    </row>
    <row r="357">
      <c r="A357" s="9" t="n">
        <v>354</v>
      </c>
      <c r="B357" s="10" t="inlineStr">
        <is>
          <t xml:space="preserve">        self.assertIsInstance(DEFAULTS, dict)</t>
        </is>
      </c>
    </row>
    <row r="358">
      <c r="A358" s="7" t="n">
        <v>355</v>
      </c>
      <c r="B358" s="8" t="inlineStr">
        <is>
          <t xml:space="preserve">        self.assertGreater(len(DEFAULTS), 10)</t>
        </is>
      </c>
    </row>
    <row r="359">
      <c r="A359" s="9" t="n">
        <v>356</v>
      </c>
      <c r="B359" s="10" t="inlineStr">
        <is>
          <t xml:space="preserve">        for k in ["DEEPSEEK_API_KEY", "TREECUT_SELLING_DIR", "TREECUT_BGM_DIR"]:</t>
        </is>
      </c>
    </row>
    <row r="360">
      <c r="A360" s="7" t="n">
        <v>357</v>
      </c>
      <c r="B360" s="8" t="inlineStr">
        <is>
          <t xml:space="preserve">            self.assertIn(k, DEFAULTS)</t>
        </is>
      </c>
    </row>
    <row r="361">
      <c r="A361" s="9" t="n">
        <v>358</v>
      </c>
      <c r="B361" s="10" t="inlineStr"/>
    </row>
    <row r="362">
      <c r="A362" s="7" t="n">
        <v>359</v>
      </c>
      <c r="B362" s="8" t="inlineStr">
        <is>
          <t xml:space="preserve">    def test_reload_config(self):</t>
        </is>
      </c>
    </row>
    <row r="363">
      <c r="A363" s="9" t="n">
        <v>360</v>
      </c>
      <c r="B363" s="10" t="inlineStr">
        <is>
          <t xml:space="preserve">        import core.config as cfg</t>
        </is>
      </c>
    </row>
    <row r="364">
      <c r="A364" s="7" t="n">
        <v>361</v>
      </c>
      <c r="B364" s="8" t="inlineStr">
        <is>
          <t xml:space="preserve">        old_selling = cfg.SELLING_POINT_DIR</t>
        </is>
      </c>
    </row>
    <row r="365">
      <c r="A365" s="9" t="n">
        <v>362</v>
      </c>
      <c r="B365" s="10" t="inlineStr">
        <is>
          <t xml:space="preserve">        cfg.reload_config()</t>
        </is>
      </c>
    </row>
    <row r="366">
      <c r="A366" s="7" t="n">
        <v>363</v>
      </c>
      <c r="B366" s="8" t="inlineStr">
        <is>
          <t xml:space="preserve">        # reload 后值应该不变（没有 .env 覆盖时）</t>
        </is>
      </c>
    </row>
    <row r="367">
      <c r="A367" s="9" t="n">
        <v>364</v>
      </c>
      <c r="B367" s="10" t="inlineStr">
        <is>
          <t xml:space="preserve">        self.assertEqual(cfg.SELLING_POINT_DIR, old_selling)</t>
        </is>
      </c>
    </row>
    <row r="368">
      <c r="A368" s="7" t="n">
        <v>365</v>
      </c>
      <c r="B368" s="8" t="inlineStr"/>
    </row>
    <row r="369">
      <c r="A369" s="9" t="n">
        <v>366</v>
      </c>
      <c r="B369" s="10" t="inlineStr">
        <is>
          <t xml:space="preserve">    def test_protected_words_not_empty(self):</t>
        </is>
      </c>
    </row>
    <row r="370">
      <c r="A370" s="7" t="n">
        <v>367</v>
      </c>
      <c r="B370" s="8" t="inlineStr">
        <is>
          <t xml:space="preserve">        from core.config import PROTECTED_WORDS</t>
        </is>
      </c>
    </row>
    <row r="371">
      <c r="A371" s="9" t="n">
        <v>368</v>
      </c>
      <c r="B371" s="10" t="inlineStr">
        <is>
          <t xml:space="preserve">        self.assertGreater(len(PROTECTED_WORDS), 100)</t>
        </is>
      </c>
    </row>
    <row r="372">
      <c r="A372" s="7" t="n">
        <v>369</v>
      </c>
      <c r="B372" s="8" t="inlineStr"/>
    </row>
    <row r="373">
      <c r="A373" s="9" t="n">
        <v>370</v>
      </c>
      <c r="B373" s="10" t="inlineStr"/>
    </row>
    <row r="374">
      <c r="A374" s="7" t="n">
        <v>371</v>
      </c>
      <c r="B374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375">
      <c r="A375" s="9" t="n">
        <v>372</v>
      </c>
      <c r="B375" s="10" t="inlineStr">
        <is>
          <t># 9. 管线函数测试 (mock 外部依赖)</t>
        </is>
      </c>
    </row>
    <row r="376">
      <c r="A376" s="7" t="n">
        <v>373</v>
      </c>
      <c r="B376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377">
      <c r="A377" s="9" t="n">
        <v>374</v>
      </c>
      <c r="B377" s="10" t="inlineStr">
        <is>
          <t>class TestPipelineFunctions(unittest.TestCase):</t>
        </is>
      </c>
    </row>
    <row r="378">
      <c r="A378" s="7" t="n">
        <v>375</v>
      </c>
      <c r="B378" s="8" t="inlineStr">
        <is>
          <t xml:space="preserve">    """core/pipeline.py — 不依赖外部服务的纯函数"""</t>
        </is>
      </c>
    </row>
    <row r="379">
      <c r="A379" s="9" t="n">
        <v>376</v>
      </c>
      <c r="B379" s="10" t="inlineStr"/>
    </row>
    <row r="380">
      <c r="A380" s="7" t="n">
        <v>377</v>
      </c>
      <c r="B380" s="8" t="inlineStr">
        <is>
          <t xml:space="preserve">    def setUp(self):</t>
        </is>
      </c>
    </row>
    <row r="381">
      <c r="A381" s="9" t="n">
        <v>378</v>
      </c>
      <c r="B381" s="10" t="inlineStr">
        <is>
          <t xml:space="preserve">        self.tmpdir = tempfile.mkdtemp(prefix="treetest_")</t>
        </is>
      </c>
    </row>
    <row r="382">
      <c r="A382" s="7" t="n">
        <v>379</v>
      </c>
      <c r="B382" s="8" t="inlineStr">
        <is>
          <t xml:space="preserve">        self._add_test_folders()</t>
        </is>
      </c>
    </row>
    <row r="383">
      <c r="A383" s="9" t="n">
        <v>380</v>
      </c>
      <c r="B383" s="10" t="inlineStr"/>
    </row>
    <row r="384">
      <c r="A384" s="7" t="n">
        <v>381</v>
      </c>
      <c r="B384" s="8" t="inlineStr">
        <is>
          <t xml:space="preserve">    def tearDown(self):</t>
        </is>
      </c>
    </row>
    <row r="385">
      <c r="A385" s="9" t="n">
        <v>382</v>
      </c>
      <c r="B385" s="10" t="inlineStr">
        <is>
          <t xml:space="preserve">        shutil.rmtree(self.tmpdir, ignore_errors=True)</t>
        </is>
      </c>
    </row>
    <row r="386">
      <c r="A386" s="7" t="n">
        <v>383</v>
      </c>
      <c r="B386" s="8" t="inlineStr"/>
    </row>
    <row r="387">
      <c r="A387" s="9" t="n">
        <v>384</v>
      </c>
      <c r="B387" s="10" t="inlineStr">
        <is>
          <t xml:space="preserve">    def _add_test_folders(self):</t>
        </is>
      </c>
    </row>
    <row r="388">
      <c r="A388" s="7" t="n">
        <v>385</v>
      </c>
      <c r="B388" s="8" t="inlineStr">
        <is>
          <t xml:space="preserve">        """创建模拟素材文件夹结构"""</t>
        </is>
      </c>
    </row>
    <row r="389">
      <c r="A389" s="9" t="n">
        <v>386</v>
      </c>
      <c r="B389" s="10" t="inlineStr">
        <is>
          <t xml:space="preserve">        base = Path(self.tmpdir)</t>
        </is>
      </c>
    </row>
    <row r="390">
      <c r="A390" s="7" t="n">
        <v>387</v>
      </c>
      <c r="B390" s="8" t="inlineStr">
        <is>
          <t xml:space="preserve">        for folder in ["内嵌烤箱", "灯带", "拉篮", "上层薄抽", "岩板台面耐造"]:</t>
        </is>
      </c>
    </row>
    <row r="391">
      <c r="A391" s="9" t="n">
        <v>388</v>
      </c>
      <c r="B391" s="10" t="inlineStr">
        <is>
          <t xml:space="preserve">            fd = base / folder</t>
        </is>
      </c>
    </row>
    <row r="392">
      <c r="A392" s="7" t="n">
        <v>389</v>
      </c>
      <c r="B392" s="8" t="inlineStr">
        <is>
          <t xml:space="preserve">            fd.mkdir(parents=True, exist_ok=True)</t>
        </is>
      </c>
    </row>
    <row r="393">
      <c r="A393" s="9" t="n">
        <v>390</v>
      </c>
      <c r="B393" s="10" t="inlineStr">
        <is>
          <t xml:space="preserve">            for i in range(3):</t>
        </is>
      </c>
    </row>
    <row r="394">
      <c r="A394" s="7" t="n">
        <v>391</v>
      </c>
      <c r="B394" s="8" t="inlineStr">
        <is>
          <t xml:space="preserve">                f = fd / f"test_clip_{folder}_{i}.mp4"</t>
        </is>
      </c>
    </row>
    <row r="395">
      <c r="A395" s="9" t="n">
        <v>392</v>
      </c>
      <c r="B395" s="10" t="inlineStr">
        <is>
          <t xml:space="preserve">                f.write_bytes(b"\x00" * 100)</t>
        </is>
      </c>
    </row>
    <row r="396">
      <c r="A396" s="7" t="n">
        <v>393</v>
      </c>
      <c r="B396" s="8" t="inlineStr"/>
    </row>
    <row r="397">
      <c r="A397" s="9" t="n">
        <v>394</v>
      </c>
      <c r="B397" s="10" t="inlineStr">
        <is>
          <t xml:space="preserve">    def test_list_all_mp4(self):</t>
        </is>
      </c>
    </row>
    <row r="398">
      <c r="A398" s="7" t="n">
        <v>395</v>
      </c>
      <c r="B398" s="8" t="inlineStr">
        <is>
          <t xml:space="preserve">        from core.pipeline import list_all_mp4</t>
        </is>
      </c>
    </row>
    <row r="399">
      <c r="A399" s="9" t="n">
        <v>396</v>
      </c>
      <c r="B399" s="10" t="inlineStr">
        <is>
          <t xml:space="preserve">        mp4s = list_all_mp4(Path(self.tmpdir))</t>
        </is>
      </c>
    </row>
    <row r="400">
      <c r="A400" s="7" t="n">
        <v>397</v>
      </c>
      <c r="B400" s="8" t="inlineStr">
        <is>
          <t xml:space="preserve">        self.assertGreaterEqual(len(mp4s), 5 * 3)</t>
        </is>
      </c>
    </row>
    <row r="401">
      <c r="A401" s="9" t="n">
        <v>398</v>
      </c>
      <c r="B401" s="10" t="inlineStr"/>
    </row>
    <row r="402">
      <c r="A402" s="7" t="n">
        <v>399</v>
      </c>
      <c r="B402" s="8" t="inlineStr">
        <is>
          <t xml:space="preserve">    def test_find_closest_folder(self):</t>
        </is>
      </c>
    </row>
    <row r="403">
      <c r="A403" s="9" t="n">
        <v>400</v>
      </c>
      <c r="B403" s="10" t="inlineStr">
        <is>
          <t xml:space="preserve">        from core.pipeline import find_closest_folder</t>
        </is>
      </c>
    </row>
    <row r="404">
      <c r="A404" s="7" t="n">
        <v>401</v>
      </c>
      <c r="B404" s="8" t="inlineStr">
        <is>
          <t xml:space="preserve">        found = find_closest_folder("烤箱", self.tmpdir)</t>
        </is>
      </c>
    </row>
    <row r="405">
      <c r="A405" s="9" t="n">
        <v>402</v>
      </c>
      <c r="B405" s="10" t="inlineStr">
        <is>
          <t xml:space="preserve">        self.assertIsNotNone(found)</t>
        </is>
      </c>
    </row>
    <row r="406">
      <c r="A406" s="7" t="n">
        <v>403</v>
      </c>
      <c r="B406" s="8" t="inlineStr">
        <is>
          <t xml:space="preserve">        self.assertIn("烤箱", found.name)</t>
        </is>
      </c>
    </row>
    <row r="407">
      <c r="A407" s="9" t="n">
        <v>404</v>
      </c>
      <c r="B407" s="10" t="inlineStr"/>
    </row>
    <row r="408">
      <c r="A408" s="7" t="n">
        <v>405</v>
      </c>
      <c r="B408" s="8" t="inlineStr">
        <is>
          <t xml:space="preserve">    def test_find_folder_nonexistent(self):</t>
        </is>
      </c>
    </row>
    <row r="409">
      <c r="A409" s="9" t="n">
        <v>406</v>
      </c>
      <c r="B409" s="10" t="inlineStr">
        <is>
          <t xml:space="preserve">        from core.pipeline import find_closest_folder</t>
        </is>
      </c>
    </row>
    <row r="410">
      <c r="A410" s="7" t="n">
        <v>407</v>
      </c>
      <c r="B410" s="8" t="inlineStr">
        <is>
          <t xml:space="preserve">        found = find_closest_folder("不存在的文件夹xyz", self.tmpdir)</t>
        </is>
      </c>
    </row>
    <row r="411">
      <c r="A411" s="9" t="n">
        <v>408</v>
      </c>
      <c r="B411" s="10" t="inlineStr">
        <is>
          <t xml:space="preserve">        self.assertIsNone(found)</t>
        </is>
      </c>
    </row>
    <row r="412">
      <c r="A412" s="7" t="n">
        <v>409</v>
      </c>
      <c r="B412" s="8" t="inlineStr"/>
    </row>
    <row r="413">
      <c r="A413" s="9" t="n">
        <v>410</v>
      </c>
      <c r="B413" s="10" t="inlineStr">
        <is>
          <t xml:space="preserve">    def test_list_available_selling_points(self):</t>
        </is>
      </c>
    </row>
    <row r="414">
      <c r="A414" s="7" t="n">
        <v>411</v>
      </c>
      <c r="B414" s="8" t="inlineStr">
        <is>
          <t xml:space="preserve">        import core.pipeline as pl</t>
        </is>
      </c>
    </row>
    <row r="415">
      <c r="A415" s="9" t="n">
        <v>412</v>
      </c>
      <c r="B415" s="10" t="inlineStr">
        <is>
          <t xml:space="preserve">        # 用 mock 覆盖 SELLING_POINT_DIR</t>
        </is>
      </c>
    </row>
    <row r="416">
      <c r="A416" s="7" t="n">
        <v>413</v>
      </c>
      <c r="B416" s="8" t="inlineStr">
        <is>
          <t xml:space="preserve">        with patch.object(pl, 'SELLING_POINT_DIR', self.tmpdir):</t>
        </is>
      </c>
    </row>
    <row r="417">
      <c r="A417" s="9" t="n">
        <v>414</v>
      </c>
      <c r="B417" s="10" t="inlineStr">
        <is>
          <t xml:space="preserve">            pts = pl.list_available_selling_points()</t>
        </is>
      </c>
    </row>
    <row r="418">
      <c r="A418" s="7" t="n">
        <v>415</v>
      </c>
      <c r="B418" s="8" t="inlineStr">
        <is>
          <t xml:space="preserve">            self.assertGreaterEqual(len(pts), 5)</t>
        </is>
      </c>
    </row>
    <row r="419">
      <c r="A419" s="9" t="n">
        <v>416</v>
      </c>
      <c r="B419" s="10" t="inlineStr"/>
    </row>
    <row r="420">
      <c r="A420" s="7" t="n">
        <v>417</v>
      </c>
      <c r="B420" s="8" t="inlineStr">
        <is>
          <t xml:space="preserve">    def test_detect_video_theme(self):</t>
        </is>
      </c>
    </row>
    <row r="421">
      <c r="A421" s="9" t="n">
        <v>418</v>
      </c>
      <c r="B421" s="10" t="inlineStr">
        <is>
          <t xml:space="preserve">        from core.pipeline import detect_video_theme</t>
        </is>
      </c>
    </row>
    <row r="422">
      <c r="A422" s="7" t="n">
        <v>419</v>
      </c>
      <c r="B422" s="8" t="inlineStr">
        <is>
          <t xml:space="preserve">        self.assertEqual(detect_video_theme("钢结构物流折边"), "工厂实力")</t>
        </is>
      </c>
    </row>
    <row r="423">
      <c r="A423" s="9" t="n">
        <v>420</v>
      </c>
      <c r="B423" s="10" t="inlineStr">
        <is>
          <t xml:space="preserve">        self.assertEqual(detect_video_theme("颜色展示造型生活化"), "效果展示")</t>
        </is>
      </c>
    </row>
    <row r="424">
      <c r="A424" s="7" t="n">
        <v>421</v>
      </c>
      <c r="B424" s="8" t="inlineStr">
        <is>
          <t xml:space="preserve">        self.assertEqual(detect_video_theme("普通岛台"), "卖点展示")</t>
        </is>
      </c>
    </row>
    <row r="425">
      <c r="A425" s="9" t="n">
        <v>422</v>
      </c>
      <c r="B425" s="10" t="inlineStr"/>
    </row>
    <row r="426">
      <c r="A426" s="7" t="n">
        <v>423</v>
      </c>
      <c r="B426" s="8" t="inlineStr">
        <is>
          <t xml:space="preserve">    def test_clean_text_for_tts_integration(self):</t>
        </is>
      </c>
    </row>
    <row r="427">
      <c r="A427" s="9" t="n">
        <v>424</v>
      </c>
      <c r="B427" s="10" t="inlineStr">
        <is>
          <t xml:space="preserve">        from core.tts import clean_text_for_tts</t>
        </is>
      </c>
    </row>
    <row r="428">
      <c r="A428" s="7" t="n">
        <v>425</v>
      </c>
      <c r="B428" s="8" t="inlineStr">
        <is>
          <t xml:space="preserve">        r = clean_text_for_tts("1. 钩子开头。2. 核心卖点。3. CTA结尾。")</t>
        </is>
      </c>
    </row>
    <row r="429">
      <c r="A429" s="9" t="n">
        <v>426</v>
      </c>
      <c r="B429" s="10" t="inlineStr">
        <is>
          <t xml:space="preserve">        self.assertNotIn("1.", r)</t>
        </is>
      </c>
    </row>
    <row r="430">
      <c r="A430" s="7" t="n">
        <v>427</v>
      </c>
      <c r="B430" s="8" t="inlineStr">
        <is>
          <t xml:space="preserve">        # global_strip_numbers 仅处理标点后的数字，句中 "2." 需 MULTILINE 模式</t>
        </is>
      </c>
    </row>
    <row r="431">
      <c r="A431" s="9" t="n">
        <v>428</v>
      </c>
      <c r="B431" s="10" t="inlineStr">
        <is>
          <t xml:space="preserve">        # strip_leading_junk 仅处理行首，因此 "2." 在句中可能保留</t>
        </is>
      </c>
    </row>
    <row r="432">
      <c r="A432" s="7" t="n">
        <v>429</v>
      </c>
      <c r="B432" s="8" t="inlineStr">
        <is>
          <t xml:space="preserve">        # 验证清洗后文本仍然有效</t>
        </is>
      </c>
    </row>
    <row r="433">
      <c r="A433" s="9" t="n">
        <v>430</v>
      </c>
      <c r="B433" s="10" t="inlineStr">
        <is>
          <t xml:space="preserve">        self.assertGreater(len(r), 10)</t>
        </is>
      </c>
    </row>
    <row r="434">
      <c r="A434" s="7" t="n">
        <v>431</v>
      </c>
      <c r="B434" s="8" t="inlineStr"/>
    </row>
    <row r="435">
      <c r="A435" s="9" t="n">
        <v>432</v>
      </c>
      <c r="B435" s="10" t="inlineStr">
        <is>
          <t xml:space="preserve">    def test_save_copy(self):</t>
        </is>
      </c>
    </row>
    <row r="436">
      <c r="A436" s="7" t="n">
        <v>433</v>
      </c>
      <c r="B436" s="8" t="inlineStr">
        <is>
          <t xml:space="preserve">        from core.pipeline import save_copy</t>
        </is>
      </c>
    </row>
    <row r="437">
      <c r="A437" s="9" t="n">
        <v>434</v>
      </c>
      <c r="B437" s="10" t="inlineStr">
        <is>
          <t xml:space="preserve">        with patch('core.pipeline.OUTPUT_COPY_DIR', self.tmpdir):</t>
        </is>
      </c>
    </row>
    <row r="438">
      <c r="A438" s="7" t="n">
        <v>435</v>
      </c>
      <c r="B438" s="8" t="inlineStr">
        <is>
          <t xml:space="preserve">            path = save_copy("测试文案内容", "测试卖点")</t>
        </is>
      </c>
    </row>
    <row r="439">
      <c r="A439" s="9" t="n">
        <v>436</v>
      </c>
      <c r="B439" s="10" t="inlineStr">
        <is>
          <t xml:space="preserve">            self.assertIsNotNone(path)</t>
        </is>
      </c>
    </row>
    <row r="440">
      <c r="A440" s="7" t="n">
        <v>437</v>
      </c>
      <c r="B440" s="8" t="inlineStr">
        <is>
          <t xml:space="preserve">            self.assertTrue(Path(path).exists())</t>
        </is>
      </c>
    </row>
    <row r="441">
      <c r="A441" s="9" t="n">
        <v>438</v>
      </c>
      <c r="B441" s="10" t="inlineStr"/>
    </row>
    <row r="442">
      <c r="A442" s="7" t="n">
        <v>439</v>
      </c>
      <c r="B442" s="8" t="inlineStr"/>
    </row>
    <row r="443">
      <c r="A443" s="9" t="n">
        <v>440</v>
      </c>
      <c r="B443" s="10" t="inlineStr"/>
    </row>
    <row r="444">
      <c r="A444" s="7" t="n">
        <v>441</v>
      </c>
      <c r="B444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445">
      <c r="A445" s="9" t="n">
        <v>442</v>
      </c>
      <c r="B445" s="10" t="inlineStr">
        <is>
          <t># 10. 扫描器测试</t>
        </is>
      </c>
    </row>
    <row r="446">
      <c r="A446" s="7" t="n">
        <v>443</v>
      </c>
      <c r="B446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447">
      <c r="A447" s="9" t="n">
        <v>444</v>
      </c>
      <c r="B447" s="10" t="inlineStr">
        <is>
          <t>class TestDriveScanner(unittest.TestCase):</t>
        </is>
      </c>
    </row>
    <row r="448">
      <c r="A448" s="7" t="n">
        <v>445</v>
      </c>
      <c r="B448" s="8" t="inlineStr">
        <is>
          <t xml:space="preserve">    """core/drive_scanner.py"""</t>
        </is>
      </c>
    </row>
    <row r="449">
      <c r="A449" s="9" t="n">
        <v>446</v>
      </c>
      <c r="B449" s="10" t="inlineStr"/>
    </row>
    <row r="450">
      <c r="A450" s="7" t="n">
        <v>447</v>
      </c>
      <c r="B450" s="8" t="inlineStr">
        <is>
          <t xml:space="preserve">    def setUp(self):</t>
        </is>
      </c>
    </row>
    <row r="451">
      <c r="A451" s="9" t="n">
        <v>448</v>
      </c>
      <c r="B451" s="10" t="inlineStr">
        <is>
          <t xml:space="preserve">        self.tmpdir = tempfile.mkdtemp(prefix="scan_")</t>
        </is>
      </c>
    </row>
    <row r="452">
      <c r="A452" s="7" t="n">
        <v>449</v>
      </c>
      <c r="B452" s="8" t="inlineStr">
        <is>
          <t xml:space="preserve">        for i in range(5):</t>
        </is>
      </c>
    </row>
    <row r="453">
      <c r="A453" s="9" t="n">
        <v>450</v>
      </c>
      <c r="B453" s="10" t="inlineStr">
        <is>
          <t xml:space="preserve">            p = Path(self.tmpdir) / f"sub_{i}"</t>
        </is>
      </c>
    </row>
    <row r="454">
      <c r="A454" s="7" t="n">
        <v>451</v>
      </c>
      <c r="B454" s="8" t="inlineStr">
        <is>
          <t xml:space="preserve">            p.mkdir(exist_ok=True)</t>
        </is>
      </c>
    </row>
    <row r="455">
      <c r="A455" s="9" t="n">
        <v>452</v>
      </c>
      <c r="B455" s="10" t="inlineStr">
        <is>
          <t xml:space="preserve">            (p / f"video_{i}.mp4").write_bytes(b"\x00" * 100)</t>
        </is>
      </c>
    </row>
    <row r="456">
      <c r="A456" s="7" t="n">
        <v>453</v>
      </c>
      <c r="B456" s="8" t="inlineStr">
        <is>
          <t xml:space="preserve">            if i % 2 == 0:</t>
        </is>
      </c>
    </row>
    <row r="457">
      <c r="A457" s="9" t="n">
        <v>454</v>
      </c>
      <c r="B457" s="10" t="inlineStr">
        <is>
          <t xml:space="preserve">                (p / f"image_{i}.jpg").write_bytes(b"\x00" * 50)</t>
        </is>
      </c>
    </row>
    <row r="458">
      <c r="A458" s="7" t="n">
        <v>455</v>
      </c>
      <c r="B458" s="8" t="inlineStr"/>
    </row>
    <row r="459">
      <c r="A459" s="9" t="n">
        <v>456</v>
      </c>
      <c r="B459" s="10" t="inlineStr">
        <is>
          <t xml:space="preserve">    def tearDown(self):</t>
        </is>
      </c>
    </row>
    <row r="460">
      <c r="A460" s="7" t="n">
        <v>457</v>
      </c>
      <c r="B460" s="8" t="inlineStr">
        <is>
          <t xml:space="preserve">        shutil.rmtree(self.tmpdir, ignore_errors=True)</t>
        </is>
      </c>
    </row>
    <row r="461">
      <c r="A461" s="9" t="n">
        <v>458</v>
      </c>
      <c r="B461" s="10" t="inlineStr"/>
    </row>
    <row r="462">
      <c r="A462" s="7" t="n">
        <v>459</v>
      </c>
      <c r="B462" s="8" t="inlineStr">
        <is>
          <t xml:space="preserve">    def test_list_videos(self):</t>
        </is>
      </c>
    </row>
    <row r="463">
      <c r="A463" s="9" t="n">
        <v>460</v>
      </c>
      <c r="B463" s="10" t="inlineStr">
        <is>
          <t xml:space="preserve">        from core.drive_scanner import get_scanner</t>
        </is>
      </c>
    </row>
    <row r="464">
      <c r="A464" s="7" t="n">
        <v>461</v>
      </c>
      <c r="B464" s="8" t="inlineStr">
        <is>
          <t xml:space="preserve">        s = get_scanner()</t>
        </is>
      </c>
    </row>
    <row r="465">
      <c r="A465" s="9" t="n">
        <v>462</v>
      </c>
      <c r="B465" s="10" t="inlineStr">
        <is>
          <t xml:space="preserve">        vids = s.list_videos(self.tmpdir)</t>
        </is>
      </c>
    </row>
    <row r="466">
      <c r="A466" s="7" t="n">
        <v>463</v>
      </c>
      <c r="B466" s="8" t="inlineStr">
        <is>
          <t xml:space="preserve">        self.assertEqual(len(vids), 5)</t>
        </is>
      </c>
    </row>
    <row r="467">
      <c r="A467" s="9" t="n">
        <v>464</v>
      </c>
      <c r="B467" s="10" t="inlineStr"/>
    </row>
    <row r="468">
      <c r="A468" s="7" t="n">
        <v>465</v>
      </c>
      <c r="B468" s="8" t="inlineStr">
        <is>
          <t xml:space="preserve">    def test_scan_folder(self):</t>
        </is>
      </c>
    </row>
    <row r="469">
      <c r="A469" s="9" t="n">
        <v>466</v>
      </c>
      <c r="B469" s="10" t="inlineStr">
        <is>
          <t xml:space="preserve">        from core.drive_scanner import get_scanner</t>
        </is>
      </c>
    </row>
    <row r="470">
      <c r="A470" s="7" t="n">
        <v>467</v>
      </c>
      <c r="B470" s="8" t="inlineStr">
        <is>
          <t xml:space="preserve">        s = get_scanner()</t>
        </is>
      </c>
    </row>
    <row r="471">
      <c r="A471" s="9" t="n">
        <v>468</v>
      </c>
      <c r="B471" s="10" t="inlineStr">
        <is>
          <t xml:space="preserve">        entry = s.scan_folder(self.tmpdir, max_depth=2)</t>
        </is>
      </c>
    </row>
    <row r="472">
      <c r="A472" s="7" t="n">
        <v>469</v>
      </c>
      <c r="B472" s="8" t="inlineStr">
        <is>
          <t xml:space="preserve">        self.assertGreaterEqual(entry.video_count, 5)</t>
        </is>
      </c>
    </row>
    <row r="473">
      <c r="A473" s="9" t="n">
        <v>470</v>
      </c>
      <c r="B473" s="10" t="inlineStr"/>
    </row>
    <row r="474">
      <c r="A474" s="7" t="n">
        <v>471</v>
      </c>
      <c r="B474" s="8" t="inlineStr">
        <is>
          <t xml:space="preserve">    def test_get_drives(self):</t>
        </is>
      </c>
    </row>
    <row r="475">
      <c r="A475" s="9" t="n">
        <v>472</v>
      </c>
      <c r="B475" s="10" t="inlineStr">
        <is>
          <t xml:space="preserve">        from core.drive_scanner import get_scanner</t>
        </is>
      </c>
    </row>
    <row r="476">
      <c r="A476" s="7" t="n">
        <v>473</v>
      </c>
      <c r="B476" s="8" t="inlineStr">
        <is>
          <t xml:space="preserve">        s = get_scanner()</t>
        </is>
      </c>
    </row>
    <row r="477">
      <c r="A477" s="9" t="n">
        <v>474</v>
      </c>
      <c r="B477" s="10" t="inlineStr">
        <is>
          <t xml:space="preserve">        drives = s.get_drives()</t>
        </is>
      </c>
    </row>
    <row r="478">
      <c r="A478" s="7" t="n">
        <v>475</v>
      </c>
      <c r="B478" s="8" t="inlineStr">
        <is>
          <t xml:space="preserve">        self.assertGreater(len(drives), 0)</t>
        </is>
      </c>
    </row>
    <row r="479">
      <c r="A479" s="9" t="n">
        <v>476</v>
      </c>
      <c r="B479" s="10" t="inlineStr">
        <is>
          <t xml:space="preserve">        # C: 盘应该存在</t>
        </is>
      </c>
    </row>
    <row r="480">
      <c r="A480" s="7" t="n">
        <v>477</v>
      </c>
      <c r="B480" s="8" t="inlineStr">
        <is>
          <t xml:space="preserve">        self.assertTrue(any(d.startswith("C:") for d in drives))</t>
        </is>
      </c>
    </row>
    <row r="481">
      <c r="A481" s="9" t="n">
        <v>478</v>
      </c>
      <c r="B481" s="10" t="inlineStr"/>
    </row>
    <row r="482">
      <c r="A482" s="7" t="n">
        <v>479</v>
      </c>
      <c r="B482" s="8" t="inlineStr"/>
    </row>
    <row r="483">
      <c r="A483" s="9" t="n">
        <v>480</v>
      </c>
      <c r="B483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484">
      <c r="A484" s="7" t="n">
        <v>481</v>
      </c>
      <c r="B484" s="8" t="inlineStr">
        <is>
          <t># 11. 库构建器测试</t>
        </is>
      </c>
    </row>
    <row r="485">
      <c r="A485" s="9" t="n">
        <v>482</v>
      </c>
      <c r="B485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486">
      <c r="A486" s="7" t="n">
        <v>483</v>
      </c>
      <c r="B486" s="8" t="inlineStr">
        <is>
          <t>class TestLibraryBuilder(unittest.TestCase):</t>
        </is>
      </c>
    </row>
    <row r="487">
      <c r="A487" s="9" t="n">
        <v>484</v>
      </c>
      <c r="B487" s="10" t="inlineStr">
        <is>
          <t xml:space="preserve">    """core/library_builder.py"""</t>
        </is>
      </c>
    </row>
    <row r="488">
      <c r="A488" s="7" t="n">
        <v>485</v>
      </c>
      <c r="B488" s="8" t="inlineStr"/>
    </row>
    <row r="489">
      <c r="A489" s="9" t="n">
        <v>486</v>
      </c>
      <c r="B489" s="10" t="inlineStr">
        <is>
          <t xml:space="preserve">    def setUp(self):</t>
        </is>
      </c>
    </row>
    <row r="490">
      <c r="A490" s="7" t="n">
        <v>487</v>
      </c>
      <c r="B490" s="8" t="inlineStr">
        <is>
          <t xml:space="preserve">        self.tmpdb = tempfile.mktemp(suffix=".db")</t>
        </is>
      </c>
    </row>
    <row r="491">
      <c r="A491" s="9" t="n">
        <v>488</v>
      </c>
      <c r="B491" s="10" t="inlineStr"/>
    </row>
    <row r="492">
      <c r="A492" s="7" t="n">
        <v>489</v>
      </c>
      <c r="B492" s="8" t="inlineStr">
        <is>
          <t xml:space="preserve">    def tearDown(self):</t>
        </is>
      </c>
    </row>
    <row r="493">
      <c r="A493" s="9" t="n">
        <v>490</v>
      </c>
      <c r="B493" s="10" t="inlineStr">
        <is>
          <t xml:space="preserve">        try: os.remove(self.tmpdb)</t>
        </is>
      </c>
    </row>
    <row r="494">
      <c r="A494" s="7" t="n">
        <v>491</v>
      </c>
      <c r="B494" s="8" t="inlineStr">
        <is>
          <t xml:space="preserve">        except: pass</t>
        </is>
      </c>
    </row>
    <row r="495">
      <c r="A495" s="9" t="n">
        <v>492</v>
      </c>
      <c r="B495" s="10" t="inlineStr"/>
    </row>
    <row r="496">
      <c r="A496" s="7" t="n">
        <v>493</v>
      </c>
      <c r="B496" s="8" t="inlineStr">
        <is>
          <t xml:space="preserve">    def test_init_and_stats(self):</t>
        </is>
      </c>
    </row>
    <row r="497">
      <c r="A497" s="9" t="n">
        <v>494</v>
      </c>
      <c r="B497" s="10" t="inlineStr">
        <is>
          <t xml:space="preserve">        from core.library_builder import LibraryBuilder</t>
        </is>
      </c>
    </row>
    <row r="498">
      <c r="A498" s="7" t="n">
        <v>495</v>
      </c>
      <c r="B498" s="8" t="inlineStr">
        <is>
          <t xml:space="preserve">        lb = LibraryBuilder(db_path=self.tmpdb)</t>
        </is>
      </c>
    </row>
    <row r="499">
      <c r="A499" s="9" t="n">
        <v>496</v>
      </c>
      <c r="B499" s="10" t="inlineStr">
        <is>
          <t xml:space="preserve">        stats = lb.get_stats()</t>
        </is>
      </c>
    </row>
    <row r="500">
      <c r="A500" s="7" t="n">
        <v>497</v>
      </c>
      <c r="B500" s="8" t="inlineStr">
        <is>
          <t xml:space="preserve">        self.assertEqual(stats["total_segments"], 0)</t>
        </is>
      </c>
    </row>
    <row r="501">
      <c r="A501" s="9" t="n">
        <v>498</v>
      </c>
      <c r="B501" s="10" t="inlineStr"/>
    </row>
    <row r="502">
      <c r="A502" s="7" t="n">
        <v>499</v>
      </c>
      <c r="B502" s="8" t="inlineStr">
        <is>
          <t xml:space="preserve">    def test_insert_and_stats(self):</t>
        </is>
      </c>
    </row>
    <row r="503">
      <c r="A503" s="9" t="n">
        <v>500</v>
      </c>
      <c r="B503" s="10" t="inlineStr">
        <is>
          <t xml:space="preserve">        from core.library_builder import LibraryBuilder</t>
        </is>
      </c>
    </row>
    <row r="504">
      <c r="A504" s="7" t="n">
        <v>501</v>
      </c>
      <c r="B504" s="8" t="inlineStr">
        <is>
          <t xml:space="preserve">        lb = LibraryBuilder(db_path=self.tmpdb)</t>
        </is>
      </c>
    </row>
    <row r="505">
      <c r="A505" s="9" t="n">
        <v>502</v>
      </c>
      <c r="B505" s="10" t="inlineStr">
        <is>
          <t xml:space="preserve">        lb.insert_analysis({</t>
        </is>
      </c>
    </row>
    <row r="506">
      <c r="A506" s="7" t="n">
        <v>503</v>
      </c>
      <c r="B506" s="8" t="inlineStr">
        <is>
          <t xml:space="preserve">            "video_path": "test/video1.mp4",</t>
        </is>
      </c>
    </row>
    <row r="507">
      <c r="A507" s="9" t="n">
        <v>504</v>
      </c>
      <c r="B507" s="10" t="inlineStr">
        <is>
          <t xml:space="preserve">            "start_time": 0, "end_time": 10,</t>
        </is>
      </c>
    </row>
    <row r="508">
      <c r="A508" s="7" t="n">
        <v>505</v>
      </c>
      <c r="B508" s="8" t="inlineStr">
        <is>
          <t xml:space="preserve">            "tags": "岛台,岩板", "objects": "抽屉",</t>
        </is>
      </c>
    </row>
    <row r="509">
      <c r="A509" s="9" t="n">
        <v>506</v>
      </c>
      <c r="B509" s="10" t="inlineStr">
        <is>
          <t xml:space="preserve">            "style": "极简风", "color": "白色",</t>
        </is>
      </c>
    </row>
    <row r="510">
      <c r="A510" s="7" t="n">
        <v>507</v>
      </c>
      <c r="B510" s="8" t="inlineStr">
        <is>
          <t xml:space="preserve">            "material": "岩板", "speech_text": "测试",</t>
        </is>
      </c>
    </row>
    <row r="511">
      <c r="A511" s="9" t="n">
        <v>508</v>
      </c>
      <c r="B511" s="10" t="inlineStr">
        <is>
          <t xml:space="preserve">            "confidence": 0.9, "source_folder": "test",</t>
        </is>
      </c>
    </row>
    <row r="512">
      <c r="A512" s="7" t="n">
        <v>509</v>
      </c>
      <c r="B512" s="8" t="inlineStr">
        <is>
          <t xml:space="preserve">            "duration": 10, "file_size": 1000, "file_mtime": 12345.0,</t>
        </is>
      </c>
    </row>
    <row r="513">
      <c r="A513" s="9" t="n">
        <v>510</v>
      </c>
      <c r="B513" s="10" t="inlineStr">
        <is>
          <t xml:space="preserve">        }, models_used=["qwen_vl", "clip"])</t>
        </is>
      </c>
    </row>
    <row r="514">
      <c r="A514" s="7" t="n">
        <v>511</v>
      </c>
      <c r="B514" s="8" t="inlineStr">
        <is>
          <t xml:space="preserve">        stats = lb.get_stats()</t>
        </is>
      </c>
    </row>
    <row r="515">
      <c r="A515" s="9" t="n">
        <v>512</v>
      </c>
      <c r="B515" s="10" t="inlineStr">
        <is>
          <t xml:space="preserve">        self.assertEqual(stats["total_segments"], 1)</t>
        </is>
      </c>
    </row>
    <row r="516">
      <c r="A516" s="7" t="n">
        <v>513</v>
      </c>
      <c r="B516" s="8" t="inlineStr"/>
    </row>
    <row r="517">
      <c r="A517" s="9" t="n">
        <v>514</v>
      </c>
      <c r="B517" s="10" t="inlineStr">
        <is>
          <t xml:space="preserve">    def test_get_pending_videos(self):</t>
        </is>
      </c>
    </row>
    <row r="518">
      <c r="A518" s="7" t="n">
        <v>515</v>
      </c>
      <c r="B518" s="8" t="inlineStr">
        <is>
          <t xml:space="preserve">        from core.library_builder import LibraryBuilder</t>
        </is>
      </c>
    </row>
    <row r="519">
      <c r="A519" s="9" t="n">
        <v>516</v>
      </c>
      <c r="B519" s="10" t="inlineStr">
        <is>
          <t xml:space="preserve">        lb = LibraryBuilder(db_path=self.tmpdb)</t>
        </is>
      </c>
    </row>
    <row r="520">
      <c r="A520" s="7" t="n">
        <v>517</v>
      </c>
      <c r="B520" s="8" t="inlineStr">
        <is>
          <t xml:space="preserve">        pending = lb.get_pending_videos(["test/new.mp4"])</t>
        </is>
      </c>
    </row>
    <row r="521">
      <c r="A521" s="9" t="n">
        <v>518</v>
      </c>
      <c r="B521" s="10" t="inlineStr">
        <is>
          <t xml:space="preserve">        self.assertIn("test/new.mp4", pending)</t>
        </is>
      </c>
    </row>
    <row r="522">
      <c r="A522" s="7" t="n">
        <v>519</v>
      </c>
      <c r="B522" s="8" t="inlineStr"/>
    </row>
    <row r="523">
      <c r="A523" s="9" t="n">
        <v>520</v>
      </c>
      <c r="B523" s="10" t="inlineStr"/>
    </row>
    <row r="524">
      <c r="A524" s="7" t="n">
        <v>521</v>
      </c>
      <c r="B524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525">
      <c r="A525" s="9" t="n">
        <v>522</v>
      </c>
      <c r="B525" s="10" t="inlineStr">
        <is>
          <t># 12. 标注引擎测试</t>
        </is>
      </c>
    </row>
    <row r="526">
      <c r="A526" s="7" t="n">
        <v>523</v>
      </c>
      <c r="B526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527">
      <c r="A527" s="9" t="n">
        <v>524</v>
      </c>
      <c r="B527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528">
      <c r="A528" s="7" t="n">
        <v>525</v>
      </c>
      <c r="B528" s="8" t="inlineStr">
        <is>
          <t># 13. 学习引擎测试</t>
        </is>
      </c>
    </row>
    <row r="529">
      <c r="A529" s="9" t="n">
        <v>526</v>
      </c>
      <c r="B529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530">
      <c r="A530" s="7" t="n">
        <v>527</v>
      </c>
      <c r="B530" s="8" t="inlineStr">
        <is>
          <t>class TestLearner(unittest.TestCase):</t>
        </is>
      </c>
    </row>
    <row r="531">
      <c r="A531" s="9" t="n">
        <v>528</v>
      </c>
      <c r="B531" s="10" t="inlineStr">
        <is>
          <t xml:space="preserve">    """core/learner.py"""</t>
        </is>
      </c>
    </row>
    <row r="532">
      <c r="A532" s="7" t="n">
        <v>529</v>
      </c>
      <c r="B532" s="8" t="inlineStr"/>
    </row>
    <row r="533">
      <c r="A533" s="9" t="n">
        <v>530</v>
      </c>
      <c r="B533" s="10" t="inlineStr">
        <is>
          <t xml:space="preserve">    def test_learner_init(self):</t>
        </is>
      </c>
    </row>
    <row r="534">
      <c r="A534" s="7" t="n">
        <v>531</v>
      </c>
      <c r="B534" s="8" t="inlineStr">
        <is>
          <t xml:space="preserve">        from core.learner import get_learner</t>
        </is>
      </c>
    </row>
    <row r="535">
      <c r="A535" s="9" t="n">
        <v>532</v>
      </c>
      <c r="B535" s="10" t="inlineStr">
        <is>
          <t xml:space="preserve">        learner = get_learner()</t>
        </is>
      </c>
    </row>
    <row r="536">
      <c r="A536" s="7" t="n">
        <v>533</v>
      </c>
      <c r="B536" s="8" t="inlineStr">
        <is>
          <t xml:space="preserve">        self.assertIsNotNone(learner)</t>
        </is>
      </c>
    </row>
    <row r="537">
      <c r="A537" s="9" t="n">
        <v>534</v>
      </c>
      <c r="B537" s="10" t="inlineStr"/>
    </row>
    <row r="538">
      <c r="A538" s="7" t="n">
        <v>535</v>
      </c>
      <c r="B538" s="8" t="inlineStr">
        <is>
          <t xml:space="preserve">    def test_learner_summary(self):</t>
        </is>
      </c>
    </row>
    <row r="539">
      <c r="A539" s="9" t="n">
        <v>536</v>
      </c>
      <c r="B539" s="10" t="inlineStr">
        <is>
          <t xml:space="preserve">        from core.learner import get_learner</t>
        </is>
      </c>
    </row>
    <row r="540">
      <c r="A540" s="7" t="n">
        <v>537</v>
      </c>
      <c r="B540" s="8" t="inlineStr">
        <is>
          <t xml:space="preserve">        learner = get_learner()</t>
        </is>
      </c>
    </row>
    <row r="541">
      <c r="A541" s="9" t="n">
        <v>538</v>
      </c>
      <c r="B541" s="10" t="inlineStr">
        <is>
          <t xml:space="preserve">        summary = learner.get_summary()</t>
        </is>
      </c>
    </row>
    <row r="542">
      <c r="A542" s="7" t="n">
        <v>539</v>
      </c>
      <c r="B542" s="8" t="inlineStr">
        <is>
          <t xml:space="preserve">        self.assertIsInstance(summary, dict)</t>
        </is>
      </c>
    </row>
    <row r="543">
      <c r="A543" s="9" t="n">
        <v>540</v>
      </c>
      <c r="B543" s="10" t="inlineStr"/>
    </row>
    <row r="544">
      <c r="A544" s="7" t="n">
        <v>541</v>
      </c>
      <c r="B544" s="8" t="inlineStr">
        <is>
          <t xml:space="preserve">    def test_learn_synonyms(self):</t>
        </is>
      </c>
    </row>
    <row r="545">
      <c r="A545" s="9" t="n">
        <v>542</v>
      </c>
      <c r="B545" s="10" t="inlineStr">
        <is>
          <t xml:space="preserve">        from core.learner import get_learner</t>
        </is>
      </c>
    </row>
    <row r="546">
      <c r="A546" s="7" t="n">
        <v>543</v>
      </c>
      <c r="B546" s="8" t="inlineStr">
        <is>
          <t xml:space="preserve">        learner = get_learner()</t>
        </is>
      </c>
    </row>
    <row r="547">
      <c r="A547" s="9" t="n">
        <v>544</v>
      </c>
      <c r="B547" s="10" t="inlineStr">
        <is>
          <t xml:space="preserve">        learner.learn_synonyms("测试规范词", ["测试别名1", "测试别名2"])</t>
        </is>
      </c>
    </row>
    <row r="548">
      <c r="A548" s="7" t="n">
        <v>545</v>
      </c>
      <c r="B548" s="8" t="inlineStr">
        <is>
          <t xml:space="preserve">        self.assertIn("测试别名1", learner._knowledge["synonyms"])</t>
        </is>
      </c>
    </row>
    <row r="549">
      <c r="A549" s="9" t="n">
        <v>546</v>
      </c>
      <c r="B549" s="10" t="inlineStr"/>
    </row>
    <row r="550">
      <c r="A550" s="7" t="n">
        <v>547</v>
      </c>
      <c r="B550" s="8" t="inlineStr"/>
    </row>
    <row r="551">
      <c r="A551" s="9" t="n">
        <v>548</v>
      </c>
      <c r="B551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552">
      <c r="A552" s="7" t="n">
        <v>549</v>
      </c>
      <c r="B552" s="8" t="inlineStr">
        <is>
          <t># 14. 使用记录器测试</t>
        </is>
      </c>
    </row>
    <row r="553">
      <c r="A553" s="9" t="n">
        <v>550</v>
      </c>
      <c r="B553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554">
      <c r="A554" s="7" t="n">
        <v>551</v>
      </c>
      <c r="B554" s="8" t="inlineStr">
        <is>
          <t>class TestUsageRecorder(unittest.TestCase):</t>
        </is>
      </c>
    </row>
    <row r="555">
      <c r="A555" s="9" t="n">
        <v>552</v>
      </c>
      <c r="B555" s="10" t="inlineStr">
        <is>
          <t xml:space="preserve">    """core/usage_recorder.py"""</t>
        </is>
      </c>
    </row>
    <row r="556">
      <c r="A556" s="7" t="n">
        <v>553</v>
      </c>
      <c r="B556" s="8" t="inlineStr"/>
    </row>
    <row r="557">
      <c r="A557" s="9" t="n">
        <v>554</v>
      </c>
      <c r="B557" s="10" t="inlineStr">
        <is>
          <t xml:space="preserve">    def test_record_and_stats(self):</t>
        </is>
      </c>
    </row>
    <row r="558">
      <c r="A558" s="7" t="n">
        <v>555</v>
      </c>
      <c r="B558" s="8" t="inlineStr">
        <is>
          <t xml:space="preserve">        from core.usage_recorder import get_recorder</t>
        </is>
      </c>
    </row>
    <row r="559">
      <c r="A559" s="9" t="n">
        <v>556</v>
      </c>
      <c r="B559" s="10" t="inlineStr">
        <is>
          <t xml:space="preserve">        r = get_recorder()</t>
        </is>
      </c>
    </row>
    <row r="560">
      <c r="A560" s="7" t="n">
        <v>557</v>
      </c>
      <c r="B560" s="8" t="inlineStr">
        <is>
          <t xml:space="preserve">        r.record("test_type", "test_action", "test_detail",</t>
        </is>
      </c>
    </row>
    <row r="561">
      <c r="A561" s="9" t="n">
        <v>558</v>
      </c>
      <c r="B561" s="10" t="inlineStr">
        <is>
          <t xml:space="preserve">                {"extra": "data"})</t>
        </is>
      </c>
    </row>
    <row r="562">
      <c r="A562" s="7" t="n">
        <v>559</v>
      </c>
      <c r="B562" s="8" t="inlineStr">
        <is>
          <t xml:space="preserve">        stats = r.get_stats()</t>
        </is>
      </c>
    </row>
    <row r="563">
      <c r="A563" s="9" t="n">
        <v>560</v>
      </c>
      <c r="B563" s="10" t="inlineStr">
        <is>
          <t xml:space="preserve">        self.assertIsInstance(stats, dict)</t>
        </is>
      </c>
    </row>
    <row r="564">
      <c r="A564" s="7" t="n">
        <v>561</v>
      </c>
      <c r="B564" s="8" t="inlineStr">
        <is>
          <t xml:space="preserve">        self.assertIn("total", stats)</t>
        </is>
      </c>
    </row>
    <row r="565">
      <c r="A565" s="9" t="n">
        <v>562</v>
      </c>
      <c r="B565" s="10" t="inlineStr"/>
    </row>
    <row r="566">
      <c r="A566" s="7" t="n">
        <v>563</v>
      </c>
      <c r="B566" s="8" t="inlineStr">
        <is>
          <t xml:space="preserve">    def test_recent_records(self):</t>
        </is>
      </c>
    </row>
    <row r="567">
      <c r="A567" s="9" t="n">
        <v>564</v>
      </c>
      <c r="B567" s="10" t="inlineStr">
        <is>
          <t xml:space="preserve">        from core.usage_recorder import get_recorder</t>
        </is>
      </c>
    </row>
    <row r="568">
      <c r="A568" s="7" t="n">
        <v>565</v>
      </c>
      <c r="B568" s="8" t="inlineStr">
        <is>
          <t xml:space="preserve">        r = get_recorder()</t>
        </is>
      </c>
    </row>
    <row r="569">
      <c r="A569" s="9" t="n">
        <v>566</v>
      </c>
      <c r="B569" s="10" t="inlineStr">
        <is>
          <t xml:space="preserve">        recent = r.get_recent(5)</t>
        </is>
      </c>
    </row>
    <row r="570">
      <c r="A570" s="7" t="n">
        <v>567</v>
      </c>
      <c r="B570" s="8" t="inlineStr">
        <is>
          <t xml:space="preserve">        self.assertIsInstance(recent, list)</t>
        </is>
      </c>
    </row>
    <row r="571">
      <c r="A571" s="9" t="n">
        <v>568</v>
      </c>
      <c r="B571" s="10" t="inlineStr"/>
    </row>
    <row r="572">
      <c r="A572" s="7" t="n">
        <v>569</v>
      </c>
      <c r="B572" s="8" t="inlineStr"/>
    </row>
    <row r="573">
      <c r="A573" s="9" t="n">
        <v>570</v>
      </c>
      <c r="B573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574">
      <c r="A574" s="7" t="n">
        <v>571</v>
      </c>
      <c r="B574" s="8" t="inlineStr">
        <is>
          <t># 15. 核心入口模块测试</t>
        </is>
      </c>
    </row>
    <row r="575">
      <c r="A575" s="9" t="n">
        <v>572</v>
      </c>
      <c r="B575" s="10" t="inlineStr">
        <is>
          <t># ═══════════════════════════════════════════════════════════</t>
        </is>
      </c>
    </row>
    <row r="576">
      <c r="A576" s="7" t="n">
        <v>573</v>
      </c>
      <c r="B576" s="8" t="inlineStr">
        <is>
          <t>class TestCoreInit(unittest.TestCase):</t>
        </is>
      </c>
    </row>
    <row r="577">
      <c r="A577" s="9" t="n">
        <v>574</v>
      </c>
      <c r="B577" s="10" t="inlineStr">
        <is>
          <t xml:space="preserve">    """core/__init__.py"""</t>
        </is>
      </c>
    </row>
    <row r="578">
      <c r="A578" s="7" t="n">
        <v>575</v>
      </c>
      <c r="B578" s="8" t="inlineStr"/>
    </row>
    <row r="579">
      <c r="A579" s="9" t="n">
        <v>576</v>
      </c>
      <c r="B579" s="10" t="inlineStr">
        <is>
          <t xml:space="preserve">    def test_version(self):</t>
        </is>
      </c>
    </row>
    <row r="580">
      <c r="A580" s="7" t="n">
        <v>577</v>
      </c>
      <c r="B580" s="8" t="inlineStr">
        <is>
          <t xml:space="preserve">        import core</t>
        </is>
      </c>
    </row>
    <row r="581">
      <c r="A581" s="9" t="n">
        <v>578</v>
      </c>
      <c r="B581" s="10" t="inlineStr">
        <is>
          <t xml:space="preserve">        self.assertEqual(core.__version__, "10.3")</t>
        </is>
      </c>
    </row>
    <row r="582">
      <c r="A582" s="7" t="n">
        <v>579</v>
      </c>
      <c r="B582" s="8" t="inlineStr"/>
    </row>
    <row r="583">
      <c r="A583" s="9" t="n">
        <v>580</v>
      </c>
      <c r="B583" s="10" t="inlineStr">
        <is>
          <t xml:space="preserve">    def test_all_exports(self):</t>
        </is>
      </c>
    </row>
    <row r="584">
      <c r="A584" s="7" t="n">
        <v>581</v>
      </c>
      <c r="B584" s="8" t="inlineStr">
        <is>
          <t xml:space="preserve">        import core</t>
        </is>
      </c>
    </row>
    <row r="585">
      <c r="A585" s="9" t="n">
        <v>582</v>
      </c>
      <c r="B585" s="10" t="inlineStr">
        <is>
          <t xml:space="preserve">        exports = ["run", "run_multi", "run_batch",</t>
        </is>
      </c>
    </row>
    <row r="586">
      <c r="A586" s="7" t="n">
        <v>583</v>
      </c>
      <c r="B586" s="8" t="inlineStr">
        <is>
          <t xml:space="preserve">                   "generate_tts_voiceover", "JianyingDraftBuilder",</t>
        </is>
      </c>
    </row>
    <row r="587">
      <c r="A587" s="9" t="n">
        <v>584</v>
      </c>
      <c r="B587" s="10" t="inlineStr">
        <is>
          <t xml:space="preserve">                   "split_copy_to_subtitles", "clean_text_for_tts",</t>
        </is>
      </c>
    </row>
    <row r="588">
      <c r="A588" s="7" t="n">
        <v>585</v>
      </c>
      <c r="B588" s="8" t="inlineStr">
        <is>
          <t xml:space="preserve">                   "MaterialCacheManager", "MaterialUsageTracker"]</t>
        </is>
      </c>
    </row>
    <row r="589">
      <c r="A589" s="9" t="n">
        <v>586</v>
      </c>
      <c r="B589" s="10" t="inlineStr">
        <is>
          <t xml:space="preserve">        for name in exports:</t>
        </is>
      </c>
    </row>
    <row r="590">
      <c r="A590" s="7" t="n">
        <v>587</v>
      </c>
      <c r="B590" s="8" t="inlineStr">
        <is>
          <t xml:space="preserve">            self.assertTrue(hasattr(core, name),</t>
        </is>
      </c>
    </row>
    <row r="591">
      <c r="A591" s="9" t="n">
        <v>588</v>
      </c>
      <c r="B591" s="10" t="inlineStr">
        <is>
          <t xml:space="preserve">                          f"core 缺少导出: {name}")</t>
        </is>
      </c>
    </row>
    <row r="592">
      <c r="A592" s="7" t="n">
        <v>589</v>
      </c>
      <c r="B592" s="8" t="inlineStr"/>
    </row>
    <row r="593">
      <c r="A593" s="9" t="n">
        <v>590</v>
      </c>
      <c r="B593" s="10" t="inlineStr">
        <is>
          <t xml:space="preserve">    def test_material_cache_fingerprint(self):</t>
        </is>
      </c>
    </row>
    <row r="594">
      <c r="A594" s="7" t="n">
        <v>591</v>
      </c>
      <c r="B594" s="8" t="inlineStr">
        <is>
          <t xml:space="preserve">        import core</t>
        </is>
      </c>
    </row>
    <row r="595">
      <c r="A595" s="9" t="n">
        <v>592</v>
      </c>
      <c r="B595" s="10" t="inlineStr">
        <is>
          <t xml:space="preserve">        fp = core.MaterialCacheManager._dir_fingerprint(</t>
        </is>
      </c>
    </row>
    <row r="596">
      <c r="A596" s="7" t="n">
        <v>593</v>
      </c>
      <c r="B596" s="8" t="inlineStr">
        <is>
          <t xml:space="preserve">            [str(Path(__file__).parent)])</t>
        </is>
      </c>
    </row>
    <row r="597">
      <c r="A597" s="9" t="n">
        <v>594</v>
      </c>
      <c r="B597" s="10" t="inlineStr">
        <is>
          <t xml:space="preserve">        self.assertEqual(len(fp), 12)</t>
        </is>
      </c>
    </row>
    <row r="598">
      <c r="A598" s="7" t="n">
        <v>595</v>
      </c>
      <c r="B598" s="8" t="inlineStr"/>
    </row>
    <row r="599">
      <c r="A599" s="9" t="n">
        <v>596</v>
      </c>
      <c r="B599" s="10" t="inlineStr">
        <is>
          <t xml:space="preserve">    def test_usage_tracker_basic(self):</t>
        </is>
      </c>
    </row>
    <row r="600">
      <c r="A600" s="7" t="n">
        <v>597</v>
      </c>
      <c r="B600" s="8" t="inlineStr">
        <is>
          <t xml:space="preserve">        import core</t>
        </is>
      </c>
    </row>
    <row r="601">
      <c r="A601" s="9" t="n">
        <v>598</v>
      </c>
      <c r="B601" s="10" t="inlineStr">
        <is>
          <t xml:space="preserve">        try:</t>
        </is>
      </c>
    </row>
    <row r="602">
      <c r="A602" s="7" t="n">
        <v>599</v>
      </c>
      <c r="B602" s="8" t="inlineStr">
        <is>
          <t xml:space="preserve">            core.MaterialUsageTracker.record_usage(</t>
        </is>
      </c>
    </row>
    <row r="603">
      <c r="A603" s="9" t="n">
        <v>600</v>
      </c>
      <c r="B603" s="10" t="inlineStr">
        <is>
          <t xml:space="preserve">                [str(Path(__file__))])</t>
        </is>
      </c>
    </row>
    <row r="604">
      <c r="A604" s="7" t="n">
        <v>601</v>
      </c>
      <c r="B604" s="8" t="inlineStr">
        <is>
          <t xml:space="preserve">            count = core.MaterialUsageTracker.get_usage_count(</t>
        </is>
      </c>
    </row>
    <row r="605">
      <c r="A605" s="9" t="n">
        <v>602</v>
      </c>
      <c r="B605" s="10" t="inlineStr">
        <is>
          <t xml:space="preserve">                str(Path(__file__)))</t>
        </is>
      </c>
    </row>
    <row r="606">
      <c r="A606" s="7" t="n">
        <v>603</v>
      </c>
      <c r="B606" s="8" t="inlineStr">
        <is>
          <t xml:space="preserve">            self.assertGreaterEqual(count, 0)</t>
        </is>
      </c>
    </row>
    <row r="607">
      <c r="A607" s="9" t="n">
        <v>604</v>
      </c>
      <c r="B607" s="10" t="inlineStr">
        <is>
          <t xml:space="preserve">        finally:</t>
        </is>
      </c>
    </row>
    <row r="608">
      <c r="A608" s="7" t="n">
        <v>605</v>
      </c>
      <c r="B608" s="8" t="inlineStr">
        <is>
          <t xml:space="preserve">            # cleanup</t>
        </is>
      </c>
    </row>
    <row r="609">
      <c r="A609" s="9" t="n">
        <v>606</v>
      </c>
      <c r="B609" s="10" t="inlineStr">
        <is>
          <t xml:space="preserve">            db = core.MaterialUsageTracker.DB_PATH</t>
        </is>
      </c>
    </row>
    <row r="610">
      <c r="A610" s="7" t="n">
        <v>607</v>
      </c>
      <c r="B610" s="8" t="inlineStr">
        <is>
          <t xml:space="preserve">            # Don't delete — it's the real DB. Just leave it.</t>
        </is>
      </c>
    </row>
    <row r="611">
      <c r="A611" s="9" t="n">
        <v>608</v>
      </c>
      <c r="B611" s="10" t="inlineStr">
        <is>
          <t xml:space="preserve">            pass</t>
        </is>
      </c>
    </row>
    <row r="612">
      <c r="A612" s="7" t="n">
        <v>609</v>
      </c>
      <c r="B612" s="8" t="inlineStr"/>
    </row>
    <row r="613">
      <c r="A613" s="9" t="n">
        <v>610</v>
      </c>
      <c r="B613" s="10" t="inlineStr"/>
    </row>
    <row r="614">
      <c r="A614" s="7" t="n">
        <v>611</v>
      </c>
      <c r="B614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615">
      <c r="A615" s="9" t="n">
        <v>612</v>
      </c>
      <c r="B615" s="10" t="inlineStr">
        <is>
          <t># 16. 草稿构建器 mock 测试</t>
        </is>
      </c>
    </row>
    <row r="616">
      <c r="A616" s="7" t="n">
        <v>613</v>
      </c>
      <c r="B616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617">
      <c r="A617" s="9" t="n">
        <v>614</v>
      </c>
      <c r="B617" s="10" t="inlineStr">
        <is>
          <t>class TestDraftBuilder(unittest.TestCase):</t>
        </is>
      </c>
    </row>
    <row r="618">
      <c r="A618" s="7" t="n">
        <v>615</v>
      </c>
      <c r="B618" s="8" t="inlineStr">
        <is>
          <t xml:space="preserve">    """core/draft.py — 需要 pyJianYingDraft"""</t>
        </is>
      </c>
    </row>
    <row r="619">
      <c r="A619" s="9" t="n">
        <v>616</v>
      </c>
      <c r="B619" s="10" t="inlineStr"/>
    </row>
    <row r="620">
      <c r="A620" s="7" t="n">
        <v>617</v>
      </c>
      <c r="B620" s="8" t="inlineStr">
        <is>
          <t xml:space="preserve">    def test_sec_to_us(self):</t>
        </is>
      </c>
    </row>
    <row r="621">
      <c r="A621" s="9" t="n">
        <v>618</v>
      </c>
      <c r="B621" s="10" t="inlineStr">
        <is>
          <t xml:space="preserve">        from core.draft import sec_to_us</t>
        </is>
      </c>
    </row>
    <row r="622">
      <c r="A622" s="7" t="n">
        <v>619</v>
      </c>
      <c r="B622" s="8" t="inlineStr">
        <is>
          <t xml:space="preserve">        self.assertEqual(sec_to_us(1.0), 1_000_000)</t>
        </is>
      </c>
    </row>
    <row r="623">
      <c r="A623" s="9" t="n">
        <v>620</v>
      </c>
      <c r="B623" s="10" t="inlineStr">
        <is>
          <t xml:space="preserve">        self.assertEqual(sec_to_us(0.5), 500_000)</t>
        </is>
      </c>
    </row>
    <row r="624">
      <c r="A624" s="7" t="n">
        <v>621</v>
      </c>
      <c r="B624" s="8" t="inlineStr"/>
    </row>
    <row r="625">
      <c r="A625" s="9" t="n">
        <v>622</v>
      </c>
      <c r="B625" s="10" t="inlineStr">
        <is>
          <t xml:space="preserve">    def test_builder_requires_pydraft(self):</t>
        </is>
      </c>
    </row>
    <row r="626">
      <c r="A626" s="7" t="n">
        <v>623</v>
      </c>
      <c r="B626" s="8" t="inlineStr">
        <is>
          <t xml:space="preserve">        """没有 pyJianYingDraft 时构建器应抛出 ImportError"""</t>
        </is>
      </c>
    </row>
    <row r="627">
      <c r="A627" s="9" t="n">
        <v>624</v>
      </c>
      <c r="B627" s="10" t="inlineStr">
        <is>
          <t xml:space="preserve">        try:</t>
        </is>
      </c>
    </row>
    <row r="628">
      <c r="A628" s="7" t="n">
        <v>625</v>
      </c>
      <c r="B628" s="8" t="inlineStr">
        <is>
          <t xml:space="preserve">            import pyJianYingDraft</t>
        </is>
      </c>
    </row>
    <row r="629">
      <c r="A629" s="9" t="n">
        <v>626</v>
      </c>
      <c r="B629" s="10" t="inlineStr">
        <is>
          <t xml:space="preserve">            self.skipTest("pyJianYingDraft 已安装 — 跳过此检查")</t>
        </is>
      </c>
    </row>
    <row r="630">
      <c r="A630" s="7" t="n">
        <v>627</v>
      </c>
      <c r="B630" s="8" t="inlineStr">
        <is>
          <t xml:space="preserve">        except ImportError:</t>
        </is>
      </c>
    </row>
    <row r="631">
      <c r="A631" s="9" t="n">
        <v>628</v>
      </c>
      <c r="B631" s="10" t="inlineStr">
        <is>
          <t xml:space="preserve">            from core.draft import JianyingDraftBuilder, _HAS_PYDRAFT</t>
        </is>
      </c>
    </row>
    <row r="632">
      <c r="A632" s="7" t="n">
        <v>629</v>
      </c>
      <c r="B632" s="8" t="inlineStr">
        <is>
          <t xml:space="preserve">            self.assertFalse(_HAS_PYDRAFT)</t>
        </is>
      </c>
    </row>
    <row r="633">
      <c r="A633" s="9" t="n">
        <v>630</v>
      </c>
      <c r="B633" s="10" t="inlineStr">
        <is>
          <t xml:space="preserve">            with self.assertRaises(ImportError):</t>
        </is>
      </c>
    </row>
    <row r="634">
      <c r="A634" s="7" t="n">
        <v>631</v>
      </c>
      <c r="B634" s="8" t="inlineStr">
        <is>
          <t xml:space="preserve">                JianyingDraftBuilder("test", "test")</t>
        </is>
      </c>
    </row>
    <row r="635">
      <c r="A635" s="9" t="n">
        <v>632</v>
      </c>
      <c r="B635" s="10" t="inlineStr"/>
    </row>
    <row r="636">
      <c r="A636" s="7" t="n">
        <v>633</v>
      </c>
      <c r="B636" s="8" t="inlineStr">
        <is>
          <t xml:space="preserve">    @unittest.skipUnless(</t>
        </is>
      </c>
    </row>
    <row r="637">
      <c r="A637" s="9" t="n">
        <v>634</v>
      </c>
      <c r="B637" s="10" t="inlineStr">
        <is>
          <t xml:space="preserve">        __import__('importlib.util', fromlist=['']).find_spec('pyJianYingDraft'),</t>
        </is>
      </c>
    </row>
    <row r="638">
      <c r="A638" s="7" t="n">
        <v>635</v>
      </c>
      <c r="B638" s="8" t="inlineStr">
        <is>
          <t xml:space="preserve">        "pyJianYingDraft 未安装")</t>
        </is>
      </c>
    </row>
    <row r="639">
      <c r="A639" s="9" t="n">
        <v>636</v>
      </c>
      <c r="B639" s="10" t="inlineStr">
        <is>
          <t xml:space="preserve">    def test_builder_basic(self):</t>
        </is>
      </c>
    </row>
    <row r="640">
      <c r="A640" s="7" t="n">
        <v>637</v>
      </c>
      <c r="B640" s="8" t="inlineStr">
        <is>
          <t xml:space="preserve">        """实际构建测试（需 pyJianYingDraft）"""</t>
        </is>
      </c>
    </row>
    <row r="641">
      <c r="A641" s="9" t="n">
        <v>638</v>
      </c>
      <c r="B641" s="10" t="inlineStr">
        <is>
          <t xml:space="preserve">        from core.draft import JianyingDraftBuilder, save_draft</t>
        </is>
      </c>
    </row>
    <row r="642">
      <c r="A642" s="7" t="n">
        <v>639</v>
      </c>
      <c r="B642" s="8" t="inlineStr">
        <is>
          <t xml:space="preserve">        import tempfile</t>
        </is>
      </c>
    </row>
    <row r="643">
      <c r="A643" s="9" t="n">
        <v>640</v>
      </c>
      <c r="B643" s="10" t="inlineStr">
        <is>
          <t xml:space="preserve">        builder = JianyingDraftBuilder("test_draft", "test_kw")</t>
        </is>
      </c>
    </row>
    <row r="644">
      <c r="A644" s="7" t="n">
        <v>641</v>
      </c>
      <c r="B644" s="8" t="inlineStr">
        <is>
          <t xml:space="preserve">        self.assertIsNotNone(builder.script)</t>
        </is>
      </c>
    </row>
    <row r="645">
      <c r="A645" s="9" t="n">
        <v>642</v>
      </c>
      <c r="B645" s="10" t="inlineStr">
        <is>
          <t xml:space="preserve">        self.assertIsNotNone(builder.draft_id)</t>
        </is>
      </c>
    </row>
    <row r="646">
      <c r="A646" s="7" t="n">
        <v>643</v>
      </c>
      <c r="B646" s="8" t="inlineStr"/>
    </row>
    <row r="647">
      <c r="A647" s="9" t="n">
        <v>644</v>
      </c>
      <c r="B647" s="10" t="inlineStr"/>
    </row>
    <row r="648">
      <c r="A648" s="7" t="n">
        <v>645</v>
      </c>
      <c r="B648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649">
      <c r="A649" s="9" t="n">
        <v>646</v>
      </c>
      <c r="B649" s="10" t="inlineStr">
        <is>
          <t># 17. TagMerger 测试</t>
        </is>
      </c>
    </row>
    <row r="650">
      <c r="A650" s="7" t="n">
        <v>647</v>
      </c>
      <c r="B650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651">
      <c r="A651" s="9" t="n">
        <v>648</v>
      </c>
      <c r="B651" s="10" t="inlineStr">
        <is>
          <t>class TestTagMerger(unittest.TestCase):</t>
        </is>
      </c>
    </row>
    <row r="652">
      <c r="A652" s="7" t="n">
        <v>649</v>
      </c>
      <c r="B652" s="8" t="inlineStr">
        <is>
          <t xml:space="preserve">    """core/tag_merger.py"""</t>
        </is>
      </c>
    </row>
    <row r="653">
      <c r="A653" s="9" t="n">
        <v>650</v>
      </c>
      <c r="B653" s="10" t="inlineStr"/>
    </row>
    <row r="654">
      <c r="A654" s="7" t="n">
        <v>651</v>
      </c>
      <c r="B654" s="8" t="inlineStr">
        <is>
          <t xml:space="preserve">    def test_merge_basic(self):</t>
        </is>
      </c>
    </row>
    <row r="655">
      <c r="A655" s="9" t="n">
        <v>652</v>
      </c>
      <c r="B655" s="10" t="inlineStr">
        <is>
          <t xml:space="preserve">        from core.tag_merger import TagMerger</t>
        </is>
      </c>
    </row>
    <row r="656">
      <c r="A656" s="7" t="n">
        <v>653</v>
      </c>
      <c r="B656" s="8" t="inlineStr">
        <is>
          <t xml:space="preserve">        tm = TagMerger()</t>
        </is>
      </c>
    </row>
    <row r="657">
      <c r="A657" s="9" t="n">
        <v>654</v>
      </c>
      <c r="B657" s="10" t="inlineStr">
        <is>
          <t xml:space="preserve">        result = tm.merge(</t>
        </is>
      </c>
    </row>
    <row r="658">
      <c r="A658" s="7" t="n">
        <v>655</v>
      </c>
      <c r="B658" s="8" t="inlineStr">
        <is>
          <t xml:space="preserve">            vl_result={"objects": ["抽屉", "烤箱"], "style": "极简风",</t>
        </is>
      </c>
    </row>
    <row r="659">
      <c r="A659" s="9" t="n">
        <v>656</v>
      </c>
      <c r="B659" s="10" t="inlineStr">
        <is>
          <t xml:space="preserve">                       "materials": ["岩板"], "colors": ["白色"]},</t>
        </is>
      </c>
    </row>
    <row r="660">
      <c r="A660" s="7" t="n">
        <v>657</v>
      </c>
      <c r="B660" s="8" t="inlineStr">
        <is>
          <t xml:space="preserve">            yolo_objects=["oven", "drawer"],</t>
        </is>
      </c>
    </row>
    <row r="661">
      <c r="A661" s="9" t="n">
        <v>658</v>
      </c>
      <c r="B661" s="10" t="inlineStr">
        <is>
          <t xml:space="preserve">            whisper_text="岛台展示视频",</t>
        </is>
      </c>
    </row>
    <row r="662">
      <c r="A662" s="7" t="n">
        <v>659</v>
      </c>
      <c r="B662" s="8" t="inlineStr">
        <is>
          <t xml:space="preserve">            filename="【岩板极简风】岛台展示.mp4"</t>
        </is>
      </c>
    </row>
    <row r="663">
      <c r="A663" s="9" t="n">
        <v>660</v>
      </c>
      <c r="B663" s="10" t="inlineStr">
        <is>
          <t xml:space="preserve">        )</t>
        </is>
      </c>
    </row>
    <row r="664">
      <c r="A664" s="7" t="n">
        <v>661</v>
      </c>
      <c r="B664" s="8" t="inlineStr">
        <is>
          <t xml:space="preserve">        self.assertIn("tags", result)</t>
        </is>
      </c>
    </row>
    <row r="665">
      <c r="A665" s="9" t="n">
        <v>662</v>
      </c>
      <c r="B665" s="10" t="inlineStr">
        <is>
          <t xml:space="preserve">        self.assertIn("style", result)</t>
        </is>
      </c>
    </row>
    <row r="666">
      <c r="A666" s="7" t="n">
        <v>663</v>
      </c>
      <c r="B666" s="8" t="inlineStr">
        <is>
          <t xml:space="preserve">        self.assertGreater(result["confidence"], 0)</t>
        </is>
      </c>
    </row>
    <row r="667">
      <c r="A667" s="9" t="n">
        <v>664</v>
      </c>
      <c r="B667" s="10" t="inlineStr"/>
    </row>
    <row r="668">
      <c r="A668" s="7" t="n">
        <v>665</v>
      </c>
      <c r="B668" s="8" t="inlineStr">
        <is>
          <t xml:space="preserve">    def test_merge_empty(self):</t>
        </is>
      </c>
    </row>
    <row r="669">
      <c r="A669" s="9" t="n">
        <v>666</v>
      </c>
      <c r="B669" s="10" t="inlineStr">
        <is>
          <t xml:space="preserve">        from core.tag_merger import TagMerger</t>
        </is>
      </c>
    </row>
    <row r="670">
      <c r="A670" s="7" t="n">
        <v>667</v>
      </c>
      <c r="B670" s="8" t="inlineStr">
        <is>
          <t xml:space="preserve">        tm = TagMerger()</t>
        </is>
      </c>
    </row>
    <row r="671">
      <c r="A671" s="9" t="n">
        <v>668</v>
      </c>
      <c r="B671" s="10" t="inlineStr">
        <is>
          <t xml:space="preserve">        result = tm.merge()</t>
        </is>
      </c>
    </row>
    <row r="672">
      <c r="A672" s="7" t="n">
        <v>669</v>
      </c>
      <c r="B672" s="8" t="inlineStr">
        <is>
          <t xml:space="preserve">        self.assertEqual(result["confidence"], 0)</t>
        </is>
      </c>
    </row>
    <row r="673">
      <c r="A673" s="9" t="n">
        <v>670</v>
      </c>
      <c r="B673" s="10" t="inlineStr"/>
    </row>
    <row r="674">
      <c r="A674" s="7" t="n">
        <v>671</v>
      </c>
      <c r="B674" s="8" t="inlineStr">
        <is>
          <t xml:space="preserve">    def test_canonicalize(self):</t>
        </is>
      </c>
    </row>
    <row r="675">
      <c r="A675" s="9" t="n">
        <v>672</v>
      </c>
      <c r="B675" s="10" t="inlineStr">
        <is>
          <t xml:space="preserve">        from core.tag_merger import TagMerger</t>
        </is>
      </c>
    </row>
    <row r="676">
      <c r="A676" s="7" t="n">
        <v>673</v>
      </c>
      <c r="B676" s="8" t="inlineStr">
        <is>
          <t xml:space="preserve">        tm = TagMerger()</t>
        </is>
      </c>
    </row>
    <row r="677">
      <c r="A677" s="9" t="n">
        <v>674</v>
      </c>
      <c r="B677" s="10" t="inlineStr">
        <is>
          <t xml:space="preserve">        # 别名应规范化</t>
        </is>
      </c>
    </row>
    <row r="678">
      <c r="A678" s="7" t="n">
        <v>675</v>
      </c>
      <c r="B678" s="8" t="inlineStr">
        <is>
          <t xml:space="preserve">        canonical = tm._canonicalize("中岛")</t>
        </is>
      </c>
    </row>
    <row r="679">
      <c r="A679" s="9" t="n">
        <v>676</v>
      </c>
      <c r="B679" s="10" t="inlineStr">
        <is>
          <t xml:space="preserve">        self.assertIsInstance(canonical, str)</t>
        </is>
      </c>
    </row>
    <row r="680">
      <c r="A680" s="7" t="n">
        <v>677</v>
      </c>
      <c r="B680" s="8" t="inlineStr"/>
    </row>
    <row r="681">
      <c r="A681" s="9" t="n">
        <v>678</v>
      </c>
      <c r="B681" s="10" t="inlineStr"/>
    </row>
    <row r="682">
      <c r="A682" s="7" t="n">
        <v>679</v>
      </c>
      <c r="B682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683">
      <c r="A683" s="9" t="n">
        <v>680</v>
      </c>
      <c r="B683" s="10" t="inlineStr">
        <is>
          <t># 运行</t>
        </is>
      </c>
    </row>
    <row r="684">
      <c r="A684" s="7" t="n">
        <v>681</v>
      </c>
      <c r="B684" s="8" t="inlineStr">
        <is>
          <t># ═══════════════════════════════════════════════════════════</t>
        </is>
      </c>
    </row>
    <row r="685">
      <c r="A685" s="9" t="n">
        <v>682</v>
      </c>
      <c r="B685" s="10" t="inlineStr">
        <is>
          <t>if __name__ == "__main__":</t>
        </is>
      </c>
    </row>
    <row r="686">
      <c r="A686" s="7" t="n">
        <v>683</v>
      </c>
      <c r="B686" s="8" t="inlineStr">
        <is>
          <t xml:space="preserve">    print("=" * 60)</t>
        </is>
      </c>
    </row>
    <row r="687">
      <c r="A687" s="9" t="n">
        <v>684</v>
      </c>
      <c r="B687" s="10" t="inlineStr">
        <is>
          <t xml:space="preserve">    print("  树剪 TreeCut — 核心函数全面测试")</t>
        </is>
      </c>
    </row>
    <row r="688">
      <c r="A688" s="7" t="n">
        <v>685</v>
      </c>
      <c r="B688" s="8" t="inlineStr">
        <is>
          <t xml:space="preserve">    print("=" * 60)</t>
        </is>
      </c>
    </row>
    <row r="689">
      <c r="A689" s="9" t="n">
        <v>686</v>
      </c>
      <c r="B689" s="10" t="inlineStr">
        <is>
          <t xml:space="preserve">    unittest.main(verbosity=2)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tests\test_local_models.py</t>
        </is>
      </c>
      <c r="C1" s="5" t="inlineStr">
        <is>
          <t>行数: 43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"""测试本地模型加载和推理"""</t>
        </is>
      </c>
    </row>
    <row r="5">
      <c r="A5" s="9" t="n">
        <v>2</v>
      </c>
      <c r="B5" s="10" t="inlineStr">
        <is>
          <t>import sys, os, time, unittest</t>
        </is>
      </c>
    </row>
    <row r="6">
      <c r="A6" s="7" t="n">
        <v>3</v>
      </c>
      <c r="B6" s="8" t="inlineStr">
        <is>
          <t>from pathlib import Path</t>
        </is>
      </c>
    </row>
    <row r="7">
      <c r="A7" s="9" t="n">
        <v>4</v>
      </c>
      <c r="B7" s="10" t="inlineStr">
        <is>
          <t>sys.path.insert(0, str(Path(__file__).parent.parent))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class TestModelDownloader(unittest.TestCase):</t>
        </is>
      </c>
    </row>
    <row r="10">
      <c r="A10" s="7" t="n">
        <v>7</v>
      </c>
      <c r="B10" s="8" t="inlineStr">
        <is>
          <t xml:space="preserve">    def test_list_models(self):</t>
        </is>
      </c>
    </row>
    <row r="11">
      <c r="A11" s="9" t="n">
        <v>8</v>
      </c>
      <c r="B11" s="10" t="inlineStr">
        <is>
          <t xml:space="preserve">        from utils.model_downloader import list_available, ensure_model_available, MODEL_HF</t>
        </is>
      </c>
    </row>
    <row r="12">
      <c r="A12" s="7" t="n">
        <v>9</v>
      </c>
      <c r="B12" s="8" t="inlineStr">
        <is>
          <t xml:space="preserve">        self.assertGreater(len(MODEL_HF), 3)</t>
        </is>
      </c>
    </row>
    <row r="13">
      <c r="A13" s="9" t="n">
        <v>10</v>
      </c>
      <c r="B13" s="10" t="inlineStr">
        <is>
          <t xml:space="preserve">        ok = ensure_model_available("qwen2.5-ollama")</t>
        </is>
      </c>
    </row>
    <row r="14">
      <c r="A14" s="7" t="n">
        <v>11</v>
      </c>
      <c r="B14" s="8" t="inlineStr">
        <is>
          <t xml:space="preserve">        print(f"Default model available: {ok}")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class TestVisionV2(unittest.TestCase):</t>
        </is>
      </c>
    </row>
    <row r="17">
      <c r="A17" s="9" t="n">
        <v>14</v>
      </c>
      <c r="B17" s="10" t="inlineStr">
        <is>
          <t xml:space="preserve">    def test_default_model(self):</t>
        </is>
      </c>
    </row>
    <row r="18">
      <c r="A18" s="7" t="n">
        <v>15</v>
      </c>
      <c r="B18" s="8" t="inlineStr">
        <is>
          <t xml:space="preserve">        from core.vision_unified import VisionModel</t>
        </is>
      </c>
    </row>
    <row r="19">
      <c r="A19" s="9" t="n">
        <v>16</v>
      </c>
      <c r="B19" s="10" t="inlineStr">
        <is>
          <t xml:space="preserve">        v = VisionModel()</t>
        </is>
      </c>
    </row>
    <row r="20">
      <c r="A20" s="7" t="n">
        <v>17</v>
      </c>
      <c r="B20" s="8" t="inlineStr">
        <is>
          <t xml:space="preserve">        self.assertTrue(v.available)</t>
        </is>
      </c>
    </row>
    <row r="21">
      <c r="A21" s="9" t="n">
        <v>18</v>
      </c>
      <c r="B21" s="10" t="inlineStr">
        <is>
          <t xml:space="preserve">        print(f"Model: {v.model_name}, available={v.available}")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>
        <is>
          <t xml:space="preserve">    def test_inference(self):</t>
        </is>
      </c>
    </row>
    <row r="24">
      <c r="A24" s="7" t="n">
        <v>21</v>
      </c>
      <c r="B24" s="8" t="inlineStr">
        <is>
          <t xml:space="preserve">        from core.vision_unified import VisionModel</t>
        </is>
      </c>
    </row>
    <row r="25">
      <c r="A25" s="9" t="n">
        <v>22</v>
      </c>
      <c r="B25" s="10" t="inlineStr">
        <is>
          <t xml:space="preserve">        v = VisionModel()</t>
        </is>
      </c>
    </row>
    <row r="26">
      <c r="A26" s="7" t="n">
        <v>23</v>
      </c>
      <c r="B26" s="8" t="inlineStr">
        <is>
          <t xml:space="preserve">        if not v.available: self.skipTest("No model available")</t>
        </is>
      </c>
    </row>
    <row r="27">
      <c r="A27" s="9" t="n">
        <v>24</v>
      </c>
      <c r="B27" s="10" t="inlineStr">
        <is>
          <t xml:space="preserve">        # Find a test image</t>
        </is>
      </c>
    </row>
    <row r="28">
      <c r="A28" s="7" t="n">
        <v>25</v>
      </c>
      <c r="B28" s="8" t="inlineStr">
        <is>
          <t xml:space="preserve">        img = None</t>
        </is>
      </c>
    </row>
    <row r="29">
      <c r="A29" s="9" t="n">
        <v>26</v>
      </c>
      <c r="B29" s="10" t="inlineStr">
        <is>
          <t xml:space="preserve">        for root, dirs, files in os.walk(r"Z:\已处理素材"):</t>
        </is>
      </c>
    </row>
    <row r="30">
      <c r="A30" s="7" t="n">
        <v>27</v>
      </c>
      <c r="B30" s="8" t="inlineStr">
        <is>
          <t xml:space="preserve">            for f in files:</t>
        </is>
      </c>
    </row>
    <row r="31">
      <c r="A31" s="9" t="n">
        <v>28</v>
      </c>
      <c r="B31" s="10" t="inlineStr">
        <is>
          <t xml:space="preserve">                if f.endswith(".mp4"):</t>
        </is>
      </c>
    </row>
    <row r="32">
      <c r="A32" s="7" t="n">
        <v>29</v>
      </c>
      <c r="B32" s="8" t="inlineStr">
        <is>
          <t xml:space="preserve">                    import subprocess, tempfile</t>
        </is>
      </c>
    </row>
    <row r="33">
      <c r="A33" s="9" t="n">
        <v>30</v>
      </c>
      <c r="B33" s="10" t="inlineStr">
        <is>
          <t xml:space="preserve">                    vp = os.path.join(root, f)</t>
        </is>
      </c>
    </row>
    <row r="34">
      <c r="A34" s="7" t="n">
        <v>31</v>
      </c>
      <c r="B34" s="8" t="inlineStr">
        <is>
          <t xml:space="preserve">                    tmp = tempfile.mktemp(suffix=".jpg")</t>
        </is>
      </c>
    </row>
    <row r="35">
      <c r="A35" s="9" t="n">
        <v>32</v>
      </c>
      <c r="B35" s="10" t="inlineStr">
        <is>
          <t xml:space="preserve">                    subprocess.run(["ffmpeg","-y","-i",vp,"-vframes","1","-q:v","2",tmp],capture_output=True,timeout=10)</t>
        </is>
      </c>
    </row>
    <row r="36">
      <c r="A36" s="7" t="n">
        <v>33</v>
      </c>
      <c r="B36" s="8" t="inlineStr">
        <is>
          <t xml:space="preserve">                    if os.path.exists(tmp): img = tmp; break</t>
        </is>
      </c>
    </row>
    <row r="37">
      <c r="A37" s="9" t="n">
        <v>34</v>
      </c>
      <c r="B37" s="10" t="inlineStr">
        <is>
          <t xml:space="preserve">            if img: break</t>
        </is>
      </c>
    </row>
    <row r="38">
      <c r="A38" s="7" t="n">
        <v>35</v>
      </c>
      <c r="B38" s="8" t="inlineStr">
        <is>
          <t xml:space="preserve">        if not img: self.skipTest("No image"); return</t>
        </is>
      </c>
    </row>
    <row r="39">
      <c r="A39" s="9" t="n">
        <v>36</v>
      </c>
      <c r="B39" s="10" t="inlineStr">
        <is>
          <t xml:space="preserve">        t0 = time.time()</t>
        </is>
      </c>
    </row>
    <row r="40">
      <c r="A40" s="7" t="n">
        <v>37</v>
      </c>
      <c r="B40" s="8" t="inlineStr">
        <is>
          <t xml:space="preserve">        result = v.analyze(img)</t>
        </is>
      </c>
    </row>
    <row r="41">
      <c r="A41" s="9" t="n">
        <v>38</v>
      </c>
      <c r="B41" s="10" t="inlineStr">
        <is>
          <t xml:space="preserve">        elapsed = time.time() - t0</t>
        </is>
      </c>
    </row>
    <row r="42">
      <c r="A42" s="7" t="n">
        <v>39</v>
      </c>
      <c r="B42" s="8" t="inlineStr">
        <is>
          <t xml:space="preserve">        print(f"Inference: {len(result)} keys in {elapsed:.1f}s")</t>
        </is>
      </c>
    </row>
    <row r="43">
      <c r="A43" s="9" t="n">
        <v>40</v>
      </c>
      <c r="B43" s="10" t="inlineStr">
        <is>
          <t xml:space="preserve">        os.remove(img)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>if __name__ == "__main__":</t>
        </is>
      </c>
    </row>
    <row r="46">
      <c r="A46" s="7" t="n">
        <v>43</v>
      </c>
      <c r="B46" s="8" t="inlineStr">
        <is>
          <t xml:space="preserve">    unittest.main(verbosity=2)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tests\test_v5_upgrade.py</t>
        </is>
      </c>
      <c r="C1" s="5" t="inlineStr">
        <is>
          <t>行数: 85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"""V3.5 升级验证测试"""</t>
        </is>
      </c>
    </row>
    <row r="5">
      <c r="A5" s="9" t="n">
        <v>2</v>
      </c>
      <c r="B5" s="10" t="inlineStr">
        <is>
          <t>import sys, os, json, time, unittest</t>
        </is>
      </c>
    </row>
    <row r="6">
      <c r="A6" s="7" t="n">
        <v>3</v>
      </c>
      <c r="B6" s="8" t="inlineStr">
        <is>
          <t>from pathlib import Path</t>
        </is>
      </c>
    </row>
    <row r="7">
      <c r="A7" s="9" t="n">
        <v>4</v>
      </c>
      <c r="B7" s="10" t="inlineStr">
        <is>
          <t>sys.path.insert(0, str(Path(__file__).parent.parent))</t>
        </is>
      </c>
    </row>
    <row r="8">
      <c r="A8" s="7" t="n">
        <v>5</v>
      </c>
      <c r="B8" s="8" t="inlineStr"/>
    </row>
    <row r="9">
      <c r="A9" s="9" t="n">
        <v>6</v>
      </c>
      <c r="B9" s="10" t="inlineStr"/>
    </row>
    <row r="10">
      <c r="A10" s="7" t="n">
        <v>7</v>
      </c>
      <c r="B10" s="8" t="inlineStr">
        <is>
          <t>class TestVisionManager(unittest.TestCase):</t>
        </is>
      </c>
    </row>
    <row r="11">
      <c r="A11" s="9" t="n">
        <v>8</v>
      </c>
      <c r="B11" s="10" t="inlineStr">
        <is>
          <t xml:space="preserve">    def test_load_models(self):</t>
        </is>
      </c>
    </row>
    <row r="12">
      <c r="A12" s="7" t="n">
        <v>9</v>
      </c>
      <c r="B12" s="8" t="inlineStr">
        <is>
          <t xml:space="preserve">        from core.vision_unified import VisionModel</t>
        </is>
      </c>
    </row>
    <row r="13">
      <c r="A13" s="9" t="n">
        <v>10</v>
      </c>
      <c r="B13" s="10" t="inlineStr">
        <is>
          <t xml:space="preserve">        v = VisionModel()</t>
        </is>
      </c>
    </row>
    <row r="14">
      <c r="A14" s="7" t="n">
        <v>11</v>
      </c>
      <c r="B14" s="8" t="inlineStr">
        <is>
          <t xml:space="preserve">        available = v.available</t>
        </is>
      </c>
    </row>
    <row r="15">
      <c r="A15" s="9" t="n">
        <v>12</v>
      </c>
      <c r="B15" s="10" t="inlineStr">
        <is>
          <t xml:space="preserve">        print(f"VisionModel available: {available}")</t>
        </is>
      </c>
    </row>
    <row r="16">
      <c r="A16" s="7" t="n">
        <v>13</v>
      </c>
      <c r="B16" s="8" t="inlineStr">
        <is>
          <t xml:space="preserve">        self.assertTrue(available, "VisionModel should be available (Ollama or local)")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 xml:space="preserve">    def test_config_toggle(self):</t>
        </is>
      </c>
    </row>
    <row r="19">
      <c r="A19" s="9" t="n">
        <v>16</v>
      </c>
      <c r="B19" s="10" t="inlineStr">
        <is>
          <t xml:space="preserve">        import os</t>
        </is>
      </c>
    </row>
    <row r="20">
      <c r="A20" s="7" t="n">
        <v>17</v>
      </c>
      <c r="B20" s="8" t="inlineStr">
        <is>
          <t xml:space="preserve">        model_name = os.environ.get("TREECUT_VISION_MODEL", "qwen2.5-ollama")</t>
        </is>
      </c>
    </row>
    <row r="21">
      <c r="A21" s="9" t="n">
        <v>18</v>
      </c>
      <c r="B21" s="10" t="inlineStr">
        <is>
          <t xml:space="preserve">        self.assertIn(model_name, ["qwen2.5-ollama", "qwen3-3b", "qwen3-7b", "florence2", "kimi-vl"])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class TestAutoLabeler(unittest.TestCase):</t>
        </is>
      </c>
    </row>
    <row r="25">
      <c r="A25" s="9" t="n">
        <v>22</v>
      </c>
      <c r="B25" s="10" t="inlineStr">
        <is>
          <t xml:space="preserve">    def test_schema_init(self):</t>
        </is>
      </c>
    </row>
    <row r="26">
      <c r="A26" s="7" t="n">
        <v>23</v>
      </c>
      <c r="B26" s="8" t="inlineStr">
        <is>
          <t xml:space="preserve">        from core.frame_annotator import AnnotDB</t>
        </is>
      </c>
    </row>
    <row r="27">
      <c r="A27" s="9" t="n">
        <v>24</v>
      </c>
      <c r="B27" s="10" t="inlineStr">
        <is>
          <t xml:space="preserve">        db = AnnotDB()</t>
        </is>
      </c>
    </row>
    <row r="28">
      <c r="A28" s="7" t="n">
        <v>25</v>
      </c>
      <c r="B28" s="8" t="inlineStr">
        <is>
          <t xml:space="preserve">        stats = db.get_stats()</t>
        </is>
      </c>
    </row>
    <row r="29">
      <c r="A29" s="9" t="n">
        <v>26</v>
      </c>
      <c r="B29" s="10" t="inlineStr">
        <is>
          <t xml:space="preserve">        self.assertIn("total_frames", stats)</t>
        </is>
      </c>
    </row>
    <row r="30">
      <c r="A30" s="7" t="n">
        <v>27</v>
      </c>
      <c r="B30" s="8" t="inlineStr">
        <is>
          <t xml:space="preserve">        print(f"AnnotDB stats: {stats}")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 xml:space="preserve">    def test_quick_analyze(self):</t>
        </is>
      </c>
    </row>
    <row r="33">
      <c r="A33" s="9" t="n">
        <v>30</v>
      </c>
      <c r="B33" s="10" t="inlineStr">
        <is>
          <t xml:space="preserve">        """快速测试: 验证流程不崩溃"""</t>
        </is>
      </c>
    </row>
    <row r="34">
      <c r="A34" s="7" t="n">
        <v>31</v>
      </c>
      <c r="B34" s="8" t="inlineStr">
        <is>
          <t xml:space="preserve">        from core.frame_annotator import FrameAnnotator</t>
        </is>
      </c>
    </row>
    <row r="35">
      <c r="A35" s="9" t="n">
        <v>32</v>
      </c>
      <c r="B35" s="10" t="inlineStr">
        <is>
          <t xml:space="preserve">        annotator = FrameAnnotator()</t>
        </is>
      </c>
    </row>
    <row r="36">
      <c r="A36" s="7" t="n">
        <v>33</v>
      </c>
      <c r="B36" s="8" t="inlineStr">
        <is>
          <t xml:space="preserve">        # 找一个测试视频</t>
        </is>
      </c>
    </row>
    <row r="37">
      <c r="A37" s="9" t="n">
        <v>34</v>
      </c>
      <c r="B37" s="10" t="inlineStr">
        <is>
          <t xml:space="preserve">        test_video = None</t>
        </is>
      </c>
    </row>
    <row r="38">
      <c r="A38" s="7" t="n">
        <v>35</v>
      </c>
      <c r="B38" s="8" t="inlineStr">
        <is>
          <t xml:space="preserve">        import subprocess, tempfile</t>
        </is>
      </c>
    </row>
    <row r="39">
      <c r="A39" s="9" t="n">
        <v>36</v>
      </c>
      <c r="B39" s="10" t="inlineStr">
        <is>
          <t xml:space="preserve">        for root, dirs, files in os.walk(r"Z:\已处理素材"):</t>
        </is>
      </c>
    </row>
    <row r="40">
      <c r="A40" s="7" t="n">
        <v>37</v>
      </c>
      <c r="B40" s="8" t="inlineStr">
        <is>
          <t xml:space="preserve">            for f in files:</t>
        </is>
      </c>
    </row>
    <row r="41">
      <c r="A41" s="9" t="n">
        <v>38</v>
      </c>
      <c r="B41" s="10" t="inlineStr">
        <is>
          <t xml:space="preserve">                if f.endswith(".mp4"):</t>
        </is>
      </c>
    </row>
    <row r="42">
      <c r="A42" s="7" t="n">
        <v>39</v>
      </c>
      <c r="B42" s="8" t="inlineStr">
        <is>
          <t xml:space="preserve">                    test_video = os.path.join(root, f)</t>
        </is>
      </c>
    </row>
    <row r="43">
      <c r="A43" s="9" t="n">
        <v>40</v>
      </c>
      <c r="B43" s="10" t="inlineStr">
        <is>
          <t xml:space="preserve">                    if os.path.getsize(test_video) &lt; 50*1024*1024:  # &lt;50MB</t>
        </is>
      </c>
    </row>
    <row r="44">
      <c r="A44" s="7" t="n">
        <v>41</v>
      </c>
      <c r="B44" s="8" t="inlineStr">
        <is>
          <t xml:space="preserve">                        break</t>
        </is>
      </c>
    </row>
    <row r="45">
      <c r="A45" s="9" t="n">
        <v>42</v>
      </c>
      <c r="B45" s="10" t="inlineStr">
        <is>
          <t xml:space="preserve">            if test_video: break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    if not test_video:</t>
        </is>
      </c>
    </row>
    <row r="48">
      <c r="A48" s="7" t="n">
        <v>45</v>
      </c>
      <c r="B48" s="8" t="inlineStr">
        <is>
          <t xml:space="preserve">            self.skipTest("No test video found")</t>
        </is>
      </c>
    </row>
    <row r="49">
      <c r="A49" s="9" t="n">
        <v>46</v>
      </c>
      <c r="B49" s="10" t="inlineStr">
        <is>
          <t xml:space="preserve">            return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    t0 = time.time()</t>
        </is>
      </c>
    </row>
    <row r="52">
      <c r="A52" s="7" t="n">
        <v>49</v>
      </c>
      <c r="B52" s="8" t="inlineStr">
        <is>
          <t xml:space="preserve">        n = annotator.extract_frames(test_video, interval=2.0, max_frames=5)</t>
        </is>
      </c>
    </row>
    <row r="53">
      <c r="A53" s="9" t="n">
        <v>50</v>
      </c>
      <c r="B53" s="10" t="inlineStr">
        <is>
          <t xml:space="preserve">        elapsed = time.time() - t0</t>
        </is>
      </c>
    </row>
    <row r="54">
      <c r="A54" s="7" t="n">
        <v>51</v>
      </c>
      <c r="B54" s="8" t="inlineStr">
        <is>
          <t xml:space="preserve">        print(f"Extracted {n} frames in {elapsed:.1f}s")</t>
        </is>
      </c>
    </row>
    <row r="55">
      <c r="A55" s="9" t="n">
        <v>52</v>
      </c>
      <c r="B55" s="10" t="inlineStr">
        <is>
          <t xml:space="preserve">        self.assertGreaterEqual(n, 0)</t>
        </is>
      </c>
    </row>
    <row r="56">
      <c r="A56" s="7" t="n">
        <v>53</v>
      </c>
      <c r="B56" s="8" t="inlineStr">
        <is>
          <t xml:space="preserve">        # Clean up</t>
        </is>
      </c>
    </row>
    <row r="57">
      <c r="A57" s="9" t="n">
        <v>54</v>
      </c>
      <c r="B57" s="10" t="inlineStr">
        <is>
          <t xml:space="preserve">        annotator.cleanup()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/>
    </row>
    <row r="60">
      <c r="A60" s="7" t="n">
        <v>57</v>
      </c>
      <c r="B60" s="8" t="inlineStr">
        <is>
          <t>class TestSmartMatcher(unittest.TestCase):</t>
        </is>
      </c>
    </row>
    <row r="61">
      <c r="A61" s="9" t="n">
        <v>58</v>
      </c>
      <c r="B61" s="10" t="inlineStr">
        <is>
          <t xml:space="preserve">    def test_search(self):</t>
        </is>
      </c>
    </row>
    <row r="62">
      <c r="A62" s="7" t="n">
        <v>59</v>
      </c>
      <c r="B62" s="8" t="inlineStr">
        <is>
          <t xml:space="preserve">        from material_engine_v3.core.smart_matcher import SmartMatcher</t>
        </is>
      </c>
    </row>
    <row r="63">
      <c r="A63" s="9" t="n">
        <v>60</v>
      </c>
      <c r="B63" s="10" t="inlineStr">
        <is>
          <t xml:space="preserve">        matcher = SmartMatcher()</t>
        </is>
      </c>
    </row>
    <row r="64">
      <c r="A64" s="7" t="n">
        <v>61</v>
      </c>
      <c r="B64" s="8" t="inlineStr">
        <is>
          <t xml:space="preserve">        results = matcher.search("岩板台面 潘多拉", top_k=5)</t>
        </is>
      </c>
    </row>
    <row r="65">
      <c r="A65" s="9" t="n">
        <v>62</v>
      </c>
      <c r="B65" s="10" t="inlineStr">
        <is>
          <t xml:space="preserve">        print(f"Search found: {len(results)} results")</t>
        </is>
      </c>
    </row>
    <row r="66">
      <c r="A66" s="7" t="n">
        <v>63</v>
      </c>
      <c r="B66" s="8" t="inlineStr">
        <is>
          <t xml:space="preserve">        if results:</t>
        </is>
      </c>
    </row>
    <row r="67">
      <c r="A67" s="9" t="n">
        <v>64</v>
      </c>
      <c r="B67" s="10" t="inlineStr">
        <is>
          <t xml:space="preserve">            self.assertIn("video_path", results[0])</t>
        </is>
      </c>
    </row>
    <row r="68">
      <c r="A68" s="7" t="n">
        <v>65</v>
      </c>
      <c r="B68" s="8" t="inlineStr">
        <is>
          <t xml:space="preserve">            self.assertIn("match_method", results[0])</t>
        </is>
      </c>
    </row>
    <row r="69">
      <c r="A69" s="9" t="n">
        <v>66</v>
      </c>
      <c r="B69" s="10" t="inlineStr"/>
    </row>
    <row r="70">
      <c r="A70" s="7" t="n">
        <v>67</v>
      </c>
      <c r="B70" s="8" t="inlineStr">
        <is>
          <t xml:space="preserve">    def test_search_by_copy(self):</t>
        </is>
      </c>
    </row>
    <row r="71">
      <c r="A71" s="9" t="n">
        <v>68</v>
      </c>
      <c r="B71" s="10" t="inlineStr">
        <is>
          <t xml:space="preserve">        from material_engine_v3.core.smart_matcher import SmartMatcher</t>
        </is>
      </c>
    </row>
    <row r="72">
      <c r="A72" s="7" t="n">
        <v>69</v>
      </c>
      <c r="B72" s="8" t="inlineStr">
        <is>
          <t xml:space="preserve">        matcher = SmartMatcher()</t>
        </is>
      </c>
    </row>
    <row r="73">
      <c r="A73" s="9" t="n">
        <v>70</v>
      </c>
      <c r="B73" s="10" t="inlineStr">
        <is>
          <t xml:space="preserve">        clips = matcher.search_by_copy("岩板台面潘多拉哑光, 意式中古风岛台", num_clips=3)</t>
        </is>
      </c>
    </row>
    <row r="74">
      <c r="A74" s="7" t="n">
        <v>71</v>
      </c>
      <c r="B74" s="8" t="inlineStr">
        <is>
          <t xml:space="preserve">        print(f"Copy match: {len(clips)} clips")</t>
        </is>
      </c>
    </row>
    <row r="75">
      <c r="A75" s="9" t="n">
        <v>72</v>
      </c>
      <c r="B75" s="10" t="inlineStr">
        <is>
          <t xml:space="preserve">        self.assertLessEqual(len(clips), 3)</t>
        </is>
      </c>
    </row>
    <row r="76">
      <c r="A76" s="7" t="n">
        <v>73</v>
      </c>
      <c r="B76" s="8" t="inlineStr"/>
    </row>
    <row r="77">
      <c r="A77" s="9" t="n">
        <v>74</v>
      </c>
      <c r="B77" s="10" t="inlineStr"/>
    </row>
    <row r="78">
      <c r="A78" s="7" t="n">
        <v>75</v>
      </c>
      <c r="B78" s="8" t="inlineStr">
        <is>
          <t>class TestPipelineIntegration(unittest.TestCase):</t>
        </is>
      </c>
    </row>
    <row r="79">
      <c r="A79" s="9" t="n">
        <v>76</v>
      </c>
      <c r="B79" s="10" t="inlineStr">
        <is>
          <t xml:space="preserve">    def test_ai_match_clips(self):</t>
        </is>
      </c>
    </row>
    <row r="80">
      <c r="A80" s="7" t="n">
        <v>77</v>
      </c>
      <c r="B80" s="8" t="inlineStr">
        <is>
          <t xml:space="preserve">        from core.pipeline import ai_match_clips</t>
        </is>
      </c>
    </row>
    <row r="81">
      <c r="A81" s="9" t="n">
        <v>78</v>
      </c>
      <c r="B81" s="10" t="inlineStr">
        <is>
          <t xml:space="preserve">        clips = ai_match_clips("奶油风伸缩岩板岛台", num_clips=4)</t>
        </is>
      </c>
    </row>
    <row r="82">
      <c r="A82" s="7" t="n">
        <v>79</v>
      </c>
      <c r="B82" s="8" t="inlineStr">
        <is>
          <t xml:space="preserve">        print(f"Pipeline match: {len(clips)} clips")</t>
        </is>
      </c>
    </row>
    <row r="83">
      <c r="A83" s="9" t="n">
        <v>80</v>
      </c>
      <c r="B83" s="10" t="inlineStr">
        <is>
          <t xml:space="preserve">        # 即使无AI库, 也应返回空列表而非崩溃</t>
        </is>
      </c>
    </row>
    <row r="84">
      <c r="A84" s="7" t="n">
        <v>81</v>
      </c>
      <c r="B84" s="8" t="inlineStr">
        <is>
          <t xml:space="preserve">        self.assertIsInstance(clips, list)</t>
        </is>
      </c>
    </row>
    <row r="85">
      <c r="A85" s="9" t="n">
        <v>82</v>
      </c>
      <c r="B85" s="10" t="inlineStr"/>
    </row>
    <row r="86">
      <c r="A86" s="7" t="n">
        <v>83</v>
      </c>
      <c r="B86" s="8" t="inlineStr"/>
    </row>
    <row r="87">
      <c r="A87" s="9" t="n">
        <v>84</v>
      </c>
      <c r="B87" s="10" t="inlineStr">
        <is>
          <t>if __name__ == "__main__":</t>
        </is>
      </c>
    </row>
    <row r="88">
      <c r="A88" s="7" t="n">
        <v>85</v>
      </c>
      <c r="B88" s="8" t="inlineStr">
        <is>
          <t xml:space="preserve">    unittest.main(verbosity=2)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ui\__init__.py</t>
        </is>
      </c>
      <c r="C1" s="5" t="inlineStr">
        <is>
          <t>行数: 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 树剪 TreeCut — 用户界面层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ui\background_scanner_window.py</t>
        </is>
      </c>
      <c r="C1" s="5" t="inlineStr">
        <is>
          <t>行数: 624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v11.2 — 后台素材扫描监控窗口</t>
        </is>
      </c>
    </row>
    <row r="6">
      <c r="A6" s="7" t="n">
        <v>3</v>
      </c>
      <c r="B6" s="8">
        <f>=========================================</f>
        <v/>
      </c>
    </row>
    <row r="7">
      <c r="A7" s="9" t="n">
        <v>4</v>
      </c>
      <c r="B7" s="10" t="inlineStr">
        <is>
          <t>独立的 Tkinter Toplevel 窗口，展示全盘视频扫描进度。</t>
        </is>
      </c>
    </row>
    <row r="8">
      <c r="A8" s="7" t="n">
        <v>5</v>
      </c>
      <c r="B8" s="8" t="inlineStr">
        <is>
          <t>支持: 开始/暂停/继续/停止，实时日志，配置选项。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import os</t>
        </is>
      </c>
    </row>
    <row r="12">
      <c r="A12" s="7" t="n">
        <v>9</v>
      </c>
      <c r="B12" s="8" t="inlineStr">
        <is>
          <t>import sys</t>
        </is>
      </c>
    </row>
    <row r="13">
      <c r="A13" s="9" t="n">
        <v>10</v>
      </c>
      <c r="B13" s="10" t="inlineStr">
        <is>
          <t>import json</t>
        </is>
      </c>
    </row>
    <row r="14">
      <c r="A14" s="7" t="n">
        <v>11</v>
      </c>
      <c r="B14" s="8" t="inlineStr">
        <is>
          <t>import time</t>
        </is>
      </c>
    </row>
    <row r="15">
      <c r="A15" s="9" t="n">
        <v>12</v>
      </c>
      <c r="B15" s="10" t="inlineStr">
        <is>
          <t>import queue</t>
        </is>
      </c>
    </row>
    <row r="16">
      <c r="A16" s="7" t="n">
        <v>13</v>
      </c>
      <c r="B16" s="8" t="inlineStr">
        <is>
          <t>import threading</t>
        </is>
      </c>
    </row>
    <row r="17">
      <c r="A17" s="9" t="n">
        <v>14</v>
      </c>
      <c r="B17" s="10" t="inlineStr">
        <is>
          <t>from pathlib import Path</t>
        </is>
      </c>
    </row>
    <row r="18">
      <c r="A18" s="7" t="n">
        <v>15</v>
      </c>
      <c r="B18" s="8" t="inlineStr">
        <is>
          <t>from datetime import datetime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sys.path.insert(0, str(Path(__file__).parent.parent))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>import tkinter as tk</t>
        </is>
      </c>
    </row>
    <row r="23">
      <c r="A23" s="9" t="n">
        <v>20</v>
      </c>
      <c r="B23" s="10" t="inlineStr">
        <is>
          <t>from tkinter import messagebox, filedialog, scrolledtext</t>
        </is>
      </c>
    </row>
    <row r="24">
      <c r="A24" s="7" t="n">
        <v>21</v>
      </c>
      <c r="B24" s="8" t="inlineStr">
        <is>
          <t>import ttkbootstrap as tb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from ui.rounded_button import RoundedButton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class BackgroundScannerWindow:</t>
        </is>
      </c>
    </row>
    <row r="30">
      <c r="A30" s="7" t="n">
        <v>27</v>
      </c>
      <c r="B30" s="8" t="inlineStr">
        <is>
          <t xml:space="preserve">    """</t>
        </is>
      </c>
    </row>
    <row r="31">
      <c r="A31" s="9" t="n">
        <v>28</v>
      </c>
      <c r="B31" s="10" t="inlineStr">
        <is>
          <t xml:space="preserve">    后台全盘素材扫描监控窗口。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 xml:space="preserve">    用法:</t>
        </is>
      </c>
    </row>
    <row r="34">
      <c r="A34" s="7" t="n">
        <v>31</v>
      </c>
      <c r="B34" s="8" t="inlineStr">
        <is>
          <t xml:space="preserve">        win = BackgroundScannerWindow(parent_root)</t>
        </is>
      </c>
    </row>
    <row r="35">
      <c r="A35" s="9" t="n">
        <v>32</v>
      </c>
      <c r="B35" s="10" t="inlineStr">
        <is>
          <t xml:space="preserve">        # 窗口会自动启动扫描线程</t>
        </is>
      </c>
    </row>
    <row r="36">
      <c r="A36" s="7" t="n">
        <v>33</v>
      </c>
      <c r="B36" s="8" t="inlineStr">
        <is>
          <t xml:space="preserve">    """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 xml:space="preserve">    def __init__(self, parent=None, scan_paths: list = None, auto_start: bool = True):</t>
        </is>
      </c>
    </row>
    <row r="39">
      <c r="A39" s="9" t="n">
        <v>36</v>
      </c>
      <c r="B39" s="10" t="inlineStr">
        <is>
          <t xml:space="preserve">        self.parent = parent</t>
        </is>
      </c>
    </row>
    <row r="40">
      <c r="A40" s="7" t="n">
        <v>37</v>
      </c>
      <c r="B40" s="8" t="inlineStr">
        <is>
          <t xml:space="preserve">        self.scan_paths = scan_paths  # None = 全盘扫描</t>
        </is>
      </c>
    </row>
    <row r="41">
      <c r="A41" s="9" t="n">
        <v>38</v>
      </c>
      <c r="B41" s="10" t="inlineStr">
        <is>
          <t xml:space="preserve">        self._cancel_event = threading.Event()</t>
        </is>
      </c>
    </row>
    <row r="42">
      <c r="A42" s="7" t="n">
        <v>39</v>
      </c>
      <c r="B42" s="8" t="inlineStr">
        <is>
          <t xml:space="preserve">        self._pause_event = threading.Event()</t>
        </is>
      </c>
    </row>
    <row r="43">
      <c r="A43" s="9" t="n">
        <v>40</v>
      </c>
      <c r="B43" s="10" t="inlineStr">
        <is>
          <t xml:space="preserve">        self._paused = False</t>
        </is>
      </c>
    </row>
    <row r="44">
      <c r="A44" s="7" t="n">
        <v>41</v>
      </c>
      <c r="B44" s="8" t="inlineStr">
        <is>
          <t xml:space="preserve">        self._running = False</t>
        </is>
      </c>
    </row>
    <row r="45">
      <c r="A45" s="9" t="n">
        <v>42</v>
      </c>
      <c r="B45" s="10" t="inlineStr">
        <is>
          <t xml:space="preserve">        self._scanner_thread = None</t>
        </is>
      </c>
    </row>
    <row r="46">
      <c r="A46" s="7" t="n">
        <v>43</v>
      </c>
      <c r="B46" s="8" t="inlineStr">
        <is>
          <t xml:space="preserve">        self._log_queue = queue.Queue()  # 线程安全日志队列</t>
        </is>
      </c>
    </row>
    <row r="47">
      <c r="A47" s="9" t="n">
        <v>44</v>
      </c>
      <c r="B47" s="10" t="inlineStr">
        <is>
          <t xml:space="preserve">        self._progress_queue = queue.Queue()  # 进度队列</t>
        </is>
      </c>
    </row>
    <row r="48">
      <c r="A48" s="7" t="n">
        <v>45</v>
      </c>
      <c r="B48" s="8" t="inlineStr">
        <is>
          <t xml:space="preserve">        self._library_tab = None  # v11.3: 素材库标签页引用，用于实时推送帧数据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 xml:space="preserve">        # 统计</t>
        </is>
      </c>
    </row>
    <row r="51">
      <c r="A51" s="9" t="n">
        <v>48</v>
      </c>
      <c r="B51" s="10" t="inlineStr">
        <is>
          <t xml:space="preserve">        self._total_videos = 0</t>
        </is>
      </c>
    </row>
    <row r="52">
      <c r="A52" s="7" t="n">
        <v>49</v>
      </c>
      <c r="B52" s="8" t="inlineStr">
        <is>
          <t xml:space="preserve">        self._scanned_count = 0</t>
        </is>
      </c>
    </row>
    <row r="53">
      <c r="A53" s="9" t="n">
        <v>50</v>
      </c>
      <c r="B53" s="10" t="inlineStr">
        <is>
          <t xml:space="preserve">        self._island_found = 0</t>
        </is>
      </c>
    </row>
    <row r="54">
      <c r="A54" s="7" t="n">
        <v>51</v>
      </c>
      <c r="B54" s="8" t="inlineStr">
        <is>
          <t xml:space="preserve">        self._saved_count = 0</t>
        </is>
      </c>
    </row>
    <row r="55">
      <c r="A55" s="9" t="n">
        <v>52</v>
      </c>
      <c r="B55" s="10" t="inlineStr">
        <is>
          <t xml:space="preserve">        self._start_time = None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    # 配置</t>
        </is>
      </c>
    </row>
    <row r="58">
      <c r="A58" s="7" t="n">
        <v>55</v>
      </c>
      <c r="B58" s="8" t="inlineStr">
        <is>
          <t xml:space="preserve">        self._frame_interval = tk.DoubleVar(value=0.25)  # 默认每秒4帧</t>
        </is>
      </c>
    </row>
    <row r="59">
      <c r="A59" s="9" t="n">
        <v>56</v>
      </c>
      <c r="B59" s="10" t="inlineStr">
        <is>
          <t xml:space="preserve">        self._skip_analyzed = tk.BooleanVar(value=True)</t>
        </is>
      </c>
    </row>
    <row r="60">
      <c r="A60" s="7" t="n">
        <v>57</v>
      </c>
      <c r="B60" s="8" t="inlineStr">
        <is>
          <t xml:space="preserve">        self._max_workers = tk.IntVar(value=2)</t>
        </is>
      </c>
    </row>
    <row r="61">
      <c r="A61" s="9" t="n">
        <v>58</v>
      </c>
      <c r="B61" s="10" t="inlineStr"/>
    </row>
    <row r="62">
      <c r="A62" s="7" t="n">
        <v>59</v>
      </c>
      <c r="B62" s="8" t="inlineStr">
        <is>
          <t xml:space="preserve">        # 构建窗口</t>
        </is>
      </c>
    </row>
    <row r="63">
      <c r="A63" s="9" t="n">
        <v>60</v>
      </c>
      <c r="B63" s="10" t="inlineStr">
        <is>
          <t xml:space="preserve">        self._build_window()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 xml:space="preserve">        # 取消防线</t>
        </is>
      </c>
    </row>
    <row r="66">
      <c r="A66" s="7" t="n">
        <v>63</v>
      </c>
      <c r="B66" s="8" t="inlineStr">
        <is>
          <t xml:space="preserve">        self._window.protocol("WM_DELETE_WINDOW", self._on_close)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 xml:space="preserve">        # 启动日志轮询</t>
        </is>
      </c>
    </row>
    <row r="69">
      <c r="A69" s="9" t="n">
        <v>66</v>
      </c>
      <c r="B69" s="10" t="inlineStr">
        <is>
          <t xml:space="preserve">        self._poll_log()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    # 自动开始扫描</t>
        </is>
      </c>
    </row>
    <row r="72">
      <c r="A72" s="7" t="n">
        <v>69</v>
      </c>
      <c r="B72" s="8" t="inlineStr">
        <is>
          <t xml:space="preserve">        if auto_start and scan_paths:</t>
        </is>
      </c>
    </row>
    <row r="73">
      <c r="A73" s="9" t="n">
        <v>70</v>
      </c>
      <c r="B73" s="10" t="inlineStr">
        <is>
          <t xml:space="preserve">            self._window.after(500, self._start_scan)</t>
        </is>
      </c>
    </row>
    <row r="74">
      <c r="A74" s="7" t="n">
        <v>71</v>
      </c>
      <c r="B74" s="8" t="inlineStr">
        <is>
          <t xml:space="preserve">        elif auto_start:</t>
        </is>
      </c>
    </row>
    <row r="75">
      <c r="A75" s="9" t="n">
        <v>72</v>
      </c>
      <c r="B75" s="10" t="inlineStr">
        <is>
          <t xml:space="preserve">            # 先快速估算视频数量</t>
        </is>
      </c>
    </row>
    <row r="76">
      <c r="A76" s="7" t="n">
        <v>73</v>
      </c>
      <c r="B76" s="8" t="inlineStr">
        <is>
          <t xml:space="preserve">            self._window.after(300, self._estimate_video_count)</t>
        </is>
      </c>
    </row>
    <row r="77">
      <c r="A77" s="9" t="n">
        <v>74</v>
      </c>
      <c r="B77" s="10" t="inlineStr"/>
    </row>
    <row r="78">
      <c r="A78" s="7" t="n">
        <v>75</v>
      </c>
      <c r="B78" s="8" t="inlineStr">
        <is>
          <t xml:space="preserve">    def _build_window(self):</t>
        </is>
      </c>
    </row>
    <row r="79">
      <c r="A79" s="9" t="n">
        <v>76</v>
      </c>
      <c r="B79" s="10" t="inlineStr">
        <is>
          <t xml:space="preserve">        self._window = tk.Toplevel(self.parent) if self.parent else tb.Window(themename="litera")</t>
        </is>
      </c>
    </row>
    <row r="80">
      <c r="A80" s="7" t="n">
        <v>77</v>
      </c>
      <c r="B80" s="8" t="inlineStr">
        <is>
          <t xml:space="preserve">        self._window.title("树剪 AI 素材库后台扫描器")</t>
        </is>
      </c>
    </row>
    <row r="81">
      <c r="A81" s="9" t="n">
        <v>78</v>
      </c>
      <c r="B81" s="10" t="inlineStr">
        <is>
          <t xml:space="preserve">        self._window.geometry("960x720")</t>
        </is>
      </c>
    </row>
    <row r="82">
      <c r="A82" s="7" t="n">
        <v>79</v>
      </c>
      <c r="B82" s="8" t="inlineStr">
        <is>
          <t xml:space="preserve">        self._window.configure(bg="#e8f5e9")</t>
        </is>
      </c>
    </row>
    <row r="83">
      <c r="A83" s="9" t="n">
        <v>80</v>
      </c>
      <c r="B83" s="10" t="inlineStr">
        <is>
          <t xml:space="preserve">        self._window.minsize(700, 500)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>
        <is>
          <t xml:space="preserve">        try:</t>
        </is>
      </c>
    </row>
    <row r="86">
      <c r="A86" s="7" t="n">
        <v>83</v>
      </c>
      <c r="B86" s="8" t="inlineStr">
        <is>
          <t xml:space="preserve">            ico = Path(__file__).parent.parent / "tree_icon.ico"</t>
        </is>
      </c>
    </row>
    <row r="87">
      <c r="A87" s="9" t="n">
        <v>84</v>
      </c>
      <c r="B87" s="10" t="inlineStr">
        <is>
          <t xml:space="preserve">            if ico.exists():</t>
        </is>
      </c>
    </row>
    <row r="88">
      <c r="A88" s="7" t="n">
        <v>85</v>
      </c>
      <c r="B88" s="8" t="inlineStr">
        <is>
          <t xml:space="preserve">                self._window.iconbitmap(str(ico))</t>
        </is>
      </c>
    </row>
    <row r="89">
      <c r="A89" s="9" t="n">
        <v>86</v>
      </c>
      <c r="B89" s="10" t="inlineStr">
        <is>
          <t xml:space="preserve">        except Exception:</t>
        </is>
      </c>
    </row>
    <row r="90">
      <c r="A90" s="7" t="n">
        <v>87</v>
      </c>
      <c r="B90" s="8" t="inlineStr">
        <is>
          <t xml:space="preserve">            pass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 xml:space="preserve">        # ── 标题 ──</t>
        </is>
      </c>
    </row>
    <row r="93">
      <c r="A93" s="9" t="n">
        <v>90</v>
      </c>
      <c r="B93" s="10" t="inlineStr">
        <is>
          <t xml:space="preserve">        title_frame = tb.Frame(self._window, padding=8)</t>
        </is>
      </c>
    </row>
    <row r="94">
      <c r="A94" s="7" t="n">
        <v>91</v>
      </c>
      <c r="B94" s="8" t="inlineStr">
        <is>
          <t xml:space="preserve">        title_frame.pack(fill="x")</t>
        </is>
      </c>
    </row>
    <row r="95">
      <c r="A95" s="9" t="n">
        <v>92</v>
      </c>
      <c r="B95" s="10" t="inlineStr">
        <is>
          <t xml:space="preserve">        tb.Label(title_frame, text="🌳 树剪 AI 素材库后台扫描器",</t>
        </is>
      </c>
    </row>
    <row r="96">
      <c r="A96" s="7" t="n">
        <v>93</v>
      </c>
      <c r="B96" s="8" t="inlineStr">
        <is>
          <t xml:space="preserve">                font=("Microsoft YaHei", 16, "bold"),</t>
        </is>
      </c>
    </row>
    <row r="97">
      <c r="A97" s="9" t="n">
        <v>94</v>
      </c>
      <c r="B97" s="10" t="inlineStr">
        <is>
          <t xml:space="preserve">                background="#e8f5e9", foreground="#1b5e20").pack(anchor="w")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>
        <is>
          <t xml:space="preserve">        # ── 配置区 ──</t>
        </is>
      </c>
    </row>
    <row r="100">
      <c r="A100" s="7" t="n">
        <v>97</v>
      </c>
      <c r="B100" s="8" t="inlineStr">
        <is>
          <t xml:space="preserve">        config_frame = tb.Labelframe(self._window, text="扫描配置", padding=8)</t>
        </is>
      </c>
    </row>
    <row r="101">
      <c r="A101" s="9" t="n">
        <v>98</v>
      </c>
      <c r="B101" s="10" t="inlineStr">
        <is>
          <t xml:space="preserve">        config_frame.pack(fill="x", padx=10, pady=4)</t>
        </is>
      </c>
    </row>
    <row r="102">
      <c r="A102" s="7" t="n">
        <v>99</v>
      </c>
      <c r="B102" s="8" t="inlineStr"/>
    </row>
    <row r="103">
      <c r="A103" s="9" t="n">
        <v>100</v>
      </c>
      <c r="B103" s="10" t="inlineStr">
        <is>
          <t xml:space="preserve">        row1 = tb.Frame(config_frame)</t>
        </is>
      </c>
    </row>
    <row r="104">
      <c r="A104" s="7" t="n">
        <v>101</v>
      </c>
      <c r="B104" s="8" t="inlineStr">
        <is>
          <t xml:space="preserve">        row1.pack(fill="x", pady=2)</t>
        </is>
      </c>
    </row>
    <row r="105">
      <c r="A105" s="9" t="n">
        <v>102</v>
      </c>
      <c r="B105" s="10" t="inlineStr">
        <is>
          <t xml:space="preserve">        tb.Label(row1, text="扫描路径:", width=10).pack(side="left")</t>
        </is>
      </c>
    </row>
    <row r="106">
      <c r="A106" s="7" t="n">
        <v>103</v>
      </c>
      <c r="B106" s="8" t="inlineStr">
        <is>
          <t xml:space="preserve">        self._path_var = tk.StringVar(value="全盘扫描 (所有磁盘)")</t>
        </is>
      </c>
    </row>
    <row r="107">
      <c r="A107" s="9" t="n">
        <v>104</v>
      </c>
      <c r="B107" s="10" t="inlineStr">
        <is>
          <t xml:space="preserve">        self._path_entry = tb.Entry(row1, textvariable=self._path_var, state="readonly")</t>
        </is>
      </c>
    </row>
    <row r="108">
      <c r="A108" s="7" t="n">
        <v>105</v>
      </c>
      <c r="B108" s="8" t="inlineStr">
        <is>
          <t xml:space="preserve">        self._path_entry.pack(side="left", fill="x", expand=True, padx=4)</t>
        </is>
      </c>
    </row>
    <row r="109">
      <c r="A109" s="9" t="n">
        <v>106</v>
      </c>
      <c r="B109" s="10" t="inlineStr">
        <is>
          <t xml:space="preserve">        RoundedButton(row1, text="选择路径", command=self._choose_path,</t>
        </is>
      </c>
    </row>
    <row r="110">
      <c r="A110" s="7" t="n">
        <v>107</v>
      </c>
      <c r="B110" s="8" t="inlineStr">
        <is>
          <t xml:space="preserve">                     width=100, height=30, bg_color="#e0e0e0",</t>
        </is>
      </c>
    </row>
    <row r="111">
      <c r="A111" s="9" t="n">
        <v>108</v>
      </c>
      <c r="B111" s="10" t="inlineStr">
        <is>
          <t xml:space="preserve">                     fg_color="#212529", hover_color="#d0e0ff", radius=8).pack(side="left", padx=2)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 xml:space="preserve">        row2 = tb.Frame(config_frame)</t>
        </is>
      </c>
    </row>
    <row r="114">
      <c r="A114" s="7" t="n">
        <v>111</v>
      </c>
      <c r="B114" s="8" t="inlineStr">
        <is>
          <t xml:space="preserve">        row2.pack(fill="x", pady=2)</t>
        </is>
      </c>
    </row>
    <row r="115">
      <c r="A115" s="9" t="n">
        <v>112</v>
      </c>
      <c r="B115" s="10" t="inlineStr">
        <is>
          <t xml:space="preserve">        tb.Label(row2, text="抽帧间隔:", width=10).pack(side="left")</t>
        </is>
      </c>
    </row>
    <row r="116">
      <c r="A116" s="7" t="n">
        <v>113</v>
      </c>
      <c r="B116" s="8" t="inlineStr">
        <is>
          <t xml:space="preserve">        intervals = [("每秒1帧 (1s)", 1.0), ("每秒2帧 (0.5s)", 0.5),</t>
        </is>
      </c>
    </row>
    <row r="117">
      <c r="A117" s="9" t="n">
        <v>114</v>
      </c>
      <c r="B117" s="10" t="inlineStr">
        <is>
          <t xml:space="preserve">                     ("每秒4帧 (0.25s)", 0.25), ("每秒8帧 (0.125s)", 0.125)]</t>
        </is>
      </c>
    </row>
    <row r="118">
      <c r="A118" s="7" t="n">
        <v>115</v>
      </c>
      <c r="B118" s="8" t="inlineStr">
        <is>
          <t xml:space="preserve">        for text, val in intervals:</t>
        </is>
      </c>
    </row>
    <row r="119">
      <c r="A119" s="9" t="n">
        <v>116</v>
      </c>
      <c r="B119" s="10" t="inlineStr">
        <is>
          <t xml:space="preserve">            tb.Radiobutton(row2, text=text, variable=self._frame_interval,</t>
        </is>
      </c>
    </row>
    <row r="120">
      <c r="A120" s="7" t="n">
        <v>117</v>
      </c>
      <c r="B120" s="8" t="inlineStr">
        <is>
          <t xml:space="preserve">                          value=val).pack(side="left", padx=6)</t>
        </is>
      </c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 xml:space="preserve">        row3 = tb.Frame(config_frame)</t>
        </is>
      </c>
    </row>
    <row r="123">
      <c r="A123" s="9" t="n">
        <v>120</v>
      </c>
      <c r="B123" s="10" t="inlineStr">
        <is>
          <t xml:space="preserve">        row3.pack(fill="x", pady=2)</t>
        </is>
      </c>
    </row>
    <row r="124">
      <c r="A124" s="7" t="n">
        <v>121</v>
      </c>
      <c r="B124" s="8" t="inlineStr">
        <is>
          <t xml:space="preserve">        tb.Checkbutton(row3, text="跳过已分析视频", variable=self._skip_analyzed</t>
        </is>
      </c>
    </row>
    <row r="125">
      <c r="A125" s="9" t="n">
        <v>122</v>
      </c>
      <c r="B125" s="10" t="inlineStr">
        <is>
          <t xml:space="preserve">                      ).pack(side="left", padx=4)</t>
        </is>
      </c>
    </row>
    <row r="126">
      <c r="A126" s="7" t="n">
        <v>123</v>
      </c>
      <c r="B126" s="8" t="inlineStr">
        <is>
          <t xml:space="preserve">        tb.Label(row3, text="并发数:").pack(side="left", padx=(20, 2))</t>
        </is>
      </c>
    </row>
    <row r="127">
      <c r="A127" s="9" t="n">
        <v>124</v>
      </c>
      <c r="B127" s="10" t="inlineStr">
        <is>
          <t xml:space="preserve">        for v in [1, 2, 3, 4]:</t>
        </is>
      </c>
    </row>
    <row r="128">
      <c r="A128" s="7" t="n">
        <v>125</v>
      </c>
      <c r="B128" s="8" t="inlineStr">
        <is>
          <t xml:space="preserve">            tb.Radiobutton(row3, text=str(v), variable=self._max_workers,</t>
        </is>
      </c>
    </row>
    <row r="129">
      <c r="A129" s="9" t="n">
        <v>126</v>
      </c>
      <c r="B129" s="10" t="inlineStr">
        <is>
          <t xml:space="preserve">                          value=v).pack(side="left", padx=3)</t>
        </is>
      </c>
    </row>
    <row r="130">
      <c r="A130" s="7" t="n">
        <v>127</v>
      </c>
      <c r="B130" s="8" t="inlineStr"/>
    </row>
    <row r="131">
      <c r="A131" s="9" t="n">
        <v>128</v>
      </c>
      <c r="B131" s="10" t="inlineStr">
        <is>
          <t xml:space="preserve">        # ── 统计区 ──</t>
        </is>
      </c>
    </row>
    <row r="132">
      <c r="A132" s="7" t="n">
        <v>129</v>
      </c>
      <c r="B132" s="8" t="inlineStr">
        <is>
          <t xml:space="preserve">        stat_frame = tb.Frame(self._window, padding=4)</t>
        </is>
      </c>
    </row>
    <row r="133">
      <c r="A133" s="9" t="n">
        <v>130</v>
      </c>
      <c r="B133" s="10" t="inlineStr">
        <is>
          <t xml:space="preserve">        stat_frame.pack(fill="x", padx=10)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>
        <is>
          <t xml:space="preserve">        self._stat_total = tk.StringVar(value="总视频: -")</t>
        </is>
      </c>
    </row>
    <row r="136">
      <c r="A136" s="7" t="n">
        <v>133</v>
      </c>
      <c r="B136" s="8" t="inlineStr">
        <is>
          <t xml:space="preserve">        self._stat_scanned = tk.StringVar(value="已扫描: -")</t>
        </is>
      </c>
    </row>
    <row r="137">
      <c r="A137" s="9" t="n">
        <v>134</v>
      </c>
      <c r="B137" s="10" t="inlineStr">
        <is>
          <t xml:space="preserve">        self._stat_island = tk.StringVar(value="岛台帧: -")</t>
        </is>
      </c>
    </row>
    <row r="138">
      <c r="A138" s="7" t="n">
        <v>135</v>
      </c>
      <c r="B138" s="8" t="inlineStr">
        <is>
          <t xml:space="preserve">        self._stat_saved = tk.StringVar(value="入库: -")</t>
        </is>
      </c>
    </row>
    <row r="139">
      <c r="A139" s="9" t="n">
        <v>136</v>
      </c>
      <c r="B139" s="10" t="inlineStr">
        <is>
          <t xml:space="preserve">        self._stat_elapsed = tk.StringVar(value="耗时: -")</t>
        </is>
      </c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 xml:space="preserve">        for var in [self._stat_total, self._stat_scanned, self._stat_island,</t>
        </is>
      </c>
    </row>
    <row r="142">
      <c r="A142" s="7" t="n">
        <v>139</v>
      </c>
      <c r="B142" s="8" t="inlineStr">
        <is>
          <t xml:space="preserve">                     self._stat_saved, self._stat_elapsed]:</t>
        </is>
      </c>
    </row>
    <row r="143">
      <c r="A143" s="9" t="n">
        <v>140</v>
      </c>
      <c r="B143" s="10" t="inlineStr">
        <is>
          <t xml:space="preserve">            tb.Label(stat_frame, textvariable=var, font=("Microsoft YaHei", 10),</t>
        </is>
      </c>
    </row>
    <row r="144">
      <c r="A144" s="7" t="n">
        <v>141</v>
      </c>
      <c r="B144" s="8" t="inlineStr">
        <is>
          <t xml:space="preserve">                    background="#e8f5e9", foreground="#1b5e20"</t>
        </is>
      </c>
    </row>
    <row r="145">
      <c r="A145" s="9" t="n">
        <v>142</v>
      </c>
      <c r="B145" s="10" t="inlineStr">
        <is>
          <t xml:space="preserve">                    ).pack(side="left", padx=10)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 xml:space="preserve">        # ── 进度条 ──</t>
        </is>
      </c>
    </row>
    <row r="148">
      <c r="A148" s="7" t="n">
        <v>145</v>
      </c>
      <c r="B148" s="8" t="inlineStr">
        <is>
          <t xml:space="preserve">        prog_frame = tb.Frame(self._window, padding=4)</t>
        </is>
      </c>
    </row>
    <row r="149">
      <c r="A149" s="9" t="n">
        <v>146</v>
      </c>
      <c r="B149" s="10" t="inlineStr">
        <is>
          <t xml:space="preserve">        prog_frame.pack(fill="x", padx=10)</t>
        </is>
      </c>
    </row>
    <row r="150">
      <c r="A150" s="7" t="n">
        <v>147</v>
      </c>
      <c r="B150" s="8" t="inlineStr">
        <is>
          <t xml:space="preserve">        self._progress_bar = tb.Progressbar(prog_frame, mode="determinate", bootstyle="success")</t>
        </is>
      </c>
    </row>
    <row r="151">
      <c r="A151" s="9" t="n">
        <v>148</v>
      </c>
      <c r="B151" s="10" t="inlineStr">
        <is>
          <t xml:space="preserve">        self._progress_bar.pack(fill="x", pady=2)</t>
        </is>
      </c>
    </row>
    <row r="152">
      <c r="A152" s="7" t="n">
        <v>149</v>
      </c>
      <c r="B152" s="8" t="inlineStr">
        <is>
          <t xml:space="preserve">        self._current_file_var = tk.StringVar(value="就绪 - 点击「开始扫描」启动")</t>
        </is>
      </c>
    </row>
    <row r="153">
      <c r="A153" s="9" t="n">
        <v>150</v>
      </c>
      <c r="B153" s="10" t="inlineStr">
        <is>
          <t xml:space="preserve">        tb.Label(prog_frame, textvariable=self._current_file_var,</t>
        </is>
      </c>
    </row>
    <row r="154">
      <c r="A154" s="7" t="n">
        <v>151</v>
      </c>
      <c r="B154" s="8" t="inlineStr">
        <is>
          <t xml:space="preserve">                font=("Microsoft YaHei", 9), foreground="#6d6d6d",</t>
        </is>
      </c>
    </row>
    <row r="155">
      <c r="A155" s="9" t="n">
        <v>152</v>
      </c>
      <c r="B155" s="10" t="inlineStr">
        <is>
          <t xml:space="preserve">                background="#e8f5e9").pack(anchor="w")</t>
        </is>
      </c>
    </row>
    <row r="156">
      <c r="A156" s="7" t="n">
        <v>153</v>
      </c>
      <c r="B156" s="8" t="inlineStr"/>
    </row>
    <row r="157">
      <c r="A157" s="9" t="n">
        <v>154</v>
      </c>
      <c r="B157" s="10" t="inlineStr">
        <is>
          <t xml:space="preserve">        # ── 日志区 ──</t>
        </is>
      </c>
    </row>
    <row r="158">
      <c r="A158" s="7" t="n">
        <v>155</v>
      </c>
      <c r="B158" s="8" t="inlineStr">
        <is>
          <t xml:space="preserve">        log_frame = tb.Labelframe(self._window, text="实时日志", padding=4)</t>
        </is>
      </c>
    </row>
    <row r="159">
      <c r="A159" s="9" t="n">
        <v>156</v>
      </c>
      <c r="B159" s="10" t="inlineStr">
        <is>
          <t xml:space="preserve">        log_frame.pack(fill="both", expand=True, padx=10, pady=4)</t>
        </is>
      </c>
    </row>
    <row r="160">
      <c r="A160" s="7" t="n">
        <v>157</v>
      </c>
      <c r="B160" s="8" t="inlineStr"/>
    </row>
    <row r="161">
      <c r="A161" s="9" t="n">
        <v>158</v>
      </c>
      <c r="B161" s="10" t="inlineStr">
        <is>
          <t xml:space="preserve">        self._log_area = scrolledtext.ScrolledText(</t>
        </is>
      </c>
    </row>
    <row r="162">
      <c r="A162" s="7" t="n">
        <v>159</v>
      </c>
      <c r="B162" s="8" t="inlineStr">
        <is>
          <t xml:space="preserve">            log_frame, font=("Consolas", 10),</t>
        </is>
      </c>
    </row>
    <row r="163">
      <c r="A163" s="9" t="n">
        <v>160</v>
      </c>
      <c r="B163" s="10" t="inlineStr">
        <is>
          <t xml:space="preserve">            bg="#1b1b1b", fg="#a5d6a7",</t>
        </is>
      </c>
    </row>
    <row r="164">
      <c r="A164" s="7" t="n">
        <v>161</v>
      </c>
      <c r="B164" s="8" t="inlineStr">
        <is>
          <t xml:space="preserve">            insertbackground="#a5d6a7"</t>
        </is>
      </c>
    </row>
    <row r="165">
      <c r="A165" s="9" t="n">
        <v>162</v>
      </c>
      <c r="B165" s="10" t="inlineStr">
        <is>
          <t xml:space="preserve">        )</t>
        </is>
      </c>
    </row>
    <row r="166">
      <c r="A166" s="7" t="n">
        <v>163</v>
      </c>
      <c r="B166" s="8" t="inlineStr">
        <is>
          <t xml:space="preserve">        self._log_area.pack(fill="both", expand=True)</t>
        </is>
      </c>
    </row>
    <row r="167">
      <c r="A167" s="9" t="n">
        <v>164</v>
      </c>
      <c r="B167" s="10" t="inlineStr"/>
    </row>
    <row r="168">
      <c r="A168" s="7" t="n">
        <v>165</v>
      </c>
      <c r="B168" s="8" t="inlineStr">
        <is>
          <t xml:space="preserve">        # ── 按钮区 ──</t>
        </is>
      </c>
    </row>
    <row r="169">
      <c r="A169" s="9" t="n">
        <v>166</v>
      </c>
      <c r="B169" s="10" t="inlineStr">
        <is>
          <t xml:space="preserve">        btn_frame = tb.Frame(self._window, padding=8)</t>
        </is>
      </c>
    </row>
    <row r="170">
      <c r="A170" s="7" t="n">
        <v>167</v>
      </c>
      <c r="B170" s="8" t="inlineStr">
        <is>
          <t xml:space="preserve">        btn_frame.pack(fill="x", padx=10)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    self._btn_start = RoundedButton(btn_frame, text="▶ 开始扫描",</t>
        </is>
      </c>
    </row>
    <row r="173">
      <c r="A173" s="9" t="n">
        <v>170</v>
      </c>
      <c r="B173" s="10" t="inlineStr">
        <is>
          <t xml:space="preserve">                                       command=self._start_scan, width=130, height=38,</t>
        </is>
      </c>
    </row>
    <row r="174">
      <c r="A174" s="7" t="n">
        <v>171</v>
      </c>
      <c r="B174" s="8" t="inlineStr">
        <is>
          <t xml:space="preserve">                                       bg_color="#0d6efd", fg_color="#ffffff",</t>
        </is>
      </c>
    </row>
    <row r="175">
      <c r="A175" s="9" t="n">
        <v>172</v>
      </c>
      <c r="B175" s="10" t="inlineStr">
        <is>
          <t xml:space="preserve">                                       hover_color="#0b5ed7", radius=12)</t>
        </is>
      </c>
    </row>
    <row r="176">
      <c r="A176" s="7" t="n">
        <v>173</v>
      </c>
      <c r="B176" s="8" t="inlineStr">
        <is>
          <t xml:space="preserve">        self._btn_start.pack(side="left", padx=3)</t>
        </is>
      </c>
    </row>
    <row r="177">
      <c r="A177" s="9" t="n">
        <v>174</v>
      </c>
      <c r="B177" s="10" t="inlineStr"/>
    </row>
    <row r="178">
      <c r="A178" s="7" t="n">
        <v>175</v>
      </c>
      <c r="B178" s="8" t="inlineStr">
        <is>
          <t xml:space="preserve">        self._btn_pause = RoundedButton(btn_frame, text="⏸ 暂停",</t>
        </is>
      </c>
    </row>
    <row r="179">
      <c r="A179" s="9" t="n">
        <v>176</v>
      </c>
      <c r="B179" s="10" t="inlineStr">
        <is>
          <t xml:space="preserve">                                       command=self._toggle_pause, width=100, height=38,</t>
        </is>
      </c>
    </row>
    <row r="180">
      <c r="A180" s="7" t="n">
        <v>177</v>
      </c>
      <c r="B180" s="8" t="inlineStr">
        <is>
          <t xml:space="preserve">                                       bg_color="#ffc107", fg_color="#212529",</t>
        </is>
      </c>
    </row>
    <row r="181">
      <c r="A181" s="9" t="n">
        <v>178</v>
      </c>
      <c r="B181" s="10" t="inlineStr">
        <is>
          <t xml:space="preserve">                                       hover_color="#e0a800", radius=12)</t>
        </is>
      </c>
    </row>
    <row r="182">
      <c r="A182" s="7" t="n">
        <v>179</v>
      </c>
      <c r="B182" s="8" t="inlineStr">
        <is>
          <t xml:space="preserve">        self._btn_pause.pack(side="left", padx=3)</t>
        </is>
      </c>
    </row>
    <row r="183">
      <c r="A183" s="9" t="n">
        <v>180</v>
      </c>
      <c r="B183" s="10" t="inlineStr">
        <is>
          <t xml:space="preserve">        self._btn_pause.configure(state="disabled")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    self._btn_stop = RoundedButton(btn_frame, text="⏹ 停止",</t>
        </is>
      </c>
    </row>
    <row r="186">
      <c r="A186" s="7" t="n">
        <v>183</v>
      </c>
      <c r="B186" s="8" t="inlineStr">
        <is>
          <t xml:space="preserve">                                      command=self._stop_scan, width=100, height=38,</t>
        </is>
      </c>
    </row>
    <row r="187">
      <c r="A187" s="9" t="n">
        <v>184</v>
      </c>
      <c r="B187" s="10" t="inlineStr">
        <is>
          <t xml:space="preserve">                                      bg_color="#dc3545", fg_color="#ffffff",</t>
        </is>
      </c>
    </row>
    <row r="188">
      <c r="A188" s="7" t="n">
        <v>185</v>
      </c>
      <c r="B188" s="8" t="inlineStr">
        <is>
          <t xml:space="preserve">                                      hover_color="#c82333", radius=12)</t>
        </is>
      </c>
    </row>
    <row r="189">
      <c r="A189" s="9" t="n">
        <v>186</v>
      </c>
      <c r="B189" s="10" t="inlineStr">
        <is>
          <t xml:space="preserve">        self._btn_stop.pack(side="left", padx=3)</t>
        </is>
      </c>
    </row>
    <row r="190">
      <c r="A190" s="7" t="n">
        <v>187</v>
      </c>
      <c r="B190" s="8" t="inlineStr">
        <is>
          <t xml:space="preserve">        self._btn_stop.configure(state="disabled")</t>
        </is>
      </c>
    </row>
    <row r="191">
      <c r="A191" s="9" t="n">
        <v>188</v>
      </c>
      <c r="B191" s="10" t="inlineStr"/>
    </row>
    <row r="192">
      <c r="A192" s="7" t="n">
        <v>189</v>
      </c>
      <c r="B192" s="8" t="inlineStr">
        <is>
          <t xml:space="preserve">        RoundedButton(btn_frame, text="重建FAISS索引",</t>
        </is>
      </c>
    </row>
    <row r="193">
      <c r="A193" s="9" t="n">
        <v>190</v>
      </c>
      <c r="B193" s="10" t="inlineStr">
        <is>
          <t xml:space="preserve">                     command=self._rebuild_faiss, width=140, height=38,</t>
        </is>
      </c>
    </row>
    <row r="194">
      <c r="A194" s="7" t="n">
        <v>191</v>
      </c>
      <c r="B194" s="8" t="inlineStr">
        <is>
          <t xml:space="preserve">                     bg_color="#6f42c1", fg_color="#ffffff",</t>
        </is>
      </c>
    </row>
    <row r="195">
      <c r="A195" s="9" t="n">
        <v>192</v>
      </c>
      <c r="B195" s="10" t="inlineStr">
        <is>
          <t xml:space="preserve">                     hover_color="#5a32a3", radius=12).pack(side="right", padx=3)</t>
        </is>
      </c>
    </row>
    <row r="196">
      <c r="A196" s="7" t="n">
        <v>193</v>
      </c>
      <c r="B196" s="8" t="inlineStr"/>
    </row>
    <row r="197">
      <c r="A197" s="9" t="n">
        <v>194</v>
      </c>
      <c r="B197" s="10" t="inlineStr">
        <is>
          <t xml:space="preserve">        RoundedButton(btn_frame, text="清除日志",</t>
        </is>
      </c>
    </row>
    <row r="198">
      <c r="A198" s="7" t="n">
        <v>195</v>
      </c>
      <c r="B198" s="8" t="inlineStr">
        <is>
          <t xml:space="preserve">                     command=lambda: self._log_area.delete("1.0", "end"),</t>
        </is>
      </c>
    </row>
    <row r="199">
      <c r="A199" s="9" t="n">
        <v>196</v>
      </c>
      <c r="B199" s="10" t="inlineStr">
        <is>
          <t xml:space="preserve">                     width=100, height=38, bg_color="#e0e0e0",</t>
        </is>
      </c>
    </row>
    <row r="200">
      <c r="A200" s="7" t="n">
        <v>197</v>
      </c>
      <c r="B200" s="8" t="inlineStr">
        <is>
          <t xml:space="preserve">                     fg_color="#212529", hover_color="#d0e0ff",</t>
        </is>
      </c>
    </row>
    <row r="201">
      <c r="A201" s="9" t="n">
        <v>198</v>
      </c>
      <c r="B201" s="10" t="inlineStr">
        <is>
          <t xml:space="preserve">                     radius=10).pack(side="right", padx=3)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# ═══════════════════════════════════════════════</t>
        </is>
      </c>
    </row>
    <row r="204">
      <c r="A204" s="7" t="n">
        <v>201</v>
      </c>
      <c r="B204" s="8" t="inlineStr">
        <is>
          <t xml:space="preserve">    # 日志系统 (线程安全)</t>
        </is>
      </c>
    </row>
    <row r="205">
      <c r="A205" s="9" t="n">
        <v>202</v>
      </c>
      <c r="B205" s="10" t="inlineStr">
        <is>
          <t xml:space="preserve">    # ═══════════════════════════════════════════════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 xml:space="preserve">    def _log(self, msg: str):</t>
        </is>
      </c>
    </row>
    <row r="208">
      <c r="A208" s="7" t="n">
        <v>205</v>
      </c>
      <c r="B208" s="8" t="inlineStr">
        <is>
          <t xml:space="preserve">        """线程安全日志 — 放入队列，由UI线程轮询显示"""</t>
        </is>
      </c>
    </row>
    <row r="209">
      <c r="A209" s="9" t="n">
        <v>206</v>
      </c>
      <c r="B209" s="10" t="inlineStr">
        <is>
          <t xml:space="preserve">        ts = datetime.now().strftime("%H:%M:%S")</t>
        </is>
      </c>
    </row>
    <row r="210">
      <c r="A210" s="7" t="n">
        <v>207</v>
      </c>
      <c r="B210" s="8" t="inlineStr">
        <is>
          <t xml:space="preserve">        self._log_queue.put(f"[{ts}] {msg}")</t>
        </is>
      </c>
    </row>
    <row r="211">
      <c r="A211" s="9" t="n">
        <v>208</v>
      </c>
      <c r="B211" s="10" t="inlineStr"/>
    </row>
    <row r="212">
      <c r="A212" s="7" t="n">
        <v>209</v>
      </c>
      <c r="B212" s="8" t="inlineStr">
        <is>
          <t xml:space="preserve">    def _poll_log(self):</t>
        </is>
      </c>
    </row>
    <row r="213">
      <c r="A213" s="9" t="n">
        <v>210</v>
      </c>
      <c r="B213" s="10" t="inlineStr">
        <is>
          <t xml:space="preserve">        """UI线程定期检查日志队列并更新界面"""</t>
        </is>
      </c>
    </row>
    <row r="214">
      <c r="A214" s="7" t="n">
        <v>211</v>
      </c>
      <c r="B214" s="8" t="inlineStr">
        <is>
          <t xml:space="preserve">        try:</t>
        </is>
      </c>
    </row>
    <row r="215">
      <c r="A215" s="9" t="n">
        <v>212</v>
      </c>
      <c r="B215" s="10" t="inlineStr">
        <is>
          <t xml:space="preserve">            while True:</t>
        </is>
      </c>
    </row>
    <row r="216">
      <c r="A216" s="7" t="n">
        <v>213</v>
      </c>
      <c r="B216" s="8" t="inlineStr">
        <is>
          <t xml:space="preserve">                msg = self._log_queue.get_nowait()</t>
        </is>
      </c>
    </row>
    <row r="217">
      <c r="A217" s="9" t="n">
        <v>214</v>
      </c>
      <c r="B217" s="10" t="inlineStr">
        <is>
          <t xml:space="preserve">                self._log_area.insert("end", msg + "\n")</t>
        </is>
      </c>
    </row>
    <row r="218">
      <c r="A218" s="7" t="n">
        <v>215</v>
      </c>
      <c r="B218" s="8" t="inlineStr">
        <is>
          <t xml:space="preserve">                self._log_area.see("end")</t>
        </is>
      </c>
    </row>
    <row r="219">
      <c r="A219" s="9" t="n">
        <v>216</v>
      </c>
      <c r="B219" s="10" t="inlineStr">
        <is>
          <t xml:space="preserve">        except queue.Empty:</t>
        </is>
      </c>
    </row>
    <row r="220">
      <c r="A220" s="7" t="n">
        <v>217</v>
      </c>
      <c r="B220" s="8" t="inlineStr">
        <is>
          <t xml:space="preserve">            pass</t>
        </is>
      </c>
    </row>
    <row r="221">
      <c r="A221" s="9" t="n">
        <v>218</v>
      </c>
      <c r="B221" s="10" t="inlineStr"/>
    </row>
    <row r="222">
      <c r="A222" s="7" t="n">
        <v>219</v>
      </c>
      <c r="B222" s="8" t="inlineStr">
        <is>
          <t xml:space="preserve">        try:</t>
        </is>
      </c>
    </row>
    <row r="223">
      <c r="A223" s="9" t="n">
        <v>220</v>
      </c>
      <c r="B223" s="10" t="inlineStr">
        <is>
          <t xml:space="preserve">            while True:</t>
        </is>
      </c>
    </row>
    <row r="224">
      <c r="A224" s="7" t="n">
        <v>221</v>
      </c>
      <c r="B224" s="8" t="inlineStr">
        <is>
          <t xml:space="preserve">                prog_data = self._progress_queue.get_nowait()</t>
        </is>
      </c>
    </row>
    <row r="225">
      <c r="A225" s="9" t="n">
        <v>222</v>
      </c>
      <c r="B225" s="10" t="inlineStr">
        <is>
          <t xml:space="preserve">                self._apply_progress(prog_data)</t>
        </is>
      </c>
    </row>
    <row r="226">
      <c r="A226" s="7" t="n">
        <v>223</v>
      </c>
      <c r="B226" s="8" t="inlineStr">
        <is>
          <t xml:space="preserve">        except queue.Empty:</t>
        </is>
      </c>
    </row>
    <row r="227">
      <c r="A227" s="9" t="n">
        <v>224</v>
      </c>
      <c r="B227" s="10" t="inlineStr">
        <is>
          <t xml:space="preserve">            pass</t>
        </is>
      </c>
    </row>
    <row r="228">
      <c r="A228" s="7" t="n">
        <v>225</v>
      </c>
      <c r="B228" s="8" t="inlineStr"/>
    </row>
    <row r="229">
      <c r="A229" s="9" t="n">
        <v>226</v>
      </c>
      <c r="B229" s="10" t="inlineStr">
        <is>
          <t xml:space="preserve">        self._window.after(100, self._poll_log)</t>
        </is>
      </c>
    </row>
    <row r="230">
      <c r="A230" s="7" t="n">
        <v>227</v>
      </c>
      <c r="B230" s="8" t="inlineStr"/>
    </row>
    <row r="231">
      <c r="A231" s="9" t="n">
        <v>228</v>
      </c>
      <c r="B231" s="10" t="inlineStr">
        <is>
          <t xml:space="preserve">    def _apply_progress(self, data: dict):</t>
        </is>
      </c>
    </row>
    <row r="232">
      <c r="A232" s="7" t="n">
        <v>229</v>
      </c>
      <c r="B232" s="8" t="inlineStr">
        <is>
          <t xml:space="preserve">        """应用进度更新到UI"""</t>
        </is>
      </c>
    </row>
    <row r="233">
      <c r="A233" s="9" t="n">
        <v>230</v>
      </c>
      <c r="B233" s="10" t="inlineStr">
        <is>
          <t xml:space="preserve">        if "total_videos" in data:</t>
        </is>
      </c>
    </row>
    <row r="234">
      <c r="A234" s="7" t="n">
        <v>231</v>
      </c>
      <c r="B234" s="8" t="inlineStr">
        <is>
          <t xml:space="preserve">            self._total_videos = data["total_videos"]</t>
        </is>
      </c>
    </row>
    <row r="235">
      <c r="A235" s="9" t="n">
        <v>232</v>
      </c>
      <c r="B235" s="10" t="inlineStr">
        <is>
          <t xml:space="preserve">            self._stat_total.set(f"总视频: {self._total_videos:,}")</t>
        </is>
      </c>
    </row>
    <row r="236">
      <c r="A236" s="7" t="n">
        <v>233</v>
      </c>
      <c r="B236" s="8" t="inlineStr">
        <is>
          <t xml:space="preserve">            self._progress_bar["maximum"] = max(1, self._total_videos)</t>
        </is>
      </c>
    </row>
    <row r="237">
      <c r="A237" s="9" t="n">
        <v>234</v>
      </c>
      <c r="B237" s="10" t="inlineStr"/>
    </row>
    <row r="238">
      <c r="A238" s="7" t="n">
        <v>235</v>
      </c>
      <c r="B238" s="8" t="inlineStr">
        <is>
          <t xml:space="preserve">        if "scanned" in data:</t>
        </is>
      </c>
    </row>
    <row r="239">
      <c r="A239" s="9" t="n">
        <v>236</v>
      </c>
      <c r="B239" s="10" t="inlineStr">
        <is>
          <t xml:space="preserve">            self._scanned_count = data["scanned"]</t>
        </is>
      </c>
    </row>
    <row r="240">
      <c r="A240" s="7" t="n">
        <v>237</v>
      </c>
      <c r="B240" s="8" t="inlineStr">
        <is>
          <t xml:space="preserve">            self._stat_scanned.set(f"已扫描: {self._scanned_count:,}")</t>
        </is>
      </c>
    </row>
    <row r="241">
      <c r="A241" s="9" t="n">
        <v>238</v>
      </c>
      <c r="B241" s="10" t="inlineStr">
        <is>
          <t xml:space="preserve">            self._progress_bar["value"] = min(self._scanned_count, self._progress_bar.get("maximum", 1))</t>
        </is>
      </c>
    </row>
    <row r="242">
      <c r="A242" s="7" t="n">
        <v>239</v>
      </c>
      <c r="B242" s="8" t="inlineStr"/>
    </row>
    <row r="243">
      <c r="A243" s="9" t="n">
        <v>240</v>
      </c>
      <c r="B243" s="10" t="inlineStr">
        <is>
          <t xml:space="preserve">        if "island_found" in data:</t>
        </is>
      </c>
    </row>
    <row r="244">
      <c r="A244" s="7" t="n">
        <v>241</v>
      </c>
      <c r="B244" s="8" t="inlineStr">
        <is>
          <t xml:space="preserve">            self._island_found = data["island_found"]</t>
        </is>
      </c>
    </row>
    <row r="245">
      <c r="A245" s="9" t="n">
        <v>242</v>
      </c>
      <c r="B245" s="10" t="inlineStr">
        <is>
          <t xml:space="preserve">            self._stat_island.set(f"岛台帧: {self._island_found:,}")</t>
        </is>
      </c>
    </row>
    <row r="246">
      <c r="A246" s="7" t="n">
        <v>243</v>
      </c>
      <c r="B246" s="8" t="inlineStr"/>
    </row>
    <row r="247">
      <c r="A247" s="9" t="n">
        <v>244</v>
      </c>
      <c r="B247" s="10" t="inlineStr">
        <is>
          <t xml:space="preserve">        if "saved" in data:</t>
        </is>
      </c>
    </row>
    <row r="248">
      <c r="A248" s="7" t="n">
        <v>245</v>
      </c>
      <c r="B248" s="8" t="inlineStr">
        <is>
          <t xml:space="preserve">            self._saved_count = data["saved"]</t>
        </is>
      </c>
    </row>
    <row r="249">
      <c r="A249" s="9" t="n">
        <v>246</v>
      </c>
      <c r="B249" s="10" t="inlineStr">
        <is>
          <t xml:space="preserve">            self._stat_saved.set(f"入库: {self._saved_count:,}")</t>
        </is>
      </c>
    </row>
    <row r="250">
      <c r="A250" s="7" t="n">
        <v>247</v>
      </c>
      <c r="B250" s="8" t="inlineStr"/>
    </row>
    <row r="251">
      <c r="A251" s="9" t="n">
        <v>248</v>
      </c>
      <c r="B251" s="10" t="inlineStr">
        <is>
          <t xml:space="preserve">        if "current_file" in data:</t>
        </is>
      </c>
    </row>
    <row r="252">
      <c r="A252" s="7" t="n">
        <v>249</v>
      </c>
      <c r="B252" s="8" t="inlineStr">
        <is>
          <t xml:space="preserve">            self._current_file_var.set(data["current_file"])</t>
        </is>
      </c>
    </row>
    <row r="253">
      <c r="A253" s="9" t="n">
        <v>250</v>
      </c>
      <c r="B253" s="10" t="inlineStr"/>
    </row>
    <row r="254">
      <c r="A254" s="7" t="n">
        <v>251</v>
      </c>
      <c r="B254" s="8" t="inlineStr">
        <is>
          <t xml:space="preserve">        if "elapsed" in data:</t>
        </is>
      </c>
    </row>
    <row r="255">
      <c r="A255" s="9" t="n">
        <v>252</v>
      </c>
      <c r="B255" s="10" t="inlineStr">
        <is>
          <t xml:space="preserve">            self._stat_elapsed.set(f"耗时: {data['elapsed']}")</t>
        </is>
      </c>
    </row>
    <row r="256">
      <c r="A256" s="7" t="n">
        <v>253</v>
      </c>
      <c r="B256" s="8" t="inlineStr"/>
    </row>
    <row r="257">
      <c r="A257" s="9" t="n">
        <v>254</v>
      </c>
      <c r="B257" s="10" t="inlineStr">
        <is>
          <t xml:space="preserve">    # ═══════════════════════════════════════════════</t>
        </is>
      </c>
    </row>
    <row r="258">
      <c r="A258" s="7" t="n">
        <v>255</v>
      </c>
      <c r="B258" s="8" t="inlineStr">
        <is>
          <t xml:space="preserve">    # 路径选择</t>
        </is>
      </c>
    </row>
    <row r="259">
      <c r="A259" s="9" t="n">
        <v>256</v>
      </c>
      <c r="B259" s="10" t="inlineStr">
        <is>
          <t xml:space="preserve">    # ═══════════════════════════════════════════════</t>
        </is>
      </c>
    </row>
    <row r="260">
      <c r="A260" s="7" t="n">
        <v>257</v>
      </c>
      <c r="B260" s="8" t="inlineStr"/>
    </row>
    <row r="261">
      <c r="A261" s="9" t="n">
        <v>258</v>
      </c>
      <c r="B261" s="10" t="inlineStr">
        <is>
          <t xml:space="preserve">    def _choose_path(self):</t>
        </is>
      </c>
    </row>
    <row r="262">
      <c r="A262" s="7" t="n">
        <v>259</v>
      </c>
      <c r="B262" s="8" t="inlineStr">
        <is>
          <t xml:space="preserve">        """选择扫描路径"""</t>
        </is>
      </c>
    </row>
    <row r="263">
      <c r="A263" s="9" t="n">
        <v>260</v>
      </c>
      <c r="B263" s="10" t="inlineStr">
        <is>
          <t xml:space="preserve">        path = filedialog.askdirectory(title="选择素材文件夹")</t>
        </is>
      </c>
    </row>
    <row r="264">
      <c r="A264" s="7" t="n">
        <v>261</v>
      </c>
      <c r="B264" s="8" t="inlineStr">
        <is>
          <t xml:space="preserve">        if path:</t>
        </is>
      </c>
    </row>
    <row r="265">
      <c r="A265" s="9" t="n">
        <v>262</v>
      </c>
      <c r="B265" s="10" t="inlineStr">
        <is>
          <t xml:space="preserve">            self.scan_paths = [path]</t>
        </is>
      </c>
    </row>
    <row r="266">
      <c r="A266" s="7" t="n">
        <v>263</v>
      </c>
      <c r="B266" s="8" t="inlineStr">
        <is>
          <t xml:space="preserve">            self._path_var.set(path)</t>
        </is>
      </c>
    </row>
    <row r="267">
      <c r="A267" s="9" t="n">
        <v>264</v>
      </c>
      <c r="B267" s="10" t="inlineStr">
        <is>
          <t xml:space="preserve">            self._log(f"已选择扫描路径: {path}")</t>
        </is>
      </c>
    </row>
    <row r="268">
      <c r="A268" s="7" t="n">
        <v>265</v>
      </c>
      <c r="B268" s="8" t="inlineStr">
        <is>
          <t xml:space="preserve">        else:</t>
        </is>
      </c>
    </row>
    <row r="269">
      <c r="A269" s="9" t="n">
        <v>266</v>
      </c>
      <c r="B269" s="10" t="inlineStr">
        <is>
          <t xml:space="preserve">            # 用户取消</t>
        </is>
      </c>
    </row>
    <row r="270">
      <c r="A270" s="7" t="n">
        <v>267</v>
      </c>
      <c r="B270" s="8" t="inlineStr">
        <is>
          <t xml:space="preserve">            pass</t>
        </is>
      </c>
    </row>
    <row r="271">
      <c r="A271" s="9" t="n">
        <v>268</v>
      </c>
      <c r="B271" s="10" t="inlineStr"/>
    </row>
    <row r="272">
      <c r="A272" s="7" t="n">
        <v>269</v>
      </c>
      <c r="B272" s="8" t="inlineStr">
        <is>
          <t xml:space="preserve">    def _estimate_video_count(self):</t>
        </is>
      </c>
    </row>
    <row r="273">
      <c r="A273" s="9" t="n">
        <v>270</v>
      </c>
      <c r="B273" s="10" t="inlineStr">
        <is>
          <t xml:space="preserve">        """估算全盘视频数量"""</t>
        </is>
      </c>
    </row>
    <row r="274">
      <c r="A274" s="7" t="n">
        <v>271</v>
      </c>
      <c r="B274" s="8" t="inlineStr">
        <is>
          <t xml:space="preserve">        def _estimate():</t>
        </is>
      </c>
    </row>
    <row r="275">
      <c r="A275" s="9" t="n">
        <v>272</v>
      </c>
      <c r="B275" s="10" t="inlineStr">
        <is>
          <t xml:space="preserve">            try:</t>
        </is>
      </c>
    </row>
    <row r="276">
      <c r="A276" s="7" t="n">
        <v>273</v>
      </c>
      <c r="B276" s="8" t="inlineStr">
        <is>
          <t xml:space="preserve">                from core.video_scanner import count_videos_in_dir, get_all_drives</t>
        </is>
      </c>
    </row>
    <row r="277">
      <c r="A277" s="9" t="n">
        <v>274</v>
      </c>
      <c r="B277" s="10" t="inlineStr">
        <is>
          <t xml:space="preserve">                paths = self.scan_paths if self.scan_paths else get_all_drives()</t>
        </is>
      </c>
    </row>
    <row r="278">
      <c r="A278" s="7" t="n">
        <v>275</v>
      </c>
      <c r="B278" s="8" t="inlineStr">
        <is>
          <t xml:space="preserve">                self._log("正在估算视频总数（这可能需要一些时间）...")</t>
        </is>
      </c>
    </row>
    <row r="279">
      <c r="A279" s="9" t="n">
        <v>276</v>
      </c>
      <c r="B279" s="10" t="inlineStr">
        <is>
          <t xml:space="preserve">                count = count_videos_in_dir(paths, max_count=50000)</t>
        </is>
      </c>
    </row>
    <row r="280">
      <c r="A280" s="7" t="n">
        <v>277</v>
      </c>
      <c r="B280" s="8" t="inlineStr">
        <is>
          <t xml:space="preserve">                self._progress_queue.put({"total_videos": count})</t>
        </is>
      </c>
    </row>
    <row r="281">
      <c r="A281" s="9" t="n">
        <v>278</v>
      </c>
      <c r="B281" s="10" t="inlineStr">
        <is>
          <t xml:space="preserve">                self._log(f"预估发现 ~{count:,} 个视频文件")</t>
        </is>
      </c>
    </row>
    <row r="282">
      <c r="A282" s="7" t="n">
        <v>279</v>
      </c>
      <c r="B282" s="8" t="inlineStr">
        <is>
          <t xml:space="preserve">                self._progress_queue.put({"scanned": 0})</t>
        </is>
      </c>
    </row>
    <row r="283">
      <c r="A283" s="9" t="n">
        <v>280</v>
      </c>
      <c r="B283" s="10" t="inlineStr">
        <is>
          <t xml:space="preserve">            except Exception as e:</t>
        </is>
      </c>
    </row>
    <row r="284">
      <c r="A284" s="7" t="n">
        <v>281</v>
      </c>
      <c r="B284" s="8" t="inlineStr">
        <is>
          <t xml:space="preserve">                self._log(f"估算失败: {e}")</t>
        </is>
      </c>
    </row>
    <row r="285">
      <c r="A285" s="9" t="n">
        <v>282</v>
      </c>
      <c r="B285" s="10" t="inlineStr"/>
    </row>
    <row r="286">
      <c r="A286" s="7" t="n">
        <v>283</v>
      </c>
      <c r="B286" s="8" t="inlineStr">
        <is>
          <t xml:space="preserve">        threading.Thread(target=_estimate, daemon=True).start()</t>
        </is>
      </c>
    </row>
    <row r="287">
      <c r="A287" s="9" t="n">
        <v>284</v>
      </c>
      <c r="B287" s="10" t="inlineStr"/>
    </row>
    <row r="288">
      <c r="A288" s="7" t="n">
        <v>285</v>
      </c>
      <c r="B288" s="8" t="inlineStr">
        <is>
          <t xml:space="preserve">    # ═══════════════════════════════════════════════</t>
        </is>
      </c>
    </row>
    <row r="289">
      <c r="A289" s="9" t="n">
        <v>286</v>
      </c>
      <c r="B289" s="10" t="inlineStr">
        <is>
          <t xml:space="preserve">    # 扫描控制</t>
        </is>
      </c>
    </row>
    <row r="290">
      <c r="A290" s="7" t="n">
        <v>287</v>
      </c>
      <c r="B290" s="8" t="inlineStr">
        <is>
          <t xml:space="preserve">    # ═══════════════════════════════════════════════</t>
        </is>
      </c>
    </row>
    <row r="291">
      <c r="A291" s="9" t="n">
        <v>288</v>
      </c>
      <c r="B291" s="10" t="inlineStr"/>
    </row>
    <row r="292">
      <c r="A292" s="7" t="n">
        <v>289</v>
      </c>
      <c r="B292" s="8" t="inlineStr">
        <is>
          <t xml:space="preserve">    def _start_scan(self):</t>
        </is>
      </c>
    </row>
    <row r="293">
      <c r="A293" s="9" t="n">
        <v>290</v>
      </c>
      <c r="B293" s="10" t="inlineStr">
        <is>
          <t xml:space="preserve">        """开始/继续扫描"""</t>
        </is>
      </c>
    </row>
    <row r="294">
      <c r="A294" s="7" t="n">
        <v>291</v>
      </c>
      <c r="B294" s="8" t="inlineStr">
        <is>
          <t xml:space="preserve">        if self._running and self._paused:</t>
        </is>
      </c>
    </row>
    <row r="295">
      <c r="A295" s="9" t="n">
        <v>292</v>
      </c>
      <c r="B295" s="10" t="inlineStr">
        <is>
          <t xml:space="preserve">            # 继续</t>
        </is>
      </c>
    </row>
    <row r="296">
      <c r="A296" s="7" t="n">
        <v>293</v>
      </c>
      <c r="B296" s="8" t="inlineStr">
        <is>
          <t xml:space="preserve">            self._paused = False</t>
        </is>
      </c>
    </row>
    <row r="297">
      <c r="A297" s="9" t="n">
        <v>294</v>
      </c>
      <c r="B297" s="10" t="inlineStr">
        <is>
          <t xml:space="preserve">            self._pause_event.set()</t>
        </is>
      </c>
    </row>
    <row r="298">
      <c r="A298" s="7" t="n">
        <v>295</v>
      </c>
      <c r="B298" s="8" t="inlineStr">
        <is>
          <t xml:space="preserve">            self._btn_pause.configure(text="⏸ 暂停")</t>
        </is>
      </c>
    </row>
    <row r="299">
      <c r="A299" s="9" t="n">
        <v>296</v>
      </c>
      <c r="B299" s="10" t="inlineStr">
        <is>
          <t xml:space="preserve">            self._log("▶ 扫描已继续")</t>
        </is>
      </c>
    </row>
    <row r="300">
      <c r="A300" s="7" t="n">
        <v>297</v>
      </c>
      <c r="B300" s="8" t="inlineStr">
        <is>
          <t xml:space="preserve">            return</t>
        </is>
      </c>
    </row>
    <row r="301">
      <c r="A301" s="9" t="n">
        <v>298</v>
      </c>
      <c r="B301" s="10" t="inlineStr"/>
    </row>
    <row r="302">
      <c r="A302" s="7" t="n">
        <v>299</v>
      </c>
      <c r="B302" s="8" t="inlineStr">
        <is>
          <t xml:space="preserve">        if self._running:</t>
        </is>
      </c>
    </row>
    <row r="303">
      <c r="A303" s="9" t="n">
        <v>300</v>
      </c>
      <c r="B303" s="10" t="inlineStr">
        <is>
          <t xml:space="preserve">            return</t>
        </is>
      </c>
    </row>
    <row r="304">
      <c r="A304" s="7" t="n">
        <v>301</v>
      </c>
      <c r="B304" s="8" t="inlineStr"/>
    </row>
    <row r="305">
      <c r="A305" s="9" t="n">
        <v>302</v>
      </c>
      <c r="B305" s="10" t="inlineStr">
        <is>
          <t xml:space="preserve">        self._running = True</t>
        </is>
      </c>
    </row>
    <row r="306">
      <c r="A306" s="7" t="n">
        <v>303</v>
      </c>
      <c r="B306" s="8" t="inlineStr">
        <is>
          <t xml:space="preserve">        self._paused = False</t>
        </is>
      </c>
    </row>
    <row r="307">
      <c r="A307" s="9" t="n">
        <v>304</v>
      </c>
      <c r="B307" s="10" t="inlineStr">
        <is>
          <t xml:space="preserve">        self._cancel_event.clear()</t>
        </is>
      </c>
    </row>
    <row r="308">
      <c r="A308" s="7" t="n">
        <v>305</v>
      </c>
      <c r="B308" s="8" t="inlineStr">
        <is>
          <t xml:space="preserve">        self._pause_event.set()  # 初始不暂停</t>
        </is>
      </c>
    </row>
    <row r="309">
      <c r="A309" s="9" t="n">
        <v>306</v>
      </c>
      <c r="B309" s="10" t="inlineStr"/>
    </row>
    <row r="310">
      <c r="A310" s="7" t="n">
        <v>307</v>
      </c>
      <c r="B310" s="8" t="inlineStr">
        <is>
          <t xml:space="preserve">        self._start_time = time.time()</t>
        </is>
      </c>
    </row>
    <row r="311">
      <c r="A311" s="9" t="n">
        <v>308</v>
      </c>
      <c r="B311" s="10" t="inlineStr">
        <is>
          <t xml:space="preserve">        self._scanned_count = 0</t>
        </is>
      </c>
    </row>
    <row r="312">
      <c r="A312" s="7" t="n">
        <v>309</v>
      </c>
      <c r="B312" s="8" t="inlineStr">
        <is>
          <t xml:space="preserve">        self._island_found = 0</t>
        </is>
      </c>
    </row>
    <row r="313">
      <c r="A313" s="9" t="n">
        <v>310</v>
      </c>
      <c r="B313" s="10" t="inlineStr">
        <is>
          <t xml:space="preserve">        self._saved_count = 0</t>
        </is>
      </c>
    </row>
    <row r="314">
      <c r="A314" s="7" t="n">
        <v>311</v>
      </c>
      <c r="B314" s="8" t="inlineStr"/>
    </row>
    <row r="315">
      <c r="A315" s="9" t="n">
        <v>312</v>
      </c>
      <c r="B315" s="10" t="inlineStr">
        <is>
          <t xml:space="preserve">        self._log_area.delete("1.0", "end")</t>
        </is>
      </c>
    </row>
    <row r="316">
      <c r="A316" s="7" t="n">
        <v>313</v>
      </c>
      <c r="B316" s="8" t="inlineStr">
        <is>
          <t xml:space="preserve">        self._log("=" * 50)</t>
        </is>
      </c>
    </row>
    <row r="317">
      <c r="A317" s="9" t="n">
        <v>314</v>
      </c>
      <c r="B317" s="10" t="inlineStr">
        <is>
          <t xml:space="preserve">        self._log("  树剪 AI 全盘素材扫描分析开始")</t>
        </is>
      </c>
    </row>
    <row r="318">
      <c r="A318" s="7" t="n">
        <v>315</v>
      </c>
      <c r="B318" s="8" t="inlineStr">
        <is>
          <t xml:space="preserve">        self._log(f"  抽帧间隔: {self._frame_interval.get()}s")</t>
        </is>
      </c>
    </row>
    <row r="319">
      <c r="A319" s="9" t="n">
        <v>316</v>
      </c>
      <c r="B319" s="10" t="inlineStr">
        <is>
          <t xml:space="preserve">        self._log(f"  并发数: {self._max_workers.get()}")</t>
        </is>
      </c>
    </row>
    <row r="320">
      <c r="A320" s="7" t="n">
        <v>317</v>
      </c>
      <c r="B320" s="8" t="inlineStr">
        <is>
          <t xml:space="preserve">        self._log(f"  跳过已分析: {'是' if self._skip_analyzed.get() else '否'}")</t>
        </is>
      </c>
    </row>
    <row r="321">
      <c r="A321" s="9" t="n">
        <v>318</v>
      </c>
      <c r="B321" s="10" t="inlineStr">
        <is>
          <t xml:space="preserve">        self._log("=" * 50)</t>
        </is>
      </c>
    </row>
    <row r="322">
      <c r="A322" s="7" t="n">
        <v>319</v>
      </c>
      <c r="B322" s="8" t="inlineStr"/>
    </row>
    <row r="323">
      <c r="A323" s="9" t="n">
        <v>320</v>
      </c>
      <c r="B323" s="10" t="inlineStr">
        <is>
          <t xml:space="preserve">        self._btn_start.pack_forget()</t>
        </is>
      </c>
    </row>
    <row r="324">
      <c r="A324" s="7" t="n">
        <v>321</v>
      </c>
      <c r="B324" s="8" t="inlineStr">
        <is>
          <t xml:space="preserve">        self._btn_start = RoundedButton(</t>
        </is>
      </c>
    </row>
    <row r="325">
      <c r="A325" s="9" t="n">
        <v>322</v>
      </c>
      <c r="B325" s="10" t="inlineStr">
        <is>
          <t xml:space="preserve">            self._btn_start.master, text="▶ 开始扫描",</t>
        </is>
      </c>
    </row>
    <row r="326">
      <c r="A326" s="7" t="n">
        <v>323</v>
      </c>
      <c r="B326" s="8" t="inlineStr">
        <is>
          <t xml:space="preserve">            command=self._start_scan, width=130, height=38,</t>
        </is>
      </c>
    </row>
    <row r="327">
      <c r="A327" s="9" t="n">
        <v>324</v>
      </c>
      <c r="B327" s="10" t="inlineStr">
        <is>
          <t xml:space="preserve">            bg_color="#0d6efd", fg_color="#ffffff",</t>
        </is>
      </c>
    </row>
    <row r="328">
      <c r="A328" s="7" t="n">
        <v>325</v>
      </c>
      <c r="B328" s="8" t="inlineStr">
        <is>
          <t xml:space="preserve">            hover_color="#0b5ed7", radius=12)</t>
        </is>
      </c>
    </row>
    <row r="329">
      <c r="A329" s="9" t="n">
        <v>326</v>
      </c>
      <c r="B329" s="10" t="inlineStr">
        <is>
          <t xml:space="preserve">        self._btn_start.configure(state="disabled")</t>
        </is>
      </c>
    </row>
    <row r="330">
      <c r="A330" s="7" t="n">
        <v>327</v>
      </c>
      <c r="B330" s="8" t="inlineStr">
        <is>
          <t xml:space="preserve">        # Re-pack at the same position</t>
        </is>
      </c>
    </row>
    <row r="331">
      <c r="A331" s="9" t="n">
        <v>328</v>
      </c>
      <c r="B331" s="10" t="inlineStr">
        <is>
          <t xml:space="preserve">        self._btn_start.pack_forget()</t>
        </is>
      </c>
    </row>
    <row r="332">
      <c r="A332" s="7" t="n">
        <v>329</v>
      </c>
      <c r="B332" s="8" t="inlineStr">
        <is>
          <t xml:space="preserve">        self._btn_start.pack(side="left", padx=3, before=self._btn_pause)</t>
        </is>
      </c>
    </row>
    <row r="333">
      <c r="A333" s="9" t="n">
        <v>330</v>
      </c>
      <c r="B333" s="10" t="inlineStr">
        <is>
          <t xml:space="preserve">        self._btn_start.configure(state="disabled")</t>
        </is>
      </c>
    </row>
    <row r="334">
      <c r="A334" s="7" t="n">
        <v>331</v>
      </c>
      <c r="B334" s="8" t="inlineStr"/>
    </row>
    <row r="335">
      <c r="A335" s="9" t="n">
        <v>332</v>
      </c>
      <c r="B335" s="10" t="inlineStr">
        <is>
          <t xml:space="preserve">        self._btn_pause.configure(state="normal")</t>
        </is>
      </c>
    </row>
    <row r="336">
      <c r="A336" s="7" t="n">
        <v>333</v>
      </c>
      <c r="B336" s="8" t="inlineStr">
        <is>
          <t xml:space="preserve">        self._btn_stop.configure(state="normal")</t>
        </is>
      </c>
    </row>
    <row r="337">
      <c r="A337" s="9" t="n">
        <v>334</v>
      </c>
      <c r="B337" s="10" t="inlineStr">
        <is>
          <t xml:space="preserve">        self._progress_bar["value"] = 0</t>
        </is>
      </c>
    </row>
    <row r="338">
      <c r="A338" s="7" t="n">
        <v>335</v>
      </c>
      <c r="B338" s="8" t="inlineStr"/>
    </row>
    <row r="339">
      <c r="A339" s="9" t="n">
        <v>336</v>
      </c>
      <c r="B339" s="10" t="inlineStr">
        <is>
          <t xml:space="preserve">        # 启动后台扫描线程</t>
        </is>
      </c>
    </row>
    <row r="340">
      <c r="A340" s="7" t="n">
        <v>337</v>
      </c>
      <c r="B340" s="8" t="inlineStr">
        <is>
          <t xml:space="preserve">        self._scanner_thread = threading.Thread(</t>
        </is>
      </c>
    </row>
    <row r="341">
      <c r="A341" s="9" t="n">
        <v>338</v>
      </c>
      <c r="B341" s="10" t="inlineStr">
        <is>
          <t xml:space="preserve">            target=self._scan_thread_main, daemon=True</t>
        </is>
      </c>
    </row>
    <row r="342">
      <c r="A342" s="7" t="n">
        <v>339</v>
      </c>
      <c r="B342" s="8" t="inlineStr">
        <is>
          <t xml:space="preserve">        )</t>
        </is>
      </c>
    </row>
    <row r="343">
      <c r="A343" s="9" t="n">
        <v>340</v>
      </c>
      <c r="B343" s="10" t="inlineStr">
        <is>
          <t xml:space="preserve">        self._scanner_thread.start()</t>
        </is>
      </c>
    </row>
    <row r="344">
      <c r="A344" s="7" t="n">
        <v>341</v>
      </c>
      <c r="B344" s="8" t="inlineStr"/>
    </row>
    <row r="345">
      <c r="A345" s="9" t="n">
        <v>342</v>
      </c>
      <c r="B345" s="10" t="inlineStr">
        <is>
          <t xml:space="preserve">    def _toggle_pause(self):</t>
        </is>
      </c>
    </row>
    <row r="346">
      <c r="A346" s="7" t="n">
        <v>343</v>
      </c>
      <c r="B346" s="8" t="inlineStr">
        <is>
          <t xml:space="preserve">        """暂停/继续"""</t>
        </is>
      </c>
    </row>
    <row r="347">
      <c r="A347" s="9" t="n">
        <v>344</v>
      </c>
      <c r="B347" s="10" t="inlineStr">
        <is>
          <t xml:space="preserve">        if not self._running:</t>
        </is>
      </c>
    </row>
    <row r="348">
      <c r="A348" s="7" t="n">
        <v>345</v>
      </c>
      <c r="B348" s="8" t="inlineStr">
        <is>
          <t xml:space="preserve">            return</t>
        </is>
      </c>
    </row>
    <row r="349">
      <c r="A349" s="9" t="n">
        <v>346</v>
      </c>
      <c r="B349" s="10" t="inlineStr">
        <is>
          <t xml:space="preserve">        if self._paused:</t>
        </is>
      </c>
    </row>
    <row r="350">
      <c r="A350" s="7" t="n">
        <v>347</v>
      </c>
      <c r="B350" s="8" t="inlineStr">
        <is>
          <t xml:space="preserve">            # 继续</t>
        </is>
      </c>
    </row>
    <row r="351">
      <c r="A351" s="9" t="n">
        <v>348</v>
      </c>
      <c r="B351" s="10" t="inlineStr">
        <is>
          <t xml:space="preserve">            self._paused = False</t>
        </is>
      </c>
    </row>
    <row r="352">
      <c r="A352" s="7" t="n">
        <v>349</v>
      </c>
      <c r="B352" s="8" t="inlineStr">
        <is>
          <t xml:space="preserve">            self._pause_event.set()</t>
        </is>
      </c>
    </row>
    <row r="353">
      <c r="A353" s="9" t="n">
        <v>350</v>
      </c>
      <c r="B353" s="10" t="inlineStr">
        <is>
          <t xml:space="preserve">            self._btn_pause.configure(text="⏸ 暂停")</t>
        </is>
      </c>
    </row>
    <row r="354">
      <c r="A354" s="7" t="n">
        <v>351</v>
      </c>
      <c r="B354" s="8" t="inlineStr">
        <is>
          <t xml:space="preserve">            self._log("▶ 扫描已继续")</t>
        </is>
      </c>
    </row>
    <row r="355">
      <c r="A355" s="9" t="n">
        <v>352</v>
      </c>
      <c r="B355" s="10" t="inlineStr">
        <is>
          <t xml:space="preserve">        else:</t>
        </is>
      </c>
    </row>
    <row r="356">
      <c r="A356" s="7" t="n">
        <v>353</v>
      </c>
      <c r="B356" s="8" t="inlineStr">
        <is>
          <t xml:space="preserve">            # 暂停</t>
        </is>
      </c>
    </row>
    <row r="357">
      <c r="A357" s="9" t="n">
        <v>354</v>
      </c>
      <c r="B357" s="10" t="inlineStr">
        <is>
          <t xml:space="preserve">            self._paused = True</t>
        </is>
      </c>
    </row>
    <row r="358">
      <c r="A358" s="7" t="n">
        <v>355</v>
      </c>
      <c r="B358" s="8" t="inlineStr">
        <is>
          <t xml:space="preserve">            self._pause_event.clear()</t>
        </is>
      </c>
    </row>
    <row r="359">
      <c r="A359" s="9" t="n">
        <v>356</v>
      </c>
      <c r="B359" s="10" t="inlineStr">
        <is>
          <t xml:space="preserve">            self._btn_pause.configure(text="▶ 继续")</t>
        </is>
      </c>
    </row>
    <row r="360">
      <c r="A360" s="7" t="n">
        <v>357</v>
      </c>
      <c r="B360" s="8" t="inlineStr">
        <is>
          <t xml:space="preserve">            self._log("⏸ 扫描已暂停")</t>
        </is>
      </c>
    </row>
    <row r="361">
      <c r="A361" s="9" t="n">
        <v>358</v>
      </c>
      <c r="B361" s="10" t="inlineStr"/>
    </row>
    <row r="362">
      <c r="A362" s="7" t="n">
        <v>359</v>
      </c>
      <c r="B362" s="8" t="inlineStr">
        <is>
          <t xml:space="preserve">    def _stop_scan(self):</t>
        </is>
      </c>
    </row>
    <row r="363">
      <c r="A363" s="9" t="n">
        <v>360</v>
      </c>
      <c r="B363" s="10" t="inlineStr">
        <is>
          <t xml:space="preserve">        """停止扫描"""</t>
        </is>
      </c>
    </row>
    <row r="364">
      <c r="A364" s="7" t="n">
        <v>361</v>
      </c>
      <c r="B364" s="8" t="inlineStr">
        <is>
          <t xml:space="preserve">        self._cancel_event.set()</t>
        </is>
      </c>
    </row>
    <row r="365">
      <c r="A365" s="9" t="n">
        <v>362</v>
      </c>
      <c r="B365" s="10" t="inlineStr">
        <is>
          <t xml:space="preserve">        self._pause_event.set()  # 如果正在暂停，先恢复以便退出</t>
        </is>
      </c>
    </row>
    <row r="366">
      <c r="A366" s="7" t="n">
        <v>363</v>
      </c>
      <c r="B366" s="8" t="inlineStr">
        <is>
          <t xml:space="preserve">        self._running = False</t>
        </is>
      </c>
    </row>
    <row r="367">
      <c r="A367" s="9" t="n">
        <v>364</v>
      </c>
      <c r="B367" s="10" t="inlineStr">
        <is>
          <t xml:space="preserve">        self._paused = False</t>
        </is>
      </c>
    </row>
    <row r="368">
      <c r="A368" s="7" t="n">
        <v>365</v>
      </c>
      <c r="B368" s="8" t="inlineStr">
        <is>
          <t xml:space="preserve">        self._btn_start.configure(state="normal")</t>
        </is>
      </c>
    </row>
    <row r="369">
      <c r="A369" s="9" t="n">
        <v>366</v>
      </c>
      <c r="B369" s="10" t="inlineStr">
        <is>
          <t xml:space="preserve">        self._btn_pause.configure(state="disabled")</t>
        </is>
      </c>
    </row>
    <row r="370">
      <c r="A370" s="7" t="n">
        <v>367</v>
      </c>
      <c r="B370" s="8" t="inlineStr">
        <is>
          <t xml:space="preserve">        self._btn_stop.configure(state="disabled")</t>
        </is>
      </c>
    </row>
    <row r="371">
      <c r="A371" s="9" t="n">
        <v>368</v>
      </c>
      <c r="B371" s="10" t="inlineStr">
        <is>
          <t xml:space="preserve">        self._log("⏹ 扫描已停止")</t>
        </is>
      </c>
    </row>
    <row r="372">
      <c r="A372" s="7" t="n">
        <v>369</v>
      </c>
      <c r="B372" s="8" t="inlineStr"/>
    </row>
    <row r="373">
      <c r="A373" s="9" t="n">
        <v>370</v>
      </c>
      <c r="B373" s="10" t="inlineStr">
        <is>
          <t xml:space="preserve">    # ═══════════════════════════════════════════════</t>
        </is>
      </c>
    </row>
    <row r="374">
      <c r="A374" s="7" t="n">
        <v>371</v>
      </c>
      <c r="B374" s="8" t="inlineStr">
        <is>
          <t xml:space="preserve">    # 扫描主线程</t>
        </is>
      </c>
    </row>
    <row r="375">
      <c r="A375" s="9" t="n">
        <v>372</v>
      </c>
      <c r="B375" s="10" t="inlineStr">
        <is>
          <t xml:space="preserve">    # ═══════════════════════════════════════════════</t>
        </is>
      </c>
    </row>
    <row r="376">
      <c r="A376" s="7" t="n">
        <v>373</v>
      </c>
      <c r="B376" s="8" t="inlineStr"/>
    </row>
    <row r="377">
      <c r="A377" s="9" t="n">
        <v>374</v>
      </c>
      <c r="B377" s="10" t="inlineStr">
        <is>
          <t xml:space="preserve">    def _scan_thread_main(self):</t>
        </is>
      </c>
    </row>
    <row r="378">
      <c r="A378" s="7" t="n">
        <v>375</v>
      </c>
      <c r="B378" s="8" t="inlineStr">
        <is>
          <t xml:space="preserve">        """后台扫描主流程"""</t>
        </is>
      </c>
    </row>
    <row r="379">
      <c r="A379" s="9" t="n">
        <v>376</v>
      </c>
      <c r="B379" s="10" t="inlineStr">
        <is>
          <t xml:space="preserve">        try:</t>
        </is>
      </c>
    </row>
    <row r="380">
      <c r="A380" s="7" t="n">
        <v>377</v>
      </c>
      <c r="B380" s="8" t="inlineStr">
        <is>
          <t xml:space="preserve">            from core.video_scanner import (</t>
        </is>
      </c>
    </row>
    <row r="381">
      <c r="A381" s="9" t="n">
        <v>378</v>
      </c>
      <c r="B381" s="10" t="inlineStr">
        <is>
          <t xml:space="preserve">                iter_all_videos, get_all_drives,</t>
        </is>
      </c>
    </row>
    <row r="382">
      <c r="A382" s="7" t="n">
        <v>379</v>
      </c>
      <c r="B382" s="8" t="inlineStr">
        <is>
          <t xml:space="preserve">                DEFAULT_EXCLUDE_DIRS, DEFAULT_VIDEO_EXTENSIONS,</t>
        </is>
      </c>
    </row>
    <row r="383">
      <c r="A383" s="9" t="n">
        <v>380</v>
      </c>
      <c r="B383" s="10" t="inlineStr">
        <is>
          <t xml:space="preserve">                load_scan_checkpoint, save_scan_checkpoint, clear_scan_checkpoint,</t>
        </is>
      </c>
    </row>
    <row r="384">
      <c r="A384" s="7" t="n">
        <v>381</v>
      </c>
      <c r="B384" s="8" t="inlineStr">
        <is>
          <t xml:space="preserve">                get_video_file_info, count_videos_in_dir,</t>
        </is>
      </c>
    </row>
    <row r="385">
      <c r="A385" s="9" t="n">
        <v>382</v>
      </c>
      <c r="B385" s="10" t="inlineStr">
        <is>
          <t xml:space="preserve">            )</t>
        </is>
      </c>
    </row>
    <row r="386">
      <c r="A386" s="7" t="n">
        <v>383</v>
      </c>
      <c r="B386" s="8" t="inlineStr">
        <is>
          <t xml:space="preserve">            from core.smart_analyzer import get_analyzer</t>
        </is>
      </c>
    </row>
    <row r="387">
      <c r="A387" s="9" t="n">
        <v>384</v>
      </c>
      <c r="B387" s="10" t="inlineStr">
        <is>
          <t xml:space="preserve">            from core.library_builder import LibraryBuilder</t>
        </is>
      </c>
    </row>
    <row r="388">
      <c r="A388" s="7" t="n">
        <v>385</v>
      </c>
      <c r="B388" s="8" t="inlineStr">
        <is>
          <t xml:space="preserve">        except Exception as e:</t>
        </is>
      </c>
    </row>
    <row r="389">
      <c r="A389" s="9" t="n">
        <v>386</v>
      </c>
      <c r="B389" s="10" t="inlineStr">
        <is>
          <t xml:space="preserve">            self._log(f"❌ 模块加载失败: {e}")</t>
        </is>
      </c>
    </row>
    <row r="390">
      <c r="A390" s="7" t="n">
        <v>387</v>
      </c>
      <c r="B390" s="8" t="inlineStr">
        <is>
          <t xml:space="preserve">            self._stop_scan()</t>
        </is>
      </c>
    </row>
    <row r="391">
      <c r="A391" s="9" t="n">
        <v>388</v>
      </c>
      <c r="B391" s="10" t="inlineStr">
        <is>
          <t xml:space="preserve">            return</t>
        </is>
      </c>
    </row>
    <row r="392">
      <c r="A392" s="7" t="n">
        <v>389</v>
      </c>
      <c r="B392" s="8" t="inlineStr"/>
    </row>
    <row r="393">
      <c r="A393" s="9" t="n">
        <v>390</v>
      </c>
      <c r="B393" s="10" t="inlineStr">
        <is>
          <t xml:space="preserve">        # 确定扫描路径</t>
        </is>
      </c>
    </row>
    <row r="394">
      <c r="A394" s="7" t="n">
        <v>391</v>
      </c>
      <c r="B394" s="8" t="inlineStr">
        <is>
          <t xml:space="preserve">        paths = self.scan_paths</t>
        </is>
      </c>
    </row>
    <row r="395">
      <c r="A395" s="9" t="n">
        <v>392</v>
      </c>
      <c r="B395" s="10" t="inlineStr">
        <is>
          <t xml:space="preserve">        if not paths:</t>
        </is>
      </c>
    </row>
    <row r="396">
      <c r="A396" s="7" t="n">
        <v>393</v>
      </c>
      <c r="B396" s="8" t="inlineStr">
        <is>
          <t xml:space="preserve">            paths = get_all_drives()</t>
        </is>
      </c>
    </row>
    <row r="397">
      <c r="A397" s="9" t="n">
        <v>394</v>
      </c>
      <c r="B397" s="10" t="inlineStr">
        <is>
          <t xml:space="preserve">            self._log(f"全盘扫描: {', '.join(paths)}")</t>
        </is>
      </c>
    </row>
    <row r="398">
      <c r="A398" s="7" t="n">
        <v>395</v>
      </c>
      <c r="B398" s="8" t="inlineStr"/>
    </row>
    <row r="399">
      <c r="A399" s="9" t="n">
        <v>396</v>
      </c>
      <c r="B399" s="10" t="inlineStr">
        <is>
          <t xml:space="preserve">        # 估算总数</t>
        </is>
      </c>
    </row>
    <row r="400">
      <c r="A400" s="7" t="n">
        <v>397</v>
      </c>
      <c r="B400" s="8" t="inlineStr">
        <is>
          <t xml:space="preserve">        self._log("正在估算视频总数...")</t>
        </is>
      </c>
    </row>
    <row r="401">
      <c r="A401" s="9" t="n">
        <v>398</v>
      </c>
      <c r="B401" s="10" t="inlineStr">
        <is>
          <t xml:space="preserve">        total = count_videos_in_dir(paths, max_count=50000)</t>
        </is>
      </c>
    </row>
    <row r="402">
      <c r="A402" s="7" t="n">
        <v>399</v>
      </c>
      <c r="B402" s="8" t="inlineStr">
        <is>
          <t xml:space="preserve">        self._progress_queue.put({"total_videos": total})</t>
        </is>
      </c>
    </row>
    <row r="403">
      <c r="A403" s="9" t="n">
        <v>400</v>
      </c>
      <c r="B403" s="10" t="inlineStr">
        <is>
          <t xml:space="preserve">        self._log(f"预估总数: ~{total:,} 个视频")</t>
        </is>
      </c>
    </row>
    <row r="404">
      <c r="A404" s="7" t="n">
        <v>401</v>
      </c>
      <c r="B404" s="8" t="inlineStr"/>
    </row>
    <row r="405">
      <c r="A405" s="9" t="n">
        <v>402</v>
      </c>
      <c r="B405" s="10" t="inlineStr">
        <is>
          <t xml:space="preserve">        # 创建分析器</t>
        </is>
      </c>
    </row>
    <row r="406">
      <c r="A406" s="7" t="n">
        <v>403</v>
      </c>
      <c r="B406" s="8" t="inlineStr">
        <is>
          <t xml:space="preserve">        analyzer = get_analyzer(max_workers=self._max_workers.get())</t>
        </is>
      </c>
    </row>
    <row r="407">
      <c r="A407" s="9" t="n">
        <v>404</v>
      </c>
      <c r="B407" s="10" t="inlineStr">
        <is>
          <t xml:space="preserve">        analyzer.reset_cancel()</t>
        </is>
      </c>
    </row>
    <row r="408">
      <c r="A408" s="7" t="n">
        <v>405</v>
      </c>
      <c r="B408" s="8" t="inlineStr">
        <is>
          <t xml:space="preserve">        frame_interval = self._frame_interval.get()</t>
        </is>
      </c>
    </row>
    <row r="409">
      <c r="A409" s="9" t="n">
        <v>406</v>
      </c>
      <c r="B409" s="10" t="inlineStr"/>
    </row>
    <row r="410">
      <c r="A410" s="7" t="n">
        <v>407</v>
      </c>
      <c r="B410" s="8" t="inlineStr">
        <is>
          <t xml:space="preserve">        # 加载已分析列表</t>
        </is>
      </c>
    </row>
    <row r="411">
      <c r="A411" s="9" t="n">
        <v>408</v>
      </c>
      <c r="B411" s="10" t="inlineStr">
        <is>
          <t xml:space="preserve">        lb = LibraryBuilder()</t>
        </is>
      </c>
    </row>
    <row r="412">
      <c r="A412" s="7" t="n">
        <v>409</v>
      </c>
      <c r="B412" s="8" t="inlineStr">
        <is>
          <t xml:space="preserve">        skip_analyzed = self._skip_analyzed.get()</t>
        </is>
      </c>
    </row>
    <row r="413">
      <c r="A413" s="9" t="n">
        <v>410</v>
      </c>
      <c r="B413" s="10" t="inlineStr"/>
    </row>
    <row r="414">
      <c r="A414" s="7" t="n">
        <v>411</v>
      </c>
      <c r="B414" s="8" t="inlineStr">
        <is>
          <t xml:space="preserve">        # 遍历视频</t>
        </is>
      </c>
    </row>
    <row r="415">
      <c r="A415" s="9" t="n">
        <v>412</v>
      </c>
      <c r="B415" s="10" t="inlineStr">
        <is>
          <t xml:space="preserve">        scanned = 0</t>
        </is>
      </c>
    </row>
    <row r="416">
      <c r="A416" s="7" t="n">
        <v>413</v>
      </c>
      <c r="B416" s="8" t="inlineStr">
        <is>
          <t xml:space="preserve">        pending_batch = []</t>
        </is>
      </c>
    </row>
    <row r="417">
      <c r="A417" s="9" t="n">
        <v>414</v>
      </c>
      <c r="B417" s="10" t="inlineStr">
        <is>
          <t xml:space="preserve">        BATCH_SIZE = 10  # 每批10个视频</t>
        </is>
      </c>
    </row>
    <row r="418">
      <c r="A418" s="7" t="n">
        <v>415</v>
      </c>
      <c r="B418" s="8" t="inlineStr"/>
    </row>
    <row r="419">
      <c r="A419" s="9" t="n">
        <v>416</v>
      </c>
      <c r="B419" s="10" t="inlineStr">
        <is>
          <t xml:space="preserve">        checkpoint = load_scan_checkpoint()</t>
        </is>
      </c>
    </row>
    <row r="420">
      <c r="A420" s="7" t="n">
        <v>417</v>
      </c>
      <c r="B420" s="8" t="inlineStr">
        <is>
          <t xml:space="preserve">        last_path = checkpoint.get("last_path")</t>
        </is>
      </c>
    </row>
    <row r="421">
      <c r="A421" s="9" t="n">
        <v>418</v>
      </c>
      <c r="B421" s="10" t="inlineStr"/>
    </row>
    <row r="422">
      <c r="A422" s="7" t="n">
        <v>419</v>
      </c>
      <c r="B422" s="8" t="inlineStr">
        <is>
          <t xml:space="preserve">        try:</t>
        </is>
      </c>
    </row>
    <row r="423">
      <c r="A423" s="9" t="n">
        <v>420</v>
      </c>
      <c r="B423" s="10" t="inlineStr">
        <is>
          <t xml:space="preserve">            for video_path in iter_all_videos(</t>
        </is>
      </c>
    </row>
    <row r="424">
      <c r="A424" s="7" t="n">
        <v>421</v>
      </c>
      <c r="B424" s="8" t="inlineStr">
        <is>
          <t xml:space="preserve">                root_paths=paths,</t>
        </is>
      </c>
    </row>
    <row r="425">
      <c r="A425" s="9" t="n">
        <v>422</v>
      </c>
      <c r="B425" s="10" t="inlineStr">
        <is>
          <t xml:space="preserve">                exclude_dirs=DEFAULT_EXCLUDE_DIRS,</t>
        </is>
      </c>
    </row>
    <row r="426">
      <c r="A426" s="7" t="n">
        <v>423</v>
      </c>
      <c r="B426" s="8" t="inlineStr">
        <is>
          <t xml:space="preserve">                cancel_event=self._cancel_event,</t>
        </is>
      </c>
    </row>
    <row r="427">
      <c r="A427" s="9" t="n">
        <v>424</v>
      </c>
      <c r="B427" s="10" t="inlineStr">
        <is>
          <t xml:space="preserve">            ):</t>
        </is>
      </c>
    </row>
    <row r="428">
      <c r="A428" s="7" t="n">
        <v>425</v>
      </c>
      <c r="B428" s="8" t="inlineStr">
        <is>
          <t xml:space="preserve">                # 暂停检查</t>
        </is>
      </c>
    </row>
    <row r="429">
      <c r="A429" s="9" t="n">
        <v>426</v>
      </c>
      <c r="B429" s="10" t="inlineStr">
        <is>
          <t xml:space="preserve">                if not self._pause_event.is_set():</t>
        </is>
      </c>
    </row>
    <row r="430">
      <c r="A430" s="7" t="n">
        <v>427</v>
      </c>
      <c r="B430" s="8" t="inlineStr">
        <is>
          <t xml:space="preserve">                    self._log("⏸ 等待恢复...")</t>
        </is>
      </c>
    </row>
    <row r="431">
      <c r="A431" s="9" t="n">
        <v>428</v>
      </c>
      <c r="B431" s="10" t="inlineStr">
        <is>
          <t xml:space="preserve">                    self._pause_event.wait()</t>
        </is>
      </c>
    </row>
    <row r="432">
      <c r="A432" s="7" t="n">
        <v>429</v>
      </c>
      <c r="B432" s="8" t="inlineStr"/>
    </row>
    <row r="433">
      <c r="A433" s="9" t="n">
        <v>430</v>
      </c>
      <c r="B433" s="10" t="inlineStr">
        <is>
          <t xml:space="preserve">                # 取消检查</t>
        </is>
      </c>
    </row>
    <row r="434">
      <c r="A434" s="7" t="n">
        <v>431</v>
      </c>
      <c r="B434" s="8" t="inlineStr">
        <is>
          <t xml:space="preserve">                if self._cancel_event.is_set():</t>
        </is>
      </c>
    </row>
    <row r="435">
      <c r="A435" s="9" t="n">
        <v>432</v>
      </c>
      <c r="B435" s="10" t="inlineStr">
        <is>
          <t xml:space="preserve">                    self._log("⏹ 收到停止信号")</t>
        </is>
      </c>
    </row>
    <row r="436">
      <c r="A436" s="7" t="n">
        <v>433</v>
      </c>
      <c r="B436" s="8" t="inlineStr">
        <is>
          <t xml:space="preserve">                    break</t>
        </is>
      </c>
    </row>
    <row r="437">
      <c r="A437" s="9" t="n">
        <v>434</v>
      </c>
      <c r="B437" s="10" t="inlineStr"/>
    </row>
    <row r="438">
      <c r="A438" s="7" t="n">
        <v>435</v>
      </c>
      <c r="B438" s="8" t="inlineStr">
        <is>
          <t xml:space="preserve">                # 跳过已分析</t>
        </is>
      </c>
    </row>
    <row r="439">
      <c r="A439" s="9" t="n">
        <v>436</v>
      </c>
      <c r="B439" s="10" t="inlineStr">
        <is>
          <t xml:space="preserve">                if skip_analyzed:</t>
        </is>
      </c>
    </row>
    <row r="440">
      <c r="A440" s="7" t="n">
        <v>437</v>
      </c>
      <c r="B440" s="8" t="inlineStr">
        <is>
          <t xml:space="preserve">                    try:</t>
        </is>
      </c>
    </row>
    <row r="441">
      <c r="A441" s="9" t="n">
        <v>438</v>
      </c>
      <c r="B441" s="10" t="inlineStr">
        <is>
          <t xml:space="preserve">                        pending = lb.get_pending_videos([video_path])</t>
        </is>
      </c>
    </row>
    <row r="442">
      <c r="A442" s="7" t="n">
        <v>439</v>
      </c>
      <c r="B442" s="8" t="inlineStr">
        <is>
          <t xml:space="preserve">                        if not pending:  # 无变化，跳过</t>
        </is>
      </c>
    </row>
    <row r="443">
      <c r="A443" s="9" t="n">
        <v>440</v>
      </c>
      <c r="B443" s="10" t="inlineStr">
        <is>
          <t xml:space="preserve">                            scanned += 1</t>
        </is>
      </c>
    </row>
    <row r="444">
      <c r="A444" s="7" t="n">
        <v>441</v>
      </c>
      <c r="B444" s="8" t="inlineStr">
        <is>
          <t xml:space="preserve">                            continue</t>
        </is>
      </c>
    </row>
    <row r="445">
      <c r="A445" s="9" t="n">
        <v>442</v>
      </c>
      <c r="B445" s="10" t="inlineStr">
        <is>
          <t xml:space="preserve">                    except Exception:</t>
        </is>
      </c>
    </row>
    <row r="446">
      <c r="A446" s="7" t="n">
        <v>443</v>
      </c>
      <c r="B446" s="8" t="inlineStr">
        <is>
          <t xml:space="preserve">                        pass</t>
        </is>
      </c>
    </row>
    <row r="447">
      <c r="A447" s="9" t="n">
        <v>444</v>
      </c>
      <c r="B447" s="10" t="inlineStr"/>
    </row>
    <row r="448">
      <c r="A448" s="7" t="n">
        <v>445</v>
      </c>
      <c r="B448" s="8" t="inlineStr">
        <is>
          <t xml:space="preserve">                # 检查文件大小</t>
        </is>
      </c>
    </row>
    <row r="449">
      <c r="A449" s="9" t="n">
        <v>446</v>
      </c>
      <c r="B449" s="10" t="inlineStr">
        <is>
          <t xml:space="preserve">                info = get_video_file_info(video_path)</t>
        </is>
      </c>
    </row>
    <row r="450">
      <c r="A450" s="7" t="n">
        <v>447</v>
      </c>
      <c r="B450" s="8" t="inlineStr">
        <is>
          <t xml:space="preserve">                max_mb = float(os.environ.get("TREECUT_SCAN_MAX_VIDEO_SIZE_MB", "500"))</t>
        </is>
      </c>
    </row>
    <row r="451">
      <c r="A451" s="9" t="n">
        <v>448</v>
      </c>
      <c r="B451" s="10" t="inlineStr">
        <is>
          <t xml:space="preserve">                if info.get("size_mb", 0) &gt; max_mb:</t>
        </is>
      </c>
    </row>
    <row r="452">
      <c r="A452" s="7" t="n">
        <v>449</v>
      </c>
      <c r="B452" s="8" t="inlineStr">
        <is>
          <t xml:space="preserve">                    self._log(f"⏭ 跳过大型视频: {Path(video_path).name} ({info['size_mb']:.0f}MB)")</t>
        </is>
      </c>
    </row>
    <row r="453">
      <c r="A453" s="9" t="n">
        <v>450</v>
      </c>
      <c r="B453" s="10" t="inlineStr">
        <is>
          <t xml:space="preserve">                    scanned += 1</t>
        </is>
      </c>
    </row>
    <row r="454">
      <c r="A454" s="7" t="n">
        <v>451</v>
      </c>
      <c r="B454" s="8" t="inlineStr">
        <is>
          <t xml:space="preserve">                    continue</t>
        </is>
      </c>
    </row>
    <row r="455">
      <c r="A455" s="9" t="n">
        <v>452</v>
      </c>
      <c r="B455" s="10" t="inlineStr"/>
    </row>
    <row r="456">
      <c r="A456" s="7" t="n">
        <v>453</v>
      </c>
      <c r="B456" s="8" t="inlineStr">
        <is>
          <t xml:space="preserve">                pending_batch.append(video_path)</t>
        </is>
      </c>
    </row>
    <row r="457">
      <c r="A457" s="9" t="n">
        <v>454</v>
      </c>
      <c r="B457" s="10" t="inlineStr"/>
    </row>
    <row r="458">
      <c r="A458" s="7" t="n">
        <v>455</v>
      </c>
      <c r="B458" s="8" t="inlineStr">
        <is>
          <t xml:space="preserve">                # 达到批次大小，开始分析</t>
        </is>
      </c>
    </row>
    <row r="459">
      <c r="A459" s="9" t="n">
        <v>456</v>
      </c>
      <c r="B459" s="10" t="inlineStr">
        <is>
          <t xml:space="preserve">                if len(pending_batch) &gt;= BATCH_SIZE:</t>
        </is>
      </c>
    </row>
    <row r="460">
      <c r="A460" s="7" t="n">
        <v>457</v>
      </c>
      <c r="B460" s="8" t="inlineStr">
        <is>
          <t xml:space="preserve">                    scanned += self._process_batch(</t>
        </is>
      </c>
    </row>
    <row r="461">
      <c r="A461" s="9" t="n">
        <v>458</v>
      </c>
      <c r="B461" s="10" t="inlineStr">
        <is>
          <t xml:space="preserve">                        pending_batch, analyzer, frame_interval, lb</t>
        </is>
      </c>
    </row>
    <row r="462">
      <c r="A462" s="7" t="n">
        <v>459</v>
      </c>
      <c r="B462" s="8" t="inlineStr">
        <is>
          <t xml:space="preserve">                    )</t>
        </is>
      </c>
    </row>
    <row r="463">
      <c r="A463" s="9" t="n">
        <v>460</v>
      </c>
      <c r="B463" s="10" t="inlineStr">
        <is>
          <t xml:space="preserve">                    pending_batch = []</t>
        </is>
      </c>
    </row>
    <row r="464">
      <c r="A464" s="7" t="n">
        <v>461</v>
      </c>
      <c r="B464" s="8" t="inlineStr"/>
    </row>
    <row r="465">
      <c r="A465" s="9" t="n">
        <v>462</v>
      </c>
      <c r="B465" s="10" t="inlineStr">
        <is>
          <t xml:space="preserve">                # 更新进度</t>
        </is>
      </c>
    </row>
    <row r="466">
      <c r="A466" s="7" t="n">
        <v>463</v>
      </c>
      <c r="B466" s="8" t="inlineStr">
        <is>
          <t xml:space="preserve">                if scanned % 50 == 0:</t>
        </is>
      </c>
    </row>
    <row r="467">
      <c r="A467" s="9" t="n">
        <v>464</v>
      </c>
      <c r="B467" s="10" t="inlineStr">
        <is>
          <t xml:space="preserve">                    elapsed = time.time() - self._start_time if self._start_time else 0</t>
        </is>
      </c>
    </row>
    <row r="468">
      <c r="A468" s="7" t="n">
        <v>465</v>
      </c>
      <c r="B468" s="8" t="inlineStr">
        <is>
          <t xml:space="preserve">                    elapsed_str = f"{int(elapsed//60)}分{int(elapsed%60)}秒"</t>
        </is>
      </c>
    </row>
    <row r="469">
      <c r="A469" s="9" t="n">
        <v>466</v>
      </c>
      <c r="B469" s="10" t="inlineStr">
        <is>
          <t xml:space="preserve">                    self._progress_queue.put({</t>
        </is>
      </c>
    </row>
    <row r="470">
      <c r="A470" s="7" t="n">
        <v>467</v>
      </c>
      <c r="B470" s="8" t="inlineStr">
        <is>
          <t xml:space="preserve">                        "scanned": scanned,</t>
        </is>
      </c>
    </row>
    <row r="471">
      <c r="A471" s="9" t="n">
        <v>468</v>
      </c>
      <c r="B471" s="10" t="inlineStr">
        <is>
          <t xml:space="preserve">                        "elapsed": elapsed_str,</t>
        </is>
      </c>
    </row>
    <row r="472">
      <c r="A472" s="7" t="n">
        <v>469</v>
      </c>
      <c r="B472" s="8" t="inlineStr">
        <is>
          <t xml:space="preserve">                    })</t>
        </is>
      </c>
    </row>
    <row r="473">
      <c r="A473" s="9" t="n">
        <v>470</v>
      </c>
      <c r="B473" s="10" t="inlineStr">
        <is>
          <t xml:space="preserve">                    save_scan_checkpoint(video_path, scanned, self._saved_count)</t>
        </is>
      </c>
    </row>
    <row r="474">
      <c r="A474" s="7" t="n">
        <v>471</v>
      </c>
      <c r="B474" s="8" t="inlineStr"/>
    </row>
    <row r="475">
      <c r="A475" s="9" t="n">
        <v>472</v>
      </c>
      <c r="B475" s="10" t="inlineStr">
        <is>
          <t xml:space="preserve">                # 定期更新UI总视频数</t>
        </is>
      </c>
    </row>
    <row r="476">
      <c r="A476" s="7" t="n">
        <v>473</v>
      </c>
      <c r="B476" s="8" t="inlineStr">
        <is>
          <t xml:space="preserve">                if scanned &gt; total:</t>
        </is>
      </c>
    </row>
    <row r="477">
      <c r="A477" s="9" t="n">
        <v>474</v>
      </c>
      <c r="B477" s="10" t="inlineStr">
        <is>
          <t xml:space="preserve">                    total = scanned + 100  # 动态扩展</t>
        </is>
      </c>
    </row>
    <row r="478">
      <c r="A478" s="7" t="n">
        <v>475</v>
      </c>
      <c r="B478" s="8" t="inlineStr">
        <is>
          <t xml:space="preserve">                    self._progress_queue.put({"total_videos": total})</t>
        </is>
      </c>
    </row>
    <row r="479">
      <c r="A479" s="9" t="n">
        <v>476</v>
      </c>
      <c r="B479" s="10" t="inlineStr"/>
    </row>
    <row r="480">
      <c r="A480" s="7" t="n">
        <v>477</v>
      </c>
      <c r="B480" s="8" t="inlineStr">
        <is>
          <t xml:space="preserve">            # 处理最后一批</t>
        </is>
      </c>
    </row>
    <row r="481">
      <c r="A481" s="9" t="n">
        <v>478</v>
      </c>
      <c r="B481" s="10" t="inlineStr">
        <is>
          <t xml:space="preserve">            if pending_batch and not self._cancel_event.is_set():</t>
        </is>
      </c>
    </row>
    <row r="482">
      <c r="A482" s="7" t="n">
        <v>479</v>
      </c>
      <c r="B482" s="8" t="inlineStr">
        <is>
          <t xml:space="preserve">                scanned += self._process_batch(</t>
        </is>
      </c>
    </row>
    <row r="483">
      <c r="A483" s="9" t="n">
        <v>480</v>
      </c>
      <c r="B483" s="10" t="inlineStr">
        <is>
          <t xml:space="preserve">                    pending_batch, analyzer, frame_interval, lb</t>
        </is>
      </c>
    </row>
    <row r="484">
      <c r="A484" s="7" t="n">
        <v>481</v>
      </c>
      <c r="B484" s="8" t="inlineStr">
        <is>
          <t xml:space="preserve">                )</t>
        </is>
      </c>
    </row>
    <row r="485">
      <c r="A485" s="9" t="n">
        <v>482</v>
      </c>
      <c r="B485" s="10" t="inlineStr"/>
    </row>
    <row r="486">
      <c r="A486" s="7" t="n">
        <v>483</v>
      </c>
      <c r="B486" s="8" t="inlineStr">
        <is>
          <t xml:space="preserve">            # 完成</t>
        </is>
      </c>
    </row>
    <row r="487">
      <c r="A487" s="9" t="n">
        <v>484</v>
      </c>
      <c r="B487" s="10" t="inlineStr">
        <is>
          <t xml:space="preserve">            elapsed = time.time() - self._start_time if self._start_time else 0</t>
        </is>
      </c>
    </row>
    <row r="488">
      <c r="A488" s="7" t="n">
        <v>485</v>
      </c>
      <c r="B488" s="8" t="inlineStr">
        <is>
          <t xml:space="preserve">            elapsed_str = f"{int(elapsed//60)}分{int(elapsed%60)}秒"</t>
        </is>
      </c>
    </row>
    <row r="489">
      <c r="A489" s="9" t="n">
        <v>486</v>
      </c>
      <c r="B489" s="10" t="inlineStr">
        <is>
          <t xml:space="preserve">            self._progress_queue.put({</t>
        </is>
      </c>
    </row>
    <row r="490">
      <c r="A490" s="7" t="n">
        <v>487</v>
      </c>
      <c r="B490" s="8" t="inlineStr">
        <is>
          <t xml:space="preserve">                "scanned": scanned,</t>
        </is>
      </c>
    </row>
    <row r="491">
      <c r="A491" s="9" t="n">
        <v>488</v>
      </c>
      <c r="B491" s="10" t="inlineStr">
        <is>
          <t xml:space="preserve">                "elapsed": elapsed_str,</t>
        </is>
      </c>
    </row>
    <row r="492">
      <c r="A492" s="7" t="n">
        <v>489</v>
      </c>
      <c r="B492" s="8" t="inlineStr">
        <is>
          <t xml:space="preserve">            })</t>
        </is>
      </c>
    </row>
    <row r="493">
      <c r="A493" s="9" t="n">
        <v>490</v>
      </c>
      <c r="B493" s="10" t="inlineStr"/>
    </row>
    <row r="494">
      <c r="A494" s="7" t="n">
        <v>491</v>
      </c>
      <c r="B494" s="8" t="inlineStr">
        <is>
          <t xml:space="preserve">            self._log("=" * 50)</t>
        </is>
      </c>
    </row>
    <row r="495">
      <c r="A495" s="9" t="n">
        <v>492</v>
      </c>
      <c r="B495" s="10" t="inlineStr">
        <is>
          <t xml:space="preserve">            self._log(f"✅ 扫描完成！")</t>
        </is>
      </c>
    </row>
    <row r="496">
      <c r="A496" s="7" t="n">
        <v>493</v>
      </c>
      <c r="B496" s="8" t="inlineStr">
        <is>
          <t xml:space="preserve">            self._log(f"   扫描视频: {scanned:,}")</t>
        </is>
      </c>
    </row>
    <row r="497">
      <c r="A497" s="9" t="n">
        <v>494</v>
      </c>
      <c r="B497" s="10" t="inlineStr">
        <is>
          <t xml:space="preserve">            self._log(f"   发现岛台帧: {self._island_found:,}")</t>
        </is>
      </c>
    </row>
    <row r="498">
      <c r="A498" s="7" t="n">
        <v>495</v>
      </c>
      <c r="B498" s="8" t="inlineStr">
        <is>
          <t xml:space="preserve">            self._log(f"   入库记录: {self._saved_count:,}")</t>
        </is>
      </c>
    </row>
    <row r="499">
      <c r="A499" s="9" t="n">
        <v>496</v>
      </c>
      <c r="B499" s="10" t="inlineStr">
        <is>
          <t xml:space="preserve">            self._log(f"   总耗时: {elapsed_str}")</t>
        </is>
      </c>
    </row>
    <row r="500">
      <c r="A500" s="7" t="n">
        <v>497</v>
      </c>
      <c r="B500" s="8" t="inlineStr">
        <is>
          <t xml:space="preserve">            self._log("=" * 50)</t>
        </is>
      </c>
    </row>
    <row r="501">
      <c r="A501" s="9" t="n">
        <v>498</v>
      </c>
      <c r="B501" s="10" t="inlineStr">
        <is>
          <t xml:space="preserve">            self._log("💡 提示：新入库的素材将在下次生成时自动被检索到")</t>
        </is>
      </c>
    </row>
    <row r="502">
      <c r="A502" s="7" t="n">
        <v>499</v>
      </c>
      <c r="B502" s="8" t="inlineStr">
        <is>
          <t xml:space="preserve">            self._log("💡 如需立即生效，请点击「重建FAISS索引」按钮")</t>
        </is>
      </c>
    </row>
    <row r="503">
      <c r="A503" s="9" t="n">
        <v>500</v>
      </c>
      <c r="B503" s="10" t="inlineStr"/>
    </row>
    <row r="504">
      <c r="A504" s="7" t="n">
        <v>501</v>
      </c>
      <c r="B504" s="8" t="inlineStr">
        <is>
          <t xml:space="preserve">            clear_scan_checkpoint()</t>
        </is>
      </c>
    </row>
    <row r="505">
      <c r="A505" s="9" t="n">
        <v>502</v>
      </c>
      <c r="B505" s="10" t="inlineStr"/>
    </row>
    <row r="506">
      <c r="A506" s="7" t="n">
        <v>503</v>
      </c>
      <c r="B506" s="8" t="inlineStr">
        <is>
          <t xml:space="preserve">        except Exception as e:</t>
        </is>
      </c>
    </row>
    <row r="507">
      <c r="A507" s="9" t="n">
        <v>504</v>
      </c>
      <c r="B507" s="10" t="inlineStr">
        <is>
          <t xml:space="preserve">            self._log(f"❌ 扫描异常: {e}")</t>
        </is>
      </c>
    </row>
    <row r="508">
      <c r="A508" s="7" t="n">
        <v>505</v>
      </c>
      <c r="B508" s="8" t="inlineStr">
        <is>
          <t xml:space="preserve">            import traceback</t>
        </is>
      </c>
    </row>
    <row r="509">
      <c r="A509" s="9" t="n">
        <v>506</v>
      </c>
      <c r="B509" s="10" t="inlineStr">
        <is>
          <t xml:space="preserve">            self._log(traceback.format_exc())</t>
        </is>
      </c>
    </row>
    <row r="510">
      <c r="A510" s="7" t="n">
        <v>507</v>
      </c>
      <c r="B510" s="8" t="inlineStr"/>
    </row>
    <row r="511">
      <c r="A511" s="9" t="n">
        <v>508</v>
      </c>
      <c r="B511" s="10" t="inlineStr">
        <is>
          <t xml:space="preserve">        finally:</t>
        </is>
      </c>
    </row>
    <row r="512">
      <c r="A512" s="7" t="n">
        <v>509</v>
      </c>
      <c r="B512" s="8" t="inlineStr">
        <is>
          <t xml:space="preserve">            self._window.after(0, lambda: (</t>
        </is>
      </c>
    </row>
    <row r="513">
      <c r="A513" s="9" t="n">
        <v>510</v>
      </c>
      <c r="B513" s="10" t="inlineStr">
        <is>
          <t xml:space="preserve">                self._btn_start.configure(state="normal"),</t>
        </is>
      </c>
    </row>
    <row r="514">
      <c r="A514" s="7" t="n">
        <v>511</v>
      </c>
      <c r="B514" s="8" t="inlineStr">
        <is>
          <t xml:space="preserve">                self._btn_pause.configure(state="disabled"),</t>
        </is>
      </c>
    </row>
    <row r="515">
      <c r="A515" s="9" t="n">
        <v>512</v>
      </c>
      <c r="B515" s="10" t="inlineStr">
        <is>
          <t xml:space="preserve">                self._btn_stop.configure(state="disabled"),</t>
        </is>
      </c>
    </row>
    <row r="516">
      <c r="A516" s="7" t="n">
        <v>513</v>
      </c>
      <c r="B516" s="8" t="inlineStr">
        <is>
          <t xml:space="preserve">            ))</t>
        </is>
      </c>
    </row>
    <row r="517">
      <c r="A517" s="9" t="n">
        <v>514</v>
      </c>
      <c r="B517" s="10" t="inlineStr">
        <is>
          <t xml:space="preserve">            self._running = False</t>
        </is>
      </c>
    </row>
    <row r="518">
      <c r="A518" s="7" t="n">
        <v>515</v>
      </c>
      <c r="B518" s="8" t="inlineStr"/>
    </row>
    <row r="519">
      <c r="A519" s="9" t="n">
        <v>516</v>
      </c>
      <c r="B519" s="10" t="inlineStr">
        <is>
          <t xml:space="preserve">    def _process_batch(</t>
        </is>
      </c>
    </row>
    <row r="520">
      <c r="A520" s="7" t="n">
        <v>517</v>
      </c>
      <c r="B520" s="8" t="inlineStr">
        <is>
          <t xml:space="preserve">        self, video_paths: list, analyzer, frame_interval: float, lb: object</t>
        </is>
      </c>
    </row>
    <row r="521">
      <c r="A521" s="9" t="n">
        <v>518</v>
      </c>
      <c r="B521" s="10" t="inlineStr">
        <is>
          <t xml:space="preserve">    ) -&gt; int:</t>
        </is>
      </c>
    </row>
    <row r="522">
      <c r="A522" s="7" t="n">
        <v>519</v>
      </c>
      <c r="B522" s="8" t="inlineStr">
        <is>
          <t xml:space="preserve">        """处理一批视频（帧级别），返回实际扫描数"""</t>
        </is>
      </c>
    </row>
    <row r="523">
      <c r="A523" s="9" t="n">
        <v>520</v>
      </c>
      <c r="B523" s="10" t="inlineStr">
        <is>
          <t xml:space="preserve">        scanned = 0</t>
        </is>
      </c>
    </row>
    <row r="524">
      <c r="A524" s="7" t="n">
        <v>521</v>
      </c>
      <c r="B524" s="8" t="inlineStr">
        <is>
          <t xml:space="preserve">        for vp in video_paths:</t>
        </is>
      </c>
    </row>
    <row r="525">
      <c r="A525" s="9" t="n">
        <v>522</v>
      </c>
      <c r="B525" s="10" t="inlineStr">
        <is>
          <t xml:space="preserve">            if self._cancel_event.is_set():</t>
        </is>
      </c>
    </row>
    <row r="526">
      <c r="A526" s="7" t="n">
        <v>523</v>
      </c>
      <c r="B526" s="8" t="inlineStr">
        <is>
          <t xml:space="preserve">                break</t>
        </is>
      </c>
    </row>
    <row r="527">
      <c r="A527" s="9" t="n">
        <v>524</v>
      </c>
      <c r="B527" s="10" t="inlineStr">
        <is>
          <t xml:space="preserve">            if not self._pause_event.is_set():</t>
        </is>
      </c>
    </row>
    <row r="528">
      <c r="A528" s="7" t="n">
        <v>525</v>
      </c>
      <c r="B528" s="8" t="inlineStr">
        <is>
          <t xml:space="preserve">                self._pause_event.wait()</t>
        </is>
      </c>
    </row>
    <row r="529">
      <c r="A529" s="9" t="n">
        <v>526</v>
      </c>
      <c r="B529" s="10" t="inlineStr"/>
    </row>
    <row r="530">
      <c r="A530" s="7" t="n">
        <v>527</v>
      </c>
      <c r="B530" s="8" t="inlineStr">
        <is>
          <t xml:space="preserve">            try:</t>
        </is>
      </c>
    </row>
    <row r="531">
      <c r="A531" s="9" t="n">
        <v>528</v>
      </c>
      <c r="B531" s="10" t="inlineStr">
        <is>
          <t xml:space="preserve">                fname = Path(vp).name</t>
        </is>
      </c>
    </row>
    <row r="532">
      <c r="A532" s="7" t="n">
        <v>529</v>
      </c>
      <c r="B532" s="8" t="inlineStr">
        <is>
          <t xml:space="preserve">                self._progress_queue.put({</t>
        </is>
      </c>
    </row>
    <row r="533">
      <c r="A533" s="9" t="n">
        <v>530</v>
      </c>
      <c r="B533" s="10" t="inlineStr">
        <is>
          <t xml:space="preserve">                    "current_file": f"分析: {fname[:80]}"</t>
        </is>
      </c>
    </row>
    <row r="534">
      <c r="A534" s="7" t="n">
        <v>531</v>
      </c>
      <c r="B534" s="8" t="inlineStr">
        <is>
          <t xml:space="preserve">                })</t>
        </is>
      </c>
    </row>
    <row r="535">
      <c r="A535" s="9" t="n">
        <v>532</v>
      </c>
      <c r="B535" s="10" t="inlineStr"/>
    </row>
    <row r="536">
      <c r="A536" s="7" t="n">
        <v>533</v>
      </c>
      <c r="B536" s="8" t="inlineStr">
        <is>
          <t xml:space="preserve">                # v11.3: 使用帧级分析</t>
        </is>
      </c>
    </row>
    <row r="537">
      <c r="A537" s="9" t="n">
        <v>534</v>
      </c>
      <c r="B537" s="10" t="inlineStr">
        <is>
          <t xml:space="preserve">                def _frame_callback(frame_data):</t>
        </is>
      </c>
    </row>
    <row r="538">
      <c r="A538" s="7" t="n">
        <v>535</v>
      </c>
      <c r="B538" s="8" t="inlineStr">
        <is>
          <t xml:space="preserve">                    """每帧分析完成 → 推送到素材库标签页"""</t>
        </is>
      </c>
    </row>
    <row r="539">
      <c r="A539" s="9" t="n">
        <v>536</v>
      </c>
      <c r="B539" s="10" t="inlineStr">
        <is>
          <t xml:space="preserve">                    if self._library_tab:</t>
        </is>
      </c>
    </row>
    <row r="540">
      <c r="A540" s="7" t="n">
        <v>537</v>
      </c>
      <c r="B540" s="8" t="inlineStr">
        <is>
          <t xml:space="preserve">                        try:</t>
        </is>
      </c>
    </row>
    <row r="541">
      <c r="A541" s="9" t="n">
        <v>538</v>
      </c>
      <c r="B541" s="10" t="inlineStr">
        <is>
          <t xml:space="preserve">                            self._library_tab.add_frame_from_scanner(frame_data)</t>
        </is>
      </c>
    </row>
    <row r="542">
      <c r="A542" s="7" t="n">
        <v>539</v>
      </c>
      <c r="B542" s="8" t="inlineStr">
        <is>
          <t xml:space="preserve">                        except Exception:</t>
        </is>
      </c>
    </row>
    <row r="543">
      <c r="A543" s="9" t="n">
        <v>540</v>
      </c>
      <c r="B543" s="10" t="inlineStr">
        <is>
          <t xml:space="preserve">                            pass</t>
        </is>
      </c>
    </row>
    <row r="544">
      <c r="A544" s="7" t="n">
        <v>541</v>
      </c>
      <c r="B544" s="8" t="inlineStr"/>
    </row>
    <row r="545">
      <c r="A545" s="9" t="n">
        <v>542</v>
      </c>
      <c r="B545" s="10" t="inlineStr">
        <is>
          <t xml:space="preserve">                result = analyzer.analyze_video_frames(</t>
        </is>
      </c>
    </row>
    <row r="546">
      <c r="A546" s="7" t="n">
        <v>543</v>
      </c>
      <c r="B546" s="8" t="inlineStr">
        <is>
          <t xml:space="preserve">                    vp, frame_interval=frame_interval,</t>
        </is>
      </c>
    </row>
    <row r="547">
      <c r="A547" s="9" t="n">
        <v>544</v>
      </c>
      <c r="B547" s="10" t="inlineStr">
        <is>
          <t xml:space="preserve">                    on_frame_callback=_frame_callback,</t>
        </is>
      </c>
    </row>
    <row r="548">
      <c r="A548" s="7" t="n">
        <v>545</v>
      </c>
      <c r="B548" s="8" t="inlineStr">
        <is>
          <t xml:space="preserve">                    log_callback=self._log</t>
        </is>
      </c>
    </row>
    <row r="549">
      <c r="A549" s="9" t="n">
        <v>546</v>
      </c>
      <c r="B549" s="10" t="inlineStr">
        <is>
          <t xml:space="preserve">                )</t>
        </is>
      </c>
    </row>
    <row r="550">
      <c r="A550" s="7" t="n">
        <v>547</v>
      </c>
      <c r="B550" s="8" t="inlineStr"/>
    </row>
    <row r="551">
      <c r="A551" s="9" t="n">
        <v>548</v>
      </c>
      <c r="B551" s="10" t="inlineStr">
        <is>
          <t xml:space="preserve">                # 视频分析完成 → 批量推送到素材库</t>
        </is>
      </c>
    </row>
    <row r="552">
      <c r="A552" s="7" t="n">
        <v>549</v>
      </c>
      <c r="B552" s="8" t="inlineStr">
        <is>
          <t xml:space="preserve">                if self._library_tab and result.get("frames_data"):</t>
        </is>
      </c>
    </row>
    <row r="553">
      <c r="A553" s="9" t="n">
        <v>550</v>
      </c>
      <c r="B553" s="10" t="inlineStr">
        <is>
          <t xml:space="preserve">                    try:</t>
        </is>
      </c>
    </row>
    <row r="554">
      <c r="A554" s="7" t="n">
        <v>551</v>
      </c>
      <c r="B554" s="8" t="inlineStr">
        <is>
          <t xml:space="preserve">                        self._library_tab.add_video_frames_batch(</t>
        </is>
      </c>
    </row>
    <row r="555">
      <c r="A555" s="9" t="n">
        <v>552</v>
      </c>
      <c r="B555" s="10" t="inlineStr">
        <is>
          <t xml:space="preserve">                            vp, result["frames_data"]</t>
        </is>
      </c>
    </row>
    <row r="556">
      <c r="A556" s="7" t="n">
        <v>553</v>
      </c>
      <c r="B556" s="8" t="inlineStr">
        <is>
          <t xml:space="preserve">                        )</t>
        </is>
      </c>
    </row>
    <row r="557">
      <c r="A557" s="9" t="n">
        <v>554</v>
      </c>
      <c r="B557" s="10" t="inlineStr">
        <is>
          <t xml:space="preserve">                    except Exception:</t>
        </is>
      </c>
    </row>
    <row r="558">
      <c r="A558" s="7" t="n">
        <v>555</v>
      </c>
      <c r="B558" s="8" t="inlineStr">
        <is>
          <t xml:space="preserve">                        pass</t>
        </is>
      </c>
    </row>
    <row r="559">
      <c r="A559" s="9" t="n">
        <v>556</v>
      </c>
      <c r="B559" s="10" t="inlineStr"/>
    </row>
    <row r="560">
      <c r="A560" s="7" t="n">
        <v>557</v>
      </c>
      <c r="B560" s="8" t="inlineStr">
        <is>
          <t xml:space="preserve">                scanned += 1</t>
        </is>
      </c>
    </row>
    <row r="561">
      <c r="A561" s="9" t="n">
        <v>558</v>
      </c>
      <c r="B561" s="10" t="inlineStr">
        <is>
          <t xml:space="preserve">                island = result.get("island_frames", 0)</t>
        </is>
      </c>
    </row>
    <row r="562">
      <c r="A562" s="7" t="n">
        <v>559</v>
      </c>
      <c r="B562" s="8" t="inlineStr">
        <is>
          <t xml:space="preserve">                total_frames = result.get("total_frames", 0)</t>
        </is>
      </c>
    </row>
    <row r="563">
      <c r="A563" s="9" t="n">
        <v>560</v>
      </c>
      <c r="B563" s="10" t="inlineStr">
        <is>
          <t xml:space="preserve">                self._island_found += island</t>
        </is>
      </c>
    </row>
    <row r="564">
      <c r="A564" s="7" t="n">
        <v>561</v>
      </c>
      <c r="B564" s="8" t="inlineStr">
        <is>
          <t xml:space="preserve">                self._saved_count += result.get("saved_frames", 0)</t>
        </is>
      </c>
    </row>
    <row r="565">
      <c r="A565" s="9" t="n">
        <v>562</v>
      </c>
      <c r="B565" s="10" t="inlineStr"/>
    </row>
    <row r="566">
      <c r="A566" s="7" t="n">
        <v>563</v>
      </c>
      <c r="B566" s="8" t="inlineStr">
        <is>
          <t xml:space="preserve">                self._progress_queue.put({</t>
        </is>
      </c>
    </row>
    <row r="567">
      <c r="A567" s="9" t="n">
        <v>564</v>
      </c>
      <c r="B567" s="10" t="inlineStr">
        <is>
          <t xml:space="preserve">                    "scanned": self._scanned_count + scanned,</t>
        </is>
      </c>
    </row>
    <row r="568">
      <c r="A568" s="7" t="n">
        <v>565</v>
      </c>
      <c r="B568" s="8" t="inlineStr">
        <is>
          <t xml:space="preserve">                    "island_found": self._island_found,</t>
        </is>
      </c>
    </row>
    <row r="569">
      <c r="A569" s="9" t="n">
        <v>566</v>
      </c>
      <c r="B569" s="10" t="inlineStr">
        <is>
          <t xml:space="preserve">                    "saved": self._saved_count,</t>
        </is>
      </c>
    </row>
    <row r="570">
      <c r="A570" s="7" t="n">
        <v>567</v>
      </c>
      <c r="B570" s="8" t="inlineStr">
        <is>
          <t xml:space="preserve">                })</t>
        </is>
      </c>
    </row>
    <row r="571">
      <c r="A571" s="9" t="n">
        <v>568</v>
      </c>
      <c r="B571" s="10" t="inlineStr"/>
    </row>
    <row r="572">
      <c r="A572" s="7" t="n">
        <v>569</v>
      </c>
      <c r="B572" s="8" t="inlineStr">
        <is>
          <t xml:space="preserve">                self._scanned_count += 1</t>
        </is>
      </c>
    </row>
    <row r="573">
      <c r="A573" s="9" t="n">
        <v>570</v>
      </c>
      <c r="B573" s="10" t="inlineStr"/>
    </row>
    <row r="574">
      <c r="A574" s="7" t="n">
        <v>571</v>
      </c>
      <c r="B574" s="8" t="inlineStr">
        <is>
          <t xml:space="preserve">                # 标记已分析</t>
        </is>
      </c>
    </row>
    <row r="575">
      <c r="A575" s="9" t="n">
        <v>572</v>
      </c>
      <c r="B575" s="10" t="inlineStr">
        <is>
          <t xml:space="preserve">                try:</t>
        </is>
      </c>
    </row>
    <row r="576">
      <c r="A576" s="7" t="n">
        <v>573</v>
      </c>
      <c r="B576" s="8" t="inlineStr">
        <is>
          <t xml:space="preserve">                    lb.mark_video_analyzed(vp)</t>
        </is>
      </c>
    </row>
    <row r="577">
      <c r="A577" s="9" t="n">
        <v>574</v>
      </c>
      <c r="B577" s="10" t="inlineStr">
        <is>
          <t xml:space="preserve">                except Exception:</t>
        </is>
      </c>
    </row>
    <row r="578">
      <c r="A578" s="7" t="n">
        <v>575</v>
      </c>
      <c r="B578" s="8" t="inlineStr">
        <is>
          <t xml:space="preserve">                    pass</t>
        </is>
      </c>
    </row>
    <row r="579">
      <c r="A579" s="9" t="n">
        <v>576</v>
      </c>
      <c r="B579" s="10" t="inlineStr"/>
    </row>
    <row r="580">
      <c r="A580" s="7" t="n">
        <v>577</v>
      </c>
      <c r="B580" s="8" t="inlineStr">
        <is>
          <t xml:space="preserve">            except Exception as e:</t>
        </is>
      </c>
    </row>
    <row r="581">
      <c r="A581" s="9" t="n">
        <v>578</v>
      </c>
      <c r="B581" s="10" t="inlineStr">
        <is>
          <t xml:space="preserve">                self._log(f"⚠ {fname[:60]}: {e}")</t>
        </is>
      </c>
    </row>
    <row r="582">
      <c r="A582" s="7" t="n">
        <v>579</v>
      </c>
      <c r="B582" s="8" t="inlineStr">
        <is>
          <t xml:space="preserve">                scanned += 1</t>
        </is>
      </c>
    </row>
    <row r="583">
      <c r="A583" s="9" t="n">
        <v>580</v>
      </c>
      <c r="B583" s="10" t="inlineStr"/>
    </row>
    <row r="584">
      <c r="A584" s="7" t="n">
        <v>581</v>
      </c>
      <c r="B584" s="8" t="inlineStr">
        <is>
          <t xml:space="preserve">        return scanned</t>
        </is>
      </c>
    </row>
    <row r="585">
      <c r="A585" s="9" t="n">
        <v>582</v>
      </c>
      <c r="B585" s="10" t="inlineStr"/>
    </row>
    <row r="586">
      <c r="A586" s="7" t="n">
        <v>583</v>
      </c>
      <c r="B586" s="8" t="inlineStr">
        <is>
          <t xml:space="preserve">    # ═══════════════════════════════════════════════</t>
        </is>
      </c>
    </row>
    <row r="587">
      <c r="A587" s="9" t="n">
        <v>584</v>
      </c>
      <c r="B587" s="10" t="inlineStr">
        <is>
          <t xml:space="preserve">    # 其他操作</t>
        </is>
      </c>
    </row>
    <row r="588">
      <c r="A588" s="7" t="n">
        <v>585</v>
      </c>
      <c r="B588" s="8" t="inlineStr">
        <is>
          <t xml:space="preserve">    # ═══════════════════════════════════════════════</t>
        </is>
      </c>
    </row>
    <row r="589">
      <c r="A589" s="9" t="n">
        <v>586</v>
      </c>
      <c r="B589" s="10" t="inlineStr"/>
    </row>
    <row r="590">
      <c r="A590" s="7" t="n">
        <v>587</v>
      </c>
      <c r="B590" s="8" t="inlineStr">
        <is>
          <t xml:space="preserve">    def _rebuild_faiss(self):</t>
        </is>
      </c>
    </row>
    <row r="591">
      <c r="A591" s="9" t="n">
        <v>588</v>
      </c>
      <c r="B591" s="10" t="inlineStr">
        <is>
          <t xml:space="preserve">        """重建FAISS索引"""</t>
        </is>
      </c>
    </row>
    <row r="592">
      <c r="A592" s="7" t="n">
        <v>589</v>
      </c>
      <c r="B592" s="8" t="inlineStr">
        <is>
          <t xml:space="preserve">        if self._running and not self._paused:</t>
        </is>
      </c>
    </row>
    <row r="593">
      <c r="A593" s="9" t="n">
        <v>590</v>
      </c>
      <c r="B593" s="10" t="inlineStr">
        <is>
          <t xml:space="preserve">            if not messagebox.askyesno("提示", "扫描进行中，重建索引可能需要较长时间且会消耗大量资源。是否继续？"):</t>
        </is>
      </c>
    </row>
    <row r="594">
      <c r="A594" s="7" t="n">
        <v>591</v>
      </c>
      <c r="B594" s="8" t="inlineStr">
        <is>
          <t xml:space="preserve">                return</t>
        </is>
      </c>
    </row>
    <row r="595">
      <c r="A595" s="9" t="n">
        <v>592</v>
      </c>
      <c r="B595" s="10" t="inlineStr"/>
    </row>
    <row r="596">
      <c r="A596" s="7" t="n">
        <v>593</v>
      </c>
      <c r="B596" s="8" t="inlineStr">
        <is>
          <t xml:space="preserve">        self._log("🔧 开始重建FAISS索引...")</t>
        </is>
      </c>
    </row>
    <row r="597">
      <c r="A597" s="9" t="n">
        <v>594</v>
      </c>
      <c r="B597" s="10" t="inlineStr">
        <is>
          <t xml:space="preserve">        self._btn_start.configure(state="disabled")</t>
        </is>
      </c>
    </row>
    <row r="598">
      <c r="A598" s="7" t="n">
        <v>595</v>
      </c>
      <c r="B598" s="8" t="inlineStr"/>
    </row>
    <row r="599">
      <c r="A599" s="9" t="n">
        <v>596</v>
      </c>
      <c r="B599" s="10" t="inlineStr">
        <is>
          <t xml:space="preserve">        def _rebuild():</t>
        </is>
      </c>
    </row>
    <row r="600">
      <c r="A600" s="7" t="n">
        <v>597</v>
      </c>
      <c r="B600" s="8" t="inlineStr">
        <is>
          <t xml:space="preserve">            try:</t>
        </is>
      </c>
    </row>
    <row r="601">
      <c r="A601" s="9" t="n">
        <v>598</v>
      </c>
      <c r="B601" s="10" t="inlineStr">
        <is>
          <t xml:space="preserve">                from core.library_builder import LibraryBuilder</t>
        </is>
      </c>
    </row>
    <row r="602">
      <c r="A602" s="7" t="n">
        <v>599</v>
      </c>
      <c r="B602" s="8" t="inlineStr">
        <is>
          <t xml:space="preserve">                lb = LibraryBuilder()</t>
        </is>
      </c>
    </row>
    <row r="603">
      <c r="A603" s="9" t="n">
        <v>600</v>
      </c>
      <c r="B603" s="10" t="inlineStr">
        <is>
          <t xml:space="preserve">                lb.build_faiss_index(</t>
        </is>
      </c>
    </row>
    <row r="604">
      <c r="A604" s="7" t="n">
        <v>601</v>
      </c>
      <c r="B604" s="8" t="inlineStr">
        <is>
          <t xml:space="preserve">                    progress=lambda msg: self._log(f"   {msg}")</t>
        </is>
      </c>
    </row>
    <row r="605">
      <c r="A605" s="9" t="n">
        <v>602</v>
      </c>
      <c r="B605" s="10" t="inlineStr">
        <is>
          <t xml:space="preserve">                )</t>
        </is>
      </c>
    </row>
    <row r="606">
      <c r="A606" s="7" t="n">
        <v>603</v>
      </c>
      <c r="B606" s="8" t="inlineStr">
        <is>
          <t xml:space="preserve">                self._log("✅ FAISS索引重建完成")</t>
        </is>
      </c>
    </row>
    <row r="607">
      <c r="A607" s="9" t="n">
        <v>604</v>
      </c>
      <c r="B607" s="10" t="inlineStr">
        <is>
          <t xml:space="preserve">            except Exception as e:</t>
        </is>
      </c>
    </row>
    <row r="608">
      <c r="A608" s="7" t="n">
        <v>605</v>
      </c>
      <c r="B608" s="8" t="inlineStr">
        <is>
          <t xml:space="preserve">                self._log(f"❌ 重建失败: {e}")</t>
        </is>
      </c>
    </row>
    <row r="609">
      <c r="A609" s="9" t="n">
        <v>606</v>
      </c>
      <c r="B609" s="10" t="inlineStr"/>
    </row>
    <row r="610">
      <c r="A610" s="7" t="n">
        <v>607</v>
      </c>
      <c r="B610" s="8" t="inlineStr">
        <is>
          <t xml:space="preserve">        threading.Thread(target=_rebuild, daemon=True).start()</t>
        </is>
      </c>
    </row>
    <row r="611">
      <c r="A611" s="9" t="n">
        <v>608</v>
      </c>
      <c r="B611" s="10" t="inlineStr"/>
    </row>
    <row r="612">
      <c r="A612" s="7" t="n">
        <v>609</v>
      </c>
      <c r="B612" s="8" t="inlineStr">
        <is>
          <t xml:space="preserve">    def _on_close(self):</t>
        </is>
      </c>
    </row>
    <row r="613">
      <c r="A613" s="9" t="n">
        <v>610</v>
      </c>
      <c r="B613" s="10" t="inlineStr">
        <is>
          <t xml:space="preserve">        """关闭窗口"""</t>
        </is>
      </c>
    </row>
    <row r="614">
      <c r="A614" s="7" t="n">
        <v>611</v>
      </c>
      <c r="B614" s="8" t="inlineStr">
        <is>
          <t xml:space="preserve">        if self._running:</t>
        </is>
      </c>
    </row>
    <row r="615">
      <c r="A615" s="9" t="n">
        <v>612</v>
      </c>
      <c r="B615" s="10" t="inlineStr">
        <is>
          <t xml:space="preserve">            if messagebox.askyesno("确认", "扫描正在进行中，确定要停止并关闭吗？"):</t>
        </is>
      </c>
    </row>
    <row r="616">
      <c r="A616" s="7" t="n">
        <v>613</v>
      </c>
      <c r="B616" s="8" t="inlineStr">
        <is>
          <t xml:space="preserve">                self._stop_scan()</t>
        </is>
      </c>
    </row>
    <row r="617">
      <c r="A617" s="9" t="n">
        <v>614</v>
      </c>
      <c r="B617" s="10" t="inlineStr">
        <is>
          <t xml:space="preserve">            else:</t>
        </is>
      </c>
    </row>
    <row r="618">
      <c r="A618" s="7" t="n">
        <v>615</v>
      </c>
      <c r="B618" s="8" t="inlineStr">
        <is>
          <t xml:space="preserve">                return</t>
        </is>
      </c>
    </row>
    <row r="619">
      <c r="A619" s="9" t="n">
        <v>616</v>
      </c>
      <c r="B619" s="10" t="inlineStr">
        <is>
          <t xml:space="preserve">        self._window.destroy()</t>
        </is>
      </c>
    </row>
    <row r="620">
      <c r="A620" s="7" t="n">
        <v>617</v>
      </c>
      <c r="B620" s="8" t="inlineStr"/>
    </row>
    <row r="621">
      <c r="A621" s="9" t="n">
        <v>618</v>
      </c>
      <c r="B621" s="10" t="inlineStr">
        <is>
          <t xml:space="preserve">    def show(self):</t>
        </is>
      </c>
    </row>
    <row r="622">
      <c r="A622" s="7" t="n">
        <v>619</v>
      </c>
      <c r="B622" s="8" t="inlineStr">
        <is>
          <t xml:space="preserve">        """显示窗口并进入消息循环"""</t>
        </is>
      </c>
    </row>
    <row r="623">
      <c r="A623" s="9" t="n">
        <v>620</v>
      </c>
      <c r="B623" s="10" t="inlineStr">
        <is>
          <t xml:space="preserve">        self._window.mainloop()</t>
        </is>
      </c>
    </row>
    <row r="624">
      <c r="A624" s="7" t="n">
        <v>621</v>
      </c>
      <c r="B624" s="8" t="inlineStr"/>
    </row>
    <row r="625">
      <c r="A625" s="9" t="n">
        <v>622</v>
      </c>
      <c r="B625" s="10" t="inlineStr">
        <is>
          <t xml:space="preserve">    def wait_window(self):</t>
        </is>
      </c>
    </row>
    <row r="626">
      <c r="A626" s="7" t="n">
        <v>623</v>
      </c>
      <c r="B626" s="8" t="inlineStr">
        <is>
          <t xml:space="preserve">        """等待窗口关闭"""</t>
        </is>
      </c>
    </row>
    <row r="627">
      <c r="A627" s="9" t="n">
        <v>624</v>
      </c>
      <c r="B627" s="10" t="inlineStr">
        <is>
          <t xml:space="preserve">        self._window.wait_window()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ui\components\__init__.py</t>
        </is>
      </c>
      <c r="C1" s="5" t="inlineStr">
        <is>
          <t>行数: 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"""ui/components/ — 可复用的 UI 组件"""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ui\components\folder_selector.py</t>
        </is>
      </c>
      <c r="C1" s="5" t="inlineStr">
        <is>
          <t>行数: 94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FolderSelector — 可复用的素材文件夹选择器组件</t>
        </is>
      </c>
    </row>
    <row r="6">
      <c r="A6" s="7" t="n">
        <v>3</v>
      </c>
      <c r="B6" s="8" t="inlineStr">
        <is>
          <t>支持: 复选框列表 + 全选/全不选 + 虚拟滚动 + 搜索</t>
        </is>
      </c>
    </row>
    <row r="7">
      <c r="A7" s="9" t="n">
        <v>4</v>
      </c>
      <c r="B7" s="10" t="inlineStr">
        <is>
          <t>用法:</t>
        </is>
      </c>
    </row>
    <row r="8">
      <c r="A8" s="7" t="n">
        <v>5</v>
      </c>
      <c r="B8" s="8" t="inlineStr">
        <is>
          <t xml:space="preserve">  selector = FolderSelector(parent, folders=[{"name":"A","count":5},...])</t>
        </is>
      </c>
    </row>
    <row r="9">
      <c r="A9" s="9" t="n">
        <v>6</v>
      </c>
      <c r="B9" s="10" t="inlineStr">
        <is>
          <t xml:space="preserve">  selected = selector.get_selected()  # → ["A", "B"]</t>
        </is>
      </c>
    </row>
    <row r="10">
      <c r="A10" s="7" t="n">
        <v>7</v>
      </c>
      <c r="B10" s="8" t="inlineStr">
        <is>
          <t>"""</t>
        </is>
      </c>
    </row>
    <row r="11">
      <c r="A11" s="9" t="n">
        <v>8</v>
      </c>
      <c r="B11" s="10" t="inlineStr">
        <is>
          <t>import tkinter as tk</t>
        </is>
      </c>
    </row>
    <row r="12">
      <c r="A12" s="7" t="n">
        <v>9</v>
      </c>
      <c r="B12" s="8" t="inlineStr">
        <is>
          <t>from tkinter import ttk, messagebox</t>
        </is>
      </c>
    </row>
    <row r="13">
      <c r="A13" s="9" t="n">
        <v>10</v>
      </c>
      <c r="B13" s="10" t="inlineStr">
        <is>
          <t>from typing import List, Dict, Callable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class FolderSelector(ttk.LabelFrame):</t>
        </is>
      </c>
    </row>
    <row r="17">
      <c r="A17" s="9" t="n">
        <v>14</v>
      </c>
      <c r="B17" s="10" t="inlineStr">
        <is>
          <t xml:space="preserve">    """文件夹选择器 — 可嵌入任意页面"""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 xml:space="preserve">    def __init__(self, parent, text: str = "素材文件夹",</t>
        </is>
      </c>
    </row>
    <row r="20">
      <c r="A20" s="7" t="n">
        <v>17</v>
      </c>
      <c r="B20" s="8" t="inlineStr">
        <is>
          <t xml:space="preserve">                 folders: List[Dict] = None, cols: int = 4, max_height: int = 200,</t>
        </is>
      </c>
    </row>
    <row r="21">
      <c r="A21" s="9" t="n">
        <v>18</v>
      </c>
      <c r="B21" s="10" t="inlineStr">
        <is>
          <t xml:space="preserve">                 on_change: Callable = None, **kwargs):</t>
        </is>
      </c>
    </row>
    <row r="22">
      <c r="A22" s="7" t="n">
        <v>19</v>
      </c>
      <c r="B22" s="8" t="inlineStr">
        <is>
          <t xml:space="preserve">        super().__init__(parent, text=text, padding=4, **kwargs)</t>
        </is>
      </c>
    </row>
    <row r="23">
      <c r="A23" s="9" t="n">
        <v>20</v>
      </c>
      <c r="B23" s="10" t="inlineStr">
        <is>
          <t xml:space="preserve">        self._folders = folders or []</t>
        </is>
      </c>
    </row>
    <row r="24">
      <c r="A24" s="7" t="n">
        <v>21</v>
      </c>
      <c r="B24" s="8" t="inlineStr">
        <is>
          <t xml:space="preserve">        self._vars: Dict[str, tk.BooleanVar] = {}</t>
        </is>
      </c>
    </row>
    <row r="25">
      <c r="A25" s="9" t="n">
        <v>22</v>
      </c>
      <c r="B25" s="10" t="inlineStr">
        <is>
          <t xml:space="preserve">        self._cols = cols</t>
        </is>
      </c>
    </row>
    <row r="26">
      <c r="A26" s="7" t="n">
        <v>23</v>
      </c>
      <c r="B26" s="8" t="inlineStr">
        <is>
          <t xml:space="preserve">        self._on_change = on_change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 xml:space="preserve">        # 搜索框</t>
        </is>
      </c>
    </row>
    <row r="29">
      <c r="A29" s="9" t="n">
        <v>26</v>
      </c>
      <c r="B29" s="10" t="inlineStr">
        <is>
          <t xml:space="preserve">        ctrl = ttk.Frame(self)</t>
        </is>
      </c>
    </row>
    <row r="30">
      <c r="A30" s="7" t="n">
        <v>27</v>
      </c>
      <c r="B30" s="8" t="inlineStr">
        <is>
          <t xml:space="preserve">        ctrl.pack(fill="x", pady=2)</t>
        </is>
      </c>
    </row>
    <row r="31">
      <c r="A31" s="9" t="n">
        <v>28</v>
      </c>
      <c r="B31" s="10" t="inlineStr">
        <is>
          <t xml:space="preserve">        ttk.Button(ctrl, text="全选", command=self._select_all).pack(side="left", padx=2)</t>
        </is>
      </c>
    </row>
    <row r="32">
      <c r="A32" s="7" t="n">
        <v>29</v>
      </c>
      <c r="B32" s="8" t="inlineStr">
        <is>
          <t xml:space="preserve">        ttk.Button(ctrl, text="全不选", command=self._select_none).pack(side="left", padx=2)</t>
        </is>
      </c>
    </row>
    <row r="33">
      <c r="A33" s="9" t="n">
        <v>30</v>
      </c>
      <c r="B33" s="10" t="inlineStr">
        <is>
          <t xml:space="preserve">        self._search_var = tk.StringVar()</t>
        </is>
      </c>
    </row>
    <row r="34">
      <c r="A34" s="7" t="n">
        <v>31</v>
      </c>
      <c r="B34" s="8" t="inlineStr">
        <is>
          <t xml:space="preserve">        tk.Entry(ctrl, textvariable=self._search_var, width=15,</t>
        </is>
      </c>
    </row>
    <row r="35">
      <c r="A35" s="9" t="n">
        <v>32</v>
      </c>
      <c r="B35" s="10" t="inlineStr">
        <is>
          <t xml:space="preserve">                bg="#2a2a3c", fg="#e8eaf6").pack(side="right", padx=2)</t>
        </is>
      </c>
    </row>
    <row r="36">
      <c r="A36" s="7" t="n">
        <v>33</v>
      </c>
      <c r="B36" s="8" t="inlineStr">
        <is>
          <t xml:space="preserve">        self._search_var.trace_add("write", lambda *a: self._filter())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 xml:space="preserve">        # 可滚动 canvas</t>
        </is>
      </c>
    </row>
    <row r="39">
      <c r="A39" s="9" t="n">
        <v>36</v>
      </c>
      <c r="B39" s="10" t="inlineStr">
        <is>
          <t xml:space="preserve">        canvas = tk.Canvas(self, height=max_height, highlightthickness=0, bg="#1a1a2e")</t>
        </is>
      </c>
    </row>
    <row r="40">
      <c r="A40" s="7" t="n">
        <v>37</v>
      </c>
      <c r="B40" s="8" t="inlineStr">
        <is>
          <t xml:space="preserve">        sb = ttk.Scrollbar(self, orient="vertical", command=canvas.yview)</t>
        </is>
      </c>
    </row>
    <row r="41">
      <c r="A41" s="9" t="n">
        <v>38</v>
      </c>
      <c r="B41" s="10" t="inlineStr">
        <is>
          <t xml:space="preserve">        self._inner = tk.Frame(canvas, bg="#1a1a2e")</t>
        </is>
      </c>
    </row>
    <row r="42">
      <c r="A42" s="7" t="n">
        <v>39</v>
      </c>
      <c r="B42" s="8" t="inlineStr">
        <is>
          <t xml:space="preserve">        self._inner.bind("&lt;Configure&gt;", lambda e: canvas.configure(scrollregion=canvas.bbox("all")))</t>
        </is>
      </c>
    </row>
    <row r="43">
      <c r="A43" s="9" t="n">
        <v>40</v>
      </c>
      <c r="B43" s="10" t="inlineStr">
        <is>
          <t xml:space="preserve">        canvas.create_window((0, 0), window=self._inner, anchor="nw")</t>
        </is>
      </c>
    </row>
    <row r="44">
      <c r="A44" s="7" t="n">
        <v>41</v>
      </c>
      <c r="B44" s="8" t="inlineStr">
        <is>
          <t xml:space="preserve">        canvas.configure(yscrollcommand=sb.set)</t>
        </is>
      </c>
    </row>
    <row r="45">
      <c r="A45" s="9" t="n">
        <v>42</v>
      </c>
      <c r="B45" s="10" t="inlineStr">
        <is>
          <t xml:space="preserve">        canvas.pack(side="left", fill="both", expand=True)</t>
        </is>
      </c>
    </row>
    <row r="46">
      <c r="A46" s="7" t="n">
        <v>43</v>
      </c>
      <c r="B46" s="8" t="inlineStr">
        <is>
          <t xml:space="preserve">        sb.pack(side="right", fill="y")</t>
        </is>
      </c>
    </row>
    <row r="47">
      <c r="A47" s="9" t="n">
        <v>44</v>
      </c>
      <c r="B47" s="10" t="inlineStr">
        <is>
          <t xml:space="preserve">        def _mw(e): canvas.yview_scroll(int(-1 * (e.delta / 120)), "units")</t>
        </is>
      </c>
    </row>
    <row r="48">
      <c r="A48" s="7" t="n">
        <v>45</v>
      </c>
      <c r="B48" s="8" t="inlineStr">
        <is>
          <t xml:space="preserve">        canvas.bind("&lt;MouseWheel&gt;", _mw)</t>
        </is>
      </c>
    </row>
    <row r="49">
      <c r="A49" s="9" t="n">
        <v>46</v>
      </c>
      <c r="B49" s="10" t="inlineStr">
        <is>
          <t xml:space="preserve">        self._inner.bind("&lt;MouseWheel&gt;", _mw)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    self._populate()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 xml:space="preserve">    def _populate(self):</t>
        </is>
      </c>
    </row>
    <row r="54">
      <c r="A54" s="7" t="n">
        <v>51</v>
      </c>
      <c r="B54" s="8" t="inlineStr">
        <is>
          <t xml:space="preserve">        self._build_checkboxes(self._folders)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def _build_checkboxes(self, folders: List[Dict]):</t>
        </is>
      </c>
    </row>
    <row r="57">
      <c r="A57" s="9" t="n">
        <v>54</v>
      </c>
      <c r="B57" s="10" t="inlineStr">
        <is>
          <t xml:space="preserve">        for w in self._inner.winfo_children():</t>
        </is>
      </c>
    </row>
    <row r="58">
      <c r="A58" s="7" t="n">
        <v>55</v>
      </c>
      <c r="B58" s="8" t="inlineStr">
        <is>
          <t xml:space="preserve">            w.destroy()</t>
        </is>
      </c>
    </row>
    <row r="59">
      <c r="A59" s="9" t="n">
        <v>56</v>
      </c>
      <c r="B59" s="10" t="inlineStr">
        <is>
          <t xml:space="preserve">        self._vars.clear()</t>
        </is>
      </c>
    </row>
    <row r="60">
      <c r="A60" s="7" t="n">
        <v>57</v>
      </c>
      <c r="B60" s="8" t="inlineStr">
        <is>
          <t xml:space="preserve">        row, col = 0, 0</t>
        </is>
      </c>
    </row>
    <row r="61">
      <c r="A61" s="9" t="n">
        <v>58</v>
      </c>
      <c r="B61" s="10" t="inlineStr">
        <is>
          <t xml:space="preserve">        for f in folders:</t>
        </is>
      </c>
    </row>
    <row r="62">
      <c r="A62" s="7" t="n">
        <v>59</v>
      </c>
      <c r="B62" s="8" t="inlineStr">
        <is>
          <t xml:space="preserve">            v = tk.BooleanVar(value=True)</t>
        </is>
      </c>
    </row>
    <row r="63">
      <c r="A63" s="9" t="n">
        <v>60</v>
      </c>
      <c r="B63" s="10" t="inlineStr">
        <is>
          <t xml:space="preserve">            self._vars[f["name"]] = v</t>
        </is>
      </c>
    </row>
    <row r="64">
      <c r="A64" s="7" t="n">
        <v>61</v>
      </c>
      <c r="B64" s="8" t="inlineStr">
        <is>
          <t xml:space="preserve">            cb = ttk.Checkbutton(self._inner, text=f"{f['name']}({f.get('count','?')})", variable=v)</t>
        </is>
      </c>
    </row>
    <row r="65">
      <c r="A65" s="9" t="n">
        <v>62</v>
      </c>
      <c r="B65" s="10" t="inlineStr">
        <is>
          <t xml:space="preserve">            cb.grid(row=row, column=col, sticky="w", padx=3, pady=1)</t>
        </is>
      </c>
    </row>
    <row r="66">
      <c r="A66" s="7" t="n">
        <v>63</v>
      </c>
      <c r="B66" s="8" t="inlineStr">
        <is>
          <t xml:space="preserve">            col += 1</t>
        </is>
      </c>
    </row>
    <row r="67">
      <c r="A67" s="9" t="n">
        <v>64</v>
      </c>
      <c r="B67" s="10" t="inlineStr">
        <is>
          <t xml:space="preserve">            if col &gt;= self._cols:</t>
        </is>
      </c>
    </row>
    <row r="68">
      <c r="A68" s="7" t="n">
        <v>65</v>
      </c>
      <c r="B68" s="8" t="inlineStr">
        <is>
          <t xml:space="preserve">                col = 0; row += 1</t>
        </is>
      </c>
    </row>
    <row r="69">
      <c r="A69" s="9" t="n">
        <v>66</v>
      </c>
      <c r="B69" s="10" t="inlineStr"/>
    </row>
    <row r="70">
      <c r="A70" s="7" t="n">
        <v>67</v>
      </c>
      <c r="B70" s="8" t="inlineStr">
        <is>
          <t xml:space="preserve">    def _select_all(self):</t>
        </is>
      </c>
    </row>
    <row r="71">
      <c r="A71" s="9" t="n">
        <v>68</v>
      </c>
      <c r="B71" s="10" t="inlineStr">
        <is>
          <t xml:space="preserve">        for v in self._vars.values():</t>
        </is>
      </c>
    </row>
    <row r="72">
      <c r="A72" s="7" t="n">
        <v>69</v>
      </c>
      <c r="B72" s="8" t="inlineStr">
        <is>
          <t xml:space="preserve">            v.set(True)</t>
        </is>
      </c>
    </row>
    <row r="73">
      <c r="A73" s="9" t="n">
        <v>70</v>
      </c>
      <c r="B73" s="10" t="inlineStr">
        <is>
          <t xml:space="preserve">        self._notify()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def _select_none(self):</t>
        </is>
      </c>
    </row>
    <row r="76">
      <c r="A76" s="7" t="n">
        <v>73</v>
      </c>
      <c r="B76" s="8" t="inlineStr">
        <is>
          <t xml:space="preserve">        for v in self._vars.values():</t>
        </is>
      </c>
    </row>
    <row r="77">
      <c r="A77" s="9" t="n">
        <v>74</v>
      </c>
      <c r="B77" s="10" t="inlineStr">
        <is>
          <t xml:space="preserve">            v.set(False)</t>
        </is>
      </c>
    </row>
    <row r="78">
      <c r="A78" s="7" t="n">
        <v>75</v>
      </c>
      <c r="B78" s="8" t="inlineStr">
        <is>
          <t xml:space="preserve">        self._notify()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>
        <is>
          <t xml:space="preserve">    def _filter(self):</t>
        </is>
      </c>
    </row>
    <row r="81">
      <c r="A81" s="9" t="n">
        <v>78</v>
      </c>
      <c r="B81" s="10" t="inlineStr">
        <is>
          <t xml:space="preserve">        q = self._search_var.get().strip().lower()</t>
        </is>
      </c>
    </row>
    <row r="82">
      <c r="A82" s="7" t="n">
        <v>79</v>
      </c>
      <c r="B82" s="8" t="inlineStr">
        <is>
          <t xml:space="preserve">        if not q:</t>
        </is>
      </c>
    </row>
    <row r="83">
      <c r="A83" s="9" t="n">
        <v>80</v>
      </c>
      <c r="B83" s="10" t="inlineStr">
        <is>
          <t xml:space="preserve">            self._populate()</t>
        </is>
      </c>
    </row>
    <row r="84">
      <c r="A84" s="7" t="n">
        <v>81</v>
      </c>
      <c r="B84" s="8" t="inlineStr">
        <is>
          <t xml:space="preserve">            return</t>
        </is>
      </c>
    </row>
    <row r="85">
      <c r="A85" s="9" t="n">
        <v>82</v>
      </c>
      <c r="B85" s="10" t="inlineStr">
        <is>
          <t xml:space="preserve">        filtered = [f for f in self._folders if q in f["name"].lower()]</t>
        </is>
      </c>
    </row>
    <row r="86">
      <c r="A86" s="7" t="n">
        <v>83</v>
      </c>
      <c r="B86" s="8" t="inlineStr">
        <is>
          <t xml:space="preserve">        self._build_checkboxes(filtered)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>
        <is>
          <t xml:space="preserve">    def _notify(self):</t>
        </is>
      </c>
    </row>
    <row r="89">
      <c r="A89" s="9" t="n">
        <v>86</v>
      </c>
      <c r="B89" s="10" t="inlineStr">
        <is>
          <t xml:space="preserve">        if self._on_change:</t>
        </is>
      </c>
    </row>
    <row r="90">
      <c r="A90" s="7" t="n">
        <v>87</v>
      </c>
      <c r="B90" s="8" t="inlineStr">
        <is>
          <t xml:space="preserve">            self._on_change(self.get_selected())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 xml:space="preserve">    def set_folders(self, folders: List[Dict]):</t>
        </is>
      </c>
    </row>
    <row r="93">
      <c r="A93" s="9" t="n">
        <v>90</v>
      </c>
      <c r="B93" s="10" t="inlineStr">
        <is>
          <t xml:space="preserve">        self._folders = folders</t>
        </is>
      </c>
    </row>
    <row r="94">
      <c r="A94" s="7" t="n">
        <v>91</v>
      </c>
      <c r="B94" s="8" t="inlineStr">
        <is>
          <t xml:space="preserve">        self._populate()</t>
        </is>
      </c>
    </row>
    <row r="95">
      <c r="A95" s="9" t="n">
        <v>92</v>
      </c>
      <c r="B95" s="10" t="inlineStr"/>
    </row>
    <row r="96">
      <c r="A96" s="7" t="n">
        <v>93</v>
      </c>
      <c r="B96" s="8" t="inlineStr">
        <is>
          <t xml:space="preserve">    def get_selected(self) -&gt; List[str]:</t>
        </is>
      </c>
    </row>
    <row r="97">
      <c r="A97" s="9" t="n">
        <v>94</v>
      </c>
      <c r="B97" s="10" t="inlineStr">
        <is>
          <t xml:space="preserve">        return [n for n, v in self._vars.items() if v.get()]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ui\components\progress_panel.py</t>
        </is>
      </c>
      <c r="C1" s="5" t="inlineStr">
        <is>
          <t>行数: 35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ProgressPanel — 可复用的进度条组件</t>
        </is>
      </c>
    </row>
    <row r="6">
      <c r="A6" s="7" t="n">
        <v>3</v>
      </c>
      <c r="B6" s="8" t="inlineStr">
        <is>
          <t>用法:</t>
        </is>
      </c>
    </row>
    <row r="7">
      <c r="A7" s="9" t="n">
        <v>4</v>
      </c>
      <c r="B7" s="10" t="inlineStr">
        <is>
          <t xml:space="preserve">  panel = ProgressPanel(parent)</t>
        </is>
      </c>
    </row>
    <row r="8">
      <c r="A8" s="7" t="n">
        <v>5</v>
      </c>
      <c r="B8" s="8" t="inlineStr">
        <is>
          <t xml:space="preserve">  panel.set_progress(3, 6)  # step 3 of 6</t>
        </is>
      </c>
    </row>
    <row r="9">
      <c r="A9" s="9" t="n">
        <v>6</v>
      </c>
      <c r="B9" s="10" t="inlineStr">
        <is>
          <t xml:space="preserve">  panel.set_status("分析中...")</t>
        </is>
      </c>
    </row>
    <row r="10">
      <c r="A10" s="7" t="n">
        <v>7</v>
      </c>
      <c r="B10" s="8" t="inlineStr">
        <is>
          <t>"""</t>
        </is>
      </c>
    </row>
    <row r="11">
      <c r="A11" s="9" t="n">
        <v>8</v>
      </c>
      <c r="B11" s="10" t="inlineStr">
        <is>
          <t>import tkinter as tk</t>
        </is>
      </c>
    </row>
    <row r="12">
      <c r="A12" s="7" t="n">
        <v>9</v>
      </c>
      <c r="B12" s="8" t="inlineStr">
        <is>
          <t>from tkinter import ttk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class ProgressPanel(ttk.Frame):</t>
        </is>
      </c>
    </row>
    <row r="16">
      <c r="A16" s="7" t="n">
        <v>13</v>
      </c>
      <c r="B16" s="8" t="inlineStr">
        <is>
          <t xml:space="preserve">    """进度条 + 百分比 + 状态文字"""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 xml:space="preserve">    def __init__(self, parent, **kwargs):</t>
        </is>
      </c>
    </row>
    <row r="19">
      <c r="A19" s="9" t="n">
        <v>16</v>
      </c>
      <c r="B19" s="10" t="inlineStr">
        <is>
          <t xml:space="preserve">        super().__init__(parent, **kwargs)</t>
        </is>
      </c>
    </row>
    <row r="20">
      <c r="A20" s="7" t="n">
        <v>17</v>
      </c>
      <c r="B20" s="8" t="inlineStr">
        <is>
          <t xml:space="preserve">        self._bar = ttk.Progressbar(self, mode="determinate")</t>
        </is>
      </c>
    </row>
    <row r="21">
      <c r="A21" s="9" t="n">
        <v>18</v>
      </c>
      <c r="B21" s="10" t="inlineStr">
        <is>
          <t xml:space="preserve">        self._bar.pack(fill="x", pady=2)</t>
        </is>
      </c>
    </row>
    <row r="22">
      <c r="A22" s="7" t="n">
        <v>19</v>
      </c>
      <c r="B22" s="8" t="inlineStr">
        <is>
          <t xml:space="preserve">        self._label = ttk.Label(self, text="")</t>
        </is>
      </c>
    </row>
    <row r="23">
      <c r="A23" s="9" t="n">
        <v>20</v>
      </c>
      <c r="B23" s="10" t="inlineStr">
        <is>
          <t xml:space="preserve">        self._label.pack()</t>
        </is>
      </c>
    </row>
    <row r="24">
      <c r="A24" s="7" t="n">
        <v>21</v>
      </c>
      <c r="B24" s="8" t="inlineStr">
        <is>
          <t xml:space="preserve">        self._status = ttk.Label(self, text="", foreground="#8892b0")</t>
        </is>
      </c>
    </row>
    <row r="25">
      <c r="A25" s="9" t="n">
        <v>22</v>
      </c>
      <c r="B25" s="10" t="inlineStr">
        <is>
          <t xml:space="preserve">        self._status.pack()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 xml:space="preserve">    def set_progress(self, step: int, total: int):</t>
        </is>
      </c>
    </row>
    <row r="28">
      <c r="A28" s="7" t="n">
        <v>25</v>
      </c>
      <c r="B28" s="8" t="inlineStr">
        <is>
          <t xml:space="preserve">        self._bar.configure(value=step, maximum=total)</t>
        </is>
      </c>
    </row>
    <row r="29">
      <c r="A29" s="9" t="n">
        <v>26</v>
      </c>
      <c r="B29" s="10" t="inlineStr">
        <is>
          <t xml:space="preserve">        pct = int(step / max(total, 1) * 100)</t>
        </is>
      </c>
    </row>
    <row r="30">
      <c r="A30" s="7" t="n">
        <v>27</v>
      </c>
      <c r="B30" s="8" t="inlineStr">
        <is>
          <t xml:space="preserve">        self._label.config(text=f"{pct}%  ({step}/{total})")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 xml:space="preserve">    def set_status(self, text: str, color: str = "#8892b0"):</t>
        </is>
      </c>
    </row>
    <row r="33">
      <c r="A33" s="9" t="n">
        <v>30</v>
      </c>
      <c r="B33" s="10" t="inlineStr">
        <is>
          <t xml:space="preserve">        self._status.config(text=text, foreground=color)</t>
        </is>
      </c>
    </row>
    <row r="34">
      <c r="A34" s="7" t="n">
        <v>31</v>
      </c>
      <c r="B34" s="8" t="inlineStr"/>
    </row>
    <row r="35">
      <c r="A35" s="9" t="n">
        <v>32</v>
      </c>
      <c r="B35" s="10" t="inlineStr">
        <is>
          <t xml:space="preserve">    def reset(self):</t>
        </is>
      </c>
    </row>
    <row r="36">
      <c r="A36" s="7" t="n">
        <v>33</v>
      </c>
      <c r="B36" s="8" t="inlineStr">
        <is>
          <t xml:space="preserve">        self._bar.configure(value=0)</t>
        </is>
      </c>
    </row>
    <row r="37">
      <c r="A37" s="9" t="n">
        <v>34</v>
      </c>
      <c r="B37" s="10" t="inlineStr">
        <is>
          <t xml:space="preserve">        self._label.config(text="")</t>
        </is>
      </c>
    </row>
    <row r="38">
      <c r="A38" s="7" t="n">
        <v>35</v>
      </c>
      <c r="B38" s="8" t="inlineStr">
        <is>
          <t xml:space="preserve">        self._status.config(text="")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ui\components\script_input_area.py</t>
        </is>
      </c>
      <c r="C1" s="5" t="inlineStr">
        <is>
          <t>行数: 52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ScriptInputArea — 批量粘贴 + 智能识别组件</t>
        </is>
      </c>
    </row>
    <row r="6">
      <c r="A6" s="7" t="n">
        <v>3</v>
      </c>
      <c r="B6" s="8" t="inlineStr">
        <is>
          <t>用法:</t>
        </is>
      </c>
    </row>
    <row r="7">
      <c r="A7" s="9" t="n">
        <v>4</v>
      </c>
      <c r="B7" s="10" t="inlineStr">
        <is>
          <t xml:space="preserve">  area = ScriptInputArea(parent, on_scripts_parsed=callback)</t>
        </is>
      </c>
    </row>
    <row r="8">
      <c r="A8" s="7" t="n">
        <v>5</v>
      </c>
      <c r="B8" s="8" t="inlineStr">
        <is>
          <t xml:space="preserve">  scripts = area.get_scripts()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tkinter as tk</t>
        </is>
      </c>
    </row>
    <row r="11">
      <c r="A11" s="9" t="n">
        <v>8</v>
      </c>
      <c r="B11" s="10" t="inlineStr">
        <is>
          <t>from tkinter import ttk, messagebox</t>
        </is>
      </c>
    </row>
    <row r="12">
      <c r="A12" s="7" t="n">
        <v>9</v>
      </c>
      <c r="B12" s="8" t="inlineStr">
        <is>
          <t>from typing import Callable, List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class ScriptInputArea(ttk.Frame):</t>
        </is>
      </c>
    </row>
    <row r="16">
      <c r="A16" s="7" t="n">
        <v>13</v>
      </c>
      <c r="B16" s="8" t="inlineStr">
        <is>
          <t xml:space="preserve">    """多行文本输入 + 识别并填充 + 强制按行复选框"""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 xml:space="preserve">    def __init__(self, parent, on_scripts_parsed: Callable = None, **kwargs):</t>
        </is>
      </c>
    </row>
    <row r="19">
      <c r="A19" s="9" t="n">
        <v>16</v>
      </c>
      <c r="B19" s="10" t="inlineStr">
        <is>
          <t xml:space="preserve">        super().__init__(parent, **kwargs)</t>
        </is>
      </c>
    </row>
    <row r="20">
      <c r="A20" s="7" t="n">
        <v>17</v>
      </c>
      <c r="B20" s="8" t="inlineStr">
        <is>
          <t xml:space="preserve">        self._on_parsed = on_scripts_parsed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 xml:space="preserve">        ttk.Label(self, text="从Excel粘贴(自动识别):", font=("", 11, "bold")).pack(anchor="w")</t>
        </is>
      </c>
    </row>
    <row r="23">
      <c r="A23" s="9" t="n">
        <v>20</v>
      </c>
      <c r="B23" s="10" t="inlineStr">
        <is>
          <t xml:space="preserve">        self._text = tk.Text(self, height=4, font=("Microsoft YaHei", 11),</t>
        </is>
      </c>
    </row>
    <row r="24">
      <c r="A24" s="7" t="n">
        <v>21</v>
      </c>
      <c r="B24" s="8" t="inlineStr">
        <is>
          <t xml:space="preserve">                             bg="#2a2a3c", fg="#e8eaf6")</t>
        </is>
      </c>
    </row>
    <row r="25">
      <c r="A25" s="9" t="n">
        <v>22</v>
      </c>
      <c r="B25" s="10" t="inlineStr">
        <is>
          <t xml:space="preserve">        self._text.pack(fill="x", pady=2)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 xml:space="preserve">        ctrl = ttk.Frame(self)</t>
        </is>
      </c>
    </row>
    <row r="28">
      <c r="A28" s="7" t="n">
        <v>25</v>
      </c>
      <c r="B28" s="8" t="inlineStr">
        <is>
          <t xml:space="preserve">        ctrl.pack(fill="x", pady=4)</t>
        </is>
      </c>
    </row>
    <row r="29">
      <c r="A29" s="9" t="n">
        <v>26</v>
      </c>
      <c r="B29" s="10" t="inlineStr">
        <is>
          <t xml:space="preserve">        ttk.Button(ctrl, text="识别并填充", command=self._do_parse).pack(side="left", padx=3)</t>
        </is>
      </c>
    </row>
    <row r="30">
      <c r="A30" s="7" t="n">
        <v>27</v>
      </c>
      <c r="B30" s="8" t="inlineStr">
        <is>
          <t xml:space="preserve">        ttk.Button(ctrl, text="清空", command=lambda: self._text.delete("1.0","end")).pack(side="left", padx=3)</t>
        </is>
      </c>
    </row>
    <row r="31">
      <c r="A31" s="9" t="n">
        <v>28</v>
      </c>
      <c r="B31" s="10" t="inlineStr">
        <is>
          <t xml:space="preserve">        self._force_line = tk.BooleanVar(value=False)</t>
        </is>
      </c>
    </row>
    <row r="32">
      <c r="A32" s="7" t="n">
        <v>29</v>
      </c>
      <c r="B32" s="8" t="inlineStr">
        <is>
          <t xml:space="preserve">        ttk.Checkbutton(ctrl, text="强制按行", variable=self._force_line).pack(side="left", padx=6)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 xml:space="preserve">        self._status = ttk.Label(ctrl, text="", foreground="#8892b0")</t>
        </is>
      </c>
    </row>
    <row r="35">
      <c r="A35" s="9" t="n">
        <v>32</v>
      </c>
      <c r="B35" s="10" t="inlineStr">
        <is>
          <t xml:space="preserve">        self._status.pack(side="left", padx=10)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 xml:space="preserve">    def _do_parse(self):</t>
        </is>
      </c>
    </row>
    <row r="38">
      <c r="A38" s="7" t="n">
        <v>35</v>
      </c>
      <c r="B38" s="8" t="inlineStr">
        <is>
          <t xml:space="preserve">        raw = self._text.get("1.0", "end-1c")</t>
        </is>
      </c>
    </row>
    <row r="39">
      <c r="A39" s="9" t="n">
        <v>36</v>
      </c>
      <c r="B39" s="10" t="inlineStr">
        <is>
          <t xml:space="preserve">        from core.script_utils import split_scripts</t>
        </is>
      </c>
    </row>
    <row r="40">
      <c r="A40" s="7" t="n">
        <v>37</v>
      </c>
      <c r="B40" s="8" t="inlineStr">
        <is>
          <t xml:space="preserve">        scripts = split_scripts(raw, force_by_line=self._force_line.get())</t>
        </is>
      </c>
    </row>
    <row r="41">
      <c r="A41" s="9" t="n">
        <v>38</v>
      </c>
      <c r="B41" s="10" t="inlineStr">
        <is>
          <t xml:space="preserve">        if not scripts:</t>
        </is>
      </c>
    </row>
    <row r="42">
      <c r="A42" s="7" t="n">
        <v>39</v>
      </c>
      <c r="B42" s="8" t="inlineStr">
        <is>
          <t xml:space="preserve">            messagebox.showinfo("提示", "未识别到有效文案。\n用空行分隔不同脚本，或勾选「强制按行」。")</t>
        </is>
      </c>
    </row>
    <row r="43">
      <c r="A43" s="9" t="n">
        <v>40</v>
      </c>
      <c r="B43" s="10" t="inlineStr">
        <is>
          <t xml:space="preserve">            return</t>
        </is>
      </c>
    </row>
    <row r="44">
      <c r="A44" s="7" t="n">
        <v>41</v>
      </c>
      <c r="B44" s="8" t="inlineStr">
        <is>
          <t xml:space="preserve">        self._status.config(text=f"识别 {len(scripts)} 条")</t>
        </is>
      </c>
    </row>
    <row r="45">
      <c r="A45" s="9" t="n">
        <v>42</v>
      </c>
      <c r="B45" s="10" t="inlineStr">
        <is>
          <t xml:space="preserve">        if self._on_parsed:</t>
        </is>
      </c>
    </row>
    <row r="46">
      <c r="A46" s="7" t="n">
        <v>43</v>
      </c>
      <c r="B46" s="8" t="inlineStr">
        <is>
          <t xml:space="preserve">            self._on_parsed(scripts)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 xml:space="preserve">    def get_scripts(self) -&gt; List[str]:</t>
        </is>
      </c>
    </row>
    <row r="49">
      <c r="A49" s="9" t="n">
        <v>46</v>
      </c>
      <c r="B49" s="10" t="inlineStr">
        <is>
          <t xml:space="preserve">        from core.script_utils import split_scripts</t>
        </is>
      </c>
    </row>
    <row r="50">
      <c r="A50" s="7" t="n">
        <v>47</v>
      </c>
      <c r="B50" s="8" t="inlineStr">
        <is>
          <t xml:space="preserve">        return split_scripts(self._text.get("1.0", "end-1c"),</t>
        </is>
      </c>
    </row>
    <row r="51">
      <c r="A51" s="9" t="n">
        <v>48</v>
      </c>
      <c r="B51" s="10" t="inlineStr">
        <is>
          <t xml:space="preserve">                             force_by_line=self._force_line.get())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 xml:space="preserve">    def clear(self):</t>
        </is>
      </c>
    </row>
    <row r="54">
      <c r="A54" s="7" t="n">
        <v>51</v>
      </c>
      <c r="B54" s="8" t="inlineStr">
        <is>
          <t xml:space="preserve">        self._text.delete("1.0", "end")</t>
        </is>
      </c>
    </row>
    <row r="55">
      <c r="A55" s="9" t="n">
        <v>52</v>
      </c>
      <c r="B55" s="10" t="inlineStr">
        <is>
          <t xml:space="preserve">        self._status.config(text="")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9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ui\desktop.py</t>
        </is>
      </c>
      <c r="C1" s="5" t="inlineStr">
        <is>
          <t>行数: 1904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 xml:space="preserve"> #!/usr/bin/env python3</t>
        </is>
      </c>
    </row>
    <row r="5">
      <c r="A5" s="9" t="n">
        <v>2</v>
      </c>
      <c r="B5" s="10" t="inlineStr">
        <is>
          <t># -*- coding: utf-8 -*-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树剪 TreeCut v11.1 - 完整功能桌面应用 (ttkbootstrap浅色主题)</t>
        </is>
      </c>
    </row>
    <row r="8">
      <c r="A8" s="7" t="n">
        <v>5</v>
      </c>
      <c r="B8" s="8" t="inlineStr">
        <is>
          <t>保留全部7个Tab + 菜单 + 进度 + 快捷键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sys, os, json, time, threading</t>
        </is>
      </c>
    </row>
    <row r="11">
      <c r="A11" s="9" t="n">
        <v>8</v>
      </c>
      <c r="B11" s="10" t="inlineStr">
        <is>
          <t>from pathlib import Path</t>
        </is>
      </c>
    </row>
    <row r="12">
      <c r="A12" s="7" t="n">
        <v>9</v>
      </c>
      <c r="B12" s="8" t="inlineStr">
        <is>
          <t>from datetime import datetime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sys.path.insert(0, str(Path(__file__).parent.parent))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import tkinter as tk</t>
        </is>
      </c>
    </row>
    <row r="17">
      <c r="A17" s="9" t="n">
        <v>14</v>
      </c>
      <c r="B17" s="10" t="inlineStr">
        <is>
          <t>from tkinter import messagebox, filedialog, scrolledtext</t>
        </is>
      </c>
    </row>
    <row r="18">
      <c r="A18" s="7" t="n">
        <v>15</v>
      </c>
      <c r="B18" s="8" t="inlineStr">
        <is>
          <t>import ttkbootstrap as tb</t>
        </is>
      </c>
    </row>
    <row r="19">
      <c r="A19" s="9" t="n">
        <v>16</v>
      </c>
      <c r="B19" s="10" t="inlineStr">
        <is>
          <t>from ui.rounded_button import RoundedButton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/>
    </row>
    <row r="22">
      <c r="A22" s="7" t="n">
        <v>19</v>
      </c>
      <c r="B22" s="8" t="inlineStr">
        <is>
          <t># ── 线程安全全局变量 ──</t>
        </is>
      </c>
    </row>
    <row r="23">
      <c r="A23" s="9" t="n">
        <v>20</v>
      </c>
      <c r="B23" s="10" t="inlineStr">
        <is>
          <t>_ve = None; _ve_lock = threading.Lock()</t>
        </is>
      </c>
    </row>
    <row r="24">
      <c r="A24" s="7" t="n">
        <v>21</v>
      </c>
      <c r="B24" s="8" t="inlineStr">
        <is>
          <t>_folder_cache = None; _cache_lock = threading.Lock()</t>
        </is>
      </c>
    </row>
    <row r="25">
      <c r="A25" s="9" t="n">
        <v>22</v>
      </c>
      <c r="B25" s="10" t="inlineStr">
        <is>
          <t>_ui_state_lock = threading.Lock()  # UI状态锁 — 保护 _folder_ui_built 等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def format_count(n):</t>
        </is>
      </c>
    </row>
    <row r="28">
      <c r="A28" s="7" t="n">
        <v>25</v>
      </c>
      <c r="B28" s="8" t="inlineStr">
        <is>
          <t xml:space="preserve">    if n &gt;= 100000: return f"{n/10000:.1f}w"</t>
        </is>
      </c>
    </row>
    <row r="29">
      <c r="A29" s="9" t="n">
        <v>26</v>
      </c>
      <c r="B29" s="10" t="inlineStr">
        <is>
          <t xml:space="preserve">    if n &gt;= 1000: return f"{n/1000:.1f}k"</t>
        </is>
      </c>
    </row>
    <row r="30">
      <c r="A30" s="7" t="n">
        <v>27</v>
      </c>
      <c r="B30" s="8" t="inlineStr">
        <is>
          <t xml:space="preserve">    return str(n)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>def _get_ve():</t>
        </is>
      </c>
    </row>
    <row r="33">
      <c r="A33" s="9" t="n">
        <v>30</v>
      </c>
      <c r="B33" s="10" t="inlineStr">
        <is>
          <t xml:space="preserve">    global _ve</t>
        </is>
      </c>
    </row>
    <row r="34">
      <c r="A34" s="7" t="n">
        <v>31</v>
      </c>
      <c r="B34" s="8" t="inlineStr">
        <is>
          <t xml:space="preserve">    if _ve is None:</t>
        </is>
      </c>
    </row>
    <row r="35">
      <c r="A35" s="9" t="n">
        <v>32</v>
      </c>
      <c r="B35" s="10" t="inlineStr">
        <is>
          <t xml:space="preserve">        with _ve_lock:</t>
        </is>
      </c>
    </row>
    <row r="36">
      <c r="A36" s="7" t="n">
        <v>33</v>
      </c>
      <c r="B36" s="8" t="inlineStr">
        <is>
          <t xml:space="preserve">            if _ve is None: import core as _ve</t>
        </is>
      </c>
    </row>
    <row r="37">
      <c r="A37" s="9" t="n">
        <v>34</v>
      </c>
      <c r="B37" s="10" t="inlineStr">
        <is>
          <t xml:space="preserve">    return _ve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>def _get_folders_fast():</t>
        </is>
      </c>
    </row>
    <row r="40">
      <c r="A40" s="7" t="n">
        <v>37</v>
      </c>
      <c r="B40" s="8" t="inlineStr">
        <is>
          <t xml:space="preserve">    global _folder_cache</t>
        </is>
      </c>
    </row>
    <row r="41">
      <c r="A41" s="9" t="n">
        <v>38</v>
      </c>
      <c r="B41" s="10" t="inlineStr">
        <is>
          <t xml:space="preserve">    with _cache_lock:</t>
        </is>
      </c>
    </row>
    <row r="42">
      <c r="A42" s="7" t="n">
        <v>39</v>
      </c>
      <c r="B42" s="8" t="inlineStr">
        <is>
          <t xml:space="preserve">        if _folder_cache is not None: return _folder_cache</t>
        </is>
      </c>
    </row>
    <row r="43">
      <c r="A43" s="9" t="n">
        <v>40</v>
      </c>
      <c r="B43" s="10" t="inlineStr">
        <is>
          <t xml:space="preserve">    cf = Path(__file__).parent.parent / "folder_cache.json"</t>
        </is>
      </c>
    </row>
    <row r="44">
      <c r="A44" s="7" t="n">
        <v>41</v>
      </c>
      <c r="B44" s="8" t="inlineStr">
        <is>
          <t xml:space="preserve">    try:</t>
        </is>
      </c>
    </row>
    <row r="45">
      <c r="A45" s="9" t="n">
        <v>42</v>
      </c>
      <c r="B45" s="10" t="inlineStr">
        <is>
          <t xml:space="preserve">        if cf.exists():</t>
        </is>
      </c>
    </row>
    <row r="46">
      <c r="A46" s="7" t="n">
        <v>43</v>
      </c>
      <c r="B46" s="8" t="inlineStr">
        <is>
          <t xml:space="preserve">            data = json.loads(cf.read_text(encoding="utf-8"))</t>
        </is>
      </c>
    </row>
    <row r="47">
      <c r="A47" s="9" t="n">
        <v>44</v>
      </c>
      <c r="B47" s="10" t="inlineStr">
        <is>
          <t xml:space="preserve">            if time.time() - data.get("ts",0) &lt; 86400:</t>
        </is>
      </c>
    </row>
    <row r="48">
      <c r="A48" s="7" t="n">
        <v>45</v>
      </c>
      <c r="B48" s="8" t="inlineStr">
        <is>
          <t xml:space="preserve">                _folder_cache = data.get("folders",[])</t>
        </is>
      </c>
    </row>
    <row r="49">
      <c r="A49" s="9" t="n">
        <v>46</v>
      </c>
      <c r="B49" s="10" t="inlineStr">
        <is>
          <t xml:space="preserve">                if _folder_cache: return _folder_cache</t>
        </is>
      </c>
    </row>
    <row r="50">
      <c r="A50" s="7" t="n">
        <v>47</v>
      </c>
      <c r="B50" s="8" t="inlineStr">
        <is>
          <t xml:space="preserve">    except json.JSONDecodeError:</t>
        </is>
      </c>
    </row>
    <row r="51">
      <c r="A51" s="9" t="n">
        <v>48</v>
      </c>
      <c r="B51" s="10" t="inlineStr">
        <is>
          <t xml:space="preserve">        cf.unlink(missing_ok=True)</t>
        </is>
      </c>
    </row>
    <row r="52">
      <c r="A52" s="7" t="n">
        <v>49</v>
      </c>
      <c r="B52" s="8" t="inlineStr">
        <is>
          <t xml:space="preserve">        print("   [Cache] 缓存文件损坏，已删除并重建")</t>
        </is>
      </c>
    </row>
    <row r="53">
      <c r="A53" s="9" t="n">
        <v>50</v>
      </c>
      <c r="B53" s="10" t="inlineStr">
        <is>
          <t xml:space="preserve">    except Exception as _e:</t>
        </is>
      </c>
    </row>
    <row r="54">
      <c r="A54" s="7" t="n">
        <v>51</v>
      </c>
      <c r="B54" s="8" t="inlineStr">
        <is>
          <t xml:space="preserve">        from utils.logging import log_warning</t>
        </is>
      </c>
    </row>
    <row r="55">
      <c r="A55" s="9" t="n">
        <v>52</v>
      </c>
      <c r="B55" s="10" t="inlineStr">
        <is>
          <t xml:space="preserve">        log_warning('desktop', str(_e)[:80])</t>
        </is>
      </c>
    </row>
    <row r="56">
      <c r="A56" s="7" t="n">
        <v>53</v>
      </c>
      <c r="B56" s="8" t="inlineStr">
        <is>
          <t xml:space="preserve">    try:</t>
        </is>
      </c>
    </row>
    <row r="57">
      <c r="A57" s="9" t="n">
        <v>54</v>
      </c>
      <c r="B57" s="10" t="inlineStr">
        <is>
          <t xml:space="preserve">        import sqlite3</t>
        </is>
      </c>
    </row>
    <row r="58">
      <c r="A58" s="7" t="n">
        <v>55</v>
      </c>
      <c r="B58" s="8" t="inlineStr">
        <is>
          <t xml:space="preserve">        db = Path(__file__).parent.parent / "ai_material_library.db"</t>
        </is>
      </c>
    </row>
    <row r="59">
      <c r="A59" s="9" t="n">
        <v>56</v>
      </c>
      <c r="B59" s="10" t="inlineStr">
        <is>
          <t xml:space="preserve">        if db.exists():</t>
        </is>
      </c>
    </row>
    <row r="60">
      <c r="A60" s="7" t="n">
        <v>57</v>
      </c>
      <c r="B60" s="8" t="inlineStr">
        <is>
          <t xml:space="preserve">            conn = sqlite3.connect(str(db))</t>
        </is>
      </c>
    </row>
    <row r="61">
      <c r="A61" s="9" t="n">
        <v>58</v>
      </c>
      <c r="B61" s="10" t="inlineStr">
        <is>
          <t xml:space="preserve">            rows = conn.execute("SELECT source_folder, COUNT(*) as cnt FROM materials WHERE source_folder != '' GROUP BY source_folder ORDER BY cnt DESC").fetchall()</t>
        </is>
      </c>
    </row>
    <row r="62">
      <c r="A62" s="7" t="n">
        <v>59</v>
      </c>
      <c r="B62" s="8" t="inlineStr">
        <is>
          <t xml:space="preserve">            conn.close()</t>
        </is>
      </c>
    </row>
    <row r="63">
      <c r="A63" s="9" t="n">
        <v>60</v>
      </c>
      <c r="B63" s="10" t="inlineStr">
        <is>
          <t xml:space="preserve">            _folder_cache = [{"name":r[0],"count":r[1]} for r in rows if r[0].strip()]</t>
        </is>
      </c>
    </row>
    <row r="64">
      <c r="A64" s="7" t="n">
        <v>61</v>
      </c>
      <c r="B64" s="8" t="inlineStr">
        <is>
          <t xml:space="preserve">            if _folder_cache: return _folder_cache</t>
        </is>
      </c>
    </row>
    <row r="65">
      <c r="A65" s="9" t="n">
        <v>62</v>
      </c>
      <c r="B65" s="10" t="inlineStr">
        <is>
          <t xml:space="preserve">    except Exception as _e: from utils.logging import log_warning; log_warning('desktop', str(_e)[:80])</t>
        </is>
      </c>
    </row>
    <row r="66">
      <c r="A66" s="7" t="n">
        <v>63</v>
      </c>
      <c r="B66" s="8" t="inlineStr">
        <is>
          <t xml:space="preserve">    _folder_cache = []</t>
        </is>
      </c>
    </row>
    <row r="67">
      <c r="A67" s="9" t="n">
        <v>64</v>
      </c>
      <c r="B67" s="10" t="inlineStr">
        <is>
          <t xml:space="preserve">    for sp in [os.environ.get("TREECUT_SELLING_DIR", r"Z:\已处理素材\卖点展示类素材"),</t>
        </is>
      </c>
    </row>
    <row r="68">
      <c r="A68" s="7" t="n">
        <v>65</v>
      </c>
      <c r="B68" s="8" t="inlineStr">
        <is>
          <t xml:space="preserve">               os.environ.get("TREECUT_EFFECTS_DIR", r"Z:\已处理素材\效果展示类素材"),</t>
        </is>
      </c>
    </row>
    <row r="69">
      <c r="A69" s="9" t="n">
        <v>66</v>
      </c>
      <c r="B69" s="10" t="inlineStr">
        <is>
          <t xml:space="preserve">               os.environ.get("TREECUT_BGROUP_DIR", r"Z:\B组更新视频")]:</t>
        </is>
      </c>
    </row>
    <row r="70">
      <c r="A70" s="7" t="n">
        <v>67</v>
      </c>
      <c r="B70" s="8" t="inlineStr">
        <is>
          <t xml:space="preserve">        p = Path(sp)</t>
        </is>
      </c>
    </row>
    <row r="71">
      <c r="A71" s="9" t="n">
        <v>68</v>
      </c>
      <c r="B71" s="10" t="inlineStr">
        <is>
          <t xml:space="preserve">        if p.exists():</t>
        </is>
      </c>
    </row>
    <row r="72">
      <c r="A72" s="7" t="n">
        <v>69</v>
      </c>
      <c r="B72" s="8" t="inlineStr">
        <is>
          <t xml:space="preserve">            for d in sorted(p.iterdir()):</t>
        </is>
      </c>
    </row>
    <row r="73">
      <c r="A73" s="9" t="n">
        <v>70</v>
      </c>
      <c r="B73" s="10" t="inlineStr">
        <is>
          <t xml:space="preserve">                if d.is_dir():</t>
        </is>
      </c>
    </row>
    <row r="74">
      <c r="A74" s="7" t="n">
        <v>71</v>
      </c>
      <c r="B74" s="8" t="inlineStr">
        <is>
          <t xml:space="preserve">                    try: cnt = len(list(d.rglob("*.mp4")))</t>
        </is>
      </c>
    </row>
    <row r="75">
      <c r="A75" s="9" t="n">
        <v>72</v>
      </c>
      <c r="B75" s="10" t="inlineStr">
        <is>
          <t xml:space="preserve">                    except Exception: cnt = 0</t>
        </is>
      </c>
    </row>
    <row r="76">
      <c r="A76" s="7" t="n">
        <v>73</v>
      </c>
      <c r="B76" s="8" t="inlineStr">
        <is>
          <t xml:space="preserve">                    if cnt &gt; 0: _folder_cache.append({"name":d.name,"count":cnt})</t>
        </is>
      </c>
    </row>
    <row r="77">
      <c r="A77" s="9" t="n">
        <v>74</v>
      </c>
      <c r="B77" s="10" t="inlineStr">
        <is>
          <t xml:space="preserve">    _folder_cache.sort(key=lambda x:-x["count"])</t>
        </is>
      </c>
    </row>
    <row r="78">
      <c r="A78" s="7" t="n">
        <v>75</v>
      </c>
      <c r="B78" s="8" t="inlineStr">
        <is>
          <t xml:space="preserve">    try: cf.write_text(json.dumps({"ts":time.time(),"folders":_folder_cache},ensure_ascii=False),encoding="utf-8")</t>
        </is>
      </c>
    </row>
    <row r="79">
      <c r="A79" s="9" t="n">
        <v>76</v>
      </c>
      <c r="B79" s="10" t="inlineStr">
        <is>
          <t xml:space="preserve">    except Exception as _e: from utils.logging import log_warning; log_warning('desktop', str(_e)[:80])</t>
        </is>
      </c>
    </row>
    <row r="80">
      <c r="A80" s="7" t="n">
        <v>77</v>
      </c>
      <c r="B80" s="8" t="inlineStr">
        <is>
          <t xml:space="preserve">    return _folder_cache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>class TreeCutApp:</t>
        </is>
      </c>
    </row>
    <row r="83">
      <c r="A83" s="9" t="n">
        <v>80</v>
      </c>
      <c r="B83" s="10" t="inlineStr">
        <is>
          <t xml:space="preserve">    def __init__(self):</t>
        </is>
      </c>
    </row>
    <row r="84">
      <c r="A84" s="7" t="n">
        <v>81</v>
      </c>
      <c r="B84" s="8" t="inlineStr">
        <is>
          <t xml:space="preserve">        self.root = tb.Window(themename="litera")</t>
        </is>
      </c>
    </row>
    <row r="85">
      <c r="A85" s="9" t="n">
        <v>82</v>
      </c>
      <c r="B85" s="10" t="inlineStr">
        <is>
          <t xml:space="preserve">        self.root.title("树剪 TreeCut v11.1")</t>
        </is>
      </c>
    </row>
    <row r="86">
      <c r="A86" s="7" t="n">
        <v>83</v>
      </c>
      <c r="B86" s="8" t="inlineStr">
        <is>
          <t xml:space="preserve">        sw = self.root.winfo_screenwidth(); sh = self.root.winfo_screenheight()</t>
        </is>
      </c>
    </row>
    <row r="87">
      <c r="A87" s="9" t="n">
        <v>84</v>
      </c>
      <c r="B87" s="10" t="inlineStr">
        <is>
          <t xml:space="preserve">        w = min(1100, int(sw*0.75)); h = min(800, int(sh*0.85))</t>
        </is>
      </c>
    </row>
    <row r="88">
      <c r="A88" s="7" t="n">
        <v>85</v>
      </c>
      <c r="B88" s="8" t="inlineStr">
        <is>
          <t xml:space="preserve">        self.root.geometry(f"{w}x{h}+{(sw-w)//2}+{(sh-h)//3}")</t>
        </is>
      </c>
    </row>
    <row r="89">
      <c r="A89" s="9" t="n">
        <v>86</v>
      </c>
      <c r="B89" s="10" t="inlineStr">
        <is>
          <t xml:space="preserve">        self.root.minsize(400, 400)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 xml:space="preserve">        # ── Notebook tab styling (green) ──</t>
        </is>
      </c>
    </row>
    <row r="92">
      <c r="A92" s="7" t="n">
        <v>89</v>
      </c>
      <c r="B92" s="8" t="inlineStr">
        <is>
          <t xml:space="preserve">        try:</t>
        </is>
      </c>
    </row>
    <row r="93">
      <c r="A93" s="9" t="n">
        <v>90</v>
      </c>
      <c r="B93" s="10" t="inlineStr">
        <is>
          <t xml:space="preserve">            tb.Style().configure("TNotebook.Tab", background="#2e7d32", foreground="white",</t>
        </is>
      </c>
    </row>
    <row r="94">
      <c r="A94" s="7" t="n">
        <v>91</v>
      </c>
      <c r="B94" s="8" t="inlineStr">
        <is>
          <t xml:space="preserve">                                padding=[14, 5], font=("Microsoft YaHei", 10, "bold"))</t>
        </is>
      </c>
    </row>
    <row r="95">
      <c r="A95" s="9" t="n">
        <v>92</v>
      </c>
      <c r="B95" s="10" t="inlineStr">
        <is>
          <t xml:space="preserve">            tb.Style().map("TNotebook.Tab",</t>
        </is>
      </c>
    </row>
    <row r="96">
      <c r="A96" s="7" t="n">
        <v>93</v>
      </c>
      <c r="B96" s="8" t="inlineStr">
        <is>
          <t xml:space="preserve">                      background=[("selected", "#1b5e20"), ("active", "#43a047")],</t>
        </is>
      </c>
    </row>
    <row r="97">
      <c r="A97" s="9" t="n">
        <v>94</v>
      </c>
      <c r="B97" s="10" t="inlineStr">
        <is>
          <t xml:space="preserve">                      foreground=[("selected", "white"), ("active", "white")])</t>
        </is>
      </c>
    </row>
    <row r="98">
      <c r="A98" s="7" t="n">
        <v>95</v>
      </c>
      <c r="B98" s="8" t="inlineStr">
        <is>
          <t xml:space="preserve">        except Exception:</t>
        </is>
      </c>
    </row>
    <row r="99">
      <c r="A99" s="9" t="n">
        <v>96</v>
      </c>
      <c r="B99" s="10" t="inlineStr">
        <is>
          <t xml:space="preserve">            pass  # ttkbootstrap may override custom TNotebook styling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 xml:space="preserve">        # ── Background deeper green ──</t>
        </is>
      </c>
    </row>
    <row r="102">
      <c r="A102" s="7" t="n">
        <v>99</v>
      </c>
      <c r="B102" s="8" t="inlineStr">
        <is>
          <t xml:space="preserve">        self.root.configure(bg="#c8e6c9")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      self._generating = False</t>
        </is>
      </c>
    </row>
    <row r="105">
      <c r="A105" s="9" t="n">
        <v>102</v>
      </c>
      <c r="B105" s="10" t="inlineStr">
        <is>
          <t xml:space="preserve">        self._cancel_event = threading.Event()</t>
        </is>
      </c>
    </row>
    <row r="106">
      <c r="A106" s="7" t="n">
        <v>103</v>
      </c>
      <c r="B106" s="8" t="inlineStr">
        <is>
          <t xml:space="preserve">        self._ve_ready = False; self._cache_ready = False</t>
        </is>
      </c>
    </row>
    <row r="107">
      <c r="A107" s="9" t="n">
        <v>104</v>
      </c>
      <c r="B107" s="10" t="inlineStr">
        <is>
          <t xml:space="preserve">        self._folder_ui_built = False; self.folder_panel_visible = False</t>
        </is>
      </c>
    </row>
    <row r="108">
      <c r="A108" s="7" t="n">
        <v>105</v>
      </c>
      <c r="B108" s="8" t="inlineStr">
        <is>
          <t xml:space="preserve">        self._gen_folder_visible = False; self._gen_folder_check_vars = {}</t>
        </is>
      </c>
    </row>
    <row r="109">
      <c r="A109" s="9" t="n">
        <v>106</v>
      </c>
      <c r="B109" s="10" t="inlineStr">
        <is>
          <t xml:space="preserve">        self.folder_check_vars = {}; self.batch_folder_visible = False; self.batch_folder_vars = {}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    self.recent_kw = self._load_json("recent_kw.json", [])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 xml:space="preserve">        try:</t>
        </is>
      </c>
    </row>
    <row r="114">
      <c r="A114" s="7" t="n">
        <v>111</v>
      </c>
      <c r="B114" s="8" t="inlineStr">
        <is>
          <t xml:space="preserve">            ico = Path(__file__).parent.parent / "tree_icon.ico"</t>
        </is>
      </c>
    </row>
    <row r="115">
      <c r="A115" s="9" t="n">
        <v>112</v>
      </c>
      <c r="B115" s="10" t="inlineStr">
        <is>
          <t xml:space="preserve">            if ico.exists(): self.root.iconbitmap(str(ico))</t>
        </is>
      </c>
    </row>
    <row r="116">
      <c r="A116" s="7" t="n">
        <v>113</v>
      </c>
      <c r="B116" s="8" t="inlineStr">
        <is>
          <t xml:space="preserve">        except Exception as _e: from utils.logging import log_warning; log_warning('desktop', str(_e)[:80])</t>
        </is>
      </c>
    </row>
    <row r="117">
      <c r="A117" s="9" t="n">
        <v>114</v>
      </c>
      <c r="B117" s="10" t="inlineStr"/>
    </row>
    <row r="118">
      <c r="A118" s="7" t="n">
        <v>115</v>
      </c>
      <c r="B118" s="8" t="inlineStr">
        <is>
          <t xml:space="preserve">        self._build_menu()</t>
        </is>
      </c>
    </row>
    <row r="119">
      <c r="A119" s="9" t="n">
        <v>116</v>
      </c>
      <c r="B119" s="10" t="inlineStr">
        <is>
          <t xml:space="preserve">        self._build_notebook()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 xml:space="preserve">        self.status_var = tk.StringVar(value="● 就绪 Ready")</t>
        </is>
      </c>
    </row>
    <row r="122">
      <c r="A122" s="7" t="n">
        <v>119</v>
      </c>
      <c r="B122" s="8" t="inlineStr">
        <is>
          <t xml:space="preserve">        self.status_bar = tb.Label(self.root, textvariable=self.status_var,</t>
        </is>
      </c>
    </row>
    <row r="123">
      <c r="A123" s="9" t="n">
        <v>120</v>
      </c>
      <c r="B123" s="10" t="inlineStr">
        <is>
          <t xml:space="preserve">                                    anchor="w", padding=6, background="#c8e6c9", foreground="#1b5e20")</t>
        </is>
      </c>
    </row>
    <row r="124">
      <c r="A124" s="7" t="n">
        <v>121</v>
      </c>
      <c r="B124" s="8" t="inlineStr">
        <is>
          <t xml:space="preserve">        self.status_bar.pack(side="bottom", fill="x")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    # 设置菜单栏颜色</t>
        </is>
      </c>
    </row>
    <row r="127">
      <c r="A127" s="9" t="n">
        <v>124</v>
      </c>
      <c r="B127" s="10" t="inlineStr">
        <is>
          <t xml:space="preserve">        self.root.option_add('*TMenu*background', '#c8e6c9')</t>
        </is>
      </c>
    </row>
    <row r="128">
      <c r="A128" s="7" t="n">
        <v>125</v>
      </c>
      <c r="B128" s="8" t="inlineStr">
        <is>
          <t xml:space="preserve">        self.root.option_add('*TMenu*foreground', '#1b5e20')</t>
        </is>
      </c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 xml:space="preserve">        self.root.bind('&lt;Control-Return&gt;', lambda e: self._on_generate())</t>
        </is>
      </c>
    </row>
    <row r="131">
      <c r="A131" s="9" t="n">
        <v>128</v>
      </c>
      <c r="B131" s="10" t="inlineStr">
        <is>
          <t xml:space="preserve">        self.root.bind('&lt;Escape&gt;', lambda e: self._on_cancel())</t>
        </is>
      </c>
    </row>
    <row r="132">
      <c r="A132" s="7" t="n">
        <v>129</v>
      </c>
      <c r="B132" s="8" t="inlineStr">
        <is>
          <t xml:space="preserve">        self.root.bind('&lt;Control-r&gt;', lambda e: self._on_refresh_lib())</t>
        </is>
      </c>
    </row>
    <row r="133">
      <c r="A133" s="9" t="n">
        <v>130</v>
      </c>
      <c r="B133" s="10" t="inlineStr"/>
    </row>
    <row r="134">
      <c r="A134" s="7" t="n">
        <v>131</v>
      </c>
      <c r="B134" s="8" t="inlineStr">
        <is>
          <t xml:space="preserve">        threading.Thread(target=self._warmup, daemon=True).start()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def _set_status(self, msg): self.status_var.set(msg)</t>
        </is>
      </c>
    </row>
    <row r="137">
      <c r="A137" s="9" t="n">
        <v>134</v>
      </c>
      <c r="B137" s="10" t="inlineStr">
        <is>
          <t xml:space="preserve">    def _load_json(self, fn, default):</t>
        </is>
      </c>
    </row>
    <row r="138">
      <c r="A138" s="7" t="n">
        <v>135</v>
      </c>
      <c r="B138" s="8" t="inlineStr">
        <is>
          <t xml:space="preserve">        p = Path(__file__).parent / fn</t>
        </is>
      </c>
    </row>
    <row r="139">
      <c r="A139" s="9" t="n">
        <v>136</v>
      </c>
      <c r="B139" s="10" t="inlineStr">
        <is>
          <t xml:space="preserve">        return json.loads(p.read_text(encoding="utf-8")) if p.exists() else default</t>
        </is>
      </c>
    </row>
    <row r="140">
      <c r="A140" s="7" t="n">
        <v>137</v>
      </c>
      <c r="B140" s="8" t="inlineStr">
        <is>
          <t xml:space="preserve">    def _save_json(self, fn, data):</t>
        </is>
      </c>
    </row>
    <row r="141">
      <c r="A141" s="9" t="n">
        <v>138</v>
      </c>
      <c r="B141" s="10" t="inlineStr">
        <is>
          <t xml:space="preserve">        (Path(__file__).parent / fn).write_text(json.dumps(data,ensure_ascii=False),encoding="utf-8")</t>
        </is>
      </c>
    </row>
    <row r="142">
      <c r="A142" s="7" t="n">
        <v>139</v>
      </c>
      <c r="B142" s="8" t="inlineStr"/>
    </row>
    <row r="143">
      <c r="A143" s="9" t="n">
        <v>140</v>
      </c>
      <c r="B143" s="10" t="inlineStr">
        <is>
          <t xml:space="preserve">    # ═══════════════════ 菜单 ═══════════════════</t>
        </is>
      </c>
    </row>
    <row r="144">
      <c r="A144" s="7" t="n">
        <v>141</v>
      </c>
      <c r="B144" s="8" t="inlineStr">
        <is>
          <t xml:space="preserve">    def _build_menu(self):</t>
        </is>
      </c>
    </row>
    <row r="145">
      <c r="A145" s="9" t="n">
        <v>142</v>
      </c>
      <c r="B145" s="10" t="inlineStr">
        <is>
          <t xml:space="preserve">        mb = tk.Menu(self.root, bg="#c8e6c9", fg="#1b5e20",</t>
        </is>
      </c>
    </row>
    <row r="146">
      <c r="A146" s="7" t="n">
        <v>143</v>
      </c>
      <c r="B146" s="8" t="inlineStr">
        <is>
          <t xml:space="preserve">                     activebackground="#a5d6a7", activeforeground="#1b5e20")</t>
        </is>
      </c>
    </row>
    <row r="147">
      <c r="A147" s="9" t="n">
        <v>144</v>
      </c>
      <c r="B147" s="10" t="inlineStr">
        <is>
          <t xml:space="preserve">        self.root.config(menu=mb)</t>
        </is>
      </c>
    </row>
    <row r="148">
      <c r="A148" s="7" t="n">
        <v>145</v>
      </c>
      <c r="B148" s="8" t="inlineStr">
        <is>
          <t xml:space="preserve">        tools = tk.Menu(mb, tearoff=0); mb.add_cascade(label="工具 / Tools", menu=tools)</t>
        </is>
      </c>
    </row>
    <row r="149">
      <c r="A149" s="9" t="n">
        <v>146</v>
      </c>
      <c r="B149" s="10" t="inlineStr">
        <is>
          <t xml:space="preserve">        tools.add_command(label="系统状态 / Status", command=self._on_system_status)</t>
        </is>
      </c>
    </row>
    <row r="150">
      <c r="A150" s="7" t="n">
        <v>147</v>
      </c>
      <c r="B150" s="8" t="inlineStr">
        <is>
          <t xml:space="preserve">        tools.add_command(label="交叉复查 / Review", command=self._on_review)</t>
        </is>
      </c>
    </row>
    <row r="151">
      <c r="A151" s="9" t="n">
        <v>148</v>
      </c>
      <c r="B151" s="10" t="inlineStr">
        <is>
          <t xml:space="preserve">        tools.add_command(label="全盘素材扫描 / Scan All Videos", command=self._on_scan_all)</t>
        </is>
      </c>
    </row>
    <row r="152">
      <c r="A152" s="7" t="n">
        <v>149</v>
      </c>
      <c r="B152" s="8" t="inlineStr">
        <is>
          <t xml:space="preserve">        tools.add_separator()</t>
        </is>
      </c>
    </row>
    <row r="153">
      <c r="A153" s="9" t="n">
        <v>150</v>
      </c>
      <c r="B153" s="10" t="inlineStr">
        <is>
          <t xml:space="preserve">        tools.add_command(label="清除缓存 / Clear Cache", command=self._on_clear_all_cache)</t>
        </is>
      </c>
    </row>
    <row r="154">
      <c r="A154" s="7" t="n">
        <v>151</v>
      </c>
      <c r="B154" s="8" t="inlineStr">
        <is>
          <t xml:space="preserve">        tools.add_command(label="系统设置 / Settings", command=self._on_settings)</t>
        </is>
      </c>
    </row>
    <row r="155">
      <c r="A155" s="9" t="n">
        <v>152</v>
      </c>
      <c r="B155" s="10" t="inlineStr"/>
    </row>
    <row r="156">
      <c r="A156" s="7" t="n">
        <v>153</v>
      </c>
      <c r="B156" s="8" t="inlineStr">
        <is>
          <t xml:space="preserve">        help_m = tk.Menu(mb, tearoff=0); mb.add_cascade(label="帮助 / Help", menu=help_m)</t>
        </is>
      </c>
    </row>
    <row r="157">
      <c r="A157" s="9" t="n">
        <v>154</v>
      </c>
      <c r="B157" s="10" t="inlineStr">
        <is>
          <t xml:space="preserve">        help_m.add_command(label="使用教程 / Tutorial", command=lambda: self._show_help())</t>
        </is>
      </c>
    </row>
    <row r="158">
      <c r="A158" s="7" t="n">
        <v>155</v>
      </c>
      <c r="B158" s="8" t="inlineStr">
        <is>
          <t xml:space="preserve">        help_m.add_command(label="关于 / About", command=lambda: messagebox.showinfo("关于","树剪 TreeCut v11.1\nAI视频半自动剪辑工具"))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 xml:space="preserve">    # ═══════════════════ 标签页 ═══════════════════</t>
        </is>
      </c>
    </row>
    <row r="161">
      <c r="A161" s="9" t="n">
        <v>158</v>
      </c>
      <c r="B161" s="10" t="inlineStr">
        <is>
          <t xml:space="preserve">    def _build_notebook(self):</t>
        </is>
      </c>
    </row>
    <row r="162">
      <c r="A162" s="7" t="n">
        <v>159</v>
      </c>
      <c r="B162" s="8" t="inlineStr">
        <is>
          <t xml:space="preserve">        self.nb = tb.Notebook(self.root, bootstyle="light")</t>
        </is>
      </c>
    </row>
    <row r="163">
      <c r="A163" s="9" t="n">
        <v>160</v>
      </c>
      <c r="B163" s="10" t="inlineStr">
        <is>
          <t xml:space="preserve">        self.nb.pack(fill="both", expand=True, padx=6, pady=6)</t>
        </is>
      </c>
    </row>
    <row r="164">
      <c r="A164" s="7" t="n">
        <v>161</v>
      </c>
      <c r="B164" s="8" t="inlineStr">
        <is>
          <t xml:space="preserve">        self._build_generate()</t>
        </is>
      </c>
    </row>
    <row r="165">
      <c r="A165" s="9" t="n">
        <v>162</v>
      </c>
      <c r="B165" s="10" t="inlineStr">
        <is>
          <t xml:space="preserve">        self._build_material_panel()</t>
        </is>
      </c>
    </row>
    <row r="166">
      <c r="A166" s="7" t="n">
        <v>163</v>
      </c>
      <c r="B166" s="8" t="inlineStr">
        <is>
          <t xml:space="preserve">        self._build_script_lib()</t>
        </is>
      </c>
    </row>
    <row r="167">
      <c r="A167" s="9" t="n">
        <v>164</v>
      </c>
      <c r="B167" s="10" t="inlineStr">
        <is>
          <t xml:space="preserve">        self._build_history()</t>
        </is>
      </c>
    </row>
    <row r="168">
      <c r="A168" s="7" t="n">
        <v>165</v>
      </c>
      <c r="B168" s="8" t="inlineStr">
        <is>
          <t xml:space="preserve">        self._build_review_tab()    # ★ v12.0: 審核面板</t>
        </is>
      </c>
    </row>
    <row r="169">
      <c r="A169" s="9" t="n">
        <v>166</v>
      </c>
      <c r="B169" s="10" t="inlineStr">
        <is>
          <t xml:space="preserve">        self._build_logs_tab()      # ★ v12.0: 統一日志窗口</t>
        </is>
      </c>
    </row>
    <row r="170">
      <c r="A170" s="7" t="n">
        <v>167</v>
      </c>
      <c r="B170" s="8" t="inlineStr">
        <is>
          <t xml:space="preserve">        self.nb.bind("&lt;&lt;NotebookTabChanged&gt;&gt;", self._on_nb_tab_change)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    # ★ v12.0: EventBus 訂閱 — 連接後台事件到UI</t>
        </is>
      </c>
    </row>
    <row r="173">
      <c r="A173" s="9" t="n">
        <v>170</v>
      </c>
      <c r="B173" s="10" t="inlineStr">
        <is>
          <t xml:space="preserve">        self._subscribe_events()</t>
        </is>
      </c>
    </row>
    <row r="174">
      <c r="A174" s="7" t="n">
        <v>171</v>
      </c>
      <c r="B174" s="8" t="inlineStr"/>
    </row>
    <row r="175">
      <c r="A175" s="9" t="n">
        <v>172</v>
      </c>
      <c r="B175" s="10" t="inlineStr">
        <is>
          <t xml:space="preserve">    </t>
        </is>
      </c>
    </row>
    <row r="176">
      <c r="A176" s="7" t="n">
        <v>173</v>
      </c>
      <c r="B176" s="8" t="inlineStr">
        <is>
          <t xml:space="preserve">    # ═══════════════ TAB 1: 生成 / Generate (单次+批量合并) ═══════════════</t>
        </is>
      </c>
    </row>
    <row r="177">
      <c r="A177" s="9" t="n">
        <v>174</v>
      </c>
      <c r="B177" s="10" t="inlineStr">
        <is>
          <t xml:space="preserve">    def _build_generate(self):</t>
        </is>
      </c>
    </row>
    <row r="178">
      <c r="A178" s="7" t="n">
        <v>175</v>
      </c>
      <c r="B178" s="8" t="inlineStr">
        <is>
          <t xml:space="preserve">        t = tb.Frame(self.nb, padding=10); self.nb.add(t, text="生成 / Generate")</t>
        </is>
      </c>
    </row>
    <row r="179">
      <c r="A179" s="9" t="n">
        <v>176</v>
      </c>
      <c r="B179" s="10" t="inlineStr"/>
    </row>
    <row r="180">
      <c r="A180" s="7" t="n">
        <v>177</v>
      </c>
      <c r="B180" s="8" t="inlineStr">
        <is>
          <t xml:space="preserve">        # ── 模式切换 ──</t>
        </is>
      </c>
    </row>
    <row r="181">
      <c r="A181" s="9" t="n">
        <v>178</v>
      </c>
      <c r="B181" s="10" t="inlineStr">
        <is>
          <t xml:space="preserve">        mode_frame = tb.Labelframe(t, text="生成模式", padding=6)</t>
        </is>
      </c>
    </row>
    <row r="182">
      <c r="A182" s="7" t="n">
        <v>179</v>
      </c>
      <c r="B182" s="8" t="inlineStr">
        <is>
          <t xml:space="preserve">        mode_frame.pack(fill="x", pady=(0,6))</t>
        </is>
      </c>
    </row>
    <row r="183">
      <c r="A183" s="9" t="n">
        <v>180</v>
      </c>
      <c r="B183" s="10" t="inlineStr">
        <is>
          <t xml:space="preserve">        self.gen_mode = tk.StringVar(value="single")</t>
        </is>
      </c>
    </row>
    <row r="184">
      <c r="A184" s="7" t="n">
        <v>181</v>
      </c>
      <c r="B184" s="8" t="inlineStr">
        <is>
          <t xml:space="preserve">        tb.Radiobutton(mode_frame, text="单次生成 (输入关键词, AI自动生成)", variable=self.gen_mode, value="single",</t>
        </is>
      </c>
    </row>
    <row r="185">
      <c r="A185" s="9" t="n">
        <v>182</v>
      </c>
      <c r="B185" s="10" t="inlineStr">
        <is>
          <t xml:space="preserve">                       command=self._on_mode_change).pack(side="left", padx=10)</t>
        </is>
      </c>
    </row>
    <row r="186">
      <c r="A186" s="7" t="n">
        <v>183</v>
      </c>
      <c r="B186" s="8" t="inlineStr">
        <is>
          <t xml:space="preserve">        tb.Radiobutton(mode_frame, text="批量生成 (粘贴多个脚本, 一次生成多条视频)", variable=self.gen_mode, value="batch",</t>
        </is>
      </c>
    </row>
    <row r="187">
      <c r="A187" s="9" t="n">
        <v>184</v>
      </c>
      <c r="B187" s="10" t="inlineStr">
        <is>
          <t xml:space="preserve">                       command=self._on_mode_change).pack(side="left", padx=10)</t>
        </is>
      </c>
    </row>
    <row r="188">
      <c r="A188" s="7" t="n">
        <v>185</v>
      </c>
      <c r="B188" s="8" t="inlineStr"/>
    </row>
    <row r="189">
      <c r="A189" s="9" t="n">
        <v>186</v>
      </c>
      <c r="B189" s="10" t="inlineStr">
        <is>
          <t xml:space="preserve">        # ── 主内容区（左右分栏+可滚动）──</t>
        </is>
      </c>
    </row>
    <row r="190">
      <c r="A190" s="7" t="n">
        <v>187</v>
      </c>
      <c r="B190" s="8" t="inlineStr">
        <is>
          <t xml:space="preserve">        main_frame = tb.Frame(t)</t>
        </is>
      </c>
    </row>
    <row r="191">
      <c r="A191" s="9" t="n">
        <v>188</v>
      </c>
      <c r="B191" s="10" t="inlineStr">
        <is>
          <t xml:space="preserve">        main_frame.pack(fill="both", expand=True)</t>
        </is>
      </c>
    </row>
    <row r="192">
      <c r="A192" s="7" t="n">
        <v>189</v>
      </c>
      <c r="B192" s="8" t="inlineStr">
        <is>
          <t xml:space="preserve">        # 左侧可滚动</t>
        </is>
      </c>
    </row>
    <row r="193">
      <c r="A193" s="9" t="n">
        <v>190</v>
      </c>
      <c r="B193" s="10" t="inlineStr">
        <is>
          <t xml:space="preserve">        left_outer = tb.Frame(main_frame)</t>
        </is>
      </c>
    </row>
    <row r="194">
      <c r="A194" s="7" t="n">
        <v>191</v>
      </c>
      <c r="B194" s="8" t="inlineStr">
        <is>
          <t xml:space="preserve">        left_outer.pack(side="left", fill="both", expand=True, padx=(0,6))</t>
        </is>
      </c>
    </row>
    <row r="195">
      <c r="A195" s="9" t="n">
        <v>192</v>
      </c>
      <c r="B195" s="10" t="inlineStr">
        <is>
          <t xml:space="preserve">        canvas = tk.Canvas(left_outer, highlightthickness=0, bg="#c8e6c9")</t>
        </is>
      </c>
    </row>
    <row r="196">
      <c r="A196" s="7" t="n">
        <v>193</v>
      </c>
      <c r="B196" s="8" t="inlineStr">
        <is>
          <t xml:space="preserve">        scrollbar = tb.Scrollbar(left_outer, orient="vertical", command=canvas.yview, bootstyle="round")</t>
        </is>
      </c>
    </row>
    <row r="197">
      <c r="A197" s="9" t="n">
        <v>194</v>
      </c>
      <c r="B197" s="10" t="inlineStr">
        <is>
          <t xml:space="preserve">        canvas.configure(yscrollcommand=scrollbar.set)</t>
        </is>
      </c>
    </row>
    <row r="198">
      <c r="A198" s="7" t="n">
        <v>195</v>
      </c>
      <c r="B198" s="8" t="inlineStr">
        <is>
          <t xml:space="preserve">        canvas.pack(side="left", fill="both", expand=True)</t>
        </is>
      </c>
    </row>
    <row r="199">
      <c r="A199" s="9" t="n">
        <v>196</v>
      </c>
      <c r="B199" s="10" t="inlineStr">
        <is>
          <t xml:space="preserve">        scrollbar.pack(side="right", fill="y")</t>
        </is>
      </c>
    </row>
    <row r="200">
      <c r="A200" s="7" t="n">
        <v>197</v>
      </c>
      <c r="B200" s="8" t="inlineStr">
        <is>
          <t xml:space="preserve">        self.left_panel = tb.Frame(canvas, padding=4)</t>
        </is>
      </c>
    </row>
    <row r="201">
      <c r="A201" s="9" t="n">
        <v>198</v>
      </c>
      <c r="B201" s="10" t="inlineStr">
        <is>
          <t xml:space="preserve">        cw = canvas.create_window((0,0), window=self.left_panel, anchor="nw")</t>
        </is>
      </c>
    </row>
    <row r="202">
      <c r="A202" s="7" t="n">
        <v>199</v>
      </c>
      <c r="B202" s="8" t="inlineStr">
        <is>
          <t xml:space="preserve">        self.left_panel.bind("&lt;Configure&gt;", lambda e: canvas.configure(scrollregion=canvas.bbox("all")))</t>
        </is>
      </c>
    </row>
    <row r="203">
      <c r="A203" s="9" t="n">
        <v>200</v>
      </c>
      <c r="B203" s="10" t="inlineStr">
        <is>
          <t xml:space="preserve">        canvas.bind("&lt;Configure&gt;", lambda e: canvas.itemconfig(cw, width=e.width))</t>
        </is>
      </c>
    </row>
    <row r="204">
      <c r="A204" s="7" t="n">
        <v>201</v>
      </c>
      <c r="B204" s="8" t="inlineStr">
        <is>
          <t xml:space="preserve">        def _g_mw(e): canvas.yview_scroll(int(-1*(e.delta/120)),"units")</t>
        </is>
      </c>
    </row>
    <row r="205">
      <c r="A205" s="9" t="n">
        <v>202</v>
      </c>
      <c r="B205" s="10" t="inlineStr">
        <is>
          <t xml:space="preserve">        canvas.bind("&lt;MouseWheel&gt;",_g_mw); self.left_panel.bind("&lt;MouseWheel&gt;",_g_mw)</t>
        </is>
      </c>
    </row>
    <row r="206">
      <c r="A206" s="7" t="n">
        <v>203</v>
      </c>
      <c r="B206" s="8" t="inlineStr">
        <is>
          <t xml:space="preserve">        # 右侧日志 (固定宽度 340px)</t>
        </is>
      </c>
    </row>
    <row r="207">
      <c r="A207" s="9" t="n">
        <v>204</v>
      </c>
      <c r="B207" s="10" t="inlineStr">
        <is>
          <t xml:space="preserve">        right_panel = tb.Frame(main_frame, width=340)</t>
        </is>
      </c>
    </row>
    <row r="208">
      <c r="A208" s="7" t="n">
        <v>205</v>
      </c>
      <c r="B208" s="8" t="inlineStr">
        <is>
          <t xml:space="preserve">        right_panel.pack(side="right", fill="y", padx=(6,0))</t>
        </is>
      </c>
    </row>
    <row r="209">
      <c r="A209" s="9" t="n">
        <v>206</v>
      </c>
      <c r="B209" s="10" t="inlineStr">
        <is>
          <t xml:space="preserve">        right_panel.pack_propagate(False)</t>
        </is>
      </c>
    </row>
    <row r="210">
      <c r="A210" s="7" t="n">
        <v>207</v>
      </c>
      <c r="B210" s="8" t="inlineStr">
        <is>
          <t xml:space="preserve">        lf = tb.Labelframe(right_panel, text="日志 / Log")</t>
        </is>
      </c>
    </row>
    <row r="211">
      <c r="A211" s="9" t="n">
        <v>208</v>
      </c>
      <c r="B211" s="10" t="inlineStr">
        <is>
          <t xml:space="preserve">        lf.pack(fill="both", expand=True)</t>
        </is>
      </c>
    </row>
    <row r="212">
      <c r="A212" s="7" t="n">
        <v>209</v>
      </c>
      <c r="B212" s="8" t="inlineStr">
        <is>
          <t xml:space="preserve">        self.log_area = scrolledtext.ScrolledText(lf, font=("Consolas",10), bg="#c8e6c9", fg="#1b5e20")</t>
        </is>
      </c>
    </row>
    <row r="213">
      <c r="A213" s="9" t="n">
        <v>210</v>
      </c>
      <c r="B213" s="10" t="inlineStr">
        <is>
          <t xml:space="preserve">        self.log_area.pack(fill="both", expand=True, padx=6, pady=6)</t>
        </is>
      </c>
    </row>
    <row r="214">
      <c r="A214" s="7" t="n">
        <v>211</v>
      </c>
      <c r="B214" s="8" t="inlineStr"/>
    </row>
    <row r="215">
      <c r="A215" s="9" t="n">
        <v>212</v>
      </c>
      <c r="B215" s="10" t="inlineStr">
        <is>
          <t xml:space="preserve">        # ═══════ 单次模式控件 ═══════</t>
        </is>
      </c>
    </row>
    <row r="216">
      <c r="A216" s="7" t="n">
        <v>213</v>
      </c>
      <c r="B216" s="8" t="inlineStr">
        <is>
          <t xml:space="preserve">        self._single_frame = tb.Frame(self.left_panel)</t>
        </is>
      </c>
    </row>
    <row r="217">
      <c r="A217" s="9" t="n">
        <v>214</v>
      </c>
      <c r="B217" s="10" t="inlineStr">
        <is>
          <t xml:space="preserve">        tb.Label(self._single_frame, text="关键词 / Keyword:", font=("Microsoft YaHei",11,"bold")).pack(anchor="w")</t>
        </is>
      </c>
    </row>
    <row r="218">
      <c r="A218" s="7" t="n">
        <v>215</v>
      </c>
      <c r="B218" s="8" t="inlineStr">
        <is>
          <t xml:space="preserve">        presets = ["产品混剪","产品介绍","入户产品介绍","工厂产品介绍","产品工艺介绍",</t>
        </is>
      </c>
    </row>
    <row r="219">
      <c r="A219" s="9" t="n">
        <v>216</v>
      </c>
      <c r="B219" s="10" t="inlineStr">
        <is>
          <t xml:space="preserve">                   "岩板台面耐造","内嵌烤箱","轨道插座","灯带","伸缩功能",</t>
        </is>
      </c>
    </row>
    <row r="220">
      <c r="A220" s="7" t="n">
        <v>217</v>
      </c>
      <c r="B220" s="8" t="inlineStr">
        <is>
          <t xml:space="preserve">                   "海棠角","拉篮","连纹","圆弧设计","意式中古风","奶油风岛台"]</t>
        </is>
      </c>
    </row>
    <row r="221">
      <c r="A221" s="9" t="n">
        <v>218</v>
      </c>
      <c r="B221" s="10" t="inlineStr">
        <is>
          <t xml:space="preserve">        all_kw = list(dict.fromkeys(presets + self.recent_kw))</t>
        </is>
      </c>
    </row>
    <row r="222">
      <c r="A222" s="7" t="n">
        <v>219</v>
      </c>
      <c r="B222" s="8" t="inlineStr">
        <is>
          <t xml:space="preserve">        self.kw_entry = tb.Combobox(self._single_frame, values=all_kw, font=("Microsoft YaHei",12))</t>
        </is>
      </c>
    </row>
    <row r="223">
      <c r="A223" s="9" t="n">
        <v>220</v>
      </c>
      <c r="B223" s="10" t="inlineStr">
        <is>
          <t xml:space="preserve">        self.kw_entry.pack(fill="x", pady=4); self.kw_entry.set("岩板台面耐造")</t>
        </is>
      </c>
    </row>
    <row r="224">
      <c r="A224" s="7" t="n">
        <v>221</v>
      </c>
      <c r="B224" s="8" t="inlineStr">
        <is>
          <t xml:space="preserve">        tb.Label(self._single_frame, text="文案(可选) / Copy:", font=("Microsoft YaHei",11,"bold")).pack(anchor="w",pady=(8,0))</t>
        </is>
      </c>
    </row>
    <row r="225">
      <c r="A225" s="9" t="n">
        <v>222</v>
      </c>
      <c r="B225" s="10" t="inlineStr">
        <is>
          <t xml:space="preserve">        self.copy_text = tb.Text(self._single_frame, height=4, font=("Microsoft YaHei",11))</t>
        </is>
      </c>
    </row>
    <row r="226">
      <c r="A226" s="7" t="n">
        <v>223</v>
      </c>
      <c r="B226" s="8" t="inlineStr">
        <is>
          <t xml:space="preserve">        self.copy_text.pack(fill="x", pady=4)</t>
        </is>
      </c>
    </row>
    <row r="227">
      <c r="A227" s="9" t="n">
        <v>224</v>
      </c>
      <c r="B227" s="10" t="inlineStr"/>
    </row>
    <row r="228">
      <c r="A228" s="7" t="n">
        <v>225</v>
      </c>
      <c r="B228" s="8" t="inlineStr">
        <is>
          <t xml:space="preserve">        # ═══════ 批量模式控件 ═══════</t>
        </is>
      </c>
    </row>
    <row r="229">
      <c r="A229" s="9" t="n">
        <v>226</v>
      </c>
      <c r="B229" s="10" t="inlineStr">
        <is>
          <t xml:space="preserve">        self._batch_frame = tb.Frame(self.left_panel)</t>
        </is>
      </c>
    </row>
    <row r="230">
      <c r="A230" s="7" t="n">
        <v>227</v>
      </c>
      <c r="B230" s="8" t="inlineStr">
        <is>
          <t xml:space="preserve">        tb.Label(self._batch_frame, text="从Excel粘贴脚本 (自动识别):", font=("",11,"bold")).pack(anchor="w")</t>
        </is>
      </c>
    </row>
    <row r="231">
      <c r="A231" s="9" t="n">
        <v>228</v>
      </c>
      <c r="B231" s="10" t="inlineStr">
        <is>
          <t xml:space="preserve">        self.batch_text = tb.Text(self._batch_frame, height=6, font=("Microsoft YaHei",11))</t>
        </is>
      </c>
    </row>
    <row r="232">
      <c r="A232" s="7" t="n">
        <v>229</v>
      </c>
      <c r="B232" s="8" t="inlineStr">
        <is>
          <t xml:space="preserve">        self.batch_text.pack(fill="x", pady=4)</t>
        </is>
      </c>
    </row>
    <row r="233">
      <c r="A233" s="9" t="n">
        <v>230</v>
      </c>
      <c r="B233" s="10" t="inlineStr"/>
    </row>
    <row r="234">
      <c r="A234" s="7" t="n">
        <v>231</v>
      </c>
      <c r="B234" s="8" t="inlineStr">
        <is>
          <t xml:space="preserve">        bf = tb.Frame(self._batch_frame); bf.pack(fill="x", pady=4)</t>
        </is>
      </c>
    </row>
    <row r="235">
      <c r="A235" s="9" t="n">
        <v>232</v>
      </c>
      <c r="B235" s="10" t="inlineStr">
        <is>
          <t xml:space="preserve">        RoundedButton(bf, text="识别并填充 / Auto-Fill", command=self._auto_fill_batch, width=150, height=36, bg_color="#0d6efd", fg_color="#ffffff", hover_color="#0b5ed7", radius=10).pack(side="left", padx=3)</t>
        </is>
      </c>
    </row>
    <row r="236">
      <c r="A236" s="7" t="n">
        <v>233</v>
      </c>
      <c r="B236" s="8" t="inlineStr">
        <is>
          <t xml:space="preserve">        RoundedButton(bf, text="直接生成 / Generate", command=self._batch_gen, width=150, height=36, bg_color="#0d6efd", fg_color="#ffffff", hover_color="#0b5ed7", radius=10).pack(side="left", padx=3)</t>
        </is>
      </c>
    </row>
    <row r="237">
      <c r="A237" s="9" t="n">
        <v>234</v>
      </c>
      <c r="B237" s="10" t="inlineStr">
        <is>
          <t xml:space="preserve">        RoundedButton(bf, text="清空", command=lambda: (self.batch_text.delete("1.0","end"),self._set_status("已清空")), width=90).pack(side="left", padx=3)</t>
        </is>
      </c>
    </row>
    <row r="238">
      <c r="A238" s="7" t="n">
        <v>235</v>
      </c>
      <c r="B238" s="8" t="inlineStr">
        <is>
          <t xml:space="preserve">        self.batch_force_line = tk.BooleanVar(value=False)</t>
        </is>
      </c>
    </row>
    <row r="239">
      <c r="A239" s="9" t="n">
        <v>236</v>
      </c>
      <c r="B239" s="10" t="inlineStr">
        <is>
          <t xml:space="preserve">        tb.Checkbutton(bf, text="强制按行", variable=self.batch_force_line).pack(side="left", padx=6)</t>
        </is>
      </c>
    </row>
    <row r="240">
      <c r="A240" s="7" t="n">
        <v>237</v>
      </c>
      <c r="B240" s="8" t="inlineStr"/>
    </row>
    <row r="241">
      <c r="A241" s="9" t="n">
        <v>238</v>
      </c>
      <c r="B241" s="10" t="inlineStr">
        <is>
          <t xml:space="preserve">        tb.Label(self._batch_frame, text="或逐条输入 / Or enter manually:").pack(anchor="w", pady=(8,0))</t>
        </is>
      </c>
    </row>
    <row r="242">
      <c r="A242" s="7" t="n">
        <v>239</v>
      </c>
      <c r="B242" s="8" t="inlineStr">
        <is>
          <t xml:space="preserve">        sc = tb.Frame(self._batch_frame); sc.pack(fill="x")</t>
        </is>
      </c>
    </row>
    <row r="243">
      <c r="A243" s="9" t="n">
        <v>240</v>
      </c>
      <c r="B243" s="10" t="inlineStr">
        <is>
          <t xml:space="preserve">        self.batch_slot_count = tk.IntVar(value=3)</t>
        </is>
      </c>
    </row>
    <row r="244">
      <c r="A244" s="7" t="n">
        <v>241</v>
      </c>
      <c r="B244" s="8" t="inlineStr">
        <is>
          <t xml:space="preserve">        for v in [2,3,4,5,10,15,20,30]: tb.Radiobutton(sc, text=str(v), variable=self.batch_slot_count, value=v).pack(side="left", padx=3)</t>
        </is>
      </c>
    </row>
    <row r="245">
      <c r="A245" s="9" t="n">
        <v>242</v>
      </c>
      <c r="B245" s="10" t="inlineStr">
        <is>
          <t xml:space="preserve">        RoundedButton(sc, text="生成输入框", command=self._build_slots, width=100, height=34, bg_color="#e0e0e0", fg_color="#212529", hover_color="#d0e0ff", radius=10).pack(side="left", padx=6)</t>
        </is>
      </c>
    </row>
    <row r="246">
      <c r="A246" s="7" t="n">
        <v>243</v>
      </c>
      <c r="B246" s="8" t="inlineStr">
        <is>
          <t xml:space="preserve">        self.slots_frame = tb.Frame(self._batch_frame); self.slots_frame.pack(fill="x", pady=4)</t>
        </is>
      </c>
    </row>
    <row r="247">
      <c r="A247" s="9" t="n">
        <v>244</v>
      </c>
      <c r="B247" s="10" t="inlineStr">
        <is>
          <t xml:space="preserve">        self.script_slots = []</t>
        </is>
      </c>
    </row>
    <row r="248">
      <c r="A248" s="7" t="n">
        <v>245</v>
      </c>
      <c r="B248" s="8" t="inlineStr"/>
    </row>
    <row r="249">
      <c r="A249" s="9" t="n">
        <v>246</v>
      </c>
      <c r="B249" s="10" t="inlineStr">
        <is>
          <t xml:space="preserve">        # 批量结果表格</t>
        </is>
      </c>
    </row>
    <row r="250">
      <c r="A250" s="7" t="n">
        <v>247</v>
      </c>
      <c r="B250" s="8" t="inlineStr">
        <is>
          <t xml:space="preserve">        btbl = tb.Frame(self._batch_frame); btbl.pack(fill="x")</t>
        </is>
      </c>
    </row>
    <row r="251">
      <c r="A251" s="9" t="n">
        <v>248</v>
      </c>
      <c r="B251" s="10" t="inlineStr">
        <is>
          <t xml:space="preserve">        self.batch_tree = tb.Treeview(btbl, columns=("#","status","preview"), show="headings", height=8)</t>
        </is>
      </c>
    </row>
    <row r="252">
      <c r="A252" s="7" t="n">
        <v>249</v>
      </c>
      <c r="B252" s="8" t="inlineStr">
        <is>
          <t xml:space="preserve">        self.batch_tree.heading("#", text="#"); self.batch_tree.column("#", width=50)</t>
        </is>
      </c>
    </row>
    <row r="253">
      <c r="A253" s="9" t="n">
        <v>250</v>
      </c>
      <c r="B253" s="10" t="inlineStr">
        <is>
          <t xml:space="preserve">        self.batch_tree.heading("status", text="状态"); self.batch_tree.column("status", width=100)</t>
        </is>
      </c>
    </row>
    <row r="254">
      <c r="A254" s="7" t="n">
        <v>251</v>
      </c>
      <c r="B254" s="8" t="inlineStr">
        <is>
          <t xml:space="preserve">        self.batch_tree.heading("preview", text="预览"); self.batch_tree.column("preview", width=350)</t>
        </is>
      </c>
    </row>
    <row r="255">
      <c r="A255" s="9" t="n">
        <v>252</v>
      </c>
      <c r="B255" s="10" t="inlineStr">
        <is>
          <t xml:space="preserve">        self.batch_tree.pack(fill="x")</t>
        </is>
      </c>
    </row>
    <row r="256">
      <c r="A256" s="7" t="n">
        <v>253</v>
      </c>
      <c r="B256" s="8" t="inlineStr"/>
    </row>
    <row r="257">
      <c r="A257" s="9" t="n">
        <v>254</v>
      </c>
      <c r="B257" s="10" t="inlineStr">
        <is>
          <t xml:space="preserve">        self.batch_prog = tb.Progressbar(self._batch_frame, mode="determinate"); self.batch_prog.pack(fill="x", pady=4)</t>
        </is>
      </c>
    </row>
    <row r="258">
      <c r="A258" s="7" t="n">
        <v>255</v>
      </c>
      <c r="B258" s="8" t="inlineStr"/>
    </row>
    <row r="259">
      <c r="A259" s="9" t="n">
        <v>256</v>
      </c>
      <c r="B259" s="10" t="inlineStr">
        <is>
          <t xml:space="preserve">        # 批量页操作按钮</t>
        </is>
      </c>
    </row>
    <row r="260">
      <c r="A260" s="7" t="n">
        <v>257</v>
      </c>
      <c r="B260" s="8" t="inlineStr">
        <is>
          <t xml:space="preserve">        bb2 = tb.Frame(self._batch_frame); bb2.pack(fill="x", pady=6)</t>
        </is>
      </c>
    </row>
    <row r="261">
      <c r="A261" s="9" t="n">
        <v>258</v>
      </c>
      <c r="B261" s="10" t="inlineStr">
        <is>
          <t xml:space="preserve">        RoundedButton(bb2, text="开始批量生产 / Start Batch", command=self._on_batch, width=200, height=36, bg_color="#0d6efd", fg_color="#ffffff", hover_color="#0b5ed7", radius=12).pack(side="left", padx=3)</t>
        </is>
      </c>
    </row>
    <row r="262">
      <c r="A262" s="7" t="n">
        <v>259</v>
      </c>
      <c r="B262" s="8" t="inlineStr">
        <is>
          <t xml:space="preserve">        RoundedButton(bb2, text="取消", command=self._on_cancel, width=100, height=34, bg_color="#e0e0e0", fg_color="#212529", hover_color="#d0e0ff", radius=10).pack(side="left", padx=3)</t>
        </is>
      </c>
    </row>
    <row r="263">
      <c r="A263" s="9" t="n">
        <v>260</v>
      </c>
      <c r="B263" s="10" t="inlineStr"/>
    </row>
    <row r="264">
      <c r="A264" s="7" t="n">
        <v>261</v>
      </c>
      <c r="B264" s="8" t="inlineStr">
        <is>
          <t xml:space="preserve">        # ═══════ 共享控件（两种模式都显示）═══</t>
        </is>
      </c>
    </row>
    <row r="265">
      <c r="A265" s="9" t="n">
        <v>262</v>
      </c>
      <c r="B265" s="10" t="inlineStr">
        <is>
          <t xml:space="preserve">        self._shared_frame = tb.Frame(self.left_panel)</t>
        </is>
      </c>
    </row>
    <row r="266">
      <c r="A266" s="7" t="n">
        <v>263</v>
      </c>
      <c r="B266" s="8" t="inlineStr"/>
    </row>
    <row r="267">
      <c r="A267" s="9" t="n">
        <v>264</v>
      </c>
      <c r="B267" s="10" t="inlineStr">
        <is>
          <t xml:space="preserve">        # 选项</t>
        </is>
      </c>
    </row>
    <row r="268">
      <c r="A268" s="7" t="n">
        <v>265</v>
      </c>
      <c r="B268" s="8" t="inlineStr">
        <is>
          <t xml:space="preserve">        opt = tb.Labelframe(self._shared_frame, text="选项 / Options", padding=8)</t>
        </is>
      </c>
    </row>
    <row r="269">
      <c r="A269" s="9" t="n">
        <v>266</v>
      </c>
      <c r="B269" s="10" t="inlineStr">
        <is>
          <t xml:space="preserve">        opt.pack(fill="x", pady=6)</t>
        </is>
      </c>
    </row>
    <row r="270">
      <c r="A270" s="7" t="n">
        <v>267</v>
      </c>
      <c r="B270" s="8" t="inlineStr">
        <is>
          <t xml:space="preserve">        self.tts_var = tk.BooleanVar(value=True); self.bgm_var = tk.BooleanVar(value=True); self.bgrp_var = tk.BooleanVar(value=True)</t>
        </is>
      </c>
    </row>
    <row r="271">
      <c r="A271" s="9" t="n">
        <v>268</v>
      </c>
      <c r="B271" s="10" t="inlineStr">
        <is>
          <t xml:space="preserve">        tb.Checkbutton(opt, text="AI配音 / TTS", variable=self.tts_var).pack(side="left", padx=6)</t>
        </is>
      </c>
    </row>
    <row r="272">
      <c r="A272" s="7" t="n">
        <v>269</v>
      </c>
      <c r="B272" s="8" t="inlineStr">
        <is>
          <t xml:space="preserve">        tb.Checkbutton(opt, text="自动BGM", variable=self.bgm_var).pack(side="left", padx=6)</t>
        </is>
      </c>
    </row>
    <row r="273">
      <c r="A273" s="9" t="n">
        <v>270</v>
      </c>
      <c r="B273" s="10" t="inlineStr">
        <is>
          <t xml:space="preserve">        tb.Checkbutton(opt, text="B组混剪", variable=self.bgrp_var).pack(side="left", padx=6)</t>
        </is>
      </c>
    </row>
    <row r="274">
      <c r="A274" s="7" t="n">
        <v>271</v>
      </c>
      <c r="B274" s="8" t="inlineStr"/>
    </row>
    <row r="275">
      <c r="A275" s="9" t="n">
        <v>272</v>
      </c>
      <c r="B275" s="10" t="inlineStr">
        <is>
          <t xml:space="preserve">        # 配音语速</t>
        </is>
      </c>
    </row>
    <row r="276">
      <c r="A276" s="7" t="n">
        <v>273</v>
      </c>
      <c r="B276" s="8" t="inlineStr">
        <is>
          <t xml:space="preserve">        sf = tb.Frame(self._shared_frame); sf.pack(fill="x", pady=2)</t>
        </is>
      </c>
    </row>
    <row r="277">
      <c r="A277" s="9" t="n">
        <v>274</v>
      </c>
      <c r="B277" s="10" t="inlineStr">
        <is>
          <t xml:space="preserve">        tb.Label(sf, text="配音语速:").pack(side="left", padx=2)</t>
        </is>
      </c>
    </row>
    <row r="278">
      <c r="A278" s="7" t="n">
        <v>275</v>
      </c>
      <c r="B278" s="8" t="inlineStr">
        <is>
          <t xml:space="preserve">        self.speed_var = tk.DoubleVar(value=1.1)</t>
        </is>
      </c>
    </row>
    <row r="279">
      <c r="A279" s="9" t="n">
        <v>276</v>
      </c>
      <c r="B279" s="10" t="inlineStr">
        <is>
          <t xml:space="preserve">        sl = tb.Scale(sf, from_=0.8, to=2.0, variable=self.speed_var, orient="horizontal", bootstyle="primary")</t>
        </is>
      </c>
    </row>
    <row r="280">
      <c r="A280" s="7" t="n">
        <v>277</v>
      </c>
      <c r="B280" s="8" t="inlineStr">
        <is>
          <t xml:space="preserve">        sl.pack(side="left", fill="x", expand=True, padx=4)</t>
        </is>
      </c>
    </row>
    <row r="281">
      <c r="A281" s="9" t="n">
        <v>278</v>
      </c>
      <c r="B281" s="10" t="inlineStr">
        <is>
          <t xml:space="preserve">        self.speed_lbl = tb.Label(sf, text="1.1x"); self.speed_lbl.pack(side="left")</t>
        </is>
      </c>
    </row>
    <row r="282">
      <c r="A282" s="7" t="n">
        <v>279</v>
      </c>
      <c r="B282" s="8" t="inlineStr">
        <is>
          <t xml:space="preserve">        sl.configure(command=lambda v, l=self.speed_lbl: l.config(text=f"{float(v):.1f}x"))</t>
        </is>
      </c>
    </row>
    <row r="283">
      <c r="A283" s="9" t="n">
        <v>280</v>
      </c>
      <c r="B283" s="10" t="inlineStr"/>
    </row>
    <row r="284">
      <c r="A284" s="7" t="n">
        <v>281</v>
      </c>
      <c r="B284" s="8" t="inlineStr">
        <is>
          <t xml:space="preserve">        # BGM音量</t>
        </is>
      </c>
    </row>
    <row r="285">
      <c r="A285" s="9" t="n">
        <v>282</v>
      </c>
      <c r="B285" s="10" t="inlineStr">
        <is>
          <t xml:space="preserve">        bf2 = tb.Frame(self._shared_frame); bf2.pack(fill="x", pady=2)</t>
        </is>
      </c>
    </row>
    <row r="286">
      <c r="A286" s="7" t="n">
        <v>283</v>
      </c>
      <c r="B286" s="8" t="inlineStr">
        <is>
          <t xml:space="preserve">        tb.Label(bf2, text="BGM音量:").pack(side="left", padx=2)</t>
        </is>
      </c>
    </row>
    <row r="287">
      <c r="A287" s="9" t="n">
        <v>284</v>
      </c>
      <c r="B287" s="10" t="inlineStr">
        <is>
          <t xml:space="preserve">        self.bgm_vol_var = tk.DoubleVar(value=0.4)</t>
        </is>
      </c>
    </row>
    <row r="288">
      <c r="A288" s="7" t="n">
        <v>285</v>
      </c>
      <c r="B288" s="8" t="inlineStr">
        <is>
          <t xml:space="preserve">        sl2 = tb.Scale(bf2, from_=0.05, to=1.0, variable=self.bgm_vol_var, orient="horizontal", bootstyle="primary")</t>
        </is>
      </c>
    </row>
    <row r="289">
      <c r="A289" s="9" t="n">
        <v>286</v>
      </c>
      <c r="B289" s="10" t="inlineStr">
        <is>
          <t xml:space="preserve">        sl2.pack(side="left", fill="x", expand=True, padx=4)</t>
        </is>
      </c>
    </row>
    <row r="290">
      <c r="A290" s="7" t="n">
        <v>287</v>
      </c>
      <c r="B290" s="8" t="inlineStr">
        <is>
          <t xml:space="preserve">        self.bgm_lbl = tb.Label(bf2, text="40%"); self.bgm_lbl.pack(side="left")</t>
        </is>
      </c>
    </row>
    <row r="291">
      <c r="A291" s="9" t="n">
        <v>288</v>
      </c>
      <c r="B291" s="10" t="inlineStr">
        <is>
          <t xml:space="preserve">        sl2.configure(command=lambda v, l=self.bgm_lbl: l.config(text=f"{int(float(v)*100)}%"))</t>
        </is>
      </c>
    </row>
    <row r="292">
      <c r="A292" s="7" t="n">
        <v>289</v>
      </c>
      <c r="B292" s="8" t="inlineStr"/>
    </row>
    <row r="293">
      <c r="A293" s="9" t="n">
        <v>290</v>
      </c>
      <c r="B293" s="10" t="inlineStr">
        <is>
          <t xml:space="preserve">        # 进度条</t>
        </is>
      </c>
    </row>
    <row r="294">
      <c r="A294" s="7" t="n">
        <v>291</v>
      </c>
      <c r="B294" s="8" t="inlineStr">
        <is>
          <t xml:space="preserve">        self.gen_progress = tb.Progressbar(self._shared_frame, mode="determinate")</t>
        </is>
      </c>
    </row>
    <row r="295">
      <c r="A295" s="9" t="n">
        <v>292</v>
      </c>
      <c r="B295" s="10" t="inlineStr">
        <is>
          <t xml:space="preserve">        self.gen_progress.pack(fill="x", pady=4)</t>
        </is>
      </c>
    </row>
    <row r="296">
      <c r="A296" s="7" t="n">
        <v>293</v>
      </c>
      <c r="B296" s="8" t="inlineStr">
        <is>
          <t xml:space="preserve">        self.prog_lbl = tb.Label(self._shared_frame, text=""); self.prog_lbl.pack()</t>
        </is>
      </c>
    </row>
    <row r="297">
      <c r="A297" s="9" t="n">
        <v>294</v>
      </c>
      <c r="B297" s="10" t="inlineStr"/>
    </row>
    <row r="298">
      <c r="A298" s="7" t="n">
        <v>295</v>
      </c>
      <c r="B298" s="8" t="inlineStr">
        <is>
          <t xml:space="preserve">        # 文件夹 + 按钮</t>
        </is>
      </c>
    </row>
    <row r="299">
      <c r="A299" s="9" t="n">
        <v>296</v>
      </c>
      <c r="B299" s="10" t="inlineStr">
        <is>
          <t xml:space="preserve">        self._gen_fp = tb.Labelframe(self._shared_frame, text="素材文件夹 (点击展开)")</t>
        </is>
      </c>
    </row>
    <row r="300">
      <c r="A300" s="7" t="n">
        <v>297</v>
      </c>
      <c r="B300" s="8" t="inlineStr">
        <is>
          <t xml:space="preserve">        self._gen_fp.pack(fill="x", pady=4)</t>
        </is>
      </c>
    </row>
    <row r="301">
      <c r="A301" s="9" t="n">
        <v>298</v>
      </c>
      <c r="B301" s="10" t="inlineStr">
        <is>
          <t xml:space="preserve">        self._gen_fp_frame = tb.Frame(self._gen_fp)</t>
        </is>
      </c>
    </row>
    <row r="302">
      <c r="A302" s="7" t="n">
        <v>299</v>
      </c>
      <c r="B302" s="8" t="inlineStr">
        <is>
          <t xml:space="preserve">        self._gen_folder_visible = False</t>
        </is>
      </c>
    </row>
    <row r="303">
      <c r="A303" s="9" t="n">
        <v>300</v>
      </c>
      <c r="B303" s="10" t="inlineStr">
        <is>
          <t xml:space="preserve">        self._gen_folder_ui_built = False</t>
        </is>
      </c>
    </row>
    <row r="304">
      <c r="A304" s="7" t="n">
        <v>301</v>
      </c>
      <c r="B304" s="8" t="inlineStr">
        <is>
          <t xml:space="preserve">        tb.Button(self._gen_fp, text="加载素材库 / Load Library", command=self._toggle_gen_folders).pack(pady=3)</t>
        </is>
      </c>
    </row>
    <row r="305">
      <c r="A305" s="9" t="n">
        <v>302</v>
      </c>
      <c r="B305" s="10" t="inlineStr"/>
    </row>
    <row r="306">
      <c r="A306" s="7" t="n">
        <v>303</v>
      </c>
      <c r="B306" s="8" t="inlineStr">
        <is>
          <t xml:space="preserve">        # 单次模式操作按钮</t>
        </is>
      </c>
    </row>
    <row r="307">
      <c r="A307" s="9" t="n">
        <v>304</v>
      </c>
      <c r="B307" s="10" t="inlineStr">
        <is>
          <t xml:space="preserve">        btn_single = tb.Frame(self._single_frame); btn_single.pack(fill="x", pady=8)</t>
        </is>
      </c>
    </row>
    <row r="308">
      <c r="A308" s="7" t="n">
        <v>305</v>
      </c>
      <c r="B308" s="8" t="inlineStr">
        <is>
          <t xml:space="preserve">        RoundedButton(btn_single, text="生成视频草稿", command=self._on_generate, width=160, height=38, bg_color="#0d6efd", fg_color="#ffffff", hover_color="#0b5ed7", radius=12).pack(side="left", padx=3)</t>
        </is>
      </c>
    </row>
    <row r="309">
      <c r="A309" s="9" t="n">
        <v>306</v>
      </c>
      <c r="B309" s="10" t="inlineStr">
        <is>
          <t xml:space="preserve">        RoundedButton(btn_single, text="取消", command=self._on_cancel, width=80, height=38, bg_color="#e0e0e0", fg_color="#212529", hover_color="#d0e0ff", radius=12).pack(side="left", padx=3)</t>
        </is>
      </c>
    </row>
    <row r="310">
      <c r="A310" s="7" t="n">
        <v>307</v>
      </c>
      <c r="B310" s="8" t="inlineStr">
        <is>
          <t xml:space="preserve">        RoundedButton(btn_single, text="清空", command=self._on_clear, width=80, height=38, bg_color="#e0e0e0", fg_color="#212529", hover_color="#d0e0ff", radius=12).pack(side="left", padx=3)</t>
        </is>
      </c>
    </row>
    <row r="311">
      <c r="A311" s="9" t="n">
        <v>308</v>
      </c>
      <c r="B311" s="10" t="inlineStr"/>
    </row>
    <row r="312">
      <c r="A312" s="7" t="n">
        <v>309</v>
      </c>
      <c r="B312" s="8" t="inlineStr">
        <is>
          <t xml:space="preserve">        self._shared_frame.pack(fill="x")</t>
        </is>
      </c>
    </row>
    <row r="313">
      <c r="A313" s="9" t="n">
        <v>310</v>
      </c>
      <c r="B313" s="10" t="inlineStr"/>
    </row>
    <row r="314">
      <c r="A314" s="7" t="n">
        <v>311</v>
      </c>
      <c r="B314" s="8" t="inlineStr">
        <is>
          <t xml:space="preserve">        # 默认显示单次模式</t>
        </is>
      </c>
    </row>
    <row r="315">
      <c r="A315" s="9" t="n">
        <v>312</v>
      </c>
      <c r="B315" s="10" t="inlineStr">
        <is>
          <t xml:space="preserve">        self._single_frame.pack(fill="x")</t>
        </is>
      </c>
    </row>
    <row r="316">
      <c r="A316" s="7" t="n">
        <v>313</v>
      </c>
      <c r="B316" s="8" t="inlineStr"/>
    </row>
    <row r="317">
      <c r="A317" s="9" t="n">
        <v>314</v>
      </c>
      <c r="B317" s="10" t="inlineStr">
        <is>
          <t xml:space="preserve">    def _on_mode_change(self):</t>
        </is>
      </c>
    </row>
    <row r="318">
      <c r="A318" s="7" t="n">
        <v>315</v>
      </c>
      <c r="B318" s="8" t="inlineStr">
        <is>
          <t xml:space="preserve">        """切换单次/批量模式"""</t>
        </is>
      </c>
    </row>
    <row r="319">
      <c r="A319" s="9" t="n">
        <v>316</v>
      </c>
      <c r="B319" s="10" t="inlineStr">
        <is>
          <t xml:space="preserve">        if self.gen_mode.get() == "single":</t>
        </is>
      </c>
    </row>
    <row r="320">
      <c r="A320" s="7" t="n">
        <v>317</v>
      </c>
      <c r="B320" s="8" t="inlineStr">
        <is>
          <t xml:space="preserve">            self._batch_frame.pack_forget()</t>
        </is>
      </c>
    </row>
    <row r="321">
      <c r="A321" s="9" t="n">
        <v>318</v>
      </c>
      <c r="B321" s="10" t="inlineStr">
        <is>
          <t xml:space="preserve">            self._single_frame.pack(fill="x")</t>
        </is>
      </c>
    </row>
    <row r="322">
      <c r="A322" s="7" t="n">
        <v>319</v>
      </c>
      <c r="B322" s="8" t="inlineStr">
        <is>
          <t xml:space="preserve">        else:</t>
        </is>
      </c>
    </row>
    <row r="323">
      <c r="A323" s="9" t="n">
        <v>320</v>
      </c>
      <c r="B323" s="10" t="inlineStr">
        <is>
          <t xml:space="preserve">            self._single_frame.pack_forget()</t>
        </is>
      </c>
    </row>
    <row r="324">
      <c r="A324" s="7" t="n">
        <v>321</v>
      </c>
      <c r="B324" s="8" t="inlineStr">
        <is>
          <t xml:space="preserve">            self._batch_frame.pack(fill="x")</t>
        </is>
      </c>
    </row>
    <row r="325">
      <c r="A325" s="9" t="n">
        <v>322</v>
      </c>
      <c r="B325" s="10" t="inlineStr"/>
    </row>
    <row r="326">
      <c r="A326" s="7" t="n">
        <v>323</v>
      </c>
      <c r="B326" s="8" t="inlineStr"/>
    </row>
    <row r="327">
      <c r="A327" s="9" t="n">
        <v>324</v>
      </c>
      <c r="B327" s="10" t="inlineStr">
        <is>
          <t xml:space="preserve">    def _on_generate(self):</t>
        </is>
      </c>
    </row>
    <row r="328">
      <c r="A328" s="7" t="n">
        <v>325</v>
      </c>
      <c r="B328" s="8" t="inlineStr">
        <is>
          <t xml:space="preserve">        if self._generating: self._log("[WARN] 正在生成中..."); return</t>
        </is>
      </c>
    </row>
    <row r="329">
      <c r="A329" s="9" t="n">
        <v>326</v>
      </c>
      <c r="B329" s="10" t="inlineStr">
        <is>
          <t xml:space="preserve">        kw = self.kw_entry.get().strip()</t>
        </is>
      </c>
    </row>
    <row r="330">
      <c r="A330" s="7" t="n">
        <v>327</v>
      </c>
      <c r="B330" s="8" t="inlineStr">
        <is>
          <t xml:space="preserve">        if not kw: messagebox.showwarning("提示","请输入关键词"); return</t>
        </is>
      </c>
    </row>
    <row r="331">
      <c r="A331" s="9" t="n">
        <v>328</v>
      </c>
      <c r="B331" s="10" t="inlineStr">
        <is>
          <t xml:space="preserve">        self._update_recent(kw); self._generating = True; self._cancel_event.clear()</t>
        </is>
      </c>
    </row>
    <row r="332">
      <c r="A332" s="7" t="n">
        <v>329</v>
      </c>
      <c r="B332" s="8" t="inlineStr">
        <is>
          <t xml:space="preserve">        self.gen_progress["value"] = 0; self.prog_lbl.config(text="0%")</t>
        </is>
      </c>
    </row>
    <row r="333">
      <c r="A333" s="9" t="n">
        <v>330</v>
      </c>
      <c r="B333" s="10" t="inlineStr">
        <is>
          <t xml:space="preserve">        self._log(f"开始: {kw}"); self._set_status("生成中...")</t>
        </is>
      </c>
    </row>
    <row r="334">
      <c r="A334" s="7" t="n">
        <v>331</v>
      </c>
      <c r="B334" s="8" t="inlineStr">
        <is>
          <t xml:space="preserve">        def _pcb(step,total,msg):</t>
        </is>
      </c>
    </row>
    <row r="335">
      <c r="A335" s="9" t="n">
        <v>332</v>
      </c>
      <c r="B335" s="10" t="inlineStr">
        <is>
          <t xml:space="preserve">            self.root.after(0, lambda: (self.gen_progress.configure(value=step,maximum=total),</t>
        </is>
      </c>
    </row>
    <row r="336">
      <c r="A336" s="7" t="n">
        <v>333</v>
      </c>
      <c r="B336" s="8" t="inlineStr">
        <is>
          <t xml:space="preserve">                self.prog_lbl.config(text=f"{int(step/total*100)}%"), self._set_status(msg)))</t>
        </is>
      </c>
    </row>
    <row r="337">
      <c r="A337" s="9" t="n">
        <v>334</v>
      </c>
      <c r="B337" s="10" t="inlineStr">
        <is>
          <t xml:space="preserve">        def _task():</t>
        </is>
      </c>
    </row>
    <row r="338">
      <c r="A338" s="7" t="n">
        <v>335</v>
      </c>
      <c r="B338" s="8" t="inlineStr">
        <is>
          <t xml:space="preserve">            ve = _get_ve()</t>
        </is>
      </c>
    </row>
    <row r="339">
      <c r="A339" s="9" t="n">
        <v>336</v>
      </c>
      <c r="B339" s="10" t="inlineStr">
        <is>
          <t xml:space="preserve">            ve.DEFAULT_VOICE_RATE = self.speed_var.get(); ve.BGM_VOLUME = self.bgm_vol_var.get()</t>
        </is>
      </c>
    </row>
    <row r="340">
      <c r="A340" s="7" t="n">
        <v>337</v>
      </c>
      <c r="B340" s="8" t="inlineStr">
        <is>
          <t xml:space="preserve">            ve.ENABLE_B_GROUP_MIX = self.bgrp_var.get()</t>
        </is>
      </c>
    </row>
    <row r="341">
      <c r="A341" s="9" t="n">
        <v>338</v>
      </c>
      <c r="B341" s="10" t="inlineStr">
        <is>
          <t xml:space="preserve">            sf = [n for n,v in self._gen_folder_check_vars.items() if v.get()] if self._gen_folder_check_vars else []</t>
        </is>
      </c>
    </row>
    <row r="342">
      <c r="A342" s="7" t="n">
        <v>339</v>
      </c>
      <c r="B342" s="8" t="inlineStr">
        <is>
          <t xml:space="preserve">            if sf:</t>
        </is>
      </c>
    </row>
    <row r="343">
      <c r="A343" s="9" t="n">
        <v>340</v>
      </c>
      <c r="B343" s="10" t="inlineStr">
        <is>
          <t xml:space="preserve">                import os as _os</t>
        </is>
      </c>
    </row>
    <row r="344">
      <c r="A344" s="7" t="n">
        <v>341</v>
      </c>
      <c r="B344" s="8" t="inlineStr">
        <is>
          <t xml:space="preserve">                _os.environ["TREECUT_SELECTED_FOLDERS"] = ",".join(sf)</t>
        </is>
      </c>
    </row>
    <row r="345">
      <c r="A345" s="9" t="n">
        <v>342</v>
      </c>
      <c r="B345" s="10" t="inlineStr">
        <is>
          <t xml:space="preserve">                self._log(f"[Filter] 使用 {len(sf)} 个文件夹")</t>
        </is>
      </c>
    </row>
    <row r="346">
      <c r="A346" s="7" t="n">
        <v>343</v>
      </c>
      <c r="B346" s="8" t="inlineStr">
        <is>
          <t xml:space="preserve">            try:</t>
        </is>
      </c>
    </row>
    <row r="347">
      <c r="A347" s="9" t="n">
        <v>344</v>
      </c>
      <c r="B347" s="10" t="inlineStr">
        <is>
          <t xml:space="preserve">                ct_val = self.copy_text.get("1.0","end-1c").strip() or None</t>
        </is>
      </c>
    </row>
    <row r="348">
      <c r="A348" s="7" t="n">
        <v>345</v>
      </c>
      <c r="B348" s="8" t="inlineStr">
        <is>
          <t xml:space="preserve">                r = ve.run(keyword=kw, copy_text_override=ct_val, generate_tts=self.tts_var.get(), auto_bgm=self.bgm_var.get(), progress_callback=_pcb)</t>
        </is>
      </c>
    </row>
    <row r="349">
      <c r="A349" s="9" t="n">
        <v>346</v>
      </c>
      <c r="B349" s="10" t="inlineStr">
        <is>
          <t xml:space="preserve">                self.root.after(0, lambda: self._on_done(r))</t>
        </is>
      </c>
    </row>
    <row r="350">
      <c r="A350" s="7" t="n">
        <v>347</v>
      </c>
      <c r="B350" s="8" t="inlineStr">
        <is>
          <t xml:space="preserve">            except Exception as e: self.root.after(0, lambda: self._on_error(str(e)))</t>
        </is>
      </c>
    </row>
    <row r="351">
      <c r="A351" s="9" t="n">
        <v>348</v>
      </c>
      <c r="B351" s="10" t="inlineStr">
        <is>
          <t xml:space="preserve">        threading.Thread(target=_task, daemon=True).start()</t>
        </is>
      </c>
    </row>
    <row r="352">
      <c r="A352" s="7" t="n">
        <v>349</v>
      </c>
      <c r="B352" s="8" t="inlineStr"/>
    </row>
    <row r="353">
      <c r="A353" s="9" t="n">
        <v>350</v>
      </c>
      <c r="B353" s="10" t="inlineStr">
        <is>
          <t xml:space="preserve">    def _on_done(self, r):</t>
        </is>
      </c>
    </row>
    <row r="354">
      <c r="A354" s="7" t="n">
        <v>351</v>
      </c>
      <c r="B354" s="8" t="inlineStr">
        <is>
          <t xml:space="preserve">        self._generating = False</t>
        </is>
      </c>
    </row>
    <row r="355">
      <c r="A355" s="9" t="n">
        <v>352</v>
      </c>
      <c r="B355" s="10" t="inlineStr">
        <is>
          <t xml:space="preserve">        if r and "draft_dir" in r: self._log(f"完成: {r['draft_dir']}"); self._set_status("完成 Done")</t>
        </is>
      </c>
    </row>
    <row r="356">
      <c r="A356" s="7" t="n">
        <v>353</v>
      </c>
      <c r="B356" s="8" t="inlineStr">
        <is>
          <t xml:space="preserve">        else: self._log(f"完成: {r}"); self._set_status("完成 Done")</t>
        </is>
      </c>
    </row>
    <row r="357">
      <c r="A357" s="9" t="n">
        <v>354</v>
      </c>
      <c r="B357" s="10" t="inlineStr">
        <is>
          <t xml:space="preserve">        try: self._save_log()</t>
        </is>
      </c>
    </row>
    <row r="358">
      <c r="A358" s="7" t="n">
        <v>355</v>
      </c>
      <c r="B358" s="8" t="inlineStr">
        <is>
          <t xml:space="preserve">        except Exception as _e: from utils.logging import log_warning; log_warning('desktop', str(_e)[:80])</t>
        </is>
      </c>
    </row>
    <row r="359">
      <c r="A359" s="9" t="n">
        <v>356</v>
      </c>
      <c r="B359" s="10" t="inlineStr"/>
    </row>
    <row r="360">
      <c r="A360" s="7" t="n">
        <v>357</v>
      </c>
      <c r="B360" s="8" t="inlineStr">
        <is>
          <t xml:space="preserve">    def _on_error(self, e):</t>
        </is>
      </c>
    </row>
    <row r="361">
      <c r="A361" s="9" t="n">
        <v>358</v>
      </c>
      <c r="B361" s="10" t="inlineStr">
        <is>
          <t xml:space="preserve">        self._generating = False</t>
        </is>
      </c>
    </row>
    <row r="362">
      <c r="A362" s="7" t="n">
        <v>359</v>
      </c>
      <c r="B362" s="8" t="inlineStr">
        <is>
          <t xml:space="preserve">        self._log(f"ERROR: {e}")</t>
        </is>
      </c>
    </row>
    <row r="363">
      <c r="A363" s="9" t="n">
        <v>360</v>
      </c>
      <c r="B363" s="10" t="inlineStr">
        <is>
          <t xml:space="preserve">        self._set_status("错误")</t>
        </is>
      </c>
    </row>
    <row r="364">
      <c r="A364" s="7" t="n">
        <v>361</v>
      </c>
      <c r="B364" s="8" t="inlineStr">
        <is>
          <t xml:space="preserve">        try:</t>
        </is>
      </c>
    </row>
    <row r="365">
      <c r="A365" s="9" t="n">
        <v>362</v>
      </c>
      <c r="B365" s="10" t="inlineStr">
        <is>
          <t xml:space="preserve">            from utils.error_helper import handle_error</t>
        </is>
      </c>
    </row>
    <row r="366">
      <c r="A366" s="7" t="n">
        <v>363</v>
      </c>
      <c r="B366" s="8" t="inlineStr">
        <is>
          <t xml:space="preserve">            handle_error(e, parent=self.root, log_callback=self._log)</t>
        </is>
      </c>
    </row>
    <row r="367">
      <c r="A367" s="9" t="n">
        <v>364</v>
      </c>
      <c r="B367" s="10" t="inlineStr">
        <is>
          <t xml:space="preserve">        except Exception: pass</t>
        </is>
      </c>
    </row>
    <row r="368">
      <c r="A368" s="7" t="n">
        <v>365</v>
      </c>
      <c r="B368" s="8" t="inlineStr"/>
    </row>
    <row r="369">
      <c r="A369" s="9" t="n">
        <v>366</v>
      </c>
      <c r="B369" s="10" t="inlineStr">
        <is>
          <t xml:space="preserve">    def _on_cancel(self):</t>
        </is>
      </c>
    </row>
    <row r="370">
      <c r="A370" s="7" t="n">
        <v>367</v>
      </c>
      <c r="B370" s="8" t="inlineStr">
        <is>
          <t xml:space="preserve">        if self._generating: self._cancel_event.set(); self._log("已取消"); self._set_status("已取消")</t>
        </is>
      </c>
    </row>
    <row r="371">
      <c r="A371" s="9" t="n">
        <v>368</v>
      </c>
      <c r="B371" s="10" t="inlineStr"/>
    </row>
    <row r="372">
      <c r="A372" s="7" t="n">
        <v>369</v>
      </c>
      <c r="B372" s="8" t="inlineStr">
        <is>
          <t xml:space="preserve">    def _on_clear(self):</t>
        </is>
      </c>
    </row>
    <row r="373">
      <c r="A373" s="9" t="n">
        <v>370</v>
      </c>
      <c r="B373" s="10" t="inlineStr">
        <is>
          <t xml:space="preserve">        self.kw_entry.set(""); self.copy_text.delete("1.0","end")</t>
        </is>
      </c>
    </row>
    <row r="374">
      <c r="A374" s="7" t="n">
        <v>371</v>
      </c>
      <c r="B374" s="8" t="inlineStr">
        <is>
          <t xml:space="preserve">        self.batch_text.delete("1.0","end")  # also clear batch text</t>
        </is>
      </c>
    </row>
    <row r="375">
      <c r="A375" s="9" t="n">
        <v>372</v>
      </c>
      <c r="B375" s="10" t="inlineStr">
        <is>
          <t xml:space="preserve">        self.tts_var.set(True); self.bgm_var.set(True); self.bgrp_var.set(True)</t>
        </is>
      </c>
    </row>
    <row r="376">
      <c r="A376" s="7" t="n">
        <v>373</v>
      </c>
      <c r="B376" s="8" t="inlineStr">
        <is>
          <t xml:space="preserve">        self.gen_progress["value"]=0; self.prog_lbl.config(text=""); self.log_area.delete("1.0","end")</t>
        </is>
      </c>
    </row>
    <row r="377">
      <c r="A377" s="9" t="n">
        <v>374</v>
      </c>
      <c r="B377" s="10" t="inlineStr">
        <is>
          <t xml:space="preserve">        self._set_status("已清空")</t>
        </is>
      </c>
    </row>
    <row r="378">
      <c r="A378" s="7" t="n">
        <v>375</v>
      </c>
      <c r="B378" s="8" t="inlineStr"/>
    </row>
    <row r="379">
      <c r="A379" s="9" t="n">
        <v>376</v>
      </c>
      <c r="B379" s="10" t="inlineStr">
        <is>
          <t xml:space="preserve">    def _log(self, msg):</t>
        </is>
      </c>
    </row>
    <row r="380">
      <c r="A380" s="7" t="n">
        <v>377</v>
      </c>
      <c r="B380" s="8" t="inlineStr">
        <is>
          <t xml:space="preserve">        self.log_area.insert("end", f"{datetime.now().strftime('%H:%M:%S')} {msg}\n"); self.log_area.see("end")</t>
        </is>
      </c>
    </row>
    <row r="381">
      <c r="A381" s="9" t="n">
        <v>378</v>
      </c>
      <c r="B381" s="10" t="inlineStr"/>
    </row>
    <row r="382">
      <c r="A382" s="7" t="n">
        <v>379</v>
      </c>
      <c r="B382" s="8" t="inlineStr">
        <is>
          <t xml:space="preserve">    def _save_log(self):</t>
        </is>
      </c>
    </row>
    <row r="383">
      <c r="A383" s="9" t="n">
        <v>380</v>
      </c>
      <c r="B383" s="10" t="inlineStr">
        <is>
          <t xml:space="preserve">        try:</t>
        </is>
      </c>
    </row>
    <row r="384">
      <c r="A384" s="7" t="n">
        <v>381</v>
      </c>
      <c r="B384" s="8" t="inlineStr">
        <is>
          <t xml:space="preserve">            lf = Path(__file__).parent.parent / "generate_log.txt"</t>
        </is>
      </c>
    </row>
    <row r="385">
      <c r="A385" s="9" t="n">
        <v>382</v>
      </c>
      <c r="B385" s="10" t="inlineStr">
        <is>
          <t xml:space="preserve">            with open(lf,"a",encoding="utf-8") as f: f.write(f"\n=== {datetime.now().isoformat()[:19]} ===\n{self.log_area.get('1.0','end-1c')}\n")</t>
        </is>
      </c>
    </row>
    <row r="386">
      <c r="A386" s="7" t="n">
        <v>383</v>
      </c>
      <c r="B386" s="8" t="inlineStr">
        <is>
          <t xml:space="preserve">        except Exception as _e: from utils.logging import log_warning; log_warning('desktop', str(_e)[:80])</t>
        </is>
      </c>
    </row>
    <row r="387">
      <c r="A387" s="9" t="n">
        <v>384</v>
      </c>
      <c r="B387" s="10" t="inlineStr"/>
    </row>
    <row r="388">
      <c r="A388" s="7" t="n">
        <v>385</v>
      </c>
      <c r="B388" s="8" t="inlineStr">
        <is>
          <t xml:space="preserve">    def _update_recent(self, kw):</t>
        </is>
      </c>
    </row>
    <row r="389">
      <c r="A389" s="9" t="n">
        <v>386</v>
      </c>
      <c r="B389" s="10" t="inlineStr">
        <is>
          <t xml:space="preserve">        if kw in self.recent_kw: self.recent_kw.remove(kw)</t>
        </is>
      </c>
    </row>
    <row r="390">
      <c r="A390" s="7" t="n">
        <v>387</v>
      </c>
      <c r="B390" s="8" t="inlineStr">
        <is>
          <t xml:space="preserve">        self.recent_kw.insert(0, kw); self.recent_kw = self.recent_kw[:10]</t>
        </is>
      </c>
    </row>
    <row r="391">
      <c r="A391" s="9" t="n">
        <v>388</v>
      </c>
      <c r="B391" s="10" t="inlineStr">
        <is>
          <t xml:space="preserve">        self._save_json("recent_kw.json", self.recent_kw); self.kw_entry['values'] = self.recent_kw</t>
        </is>
      </c>
    </row>
    <row r="392">
      <c r="A392" s="7" t="n">
        <v>389</v>
      </c>
      <c r="B392" s="8" t="inlineStr"/>
    </row>
    <row r="393">
      <c r="A393" s="9" t="n">
        <v>390</v>
      </c>
      <c r="B393" s="10" t="inlineStr">
        <is>
          <t xml:space="preserve">    # ── 批量生产 ──</t>
        </is>
      </c>
    </row>
    <row r="394">
      <c r="A394" s="7" t="n">
        <v>391</v>
      </c>
      <c r="B394" s="8" t="inlineStr"/>
    </row>
    <row r="395">
      <c r="A395" s="9" t="n">
        <v>392</v>
      </c>
      <c r="B395" s="10" t="inlineStr">
        <is>
          <t xml:space="preserve">    def _auto_fill_batch(self):</t>
        </is>
      </c>
    </row>
    <row r="396">
      <c r="A396" s="7" t="n">
        <v>393</v>
      </c>
      <c r="B396" s="8" t="inlineStr">
        <is>
          <t xml:space="preserve">        raw_text = self.batch_text.get("1.0", "end-1c")</t>
        </is>
      </c>
    </row>
    <row r="397">
      <c r="A397" s="9" t="n">
        <v>394</v>
      </c>
      <c r="B397" s="10" t="inlineStr">
        <is>
          <t xml:space="preserve">        from core.script_utils import split_scripts</t>
        </is>
      </c>
    </row>
    <row r="398">
      <c r="A398" s="7" t="n">
        <v>395</v>
      </c>
      <c r="B398" s="8" t="inlineStr">
        <is>
          <t xml:space="preserve">        force = self.batch_force_line.get()</t>
        </is>
      </c>
    </row>
    <row r="399">
      <c r="A399" s="9" t="n">
        <v>396</v>
      </c>
      <c r="B399" s="10" t="inlineStr">
        <is>
          <t xml:space="preserve">        raw_lines = [l for l in raw_text.splitlines() if l.strip()]</t>
        </is>
      </c>
    </row>
    <row r="400">
      <c r="A400" s="7" t="n">
        <v>397</v>
      </c>
      <c r="B400" s="8" t="inlineStr">
        <is>
          <t xml:space="preserve">        scripts = split_scripts(raw_text, force_by_line=force)</t>
        </is>
      </c>
    </row>
    <row r="401">
      <c r="A401" s="9" t="n">
        <v>398</v>
      </c>
      <c r="B401" s="10" t="inlineStr">
        <is>
          <t xml:space="preserve">        self._log(f"[AutoFill] {len(raw_lines)}行 -&gt; {len(scripts)}条脚本 (force_by_line={force})")</t>
        </is>
      </c>
    </row>
    <row r="402">
      <c r="A402" s="7" t="n">
        <v>399</v>
      </c>
      <c r="B402" s="8" t="inlineStr">
        <is>
          <t xml:space="preserve">        # 多行但只识别出1个脚本 → 可能是逐行独立脚本，提示勾选强制按行</t>
        </is>
      </c>
    </row>
    <row r="403">
      <c r="A403" s="9" t="n">
        <v>400</v>
      </c>
      <c r="B403" s="10" t="inlineStr">
        <is>
          <t xml:space="preserve">        if len(raw_lines) &gt; 3 and len(scripts) == 1 and not force:</t>
        </is>
      </c>
    </row>
    <row r="404">
      <c r="A404" s="7" t="n">
        <v>401</v>
      </c>
      <c r="B404" s="8" t="inlineStr">
        <is>
          <t xml:space="preserve">            if messagebox.askyesno("提示",</t>
        </is>
      </c>
    </row>
    <row r="405">
      <c r="A405" s="9" t="n">
        <v>402</v>
      </c>
      <c r="B405" s="10" t="inlineStr">
        <is>
          <t xml:space="preserve">                f"检测到 {len(raw_lines)} 行文本但只识别出 1 条脚本。\n\n"</t>
        </is>
      </c>
    </row>
    <row r="406">
      <c r="A406" s="7" t="n">
        <v>403</v>
      </c>
      <c r="B406" s="8" t="inlineStr">
        <is>
          <t xml:space="preserve">                "如果每行是一个独立脚本，请勾选「强制按行」后重新识别。\n\n"</t>
        </is>
      </c>
    </row>
    <row r="407">
      <c r="A407" s="9" t="n">
        <v>404</v>
      </c>
      <c r="B407" s="10" t="inlineStr">
        <is>
          <t xml:space="preserve">                "是否自动勾选强制按行并重新识别？"):</t>
        </is>
      </c>
    </row>
    <row r="408">
      <c r="A408" s="7" t="n">
        <v>405</v>
      </c>
      <c r="B408" s="8" t="inlineStr">
        <is>
          <t xml:space="preserve">                self.batch_force_line.set(True)</t>
        </is>
      </c>
    </row>
    <row r="409">
      <c r="A409" s="9" t="n">
        <v>406</v>
      </c>
      <c r="B409" s="10" t="inlineStr">
        <is>
          <t xml:space="preserve">                scripts = split_scripts(raw_text, force_by_line=True)</t>
        </is>
      </c>
    </row>
    <row r="410">
      <c r="A410" s="7" t="n">
        <v>407</v>
      </c>
      <c r="B410" s="8" t="inlineStr">
        <is>
          <t xml:space="preserve">                self._log(f"[AutoFill] retry force_by_line: {len(scripts)}条")</t>
        </is>
      </c>
    </row>
    <row r="411">
      <c r="A411" s="9" t="n">
        <v>408</v>
      </c>
      <c r="B411" s="10" t="inlineStr">
        <is>
          <t xml:space="preserve">        if not scripts:</t>
        </is>
      </c>
    </row>
    <row r="412">
      <c r="A412" s="7" t="n">
        <v>409</v>
      </c>
      <c r="B412" s="8" t="inlineStr">
        <is>
          <t xml:space="preserve">            messagebox.showinfo("提示", "未识别到有效文案。\n用空行分隔不同脚本，或勾选「强制按行」。")</t>
        </is>
      </c>
    </row>
    <row r="413">
      <c r="A413" s="9" t="n">
        <v>410</v>
      </c>
      <c r="B413" s="10" t="inlineStr">
        <is>
          <t xml:space="preserve">            return</t>
        </is>
      </c>
    </row>
    <row r="414">
      <c r="A414" s="7" t="n">
        <v>411</v>
      </c>
      <c r="B414" s="8" t="inlineStr">
        <is>
          <t xml:space="preserve">        n = min(len(scripts), 30)</t>
        </is>
      </c>
    </row>
    <row r="415">
      <c r="A415" s="9" t="n">
        <v>412</v>
      </c>
      <c r="B415" s="10" t="inlineStr">
        <is>
          <t xml:space="preserve">        self.batch_slot_count.set(n)</t>
        </is>
      </c>
    </row>
    <row r="416">
      <c r="A416" s="7" t="n">
        <v>413</v>
      </c>
      <c r="B416" s="8" t="inlineStr">
        <is>
          <t xml:space="preserve">        self._build_slots()</t>
        </is>
      </c>
    </row>
    <row r="417">
      <c r="A417" s="9" t="n">
        <v>414</v>
      </c>
      <c r="B417" s="10" t="inlineStr">
        <is>
          <t xml:space="preserve">        for i, txt in enumerate(self.script_slots):</t>
        </is>
      </c>
    </row>
    <row r="418">
      <c r="A418" s="7" t="n">
        <v>415</v>
      </c>
      <c r="B418" s="8" t="inlineStr">
        <is>
          <t xml:space="preserve">            if i &lt; len(scripts):</t>
        </is>
      </c>
    </row>
    <row r="419">
      <c r="A419" s="9" t="n">
        <v>416</v>
      </c>
      <c r="B419" s="10" t="inlineStr">
        <is>
          <t xml:space="preserve">                txt.delete("1.0", "end")</t>
        </is>
      </c>
    </row>
    <row r="420">
      <c r="A420" s="7" t="n">
        <v>417</v>
      </c>
      <c r="B420" s="8" t="inlineStr">
        <is>
          <t xml:space="preserve">                txt.insert("1.0", scripts[i])</t>
        </is>
      </c>
    </row>
    <row r="421">
      <c r="A421" s="9" t="n">
        <v>418</v>
      </c>
      <c r="B421" s="10" t="inlineStr">
        <is>
          <t xml:space="preserve">            else:</t>
        </is>
      </c>
    </row>
    <row r="422">
      <c r="A422" s="7" t="n">
        <v>419</v>
      </c>
      <c r="B422" s="8" t="inlineStr">
        <is>
          <t xml:space="preserve">                txt.delete("1.0", "end")</t>
        </is>
      </c>
    </row>
    <row r="423">
      <c r="A423" s="9" t="n">
        <v>420</v>
      </c>
      <c r="B423" s="10" t="inlineStr"/>
    </row>
    <row r="424">
      <c r="A424" s="7" t="n">
        <v>421</v>
      </c>
      <c r="B424" s="8" t="inlineStr">
        <is>
          <t xml:space="preserve">    def _batch_gen(self):</t>
        </is>
      </c>
    </row>
    <row r="425">
      <c r="A425" s="9" t="n">
        <v>422</v>
      </c>
      <c r="B425" s="10" t="inlineStr">
        <is>
          <t xml:space="preserve">        raw_text = self.batch_text.get("1.0", "end-1c")</t>
        </is>
      </c>
    </row>
    <row r="426">
      <c r="A426" s="7" t="n">
        <v>423</v>
      </c>
      <c r="B426" s="8" t="inlineStr">
        <is>
          <t xml:space="preserve">        from core.script_utils import split_scripts</t>
        </is>
      </c>
    </row>
    <row r="427">
      <c r="A427" s="9" t="n">
        <v>424</v>
      </c>
      <c r="B427" s="10" t="inlineStr">
        <is>
          <t xml:space="preserve">        force = self.batch_force_line.get()</t>
        </is>
      </c>
    </row>
    <row r="428">
      <c r="A428" s="7" t="n">
        <v>425</v>
      </c>
      <c r="B428" s="8" t="inlineStr">
        <is>
          <t xml:space="preserve">        scripts = split_scripts(raw_text, force_by_line=force)</t>
        </is>
      </c>
    </row>
    <row r="429">
      <c r="A429" s="9" t="n">
        <v>426</v>
      </c>
      <c r="B429" s="10" t="inlineStr">
        <is>
          <t xml:space="preserve">        print(f"[DEBUG] batch_gen: {len(scripts)} scripts")</t>
        </is>
      </c>
    </row>
    <row r="430">
      <c r="A430" s="7" t="n">
        <v>427</v>
      </c>
      <c r="B430" s="8" t="inlineStr">
        <is>
          <t xml:space="preserve">        if not scripts:</t>
        </is>
      </c>
    </row>
    <row r="431">
      <c r="A431" s="9" t="n">
        <v>428</v>
      </c>
      <c r="B431" s="10" t="inlineStr">
        <is>
          <t xml:space="preserve">            messagebox.showinfo("提示", "未识别到有效文案。\n用空行分隔不同脚本，或勾选强制按行。")</t>
        </is>
      </c>
    </row>
    <row r="432">
      <c r="A432" s="7" t="n">
        <v>429</v>
      </c>
      <c r="B432" s="8" t="inlineStr">
        <is>
          <t xml:space="preserve">            return</t>
        </is>
      </c>
    </row>
    <row r="433">
      <c r="A433" s="9" t="n">
        <v>430</v>
      </c>
      <c r="B433" s="10" t="inlineStr">
        <is>
          <t xml:space="preserve">        self.batch_tree.delete(*self.batch_tree.get_children())</t>
        </is>
      </c>
    </row>
    <row r="434">
      <c r="A434" s="7" t="n">
        <v>431</v>
      </c>
      <c r="B434" s="8" t="inlineStr">
        <is>
          <t xml:space="preserve">        self.batch_prog["maximum"] = len(scripts); self.batch_prog["value"] = 0</t>
        </is>
      </c>
    </row>
    <row r="435">
      <c r="A435" s="9" t="n">
        <v>432</v>
      </c>
      <c r="B435" s="10" t="inlineStr">
        <is>
          <t xml:space="preserve">        self._set_status(f"批量: 0/{len(scripts)}")</t>
        </is>
      </c>
    </row>
    <row r="436">
      <c r="A436" s="7" t="n">
        <v>433</v>
      </c>
      <c r="B436" s="8" t="inlineStr">
        <is>
          <t xml:space="preserve">        self._log(f"[Gen] {len(scripts)}条")</t>
        </is>
      </c>
    </row>
    <row r="437">
      <c r="A437" s="9" t="n">
        <v>434</v>
      </c>
      <c r="B437" s="10" t="inlineStr">
        <is>
          <t xml:space="preserve">        threading.Thread(target=lambda: self._run_batch(len(scripts), scripts), daemon=True).start()</t>
        </is>
      </c>
    </row>
    <row r="438">
      <c r="A438" s="7" t="n">
        <v>435</v>
      </c>
      <c r="B438" s="8" t="inlineStr"/>
    </row>
    <row r="439">
      <c r="A439" s="9" t="n">
        <v>436</v>
      </c>
      <c r="B439" s="10" t="inlineStr">
        <is>
          <t xml:space="preserve">    def _build_slots(self):</t>
        </is>
      </c>
    </row>
    <row r="440">
      <c r="A440" s="7" t="n">
        <v>437</v>
      </c>
      <c r="B440" s="8" t="inlineStr">
        <is>
          <t xml:space="preserve">        for w in self.slots_frame.winfo_children(): w.destroy()</t>
        </is>
      </c>
    </row>
    <row r="441">
      <c r="A441" s="9" t="n">
        <v>438</v>
      </c>
      <c r="B441" s="10" t="inlineStr">
        <is>
          <t xml:space="preserve">        self.script_slots = []</t>
        </is>
      </c>
    </row>
    <row r="442">
      <c r="A442" s="7" t="n">
        <v>439</v>
      </c>
      <c r="B442" s="8" t="inlineStr">
        <is>
          <t xml:space="preserve">        n = min(self.batch_slot_count.get(), 30)</t>
        </is>
      </c>
    </row>
    <row r="443">
      <c r="A443" s="9" t="n">
        <v>440</v>
      </c>
      <c r="B443" s="10" t="inlineStr">
        <is>
          <t xml:space="preserve">        self.batch_slot_count.set(n)</t>
        </is>
      </c>
    </row>
    <row r="444">
      <c r="A444" s="7" t="n">
        <v>441</v>
      </c>
      <c r="B444" s="8" t="inlineStr">
        <is>
          <t xml:space="preserve">        for i in range(n):</t>
        </is>
      </c>
    </row>
    <row r="445">
      <c r="A445" s="9" t="n">
        <v>442</v>
      </c>
      <c r="B445" s="10" t="inlineStr">
        <is>
          <t xml:space="preserve">            f = tb.Frame(self.slots_frame); f.pack(fill="x", pady=1)</t>
        </is>
      </c>
    </row>
    <row r="446">
      <c r="A446" s="7" t="n">
        <v>443</v>
      </c>
      <c r="B446" s="8" t="inlineStr">
        <is>
          <t xml:space="preserve">            tb.Label(f, text=f"脚本{i + 1}:").pack(side="left")</t>
        </is>
      </c>
    </row>
    <row r="447">
      <c r="A447" s="9" t="n">
        <v>444</v>
      </c>
      <c r="B447" s="10" t="inlineStr">
        <is>
          <t xml:space="preserve">            txt = tb.Text(f, height=2, font=("Microsoft YaHei", 11))</t>
        </is>
      </c>
    </row>
    <row r="448">
      <c r="A448" s="7" t="n">
        <v>445</v>
      </c>
      <c r="B448" s="8" t="inlineStr">
        <is>
          <t xml:space="preserve">            txt.pack(side="left", fill="x", expand=True, padx=4)</t>
        </is>
      </c>
    </row>
    <row r="449">
      <c r="A449" s="9" t="n">
        <v>446</v>
      </c>
      <c r="B449" s="10" t="inlineStr">
        <is>
          <t xml:space="preserve">            self.script_slots.append(txt)</t>
        </is>
      </c>
    </row>
    <row r="450">
      <c r="A450" s="7" t="n">
        <v>447</v>
      </c>
      <c r="B450" s="8" t="inlineStr"/>
    </row>
    <row r="451">
      <c r="A451" s="9" t="n">
        <v>448</v>
      </c>
      <c r="B451" s="10" t="inlineStr">
        <is>
          <t xml:space="preserve">    def _on_batch(self):</t>
        </is>
      </c>
    </row>
    <row r="452">
      <c r="A452" s="7" t="n">
        <v>449</v>
      </c>
      <c r="B452" s="8" t="inlineStr">
        <is>
          <t xml:space="preserve">        lines = []</t>
        </is>
      </c>
    </row>
    <row r="453">
      <c r="A453" s="9" t="n">
        <v>450</v>
      </c>
      <c r="B453" s="10" t="inlineStr">
        <is>
          <t xml:space="preserve">        for txt in self.script_slots:</t>
        </is>
      </c>
    </row>
    <row r="454">
      <c r="A454" s="7" t="n">
        <v>451</v>
      </c>
      <c r="B454" s="8" t="inlineStr">
        <is>
          <t xml:space="preserve">            c = txt.get("1.0", "end-1c").strip()</t>
        </is>
      </c>
    </row>
    <row r="455">
      <c r="A455" s="9" t="n">
        <v>452</v>
      </c>
      <c r="B455" s="10" t="inlineStr">
        <is>
          <t xml:space="preserve">            if c: lines.append(c)</t>
        </is>
      </c>
    </row>
    <row r="456">
      <c r="A456" s="7" t="n">
        <v>453</v>
      </c>
      <c r="B456" s="8" t="inlineStr">
        <is>
          <t xml:space="preserve">        if not lines:</t>
        </is>
      </c>
    </row>
    <row r="457">
      <c r="A457" s="9" t="n">
        <v>454</v>
      </c>
      <c r="B457" s="10" t="inlineStr">
        <is>
          <t xml:space="preserve">            paste = self.batch_text.get("1.0", "end-1c").strip()</t>
        </is>
      </c>
    </row>
    <row r="458">
      <c r="A458" s="7" t="n">
        <v>455</v>
      </c>
      <c r="B458" s="8" t="inlineStr">
        <is>
          <t xml:space="preserve">            if paste:</t>
        </is>
      </c>
    </row>
    <row r="459">
      <c r="A459" s="9" t="n">
        <v>456</v>
      </c>
      <c r="B459" s="10" t="inlineStr">
        <is>
          <t xml:space="preserve">                from core.script_utils import split_scripts</t>
        </is>
      </c>
    </row>
    <row r="460">
      <c r="A460" s="7" t="n">
        <v>457</v>
      </c>
      <c r="B460" s="8" t="inlineStr">
        <is>
          <t xml:space="preserve">                lines = split_scripts(paste, force_by_line=self.batch_force_line.get())</t>
        </is>
      </c>
    </row>
    <row r="461">
      <c r="A461" s="9" t="n">
        <v>458</v>
      </c>
      <c r="B461" s="10" t="inlineStr">
        <is>
          <t xml:space="preserve">        if not lines:</t>
        </is>
      </c>
    </row>
    <row r="462">
      <c r="A462" s="7" t="n">
        <v>459</v>
      </c>
      <c r="B462" s="8" t="inlineStr">
        <is>
          <t xml:space="preserve">            messagebox.showinfo("提示", "未找到任何文案。\n请先粘贴内容 -&gt; 识别并填充 -&gt; 再点击开始批量生产")</t>
        </is>
      </c>
    </row>
    <row r="463">
      <c r="A463" s="9" t="n">
        <v>460</v>
      </c>
      <c r="B463" s="10" t="inlineStr">
        <is>
          <t xml:space="preserve">            return</t>
        </is>
      </c>
    </row>
    <row r="464">
      <c r="A464" s="7" t="n">
        <v>461</v>
      </c>
      <c r="B464" s="8" t="inlineStr">
        <is>
          <t xml:space="preserve">        self.batch_tree.delete(*self.batch_tree.get_children())</t>
        </is>
      </c>
    </row>
    <row r="465">
      <c r="A465" s="9" t="n">
        <v>462</v>
      </c>
      <c r="B465" s="10" t="inlineStr">
        <is>
          <t xml:space="preserve">        # Pre-insert all rows with "等待中" status</t>
        </is>
      </c>
    </row>
    <row r="466">
      <c r="A466" s="7" t="n">
        <v>463</v>
      </c>
      <c r="B466" s="8" t="inlineStr">
        <is>
          <t xml:space="preserve">        for idx, line in enumerate(lines, 1):</t>
        </is>
      </c>
    </row>
    <row r="467">
      <c r="A467" s="9" t="n">
        <v>464</v>
      </c>
      <c r="B467" s="10" t="inlineStr">
        <is>
          <t xml:space="preserve">            preview = line.replace("\n", " ")[:40]</t>
        </is>
      </c>
    </row>
    <row r="468">
      <c r="A468" s="7" t="n">
        <v>465</v>
      </c>
      <c r="B468" s="8" t="inlineStr">
        <is>
          <t xml:space="preserve">            self.batch_tree.insert("", "end", iid=str(idx),</t>
        </is>
      </c>
    </row>
    <row r="469">
      <c r="A469" s="9" t="n">
        <v>466</v>
      </c>
      <c r="B469" s="10" t="inlineStr">
        <is>
          <t xml:space="preserve">                values=(idx, "[WAIT] 等待中", preview))</t>
        </is>
      </c>
    </row>
    <row r="470">
      <c r="A470" s="7" t="n">
        <v>467</v>
      </c>
      <c r="B470" s="8" t="inlineStr">
        <is>
          <t xml:space="preserve">        self.batch_prog["maximum"] = len(lines); self.batch_prog["value"] = 0</t>
        </is>
      </c>
    </row>
    <row r="471">
      <c r="A471" s="9" t="n">
        <v>468</v>
      </c>
      <c r="B471" s="10" t="inlineStr">
        <is>
          <t xml:space="preserve">        self._set_status(f"批量: 0/{len(lines)}")</t>
        </is>
      </c>
    </row>
    <row r="472">
      <c r="A472" s="7" t="n">
        <v>469</v>
      </c>
      <c r="B472" s="8" t="inlineStr">
        <is>
          <t xml:space="preserve">        self._log(f"开始批量生产: {len(lines)}条")</t>
        </is>
      </c>
    </row>
    <row r="473">
      <c r="A473" s="9" t="n">
        <v>470</v>
      </c>
      <c r="B473" s="10" t="inlineStr">
        <is>
          <t xml:space="preserve">        threading.Thread(target=lambda: self._run_batch(len(lines), lines), daemon=True).start()</t>
        </is>
      </c>
    </row>
    <row r="474">
      <c r="A474" s="7" t="n">
        <v>471</v>
      </c>
      <c r="B474" s="8" t="inlineStr"/>
    </row>
    <row r="475">
      <c r="A475" s="9" t="n">
        <v>472</v>
      </c>
      <c r="B475" s="10" t="inlineStr">
        <is>
          <t xml:space="preserve">    def _run_batch(self, count, lines):</t>
        </is>
      </c>
    </row>
    <row r="476">
      <c r="A476" s="7" t="n">
        <v>473</v>
      </c>
      <c r="B476" s="8" t="inlineStr">
        <is>
          <t xml:space="preserve">        ve = _get_ve(); ve.DEFAULT_VOICE_RATE = self.speed_var.get()</t>
        </is>
      </c>
    </row>
    <row r="477">
      <c r="A477" s="9" t="n">
        <v>474</v>
      </c>
      <c r="B477" s="10" t="inlineStr">
        <is>
          <t xml:space="preserve">        self._log(f"批量开始: {count}个视频")</t>
        </is>
      </c>
    </row>
    <row r="478">
      <c r="A478" s="7" t="n">
        <v>475</v>
      </c>
      <c r="B478" s="8" t="inlineStr">
        <is>
          <t xml:space="preserve">        ok_count = [0]  # mutable counter for closure</t>
        </is>
      </c>
    </row>
    <row r="479">
      <c r="A479" s="9" t="n">
        <v>476</v>
      </c>
      <c r="B479" s="10" t="inlineStr">
        <is>
          <t xml:space="preserve">        for i in range(count):</t>
        </is>
      </c>
    </row>
    <row r="480">
      <c r="A480" s="7" t="n">
        <v>477</v>
      </c>
      <c r="B480" s="8" t="inlineStr">
        <is>
          <t xml:space="preserve">            idx = i + 1</t>
        </is>
      </c>
    </row>
    <row r="481">
      <c r="A481" s="9" t="n">
        <v>478</v>
      </c>
      <c r="B481" s="10" t="inlineStr">
        <is>
          <t xml:space="preserve">            if self._cancel_event.is_set():</t>
        </is>
      </c>
    </row>
    <row r="482">
      <c r="A482" s="7" t="n">
        <v>479</v>
      </c>
      <c r="B482" s="8" t="inlineStr">
        <is>
          <t xml:space="preserve">                self.root.after(0, lambda n=idx: self.batch_tree.set(str(n), "status", "已取消"))</t>
        </is>
      </c>
    </row>
    <row r="483">
      <c r="A483" s="9" t="n">
        <v>480</v>
      </c>
      <c r="B483" s="10" t="inlineStr">
        <is>
          <t xml:space="preserve">                self._log(f"  [{idx}] 已取消"); break</t>
        </is>
      </c>
    </row>
    <row r="484">
      <c r="A484" s="7" t="n">
        <v>481</v>
      </c>
      <c r="B484" s="8" t="inlineStr">
        <is>
          <t xml:space="preserve">            # Update status to "生成中"</t>
        </is>
      </c>
    </row>
    <row r="485">
      <c r="A485" s="9" t="n">
        <v>482</v>
      </c>
      <c r="B485" s="10" t="inlineStr">
        <is>
          <t xml:space="preserve">            self.root.after(0, lambda n=idx: self.batch_tree.set(str(n), "status", "[RUN] 生成中"))</t>
        </is>
      </c>
    </row>
    <row r="486">
      <c r="A486" s="7" t="n">
        <v>483</v>
      </c>
      <c r="B486" s="8" t="inlineStr">
        <is>
          <t xml:space="preserve">            try:</t>
        </is>
      </c>
    </row>
    <row r="487">
      <c r="A487" s="9" t="n">
        <v>484</v>
      </c>
      <c r="B487" s="10" t="inlineStr">
        <is>
          <t xml:space="preserve">                preview = (lines[i] if i &lt; len(lines) else "AI")[:40]</t>
        </is>
      </c>
    </row>
    <row r="488">
      <c r="A488" s="7" t="n">
        <v>485</v>
      </c>
      <c r="B488" s="8" t="inlineStr">
        <is>
          <t xml:space="preserve">                ve.run(keyword="batch", copy_text_override=lines[i] if i&lt;len(lines) else None, generate_tts=True, auto_bgm=True)</t>
        </is>
      </c>
    </row>
    <row r="489">
      <c r="A489" s="9" t="n">
        <v>486</v>
      </c>
      <c r="B489" s="10" t="inlineStr">
        <is>
          <t xml:space="preserve">                ok_count[0] += 1</t>
        </is>
      </c>
    </row>
    <row r="490">
      <c r="A490" s="7" t="n">
        <v>487</v>
      </c>
      <c r="B490" s="8" t="inlineStr">
        <is>
          <t xml:space="preserve">                self.root.after(0, lambda n=idx, p=preview: (</t>
        </is>
      </c>
    </row>
    <row r="491">
      <c r="A491" s="9" t="n">
        <v>488</v>
      </c>
      <c r="B491" s="10" t="inlineStr">
        <is>
          <t xml:space="preserve">                    self.batch_tree.set(str(n), "status", "[OK] 成功"),</t>
        </is>
      </c>
    </row>
    <row r="492">
      <c r="A492" s="7" t="n">
        <v>489</v>
      </c>
      <c r="B492" s="8" t="inlineStr">
        <is>
          <t xml:space="preserve">                    self.batch_tree.set(str(n), "preview", p)</t>
        </is>
      </c>
    </row>
    <row r="493">
      <c r="A493" s="9" t="n">
        <v>490</v>
      </c>
      <c r="B493" s="10" t="inlineStr">
        <is>
          <t xml:space="preserve">                ))</t>
        </is>
      </c>
    </row>
    <row r="494">
      <c r="A494" s="7" t="n">
        <v>491</v>
      </c>
      <c r="B494" s="8" t="inlineStr">
        <is>
          <t xml:space="preserve">                self._log(f"  [{idx}/{count}] OK")</t>
        </is>
      </c>
    </row>
    <row r="495">
      <c r="A495" s="9" t="n">
        <v>492</v>
      </c>
      <c r="B495" s="10" t="inlineStr">
        <is>
          <t xml:space="preserve">            except Exception as e:</t>
        </is>
      </c>
    </row>
    <row r="496">
      <c r="A496" s="7" t="n">
        <v>493</v>
      </c>
      <c r="B496" s="8" t="inlineStr">
        <is>
          <t xml:space="preserve">                emsg = str(e)[:40]</t>
        </is>
      </c>
    </row>
    <row r="497">
      <c r="A497" s="9" t="n">
        <v>494</v>
      </c>
      <c r="B497" s="10" t="inlineStr">
        <is>
          <t xml:space="preserve">                self.root.after(0, lambda n=idx, e=emsg: self.batch_tree.set(str(n), "status", f"[FAIL] {e}"))</t>
        </is>
      </c>
    </row>
    <row r="498">
      <c r="A498" s="7" t="n">
        <v>495</v>
      </c>
      <c r="B498" s="8" t="inlineStr">
        <is>
          <t xml:space="preserve">                self._log(f"  [{idx}/{count}] FAIL: {emsg}")</t>
        </is>
      </c>
    </row>
    <row r="499">
      <c r="A499" s="9" t="n">
        <v>496</v>
      </c>
      <c r="B499" s="10" t="inlineStr">
        <is>
          <t xml:space="preserve">            self.root.after(0, lambda n=idx: (self.batch_prog.configure(value=n), self._set_status(f"批量 {n}/{count}")))</t>
        </is>
      </c>
    </row>
    <row r="500">
      <c r="A500" s="7" t="n">
        <v>497</v>
      </c>
      <c r="B500" s="8" t="inlineStr">
        <is>
          <t xml:space="preserve">            time.sleep(0.5)</t>
        </is>
      </c>
    </row>
    <row r="501">
      <c r="A501" s="9" t="n">
        <v>498</v>
      </c>
      <c r="B501" s="10" t="inlineStr">
        <is>
          <t xml:space="preserve">        self._log(f"批量完成: {ok_count[0]}/{count} 成功")</t>
        </is>
      </c>
    </row>
    <row r="502">
      <c r="A502" s="7" t="n">
        <v>499</v>
      </c>
      <c r="B502" s="8" t="inlineStr">
        <is>
          <t xml:space="preserve">        self.root.after(0, lambda: (self._set_status("完成"), messagebox.showinfo("完成",f"生成 {ok_count[0]}/{count} 个视频")))</t>
        </is>
      </c>
    </row>
    <row r="503">
      <c r="A503" s="9" t="n">
        <v>500</v>
      </c>
      <c r="B503" s="10" t="inlineStr"/>
    </row>
    <row r="504">
      <c r="A504" s="7" t="n">
        <v>501</v>
      </c>
      <c r="B504" s="8" t="inlineStr">
        <is>
          <t xml:space="preserve">    def _toggle_gen_folders(self):</t>
        </is>
      </c>
    </row>
    <row r="505">
      <c r="A505" s="9" t="n">
        <v>502</v>
      </c>
      <c r="B505" s="10" t="inlineStr">
        <is>
          <t xml:space="preserve">        """生成页面 — 加载素材库"""</t>
        </is>
      </c>
    </row>
    <row r="506">
      <c r="A506" s="7" t="n">
        <v>503</v>
      </c>
      <c r="B506" s="8" t="inlineStr">
        <is>
          <t xml:space="preserve">        if self._gen_folder_visible:</t>
        </is>
      </c>
    </row>
    <row r="507">
      <c r="A507" s="9" t="n">
        <v>504</v>
      </c>
      <c r="B507" s="10" t="inlineStr">
        <is>
          <t xml:space="preserve">            self._gen_fp_frame.pack_forget()</t>
        </is>
      </c>
    </row>
    <row r="508">
      <c r="A508" s="7" t="n">
        <v>505</v>
      </c>
      <c r="B508" s="8" t="inlineStr">
        <is>
          <t xml:space="preserve">            self._gen_fp.configure(text="素材文件夹 (点击展开)")</t>
        </is>
      </c>
    </row>
    <row r="509">
      <c r="A509" s="9" t="n">
        <v>506</v>
      </c>
      <c r="B509" s="10" t="inlineStr">
        <is>
          <t xml:space="preserve">            self._gen_folder_visible = False</t>
        </is>
      </c>
    </row>
    <row r="510">
      <c r="A510" s="7" t="n">
        <v>507</v>
      </c>
      <c r="B510" s="8" t="inlineStr">
        <is>
          <t xml:space="preserve">            return</t>
        </is>
      </c>
    </row>
    <row r="511">
      <c r="A511" s="9" t="n">
        <v>508</v>
      </c>
      <c r="B511" s="10" t="inlineStr">
        <is>
          <t xml:space="preserve">        if not self._gen_folder_ui_built:</t>
        </is>
      </c>
    </row>
    <row r="512">
      <c r="A512" s="7" t="n">
        <v>509</v>
      </c>
      <c r="B512" s="8" t="inlineStr">
        <is>
          <t xml:space="preserve">            self._gen_folder_ui_built = True</t>
        </is>
      </c>
    </row>
    <row r="513">
      <c r="A513" s="9" t="n">
        <v>510</v>
      </c>
      <c r="B513" s="10" t="inlineStr">
        <is>
          <t xml:space="preserve">            for w in self._gen_fp_frame.winfo_children(): w.destroy()</t>
        </is>
      </c>
    </row>
    <row r="514">
      <c r="A514" s="7" t="n">
        <v>511</v>
      </c>
      <c r="B514" s="8" t="inlineStr">
        <is>
          <t xml:space="preserve">            pts = _get_folders_fast()</t>
        </is>
      </c>
    </row>
    <row r="515">
      <c r="A515" s="9" t="n">
        <v>512</v>
      </c>
      <c r="B515" s="10" t="inlineStr">
        <is>
          <t xml:space="preserve">            if pts:</t>
        </is>
      </c>
    </row>
    <row r="516">
      <c r="A516" s="7" t="n">
        <v>513</v>
      </c>
      <c r="B516" s="8" t="inlineStr">
        <is>
          <t xml:space="preserve">                canvas = tk.Canvas(self._gen_fp_frame, height=180, highlightthickness=0, bg="#c8e6c9")</t>
        </is>
      </c>
    </row>
    <row r="517">
      <c r="A517" s="9" t="n">
        <v>514</v>
      </c>
      <c r="B517" s="10" t="inlineStr">
        <is>
          <t xml:space="preserve">                sb = tb.Scrollbar(self._gen_fp_frame, orient="vertical", command=canvas.yview, bootstyle="round")</t>
        </is>
      </c>
    </row>
    <row r="518">
      <c r="A518" s="7" t="n">
        <v>515</v>
      </c>
      <c r="B518" s="8" t="inlineStr">
        <is>
          <t xml:space="preserve">                ff = tk.Frame(canvas, bg="#c8e6c9")</t>
        </is>
      </c>
    </row>
    <row r="519">
      <c r="A519" s="9" t="n">
        <v>516</v>
      </c>
      <c r="B519" s="10" t="inlineStr">
        <is>
          <t xml:space="preserve">                ff.bind("&lt;Configure&gt;", lambda e: canvas.configure(scrollregion=canvas.bbox("all")))</t>
        </is>
      </c>
    </row>
    <row r="520">
      <c r="A520" s="7" t="n">
        <v>517</v>
      </c>
      <c r="B520" s="8" t="inlineStr">
        <is>
          <t xml:space="preserve">                canvas.create_window((0,0), window=ff, anchor="nw", width=700)</t>
        </is>
      </c>
    </row>
    <row r="521">
      <c r="A521" s="9" t="n">
        <v>518</v>
      </c>
      <c r="B521" s="10" t="inlineStr">
        <is>
          <t xml:space="preserve">                canvas.configure(yscrollcommand=sb.set); canvas.pack(side="left",fill="both",expand=True); sb.pack(side="right",fill="y")</t>
        </is>
      </c>
    </row>
    <row r="522">
      <c r="A522" s="7" t="n">
        <v>519</v>
      </c>
      <c r="B522" s="8" t="inlineStr">
        <is>
          <t xml:space="preserve">                def _mw(e): canvas.yview_scroll(int(-1*(e.delta/120)),"units")</t>
        </is>
      </c>
    </row>
    <row r="523">
      <c r="A523" s="9" t="n">
        <v>520</v>
      </c>
      <c r="B523" s="10" t="inlineStr">
        <is>
          <t xml:space="preserve">                canvas.bind("&lt;MouseWheel&gt;",_mw); ff.bind("&lt;MouseWheel&gt;",_mw)</t>
        </is>
      </c>
    </row>
    <row r="524">
      <c r="A524" s="7" t="n">
        <v>521</v>
      </c>
      <c r="B524" s="8" t="inlineStr">
        <is>
          <t xml:space="preserve">                self._gen_folder_check_vars = {}</t>
        </is>
      </c>
    </row>
    <row r="525">
      <c r="A525" s="9" t="n">
        <v>522</v>
      </c>
      <c r="B525" s="10" t="inlineStr">
        <is>
          <t xml:space="preserve">                row, col = 0, 0</t>
        </is>
      </c>
    </row>
    <row r="526">
      <c r="A526" s="7" t="n">
        <v>523</v>
      </c>
      <c r="B526" s="8" t="inlineStr">
        <is>
          <t xml:space="preserve">                hist = self._load_json("folder_selection.json",{}).get("selected",[])</t>
        </is>
      </c>
    </row>
    <row r="527">
      <c r="A527" s="9" t="n">
        <v>524</v>
      </c>
      <c r="B527" s="10" t="inlineStr">
        <is>
          <t xml:space="preserve">                for p in pts:</t>
        </is>
      </c>
    </row>
    <row r="528">
      <c r="A528" s="7" t="n">
        <v>525</v>
      </c>
      <c r="B528" s="8" t="inlineStr">
        <is>
          <t xml:space="preserve">                    v = tk.BooleanVar(value=p["name"] in hist if hist else True)</t>
        </is>
      </c>
    </row>
    <row r="529">
      <c r="A529" s="9" t="n">
        <v>526</v>
      </c>
      <c r="B529" s="10" t="inlineStr">
        <is>
          <t xml:space="preserve">                    self._gen_folder_check_vars[p["name"]] = v</t>
        </is>
      </c>
    </row>
    <row r="530">
      <c r="A530" s="7" t="n">
        <v>527</v>
      </c>
      <c r="B530" s="8" t="inlineStr">
        <is>
          <t xml:space="preserve">                    tb.Checkbutton(ff, text=f"{p['name']}({p['count']})", variable=v).grid(row=row, column=col, sticky="w", padx=3)</t>
        </is>
      </c>
    </row>
    <row r="531">
      <c r="A531" s="9" t="n">
        <v>528</v>
      </c>
      <c r="B531" s="10" t="inlineStr">
        <is>
          <t xml:space="preserve">                    col += 1</t>
        </is>
      </c>
    </row>
    <row r="532">
      <c r="A532" s="7" t="n">
        <v>529</v>
      </c>
      <c r="B532" s="8" t="inlineStr">
        <is>
          <t xml:space="preserve">                    if col &gt;= 4: col = 0; row += 1</t>
        </is>
      </c>
    </row>
    <row r="533">
      <c r="A533" s="9" t="n">
        <v>530</v>
      </c>
      <c r="B533" s="10" t="inlineStr">
        <is>
          <t xml:space="preserve">                ctrl = tb.Frame(self._gen_fp_frame); ctrl.pack(fill="x", pady=4)</t>
        </is>
      </c>
    </row>
    <row r="534">
      <c r="A534" s="7" t="n">
        <v>531</v>
      </c>
      <c r="B534" s="8" t="inlineStr">
        <is>
          <t xml:space="preserve">                RoundedButton(ctrl, text="全选", command=lambda: [v.set(True) for v in self._gen_folder_check_vars.values()], width=100, height=34, bg_color="#e0e0e0", fg_color="#212529", hover_color="#d0e0ff", radius=10).pack(side="left", padx=2)</t>
        </is>
      </c>
    </row>
    <row r="535">
      <c r="A535" s="9" t="n">
        <v>532</v>
      </c>
      <c r="B535" s="10" t="inlineStr">
        <is>
          <t xml:space="preserve">                RoundedButton(ctrl, text="全不选", command=lambda: [v.set(False) for v in self._gen_folder_check_vars.values()], width=100, height=34, bg_color="#e0e0e0", fg_color="#212529", hover_color="#d0e0ff", radius=10).pack(side="left", padx=2)</t>
        </is>
      </c>
    </row>
    <row r="536">
      <c r="A536" s="7" t="n">
        <v>533</v>
      </c>
      <c r="B536" s="8" t="inlineStr">
        <is>
          <t xml:space="preserve">                RoundedButton(ctrl, text="刷新", command=self._refresh_gen_folders, width=100, height=34, bg_color="#e0e0e0", fg_color="#212529", hover_color="#d0e0ff", radius=10).pack(side="left", padx=2)</t>
        </is>
      </c>
    </row>
    <row r="537">
      <c r="A537" s="9" t="n">
        <v>534</v>
      </c>
      <c r="B537" s="10" t="inlineStr">
        <is>
          <t xml:space="preserve">        self._gen_fp_frame.pack(fill="x", padx=4, pady=4)</t>
        </is>
      </c>
    </row>
    <row r="538">
      <c r="A538" s="7" t="n">
        <v>535</v>
      </c>
      <c r="B538" s="8" t="inlineStr">
        <is>
          <t xml:space="preserve">        self._gen_fp.configure(text="素材文件夹")</t>
        </is>
      </c>
    </row>
    <row r="539">
      <c r="A539" s="9" t="n">
        <v>536</v>
      </c>
      <c r="B539" s="10" t="inlineStr">
        <is>
          <t xml:space="preserve">        self._gen_folder_visible = True</t>
        </is>
      </c>
    </row>
    <row r="540">
      <c r="A540" s="7" t="n">
        <v>537</v>
      </c>
      <c r="B540" s="8" t="inlineStr"/>
    </row>
    <row r="541">
      <c r="A541" s="9" t="n">
        <v>538</v>
      </c>
      <c r="B541" s="10" t="inlineStr">
        <is>
          <t xml:space="preserve">    def _refresh_gen_folders(self):</t>
        </is>
      </c>
    </row>
    <row r="542">
      <c r="A542" s="7" t="n">
        <v>539</v>
      </c>
      <c r="B542" s="8" t="inlineStr">
        <is>
          <t xml:space="preserve">        global _folder_cache</t>
        </is>
      </c>
    </row>
    <row r="543">
      <c r="A543" s="9" t="n">
        <v>540</v>
      </c>
      <c r="B543" s="10" t="inlineStr">
        <is>
          <t xml:space="preserve">        with _cache_lock: _folder_cache = None</t>
        </is>
      </c>
    </row>
    <row r="544">
      <c r="A544" s="7" t="n">
        <v>541</v>
      </c>
      <c r="B544" s="8" t="inlineStr">
        <is>
          <t xml:space="preserve">        self._gen_folder_ui_built = False</t>
        </is>
      </c>
    </row>
    <row r="545">
      <c r="A545" s="9" t="n">
        <v>542</v>
      </c>
      <c r="B545" s="10" t="inlineStr">
        <is>
          <t xml:space="preserve">        self._gen_folder_visible = False</t>
        </is>
      </c>
    </row>
    <row r="546">
      <c r="A546" s="7" t="n">
        <v>543</v>
      </c>
      <c r="B546" s="8" t="inlineStr">
        <is>
          <t xml:space="preserve">        self._toggle_gen_folders()</t>
        </is>
      </c>
    </row>
    <row r="547">
      <c r="A547" s="9" t="n">
        <v>544</v>
      </c>
      <c r="B547" s="10" t="inlineStr"/>
    </row>
    <row r="548">
      <c r="A548" s="7" t="n">
        <v>545</v>
      </c>
      <c r="B548" s="8" t="inlineStr">
        <is>
          <t xml:space="preserve">    def _toggle_folders(self):</t>
        </is>
      </c>
    </row>
    <row r="549">
      <c r="A549" s="9" t="n">
        <v>546</v>
      </c>
      <c r="B549" s="10" t="inlineStr">
        <is>
          <t xml:space="preserve">        """素材盘检索页 — 加载素材库"""</t>
        </is>
      </c>
    </row>
    <row r="550">
      <c r="A550" s="7" t="n">
        <v>547</v>
      </c>
      <c r="B550" s="8" t="inlineStr">
        <is>
          <t xml:space="preserve">        if self.folder_panel_visible:</t>
        </is>
      </c>
    </row>
    <row r="551">
      <c r="A551" s="9" t="n">
        <v>548</v>
      </c>
      <c r="B551" s="10" t="inlineStr">
        <is>
          <t xml:space="preserve">            self.fp_frame.pack_forget(); self.fp.configure(text="素材文件夹 (点击展开)"); self.folder_panel_visible = False; return</t>
        </is>
      </c>
    </row>
    <row r="552">
      <c r="A552" s="7" t="n">
        <v>549</v>
      </c>
      <c r="B552" s="8" t="inlineStr">
        <is>
          <t xml:space="preserve">        if not self._folder_ui_built:</t>
        </is>
      </c>
    </row>
    <row r="553">
      <c r="A553" s="9" t="n">
        <v>550</v>
      </c>
      <c r="B553" s="10" t="inlineStr">
        <is>
          <t xml:space="preserve">            self._folder_ui_built = True</t>
        </is>
      </c>
    </row>
    <row r="554">
      <c r="A554" s="7" t="n">
        <v>551</v>
      </c>
      <c r="B554" s="8" t="inlineStr">
        <is>
          <t xml:space="preserve">            for w in self.fp_frame.winfo_children(): w.destroy()</t>
        </is>
      </c>
    </row>
    <row r="555">
      <c r="A555" s="9" t="n">
        <v>552</v>
      </c>
      <c r="B555" s="10" t="inlineStr">
        <is>
          <t xml:space="preserve">            pts = _get_folders_fast()</t>
        </is>
      </c>
    </row>
    <row r="556">
      <c r="A556" s="7" t="n">
        <v>553</v>
      </c>
      <c r="B556" s="8" t="inlineStr">
        <is>
          <t xml:space="preserve">            if pts:</t>
        </is>
      </c>
    </row>
    <row r="557">
      <c r="A557" s="9" t="n">
        <v>554</v>
      </c>
      <c r="B557" s="10" t="inlineStr">
        <is>
          <t xml:space="preserve">                canvas = tk.Canvas(self.fp_frame, height=180, highlightthickness=0, bg="#c8e6c9")</t>
        </is>
      </c>
    </row>
    <row r="558">
      <c r="A558" s="7" t="n">
        <v>555</v>
      </c>
      <c r="B558" s="8" t="inlineStr">
        <is>
          <t xml:space="preserve">                sb = tb.Scrollbar(self.fp_frame, orient="vertical", command=canvas.yview, bootstyle="round")</t>
        </is>
      </c>
    </row>
    <row r="559">
      <c r="A559" s="9" t="n">
        <v>556</v>
      </c>
      <c r="B559" s="10" t="inlineStr">
        <is>
          <t xml:space="preserve">                ff = tk.Frame(canvas, bg="#c8e6c9")</t>
        </is>
      </c>
    </row>
    <row r="560">
      <c r="A560" s="7" t="n">
        <v>557</v>
      </c>
      <c r="B560" s="8" t="inlineStr">
        <is>
          <t xml:space="preserve">                ff.bind("&lt;Configure&gt;", lambda e: canvas.configure(scrollregion=canvas.bbox("all")))</t>
        </is>
      </c>
    </row>
    <row r="561">
      <c r="A561" s="9" t="n">
        <v>558</v>
      </c>
      <c r="B561" s="10" t="inlineStr">
        <is>
          <t xml:space="preserve">                canvas.create_window((0,0), window=ff, anchor="nw", width=700)</t>
        </is>
      </c>
    </row>
    <row r="562">
      <c r="A562" s="7" t="n">
        <v>559</v>
      </c>
      <c r="B562" s="8" t="inlineStr">
        <is>
          <t xml:space="preserve">                canvas.configure(yscrollcommand=sb.set); canvas.pack(side="left",fill="both",expand=True); sb.pack(side="right",fill="y")</t>
        </is>
      </c>
    </row>
    <row r="563">
      <c r="A563" s="9" t="n">
        <v>560</v>
      </c>
      <c r="B563" s="10" t="inlineStr">
        <is>
          <t xml:space="preserve">                def _mw(e): canvas.yview_scroll(int(-1*(e.delta/120)),"units")</t>
        </is>
      </c>
    </row>
    <row r="564">
      <c r="A564" s="7" t="n">
        <v>561</v>
      </c>
      <c r="B564" s="8" t="inlineStr">
        <is>
          <t xml:space="preserve">                canvas.bind("&lt;MouseWheel&gt;",_mw); ff.bind("&lt;MouseWheel&gt;",_mw)</t>
        </is>
      </c>
    </row>
    <row r="565">
      <c r="A565" s="9" t="n">
        <v>562</v>
      </c>
      <c r="B565" s="10" t="inlineStr">
        <is>
          <t xml:space="preserve">                self.folder_check_vars = {}</t>
        </is>
      </c>
    </row>
    <row r="566">
      <c r="A566" s="7" t="n">
        <v>563</v>
      </c>
      <c r="B566" s="8" t="inlineStr">
        <is>
          <t xml:space="preserve">                row, col = 0, 0</t>
        </is>
      </c>
    </row>
    <row r="567">
      <c r="A567" s="9" t="n">
        <v>564</v>
      </c>
      <c r="B567" s="10" t="inlineStr">
        <is>
          <t xml:space="preserve">                hist = self._load_json("folder_selection.json",{}).get("selected",[])</t>
        </is>
      </c>
    </row>
    <row r="568">
      <c r="A568" s="7" t="n">
        <v>565</v>
      </c>
      <c r="B568" s="8" t="inlineStr">
        <is>
          <t xml:space="preserve">                for p in pts:</t>
        </is>
      </c>
    </row>
    <row r="569">
      <c r="A569" s="9" t="n">
        <v>566</v>
      </c>
      <c r="B569" s="10" t="inlineStr">
        <is>
          <t xml:space="preserve">                    v = tk.BooleanVar(value=p["name"] in hist if hist else True)</t>
        </is>
      </c>
    </row>
    <row r="570">
      <c r="A570" s="7" t="n">
        <v>567</v>
      </c>
      <c r="B570" s="8" t="inlineStr">
        <is>
          <t xml:space="preserve">                    self.folder_check_vars[p["name"]] = v</t>
        </is>
      </c>
    </row>
    <row r="571">
      <c r="A571" s="9" t="n">
        <v>568</v>
      </c>
      <c r="B571" s="10" t="inlineStr">
        <is>
          <t xml:space="preserve">                    tb.Checkbutton(ff, text=f"{p['name']}({p['count']})", variable=v).grid(row=row, column=col, sticky="w", padx=3)</t>
        </is>
      </c>
    </row>
    <row r="572">
      <c r="A572" s="7" t="n">
        <v>569</v>
      </c>
      <c r="B572" s="8" t="inlineStr">
        <is>
          <t xml:space="preserve">                    col += 1</t>
        </is>
      </c>
    </row>
    <row r="573">
      <c r="A573" s="9" t="n">
        <v>570</v>
      </c>
      <c r="B573" s="10" t="inlineStr">
        <is>
          <t xml:space="preserve">                    if col &gt;= 4: col = 0; row += 1</t>
        </is>
      </c>
    </row>
    <row r="574">
      <c r="A574" s="7" t="n">
        <v>571</v>
      </c>
      <c r="B574" s="8" t="inlineStr">
        <is>
          <t xml:space="preserve">                ctrl = tb.Frame(self.fp_frame); ctrl.pack(fill="x", pady=4)</t>
        </is>
      </c>
    </row>
    <row r="575">
      <c r="A575" s="9" t="n">
        <v>572</v>
      </c>
      <c r="B575" s="10" t="inlineStr">
        <is>
          <t xml:space="preserve">                RoundedButton(ctrl, text="全选", command=lambda: [v.set(True) for v in self.folder_check_vars.values()], width=100, height=34, bg_color="#e0e0e0", fg_color="#212529", hover_color="#d0e0ff", radius=10).pack(side="left", padx=2)</t>
        </is>
      </c>
    </row>
    <row r="576">
      <c r="A576" s="7" t="n">
        <v>573</v>
      </c>
      <c r="B576" s="8" t="inlineStr">
        <is>
          <t xml:space="preserve">                RoundedButton(ctrl, text="全不选", command=lambda: [v.set(False) for v in self.folder_check_vars.values()], width=100, height=34, bg_color="#e0e0e0", fg_color="#212529", hover_color="#d0e0ff", radius=10).pack(side="left", padx=2)</t>
        </is>
      </c>
    </row>
    <row r="577">
      <c r="A577" s="9" t="n">
        <v>574</v>
      </c>
      <c r="B577" s="10" t="inlineStr">
        <is>
          <t xml:space="preserve">                RoundedButton(ctrl, text="刷新", command=self._refresh_folders, width=100, height=34, bg_color="#e0e0e0", fg_color="#212529", hover_color="#d0e0ff", radius=10).pack(side="left", padx=2)</t>
        </is>
      </c>
    </row>
    <row r="578">
      <c r="A578" s="7" t="n">
        <v>575</v>
      </c>
      <c r="B578" s="8" t="inlineStr">
        <is>
          <t xml:space="preserve">        self.fp_frame.pack(fill="x", padx=4, pady=4); self.fp.configure(text="素材文件夹"); self.folder_panel_visible = True</t>
        </is>
      </c>
    </row>
    <row r="579">
      <c r="A579" s="9" t="n">
        <v>576</v>
      </c>
      <c r="B579" s="10" t="inlineStr"/>
    </row>
    <row r="580">
      <c r="A580" s="7" t="n">
        <v>577</v>
      </c>
      <c r="B580" s="8" t="inlineStr">
        <is>
          <t xml:space="preserve">    def _refresh_folders(self):</t>
        </is>
      </c>
    </row>
    <row r="581">
      <c r="A581" s="9" t="n">
        <v>578</v>
      </c>
      <c r="B581" s="10" t="inlineStr">
        <is>
          <t xml:space="preserve">        global _folder_cache</t>
        </is>
      </c>
    </row>
    <row r="582">
      <c r="A582" s="7" t="n">
        <v>579</v>
      </c>
      <c r="B582" s="8" t="inlineStr">
        <is>
          <t xml:space="preserve">        with _cache_lock: _folder_cache = None</t>
        </is>
      </c>
    </row>
    <row r="583">
      <c r="A583" s="9" t="n">
        <v>580</v>
      </c>
      <c r="B583" s="10" t="inlineStr">
        <is>
          <t xml:space="preserve">        with _ui_state_lock:</t>
        </is>
      </c>
    </row>
    <row r="584">
      <c r="A584" s="7" t="n">
        <v>581</v>
      </c>
      <c r="B584" s="8" t="inlineStr">
        <is>
          <t xml:space="preserve">            self._folder_ui_built = False</t>
        </is>
      </c>
    </row>
    <row r="585">
      <c r="A585" s="9" t="n">
        <v>582</v>
      </c>
      <c r="B585" s="10" t="inlineStr">
        <is>
          <t xml:space="preserve">            self.folder_panel_visible = False</t>
        </is>
      </c>
    </row>
    <row r="586">
      <c r="A586" s="7" t="n">
        <v>583</v>
      </c>
      <c r="B586" s="8" t="inlineStr">
        <is>
          <t xml:space="preserve">        self._toggle_folders()</t>
        </is>
      </c>
    </row>
    <row r="587">
      <c r="A587" s="9" t="n">
        <v>584</v>
      </c>
      <c r="B587" s="10" t="inlineStr"/>
    </row>
    <row r="588">
      <c r="A588" s="7" t="n">
        <v>585</v>
      </c>
      <c r="B588" s="8" t="inlineStr">
        <is>
          <t xml:space="preserve">    def _toggle_batch_folders(self):</t>
        </is>
      </c>
    </row>
    <row r="589">
      <c r="A589" s="9" t="n">
        <v>586</v>
      </c>
      <c r="B589" s="10" t="inlineStr">
        <is>
          <t xml:space="preserve">        if self.batch_fp_visible:</t>
        </is>
      </c>
    </row>
    <row r="590">
      <c r="A590" s="7" t="n">
        <v>587</v>
      </c>
      <c r="B590" s="8" t="inlineStr">
        <is>
          <t xml:space="preserve">            self.batch_folder_frame.pack_forget(); self.batch_fp_visible = False; return</t>
        </is>
      </c>
    </row>
    <row r="591">
      <c r="A591" s="9" t="n">
        <v>588</v>
      </c>
      <c r="B591" s="10" t="inlineStr">
        <is>
          <t xml:space="preserve">        for w in self.batch_folder_frame.winfo_children(): w.destroy()</t>
        </is>
      </c>
    </row>
    <row r="592">
      <c r="A592" s="7" t="n">
        <v>589</v>
      </c>
      <c r="B592" s="8" t="inlineStr">
        <is>
          <t xml:space="preserve">        pts = _get_folders_fast()</t>
        </is>
      </c>
    </row>
    <row r="593">
      <c r="A593" s="9" t="n">
        <v>590</v>
      </c>
      <c r="B593" s="10" t="inlineStr">
        <is>
          <t xml:space="preserve">        if pts:</t>
        </is>
      </c>
    </row>
    <row r="594">
      <c r="A594" s="7" t="n">
        <v>591</v>
      </c>
      <c r="B594" s="8" t="inlineStr">
        <is>
          <t xml:space="preserve">            canvas = tk.Canvas(self.batch_folder_frame, height=120, highlightthickness=0, bg="#c8e6c9")</t>
        </is>
      </c>
    </row>
    <row r="595">
      <c r="A595" s="9" t="n">
        <v>592</v>
      </c>
      <c r="B595" s="10" t="inlineStr">
        <is>
          <t xml:space="preserve">            sb = tb.Scrollbar(self.batch_folder_frame, orient="vertical", command=canvas.yview, bootstyle="round")</t>
        </is>
      </c>
    </row>
    <row r="596">
      <c r="A596" s="7" t="n">
        <v>593</v>
      </c>
      <c r="B596" s="8" t="inlineStr">
        <is>
          <t xml:space="preserve">            ff = tk.Frame(canvas, bg="#c8e6c9")</t>
        </is>
      </c>
    </row>
    <row r="597">
      <c r="A597" s="9" t="n">
        <v>594</v>
      </c>
      <c r="B597" s="10" t="inlineStr">
        <is>
          <t xml:space="preserve">            ff.bind("&lt;Configure&gt;", lambda e: canvas.configure(scrollregion=canvas.bbox("all")))</t>
        </is>
      </c>
    </row>
    <row r="598">
      <c r="A598" s="7" t="n">
        <v>595</v>
      </c>
      <c r="B598" s="8" t="inlineStr">
        <is>
          <t xml:space="preserve">            canvas.create_window((0,0), window=ff, anchor="nw", width=700)</t>
        </is>
      </c>
    </row>
    <row r="599">
      <c r="A599" s="9" t="n">
        <v>596</v>
      </c>
      <c r="B599" s="10" t="inlineStr">
        <is>
          <t xml:space="preserve">            canvas.configure(yscrollcommand=sb.set); canvas.pack(side="left",fill="both",expand=True); sb.pack(side="right",fill="y")</t>
        </is>
      </c>
    </row>
    <row r="600">
      <c r="A600" s="7" t="n">
        <v>597</v>
      </c>
      <c r="B600" s="8" t="inlineStr">
        <is>
          <t xml:space="preserve">            def _mw(e): canvas.yview_scroll(int(-1*(e.delta/120)),"units")</t>
        </is>
      </c>
    </row>
    <row r="601">
      <c r="A601" s="9" t="n">
        <v>598</v>
      </c>
      <c r="B601" s="10" t="inlineStr">
        <is>
          <t xml:space="preserve">            canvas.bind("&lt;MouseWheel&gt;",_mw); ff.bind("&lt;MouseWheel&gt;",_mw)</t>
        </is>
      </c>
    </row>
    <row r="602">
      <c r="A602" s="7" t="n">
        <v>599</v>
      </c>
      <c r="B602" s="8" t="inlineStr">
        <is>
          <t xml:space="preserve">            self.batch_folder_vars = {}; row,col=0,0</t>
        </is>
      </c>
    </row>
    <row r="603">
      <c r="A603" s="9" t="n">
        <v>600</v>
      </c>
      <c r="B603" s="10" t="inlineStr">
        <is>
          <t xml:space="preserve">            for p in pts:</t>
        </is>
      </c>
    </row>
    <row r="604">
      <c r="A604" s="7" t="n">
        <v>601</v>
      </c>
      <c r="B604" s="8" t="inlineStr">
        <is>
          <t xml:space="preserve">                v = tk.BooleanVar(value=True); self.batch_folder_vars[p["name"]]=v</t>
        </is>
      </c>
    </row>
    <row r="605">
      <c r="A605" s="9" t="n">
        <v>602</v>
      </c>
      <c r="B605" s="10" t="inlineStr">
        <is>
          <t xml:space="preserve">                tb.Checkbutton(ff, text=f"{p['name']}({p['count']})", variable=v).grid(row=row,column=col,sticky="w",padx=3)</t>
        </is>
      </c>
    </row>
    <row r="606">
      <c r="A606" s="7" t="n">
        <v>603</v>
      </c>
      <c r="B606" s="8" t="inlineStr">
        <is>
          <t xml:space="preserve">                col+=1</t>
        </is>
      </c>
    </row>
    <row r="607">
      <c r="A607" s="9" t="n">
        <v>604</v>
      </c>
      <c r="B607" s="10" t="inlineStr">
        <is>
          <t xml:space="preserve">                if col&gt;=4: col=0; row+=1</t>
        </is>
      </c>
    </row>
    <row r="608">
      <c r="A608" s="7" t="n">
        <v>605</v>
      </c>
      <c r="B608" s="8" t="inlineStr">
        <is>
          <t xml:space="preserve">            ctrl = tb.Frame(self.batch_folder_frame); ctrl.pack(fill="x",pady=2)</t>
        </is>
      </c>
    </row>
    <row r="609">
      <c r="A609" s="9" t="n">
        <v>606</v>
      </c>
      <c r="B609" s="10" t="inlineStr">
        <is>
          <t xml:space="preserve">            RoundedButton(ctrl, text="全选", command=lambda: [v.set(True) for v in self.batch_folder_vars.values()], width=100, height=34, bg_color="#e0e0e0", fg_color="#212529", hover_color="#d0e0ff", radius=10).pack(side="left",padx=2)</t>
        </is>
      </c>
    </row>
    <row r="610">
      <c r="A610" s="7" t="n">
        <v>607</v>
      </c>
      <c r="B610" s="8" t="inlineStr">
        <is>
          <t xml:space="preserve">            RoundedButton(ctrl, text="全不选", command=lambda: [v.set(False) for v in self.batch_folder_vars.values()], width=100, height=34, bg_color="#e0e0e0", fg_color="#212529", hover_color="#d0e0ff", radius=10).pack(side="left",padx=2)</t>
        </is>
      </c>
    </row>
    <row r="611">
      <c r="A611" s="9" t="n">
        <v>608</v>
      </c>
      <c r="B611" s="10" t="inlineStr">
        <is>
          <t xml:space="preserve">        self.batch_folder_frame.pack(fill="x"); self.batch_fp_visible = True</t>
        </is>
      </c>
    </row>
    <row r="612">
      <c r="A612" s="7" t="n">
        <v>609</v>
      </c>
      <c r="B612" s="8" t="inlineStr"/>
    </row>
    <row r="613">
      <c r="A613" s="9" t="n">
        <v>610</v>
      </c>
      <c r="B613" s="10" t="inlineStr">
        <is>
          <t xml:space="preserve">    def _on_usage(self):</t>
        </is>
      </c>
    </row>
    <row r="614">
      <c r="A614" s="7" t="n">
        <v>611</v>
      </c>
      <c r="B614" s="8" t="inlineStr">
        <is>
          <t xml:space="preserve">        """素材使用统计"""</t>
        </is>
      </c>
    </row>
    <row r="615">
      <c r="A615" s="9" t="n">
        <v>612</v>
      </c>
      <c r="B615" s="10" t="inlineStr">
        <is>
          <t xml:space="preserve">        try:</t>
        </is>
      </c>
    </row>
    <row r="616">
      <c r="A616" s="7" t="n">
        <v>613</v>
      </c>
      <c r="B616" s="8" t="inlineStr">
        <is>
          <t xml:space="preserve">            self._show_usage_stats()</t>
        </is>
      </c>
    </row>
    <row r="617">
      <c r="A617" s="9" t="n">
        <v>614</v>
      </c>
      <c r="B617" s="10" t="inlineStr">
        <is>
          <t xml:space="preserve">        except Exception:</t>
        </is>
      </c>
    </row>
    <row r="618">
      <c r="A618" s="7" t="n">
        <v>615</v>
      </c>
      <c r="B618" s="8" t="inlineStr">
        <is>
          <t xml:space="preserve">            pass</t>
        </is>
      </c>
    </row>
    <row r="619">
      <c r="A619" s="9" t="n">
        <v>616</v>
      </c>
      <c r="B619" s="10" t="inlineStr">
        <is>
          <t xml:space="preserve">    # ═══════════════ TAB: 素材盘检索 (融合素材库+全盘检索+标注+学习日志) ═══════════════</t>
        </is>
      </c>
    </row>
    <row r="620">
      <c r="A620" s="7" t="n">
        <v>617</v>
      </c>
      <c r="B620" s="8" t="inlineStr"/>
    </row>
    <row r="621">
      <c r="A621" s="9" t="n">
        <v>618</v>
      </c>
      <c r="B621" s="10" t="inlineStr">
        <is>
          <t xml:space="preserve">    # ═══════════════ TAB: 素材盘检索 (v11.4 横向工具栏+左侧导航+右侧面板) ═══════════════</t>
        </is>
      </c>
    </row>
    <row r="622">
      <c r="A622" s="7" t="n">
        <v>619</v>
      </c>
      <c r="B622" s="8" t="inlineStr">
        <is>
          <t xml:space="preserve">    def _build_material_panel(self):</t>
        </is>
      </c>
    </row>
    <row r="623">
      <c r="A623" s="9" t="n">
        <v>620</v>
      </c>
      <c r="B623" s="10" t="inlineStr">
        <is>
          <t xml:space="preserve">        main_frame = tb.Frame(self.nb, padding=4)</t>
        </is>
      </c>
    </row>
    <row r="624">
      <c r="A624" s="7" t="n">
        <v>621</v>
      </c>
      <c r="B624" s="8" t="inlineStr">
        <is>
          <t xml:space="preserve">        self.nb.add(main_frame, text="素材盘检索")</t>
        </is>
      </c>
    </row>
    <row r="625">
      <c r="A625" s="9" t="n">
        <v>622</v>
      </c>
      <c r="B625" s="10" t="inlineStr"/>
    </row>
    <row r="626">
      <c r="A626" s="7" t="n">
        <v>623</v>
      </c>
      <c r="B626" s="8" t="inlineStr">
        <is>
          <t xml:space="preserve">        # ═══════ TOP: 横向工具栏 ═══════</t>
        </is>
      </c>
    </row>
    <row r="627">
      <c r="A627" s="9" t="n">
        <v>624</v>
      </c>
      <c r="B627" s="10" t="inlineStr">
        <is>
          <t xml:space="preserve">        top_bar = tb.Frame(main_frame)</t>
        </is>
      </c>
    </row>
    <row r="628">
      <c r="A628" s="7" t="n">
        <v>625</v>
      </c>
      <c r="B628" s="8" t="inlineStr">
        <is>
          <t xml:space="preserve">        top_bar.pack(fill="x", pady=(0,4))</t>
        </is>
      </c>
    </row>
    <row r="629">
      <c r="A629" s="9" t="n">
        <v>626</v>
      </c>
      <c r="B629" s="10" t="inlineStr"/>
    </row>
    <row r="630">
      <c r="A630" s="7" t="n">
        <v>627</v>
      </c>
      <c r="B630" s="8" t="inlineStr">
        <is>
          <t xml:space="preserve">        # 第一行</t>
        </is>
      </c>
    </row>
    <row r="631">
      <c r="A631" s="9" t="n">
        <v>628</v>
      </c>
      <c r="B631" s="10" t="inlineStr">
        <is>
          <t xml:space="preserve">        row1 = tb.Frame(top_bar); row1.pack(fill="x", pady=1)</t>
        </is>
      </c>
    </row>
    <row r="632">
      <c r="A632" s="7" t="n">
        <v>629</v>
      </c>
      <c r="B632" s="8" t="inlineStr">
        <is>
          <t xml:space="preserve">        RoundedButton(row1, text="浏览文件夹", command=self._disk_browse,</t>
        </is>
      </c>
    </row>
    <row r="633">
      <c r="A633" s="9" t="n">
        <v>630</v>
      </c>
      <c r="B633" s="10" t="inlineStr">
        <is>
          <t xml:space="preserve">                     height=30, bg_color="#e0e0e0", fg_color="#212529",</t>
        </is>
      </c>
    </row>
    <row r="634">
      <c r="A634" s="7" t="n">
        <v>631</v>
      </c>
      <c r="B634" s="8" t="inlineStr">
        <is>
          <t xml:space="preserve">                     hover_color="#d0e0ff", radius=6).pack(side="left", padx=2)</t>
        </is>
      </c>
    </row>
    <row r="635">
      <c r="A635" s="9" t="n">
        <v>632</v>
      </c>
      <c r="B635" s="10" t="inlineStr">
        <is>
          <t xml:space="preserve">        RoundedButton(row1, text="快速扫描常用位置", command=self._disk_quick,</t>
        </is>
      </c>
    </row>
    <row r="636">
      <c r="A636" s="7" t="n">
        <v>633</v>
      </c>
      <c r="B636" s="8" t="inlineStr">
        <is>
          <t xml:space="preserve">                     height=30, bg_color="#e0e0e0", fg_color="#212529",</t>
        </is>
      </c>
    </row>
    <row r="637">
      <c r="A637" s="9" t="n">
        <v>634</v>
      </c>
      <c r="B637" s="10" t="inlineStr">
        <is>
          <t xml:space="preserve">                     hover_color="#d0e0ff", radius=6).pack(side="left", padx=2)</t>
        </is>
      </c>
    </row>
    <row r="638">
      <c r="A638" s="7" t="n">
        <v>635</v>
      </c>
      <c r="B638" s="8" t="inlineStr">
        <is>
          <t xml:space="preserve">        RoundedButton(row1, text="全盘素材扫描", command=self._on_scan_all,</t>
        </is>
      </c>
    </row>
    <row r="639">
      <c r="A639" s="9" t="n">
        <v>636</v>
      </c>
      <c r="B639" s="10" t="inlineStr">
        <is>
          <t xml:space="preserve">                     height=30, bg_color="#28a745", fg_color="#ffffff",</t>
        </is>
      </c>
    </row>
    <row r="640">
      <c r="A640" s="7" t="n">
        <v>637</v>
      </c>
      <c r="B640" s="8" t="inlineStr">
        <is>
          <t xml:space="preserve">                     hover_color="#218838", radius=6).pack(side="left", padx=2)</t>
        </is>
      </c>
    </row>
    <row r="641">
      <c r="A641" s="9" t="n">
        <v>638</v>
      </c>
      <c r="B641" s="10" t="inlineStr">
        <is>
          <t xml:space="preserve">        RoundedButton(row1, text="重建FAISS索引", command=self._rebuild_faiss,</t>
        </is>
      </c>
    </row>
    <row r="642">
      <c r="A642" s="7" t="n">
        <v>639</v>
      </c>
      <c r="B642" s="8" t="inlineStr">
        <is>
          <t xml:space="preserve">                     height=30, bg_color="#6f42c1", fg_color="#ffffff",</t>
        </is>
      </c>
    </row>
    <row r="643">
      <c r="A643" s="9" t="n">
        <v>640</v>
      </c>
      <c r="B643" s="10" t="inlineStr">
        <is>
          <t xml:space="preserve">                     hover_color="#5a32a3", radius=6).pack(side="left", padx=2)</t>
        </is>
      </c>
    </row>
    <row r="644">
      <c r="A644" s="7" t="n">
        <v>641</v>
      </c>
      <c r="B644" s="8" t="inlineStr">
        <is>
          <t xml:space="preserve">        RoundedButton(row1, text="刷新统计", command=self._on_refresh_lib,</t>
        </is>
      </c>
    </row>
    <row r="645">
      <c r="A645" s="9" t="n">
        <v>642</v>
      </c>
      <c r="B645" s="10" t="inlineStr">
        <is>
          <t xml:space="preserve">                     height=30, bg_color="#0d6efd", fg_color="#ffffff",</t>
        </is>
      </c>
    </row>
    <row r="646">
      <c r="A646" s="7" t="n">
        <v>643</v>
      </c>
      <c r="B646" s="8" t="inlineStr">
        <is>
          <t xml:space="preserve">                     hover_color="#0b5ed7", radius=6).pack(side="left", padx=2)</t>
        </is>
      </c>
    </row>
    <row r="647">
      <c r="A647" s="9" t="n">
        <v>644</v>
      </c>
      <c r="B647" s="10" t="inlineStr">
        <is>
          <t xml:space="preserve">        RoundedButton(row1, text="清除缓存", command=self._clear_lib_cache,</t>
        </is>
      </c>
    </row>
    <row r="648">
      <c r="A648" s="7" t="n">
        <v>645</v>
      </c>
      <c r="B648" s="8" t="inlineStr">
        <is>
          <t xml:space="preserve">                     height=30, bg_color="#e0e0e0", fg_color="#212529",</t>
        </is>
      </c>
    </row>
    <row r="649">
      <c r="A649" s="9" t="n">
        <v>646</v>
      </c>
      <c r="B649" s="10" t="inlineStr">
        <is>
          <t xml:space="preserve">                     hover_color="#d0e0ff", radius=6).pack(side="left", padx=2)</t>
        </is>
      </c>
    </row>
    <row r="650">
      <c r="A650" s="7" t="n">
        <v>647</v>
      </c>
      <c r="B650" s="8" t="inlineStr"/>
    </row>
    <row r="651">
      <c r="A651" s="9" t="n">
        <v>648</v>
      </c>
      <c r="B651" s="10" t="inlineStr">
        <is>
          <t xml:space="preserve">        self.disk_status = tb.Label(top_bar, text="就绪", font=("Microsoft YaHei",9),</t>
        </is>
      </c>
    </row>
    <row r="652">
      <c r="A652" s="7" t="n">
        <v>649</v>
      </c>
      <c r="B652" s="8" t="inlineStr">
        <is>
          <t xml:space="preserve">                                     foreground="#6d6d6d")</t>
        </is>
      </c>
    </row>
    <row r="653">
      <c r="A653" s="9" t="n">
        <v>650</v>
      </c>
      <c r="B653" s="10" t="inlineStr">
        <is>
          <t xml:space="preserve">        self.disk_status.pack(side="right", padx=6)</t>
        </is>
      </c>
    </row>
    <row r="654">
      <c r="A654" s="7" t="n">
        <v>651</v>
      </c>
      <c r="B654" s="8" t="inlineStr"/>
    </row>
    <row r="655">
      <c r="A655" s="9" t="n">
        <v>652</v>
      </c>
      <c r="B655" s="10" t="inlineStr">
        <is>
          <t xml:space="preserve">        # ═══════ BOTTOM: 左右分栏 ═══════</t>
        </is>
      </c>
    </row>
    <row r="656">
      <c r="A656" s="7" t="n">
        <v>653</v>
      </c>
      <c r="B656" s="8" t="inlineStr">
        <is>
          <t xml:space="preserve">        body_frame = tb.Frame(main_frame)</t>
        </is>
      </c>
    </row>
    <row r="657">
      <c r="A657" s="9" t="n">
        <v>654</v>
      </c>
      <c r="B657" s="10" t="inlineStr">
        <is>
          <t xml:space="preserve">        body_frame.pack(fill="both", expand=True)</t>
        </is>
      </c>
    </row>
    <row r="658">
      <c r="A658" s="7" t="n">
        <v>655</v>
      </c>
      <c r="B658" s="8" t="inlineStr"/>
    </row>
    <row r="659">
      <c r="A659" s="9" t="n">
        <v>656</v>
      </c>
      <c r="B659" s="10" t="inlineStr">
        <is>
          <t xml:space="preserve">        # 左侧导航 (Listbox 风格)</t>
        </is>
      </c>
    </row>
    <row r="660">
      <c r="A660" s="7" t="n">
        <v>657</v>
      </c>
      <c r="B660" s="8" t="inlineStr">
        <is>
          <t xml:space="preserve">        left_nav = tb.Frame(body_frame, width=140)</t>
        </is>
      </c>
    </row>
    <row r="661">
      <c r="A661" s="9" t="n">
        <v>658</v>
      </c>
      <c r="B661" s="10" t="inlineStr">
        <is>
          <t xml:space="preserve">        left_nav.pack(side="left", fill="y", padx=(0,4))</t>
        </is>
      </c>
    </row>
    <row r="662">
      <c r="A662" s="7" t="n">
        <v>659</v>
      </c>
      <c r="B662" s="8" t="inlineStr">
        <is>
          <t xml:space="preserve">        left_nav.pack_propagate(False)</t>
        </is>
      </c>
    </row>
    <row r="663">
      <c r="A663" s="9" t="n">
        <v>660</v>
      </c>
      <c r="B663" s="10" t="inlineStr"/>
    </row>
    <row r="664">
      <c r="A664" s="7" t="n">
        <v>661</v>
      </c>
      <c r="B664" s="8" t="inlineStr">
        <is>
          <t xml:space="preserve">        # 右侧内容区</t>
        </is>
      </c>
    </row>
    <row r="665">
      <c r="A665" s="9" t="n">
        <v>662</v>
      </c>
      <c r="B665" s="10" t="inlineStr">
        <is>
          <t xml:space="preserve">        self._material_right = tb.Frame(body_frame)</t>
        </is>
      </c>
    </row>
    <row r="666">
      <c r="A666" s="7" t="n">
        <v>663</v>
      </c>
      <c r="B666" s="8" t="inlineStr">
        <is>
          <t xml:space="preserve">        self._material_right.pack(side="right", fill="both", expand=True)</t>
        </is>
      </c>
    </row>
    <row r="667">
      <c r="A667" s="9" t="n">
        <v>664</v>
      </c>
      <c r="B667" s="10" t="inlineStr"/>
    </row>
    <row r="668">
      <c r="A668" s="7" t="n">
        <v>665</v>
      </c>
      <c r="B668" s="8" t="inlineStr">
        <is>
          <t xml:space="preserve">        # 预构建四个面板</t>
        </is>
      </c>
    </row>
    <row r="669">
      <c r="A669" s="9" t="n">
        <v>666</v>
      </c>
      <c r="B669" s="10" t="inlineStr">
        <is>
          <t xml:space="preserve">        self._panel_video = tb.Frame(self._material_right)</t>
        </is>
      </c>
    </row>
    <row r="670">
      <c r="A670" s="7" t="n">
        <v>667</v>
      </c>
      <c r="B670" s="8" t="inlineStr">
        <is>
          <t xml:space="preserve">        self._panel_libstats = tb.Frame(self._material_right)</t>
        </is>
      </c>
    </row>
    <row r="671">
      <c r="A671" s="9" t="n">
        <v>668</v>
      </c>
      <c r="B671" s="10" t="inlineStr">
        <is>
          <t xml:space="preserve">        self._panel_anno = tb.Frame(self._material_right)</t>
        </is>
      </c>
    </row>
    <row r="672">
      <c r="A672" s="7" t="n">
        <v>669</v>
      </c>
      <c r="B672" s="8" t="inlineStr">
        <is>
          <t xml:space="preserve">        self._panel_learn = tb.Frame(self._material_right)</t>
        </is>
      </c>
    </row>
    <row r="673">
      <c r="A673" s="9" t="n">
        <v>670</v>
      </c>
      <c r="B673" s="10" t="inlineStr"/>
    </row>
    <row r="674">
      <c r="A674" s="7" t="n">
        <v>671</v>
      </c>
      <c r="B674" s="8" t="inlineStr">
        <is>
          <t xml:space="preserve">        self._build_video_preview_panel(self._panel_video)</t>
        </is>
      </c>
    </row>
    <row r="675">
      <c r="A675" s="9" t="n">
        <v>672</v>
      </c>
      <c r="B675" s="10" t="inlineStr">
        <is>
          <t xml:space="preserve">        self._build_library_stats_panel(self._panel_libstats)</t>
        </is>
      </c>
    </row>
    <row r="676">
      <c r="A676" s="7" t="n">
        <v>673</v>
      </c>
      <c r="B676" s="8" t="inlineStr">
        <is>
          <t xml:space="preserve">        self._build_frame_annotation_panel(self._panel_anno)</t>
        </is>
      </c>
    </row>
    <row r="677">
      <c r="A677" s="9" t="n">
        <v>674</v>
      </c>
      <c r="B677" s="10" t="inlineStr">
        <is>
          <t xml:space="preserve">        self._build_learning_log_panel(self._panel_learn)</t>
        </is>
      </c>
    </row>
    <row r="678">
      <c r="A678" s="7" t="n">
        <v>675</v>
      </c>
      <c r="B678" s="8" t="inlineStr"/>
    </row>
    <row r="679">
      <c r="A679" s="9" t="n">
        <v>676</v>
      </c>
      <c r="B679" s="10" t="inlineStr">
        <is>
          <t xml:space="preserve">        # 导航按钮</t>
        </is>
      </c>
    </row>
    <row r="680">
      <c r="A680" s="7" t="n">
        <v>677</v>
      </c>
      <c r="B680" s="8" t="inlineStr">
        <is>
          <t xml:space="preserve">        self._nav_btns = {}</t>
        </is>
      </c>
    </row>
    <row r="681">
      <c r="A681" s="9" t="n">
        <v>678</v>
      </c>
      <c r="B681" s="10" t="inlineStr">
        <is>
          <t xml:space="preserve">        nav_items = [</t>
        </is>
      </c>
    </row>
    <row r="682">
      <c r="A682" s="7" t="n">
        <v>679</v>
      </c>
      <c r="B682" s="8" t="inlineStr">
        <is>
          <t xml:space="preserve">            ("视频预览", self._panel_video),</t>
        </is>
      </c>
    </row>
    <row r="683">
      <c r="A683" s="9" t="n">
        <v>680</v>
      </c>
      <c r="B683" s="10" t="inlineStr">
        <is>
          <t xml:space="preserve">            ("素材库统计", self._panel_libstats),</t>
        </is>
      </c>
    </row>
    <row r="684">
      <c r="A684" s="7" t="n">
        <v>681</v>
      </c>
      <c r="B684" s="8" t="inlineStr">
        <is>
          <t xml:space="preserve">            ("帧级标注", self._panel_anno),</t>
        </is>
      </c>
    </row>
    <row r="685">
      <c r="A685" s="9" t="n">
        <v>682</v>
      </c>
      <c r="B685" s="10" t="inlineStr">
        <is>
          <t xml:space="preserve">            ("学习日志", self._panel_learn),</t>
        </is>
      </c>
    </row>
    <row r="686">
      <c r="A686" s="7" t="n">
        <v>683</v>
      </c>
      <c r="B686" s="8" t="inlineStr">
        <is>
          <t xml:space="preserve">        ]</t>
        </is>
      </c>
    </row>
    <row r="687">
      <c r="A687" s="9" t="n">
        <v>684</v>
      </c>
      <c r="B687" s="10" t="inlineStr">
        <is>
          <t xml:space="preserve">        for name, panel in nav_items:</t>
        </is>
      </c>
    </row>
    <row r="688">
      <c r="A688" s="7" t="n">
        <v>685</v>
      </c>
      <c r="B688" s="8" t="inlineStr">
        <is>
          <t xml:space="preserve">            btn = RoundedButton(left_nav, text=name,</t>
        </is>
      </c>
    </row>
    <row r="689">
      <c r="A689" s="9" t="n">
        <v>686</v>
      </c>
      <c r="B689" s="10" t="inlineStr">
        <is>
          <t xml:space="preserve">                              command=lambda p=panel: self._switch_material_panel(p),</t>
        </is>
      </c>
    </row>
    <row r="690">
      <c r="A690" s="7" t="n">
        <v>687</v>
      </c>
      <c r="B690" s="8" t="inlineStr">
        <is>
          <t xml:space="preserve">                              height=36, bg_color="#e9ecef", fg_color="#1b5e20",</t>
        </is>
      </c>
    </row>
    <row r="691">
      <c r="A691" s="9" t="n">
        <v>688</v>
      </c>
      <c r="B691" s="10" t="inlineStr">
        <is>
          <t xml:space="preserve">                              hover_color="#c8e6c9", radius=6)</t>
        </is>
      </c>
    </row>
    <row r="692">
      <c r="A692" s="7" t="n">
        <v>689</v>
      </c>
      <c r="B692" s="8" t="inlineStr">
        <is>
          <t xml:space="preserve">            btn.pack(fill="x", padx=4, pady=2)</t>
        </is>
      </c>
    </row>
    <row r="693">
      <c r="A693" s="9" t="n">
        <v>690</v>
      </c>
      <c r="B693" s="10" t="inlineStr">
        <is>
          <t xml:space="preserve">            self._nav_btns[name] = btn</t>
        </is>
      </c>
    </row>
    <row r="694">
      <c r="A694" s="7" t="n">
        <v>691</v>
      </c>
      <c r="B694" s="8" t="inlineStr"/>
    </row>
    <row r="695">
      <c r="A695" s="9" t="n">
        <v>692</v>
      </c>
      <c r="B695" s="10" t="inlineStr">
        <is>
          <t xml:space="preserve">        # 默认显示视频预览</t>
        </is>
      </c>
    </row>
    <row r="696">
      <c r="A696" s="7" t="n">
        <v>693</v>
      </c>
      <c r="B696" s="8" t="inlineStr">
        <is>
          <t xml:space="preserve">        self._switch_material_panel(self._panel_video)</t>
        </is>
      </c>
    </row>
    <row r="697">
      <c r="A697" s="9" t="n">
        <v>694</v>
      </c>
      <c r="B697" s="10" t="inlineStr"/>
    </row>
    <row r="698">
      <c r="A698" s="7" t="n">
        <v>695</v>
      </c>
      <c r="B698" s="8" t="inlineStr">
        <is>
          <t xml:space="preserve">    def _switch_material_panel(self, panel):</t>
        </is>
      </c>
    </row>
    <row r="699">
      <c r="A699" s="9" t="n">
        <v>696</v>
      </c>
      <c r="B699" s="10" t="inlineStr">
        <is>
          <t xml:space="preserve">        """切换右侧面板显示"""</t>
        </is>
      </c>
    </row>
    <row r="700">
      <c r="A700" s="7" t="n">
        <v>697</v>
      </c>
      <c r="B700" s="8" t="inlineStr">
        <is>
          <t xml:space="preserve">        for p in [self._panel_video, self._panel_libstats, self._panel_anno, self._panel_learn]:</t>
        </is>
      </c>
    </row>
    <row r="701">
      <c r="A701" s="9" t="n">
        <v>698</v>
      </c>
      <c r="B701" s="10" t="inlineStr">
        <is>
          <t xml:space="preserve">            p.pack_forget()</t>
        </is>
      </c>
    </row>
    <row r="702">
      <c r="A702" s="7" t="n">
        <v>699</v>
      </c>
      <c r="B702" s="8" t="inlineStr">
        <is>
          <t xml:space="preserve">        panel.pack(fill="both", expand=True)</t>
        </is>
      </c>
    </row>
    <row r="703">
      <c r="A703" s="9" t="n">
        <v>700</v>
      </c>
      <c r="B703" s="10" t="inlineStr">
        <is>
          <t xml:space="preserve">        # 高亮当前按钮</t>
        </is>
      </c>
    </row>
    <row r="704">
      <c r="A704" s="7" t="n">
        <v>701</v>
      </c>
      <c r="B704" s="8" t="inlineStr">
        <is>
          <t xml:space="preserve">        current_name = None</t>
        </is>
      </c>
    </row>
    <row r="705">
      <c r="A705" s="9" t="n">
        <v>702</v>
      </c>
      <c r="B705" s="10" t="inlineStr">
        <is>
          <t xml:space="preserve">        for name, p in [("视频预览",self._panel_video),("素材库统计",self._panel_libstats),</t>
        </is>
      </c>
    </row>
    <row r="706">
      <c r="A706" s="7" t="n">
        <v>703</v>
      </c>
      <c r="B706" s="8" t="inlineStr">
        <is>
          <t xml:space="preserve">                         ("帧级标注",self._panel_anno),("学习日志",self._panel_learn)]:</t>
        </is>
      </c>
    </row>
    <row r="707">
      <c r="A707" s="9" t="n">
        <v>704</v>
      </c>
      <c r="B707" s="10" t="inlineStr">
        <is>
          <t xml:space="preserve">            if p is panel:</t>
        </is>
      </c>
    </row>
    <row r="708">
      <c r="A708" s="7" t="n">
        <v>705</v>
      </c>
      <c r="B708" s="8" t="inlineStr">
        <is>
          <t xml:space="preserve">                current_name = name</t>
        </is>
      </c>
    </row>
    <row r="709">
      <c r="A709" s="9" t="n">
        <v>706</v>
      </c>
      <c r="B709" s="10" t="inlineStr">
        <is>
          <t xml:space="preserve">                break</t>
        </is>
      </c>
    </row>
    <row r="710">
      <c r="A710" s="7" t="n">
        <v>707</v>
      </c>
      <c r="B710" s="8" t="inlineStr">
        <is>
          <t xml:space="preserve">        for name, btn in self._nav_btns.items():</t>
        </is>
      </c>
    </row>
    <row r="711">
      <c r="A711" s="9" t="n">
        <v>708</v>
      </c>
      <c r="B711" s="10" t="inlineStr">
        <is>
          <t xml:space="preserve">            if name == current_name:</t>
        </is>
      </c>
    </row>
    <row r="712">
      <c r="A712" s="7" t="n">
        <v>709</v>
      </c>
      <c r="B712" s="8" t="inlineStr">
        <is>
          <t xml:space="preserve">                btn.configure(bg_color="#2e7d32", fg_color="#ffffff")</t>
        </is>
      </c>
    </row>
    <row r="713">
      <c r="A713" s="9" t="n">
        <v>710</v>
      </c>
      <c r="B713" s="10" t="inlineStr">
        <is>
          <t xml:space="preserve">            else:</t>
        </is>
      </c>
    </row>
    <row r="714">
      <c r="A714" s="7" t="n">
        <v>711</v>
      </c>
      <c r="B714" s="8" t="inlineStr">
        <is>
          <t xml:space="preserve">                btn.configure(bg_color="#e9ecef", fg_color="#1b5e20")</t>
        </is>
      </c>
    </row>
    <row r="715">
      <c r="A715" s="9" t="n">
        <v>712</v>
      </c>
      <c r="B715" s="10" t="inlineStr"/>
    </row>
    <row r="716">
      <c r="A716" s="7" t="n">
        <v>713</v>
      </c>
      <c r="B716" s="8" t="inlineStr">
        <is>
          <t xml:space="preserve">    def _build_video_preview_panel(self, parent):</t>
        </is>
      </c>
    </row>
    <row r="717">
      <c r="A717" s="9" t="n">
        <v>714</v>
      </c>
      <c r="B717" s="10" t="inlineStr">
        <is>
          <t xml:space="preserve">        info_row = tb.Frame(parent); info_row.pack(fill="x", pady=(0,4))</t>
        </is>
      </c>
    </row>
    <row r="718">
      <c r="A718" s="7" t="n">
        <v>715</v>
      </c>
      <c r="B718" s="8" t="inlineStr">
        <is>
          <t xml:space="preserve">        self._disk_preview_status = tb.Label(info_row, text="从左侧选择文件夹加载视频",</t>
        </is>
      </c>
    </row>
    <row r="719">
      <c r="A719" s="9" t="n">
        <v>716</v>
      </c>
      <c r="B719" s="10" t="inlineStr">
        <is>
          <t xml:space="preserve">                                             font=("Microsoft YaHei",9), foreground="#6d6d6d")</t>
        </is>
      </c>
    </row>
    <row r="720">
      <c r="A720" s="7" t="n">
        <v>717</v>
      </c>
      <c r="B720" s="8" t="inlineStr">
        <is>
          <t xml:space="preserve">        self._disk_preview_status.pack(side="left")</t>
        </is>
      </c>
    </row>
    <row r="721">
      <c r="A721" s="9" t="n">
        <v>718</v>
      </c>
      <c r="B721" s="10" t="inlineStr">
        <is>
          <t xml:space="preserve">        RoundedButton(info_row, text="生成选中视频", command=self._disk_gen,</t>
        </is>
      </c>
    </row>
    <row r="722">
      <c r="A722" s="7" t="n">
        <v>719</v>
      </c>
      <c r="B722" s="8" t="inlineStr">
        <is>
          <t xml:space="preserve">                     height=34, bg_color="#0d6efd", fg_color="#ffffff",</t>
        </is>
      </c>
    </row>
    <row r="723">
      <c r="A723" s="9" t="n">
        <v>720</v>
      </c>
      <c r="B723" s="10" t="inlineStr">
        <is>
          <t xml:space="preserve">                     hover_color="#0b5ed7", radius=8).pack(side="right", padx=4)</t>
        </is>
      </c>
    </row>
    <row r="724">
      <c r="A724" s="7" t="n">
        <v>721</v>
      </c>
      <c r="B724" s="8" t="inlineStr"/>
    </row>
    <row r="725">
      <c r="A725" s="9" t="n">
        <v>722</v>
      </c>
      <c r="B725" s="10" t="inlineStr">
        <is>
          <t xml:space="preserve">        self._disk_preview_tree = tb.Treeview(parent, columns=("name","size","dur"), show="headings")</t>
        </is>
      </c>
    </row>
    <row r="726">
      <c r="A726" s="7" t="n">
        <v>723</v>
      </c>
      <c r="B726" s="8" t="inlineStr">
        <is>
          <t xml:space="preserve">        self._disk_preview_tree.heading("name", text="文件名"); self._disk_preview_tree.column("name", width=350)</t>
        </is>
      </c>
    </row>
    <row r="727">
      <c r="A727" s="9" t="n">
        <v>724</v>
      </c>
      <c r="B727" s="10" t="inlineStr">
        <is>
          <t xml:space="preserve">        self._disk_preview_tree.heading("size", text="大小"); self._disk_preview_tree.column("size", width=80)</t>
        </is>
      </c>
    </row>
    <row r="728">
      <c r="A728" s="7" t="n">
        <v>725</v>
      </c>
      <c r="B728" s="8" t="inlineStr">
        <is>
          <t xml:space="preserve">        self._disk_preview_tree.heading("dur", text="时长"); self._disk_preview_tree.column("dur", width=80)</t>
        </is>
      </c>
    </row>
    <row r="729">
      <c r="A729" s="9" t="n">
        <v>726</v>
      </c>
      <c r="B729" s="10" t="inlineStr">
        <is>
          <t xml:space="preserve">        self._disk_preview_tree.pack(fill="both", expand=True)</t>
        </is>
      </c>
    </row>
    <row r="730">
      <c r="A730" s="7" t="n">
        <v>727</v>
      </c>
      <c r="B730" s="8" t="inlineStr">
        <is>
          <t xml:space="preserve">        self._disk_preview_tree.bind("&lt;Double-1&gt;", lambda e: self._disk_gen())</t>
        </is>
      </c>
    </row>
    <row r="731">
      <c r="A731" s="9" t="n">
        <v>728</v>
      </c>
      <c r="B731" s="10" t="inlineStr"/>
    </row>
    <row r="732">
      <c r="A732" s="7" t="n">
        <v>729</v>
      </c>
      <c r="B732" s="8" t="inlineStr">
        <is>
          <t xml:space="preserve">    def _build_library_stats_panel(self, parent):</t>
        </is>
      </c>
    </row>
    <row r="733">
      <c r="A733" s="9" t="n">
        <v>730</v>
      </c>
      <c r="B733" s="10" t="inlineStr">
        <is>
          <t xml:space="preserve">        btn_row = tb.Frame(parent); btn_row.pack(fill="x", pady=(0,4))</t>
        </is>
      </c>
    </row>
    <row r="734">
      <c r="A734" s="7" t="n">
        <v>731</v>
      </c>
      <c r="B734" s="8" t="inlineStr">
        <is>
          <t xml:space="preserve">        RoundedButton(btn_row, text="刷新统计", command=self._on_refresh_lib,</t>
        </is>
      </c>
    </row>
    <row r="735">
      <c r="A735" s="9" t="n">
        <v>732</v>
      </c>
      <c r="B735" s="10" t="inlineStr">
        <is>
          <t xml:space="preserve">                     height=34, bg_color="#0d6efd", fg_color="#ffffff",</t>
        </is>
      </c>
    </row>
    <row r="736">
      <c r="A736" s="7" t="n">
        <v>733</v>
      </c>
      <c r="B736" s="8" t="inlineStr">
        <is>
          <t xml:space="preserve">                     hover_color="#0b5ed7", radius=8).pack(side="left", padx=2)</t>
        </is>
      </c>
    </row>
    <row r="737">
      <c r="A737" s="9" t="n">
        <v>734</v>
      </c>
      <c r="B737" s="10" t="inlineStr">
        <is>
          <t xml:space="preserve">        RoundedButton(btn_row, text="清除缓存", command=self._clear_lib_cache,</t>
        </is>
      </c>
    </row>
    <row r="738">
      <c r="A738" s="7" t="n">
        <v>735</v>
      </c>
      <c r="B738" s="8" t="inlineStr">
        <is>
          <t xml:space="preserve">                     height=34, bg_color="#e0e0e0", fg_color="#212529",</t>
        </is>
      </c>
    </row>
    <row r="739">
      <c r="A739" s="9" t="n">
        <v>736</v>
      </c>
      <c r="B739" s="10" t="inlineStr">
        <is>
          <t xml:space="preserve">                     hover_color="#d0ee0ff", radius=8).pack(side="left", padx=2)</t>
        </is>
      </c>
    </row>
    <row r="740">
      <c r="A740" s="7" t="n">
        <v>737</v>
      </c>
      <c r="B740" s="8" t="inlineStr">
        <is>
          <t xml:space="preserve">        RoundedButton(btn_row, text="使用统计", command=self._show_usage_stats,</t>
        </is>
      </c>
    </row>
    <row r="741">
      <c r="A741" s="9" t="n">
        <v>738</v>
      </c>
      <c r="B741" s="10" t="inlineStr">
        <is>
          <t xml:space="preserve">                     height=34, bg_color="#e0e0e0", fg_color="#212529",</t>
        </is>
      </c>
    </row>
    <row r="742">
      <c r="A742" s="7" t="n">
        <v>739</v>
      </c>
      <c r="B742" s="8" t="inlineStr">
        <is>
          <t xml:space="preserve">                     hover_color="#d0e0ff", radius=8).pack(side="left", padx=2)</t>
        </is>
      </c>
    </row>
    <row r="743">
      <c r="A743" s="9" t="n">
        <v>740</v>
      </c>
      <c r="B743" s="10" t="inlineStr">
        <is>
          <t xml:space="preserve">        RoundedButton(btn_row, text="加载素材库", command=self._toggle_folders,</t>
        </is>
      </c>
    </row>
    <row r="744">
      <c r="A744" s="7" t="n">
        <v>741</v>
      </c>
      <c r="B744" s="8" t="inlineStr">
        <is>
          <t xml:space="preserve">                     height=34, bg_color="#e0e0e0", fg_color="#212529",</t>
        </is>
      </c>
    </row>
    <row r="745">
      <c r="A745" s="9" t="n">
        <v>742</v>
      </c>
      <c r="B745" s="10" t="inlineStr">
        <is>
          <t xml:space="preserve">                     hover_color="#d0e0ff", radius=8).pack(side="left", padx=2)</t>
        </is>
      </c>
    </row>
    <row r="746">
      <c r="A746" s="7" t="n">
        <v>743</v>
      </c>
      <c r="B746" s="8" t="inlineStr">
        <is>
          <t xml:space="preserve">        self.lib_status = tb.Label(btn_row, text="", font=("Microsoft YaHei",9), foreground="#6d6d6d")</t>
        </is>
      </c>
    </row>
    <row r="747">
      <c r="A747" s="9" t="n">
        <v>744</v>
      </c>
      <c r="B747" s="10" t="inlineStr">
        <is>
          <t xml:space="preserve">        self.lib_status.pack(side="right", padx=6)</t>
        </is>
      </c>
    </row>
    <row r="748">
      <c r="A748" s="7" t="n">
        <v>745</v>
      </c>
      <c r="B748" s="8" t="inlineStr"/>
    </row>
    <row r="749">
      <c r="A749" s="9" t="n">
        <v>746</v>
      </c>
      <c r="B749" s="10" t="inlineStr">
        <is>
          <t xml:space="preserve">        self.fp = tb.Labelframe(parent, text="素材文件夹")</t>
        </is>
      </c>
    </row>
    <row r="750">
      <c r="A750" s="7" t="n">
        <v>747</v>
      </c>
      <c r="B750" s="8" t="inlineStr">
        <is>
          <t xml:space="preserve">        self.fp.pack(fill="x", pady=4)</t>
        </is>
      </c>
    </row>
    <row r="751">
      <c r="A751" s="9" t="n">
        <v>748</v>
      </c>
      <c r="B751" s="10" t="inlineStr">
        <is>
          <t xml:space="preserve">        self.fp_frame = tb.Frame(self.fp)</t>
        </is>
      </c>
    </row>
    <row r="752">
      <c r="A752" s="7" t="n">
        <v>749</v>
      </c>
      <c r="B752" s="8" t="inlineStr">
        <is>
          <t xml:space="preserve">        self.fp.configure(text="素材文件夹 (点击「加载素材库」展开)")</t>
        </is>
      </c>
    </row>
    <row r="753">
      <c r="A753" s="9" t="n">
        <v>750</v>
      </c>
      <c r="B753" s="10" t="inlineStr"/>
    </row>
    <row r="754">
      <c r="A754" s="7" t="n">
        <v>751</v>
      </c>
      <c r="B754" s="8" t="inlineStr">
        <is>
          <t xml:space="preserve">        self.lib_tree = tb.Treeview(parent, columns=("name","cnt"), show="headings")</t>
        </is>
      </c>
    </row>
    <row r="755">
      <c r="A755" s="9" t="n">
        <v>752</v>
      </c>
      <c r="B755" s="10" t="inlineStr">
        <is>
          <t xml:space="preserve">        self.lib_tree.heading("name", text="卖点名称"); self.lib_tree.column("name", width=400)</t>
        </is>
      </c>
    </row>
    <row r="756">
      <c r="A756" s="7" t="n">
        <v>753</v>
      </c>
      <c r="B756" s="8" t="inlineStr">
        <is>
          <t xml:space="preserve">        self.lib_tree.heading("cnt", text="数量"); self.lib_tree.column("cnt", width=100)</t>
        </is>
      </c>
    </row>
    <row r="757">
      <c r="A757" s="9" t="n">
        <v>754</v>
      </c>
      <c r="B757" s="10" t="inlineStr">
        <is>
          <t xml:space="preserve">        self.lib_tree.pack(fill="both", expand=True)</t>
        </is>
      </c>
    </row>
    <row r="758">
      <c r="A758" s="7" t="n">
        <v>755</v>
      </c>
      <c r="B758" s="8" t="inlineStr">
        <is>
          <t xml:space="preserve">        # v11.4: 注册数据库变更回调 -&gt; 刷新统计</t>
        </is>
      </c>
    </row>
    <row r="759">
      <c r="A759" s="9" t="n">
        <v>756</v>
      </c>
      <c r="B759" s="10" t="inlineStr">
        <is>
          <t xml:space="preserve">        try:</t>
        </is>
      </c>
    </row>
    <row r="760">
      <c r="A760" s="7" t="n">
        <v>757</v>
      </c>
      <c r="B760" s="8" t="inlineStr">
        <is>
          <t xml:space="preserve">            from core.database import db</t>
        </is>
      </c>
    </row>
    <row r="761">
      <c r="A761" s="9" t="n">
        <v>758</v>
      </c>
      <c r="B761" s="10" t="inlineStr">
        <is>
          <t xml:space="preserve">            db.register_callback(lambda vp: self.root.after(0, self._on_refresh_lib))</t>
        </is>
      </c>
    </row>
    <row r="762">
      <c r="A762" s="7" t="n">
        <v>759</v>
      </c>
      <c r="B762" s="8" t="inlineStr">
        <is>
          <t xml:space="preserve">        except Exception:</t>
        </is>
      </c>
    </row>
    <row r="763">
      <c r="A763" s="9" t="n">
        <v>760</v>
      </c>
      <c r="B763" s="10" t="inlineStr">
        <is>
          <t xml:space="preserve">            pass</t>
        </is>
      </c>
    </row>
    <row r="764">
      <c r="A764" s="7" t="n">
        <v>761</v>
      </c>
      <c r="B764" s="8" t="inlineStr"/>
    </row>
    <row r="765">
      <c r="A765" s="9" t="n">
        <v>762</v>
      </c>
      <c r="B765" s="10" t="inlineStr">
        <is>
          <t xml:space="preserve">    def _build_frame_annotation_panel(self, parent):</t>
        </is>
      </c>
    </row>
    <row r="766">
      <c r="A766" s="7" t="n">
        <v>763</v>
      </c>
      <c r="B766" s="8" t="inlineStr">
        <is>
          <t xml:space="preserve">        """帧级标注 —— FrameAnnotationTab 需要 Notebook 容器"""</t>
        </is>
      </c>
    </row>
    <row r="767">
      <c r="A767" s="9" t="n">
        <v>764</v>
      </c>
      <c r="B767" s="10" t="inlineStr">
        <is>
          <t xml:space="preserve">        inner_nb = tb.Notebook(parent, bootstyle="light")</t>
        </is>
      </c>
    </row>
    <row r="768">
      <c r="A768" s="7" t="n">
        <v>765</v>
      </c>
      <c r="B768" s="8" t="inlineStr">
        <is>
          <t xml:space="preserve">        inner_nb.pack(fill="both", expand=True)</t>
        </is>
      </c>
    </row>
    <row r="769">
      <c r="A769" s="9" t="n">
        <v>766</v>
      </c>
      <c r="B769" s="10" t="inlineStr">
        <is>
          <t xml:space="preserve">        try:</t>
        </is>
      </c>
    </row>
    <row r="770">
      <c r="A770" s="7" t="n">
        <v>767</v>
      </c>
      <c r="B770" s="8" t="inlineStr">
        <is>
          <t xml:space="preserve">            from ui.frame_annotation import FrameAnnotationTab</t>
        </is>
      </c>
    </row>
    <row r="771">
      <c r="A771" s="9" t="n">
        <v>768</v>
      </c>
      <c r="B771" s="10" t="inlineStr">
        <is>
          <t xml:space="preserve">            FrameAnnotationTab(inner_nb, self)</t>
        </is>
      </c>
    </row>
    <row r="772">
      <c r="A772" s="7" t="n">
        <v>769</v>
      </c>
      <c r="B772" s="8" t="inlineStr">
        <is>
          <t xml:space="preserve">        except Exception as e:</t>
        </is>
      </c>
    </row>
    <row r="773">
      <c r="A773" s="9" t="n">
        <v>770</v>
      </c>
      <c r="B773" s="10" t="inlineStr">
        <is>
          <t xml:space="preserve">            import traceback</t>
        </is>
      </c>
    </row>
    <row r="774">
      <c r="A774" s="7" t="n">
        <v>771</v>
      </c>
      <c r="B774" s="8" t="inlineStr">
        <is>
          <t xml:space="preserve">            traceback.print_exc()</t>
        </is>
      </c>
    </row>
    <row r="775">
      <c r="A775" s="9" t="n">
        <v>772</v>
      </c>
      <c r="B775" s="10" t="inlineStr">
        <is>
          <t xml:space="preserve">            tb.Label(parent, text=f"标注模块加载失败: {e}",</t>
        </is>
      </c>
    </row>
    <row r="776">
      <c r="A776" s="7" t="n">
        <v>773</v>
      </c>
      <c r="B776" s="8" t="inlineStr">
        <is>
          <t xml:space="preserve">                    font=("Microsoft YaHei", 10)).pack(pady=20)</t>
        </is>
      </c>
    </row>
    <row r="777">
      <c r="A777" s="9" t="n">
        <v>774</v>
      </c>
      <c r="B777" s="10" t="inlineStr">
        <is>
          <t xml:space="preserve">            RoundedButton(parent, text="重试加载",</t>
        </is>
      </c>
    </row>
    <row r="778">
      <c r="A778" s="7" t="n">
        <v>775</v>
      </c>
      <c r="B778" s="8" t="inlineStr">
        <is>
          <t xml:space="preserve">                         command=lambda: self._build_frame_annotation_panel(parent),</t>
        </is>
      </c>
    </row>
    <row r="779">
      <c r="A779" s="9" t="n">
        <v>776</v>
      </c>
      <c r="B779" s="10" t="inlineStr">
        <is>
          <t xml:space="preserve">                         height=34, bg_color="#0d6efd", fg_color="#ffffff",</t>
        </is>
      </c>
    </row>
    <row r="780">
      <c r="A780" s="7" t="n">
        <v>777</v>
      </c>
      <c r="B780" s="8" t="inlineStr">
        <is>
          <t xml:space="preserve">                         hover_color="#0b5ed7", radius=8).pack()</t>
        </is>
      </c>
    </row>
    <row r="781">
      <c r="A781" s="9" t="n">
        <v>778</v>
      </c>
      <c r="B781" s="10" t="inlineStr"/>
    </row>
    <row r="782">
      <c r="A782" s="7" t="n">
        <v>779</v>
      </c>
      <c r="B782" s="8" t="inlineStr">
        <is>
          <t xml:space="preserve">    def _build_learning_log_panel(self, parent):</t>
        </is>
      </c>
    </row>
    <row r="783">
      <c r="A783" s="9" t="n">
        <v>780</v>
      </c>
      <c r="B783" s="10" t="inlineStr">
        <is>
          <t xml:space="preserve">        # 使用内部 Notebook 分上下两个区域</t>
        </is>
      </c>
    </row>
    <row r="784">
      <c r="A784" s="7" t="n">
        <v>781</v>
      </c>
      <c r="B784" s="8" t="inlineStr">
        <is>
          <t xml:space="preserve">        inner_nb = tb.Notebook(parent, bootstyle="light")</t>
        </is>
      </c>
    </row>
    <row r="785">
      <c r="A785" s="9" t="n">
        <v>782</v>
      </c>
      <c r="B785" s="10" t="inlineStr">
        <is>
          <t xml:space="preserve">        inner_nb.pack(fill="both", expand=True)</t>
        </is>
      </c>
    </row>
    <row r="786">
      <c r="A786" s="7" t="n">
        <v>783</v>
      </c>
      <c r="B786" s="8" t="inlineStr"/>
    </row>
    <row r="787">
      <c r="A787" s="9" t="n">
        <v>784</v>
      </c>
      <c r="B787" s="10" t="inlineStr">
        <is>
          <t xml:space="preserve">        # ---- 子页1: 反馈与黑名单 ----</t>
        </is>
      </c>
    </row>
    <row r="788">
      <c r="A788" s="7" t="n">
        <v>785</v>
      </c>
      <c r="B788" s="8" t="inlineStr">
        <is>
          <t xml:space="preserve">        fb_parent = tb.Frame(inner_nb, padding=4)</t>
        </is>
      </c>
    </row>
    <row r="789">
      <c r="A789" s="9" t="n">
        <v>786</v>
      </c>
      <c r="B789" s="10" t="inlineStr">
        <is>
          <t xml:space="preserve">        inner_nb.add(fb_parent, text="反馈管理")</t>
        </is>
      </c>
    </row>
    <row r="790">
      <c r="A790" s="7" t="n">
        <v>787</v>
      </c>
      <c r="B790" s="8" t="inlineStr"/>
    </row>
    <row r="791">
      <c r="A791" s="9" t="n">
        <v>788</v>
      </c>
      <c r="B791" s="10" t="inlineStr">
        <is>
          <t xml:space="preserve">        top_bar = tb.Frame(fb_parent); top_bar.pack(fill="x", pady=(0,4))</t>
        </is>
      </c>
    </row>
    <row r="792">
      <c r="A792" s="7" t="n">
        <v>789</v>
      </c>
      <c r="B792" s="8" t="inlineStr">
        <is>
          <t xml:space="preserve">        RoundedButton(top_bar, text="刷新日志", command=self._ll_refresh,</t>
        </is>
      </c>
    </row>
    <row r="793">
      <c r="A793" s="9" t="n">
        <v>790</v>
      </c>
      <c r="B793" s="10" t="inlineStr">
        <is>
          <t xml:space="preserve">                     height=34, bg_color="#0d6efd", fg_color="#ffffff",</t>
        </is>
      </c>
    </row>
    <row r="794">
      <c r="A794" s="7" t="n">
        <v>791</v>
      </c>
      <c r="B794" s="8" t="inlineStr">
        <is>
          <t xml:space="preserve">                     hover_color="#0b5ed7", radius=8).pack(side="left", padx=2)</t>
        </is>
      </c>
    </row>
    <row r="795">
      <c r="A795" s="9" t="n">
        <v>792</v>
      </c>
      <c r="B795" s="10" t="inlineStr">
        <is>
          <t xml:space="preserve">        RoundedButton(top_bar, text="一键拉黑低分素材", command=self._ll_block_low,</t>
        </is>
      </c>
    </row>
    <row r="796">
      <c r="A796" s="7" t="n">
        <v>793</v>
      </c>
      <c r="B796" s="8" t="inlineStr">
        <is>
          <t xml:space="preserve">                     height=34, bg_color="#dc3545", fg_color="#ffffff",</t>
        </is>
      </c>
    </row>
    <row r="797">
      <c r="A797" s="9" t="n">
        <v>794</v>
      </c>
      <c r="B797" s="10" t="inlineStr">
        <is>
          <t xml:space="preserve">                     hover_color="#c82333", radius=8).pack(side="left", padx=2)</t>
        </is>
      </c>
    </row>
    <row r="798">
      <c r="A798" s="7" t="n">
        <v>795</v>
      </c>
      <c r="B798" s="8" t="inlineStr">
        <is>
          <t xml:space="preserve">        self.ll_status = tb.Label(top_bar, text="", font=("Microsoft YaHei",9), foreground="#6d6d6d")</t>
        </is>
      </c>
    </row>
    <row r="799">
      <c r="A799" s="9" t="n">
        <v>796</v>
      </c>
      <c r="B799" s="10" t="inlineStr">
        <is>
          <t xml:space="preserve">        self.ll_status.pack(side="right", padx=6)</t>
        </is>
      </c>
    </row>
    <row r="800">
      <c r="A800" s="7" t="n">
        <v>797</v>
      </c>
      <c r="B800" s="8" t="inlineStr"/>
    </row>
    <row r="801">
      <c r="A801" s="9" t="n">
        <v>798</v>
      </c>
      <c r="B801" s="10" t="inlineStr">
        <is>
          <t xml:space="preserve">        fb_frame = tb.Labelframe(fb_parent, text="反馈记录", padding=4)</t>
        </is>
      </c>
    </row>
    <row r="802">
      <c r="A802" s="7" t="n">
        <v>799</v>
      </c>
      <c r="B802" s="8" t="inlineStr">
        <is>
          <t xml:space="preserve">        fb_frame.pack(fill="both", expand=True, pady=(0,3))</t>
        </is>
      </c>
    </row>
    <row r="803">
      <c r="A803" s="9" t="n">
        <v>800</v>
      </c>
      <c r="B803" s="10" t="inlineStr">
        <is>
          <t xml:space="preserve">        self.ll_feedback_tree = tb.Treeview(fb_frame,</t>
        </is>
      </c>
    </row>
    <row r="804">
      <c r="A804" s="7" t="n">
        <v>801</v>
      </c>
      <c r="B804" s="8" t="inlineStr">
        <is>
          <t xml:space="preserve">            columns=("path","avg","count","last"), show="headings", height=6)</t>
        </is>
      </c>
    </row>
    <row r="805">
      <c r="A805" s="9" t="n">
        <v>802</v>
      </c>
      <c r="B805" s="10" t="inlineStr">
        <is>
          <t xml:space="preserve">        self.ll_feedback_tree.heading("path", text="素材路径"); self.ll_feedback_tree.column("path", width=300)</t>
        </is>
      </c>
    </row>
    <row r="806">
      <c r="A806" s="7" t="n">
        <v>803</v>
      </c>
      <c r="B806" s="8" t="inlineStr">
        <is>
          <t xml:space="preserve">        self.ll_feedback_tree.heading("avg", text="均分"); self.ll_feedback_tree.column("avg", width=50)</t>
        </is>
      </c>
    </row>
    <row r="807">
      <c r="A807" s="9" t="n">
        <v>804</v>
      </c>
      <c r="B807" s="10" t="inlineStr">
        <is>
          <t xml:space="preserve">        self.ll_feedback_tree.heading("count", text="次数"); self.ll_feedback_tree.column("count", width=50)</t>
        </is>
      </c>
    </row>
    <row r="808">
      <c r="A808" s="7" t="n">
        <v>805</v>
      </c>
      <c r="B808" s="8" t="inlineStr">
        <is>
          <t xml:space="preserve">        self.ll_feedback_tree.heading("last", text="最近反馈"); self.ll_feedback_tree.column("last", width=120)</t>
        </is>
      </c>
    </row>
    <row r="809">
      <c r="A809" s="9" t="n">
        <v>806</v>
      </c>
      <c r="B809" s="10" t="inlineStr">
        <is>
          <t xml:space="preserve">        self.ll_feedback_tree.pack(fill="both", expand=True)</t>
        </is>
      </c>
    </row>
    <row r="810">
      <c r="A810" s="7" t="n">
        <v>807</v>
      </c>
      <c r="B810" s="8" t="inlineStr"/>
    </row>
    <row r="811">
      <c r="A811" s="9" t="n">
        <v>808</v>
      </c>
      <c r="B811" s="10" t="inlineStr">
        <is>
          <t xml:space="preserve">        low_frame = tb.Labelframe(fb_parent, text="低分素材管理", padding=4)</t>
        </is>
      </c>
    </row>
    <row r="812">
      <c r="A812" s="7" t="n">
        <v>809</v>
      </c>
      <c r="B812" s="8" t="inlineStr">
        <is>
          <t xml:space="preserve">        low_frame.pack(fill="both", expand=True)</t>
        </is>
      </c>
    </row>
    <row r="813">
      <c r="A813" s="9" t="n">
        <v>810</v>
      </c>
      <c r="B813" s="10" t="inlineStr">
        <is>
          <t xml:space="preserve">        self.ll_low_tree = tb.Treeview(low_frame,</t>
        </is>
      </c>
    </row>
    <row r="814">
      <c r="A814" s="7" t="n">
        <v>811</v>
      </c>
      <c r="B814" s="8" t="inlineStr">
        <is>
          <t xml:space="preserve">            columns=("path","avg","count","blocked"), show="headings", height=4)</t>
        </is>
      </c>
    </row>
    <row r="815">
      <c r="A815" s="9" t="n">
        <v>812</v>
      </c>
      <c r="B815" s="10" t="inlineStr">
        <is>
          <t xml:space="preserve">        self.ll_low_tree.heading("path", text="素材路径"); self.ll_low_tree.column("path", width=300)</t>
        </is>
      </c>
    </row>
    <row r="816">
      <c r="A816" s="7" t="n">
        <v>813</v>
      </c>
      <c r="B816" s="8" t="inlineStr">
        <is>
          <t xml:space="preserve">        self.ll_low_tree.heading("avg", text="均分"); self.ll_low_tree.column("avg", width=50)</t>
        </is>
      </c>
    </row>
    <row r="817">
      <c r="A817" s="9" t="n">
        <v>814</v>
      </c>
      <c r="B817" s="10" t="inlineStr">
        <is>
          <t xml:space="preserve">        self.ll_low_tree.heading("count", text="次数"); self.ll_low_tree.column("count", width=50)</t>
        </is>
      </c>
    </row>
    <row r="818">
      <c r="A818" s="7" t="n">
        <v>815</v>
      </c>
      <c r="B818" s="8" t="inlineStr">
        <is>
          <t xml:space="preserve">        self.ll_low_tree.heading("blocked", text="拉黑"); self.ll_low_tree.column("blocked", width=50)</t>
        </is>
      </c>
    </row>
    <row r="819">
      <c r="A819" s="9" t="n">
        <v>816</v>
      </c>
      <c r="B819" s="10" t="inlineStr">
        <is>
          <t xml:space="preserve">        self.ll_low_tree.pack(fill="both", expand=True)</t>
        </is>
      </c>
    </row>
    <row r="820">
      <c r="A820" s="7" t="n">
        <v>817</v>
      </c>
      <c r="B820" s="8" t="inlineStr"/>
    </row>
    <row r="821">
      <c r="A821" s="9" t="n">
        <v>818</v>
      </c>
      <c r="B821" s="10" t="inlineStr">
        <is>
          <t xml:space="preserve">        low_btn = tb.Frame(low_frame); low_btn.pack(fill="x", pady=2)</t>
        </is>
      </c>
    </row>
    <row r="822">
      <c r="A822" s="7" t="n">
        <v>819</v>
      </c>
      <c r="B822" s="8" t="inlineStr">
        <is>
          <t xml:space="preserve">        RoundedButton(low_btn, text="拉黑选中", command=self._ll_block_selected,</t>
        </is>
      </c>
    </row>
    <row r="823">
      <c r="A823" s="9" t="n">
        <v>820</v>
      </c>
      <c r="B823" s="10" t="inlineStr">
        <is>
          <t xml:space="preserve">                     height=34, bg_color="#dc3545", fg_color="#ffffff",</t>
        </is>
      </c>
    </row>
    <row r="824">
      <c r="A824" s="7" t="n">
        <v>821</v>
      </c>
      <c r="B824" s="8" t="inlineStr">
        <is>
          <t xml:space="preserve">                     hover_color="#c82333", radius=8).pack(side="left", padx=2)</t>
        </is>
      </c>
    </row>
    <row r="825">
      <c r="A825" s="9" t="n">
        <v>822</v>
      </c>
      <c r="B825" s="10" t="inlineStr">
        <is>
          <t xml:space="preserve">        RoundedButton(low_btn, text="取消拉黑", command=self._ll_unblock_selected,</t>
        </is>
      </c>
    </row>
    <row r="826">
      <c r="A826" s="7" t="n">
        <v>823</v>
      </c>
      <c r="B826" s="8" t="inlineStr">
        <is>
          <t xml:space="preserve">                     height=34, bg_color="#28a745", fg_color="#ffffff",</t>
        </is>
      </c>
    </row>
    <row r="827">
      <c r="A827" s="9" t="n">
        <v>824</v>
      </c>
      <c r="B827" s="10" t="inlineStr">
        <is>
          <t xml:space="preserve">                     hover_color="#218838", radius=8).pack(side="left", padx=2)</t>
        </is>
      </c>
    </row>
    <row r="828">
      <c r="A828" s="7" t="n">
        <v>825</v>
      </c>
      <c r="B828" s="8" t="inlineStr"/>
    </row>
    <row r="829">
      <c r="A829" s="9" t="n">
        <v>826</v>
      </c>
      <c r="B829" s="10" t="inlineStr">
        <is>
          <t xml:space="preserve">        # ---- 子页2: 后台扫描控制（嵌入式） ----</t>
        </is>
      </c>
    </row>
    <row r="830">
      <c r="A830" s="7" t="n">
        <v>827</v>
      </c>
      <c r="B830" s="8" t="inlineStr">
        <is>
          <t xml:space="preserve">        scan_parent = tb.Frame(inner_nb, padding=4)</t>
        </is>
      </c>
    </row>
    <row r="831">
      <c r="A831" s="9" t="n">
        <v>828</v>
      </c>
      <c r="B831" s="10" t="inlineStr">
        <is>
          <t xml:space="preserve">        inner_nb.add(scan_parent, text="后台扫描")</t>
        </is>
      </c>
    </row>
    <row r="832">
      <c r="A832" s="7" t="n">
        <v>829</v>
      </c>
      <c r="B832" s="8" t="inlineStr"/>
    </row>
    <row r="833">
      <c r="A833" s="9" t="n">
        <v>830</v>
      </c>
      <c r="B833" s="10" t="inlineStr">
        <is>
          <t xml:space="preserve">        # 扫描路径选择</t>
        </is>
      </c>
    </row>
    <row r="834">
      <c r="A834" s="7" t="n">
        <v>831</v>
      </c>
      <c r="B834" s="8" t="inlineStr">
        <is>
          <t xml:space="preserve">        path_frame = tb.Labelframe(scan_parent, text="扫描目录", padding=4)</t>
        </is>
      </c>
    </row>
    <row r="835">
      <c r="A835" s="9" t="n">
        <v>832</v>
      </c>
      <c r="B835" s="10" t="inlineStr">
        <is>
          <t xml:space="preserve">        path_frame.pack(fill="x", pady=(0,4))</t>
        </is>
      </c>
    </row>
    <row r="836">
      <c r="A836" s="7" t="n">
        <v>833</v>
      </c>
      <c r="B836" s="8" t="inlineStr">
        <is>
          <t xml:space="preserve">        self._scan_paths_var = tk.StringVar(value="使用默认素材目录")</t>
        </is>
      </c>
    </row>
    <row r="837">
      <c r="A837" s="9" t="n">
        <v>834</v>
      </c>
      <c r="B837" s="10" t="inlineStr">
        <is>
          <t xml:space="preserve">        path_row = tb.Frame(path_frame); path_row.pack(fill="x")</t>
        </is>
      </c>
    </row>
    <row r="838">
      <c r="A838" s="7" t="n">
        <v>835</v>
      </c>
      <c r="B838" s="8" t="inlineStr">
        <is>
          <t xml:space="preserve">        tb.Label(path_row, textvariable=self._scan_paths_var, font=("Microsoft YaHei",9),</t>
        </is>
      </c>
    </row>
    <row r="839">
      <c r="A839" s="9" t="n">
        <v>836</v>
      </c>
      <c r="B839" s="10" t="inlineStr">
        <is>
          <t xml:space="preserve">                foreground="#4a7c4f").pack(side="left", fill="x", expand=True)</t>
        </is>
      </c>
    </row>
    <row r="840">
      <c r="A840" s="7" t="n">
        <v>837</v>
      </c>
      <c r="B840" s="8" t="inlineStr">
        <is>
          <t xml:space="preserve">        RoundedButton(path_row, text="选择目录", command=self._scan_choose_dir,</t>
        </is>
      </c>
    </row>
    <row r="841">
      <c r="A841" s="9" t="n">
        <v>838</v>
      </c>
      <c r="B841" s="10" t="inlineStr">
        <is>
          <t xml:space="preserve">                     height=30, bg_color="#e0e0e0", fg_color="#212529",</t>
        </is>
      </c>
    </row>
    <row r="842">
      <c r="A842" s="7" t="n">
        <v>839</v>
      </c>
      <c r="B842" s="8" t="inlineStr">
        <is>
          <t xml:space="preserve">                     hover_color="#d0e0ff", radius=8).pack(side="right", padx=2)</t>
        </is>
      </c>
    </row>
    <row r="843">
      <c r="A843" s="9" t="n">
        <v>840</v>
      </c>
      <c r="B843" s="10" t="inlineStr">
        <is>
          <t xml:space="preserve">        RoundedButton(path_row, text="使用默认", command=self._scan_use_default_dirs,</t>
        </is>
      </c>
    </row>
    <row r="844">
      <c r="A844" s="7" t="n">
        <v>841</v>
      </c>
      <c r="B844" s="8" t="inlineStr">
        <is>
          <t xml:space="preserve">                     height=30, bg_color="#e0e0e0", fg_color="#212529",</t>
        </is>
      </c>
    </row>
    <row r="845">
      <c r="A845" s="9" t="n">
        <v>842</v>
      </c>
      <c r="B845" s="10" t="inlineStr">
        <is>
          <t xml:space="preserve">                     hover_color="#d0e0ff", radius=8).pack(side="right", padx=2)</t>
        </is>
      </c>
    </row>
    <row r="846">
      <c r="A846" s="7" t="n">
        <v>843</v>
      </c>
      <c r="B846" s="8" t="inlineStr"/>
    </row>
    <row r="847">
      <c r="A847" s="9" t="n">
        <v>844</v>
      </c>
      <c r="B847" s="10" t="inlineStr">
        <is>
          <t xml:space="preserve">        # 控制按钮</t>
        </is>
      </c>
    </row>
    <row r="848">
      <c r="A848" s="7" t="n">
        <v>845</v>
      </c>
      <c r="B848" s="8" t="inlineStr">
        <is>
          <t xml:space="preserve">        ctrl_frame = tb.Frame(scan_parent); ctrl_frame.pack(fill="x", pady=4)</t>
        </is>
      </c>
    </row>
    <row r="849">
      <c r="A849" s="9" t="n">
        <v>846</v>
      </c>
      <c r="B849" s="10" t="inlineStr">
        <is>
          <t xml:space="preserve">        self._scan_btn_start = RoundedButton(ctrl_frame, text="开始扫描",</t>
        </is>
      </c>
    </row>
    <row r="850">
      <c r="A850" s="7" t="n">
        <v>847</v>
      </c>
      <c r="B850" s="8" t="inlineStr">
        <is>
          <t xml:space="preserve">                         command=self._start_embedded_scan,</t>
        </is>
      </c>
    </row>
    <row r="851">
      <c r="A851" s="9" t="n">
        <v>848</v>
      </c>
      <c r="B851" s="10" t="inlineStr">
        <is>
          <t xml:space="preserve">                         height=34, bg_color="#0d6efd", fg_color="#ffffff",</t>
        </is>
      </c>
    </row>
    <row r="852">
      <c r="A852" s="7" t="n">
        <v>849</v>
      </c>
      <c r="B852" s="8" t="inlineStr">
        <is>
          <t xml:space="preserve">                         hover_color="#0b5ed7", radius=8)</t>
        </is>
      </c>
    </row>
    <row r="853">
      <c r="A853" s="9" t="n">
        <v>850</v>
      </c>
      <c r="B853" s="10" t="inlineStr">
        <is>
          <t xml:space="preserve">        self._scan_btn_start.pack(side="left", padx=2)</t>
        </is>
      </c>
    </row>
    <row r="854">
      <c r="A854" s="7" t="n">
        <v>851</v>
      </c>
      <c r="B854" s="8" t="inlineStr">
        <is>
          <t xml:space="preserve">        self._scan_btn_pause = RoundedButton(ctrl_frame, text="暂停",</t>
        </is>
      </c>
    </row>
    <row r="855">
      <c r="A855" s="9" t="n">
        <v>852</v>
      </c>
      <c r="B855" s="10" t="inlineStr">
        <is>
          <t xml:space="preserve">                         command=self._toggle_embedded_scan,</t>
        </is>
      </c>
    </row>
    <row r="856">
      <c r="A856" s="7" t="n">
        <v>853</v>
      </c>
      <c r="B856" s="8" t="inlineStr">
        <is>
          <t xml:space="preserve">                         height=34, bg_color="#ffc107", fg_color="#212529",</t>
        </is>
      </c>
    </row>
    <row r="857">
      <c r="A857" s="9" t="n">
        <v>854</v>
      </c>
      <c r="B857" s="10" t="inlineStr">
        <is>
          <t xml:space="preserve">                         hover_color="#e0a800", radius=8)</t>
        </is>
      </c>
    </row>
    <row r="858">
      <c r="A858" s="7" t="n">
        <v>855</v>
      </c>
      <c r="B858" s="8" t="inlineStr">
        <is>
          <t xml:space="preserve">        self._scan_btn_pause.pack(side="left", padx=2)</t>
        </is>
      </c>
    </row>
    <row r="859">
      <c r="A859" s="9" t="n">
        <v>856</v>
      </c>
      <c r="B859" s="10" t="inlineStr">
        <is>
          <t xml:space="preserve">        self._scan_btn_pause.configure(state="disabled")</t>
        </is>
      </c>
    </row>
    <row r="860">
      <c r="A860" s="7" t="n">
        <v>857</v>
      </c>
      <c r="B860" s="8" t="inlineStr">
        <is>
          <t xml:space="preserve">        self._scan_btn_stop = RoundedButton(ctrl_frame, text="停止",</t>
        </is>
      </c>
    </row>
    <row r="861">
      <c r="A861" s="9" t="n">
        <v>858</v>
      </c>
      <c r="B861" s="10" t="inlineStr">
        <is>
          <t xml:space="preserve">                         command=self._stop_embedded_scan,</t>
        </is>
      </c>
    </row>
    <row r="862">
      <c r="A862" s="7" t="n">
        <v>859</v>
      </c>
      <c r="B862" s="8" t="inlineStr">
        <is>
          <t xml:space="preserve">                         height=34, bg_color="#dc3545", fg_color="#ffffff",</t>
        </is>
      </c>
    </row>
    <row r="863">
      <c r="A863" s="9" t="n">
        <v>860</v>
      </c>
      <c r="B863" s="10" t="inlineStr">
        <is>
          <t xml:space="preserve">                         hover_color="#c82333", radius=8)</t>
        </is>
      </c>
    </row>
    <row r="864">
      <c r="A864" s="7" t="n">
        <v>861</v>
      </c>
      <c r="B864" s="8" t="inlineStr">
        <is>
          <t xml:space="preserve">        self._scan_btn_stop.pack(side="left", padx=2)</t>
        </is>
      </c>
    </row>
    <row r="865">
      <c r="A865" s="9" t="n">
        <v>862</v>
      </c>
      <c r="B865" s="10" t="inlineStr">
        <is>
          <t xml:space="preserve">        self._scan_btn_stop.configure(state="disabled")</t>
        </is>
      </c>
    </row>
    <row r="866">
      <c r="A866" s="7" t="n">
        <v>863</v>
      </c>
      <c r="B866" s="8" t="inlineStr">
        <is>
          <t xml:space="preserve">        self._scan_status = tb.Label(ctrl_frame, text="就绪", font=("Microsoft YaHei",9),</t>
        </is>
      </c>
    </row>
    <row r="867">
      <c r="A867" s="9" t="n">
        <v>864</v>
      </c>
      <c r="B867" s="10" t="inlineStr">
        <is>
          <t xml:space="preserve">                                     foreground="#6d6d6d")</t>
        </is>
      </c>
    </row>
    <row r="868">
      <c r="A868" s="7" t="n">
        <v>865</v>
      </c>
      <c r="B868" s="8" t="inlineStr">
        <is>
          <t xml:space="preserve">        self._scan_status.pack(side="right", padx=6)</t>
        </is>
      </c>
    </row>
    <row r="869">
      <c r="A869" s="9" t="n">
        <v>866</v>
      </c>
      <c r="B869" s="10" t="inlineStr"/>
    </row>
    <row r="870">
      <c r="A870" s="7" t="n">
        <v>867</v>
      </c>
      <c r="B870" s="8" t="inlineStr">
        <is>
          <t xml:space="preserve">        # 进度条</t>
        </is>
      </c>
    </row>
    <row r="871">
      <c r="A871" s="9" t="n">
        <v>868</v>
      </c>
      <c r="B871" s="10" t="inlineStr">
        <is>
          <t xml:space="preserve">        self._scan_progress = tb.Progressbar(scan_parent, mode="determinate", bootstyle="success")</t>
        </is>
      </c>
    </row>
    <row r="872">
      <c r="A872" s="7" t="n">
        <v>869</v>
      </c>
      <c r="B872" s="8" t="inlineStr">
        <is>
          <t xml:space="preserve">        self._scan_progress.pack(fill="x", pady=2)</t>
        </is>
      </c>
    </row>
    <row r="873">
      <c r="A873" s="9" t="n">
        <v>870</v>
      </c>
      <c r="B873" s="10" t="inlineStr">
        <is>
          <t xml:space="preserve">        self._scan_cur_file = tb.Label(scan_parent, text="",</t>
        </is>
      </c>
    </row>
    <row r="874">
      <c r="A874" s="7" t="n">
        <v>871</v>
      </c>
      <c r="B874" s="8" t="inlineStr">
        <is>
          <t xml:space="preserve">                                      font=("Microsoft YaHei",9), foreground="#888")</t>
        </is>
      </c>
    </row>
    <row r="875">
      <c r="A875" s="9" t="n">
        <v>872</v>
      </c>
      <c r="B875" s="10" t="inlineStr">
        <is>
          <t xml:space="preserve">        self._scan_cur_file.pack(anchor="w")</t>
        </is>
      </c>
    </row>
    <row r="876">
      <c r="A876" s="7" t="n">
        <v>873</v>
      </c>
      <c r="B876" s="8" t="inlineStr"/>
    </row>
    <row r="877">
      <c r="A877" s="9" t="n">
        <v>874</v>
      </c>
      <c r="B877" s="10" t="inlineStr">
        <is>
          <t xml:space="preserve">        # 实时日志</t>
        </is>
      </c>
    </row>
    <row r="878">
      <c r="A878" s="7" t="n">
        <v>875</v>
      </c>
      <c r="B878" s="8" t="inlineStr">
        <is>
          <t xml:space="preserve">        log_frame = tb.Labelframe(scan_parent, text="扫描日志", padding=4)</t>
        </is>
      </c>
    </row>
    <row r="879">
      <c r="A879" s="9" t="n">
        <v>876</v>
      </c>
      <c r="B879" s="10" t="inlineStr">
        <is>
          <t xml:space="preserve">        log_frame.pack(fill="both", expand=True, pady=(4,0))</t>
        </is>
      </c>
    </row>
    <row r="880">
      <c r="A880" s="7" t="n">
        <v>877</v>
      </c>
      <c r="B880" s="8" t="inlineStr">
        <is>
          <t xml:space="preserve">        self._scan_log = scrolledtext.ScrolledText(log_frame, font=("Consolas",10),</t>
        </is>
      </c>
    </row>
    <row r="881">
      <c r="A881" s="9" t="n">
        <v>878</v>
      </c>
      <c r="B881" s="10" t="inlineStr">
        <is>
          <t xml:space="preserve">                                                   height=12, bg="#1b1b1b", fg="#a5d6a7")</t>
        </is>
      </c>
    </row>
    <row r="882">
      <c r="A882" s="7" t="n">
        <v>879</v>
      </c>
      <c r="B882" s="8" t="inlineStr">
        <is>
          <t xml:space="preserve">        self._scan_log.pack(fill="both", expand=True)</t>
        </is>
      </c>
    </row>
    <row r="883">
      <c r="A883" s="9" t="n">
        <v>880</v>
      </c>
      <c r="B883" s="10" t="inlineStr"/>
    </row>
    <row r="884">
      <c r="A884" s="7" t="n">
        <v>881</v>
      </c>
      <c r="B884" s="8" t="inlineStr">
        <is>
          <t xml:space="preserve">        # 初始化扫描状态</t>
        </is>
      </c>
    </row>
    <row r="885">
      <c r="A885" s="9" t="n">
        <v>882</v>
      </c>
      <c r="B885" s="10" t="inlineStr">
        <is>
          <t xml:space="preserve">        self._scan_roots = None  # None=使用默认路径</t>
        </is>
      </c>
    </row>
    <row r="886">
      <c r="A886" s="7" t="n">
        <v>883</v>
      </c>
      <c r="B886" s="8" t="inlineStr">
        <is>
          <t xml:space="preserve">        self._scan_running = False</t>
        </is>
      </c>
    </row>
    <row r="887">
      <c r="A887" s="9" t="n">
        <v>884</v>
      </c>
      <c r="B887" s="10" t="inlineStr">
        <is>
          <t xml:space="preserve">        self._scan_paused = False</t>
        </is>
      </c>
    </row>
    <row r="888">
      <c r="A888" s="7" t="n">
        <v>885</v>
      </c>
      <c r="B888" s="8" t="inlineStr">
        <is>
          <t xml:space="preserve">        self._scan_analyzer = None</t>
        </is>
      </c>
    </row>
    <row r="889">
      <c r="A889" s="9" t="n">
        <v>886</v>
      </c>
      <c r="B889" s="10" t="inlineStr">
        <is>
          <t xml:space="preserve">        # v11.4: 注册数据库变更回调 -&gt; 刷新学习日志</t>
        </is>
      </c>
    </row>
    <row r="890">
      <c r="A890" s="7" t="n">
        <v>887</v>
      </c>
      <c r="B890" s="8" t="inlineStr">
        <is>
          <t xml:space="preserve">        try:</t>
        </is>
      </c>
    </row>
    <row r="891">
      <c r="A891" s="9" t="n">
        <v>888</v>
      </c>
      <c r="B891" s="10" t="inlineStr">
        <is>
          <t xml:space="preserve">            from core.database import db</t>
        </is>
      </c>
    </row>
    <row r="892">
      <c r="A892" s="7" t="n">
        <v>889</v>
      </c>
      <c r="B892" s="8" t="inlineStr">
        <is>
          <t xml:space="preserve">            db.register_callback(lambda vp: self.root.after(0, self._ll_refresh))</t>
        </is>
      </c>
    </row>
    <row r="893">
      <c r="A893" s="9" t="n">
        <v>890</v>
      </c>
      <c r="B893" s="10" t="inlineStr">
        <is>
          <t xml:space="preserve">        except Exception:</t>
        </is>
      </c>
    </row>
    <row r="894">
      <c r="A894" s="7" t="n">
        <v>891</v>
      </c>
      <c r="B894" s="8" t="inlineStr">
        <is>
          <t xml:space="preserve">            pass</t>
        </is>
      </c>
    </row>
    <row r="895">
      <c r="A895" s="9" t="n">
        <v>892</v>
      </c>
      <c r="B895" s="10" t="inlineStr"/>
    </row>
    <row r="896">
      <c r="A896" s="7" t="n">
        <v>893</v>
      </c>
      <c r="B896" s="8" t="inlineStr"/>
    </row>
    <row r="897">
      <c r="A897" s="9" t="n">
        <v>894</v>
      </c>
      <c r="B897" s="10" t="inlineStr">
        <is>
          <t xml:space="preserve">    # ── 辅助方法 ──</t>
        </is>
      </c>
    </row>
    <row r="898">
      <c r="A898" s="7" t="n">
        <v>895</v>
      </c>
      <c r="B898" s="8" t="inlineStr">
        <is>
          <t xml:space="preserve">    def _clear_lib_cache(self):</t>
        </is>
      </c>
    </row>
    <row r="899">
      <c r="A899" s="9" t="n">
        <v>896</v>
      </c>
      <c r="B899" s="10" t="inlineStr">
        <is>
          <t xml:space="preserve">        _get_ve().MaterialCacheManager.invalidate()</t>
        </is>
      </c>
    </row>
    <row r="900">
      <c r="A900" s="7" t="n">
        <v>897</v>
      </c>
      <c r="B900" s="8" t="inlineStr">
        <is>
          <t xml:space="preserve">        self.lib_status.config(text="缓存已清除")</t>
        </is>
      </c>
    </row>
    <row r="901">
      <c r="A901" s="9" t="n">
        <v>898</v>
      </c>
      <c r="B901" s="10" t="inlineStr"/>
    </row>
    <row r="902">
      <c r="A902" s="7" t="n">
        <v>899</v>
      </c>
      <c r="B902" s="8" t="inlineStr">
        <is>
          <t xml:space="preserve">    def _show_usage_stats(self):</t>
        </is>
      </c>
    </row>
    <row r="903">
      <c r="A903" s="9" t="n">
        <v>900</v>
      </c>
      <c r="B903" s="10" t="inlineStr">
        <is>
          <t xml:space="preserve">        try:</t>
        </is>
      </c>
    </row>
    <row r="904">
      <c r="A904" s="7" t="n">
        <v>901</v>
      </c>
      <c r="B904" s="8" t="inlineStr">
        <is>
          <t xml:space="preserve">            import io</t>
        </is>
      </c>
    </row>
    <row r="905">
      <c r="A905" s="9" t="n">
        <v>902</v>
      </c>
      <c r="B905" s="10" t="inlineStr">
        <is>
          <t xml:space="preserve">            buf = io.StringIO(); old = sys.stdout; sys.stdout = buf</t>
        </is>
      </c>
    </row>
    <row r="906">
      <c r="A906" s="7" t="n">
        <v>903</v>
      </c>
      <c r="B906" s="8" t="inlineStr">
        <is>
          <t xml:space="preserve">            _get_ve().MaterialUsageTracker.print_stats(top_n=20); sys.stdout = old</t>
        </is>
      </c>
    </row>
    <row r="907">
      <c r="A907" s="9" t="n">
        <v>904</v>
      </c>
      <c r="B907" s="10" t="inlineStr">
        <is>
          <t xml:space="preserve">            stats_text = buf.getvalue() or "暂无记录"</t>
        </is>
      </c>
    </row>
    <row r="908">
      <c r="A908" s="7" t="n">
        <v>905</v>
      </c>
      <c r="B908" s="8" t="inlineStr">
        <is>
          <t xml:space="preserve">            messagebox.showinfo("素材使用统计", stats_text[:1000])</t>
        </is>
      </c>
    </row>
    <row r="909">
      <c r="A909" s="9" t="n">
        <v>906</v>
      </c>
      <c r="B909" s="10" t="inlineStr">
        <is>
          <t xml:space="preserve">        except Exception as e:</t>
        </is>
      </c>
    </row>
    <row r="910">
      <c r="A910" s="7" t="n">
        <v>907</v>
      </c>
      <c r="B910" s="8" t="inlineStr">
        <is>
          <t xml:space="preserve">            self.lib_status.config(text=f"错误: {e}")</t>
        </is>
      </c>
    </row>
    <row r="911">
      <c r="A911" s="9" t="n">
        <v>908</v>
      </c>
      <c r="B911" s="10" t="inlineStr"/>
    </row>
    <row r="912">
      <c r="A912" s="7" t="n">
        <v>909</v>
      </c>
      <c r="B912" s="8" t="inlineStr">
        <is>
          <t xml:space="preserve">    def _on_refresh_lib(self):</t>
        </is>
      </c>
    </row>
    <row r="913">
      <c r="A913" s="9" t="n">
        <v>910</v>
      </c>
      <c r="B913" s="10" t="inlineStr">
        <is>
          <t xml:space="preserve">        self.lib_tree.delete(*self.lib_tree.get_children())</t>
        </is>
      </c>
    </row>
    <row r="914">
      <c r="A914" s="7" t="n">
        <v>911</v>
      </c>
      <c r="B914" s="8" t="inlineStr">
        <is>
          <t xml:space="preserve">        if not self._ve_ready: self.lib_status.config(text="加载中...")</t>
        </is>
      </c>
    </row>
    <row r="915">
      <c r="A915" s="9" t="n">
        <v>912</v>
      </c>
      <c r="B915" s="10" t="inlineStr">
        <is>
          <t xml:space="preserve">        def _r():</t>
        </is>
      </c>
    </row>
    <row r="916">
      <c r="A916" s="7" t="n">
        <v>913</v>
      </c>
      <c r="B916" s="8" t="inlineStr">
        <is>
          <t xml:space="preserve">            ve = _get_ve()</t>
        </is>
      </c>
    </row>
    <row r="917">
      <c r="A917" s="9" t="n">
        <v>914</v>
      </c>
      <c r="B917" s="10" t="inlineStr">
        <is>
          <t xml:space="preserve">            try:</t>
        </is>
      </c>
    </row>
    <row r="918">
      <c r="A918" s="7" t="n">
        <v>915</v>
      </c>
      <c r="B918" s="8" t="inlineStr">
        <is>
          <t xml:space="preserve">                pts = ve.list_available_selling_points()</t>
        </is>
      </c>
    </row>
    <row r="919">
      <c r="A919" s="9" t="n">
        <v>916</v>
      </c>
      <c r="B919" s="10" t="inlineStr">
        <is>
          <t xml:space="preserve">                self.root.after(0, lambda: [</t>
        </is>
      </c>
    </row>
    <row r="920">
      <c r="A920" s="7" t="n">
        <v>917</v>
      </c>
      <c r="B920" s="8" t="inlineStr">
        <is>
          <t xml:space="preserve">                    self.lib_tree.insert("","end",values=(p.get("original_name",""),p.get("mp4_count",0)))</t>
        </is>
      </c>
    </row>
    <row r="921">
      <c r="A921" s="9" t="n">
        <v>918</v>
      </c>
      <c r="B921" s="10" t="inlineStr">
        <is>
          <t xml:space="preserve">                    for p in pts])</t>
        </is>
      </c>
    </row>
    <row r="922">
      <c r="A922" s="7" t="n">
        <v>919</v>
      </c>
      <c r="B922" s="8" t="inlineStr">
        <is>
          <t xml:space="preserve">                self.root.after(0, lambda: self.lib_status.config(text=f"{len(pts)}个文件夹"))</t>
        </is>
      </c>
    </row>
    <row r="923">
      <c r="A923" s="9" t="n">
        <v>920</v>
      </c>
      <c r="B923" s="10" t="inlineStr">
        <is>
          <t xml:space="preserve">            except Exception as e:</t>
        </is>
      </c>
    </row>
    <row r="924">
      <c r="A924" s="7" t="n">
        <v>921</v>
      </c>
      <c r="B924" s="8" t="inlineStr">
        <is>
          <t xml:space="preserve">                self.root.after(0, lambda: self.lib_status.config(text=str(e)[:50]))</t>
        </is>
      </c>
    </row>
    <row r="925">
      <c r="A925" s="9" t="n">
        <v>922</v>
      </c>
      <c r="B925" s="10" t="inlineStr">
        <is>
          <t xml:space="preserve">        threading.Thread(target=_r, daemon=True).start()</t>
        </is>
      </c>
    </row>
    <row r="926">
      <c r="A926" s="7" t="n">
        <v>923</v>
      </c>
      <c r="B926" s="8" t="inlineStr"/>
    </row>
    <row r="927">
      <c r="A927" s="9" t="n">
        <v>924</v>
      </c>
      <c r="B927" s="10" t="inlineStr">
        <is>
          <t xml:space="preserve">    def _rebuild_faiss(self):</t>
        </is>
      </c>
    </row>
    <row r="928">
      <c r="A928" s="7" t="n">
        <v>925</v>
      </c>
      <c r="B928" s="8" t="inlineStr">
        <is>
          <t xml:space="preserve">        self._set_status("重建FAISS...")</t>
        </is>
      </c>
    </row>
    <row r="929">
      <c r="A929" s="9" t="n">
        <v>926</v>
      </c>
      <c r="B929" s="10" t="inlineStr">
        <is>
          <t xml:space="preserve">        def _r():</t>
        </is>
      </c>
    </row>
    <row r="930">
      <c r="A930" s="7" t="n">
        <v>927</v>
      </c>
      <c r="B930" s="8" t="inlineStr">
        <is>
          <t xml:space="preserve">            try:</t>
        </is>
      </c>
    </row>
    <row r="931">
      <c r="A931" s="9" t="n">
        <v>928</v>
      </c>
      <c r="B931" s="10" t="inlineStr">
        <is>
          <t xml:space="preserve">                from core.library_builder import LibraryBuilder</t>
        </is>
      </c>
    </row>
    <row r="932">
      <c r="A932" s="7" t="n">
        <v>929</v>
      </c>
      <c r="B932" s="8" t="inlineStr">
        <is>
          <t xml:space="preserve">                LibraryBuilder().build_faiss_index(progress=lambda m: self._log(m))</t>
        </is>
      </c>
    </row>
    <row r="933">
      <c r="A933" s="9" t="n">
        <v>930</v>
      </c>
      <c r="B933" s="10" t="inlineStr">
        <is>
          <t xml:space="preserve">                self.root.after(0, lambda: messagebox.showinfo("完成","FAISS索引重建完成"))</t>
        </is>
      </c>
    </row>
    <row r="934">
      <c r="A934" s="7" t="n">
        <v>931</v>
      </c>
      <c r="B934" s="8" t="inlineStr">
        <is>
          <t xml:space="preserve">            except Exception as e:</t>
        </is>
      </c>
    </row>
    <row r="935">
      <c r="A935" s="9" t="n">
        <v>932</v>
      </c>
      <c r="B935" s="10" t="inlineStr">
        <is>
          <t xml:space="preserve">                self.root.after(0, lambda: messagebox.showerror("错误",str(e)))</t>
        </is>
      </c>
    </row>
    <row r="936">
      <c r="A936" s="7" t="n">
        <v>933</v>
      </c>
      <c r="B936" s="8" t="inlineStr">
        <is>
          <t xml:space="preserve">        threading.Thread(target=_r, daemon=True).start()</t>
        </is>
      </c>
    </row>
    <row r="937">
      <c r="A937" s="9" t="n">
        <v>934</v>
      </c>
      <c r="B937" s="10" t="inlineStr"/>
    </row>
    <row r="938">
      <c r="A938" s="7" t="n">
        <v>935</v>
      </c>
      <c r="B938" s="8" t="inlineStr">
        <is>
          <t xml:space="preserve">    # ═══════════════════ 嵌入式后台扫描控制 ═══════════════════</t>
        </is>
      </c>
    </row>
    <row r="939">
      <c r="A939" s="9" t="n">
        <v>936</v>
      </c>
      <c r="B939" s="10" t="inlineStr"/>
    </row>
    <row r="940">
      <c r="A940" s="7" t="n">
        <v>937</v>
      </c>
      <c r="B940" s="8" t="inlineStr">
        <is>
          <t xml:space="preserve">    def _scan_choose_dir(self):</t>
        </is>
      </c>
    </row>
    <row r="941">
      <c r="A941" s="9" t="n">
        <v>938</v>
      </c>
      <c r="B941" s="10" t="inlineStr">
        <is>
          <t xml:space="preserve">        path = filedialog.askdirectory(title="选择要扫描的素材文件夹")</t>
        </is>
      </c>
    </row>
    <row r="942">
      <c r="A942" s="7" t="n">
        <v>939</v>
      </c>
      <c r="B942" s="8" t="inlineStr">
        <is>
          <t xml:space="preserve">        if path:</t>
        </is>
      </c>
    </row>
    <row r="943">
      <c r="A943" s="9" t="n">
        <v>940</v>
      </c>
      <c r="B943" s="10" t="inlineStr">
        <is>
          <t xml:space="preserve">            self._scan_roots = [path]</t>
        </is>
      </c>
    </row>
    <row r="944">
      <c r="A944" s="7" t="n">
        <v>941</v>
      </c>
      <c r="B944" s="8" t="inlineStr">
        <is>
          <t xml:space="preserve">            self._scan_paths_var.set(path)</t>
        </is>
      </c>
    </row>
    <row r="945">
      <c r="A945" s="9" t="n">
        <v>942</v>
      </c>
      <c r="B945" s="10" t="inlineStr">
        <is>
          <t xml:space="preserve">            self._add_scan_log(f"扫描目录设为: {path}")</t>
        </is>
      </c>
    </row>
    <row r="946">
      <c r="A946" s="7" t="n">
        <v>943</v>
      </c>
      <c r="B946" s="8" t="inlineStr"/>
    </row>
    <row r="947">
      <c r="A947" s="9" t="n">
        <v>944</v>
      </c>
      <c r="B947" s="10" t="inlineStr">
        <is>
          <t xml:space="preserve">    def _scan_use_default_dirs(self):</t>
        </is>
      </c>
    </row>
    <row r="948">
      <c r="A948" s="7" t="n">
        <v>945</v>
      </c>
      <c r="B948" s="8" t="inlineStr">
        <is>
          <t xml:space="preserve">        from core.config import SELLING_POINT_DIR, EFFECTS_DIR, B_GROUP_PATH</t>
        </is>
      </c>
    </row>
    <row r="949">
      <c r="A949" s="9" t="n">
        <v>946</v>
      </c>
      <c r="B949" s="10" t="inlineStr">
        <is>
          <t xml:space="preserve">        self._scan_roots = None</t>
        </is>
      </c>
    </row>
    <row r="950">
      <c r="A950" s="7" t="n">
        <v>947</v>
      </c>
      <c r="B950" s="8" t="inlineStr">
        <is>
          <t xml:space="preserve">        dirs = [SELLING_POINT_DIR, EFFECTS_DIR, B_GROUP_PATH]</t>
        </is>
      </c>
    </row>
    <row r="951">
      <c r="A951" s="9" t="n">
        <v>948</v>
      </c>
      <c r="B951" s="10" t="inlineStr">
        <is>
          <t xml:space="preserve">        existing = [d for d in dirs if os.path.exists(d)]</t>
        </is>
      </c>
    </row>
    <row r="952">
      <c r="A952" s="7" t="n">
        <v>949</v>
      </c>
      <c r="B952" s="8" t="inlineStr">
        <is>
          <t xml:space="preserve">        self._scan_paths_var.set(f"默认素材目录 ({len(existing)}个)")</t>
        </is>
      </c>
    </row>
    <row r="953">
      <c r="A953" s="9" t="n">
        <v>950</v>
      </c>
      <c r="B953" s="10" t="inlineStr">
        <is>
          <t xml:space="preserve">        self._add_scan_log(f"使用默认目录: {', '.join(existing) if existing else '(均不存在)'}")</t>
        </is>
      </c>
    </row>
    <row r="954">
      <c r="A954" s="7" t="n">
        <v>951</v>
      </c>
      <c r="B954" s="8" t="inlineStr"/>
    </row>
    <row r="955">
      <c r="A955" s="9" t="n">
        <v>952</v>
      </c>
      <c r="B955" s="10" t="inlineStr">
        <is>
          <t xml:space="preserve">    def _add_scan_log(self, msg):</t>
        </is>
      </c>
    </row>
    <row r="956">
      <c r="A956" s="7" t="n">
        <v>953</v>
      </c>
      <c r="B956" s="8" t="inlineStr">
        <is>
          <t xml:space="preserve">        ts = datetime.now().strftime("%H:%M:%S")</t>
        </is>
      </c>
    </row>
    <row r="957">
      <c r="A957" s="9" t="n">
        <v>954</v>
      </c>
      <c r="B957" s="10" t="inlineStr">
        <is>
          <t xml:space="preserve">        self.root.after(0, lambda: (</t>
        </is>
      </c>
    </row>
    <row r="958">
      <c r="A958" s="7" t="n">
        <v>955</v>
      </c>
      <c r="B958" s="8" t="inlineStr">
        <is>
          <t xml:space="preserve">            self._scan_log.insert("end", f"[{ts}] {msg}\n"),</t>
        </is>
      </c>
    </row>
    <row r="959">
      <c r="A959" s="9" t="n">
        <v>956</v>
      </c>
      <c r="B959" s="10" t="inlineStr">
        <is>
          <t xml:space="preserve">            self._scan_log.see("end")</t>
        </is>
      </c>
    </row>
    <row r="960">
      <c r="A960" s="7" t="n">
        <v>957</v>
      </c>
      <c r="B960" s="8" t="inlineStr">
        <is>
          <t xml:space="preserve">        ))</t>
        </is>
      </c>
    </row>
    <row r="961">
      <c r="A961" s="9" t="n">
        <v>958</v>
      </c>
      <c r="B961" s="10" t="inlineStr"/>
    </row>
    <row r="962">
      <c r="A962" s="7" t="n">
        <v>959</v>
      </c>
      <c r="B962" s="8" t="inlineStr">
        <is>
          <t xml:space="preserve">    def _set_scan_progress(self, current, total, status=""):</t>
        </is>
      </c>
    </row>
    <row r="963">
      <c r="A963" s="9" t="n">
        <v>960</v>
      </c>
      <c r="B963" s="10" t="inlineStr">
        <is>
          <t xml:space="preserve">        self.root.after(0, lambda: (</t>
        </is>
      </c>
    </row>
    <row r="964">
      <c r="A964" s="7" t="n">
        <v>961</v>
      </c>
      <c r="B964" s="8" t="inlineStr">
        <is>
          <t xml:space="preserve">            self._scan_progress.configure(value=current, maximum=max(1, total)),</t>
        </is>
      </c>
    </row>
    <row r="965">
      <c r="A965" s="9" t="n">
        <v>962</v>
      </c>
      <c r="B965" s="10" t="inlineStr">
        <is>
          <t xml:space="preserve">            self._scan_status.configure(text=status),</t>
        </is>
      </c>
    </row>
    <row r="966">
      <c r="A966" s="7" t="n">
        <v>963</v>
      </c>
      <c r="B966" s="8" t="inlineStr">
        <is>
          <t xml:space="preserve">            self._scan_cur_file.configure(text=status[:80] if status else "")</t>
        </is>
      </c>
    </row>
    <row r="967">
      <c r="A967" s="9" t="n">
        <v>964</v>
      </c>
      <c r="B967" s="10" t="inlineStr">
        <is>
          <t xml:space="preserve">        ))</t>
        </is>
      </c>
    </row>
    <row r="968">
      <c r="A968" s="7" t="n">
        <v>965</v>
      </c>
      <c r="B968" s="8" t="inlineStr"/>
    </row>
    <row r="969">
      <c r="A969" s="9" t="n">
        <v>966</v>
      </c>
      <c r="B969" s="10" t="inlineStr">
        <is>
          <t xml:space="preserve">    def _start_embedded_scan(self):</t>
        </is>
      </c>
    </row>
    <row r="970">
      <c r="A970" s="7" t="n">
        <v>967</v>
      </c>
      <c r="B970" s="8" t="inlineStr">
        <is>
          <t xml:space="preserve">        if self._scan_running and self._scan_paused:</t>
        </is>
      </c>
    </row>
    <row r="971">
      <c r="A971" s="9" t="n">
        <v>968</v>
      </c>
      <c r="B971" s="10" t="inlineStr">
        <is>
          <t xml:space="preserve">            self._scan_paused = False</t>
        </is>
      </c>
    </row>
    <row r="972">
      <c r="A972" s="7" t="n">
        <v>969</v>
      </c>
      <c r="B972" s="8" t="inlineStr">
        <is>
          <t xml:space="preserve">            if self._scan_analyzer:</t>
        </is>
      </c>
    </row>
    <row r="973">
      <c r="A973" s="9" t="n">
        <v>970</v>
      </c>
      <c r="B973" s="10" t="inlineStr">
        <is>
          <t xml:space="preserve">                self._scan_analyzer.resume()</t>
        </is>
      </c>
    </row>
    <row r="974">
      <c r="A974" s="7" t="n">
        <v>971</v>
      </c>
      <c r="B974" s="8" t="inlineStr">
        <is>
          <t xml:space="preserve">            self._scan_btn_pause.configure(text="暂停")</t>
        </is>
      </c>
    </row>
    <row r="975">
      <c r="A975" s="9" t="n">
        <v>972</v>
      </c>
      <c r="B975" s="10" t="inlineStr">
        <is>
          <t xml:space="preserve">            self._add_scan_log("▶ 扫描已继续")</t>
        </is>
      </c>
    </row>
    <row r="976">
      <c r="A976" s="7" t="n">
        <v>973</v>
      </c>
      <c r="B976" s="8" t="inlineStr">
        <is>
          <t xml:space="preserve">            return</t>
        </is>
      </c>
    </row>
    <row r="977">
      <c r="A977" s="9" t="n">
        <v>974</v>
      </c>
      <c r="B977" s="10" t="inlineStr">
        <is>
          <t xml:space="preserve">        if self._scan_running:</t>
        </is>
      </c>
    </row>
    <row r="978">
      <c r="A978" s="7" t="n">
        <v>975</v>
      </c>
      <c r="B978" s="8" t="inlineStr">
        <is>
          <t xml:space="preserve">            return</t>
        </is>
      </c>
    </row>
    <row r="979">
      <c r="A979" s="9" t="n">
        <v>976</v>
      </c>
      <c r="B979" s="10" t="inlineStr"/>
    </row>
    <row r="980">
      <c r="A980" s="7" t="n">
        <v>977</v>
      </c>
      <c r="B980" s="8" t="inlineStr">
        <is>
          <t xml:space="preserve">        from core.config import SELLING_POINT_DIR, EFFECTS_DIR, B_GROUP_PATH</t>
        </is>
      </c>
    </row>
    <row r="981">
      <c r="A981" s="9" t="n">
        <v>978</v>
      </c>
      <c r="B981" s="10" t="inlineStr">
        <is>
          <t xml:space="preserve">        default_dirs = [SELLING_POINT_DIR, EFFECTS_DIR, B_GROUP_PATH]</t>
        </is>
      </c>
    </row>
    <row r="982">
      <c r="A982" s="7" t="n">
        <v>979</v>
      </c>
      <c r="B982" s="8" t="inlineStr">
        <is>
          <t xml:space="preserve">        roots = self._scan_roots if self._scan_roots else default_dirs</t>
        </is>
      </c>
    </row>
    <row r="983">
      <c r="A983" s="9" t="n">
        <v>980</v>
      </c>
      <c r="B983" s="10" t="inlineStr">
        <is>
          <t xml:space="preserve">        existing = [d for d in roots if os.path.exists(d)]</t>
        </is>
      </c>
    </row>
    <row r="984">
      <c r="A984" s="7" t="n">
        <v>981</v>
      </c>
      <c r="B984" s="8" t="inlineStr"/>
    </row>
    <row r="985">
      <c r="A985" s="9" t="n">
        <v>982</v>
      </c>
      <c r="B985" s="10" t="inlineStr">
        <is>
          <t xml:space="preserve">        if not existing:</t>
        </is>
      </c>
    </row>
    <row r="986">
      <c r="A986" s="7" t="n">
        <v>983</v>
      </c>
      <c r="B986" s="8" t="inlineStr">
        <is>
          <t xml:space="preserve">            messagebox.showwarning("提示", "没有可用的扫描目录。请先选择文件夹。")</t>
        </is>
      </c>
    </row>
    <row r="987">
      <c r="A987" s="9" t="n">
        <v>984</v>
      </c>
      <c r="B987" s="10" t="inlineStr">
        <is>
          <t xml:space="preserve">            return</t>
        </is>
      </c>
    </row>
    <row r="988">
      <c r="A988" s="7" t="n">
        <v>985</v>
      </c>
      <c r="B988" s="8" t="inlineStr"/>
    </row>
    <row r="989">
      <c r="A989" s="9" t="n">
        <v>986</v>
      </c>
      <c r="B989" s="10" t="inlineStr">
        <is>
          <t xml:space="preserve">        self._scan_running = True</t>
        </is>
      </c>
    </row>
    <row r="990">
      <c r="A990" s="7" t="n">
        <v>987</v>
      </c>
      <c r="B990" s="8" t="inlineStr">
        <is>
          <t xml:space="preserve">        self._scan_paused = False</t>
        </is>
      </c>
    </row>
    <row r="991">
      <c r="A991" s="9" t="n">
        <v>988</v>
      </c>
      <c r="B991" s="10" t="inlineStr">
        <is>
          <t xml:space="preserve">        self._scan_log.delete("1.0", "end")</t>
        </is>
      </c>
    </row>
    <row r="992">
      <c r="A992" s="7" t="n">
        <v>989</v>
      </c>
      <c r="B992" s="8" t="inlineStr">
        <is>
          <t xml:space="preserve">        self._add_scan_log(f"=== 开始扫描 {len(existing)} 个目录 ===")</t>
        </is>
      </c>
    </row>
    <row r="993">
      <c r="A993" s="9" t="n">
        <v>990</v>
      </c>
      <c r="B993" s="10" t="inlineStr">
        <is>
          <t xml:space="preserve">        for d in existing:</t>
        </is>
      </c>
    </row>
    <row r="994">
      <c r="A994" s="7" t="n">
        <v>991</v>
      </c>
      <c r="B994" s="8" t="inlineStr">
        <is>
          <t xml:space="preserve">            self._add_scan_log(f"  {d}")</t>
        </is>
      </c>
    </row>
    <row r="995">
      <c r="A995" s="9" t="n">
        <v>992</v>
      </c>
      <c r="B995" s="10" t="inlineStr"/>
    </row>
    <row r="996">
      <c r="A996" s="7" t="n">
        <v>993</v>
      </c>
      <c r="B996" s="8" t="inlineStr">
        <is>
          <t xml:space="preserve">        self._scan_btn_start.configure(text="扫描中...")</t>
        </is>
      </c>
    </row>
    <row r="997">
      <c r="A997" s="9" t="n">
        <v>994</v>
      </c>
      <c r="B997" s="10" t="inlineStr">
        <is>
          <t xml:space="preserve">        self._scan_btn_start.configure(state="disabled")</t>
        </is>
      </c>
    </row>
    <row r="998">
      <c r="A998" s="7" t="n">
        <v>995</v>
      </c>
      <c r="B998" s="8" t="inlineStr">
        <is>
          <t xml:space="preserve">        self._scan_btn_pause.configure(state="normal")</t>
        </is>
      </c>
    </row>
    <row r="999">
      <c r="A999" s="9" t="n">
        <v>996</v>
      </c>
      <c r="B999" s="10" t="inlineStr">
        <is>
          <t xml:space="preserve">        self._scan_btn_stop.configure(state="normal")</t>
        </is>
      </c>
    </row>
    <row r="1000">
      <c r="A1000" s="7" t="n">
        <v>997</v>
      </c>
      <c r="B1000" s="8" t="inlineStr"/>
    </row>
    <row r="1001">
      <c r="A1001" s="9" t="n">
        <v>998</v>
      </c>
      <c r="B1001" s="10" t="inlineStr">
        <is>
          <t xml:space="preserve">        threading.Thread(target=self._run_embedded_scan, args=(existing,), daemon=True).start()</t>
        </is>
      </c>
    </row>
    <row r="1002">
      <c r="A1002" s="7" t="n">
        <v>999</v>
      </c>
      <c r="B1002" s="8" t="inlineStr"/>
    </row>
    <row r="1003">
      <c r="A1003" s="9" t="n">
        <v>1000</v>
      </c>
      <c r="B1003" s="10" t="inlineStr">
        <is>
          <t xml:space="preserve">    def _run_embedded_scan(self, root_dirs):</t>
        </is>
      </c>
    </row>
    <row r="1004">
      <c r="A1004" s="7" t="n">
        <v>1001</v>
      </c>
      <c r="B1004" s="8" t="inlineStr">
        <is>
          <t xml:space="preserve">        try:</t>
        </is>
      </c>
    </row>
    <row r="1005">
      <c r="A1005" s="9" t="n">
        <v>1002</v>
      </c>
      <c r="B1005" s="10" t="inlineStr">
        <is>
          <t xml:space="preserve">            from core.smart_analyzer import get_analyzer</t>
        </is>
      </c>
    </row>
    <row r="1006">
      <c r="A1006" s="7" t="n">
        <v>1003</v>
      </c>
      <c r="B1006" s="8" t="inlineStr">
        <is>
          <t xml:space="preserve">            self._scan_analyzer = get_analyzer()</t>
        </is>
      </c>
    </row>
    <row r="1007">
      <c r="A1007" s="9" t="n">
        <v>1004</v>
      </c>
      <c r="B1007" s="10" t="inlineStr">
        <is>
          <t xml:space="preserve">            self._scan_analyzer.reset_cancel()</t>
        </is>
      </c>
    </row>
    <row r="1008">
      <c r="A1008" s="7" t="n">
        <v>1005</v>
      </c>
      <c r="B1008" s="8" t="inlineStr"/>
    </row>
    <row r="1009">
      <c r="A1009" s="9" t="n">
        <v>1006</v>
      </c>
      <c r="B1009" s="10" t="inlineStr">
        <is>
          <t xml:space="preserve">            def _on_log(msg):</t>
        </is>
      </c>
    </row>
    <row r="1010">
      <c r="A1010" s="7" t="n">
        <v>1007</v>
      </c>
      <c r="B1010" s="8" t="inlineStr">
        <is>
          <t xml:space="preserve">                self._add_scan_log(msg)</t>
        </is>
      </c>
    </row>
    <row r="1011">
      <c r="A1011" s="9" t="n">
        <v>1008</v>
      </c>
      <c r="B1011" s="10" t="inlineStr"/>
    </row>
    <row r="1012">
      <c r="A1012" s="7" t="n">
        <v>1009</v>
      </c>
      <c r="B1012" s="8" t="inlineStr">
        <is>
          <t xml:space="preserve">            def _on_progress(current, total, status):</t>
        </is>
      </c>
    </row>
    <row r="1013">
      <c r="A1013" s="9" t="n">
        <v>1010</v>
      </c>
      <c r="B1013" s="10" t="inlineStr">
        <is>
          <t xml:space="preserve">                self._set_scan_progress(current, total, status)</t>
        </is>
      </c>
    </row>
    <row r="1014">
      <c r="A1014" s="7" t="n">
        <v>1011</v>
      </c>
      <c r="B1014" s="8" t="inlineStr"/>
    </row>
    <row r="1015">
      <c r="A1015" s="9" t="n">
        <v>1012</v>
      </c>
      <c r="B1015" s="10" t="inlineStr">
        <is>
          <t xml:space="preserve">            def _on_video_start(vp, idx, total):</t>
        </is>
      </c>
    </row>
    <row r="1016">
      <c r="A1016" s="7" t="n">
        <v>1013</v>
      </c>
      <c r="B1016" s="8" t="inlineStr">
        <is>
          <t xml:space="preserve">                fname = Path(vp).name</t>
        </is>
      </c>
    </row>
    <row r="1017">
      <c r="A1017" s="9" t="n">
        <v>1014</v>
      </c>
      <c r="B1017" s="10" t="inlineStr">
        <is>
          <t xml:space="preserve">                self._set_scan_progress(idx, total, f"[{idx}/{total}] {fname}")</t>
        </is>
      </c>
    </row>
    <row r="1018">
      <c r="A1018" s="7" t="n">
        <v>1015</v>
      </c>
      <c r="B1018" s="8" t="inlineStr"/>
    </row>
    <row r="1019">
      <c r="A1019" s="9" t="n">
        <v>1016</v>
      </c>
      <c r="B1019" s="10" t="inlineStr">
        <is>
          <t xml:space="preserve">            def _on_video_done(vp, result):</t>
        </is>
      </c>
    </row>
    <row r="1020">
      <c r="A1020" s="7" t="n">
        <v>1017</v>
      </c>
      <c r="B1020" s="8" t="inlineStr">
        <is>
          <t xml:space="preserve">                fname = Path(vp).name</t>
        </is>
      </c>
    </row>
    <row r="1021">
      <c r="A1021" s="9" t="n">
        <v>1018</v>
      </c>
      <c r="B1021" s="10" t="inlineStr">
        <is>
          <t xml:space="preserve">                island = result.get("island_found", 0)</t>
        </is>
      </c>
    </row>
    <row r="1022">
      <c r="A1022" s="7" t="n">
        <v>1019</v>
      </c>
      <c r="B1022" s="8" t="inlineStr">
        <is>
          <t xml:space="preserve">                saved = result.get("saved", 0)</t>
        </is>
      </c>
    </row>
    <row r="1023">
      <c r="A1023" s="9" t="n">
        <v>1020</v>
      </c>
      <c r="B1023" s="10" t="inlineStr">
        <is>
          <t xml:space="preserve">                if result.get("error"):</t>
        </is>
      </c>
    </row>
    <row r="1024">
      <c r="A1024" s="7" t="n">
        <v>1021</v>
      </c>
      <c r="B1024" s="8" t="inlineStr">
        <is>
          <t xml:space="preserve">                    self._add_scan_log(f"  ❌ {fname}: {result['error']}")</t>
        </is>
      </c>
    </row>
    <row r="1025">
      <c r="A1025" s="9" t="n">
        <v>1022</v>
      </c>
      <c r="B1025" s="10" t="inlineStr">
        <is>
          <t xml:space="preserve">                else:</t>
        </is>
      </c>
    </row>
    <row r="1026">
      <c r="A1026" s="7" t="n">
        <v>1023</v>
      </c>
      <c r="B1026" s="8" t="inlineStr">
        <is>
          <t xml:space="preserve">                    self._add_scan_log(f"  ✓ {fname}: {saved}帧入库, {island}岛台帧")</t>
        </is>
      </c>
    </row>
    <row r="1027">
      <c r="A1027" s="9" t="n">
        <v>1024</v>
      </c>
      <c r="B1027" s="10" t="inlineStr"/>
    </row>
    <row r="1028">
      <c r="A1028" s="7" t="n">
        <v>1025</v>
      </c>
      <c r="B1028" s="8" t="inlineStr">
        <is>
          <t xml:space="preserve">            summary = self._scan_analyzer.scan_videos(</t>
        </is>
      </c>
    </row>
    <row r="1029">
      <c r="A1029" s="9" t="n">
        <v>1026</v>
      </c>
      <c r="B1029" s="10" t="inlineStr">
        <is>
          <t xml:space="preserve">                root_dirs,</t>
        </is>
      </c>
    </row>
    <row r="1030">
      <c r="A1030" s="7" t="n">
        <v>1027</v>
      </c>
      <c r="B1030" s="8" t="inlineStr">
        <is>
          <t xml:space="preserve">                on_log=_on_log,</t>
        </is>
      </c>
    </row>
    <row r="1031">
      <c r="A1031" s="9" t="n">
        <v>1028</v>
      </c>
      <c r="B1031" s="10" t="inlineStr">
        <is>
          <t xml:space="preserve">                on_progress=_on_progress,</t>
        </is>
      </c>
    </row>
    <row r="1032">
      <c r="A1032" s="7" t="n">
        <v>1029</v>
      </c>
      <c r="B1032" s="8" t="inlineStr">
        <is>
          <t xml:space="preserve">                on_video_start=_on_video_start,</t>
        </is>
      </c>
    </row>
    <row r="1033">
      <c r="A1033" s="9" t="n">
        <v>1030</v>
      </c>
      <c r="B1033" s="10" t="inlineStr">
        <is>
          <t xml:space="preserve">                on_video_done=_on_video_done,</t>
        </is>
      </c>
    </row>
    <row r="1034">
      <c r="A1034" s="7" t="n">
        <v>1031</v>
      </c>
      <c r="B1034" s="8" t="inlineStr">
        <is>
          <t xml:space="preserve">            )</t>
        </is>
      </c>
    </row>
    <row r="1035">
      <c r="A1035" s="9" t="n">
        <v>1032</v>
      </c>
      <c r="B1035" s="10" t="inlineStr"/>
    </row>
    <row r="1036">
      <c r="A1036" s="7" t="n">
        <v>1033</v>
      </c>
      <c r="B1036" s="8" t="inlineStr">
        <is>
          <t xml:space="preserve">            total = summary["total"]</t>
        </is>
      </c>
    </row>
    <row r="1037">
      <c r="A1037" s="9" t="n">
        <v>1034</v>
      </c>
      <c r="B1037" s="10" t="inlineStr">
        <is>
          <t xml:space="preserve">            scanned = summary["scanned"]</t>
        </is>
      </c>
    </row>
    <row r="1038">
      <c r="A1038" s="7" t="n">
        <v>1035</v>
      </c>
      <c r="B1038" s="8" t="inlineStr">
        <is>
          <t xml:space="preserve">            island = summary["island_total"]</t>
        </is>
      </c>
    </row>
    <row r="1039">
      <c r="A1039" s="9" t="n">
        <v>1036</v>
      </c>
      <c r="B1039" s="10" t="inlineStr">
        <is>
          <t xml:space="preserve">            saved = summary["saved_total"]</t>
        </is>
      </c>
    </row>
    <row r="1040">
      <c r="A1040" s="7" t="n">
        <v>1037</v>
      </c>
      <c r="B1040" s="8" t="inlineStr">
        <is>
          <t xml:space="preserve">            errors = len(summary["errors"])</t>
        </is>
      </c>
    </row>
    <row r="1041">
      <c r="A1041" s="9" t="n">
        <v>1038</v>
      </c>
      <c r="B1041" s="10" t="inlineStr"/>
    </row>
    <row r="1042">
      <c r="A1042" s="7" t="n">
        <v>1039</v>
      </c>
      <c r="B1042" s="8" t="inlineStr">
        <is>
          <t xml:space="preserve">            self._add_scan_log("=" * 40)</t>
        </is>
      </c>
    </row>
    <row r="1043">
      <c r="A1043" s="9" t="n">
        <v>1040</v>
      </c>
      <c r="B1043" s="10" t="inlineStr">
        <is>
          <t xml:space="preserve">            self._add_scan_log(f"扫描完成: {scanned}/{total} 视频")</t>
        </is>
      </c>
    </row>
    <row r="1044">
      <c r="A1044" s="7" t="n">
        <v>1041</v>
      </c>
      <c r="B1044" s="8" t="inlineStr">
        <is>
          <t xml:space="preserve">            self._add_scan_log(f"岛台帧: {island}, 入库: {saved}, 错误: {errors}")</t>
        </is>
      </c>
    </row>
    <row r="1045">
      <c r="A1045" s="9" t="n">
        <v>1042</v>
      </c>
      <c r="B1045" s="10" t="inlineStr">
        <is>
          <t xml:space="preserve">            self._add_scan_log("💡 新入库素材将在下次生成时被检索到")</t>
        </is>
      </c>
    </row>
    <row r="1046">
      <c r="A1046" s="7" t="n">
        <v>1043</v>
      </c>
      <c r="B1046" s="8" t="inlineStr">
        <is>
          <t xml:space="preserve">            if saved &gt; 0:</t>
        </is>
      </c>
    </row>
    <row r="1047">
      <c r="A1047" s="9" t="n">
        <v>1044</v>
      </c>
      <c r="B1047" s="10" t="inlineStr">
        <is>
          <t xml:space="preserve">                self._add_scan_log("💡 建议点击「重建FAISS索引」使新素材立即生效")</t>
        </is>
      </c>
    </row>
    <row r="1048">
      <c r="A1048" s="7" t="n">
        <v>1045</v>
      </c>
      <c r="B1048" s="8" t="inlineStr"/>
    </row>
    <row r="1049">
      <c r="A1049" s="9" t="n">
        <v>1046</v>
      </c>
      <c r="B1049" s="10" t="inlineStr">
        <is>
          <t xml:space="preserve">            self.root.after(0, self._ll_refresh)</t>
        </is>
      </c>
    </row>
    <row r="1050">
      <c r="A1050" s="7" t="n">
        <v>1047</v>
      </c>
      <c r="B1050" s="8" t="inlineStr"/>
    </row>
    <row r="1051">
      <c r="A1051" s="9" t="n">
        <v>1048</v>
      </c>
      <c r="B1051" s="10" t="inlineStr">
        <is>
          <t xml:space="preserve">        except Exception as e:</t>
        </is>
      </c>
    </row>
    <row r="1052">
      <c r="A1052" s="7" t="n">
        <v>1049</v>
      </c>
      <c r="B1052" s="8" t="inlineStr">
        <is>
          <t xml:space="preserve">            self._add_scan_log(f"❌ 扫描异常: {e}")</t>
        </is>
      </c>
    </row>
    <row r="1053">
      <c r="A1053" s="9" t="n">
        <v>1050</v>
      </c>
      <c r="B1053" s="10" t="inlineStr">
        <is>
          <t xml:space="preserve">            import traceback</t>
        </is>
      </c>
    </row>
    <row r="1054">
      <c r="A1054" s="7" t="n">
        <v>1051</v>
      </c>
      <c r="B1054" s="8" t="inlineStr">
        <is>
          <t xml:space="preserve">            self._add_scan_log(traceback.format_exc()[:500])</t>
        </is>
      </c>
    </row>
    <row r="1055">
      <c r="A1055" s="9" t="n">
        <v>1052</v>
      </c>
      <c r="B1055" s="10" t="inlineStr">
        <is>
          <t xml:space="preserve">        finally:</t>
        </is>
      </c>
    </row>
    <row r="1056">
      <c r="A1056" s="7" t="n">
        <v>1053</v>
      </c>
      <c r="B1056" s="8" t="inlineStr">
        <is>
          <t xml:space="preserve">            self.root.after(0, self._on_scan_finished)</t>
        </is>
      </c>
    </row>
    <row r="1057">
      <c r="A1057" s="9" t="n">
        <v>1054</v>
      </c>
      <c r="B1057" s="10" t="inlineStr"/>
    </row>
    <row r="1058">
      <c r="A1058" s="7" t="n">
        <v>1055</v>
      </c>
      <c r="B1058" s="8" t="inlineStr">
        <is>
          <t xml:space="preserve">    def _on_scan_finished(self):</t>
        </is>
      </c>
    </row>
    <row r="1059">
      <c r="A1059" s="9" t="n">
        <v>1056</v>
      </c>
      <c r="B1059" s="10" t="inlineStr">
        <is>
          <t xml:space="preserve">        self._scan_running = False</t>
        </is>
      </c>
    </row>
    <row r="1060">
      <c r="A1060" s="7" t="n">
        <v>1057</v>
      </c>
      <c r="B1060" s="8" t="inlineStr">
        <is>
          <t xml:space="preserve">        self._scan_paused = False</t>
        </is>
      </c>
    </row>
    <row r="1061">
      <c r="A1061" s="9" t="n">
        <v>1058</v>
      </c>
      <c r="B1061" s="10" t="inlineStr">
        <is>
          <t xml:space="preserve">        self._scan_btn_start.configure(text="开始扫描")</t>
        </is>
      </c>
    </row>
    <row r="1062">
      <c r="A1062" s="7" t="n">
        <v>1059</v>
      </c>
      <c r="B1062" s="8" t="inlineStr">
        <is>
          <t xml:space="preserve">        self._scan_btn_start.configure(state="normal")</t>
        </is>
      </c>
    </row>
    <row r="1063">
      <c r="A1063" s="9" t="n">
        <v>1060</v>
      </c>
      <c r="B1063" s="10" t="inlineStr">
        <is>
          <t xml:space="preserve">        self._scan_btn_pause.configure(state="disabled")</t>
        </is>
      </c>
    </row>
    <row r="1064">
      <c r="A1064" s="7" t="n">
        <v>1061</v>
      </c>
      <c r="B1064" s="8" t="inlineStr">
        <is>
          <t xml:space="preserve">        self._scan_btn_stop.configure(state="disabled")</t>
        </is>
      </c>
    </row>
    <row r="1065">
      <c r="A1065" s="9" t="n">
        <v>1062</v>
      </c>
      <c r="B1065" s="10" t="inlineStr">
        <is>
          <t xml:space="preserve">        self._scan_status.configure(text="完成")</t>
        </is>
      </c>
    </row>
    <row r="1066">
      <c r="A1066" s="7" t="n">
        <v>1063</v>
      </c>
      <c r="B1066" s="8" t="inlineStr">
        <is>
          <t xml:space="preserve">        self._scan_analyzer = None</t>
        </is>
      </c>
    </row>
    <row r="1067">
      <c r="A1067" s="9" t="n">
        <v>1064</v>
      </c>
      <c r="B1067" s="10" t="inlineStr">
        <is>
          <t xml:space="preserve">        # v11.4: 注册数据库变更回调 -&gt; 刷新学习日志</t>
        </is>
      </c>
    </row>
    <row r="1068">
      <c r="A1068" s="7" t="n">
        <v>1065</v>
      </c>
      <c r="B1068" s="8" t="inlineStr">
        <is>
          <t xml:space="preserve">        try:</t>
        </is>
      </c>
    </row>
    <row r="1069">
      <c r="A1069" s="9" t="n">
        <v>1066</v>
      </c>
      <c r="B1069" s="10" t="inlineStr">
        <is>
          <t xml:space="preserve">            from core.database import db</t>
        </is>
      </c>
    </row>
    <row r="1070">
      <c r="A1070" s="7" t="n">
        <v>1067</v>
      </c>
      <c r="B1070" s="8" t="inlineStr">
        <is>
          <t xml:space="preserve">            db.register_callback(lambda vp: self.root.after(0, self._ll_refresh))</t>
        </is>
      </c>
    </row>
    <row r="1071">
      <c r="A1071" s="9" t="n">
        <v>1068</v>
      </c>
      <c r="B1071" s="10" t="inlineStr">
        <is>
          <t xml:space="preserve">        except Exception:</t>
        </is>
      </c>
    </row>
    <row r="1072">
      <c r="A1072" s="7" t="n">
        <v>1069</v>
      </c>
      <c r="B1072" s="8" t="inlineStr">
        <is>
          <t xml:space="preserve">            pass</t>
        </is>
      </c>
    </row>
    <row r="1073">
      <c r="A1073" s="9" t="n">
        <v>1070</v>
      </c>
      <c r="B1073" s="10" t="inlineStr"/>
    </row>
    <row r="1074">
      <c r="A1074" s="7" t="n">
        <v>1071</v>
      </c>
      <c r="B1074" s="8" t="inlineStr">
        <is>
          <t xml:space="preserve">    def _toggle_embedded_scan(self):</t>
        </is>
      </c>
    </row>
    <row r="1075">
      <c r="A1075" s="9" t="n">
        <v>1072</v>
      </c>
      <c r="B1075" s="10" t="inlineStr">
        <is>
          <t xml:space="preserve">        if not self._scan_running:</t>
        </is>
      </c>
    </row>
    <row r="1076">
      <c r="A1076" s="7" t="n">
        <v>1073</v>
      </c>
      <c r="B1076" s="8" t="inlineStr">
        <is>
          <t xml:space="preserve">            return</t>
        </is>
      </c>
    </row>
    <row r="1077">
      <c r="A1077" s="9" t="n">
        <v>1074</v>
      </c>
      <c r="B1077" s="10" t="inlineStr">
        <is>
          <t xml:space="preserve">        if self._scan_paused:</t>
        </is>
      </c>
    </row>
    <row r="1078">
      <c r="A1078" s="7" t="n">
        <v>1075</v>
      </c>
      <c r="B1078" s="8" t="inlineStr">
        <is>
          <t xml:space="preserve">            self._scan_paused = False</t>
        </is>
      </c>
    </row>
    <row r="1079">
      <c r="A1079" s="9" t="n">
        <v>1076</v>
      </c>
      <c r="B1079" s="10" t="inlineStr">
        <is>
          <t xml:space="preserve">            if self._scan_analyzer:</t>
        </is>
      </c>
    </row>
    <row r="1080">
      <c r="A1080" s="7" t="n">
        <v>1077</v>
      </c>
      <c r="B1080" s="8" t="inlineStr">
        <is>
          <t xml:space="preserve">                self._scan_analyzer.resume()</t>
        </is>
      </c>
    </row>
    <row r="1081">
      <c r="A1081" s="9" t="n">
        <v>1078</v>
      </c>
      <c r="B1081" s="10" t="inlineStr">
        <is>
          <t xml:space="preserve">            self._scan_btn_pause.configure(text="暂停")</t>
        </is>
      </c>
    </row>
    <row r="1082">
      <c r="A1082" s="7" t="n">
        <v>1079</v>
      </c>
      <c r="B1082" s="8" t="inlineStr">
        <is>
          <t xml:space="preserve">            self._add_scan_log("▶ 扫描已继续")</t>
        </is>
      </c>
    </row>
    <row r="1083">
      <c r="A1083" s="9" t="n">
        <v>1080</v>
      </c>
      <c r="B1083" s="10" t="inlineStr">
        <is>
          <t xml:space="preserve">        else:</t>
        </is>
      </c>
    </row>
    <row r="1084">
      <c r="A1084" s="7" t="n">
        <v>1081</v>
      </c>
      <c r="B1084" s="8" t="inlineStr">
        <is>
          <t xml:space="preserve">            self._scan_paused = True</t>
        </is>
      </c>
    </row>
    <row r="1085">
      <c r="A1085" s="9" t="n">
        <v>1082</v>
      </c>
      <c r="B1085" s="10" t="inlineStr">
        <is>
          <t xml:space="preserve">            if self._scan_analyzer:</t>
        </is>
      </c>
    </row>
    <row r="1086">
      <c r="A1086" s="7" t="n">
        <v>1083</v>
      </c>
      <c r="B1086" s="8" t="inlineStr">
        <is>
          <t xml:space="preserve">                self._scan_analyzer.pause()</t>
        </is>
      </c>
    </row>
    <row r="1087">
      <c r="A1087" s="9" t="n">
        <v>1084</v>
      </c>
      <c r="B1087" s="10" t="inlineStr">
        <is>
          <t xml:space="preserve">            self._scan_btn_pause.configure(text="继续")</t>
        </is>
      </c>
    </row>
    <row r="1088">
      <c r="A1088" s="7" t="n">
        <v>1085</v>
      </c>
      <c r="B1088" s="8" t="inlineStr">
        <is>
          <t xml:space="preserve">            self._add_scan_log("⏸ 扫描已暂停")</t>
        </is>
      </c>
    </row>
    <row r="1089">
      <c r="A1089" s="9" t="n">
        <v>1086</v>
      </c>
      <c r="B1089" s="10" t="inlineStr"/>
    </row>
    <row r="1090">
      <c r="A1090" s="7" t="n">
        <v>1087</v>
      </c>
      <c r="B1090" s="8" t="inlineStr">
        <is>
          <t xml:space="preserve">    def _stop_embedded_scan(self):</t>
        </is>
      </c>
    </row>
    <row r="1091">
      <c r="A1091" s="9" t="n">
        <v>1088</v>
      </c>
      <c r="B1091" s="10" t="inlineStr">
        <is>
          <t xml:space="preserve">        if not self._scan_running:</t>
        </is>
      </c>
    </row>
    <row r="1092">
      <c r="A1092" s="7" t="n">
        <v>1089</v>
      </c>
      <c r="B1092" s="8" t="inlineStr">
        <is>
          <t xml:space="preserve">            return</t>
        </is>
      </c>
    </row>
    <row r="1093">
      <c r="A1093" s="9" t="n">
        <v>1090</v>
      </c>
      <c r="B1093" s="10" t="inlineStr">
        <is>
          <t xml:space="preserve">        if self._scan_analyzer:</t>
        </is>
      </c>
    </row>
    <row r="1094">
      <c r="A1094" s="7" t="n">
        <v>1091</v>
      </c>
      <c r="B1094" s="8" t="inlineStr">
        <is>
          <t xml:space="preserve">            self._scan_analyzer.cancel()</t>
        </is>
      </c>
    </row>
    <row r="1095">
      <c r="A1095" s="9" t="n">
        <v>1092</v>
      </c>
      <c r="B1095" s="10" t="inlineStr">
        <is>
          <t xml:space="preserve">        self._scan_running = False</t>
        </is>
      </c>
    </row>
    <row r="1096">
      <c r="A1096" s="7" t="n">
        <v>1093</v>
      </c>
      <c r="B1096" s="8" t="inlineStr">
        <is>
          <t xml:space="preserve">        self._scan_paused = False</t>
        </is>
      </c>
    </row>
    <row r="1097">
      <c r="A1097" s="9" t="n">
        <v>1094</v>
      </c>
      <c r="B1097" s="10" t="inlineStr">
        <is>
          <t xml:space="preserve">        self._scan_btn_start.configure(state="normal")</t>
        </is>
      </c>
    </row>
    <row r="1098">
      <c r="A1098" s="7" t="n">
        <v>1095</v>
      </c>
      <c r="B1098" s="8" t="inlineStr">
        <is>
          <t xml:space="preserve">        self._scan_btn_pause.configure(state="disabled")</t>
        </is>
      </c>
    </row>
    <row r="1099">
      <c r="A1099" s="9" t="n">
        <v>1096</v>
      </c>
      <c r="B1099" s="10" t="inlineStr">
        <is>
          <t xml:space="preserve">        self._scan_btn_stop.configure(state="disabled")</t>
        </is>
      </c>
    </row>
    <row r="1100">
      <c r="A1100" s="7" t="n">
        <v>1097</v>
      </c>
      <c r="B1100" s="8" t="inlineStr">
        <is>
          <t xml:space="preserve">        self._add_scan_log("⏹ 扫描已停止")</t>
        </is>
      </c>
    </row>
    <row r="1101">
      <c r="A1101" s="9" t="n">
        <v>1098</v>
      </c>
      <c r="B1101" s="10" t="inlineStr"/>
    </row>
    <row r="1102">
      <c r="A1102" s="7" t="n">
        <v>1099</v>
      </c>
      <c r="B1102" s="8" t="inlineStr">
        <is>
          <t xml:space="preserve">    # ── 学习日志辅助方法 ──</t>
        </is>
      </c>
    </row>
    <row r="1103">
      <c r="A1103" s="9" t="n">
        <v>1100</v>
      </c>
      <c r="B1103" s="10" t="inlineStr">
        <is>
          <t xml:space="preserve">    def _ll_refresh(self):</t>
        </is>
      </c>
    </row>
    <row r="1104">
      <c r="A1104" s="7" t="n">
        <v>1101</v>
      </c>
      <c r="B1104" s="8" t="inlineStr">
        <is>
          <t xml:space="preserve">        try:</t>
        </is>
      </c>
    </row>
    <row r="1105">
      <c r="A1105" s="9" t="n">
        <v>1102</v>
      </c>
      <c r="B1105" s="10" t="inlineStr">
        <is>
          <t xml:space="preserve">            from core.database import db</t>
        </is>
      </c>
    </row>
    <row r="1106">
      <c r="A1106" s="7" t="n">
        <v>1103</v>
      </c>
      <c r="B1106" s="8" t="inlineStr">
        <is>
          <t xml:space="preserve">            self.ll_feedback_tree.delete(*self.ll_feedback_tree.get_children())</t>
        </is>
      </c>
    </row>
    <row r="1107">
      <c r="A1107" s="9" t="n">
        <v>1104</v>
      </c>
      <c r="B1107" s="10" t="inlineStr">
        <is>
          <t xml:space="preserve">            stats = db.get_all_feedback_stats(limit=50)</t>
        </is>
      </c>
    </row>
    <row r="1108">
      <c r="A1108" s="7" t="n">
        <v>1105</v>
      </c>
      <c r="B1108" s="8" t="inlineStr">
        <is>
          <t xml:space="preserve">            for s in stats:</t>
        </is>
      </c>
    </row>
    <row r="1109">
      <c r="A1109" s="9" t="n">
        <v>1106</v>
      </c>
      <c r="B1109" s="10" t="inlineStr">
        <is>
          <t xml:space="preserve">                self.ll_feedback_tree.insert("", "end", values=(</t>
        </is>
      </c>
    </row>
    <row r="1110">
      <c r="A1110" s="7" t="n">
        <v>1107</v>
      </c>
      <c r="B1110" s="8" t="inlineStr">
        <is>
          <t xml:space="preserve">                    s["path"][:70], f"{s['avg_rating']:.2f}", s["count"],</t>
        </is>
      </c>
    </row>
    <row r="1111">
      <c r="A1111" s="9" t="n">
        <v>1108</v>
      </c>
      <c r="B1111" s="10" t="inlineStr">
        <is>
          <t xml:space="preserve">                    (s.get("last_feedback","") or "")[:19]))</t>
        </is>
      </c>
    </row>
    <row r="1112">
      <c r="A1112" s="7" t="n">
        <v>1109</v>
      </c>
      <c r="B1112" s="8" t="inlineStr">
        <is>
          <t xml:space="preserve">            self.ll_low_tree.delete(*self.ll_low_tree.get_children())</t>
        </is>
      </c>
    </row>
    <row r="1113">
      <c r="A1113" s="9" t="n">
        <v>1110</v>
      </c>
      <c r="B1113" s="10" t="inlineStr">
        <is>
          <t xml:space="preserve">            low_mats = db.get_lowest_rated_materials(limit=20)</t>
        </is>
      </c>
    </row>
    <row r="1114">
      <c r="A1114" s="7" t="n">
        <v>1111</v>
      </c>
      <c r="B1114" s="8" t="inlineStr">
        <is>
          <t xml:space="preserve">            for m in low_mats:</t>
        </is>
      </c>
    </row>
    <row r="1115">
      <c r="A1115" s="9" t="n">
        <v>1112</v>
      </c>
      <c r="B1115" s="10" t="inlineStr">
        <is>
          <t xml:space="preserve">                path = m["path"]</t>
        </is>
      </c>
    </row>
    <row r="1116">
      <c r="A1116" s="7" t="n">
        <v>1113</v>
      </c>
      <c r="B1116" s="8" t="inlineStr">
        <is>
          <t xml:space="preserve">                blocked = db.is_material_blocked(path)</t>
        </is>
      </c>
    </row>
    <row r="1117">
      <c r="A1117" s="9" t="n">
        <v>1114</v>
      </c>
      <c r="B1117" s="10" t="inlineStr">
        <is>
          <t xml:space="preserve">                self.ll_low_tree.insert("", "end", values=(</t>
        </is>
      </c>
    </row>
    <row r="1118">
      <c r="A1118" s="7" t="n">
        <v>1115</v>
      </c>
      <c r="B1118" s="8" t="inlineStr">
        <is>
          <t xml:space="preserve">                    path[:70], f"{m['avg_rating']:.2f}", m["count"], "是" if blocked else "否"))</t>
        </is>
      </c>
    </row>
    <row r="1119">
      <c r="A1119" s="9" t="n">
        <v>1116</v>
      </c>
      <c r="B1119" s="10" t="inlineStr">
        <is>
          <t xml:space="preserve">            self.ll_status.config(text=f"已加载: {len(stats)}条反馈, {len(low_mats)}个低分素材")</t>
        </is>
      </c>
    </row>
    <row r="1120">
      <c r="A1120" s="7" t="n">
        <v>1117</v>
      </c>
      <c r="B1120" s="8" t="inlineStr">
        <is>
          <t xml:space="preserve">        except Exception as e:</t>
        </is>
      </c>
    </row>
    <row r="1121">
      <c r="A1121" s="9" t="n">
        <v>1118</v>
      </c>
      <c r="B1121" s="10" t="inlineStr">
        <is>
          <t xml:space="preserve">            self.ll_status.config(text=f"加载失败: {e}")</t>
        </is>
      </c>
    </row>
    <row r="1122">
      <c r="A1122" s="7" t="n">
        <v>1119</v>
      </c>
      <c r="B1122" s="8" t="inlineStr"/>
    </row>
    <row r="1123">
      <c r="A1123" s="9" t="n">
        <v>1120</v>
      </c>
      <c r="B1123" s="10" t="inlineStr">
        <is>
          <t xml:space="preserve">    def _ll_block_low(self):</t>
        </is>
      </c>
    </row>
    <row r="1124">
      <c r="A1124" s="7" t="n">
        <v>1121</v>
      </c>
      <c r="B1124" s="8" t="inlineStr">
        <is>
          <t xml:space="preserve">        try:</t>
        </is>
      </c>
    </row>
    <row r="1125">
      <c r="A1125" s="9" t="n">
        <v>1122</v>
      </c>
      <c r="B1125" s="10" t="inlineStr">
        <is>
          <t xml:space="preserve">            from core.database import db</t>
        </is>
      </c>
    </row>
    <row r="1126">
      <c r="A1126" s="7" t="n">
        <v>1123</v>
      </c>
      <c r="B1126" s="8" t="inlineStr">
        <is>
          <t xml:space="preserve">            low_mats = db.get_lowest_rated_materials(limit=50)</t>
        </is>
      </c>
    </row>
    <row r="1127">
      <c r="A1127" s="9" t="n">
        <v>1124</v>
      </c>
      <c r="B1127" s="10" t="inlineStr">
        <is>
          <t xml:space="preserve">            count = 0</t>
        </is>
      </c>
    </row>
    <row r="1128">
      <c r="A1128" s="7" t="n">
        <v>1125</v>
      </c>
      <c r="B1128" s="8" t="inlineStr">
        <is>
          <t xml:space="preserve">            for m in low_mats:</t>
        </is>
      </c>
    </row>
    <row r="1129">
      <c r="A1129" s="9" t="n">
        <v>1126</v>
      </c>
      <c r="B1129" s="10" t="inlineStr">
        <is>
          <t xml:space="preserve">                if not db.is_material_blocked(m["path"]):</t>
        </is>
      </c>
    </row>
    <row r="1130">
      <c r="A1130" s="7" t="n">
        <v>1127</v>
      </c>
      <c r="B1130" s="8" t="inlineStr">
        <is>
          <t xml:space="preserve">                    db.block_material(m["path"])</t>
        </is>
      </c>
    </row>
    <row r="1131">
      <c r="A1131" s="9" t="n">
        <v>1128</v>
      </c>
      <c r="B1131" s="10" t="inlineStr">
        <is>
          <t xml:space="preserve">                    count += 1</t>
        </is>
      </c>
    </row>
    <row r="1132">
      <c r="A1132" s="7" t="n">
        <v>1129</v>
      </c>
      <c r="B1132" s="8" t="inlineStr">
        <is>
          <t xml:space="preserve">            messagebox.showinfo("完成", f"已拉黑 {count} 个低分素材")</t>
        </is>
      </c>
    </row>
    <row r="1133">
      <c r="A1133" s="9" t="n">
        <v>1130</v>
      </c>
      <c r="B1133" s="10" t="inlineStr">
        <is>
          <t xml:space="preserve">            self._ll_refresh()</t>
        </is>
      </c>
    </row>
    <row r="1134">
      <c r="A1134" s="7" t="n">
        <v>1131</v>
      </c>
      <c r="B1134" s="8" t="inlineStr">
        <is>
          <t xml:space="preserve">        except Exception as e:</t>
        </is>
      </c>
    </row>
    <row r="1135">
      <c r="A1135" s="9" t="n">
        <v>1132</v>
      </c>
      <c r="B1135" s="10" t="inlineStr">
        <is>
          <t xml:space="preserve">            messagebox.showerror("错误", f"拉黑失败: {e}")</t>
        </is>
      </c>
    </row>
    <row r="1136">
      <c r="A1136" s="7" t="n">
        <v>1133</v>
      </c>
      <c r="B1136" s="8" t="inlineStr"/>
    </row>
    <row r="1137">
      <c r="A1137" s="9" t="n">
        <v>1134</v>
      </c>
      <c r="B1137" s="10" t="inlineStr">
        <is>
          <t xml:space="preserve">    def _ll_block_selected(self):</t>
        </is>
      </c>
    </row>
    <row r="1138">
      <c r="A1138" s="7" t="n">
        <v>1135</v>
      </c>
      <c r="B1138" s="8" t="inlineStr">
        <is>
          <t xml:space="preserve">        sel = self.ll_low_tree.selection()</t>
        </is>
      </c>
    </row>
    <row r="1139">
      <c r="A1139" s="9" t="n">
        <v>1136</v>
      </c>
      <c r="B1139" s="10" t="inlineStr">
        <is>
          <t xml:space="preserve">        if not sel: return</t>
        </is>
      </c>
    </row>
    <row r="1140">
      <c r="A1140" s="7" t="n">
        <v>1137</v>
      </c>
      <c r="B1140" s="8" t="inlineStr">
        <is>
          <t xml:space="preserve">        try:</t>
        </is>
      </c>
    </row>
    <row r="1141">
      <c r="A1141" s="9" t="n">
        <v>1138</v>
      </c>
      <c r="B1141" s="10" t="inlineStr">
        <is>
          <t xml:space="preserve">            from core.database import db</t>
        </is>
      </c>
    </row>
    <row r="1142">
      <c r="A1142" s="7" t="n">
        <v>1139</v>
      </c>
      <c r="B1142" s="8" t="inlineStr">
        <is>
          <t xml:space="preserve">            count = 0</t>
        </is>
      </c>
    </row>
    <row r="1143">
      <c r="A1143" s="9" t="n">
        <v>1140</v>
      </c>
      <c r="B1143" s="10" t="inlineStr">
        <is>
          <t xml:space="preserve">            all_low = db.get_lowest_rated_materials(limit=20)</t>
        </is>
      </c>
    </row>
    <row r="1144">
      <c r="A1144" s="7" t="n">
        <v>1141</v>
      </c>
      <c r="B1144" s="8" t="inlineStr">
        <is>
          <t xml:space="preserve">            for item in sel:</t>
        </is>
      </c>
    </row>
    <row r="1145">
      <c r="A1145" s="9" t="n">
        <v>1142</v>
      </c>
      <c r="B1145" s="10" t="inlineStr">
        <is>
          <t xml:space="preserve">                path_val = self.ll_low_tree.item(item, "values")[0]</t>
        </is>
      </c>
    </row>
    <row r="1146">
      <c r="A1146" s="7" t="n">
        <v>1143</v>
      </c>
      <c r="B1146" s="8" t="inlineStr">
        <is>
          <t xml:space="preserve">                for m in all_low:</t>
        </is>
      </c>
    </row>
    <row r="1147">
      <c r="A1147" s="9" t="n">
        <v>1144</v>
      </c>
      <c r="B1147" s="10" t="inlineStr">
        <is>
          <t xml:space="preserve">                    if m["path"][-len(path_val):] == path_val or path_val in m["path"]:</t>
        </is>
      </c>
    </row>
    <row r="1148">
      <c r="A1148" s="7" t="n">
        <v>1145</v>
      </c>
      <c r="B1148" s="8" t="inlineStr">
        <is>
          <t xml:space="preserve">                        db.block_material(m["path"]); count += 1; break</t>
        </is>
      </c>
    </row>
    <row r="1149">
      <c r="A1149" s="9" t="n">
        <v>1146</v>
      </c>
      <c r="B1149" s="10" t="inlineStr">
        <is>
          <t xml:space="preserve">            messagebox.showinfo("完成", f"已拉黑 {count} 个素材"); self._ll_refresh()</t>
        </is>
      </c>
    </row>
    <row r="1150">
      <c r="A1150" s="7" t="n">
        <v>1147</v>
      </c>
      <c r="B1150" s="8" t="inlineStr">
        <is>
          <t xml:space="preserve">        except Exception as e:</t>
        </is>
      </c>
    </row>
    <row r="1151">
      <c r="A1151" s="9" t="n">
        <v>1148</v>
      </c>
      <c r="B1151" s="10" t="inlineStr">
        <is>
          <t xml:space="preserve">            messagebox.showerror("错误", f"拉黑失败: {e}")</t>
        </is>
      </c>
    </row>
    <row r="1152">
      <c r="A1152" s="7" t="n">
        <v>1149</v>
      </c>
      <c r="B1152" s="8" t="inlineStr"/>
    </row>
    <row r="1153">
      <c r="A1153" s="9" t="n">
        <v>1150</v>
      </c>
      <c r="B1153" s="10" t="inlineStr">
        <is>
          <t xml:space="preserve">    def _ll_unblock_selected(self):</t>
        </is>
      </c>
    </row>
    <row r="1154">
      <c r="A1154" s="7" t="n">
        <v>1151</v>
      </c>
      <c r="B1154" s="8" t="inlineStr">
        <is>
          <t xml:space="preserve">        sel = self.ll_low_tree.selection()</t>
        </is>
      </c>
    </row>
    <row r="1155">
      <c r="A1155" s="9" t="n">
        <v>1152</v>
      </c>
      <c r="B1155" s="10" t="inlineStr">
        <is>
          <t xml:space="preserve">        if not sel: return</t>
        </is>
      </c>
    </row>
    <row r="1156">
      <c r="A1156" s="7" t="n">
        <v>1153</v>
      </c>
      <c r="B1156" s="8" t="inlineStr">
        <is>
          <t xml:space="preserve">        try:</t>
        </is>
      </c>
    </row>
    <row r="1157">
      <c r="A1157" s="9" t="n">
        <v>1154</v>
      </c>
      <c r="B1157" s="10" t="inlineStr">
        <is>
          <t xml:space="preserve">            from core.database import db</t>
        </is>
      </c>
    </row>
    <row r="1158">
      <c r="A1158" s="7" t="n">
        <v>1155</v>
      </c>
      <c r="B1158" s="8" t="inlineStr">
        <is>
          <t xml:space="preserve">            count = 0</t>
        </is>
      </c>
    </row>
    <row r="1159">
      <c r="A1159" s="9" t="n">
        <v>1156</v>
      </c>
      <c r="B1159" s="10" t="inlineStr">
        <is>
          <t xml:space="preserve">            all_low = db.get_lowest_rated_materials(limit=20)</t>
        </is>
      </c>
    </row>
    <row r="1160">
      <c r="A1160" s="7" t="n">
        <v>1157</v>
      </c>
      <c r="B1160" s="8" t="inlineStr">
        <is>
          <t xml:space="preserve">            for item in sel:</t>
        </is>
      </c>
    </row>
    <row r="1161">
      <c r="A1161" s="9" t="n">
        <v>1158</v>
      </c>
      <c r="B1161" s="10" t="inlineStr">
        <is>
          <t xml:space="preserve">                path_val = self.ll_low_tree.item(item, "values")[0]</t>
        </is>
      </c>
    </row>
    <row r="1162">
      <c r="A1162" s="7" t="n">
        <v>1159</v>
      </c>
      <c r="B1162" s="8" t="inlineStr">
        <is>
          <t xml:space="preserve">                for m in all_low:</t>
        </is>
      </c>
    </row>
    <row r="1163">
      <c r="A1163" s="9" t="n">
        <v>1160</v>
      </c>
      <c r="B1163" s="10" t="inlineStr">
        <is>
          <t xml:space="preserve">                    if m["path"][-len(path_val):] == path_val or path_val in m["path"]:</t>
        </is>
      </c>
    </row>
    <row r="1164">
      <c r="A1164" s="7" t="n">
        <v>1161</v>
      </c>
      <c r="B1164" s="8" t="inlineStr">
        <is>
          <t xml:space="preserve">                        with db.get_connection() as conn:</t>
        </is>
      </c>
    </row>
    <row r="1165">
      <c r="A1165" s="9" t="n">
        <v>1162</v>
      </c>
      <c r="B1165" s="10" t="inlineStr">
        <is>
          <t xml:space="preserve">                            conn.execute("UPDATE materials SET blocked=0 WHERE video_path=?", (m["path"],))</t>
        </is>
      </c>
    </row>
    <row r="1166">
      <c r="A1166" s="7" t="n">
        <v>1163</v>
      </c>
      <c r="B1166" s="8" t="inlineStr">
        <is>
          <t xml:space="preserve">                        count += 1; break</t>
        </is>
      </c>
    </row>
    <row r="1167">
      <c r="A1167" s="9" t="n">
        <v>1164</v>
      </c>
      <c r="B1167" s="10" t="inlineStr">
        <is>
          <t xml:space="preserve">            messagebox.showinfo("完成", f"已取消拉黑 {count} 个素材"); self._ll_refresh()</t>
        </is>
      </c>
    </row>
    <row r="1168">
      <c r="A1168" s="7" t="n">
        <v>1165</v>
      </c>
      <c r="B1168" s="8" t="inlineStr">
        <is>
          <t xml:space="preserve">        except Exception as e:</t>
        </is>
      </c>
    </row>
    <row r="1169">
      <c r="A1169" s="9" t="n">
        <v>1166</v>
      </c>
      <c r="B1169" s="10" t="inlineStr">
        <is>
          <t xml:space="preserve">            messagebox.showerror("错误", f"取消失败: {e}")</t>
        </is>
      </c>
    </row>
    <row r="1170">
      <c r="A1170" s="7" t="n">
        <v>1167</v>
      </c>
      <c r="B1170" s="8" t="inlineStr"/>
    </row>
    <row r="1171">
      <c r="A1171" s="9" t="n">
        <v>1168</v>
      </c>
      <c r="B1171" s="10" t="inlineStr">
        <is>
          <t xml:space="preserve">    def _disk_browse(self):</t>
        </is>
      </c>
    </row>
    <row r="1172">
      <c r="A1172" s="7" t="n">
        <v>1169</v>
      </c>
      <c r="B1172" s="8" t="inlineStr">
        <is>
          <t xml:space="preserve">        path = filedialog.askdirectory(title="选择包含视频的文件夹")</t>
        </is>
      </c>
    </row>
    <row r="1173">
      <c r="A1173" s="9" t="n">
        <v>1170</v>
      </c>
      <c r="B1173" s="10" t="inlineStr">
        <is>
          <t xml:space="preserve">        if path: self._load_disk_videos(path)</t>
        </is>
      </c>
    </row>
    <row r="1174">
      <c r="A1174" s="7" t="n">
        <v>1171</v>
      </c>
      <c r="B1174" s="8" t="inlineStr"/>
    </row>
    <row r="1175">
      <c r="A1175" s="9" t="n">
        <v>1172</v>
      </c>
      <c r="B1175" s="10" t="inlineStr">
        <is>
          <t xml:space="preserve">    def _disk_quick(self):</t>
        </is>
      </c>
    </row>
    <row r="1176">
      <c r="A1176" s="7" t="n">
        <v>1173</v>
      </c>
      <c r="B1176" s="8" t="inlineStr">
        <is>
          <t xml:space="preserve">        self.disk_status.config(text="扫描常用位置...")</t>
        </is>
      </c>
    </row>
    <row r="1177">
      <c r="A1177" s="9" t="n">
        <v>1174</v>
      </c>
      <c r="B1177" s="10" t="inlineStr">
        <is>
          <t xml:space="preserve">        def _s():</t>
        </is>
      </c>
    </row>
    <row r="1178">
      <c r="A1178" s="7" t="n">
        <v>1175</v>
      </c>
      <c r="B1178" s="8" t="inlineStr">
        <is>
          <t xml:space="preserve">            from core.drive_scanner import get_scanner</t>
        </is>
      </c>
    </row>
    <row r="1179">
      <c r="A1179" s="9" t="n">
        <v>1176</v>
      </c>
      <c r="B1179" s="10" t="inlineStr">
        <is>
          <t xml:space="preserve">            entries = get_scanner().get_quick_scan()</t>
        </is>
      </c>
    </row>
    <row r="1180">
      <c r="A1180" s="7" t="n">
        <v>1177</v>
      </c>
      <c r="B1180" s="8" t="inlineStr">
        <is>
          <t xml:space="preserve">            if entries:</t>
        </is>
      </c>
    </row>
    <row r="1181">
      <c r="A1181" s="9" t="n">
        <v>1178</v>
      </c>
      <c r="B1181" s="10" t="inlineStr">
        <is>
          <t xml:space="preserve">                # 自动展开第一个</t>
        </is>
      </c>
    </row>
    <row r="1182">
      <c r="A1182" s="7" t="n">
        <v>1179</v>
      </c>
      <c r="B1182" s="8" t="inlineStr">
        <is>
          <t xml:space="preserve">                path = entries[0].path</t>
        </is>
      </c>
    </row>
    <row r="1183">
      <c r="A1183" s="9" t="n">
        <v>1180</v>
      </c>
      <c r="B1183" s="10" t="inlineStr">
        <is>
          <t xml:space="preserve">                self.root.after(0, lambda: self._load_disk_videos(path))</t>
        </is>
      </c>
    </row>
    <row r="1184">
      <c r="A1184" s="7" t="n">
        <v>1181</v>
      </c>
      <c r="B1184" s="8" t="inlineStr">
        <is>
          <t xml:space="preserve">            self.root.after(0, lambda: self.disk_status.config(text="扫描完成"))</t>
        </is>
      </c>
    </row>
    <row r="1185">
      <c r="A1185" s="9" t="n">
        <v>1182</v>
      </c>
      <c r="B1185" s="10" t="inlineStr">
        <is>
          <t xml:space="preserve">        threading.Thread(target=_s, daemon=True).start()</t>
        </is>
      </c>
    </row>
    <row r="1186">
      <c r="A1186" s="7" t="n">
        <v>1183</v>
      </c>
      <c r="B1186" s="8" t="inlineStr"/>
    </row>
    <row r="1187">
      <c r="A1187" s="9" t="n">
        <v>1184</v>
      </c>
      <c r="B1187" s="10" t="inlineStr">
        <is>
          <t xml:space="preserve">    def _load_disk_videos(self, path):</t>
        </is>
      </c>
    </row>
    <row r="1188">
      <c r="A1188" s="7" t="n">
        <v>1185</v>
      </c>
      <c r="B1188" s="8" t="inlineStr">
        <is>
          <t xml:space="preserve">        self.disk_vids.delete(*self.disk_vids.get_children())</t>
        </is>
      </c>
    </row>
    <row r="1189">
      <c r="A1189" s="9" t="n">
        <v>1186</v>
      </c>
      <c r="B1189" s="10" t="inlineStr">
        <is>
          <t xml:space="preserve">        if hasattr(self, '_disk_preview_tree'):</t>
        </is>
      </c>
    </row>
    <row r="1190">
      <c r="A1190" s="7" t="n">
        <v>1187</v>
      </c>
      <c r="B1190" s="8" t="inlineStr">
        <is>
          <t xml:space="preserve">            self._disk_preview_tree.delete(*self._disk_preview_tree.get_children())</t>
        </is>
      </c>
    </row>
    <row r="1191">
      <c r="A1191" s="9" t="n">
        <v>1188</v>
      </c>
      <c r="B1191" s="10" t="inlineStr">
        <is>
          <t xml:space="preserve">        self.disk_status.config(text=f"加载中: {path[:50]}...")</t>
        </is>
      </c>
    </row>
    <row r="1192">
      <c r="A1192" s="7" t="n">
        <v>1189</v>
      </c>
      <c r="B1192" s="8" t="inlineStr">
        <is>
          <t xml:space="preserve">        if hasattr(self, '_disk_preview_status'):</t>
        </is>
      </c>
    </row>
    <row r="1193">
      <c r="A1193" s="9" t="n">
        <v>1190</v>
      </c>
      <c r="B1193" s="10" t="inlineStr">
        <is>
          <t xml:space="preserve">            self._disk_preview_status.config(text=f"加载: {Path(path).name}")</t>
        </is>
      </c>
    </row>
    <row r="1194">
      <c r="A1194" s="7" t="n">
        <v>1191</v>
      </c>
      <c r="B1194" s="8" t="inlineStr">
        <is>
          <t xml:space="preserve">        def _l():</t>
        </is>
      </c>
    </row>
    <row r="1195">
      <c r="A1195" s="9" t="n">
        <v>1192</v>
      </c>
      <c r="B1195" s="10" t="inlineStr">
        <is>
          <t xml:space="preserve">            from core.drive_scanner import get_scanner</t>
        </is>
      </c>
    </row>
    <row r="1196">
      <c r="A1196" s="7" t="n">
        <v>1193</v>
      </c>
      <c r="B1196" s="8" t="inlineStr">
        <is>
          <t xml:space="preserve">            vids = get_scanner().list_videos(path)[:300]</t>
        </is>
      </c>
    </row>
    <row r="1197">
      <c r="A1197" s="9" t="n">
        <v>1194</v>
      </c>
      <c r="B1197" s="10" t="inlineStr">
        <is>
          <t xml:space="preserve">            def _fill():</t>
        </is>
      </c>
    </row>
    <row r="1198">
      <c r="A1198" s="7" t="n">
        <v>1195</v>
      </c>
      <c r="B1198" s="8" t="inlineStr">
        <is>
          <t xml:space="preserve">                for v in vids:</t>
        </is>
      </c>
    </row>
    <row r="1199">
      <c r="A1199" s="9" t="n">
        <v>1196</v>
      </c>
      <c r="B1199" s="10" t="inlineStr">
        <is>
          <t xml:space="preserve">                    vals = (v.name[:60], f"{v.size_mb:.1f}MB", v.duration_str)</t>
        </is>
      </c>
    </row>
    <row r="1200">
      <c r="A1200" s="7" t="n">
        <v>1197</v>
      </c>
      <c r="B1200" s="8" t="inlineStr">
        <is>
          <t xml:space="preserve">                    self.disk_vids.insert("","end", values=vals, tags=(v.path,))</t>
        </is>
      </c>
    </row>
    <row r="1201">
      <c r="A1201" s="9" t="n">
        <v>1198</v>
      </c>
      <c r="B1201" s="10" t="inlineStr">
        <is>
          <t xml:space="preserve">                    if hasattr(self, '_disk_preview_tree'):</t>
        </is>
      </c>
    </row>
    <row r="1202">
      <c r="A1202" s="7" t="n">
        <v>1199</v>
      </c>
      <c r="B1202" s="8" t="inlineStr">
        <is>
          <t xml:space="preserve">                        self._disk_preview_tree.insert("","end", values=vals, tags=(v.path,))</t>
        </is>
      </c>
    </row>
    <row r="1203">
      <c r="A1203" s="9" t="n">
        <v>1200</v>
      </c>
      <c r="B1203" s="10" t="inlineStr">
        <is>
          <t xml:space="preserve">                self.disk_status.config(text=f"{len(vids)}个视频")</t>
        </is>
      </c>
    </row>
    <row r="1204">
      <c r="A1204" s="7" t="n">
        <v>1201</v>
      </c>
      <c r="B1204" s="8" t="inlineStr">
        <is>
          <t xml:space="preserve">                if hasattr(self, '_disk_preview_status'):</t>
        </is>
      </c>
    </row>
    <row r="1205">
      <c r="A1205" s="9" t="n">
        <v>1202</v>
      </c>
      <c r="B1205" s="10" t="inlineStr">
        <is>
          <t xml:space="preserve">                    self._disk_preview_status.config(text=f"{len(vids)}个视频 已加载")</t>
        </is>
      </c>
    </row>
    <row r="1206">
      <c r="A1206" s="7" t="n">
        <v>1203</v>
      </c>
      <c r="B1206" s="8" t="inlineStr">
        <is>
          <t xml:space="preserve">            self.root.after(0, _fill)</t>
        </is>
      </c>
    </row>
    <row r="1207">
      <c r="A1207" s="9" t="n">
        <v>1204</v>
      </c>
      <c r="B1207" s="10" t="inlineStr">
        <is>
          <t xml:space="preserve">        threading.Thread(target=_l, daemon=True).start()</t>
        </is>
      </c>
    </row>
    <row r="1208">
      <c r="A1208" s="7" t="n">
        <v>1205</v>
      </c>
      <c r="B1208" s="8" t="inlineStr"/>
    </row>
    <row r="1209">
      <c r="A1209" s="9" t="n">
        <v>1206</v>
      </c>
      <c r="B1209" s="10" t="inlineStr">
        <is>
          <t xml:space="preserve">    def _disk_gen(self):</t>
        </is>
      </c>
    </row>
    <row r="1210">
      <c r="A1210" s="7" t="n">
        <v>1207</v>
      </c>
      <c r="B1210" s="8" t="inlineStr">
        <is>
          <t xml:space="preserve">        # Try preview tree first, then left panel tree</t>
        </is>
      </c>
    </row>
    <row r="1211">
      <c r="A1211" s="9" t="n">
        <v>1208</v>
      </c>
      <c r="B1211" s="10" t="inlineStr">
        <is>
          <t xml:space="preserve">        tree = getattr(self, '_disk_preview_tree', None) or self.disk_vids</t>
        </is>
      </c>
    </row>
    <row r="1212">
      <c r="A1212" s="7" t="n">
        <v>1209</v>
      </c>
      <c r="B1212" s="8" t="inlineStr">
        <is>
          <t xml:space="preserve">        sel = tree.selection()</t>
        </is>
      </c>
    </row>
    <row r="1213">
      <c r="A1213" s="9" t="n">
        <v>1210</v>
      </c>
      <c r="B1213" s="10" t="inlineStr">
        <is>
          <t xml:space="preserve">        if not sel:</t>
        </is>
      </c>
    </row>
    <row r="1214">
      <c r="A1214" s="7" t="n">
        <v>1211</v>
      </c>
      <c r="B1214" s="8" t="inlineStr">
        <is>
          <t xml:space="preserve">            sel = self.disk_vids.selection()  # fallback to left panel</t>
        </is>
      </c>
    </row>
    <row r="1215">
      <c r="A1215" s="9" t="n">
        <v>1212</v>
      </c>
      <c r="B1215" s="10" t="inlineStr">
        <is>
          <t xml:space="preserve">        if sel:</t>
        </is>
      </c>
    </row>
    <row r="1216">
      <c r="A1216" s="7" t="n">
        <v>1213</v>
      </c>
      <c r="B1216" s="8" t="inlineStr">
        <is>
          <t xml:space="preserve">            # Get the tree that actually has the selection</t>
        </is>
      </c>
    </row>
    <row r="1217">
      <c r="A1217" s="9" t="n">
        <v>1214</v>
      </c>
      <c r="B1217" s="10" t="inlineStr">
        <is>
          <t xml:space="preserve">            source_tree = tree if tree.selection() else self.disk_vids</t>
        </is>
      </c>
    </row>
    <row r="1218">
      <c r="A1218" s="7" t="n">
        <v>1215</v>
      </c>
      <c r="B1218" s="8" t="inlineStr">
        <is>
          <t xml:space="preserve">            path = source_tree.item(sel[0], "tags")[0]; name = Path(path).stem</t>
        </is>
      </c>
    </row>
    <row r="1219">
      <c r="A1219" s="9" t="n">
        <v>1216</v>
      </c>
      <c r="B1219" s="10" t="inlineStr">
        <is>
          <t xml:space="preserve">            self._set_status(f"生成中: {name}")</t>
        </is>
      </c>
    </row>
    <row r="1220">
      <c r="A1220" s="7" t="n">
        <v>1217</v>
      </c>
      <c r="B1220" s="8" t="inlineStr">
        <is>
          <t xml:space="preserve">            threading.Thread(target=lambda: (</t>
        </is>
      </c>
    </row>
    <row r="1221">
      <c r="A1221" s="9" t="n">
        <v>1218</v>
      </c>
      <c r="B1221" s="10" t="inlineStr">
        <is>
          <t xml:space="preserve">                _get_ve().run(keyword=name, generate_tts=True, auto_bgm=True),</t>
        </is>
      </c>
    </row>
    <row r="1222">
      <c r="A1222" s="7" t="n">
        <v>1219</v>
      </c>
      <c r="B1222" s="8" t="inlineStr">
        <is>
          <t xml:space="preserve">                self.root.after(0, lambda: self._set_status("完成"))</t>
        </is>
      </c>
    </row>
    <row r="1223">
      <c r="A1223" s="9" t="n">
        <v>1220</v>
      </c>
      <c r="B1223" s="10" t="inlineStr">
        <is>
          <t xml:space="preserve">            ), daemon=True).start()</t>
        </is>
      </c>
    </row>
    <row r="1224">
      <c r="A1224" s="7" t="n">
        <v>1221</v>
      </c>
      <c r="B1224" s="8" t="inlineStr">
        <is>
          <t xml:space="preserve">        else: messagebox.showinfo("提示","请先双击或选择一个视频")</t>
        </is>
      </c>
    </row>
    <row r="1225">
      <c r="A1225" s="9" t="n">
        <v>1222</v>
      </c>
      <c r="B1225" s="10" t="inlineStr"/>
    </row>
    <row r="1226">
      <c r="A1226" s="7" t="n">
        <v>1223</v>
      </c>
      <c r="B1226" s="8" t="inlineStr"/>
    </row>
    <row r="1227">
      <c r="A1227" s="9" t="n">
        <v>1224</v>
      </c>
      <c r="B1227" s="10" t="inlineStr"/>
    </row>
    <row r="1228">
      <c r="A1228" s="7" t="n">
        <v>1225</v>
      </c>
      <c r="B1228" s="8" t="inlineStr">
        <is>
          <t xml:space="preserve">    # ═══════════════ TAB 6: 历史记录 ═══════════════</t>
        </is>
      </c>
    </row>
    <row r="1229">
      <c r="A1229" s="9" t="n">
        <v>1226</v>
      </c>
      <c r="B1229" s="10" t="inlineStr">
        <is>
          <t xml:space="preserve">    def _build_history(self):</t>
        </is>
      </c>
    </row>
    <row r="1230">
      <c r="A1230" s="7" t="n">
        <v>1227</v>
      </c>
      <c r="B1230" s="8" t="inlineStr">
        <is>
          <t xml:space="preserve">        t = tb.Frame(self.nb, padding=10); self.nb.add(t, text="历史 / History")</t>
        </is>
      </c>
    </row>
    <row r="1231">
      <c r="A1231" s="9" t="n">
        <v>1228</v>
      </c>
      <c r="B1231" s="10" t="inlineStr">
        <is>
          <t xml:space="preserve">        bf = tb.Frame(t); bf.pack(fill="x", pady=4)</t>
        </is>
      </c>
    </row>
    <row r="1232">
      <c r="A1232" s="7" t="n">
        <v>1229</v>
      </c>
      <c r="B1232" s="8" t="inlineStr">
        <is>
          <t xml:space="preserve">        RoundedButton(bf, text="刷新", command=self._load_hist, width=100, height=34, bg_color="#e0e0e0", fg_color="#212529", hover_color="#d0e0ff", radius=10).pack(side="left", padx=3)</t>
        </is>
      </c>
    </row>
    <row r="1233">
      <c r="A1233" s="9" t="n">
        <v>1230</v>
      </c>
      <c r="B1233" s="10" t="inlineStr">
        <is>
          <t xml:space="preserve">        RoundedButton(bf, text="打开选中", command=self._open_hist, width=100, height=34, bg_color="#e0e0e0", fg_color="#212529", hover_color="#d0e0ff", radius=10).pack(side="left", padx=3)</t>
        </is>
      </c>
    </row>
    <row r="1234">
      <c r="A1234" s="7" t="n">
        <v>1231</v>
      </c>
      <c r="B1234" s="8" t="inlineStr">
        <is>
          <t xml:space="preserve">        RoundedButton(bf, text="素材反馈", command=self._show_material_feedback, width=100, height=34, bg_color="#0d6efd", fg_color="#ffffff", hover_color="#0b5ed7", radius=10).pack(side="left", padx=3)</t>
        </is>
      </c>
    </row>
    <row r="1235">
      <c r="A1235" s="9" t="n">
        <v>1232</v>
      </c>
      <c r="B1235" s="10" t="inlineStr">
        <is>
          <t xml:space="preserve">        self.hist_tree = tb.Treeview(t, columns=("time","name","path"), show="headings")</t>
        </is>
      </c>
    </row>
    <row r="1236">
      <c r="A1236" s="7" t="n">
        <v>1233</v>
      </c>
      <c r="B1236" s="8" t="inlineStr">
        <is>
          <t xml:space="preserve">        self.hist_tree.heading("time",text="时间"); self.hist_tree.column("time",width=100)</t>
        </is>
      </c>
    </row>
    <row r="1237">
      <c r="A1237" s="9" t="n">
        <v>1234</v>
      </c>
      <c r="B1237" s="10" t="inlineStr">
        <is>
          <t xml:space="preserve">        self.hist_tree.heading("name",text="草稿"); self.hist_tree.column("name",width=250)</t>
        </is>
      </c>
    </row>
    <row r="1238">
      <c r="A1238" s="7" t="n">
        <v>1235</v>
      </c>
      <c r="B1238" s="8" t="inlineStr">
        <is>
          <t xml:space="preserve">        self.hist_tree.heading("path",text="路径"); self.hist_tree.column("path",width=400)</t>
        </is>
      </c>
    </row>
    <row r="1239">
      <c r="A1239" s="9" t="n">
        <v>1236</v>
      </c>
      <c r="B1239" s="10" t="inlineStr">
        <is>
          <t xml:space="preserve">        self.hist_tree.pack(fill="both",expand=True)</t>
        </is>
      </c>
    </row>
    <row r="1240">
      <c r="A1240" s="7" t="n">
        <v>1237</v>
      </c>
      <c r="B1240" s="8" t="inlineStr">
        <is>
          <t xml:space="preserve">        self.hist_tree.bind("&lt;Double-1&gt;", lambda e: self._show_material_feedback())</t>
        </is>
      </c>
    </row>
    <row r="1241">
      <c r="A1241" s="9" t="n">
        <v>1238</v>
      </c>
      <c r="B1241" s="10" t="inlineStr"/>
    </row>
    <row r="1242">
      <c r="A1242" s="7" t="n">
        <v>1239</v>
      </c>
      <c r="B1242" s="8" t="inlineStr">
        <is>
          <t xml:space="preserve">    def _load_hist(self):</t>
        </is>
      </c>
    </row>
    <row r="1243">
      <c r="A1243" s="9" t="n">
        <v>1240</v>
      </c>
      <c r="B1243" s="10" t="inlineStr">
        <is>
          <t xml:space="preserve">        self.hist_tree.delete(*self.hist_tree.get_children())</t>
        </is>
      </c>
    </row>
    <row r="1244">
      <c r="A1244" s="7" t="n">
        <v>1241</v>
      </c>
      <c r="B1244" s="8" t="inlineStr">
        <is>
          <t xml:space="preserve">        from core.config import OUTPUT_DRAFT_DIR, JIANGYING_DRAFT_DIR</t>
        </is>
      </c>
    </row>
    <row r="1245">
      <c r="A1245" s="9" t="n">
        <v>1242</v>
      </c>
      <c r="B1245" s="10" t="inlineStr">
        <is>
          <t xml:space="preserve">        dirs = [Path(OUTPUT_DRAFT_DIR), Path(JIANGYING_DRAFT_DIR)]</t>
        </is>
      </c>
    </row>
    <row r="1246">
      <c r="A1246" s="7" t="n">
        <v>1243</v>
      </c>
      <c r="B1246" s="8" t="inlineStr">
        <is>
          <t xml:space="preserve">        for d in dirs:</t>
        </is>
      </c>
    </row>
    <row r="1247">
      <c r="A1247" s="9" t="n">
        <v>1244</v>
      </c>
      <c r="B1247" s="10" t="inlineStr">
        <is>
          <t xml:space="preserve">            if d.exists():</t>
        </is>
      </c>
    </row>
    <row r="1248">
      <c r="A1248" s="7" t="n">
        <v>1245</v>
      </c>
      <c r="B1248" s="8" t="inlineStr">
        <is>
          <t xml:space="preserve">                for dd in sorted(d.iterdir(), key=lambda x:x.stat().st_mtime, reverse=True)[:50]:</t>
        </is>
      </c>
    </row>
    <row r="1249">
      <c r="A1249" s="9" t="n">
        <v>1246</v>
      </c>
      <c r="B1249" s="10" t="inlineStr">
        <is>
          <t xml:space="preserve">                    if dd.is_dir():</t>
        </is>
      </c>
    </row>
    <row r="1250">
      <c r="A1250" s="7" t="n">
        <v>1247</v>
      </c>
      <c r="B1250" s="8" t="inlineStr">
        <is>
          <t xml:space="preserve">                        mt = datetime.fromtimestamp(dd.stat().st_mtime).strftime("%m-%d %H:%M")</t>
        </is>
      </c>
    </row>
    <row r="1251">
      <c r="A1251" s="9" t="n">
        <v>1248</v>
      </c>
      <c r="B1251" s="10" t="inlineStr">
        <is>
          <t xml:space="preserve">                        self.hist_tree.insert("","end",values=(mt,dd.name[:40],str(dd)))</t>
        </is>
      </c>
    </row>
    <row r="1252">
      <c r="A1252" s="7" t="n">
        <v>1249</v>
      </c>
      <c r="B1252" s="8" t="inlineStr">
        <is>
          <t xml:space="preserve">        self._set_status("完成")</t>
        </is>
      </c>
    </row>
    <row r="1253">
      <c r="A1253" s="9" t="n">
        <v>1250</v>
      </c>
      <c r="B1253" s="10" t="inlineStr"/>
    </row>
    <row r="1254">
      <c r="A1254" s="7" t="n">
        <v>1251</v>
      </c>
      <c r="B1254" s="8" t="inlineStr">
        <is>
          <t xml:space="preserve">    def _open_hist(self):</t>
        </is>
      </c>
    </row>
    <row r="1255">
      <c r="A1255" s="9" t="n">
        <v>1252</v>
      </c>
      <c r="B1255" s="10" t="inlineStr">
        <is>
          <t xml:space="preserve">        sel = self.hist_tree.selection()</t>
        </is>
      </c>
    </row>
    <row r="1256">
      <c r="A1256" s="7" t="n">
        <v>1253</v>
      </c>
      <c r="B1256" s="8" t="inlineStr">
        <is>
          <t xml:space="preserve">        if sel:</t>
        </is>
      </c>
    </row>
    <row r="1257">
      <c r="A1257" s="9" t="n">
        <v>1254</v>
      </c>
      <c r="B1257" s="10" t="inlineStr">
        <is>
          <t xml:space="preserve">            path = self.hist_tree.item(sel[0],"values")[2]</t>
        </is>
      </c>
    </row>
    <row r="1258">
      <c r="A1258" s="7" t="n">
        <v>1255</v>
      </c>
      <c r="B1258" s="8" t="inlineStr">
        <is>
          <t xml:space="preserve">            if os.path.exists(path): os.startfile(path)</t>
        </is>
      </c>
    </row>
    <row r="1259">
      <c r="A1259" s="9" t="n">
        <v>1256</v>
      </c>
      <c r="B1259" s="10" t="inlineStr"/>
    </row>
    <row r="1260">
      <c r="A1260" s="7" t="n">
        <v>1257</v>
      </c>
      <c r="B1260" s="8" t="inlineStr">
        <is>
          <t xml:space="preserve">    def _show_material_feedback(self):</t>
        </is>
      </c>
    </row>
    <row r="1261">
      <c r="A1261" s="9" t="n">
        <v>1258</v>
      </c>
      <c r="B1261" s="10" t="inlineStr">
        <is>
          <t xml:space="preserve">        """显示选中草稿的素材列表与反馈界面 (v11.2)"""</t>
        </is>
      </c>
    </row>
    <row r="1262">
      <c r="A1262" s="7" t="n">
        <v>1259</v>
      </c>
      <c r="B1262" s="8" t="inlineStr">
        <is>
          <t xml:space="preserve">        sel = self.hist_tree.selection()</t>
        </is>
      </c>
    </row>
    <row r="1263">
      <c r="A1263" s="9" t="n">
        <v>1260</v>
      </c>
      <c r="B1263" s="10" t="inlineStr">
        <is>
          <t xml:space="preserve">        if not sel:</t>
        </is>
      </c>
    </row>
    <row r="1264">
      <c r="A1264" s="7" t="n">
        <v>1261</v>
      </c>
      <c r="B1264" s="8" t="inlineStr">
        <is>
          <t xml:space="preserve">            messagebox.showinfo("提示", "请先在历史列表中双击或选中一条记录")</t>
        </is>
      </c>
    </row>
    <row r="1265">
      <c r="A1265" s="9" t="n">
        <v>1262</v>
      </c>
      <c r="B1265" s="10" t="inlineStr">
        <is>
          <t xml:space="preserve">            return</t>
        </is>
      </c>
    </row>
    <row r="1266">
      <c r="A1266" s="7" t="n">
        <v>1263</v>
      </c>
      <c r="B1266" s="8" t="inlineStr">
        <is>
          <t xml:space="preserve">        draft_dir = self.hist_tree.item(sel[0], "values")[2]</t>
        </is>
      </c>
    </row>
    <row r="1267">
      <c r="A1267" s="9" t="n">
        <v>1264</v>
      </c>
      <c r="B1267" s="10" t="inlineStr">
        <is>
          <t xml:space="preserve">        if not os.path.isdir(draft_dir):</t>
        </is>
      </c>
    </row>
    <row r="1268">
      <c r="A1268" s="7" t="n">
        <v>1265</v>
      </c>
      <c r="B1268" s="8" t="inlineStr">
        <is>
          <t xml:space="preserve">            messagebox.showerror("错误", "草稿目录不存在")</t>
        </is>
      </c>
    </row>
    <row r="1269">
      <c r="A1269" s="9" t="n">
        <v>1266</v>
      </c>
      <c r="B1269" s="10" t="inlineStr">
        <is>
          <t xml:space="preserve">            return</t>
        </is>
      </c>
    </row>
    <row r="1270">
      <c r="A1270" s="7" t="n">
        <v>1267</v>
      </c>
      <c r="B1270" s="8" t="inlineStr"/>
    </row>
    <row r="1271">
      <c r="A1271" s="9" t="n">
        <v>1268</v>
      </c>
      <c r="B1271" s="10" t="inlineStr">
        <is>
          <t xml:space="preserve">        # 读取 video_metadata.json</t>
        </is>
      </c>
    </row>
    <row r="1272">
      <c r="A1272" s="7" t="n">
        <v>1269</v>
      </c>
      <c r="B1272" s="8" t="inlineStr">
        <is>
          <t xml:space="preserve">        meta_path = os.path.join(draft_dir, "video_metadata.json")</t>
        </is>
      </c>
    </row>
    <row r="1273">
      <c r="A1273" s="9" t="n">
        <v>1270</v>
      </c>
      <c r="B1273" s="10" t="inlineStr">
        <is>
          <t xml:space="preserve">        video_log_id = None</t>
        </is>
      </c>
    </row>
    <row r="1274">
      <c r="A1274" s="7" t="n">
        <v>1271</v>
      </c>
      <c r="B1274" s="8" t="inlineStr">
        <is>
          <t xml:space="preserve">        if os.path.exists(meta_path):</t>
        </is>
      </c>
    </row>
    <row r="1275">
      <c r="A1275" s="9" t="n">
        <v>1272</v>
      </c>
      <c r="B1275" s="10" t="inlineStr">
        <is>
          <t xml:space="preserve">            try:</t>
        </is>
      </c>
    </row>
    <row r="1276">
      <c r="A1276" s="7" t="n">
        <v>1273</v>
      </c>
      <c r="B1276" s="8" t="inlineStr">
        <is>
          <t xml:space="preserve">                with open(meta_path, "r", encoding="utf-8") as f:</t>
        </is>
      </c>
    </row>
    <row r="1277">
      <c r="A1277" s="9" t="n">
        <v>1274</v>
      </c>
      <c r="B1277" s="10" t="inlineStr">
        <is>
          <t xml:space="preserve">                    meta = json.load(f)</t>
        </is>
      </c>
    </row>
    <row r="1278">
      <c r="A1278" s="7" t="n">
        <v>1275</v>
      </c>
      <c r="B1278" s="8" t="inlineStr">
        <is>
          <t xml:space="preserve">                video_log_id = meta.get("video_log_id")</t>
        </is>
      </c>
    </row>
    <row r="1279">
      <c r="A1279" s="9" t="n">
        <v>1276</v>
      </c>
      <c r="B1279" s="10" t="inlineStr">
        <is>
          <t xml:space="preserve">            except Exception:</t>
        </is>
      </c>
    </row>
    <row r="1280">
      <c r="A1280" s="7" t="n">
        <v>1277</v>
      </c>
      <c r="B1280" s="8" t="inlineStr">
        <is>
          <t xml:space="preserve">                pass</t>
        </is>
      </c>
    </row>
    <row r="1281">
      <c r="A1281" s="9" t="n">
        <v>1278</v>
      </c>
      <c r="B1281" s="10" t="inlineStr"/>
    </row>
    <row r="1282">
      <c r="A1282" s="7" t="n">
        <v>1279</v>
      </c>
      <c r="B1282" s="8" t="inlineStr">
        <is>
          <t xml:space="preserve">        if not video_log_id:</t>
        </is>
      </c>
    </row>
    <row r="1283">
      <c r="A1283" s="9" t="n">
        <v>1280</v>
      </c>
      <c r="B1283" s="10" t="inlineStr">
        <is>
          <t xml:space="preserve">            messagebox.showinfo("提示", "该草稿没有关联的素材日志（可能是旧版本生成的）")</t>
        </is>
      </c>
    </row>
    <row r="1284">
      <c r="A1284" s="7" t="n">
        <v>1281</v>
      </c>
      <c r="B1284" s="8" t="inlineStr">
        <is>
          <t xml:space="preserve">            return</t>
        </is>
      </c>
    </row>
    <row r="1285">
      <c r="A1285" s="9" t="n">
        <v>1282</v>
      </c>
      <c r="B1285" s="10" t="inlineStr"/>
    </row>
    <row r="1286">
      <c r="A1286" s="7" t="n">
        <v>1283</v>
      </c>
      <c r="B1286" s="8" t="inlineStr">
        <is>
          <t xml:space="preserve">        # 从数据库获取素材列表</t>
        </is>
      </c>
    </row>
    <row r="1287">
      <c r="A1287" s="9" t="n">
        <v>1284</v>
      </c>
      <c r="B1287" s="10" t="inlineStr">
        <is>
          <t xml:space="preserve">        try:</t>
        </is>
      </c>
    </row>
    <row r="1288">
      <c r="A1288" s="7" t="n">
        <v>1285</v>
      </c>
      <c r="B1288" s="8" t="inlineStr">
        <is>
          <t xml:space="preserve">            from core.database import db</t>
        </is>
      </c>
    </row>
    <row r="1289">
      <c r="A1289" s="9" t="n">
        <v>1286</v>
      </c>
      <c r="B1289" s="10" t="inlineStr">
        <is>
          <t xml:space="preserve">            materials = db.get_video_materials(video_log_id)</t>
        </is>
      </c>
    </row>
    <row r="1290">
      <c r="A1290" s="7" t="n">
        <v>1287</v>
      </c>
      <c r="B1290" s="8" t="inlineStr">
        <is>
          <t xml:space="preserve">            video_log = db.get_video_log(video_log_id)</t>
        </is>
      </c>
    </row>
    <row r="1291">
      <c r="A1291" s="9" t="n">
        <v>1288</v>
      </c>
      <c r="B1291" s="10" t="inlineStr">
        <is>
          <t xml:space="preserve">        except Exception as e:</t>
        </is>
      </c>
    </row>
    <row r="1292">
      <c r="A1292" s="7" t="n">
        <v>1289</v>
      </c>
      <c r="B1292" s="8" t="inlineStr">
        <is>
          <t xml:space="preserve">            messagebox.showerror("错误", f"读取数据库失败: {e}")</t>
        </is>
      </c>
    </row>
    <row r="1293">
      <c r="A1293" s="9" t="n">
        <v>1290</v>
      </c>
      <c r="B1293" s="10" t="inlineStr">
        <is>
          <t xml:space="preserve">            return</t>
        </is>
      </c>
    </row>
    <row r="1294">
      <c r="A1294" s="7" t="n">
        <v>1291</v>
      </c>
      <c r="B1294" s="8" t="inlineStr"/>
    </row>
    <row r="1295">
      <c r="A1295" s="9" t="n">
        <v>1292</v>
      </c>
      <c r="B1295" s="10" t="inlineStr">
        <is>
          <t xml:space="preserve">        if not materials:</t>
        </is>
      </c>
    </row>
    <row r="1296">
      <c r="A1296" s="7" t="n">
        <v>1293</v>
      </c>
      <c r="B1296" s="8" t="inlineStr">
        <is>
          <t xml:space="preserve">            messagebox.showinfo("提示", f"视频日志 #{video_log_id} 没有素材记录")</t>
        </is>
      </c>
    </row>
    <row r="1297">
      <c r="A1297" s="9" t="n">
        <v>1294</v>
      </c>
      <c r="B1297" s="10" t="inlineStr">
        <is>
          <t xml:space="preserve">            return</t>
        </is>
      </c>
    </row>
    <row r="1298">
      <c r="A1298" s="7" t="n">
        <v>1295</v>
      </c>
      <c r="B1298" s="8" t="inlineStr"/>
    </row>
    <row r="1299">
      <c r="A1299" s="9" t="n">
        <v>1296</v>
      </c>
      <c r="B1299" s="10" t="inlineStr">
        <is>
          <t xml:space="preserve">        # 创建反馈窗口</t>
        </is>
      </c>
    </row>
    <row r="1300">
      <c r="A1300" s="7" t="n">
        <v>1297</v>
      </c>
      <c r="B1300" s="8" t="inlineStr">
        <is>
          <t xml:space="preserve">        win = tk.Toplevel(self.root)</t>
        </is>
      </c>
    </row>
    <row r="1301">
      <c r="A1301" s="9" t="n">
        <v>1298</v>
      </c>
      <c r="B1301" s="10" t="inlineStr">
        <is>
          <t xml:space="preserve">        win.title(f"素材反馈 - 视频 #{video_log_id}")</t>
        </is>
      </c>
    </row>
    <row r="1302">
      <c r="A1302" s="7" t="n">
        <v>1299</v>
      </c>
      <c r="B1302" s="8" t="inlineStr">
        <is>
          <t xml:space="preserve">        win.geometry("1000x600")</t>
        </is>
      </c>
    </row>
    <row r="1303">
      <c r="A1303" s="9" t="n">
        <v>1300</v>
      </c>
      <c r="B1303" s="10" t="inlineStr">
        <is>
          <t xml:space="preserve">        win.configure(bg="#e8f5e9")</t>
        </is>
      </c>
    </row>
    <row r="1304">
      <c r="A1304" s="7" t="n">
        <v>1301</v>
      </c>
      <c r="B1304" s="8" t="inlineStr"/>
    </row>
    <row r="1305">
      <c r="A1305" s="9" t="n">
        <v>1302</v>
      </c>
      <c r="B1305" s="10" t="inlineStr">
        <is>
          <t xml:space="preserve">        # 顶部信息栏</t>
        </is>
      </c>
    </row>
    <row r="1306">
      <c r="A1306" s="7" t="n">
        <v>1303</v>
      </c>
      <c r="B1306" s="8" t="inlineStr">
        <is>
          <t xml:space="preserve">        info_frame = tb.Frame(win, padding=8)</t>
        </is>
      </c>
    </row>
    <row r="1307">
      <c r="A1307" s="9" t="n">
        <v>1304</v>
      </c>
      <c r="B1307" s="10" t="inlineStr">
        <is>
          <t xml:space="preserve">        info_frame.pack(fill="x")</t>
        </is>
      </c>
    </row>
    <row r="1308">
      <c r="A1308" s="7" t="n">
        <v>1305</v>
      </c>
      <c r="B1308" s="8" t="inlineStr">
        <is>
          <t xml:space="preserve">        kw = video_log.get("keyword", "")</t>
        </is>
      </c>
    </row>
    <row r="1309">
      <c r="A1309" s="9" t="n">
        <v>1306</v>
      </c>
      <c r="B1309" s="10" t="inlineStr">
        <is>
          <t xml:space="preserve">        ctime = video_log.get("created_at", "")</t>
        </is>
      </c>
    </row>
    <row r="1310">
      <c r="A1310" s="7" t="n">
        <v>1307</v>
      </c>
      <c r="B1310" s="8" t="inlineStr">
        <is>
          <t xml:space="preserve">        tts_dur = video_log.get("tts_duration", 0)</t>
        </is>
      </c>
    </row>
    <row r="1311">
      <c r="A1311" s="9" t="n">
        <v>1308</v>
      </c>
      <c r="B1311" s="10" t="inlineStr">
        <is>
          <t xml:space="preserve">        tb.Label(info_frame, text=f"关键词: {kw}  |  创建时间: {ctime}  |  配音时长: {tts_dur:.1f}s",</t>
        </is>
      </c>
    </row>
    <row r="1312">
      <c r="A1312" s="7" t="n">
        <v>1309</v>
      </c>
      <c r="B1312" s="8" t="inlineStr">
        <is>
          <t xml:space="preserve">                font=("Microsoft YaHei", 10), background="#e8f5e9").pack(anchor="w")</t>
        </is>
      </c>
    </row>
    <row r="1313">
      <c r="A1313" s="9" t="n">
        <v>1310</v>
      </c>
      <c r="B1313" s="10" t="inlineStr"/>
    </row>
    <row r="1314">
      <c r="A1314" s="7" t="n">
        <v>1311</v>
      </c>
      <c r="B1314" s="8" t="inlineStr">
        <is>
          <t xml:space="preserve">        # 素材列表 Treeview</t>
        </is>
      </c>
    </row>
    <row r="1315">
      <c r="A1315" s="9" t="n">
        <v>1312</v>
      </c>
      <c r="B1315" s="10" t="inlineStr">
        <is>
          <t xml:space="preserve">        tree_frame = tb.Frame(win, padding=4)</t>
        </is>
      </c>
    </row>
    <row r="1316">
      <c r="A1316" s="7" t="n">
        <v>1313</v>
      </c>
      <c r="B1316" s="8" t="inlineStr">
        <is>
          <t xml:space="preserve">        tree_frame.pack(fill="both", expand=True)</t>
        </is>
      </c>
    </row>
    <row r="1317">
      <c r="A1317" s="9" t="n">
        <v>1314</v>
      </c>
      <c r="B1317" s="10" t="inlineStr"/>
    </row>
    <row r="1318">
      <c r="A1318" s="7" t="n">
        <v>1315</v>
      </c>
      <c r="B1318" s="8" t="inlineStr">
        <is>
          <t xml:space="preserve">        columns = ("#", "path", "start", "duration", "method", "score",</t>
        </is>
      </c>
    </row>
    <row r="1319">
      <c r="A1319" s="9" t="n">
        <v>1316</v>
      </c>
      <c r="B1319" s="10" t="inlineStr">
        <is>
          <t xml:space="preserve">                   "repeat_rating", "fit_rating", "adapt_rating")</t>
        </is>
      </c>
    </row>
    <row r="1320">
      <c r="A1320" s="7" t="n">
        <v>1317</v>
      </c>
      <c r="B1320" s="8" t="inlineStr">
        <is>
          <t xml:space="preserve">        tree = tb.Treeview(tree_frame, columns=columns, show="headings", height=12)</t>
        </is>
      </c>
    </row>
    <row r="1321">
      <c r="A1321" s="9" t="n">
        <v>1318</v>
      </c>
      <c r="B1321" s="10" t="inlineStr">
        <is>
          <t xml:space="preserve">        tree.heading("#", text="#"); tree.column("#", width=35, anchor="center")</t>
        </is>
      </c>
    </row>
    <row r="1322">
      <c r="A1322" s="7" t="n">
        <v>1319</v>
      </c>
      <c r="B1322" s="8" t="inlineStr">
        <is>
          <t xml:space="preserve">        tree.heading("path", text="素材路径"); tree.column("path", width=320)</t>
        </is>
      </c>
    </row>
    <row r="1323">
      <c r="A1323" s="9" t="n">
        <v>1320</v>
      </c>
      <c r="B1323" s="10" t="inlineStr">
        <is>
          <t xml:space="preserve">        tree.heading("start", text="起始(s)"); tree.column("start", width=60, anchor="center")</t>
        </is>
      </c>
    </row>
    <row r="1324">
      <c r="A1324" s="7" t="n">
        <v>1321</v>
      </c>
      <c r="B1324" s="8" t="inlineStr">
        <is>
          <t xml:space="preserve">        tree.heading("duration", text="时长(s)"); tree.column("duration", width=60, anchor="center")</t>
        </is>
      </c>
    </row>
    <row r="1325">
      <c r="A1325" s="9" t="n">
        <v>1322</v>
      </c>
      <c r="B1325" s="10" t="inlineStr">
        <is>
          <t xml:space="preserve">        tree.heading("method", text="匹配方式"); tree.column("method", width=90, anchor="center")</t>
        </is>
      </c>
    </row>
    <row r="1326">
      <c r="A1326" s="7" t="n">
        <v>1323</v>
      </c>
      <c r="B1326" s="8" t="inlineStr">
        <is>
          <t xml:space="preserve">        tree.heading("score", text="匹配分"); tree.column("score", width=60, anchor="center")</t>
        </is>
      </c>
    </row>
    <row r="1327">
      <c r="A1327" s="9" t="n">
        <v>1324</v>
      </c>
      <c r="B1327" s="10" t="inlineStr">
        <is>
          <t xml:space="preserve">        tree.heading("repeat_rating", text="重复率(1-5)"); tree.column("repeat_rating", width=90, anchor="center")</t>
        </is>
      </c>
    </row>
    <row r="1328">
      <c r="A1328" s="7" t="n">
        <v>1325</v>
      </c>
      <c r="B1328" s="8" t="inlineStr">
        <is>
          <t xml:space="preserve">        tree.heading("fit_rating", text="合理性(1-5)"); tree.column("fit_rating", width=90, anchor="center")</t>
        </is>
      </c>
    </row>
    <row r="1329">
      <c r="A1329" s="9" t="n">
        <v>1326</v>
      </c>
      <c r="B1329" s="10" t="inlineStr">
        <is>
          <t xml:space="preserve">        tree.heading("adapt_rating", text="适配率(1-5)"); tree.column("adapt_rating", width=90, anchor="center")</t>
        </is>
      </c>
    </row>
    <row r="1330">
      <c r="A1330" s="7" t="n">
        <v>1327</v>
      </c>
      <c r="B1330" s="8" t="inlineStr">
        <is>
          <t xml:space="preserve">        tree.pack(side="left", fill="both", expand=True)</t>
        </is>
      </c>
    </row>
    <row r="1331">
      <c r="A1331" s="9" t="n">
        <v>1328</v>
      </c>
      <c r="B1331" s="10" t="inlineStr"/>
    </row>
    <row r="1332">
      <c r="A1332" s="7" t="n">
        <v>1329</v>
      </c>
      <c r="B1332" s="8" t="inlineStr">
        <is>
          <t xml:space="preserve">        scrollbar = tb.Scrollbar(tree_frame, orient="vertical", command=tree.yview, bootstyle="round")</t>
        </is>
      </c>
    </row>
    <row r="1333">
      <c r="A1333" s="9" t="n">
        <v>1330</v>
      </c>
      <c r="B1333" s="10" t="inlineStr">
        <is>
          <t xml:space="preserve">        scrollbar.pack(side="right", fill="y")</t>
        </is>
      </c>
    </row>
    <row r="1334">
      <c r="A1334" s="7" t="n">
        <v>1331</v>
      </c>
      <c r="B1334" s="8" t="inlineStr">
        <is>
          <t xml:space="preserve">        tree.configure(yscrollcommand=scrollbar.set)</t>
        </is>
      </c>
    </row>
    <row r="1335">
      <c r="A1335" s="9" t="n">
        <v>1332</v>
      </c>
      <c r="B1335" s="10" t="inlineStr"/>
    </row>
    <row r="1336">
      <c r="A1336" s="7" t="n">
        <v>1333</v>
      </c>
      <c r="B1336" s="8" t="inlineStr">
        <is>
          <t xml:space="preserve">        # 星级下拉选项</t>
        </is>
      </c>
    </row>
    <row r="1337">
      <c r="A1337" s="9" t="n">
        <v>1334</v>
      </c>
      <c r="B1337" s="10" t="inlineStr">
        <is>
          <t xml:space="preserve">        rating_options = ["1", "2", "3", "4", "5"]</t>
        </is>
      </c>
    </row>
    <row r="1338">
      <c r="A1338" s="7" t="n">
        <v>1335</v>
      </c>
      <c r="B1338" s="8" t="inlineStr"/>
    </row>
    <row r="1339">
      <c r="A1339" s="9" t="n">
        <v>1336</v>
      </c>
      <c r="B1339" s="10" t="inlineStr">
        <is>
          <t xml:space="preserve">        # 存储每个素材的评分变量</t>
        </is>
      </c>
    </row>
    <row r="1340">
      <c r="A1340" s="7" t="n">
        <v>1337</v>
      </c>
      <c r="B1340" s="8" t="inlineStr">
        <is>
          <t xml:space="preserve">        rating_vars = {}</t>
        </is>
      </c>
    </row>
    <row r="1341">
      <c r="A1341" s="9" t="n">
        <v>1338</v>
      </c>
      <c r="B1341" s="10" t="inlineStr"/>
    </row>
    <row r="1342">
      <c r="A1342" s="7" t="n">
        <v>1339</v>
      </c>
      <c r="B1342" s="8" t="inlineStr">
        <is>
          <t xml:space="preserve">        for i, m in enumerate(materials):</t>
        </is>
      </c>
    </row>
    <row r="1343">
      <c r="A1343" s="9" t="n">
        <v>1340</v>
      </c>
      <c r="B1343" s="10" t="inlineStr">
        <is>
          <t xml:space="preserve">            mid = m["id"]</t>
        </is>
      </c>
    </row>
    <row r="1344">
      <c r="A1344" s="7" t="n">
        <v>1341</v>
      </c>
      <c r="B1344" s="8" t="inlineStr">
        <is>
          <t xml:space="preserve">            path_str = m["material_path"]</t>
        </is>
      </c>
    </row>
    <row r="1345">
      <c r="A1345" s="9" t="n">
        <v>1342</v>
      </c>
      <c r="B1345" s="10" t="inlineStr">
        <is>
          <t xml:space="preserve">            if len(path_str) &gt; 55:</t>
        </is>
      </c>
    </row>
    <row r="1346">
      <c r="A1346" s="7" t="n">
        <v>1343</v>
      </c>
      <c r="B1346" s="8" t="inlineStr">
        <is>
          <t xml:space="preserve">                path_str = "..." + path_str[-52:]</t>
        </is>
      </c>
    </row>
    <row r="1347">
      <c r="A1347" s="9" t="n">
        <v>1344</v>
      </c>
      <c r="B1347" s="10" t="inlineStr"/>
    </row>
    <row r="1348">
      <c r="A1348" s="7" t="n">
        <v>1345</v>
      </c>
      <c r="B1348" s="8" t="inlineStr">
        <is>
          <t xml:space="preserve">            # 获取该素材已有的反馈</t>
        </is>
      </c>
    </row>
    <row r="1349">
      <c r="A1349" s="9" t="n">
        <v>1346</v>
      </c>
      <c r="B1349" s="10" t="inlineStr">
        <is>
          <t xml:space="preserve">            existing_stats = {}</t>
        </is>
      </c>
    </row>
    <row r="1350">
      <c r="A1350" s="7" t="n">
        <v>1347</v>
      </c>
      <c r="B1350" s="8" t="inlineStr">
        <is>
          <t xml:space="preserve">            try:</t>
        </is>
      </c>
    </row>
    <row r="1351">
      <c r="A1351" s="9" t="n">
        <v>1348</v>
      </c>
      <c r="B1351" s="10" t="inlineStr">
        <is>
          <t xml:space="preserve">                from core.database import db</t>
        </is>
      </c>
    </row>
    <row r="1352">
      <c r="A1352" s="7" t="n">
        <v>1349</v>
      </c>
      <c r="B1352" s="8" t="inlineStr">
        <is>
          <t xml:space="preserve">                existing_stats = db.get_material_feedback_stats(m["material_path"])</t>
        </is>
      </c>
    </row>
    <row r="1353">
      <c r="A1353" s="9" t="n">
        <v>1350</v>
      </c>
      <c r="B1353" s="10" t="inlineStr">
        <is>
          <t xml:space="preserve">            except Exception:</t>
        </is>
      </c>
    </row>
    <row r="1354">
      <c r="A1354" s="7" t="n">
        <v>1351</v>
      </c>
      <c r="B1354" s="8" t="inlineStr">
        <is>
          <t xml:space="preserve">                pass</t>
        </is>
      </c>
    </row>
    <row r="1355">
      <c r="A1355" s="9" t="n">
        <v>1352</v>
      </c>
      <c r="B1355" s="10" t="inlineStr">
        <is>
          <t xml:space="preserve">            avg_str = f" (均{existing_stats.get('avg_rating',0):.1f})" if existing_stats.get("count", 0) &gt; 0 else ""</t>
        </is>
      </c>
    </row>
    <row r="1356">
      <c r="A1356" s="7" t="n">
        <v>1353</v>
      </c>
      <c r="B1356" s="8" t="inlineStr"/>
    </row>
    <row r="1357">
      <c r="A1357" s="9" t="n">
        <v>1354</v>
      </c>
      <c r="B1357" s="10" t="inlineStr">
        <is>
          <t xml:space="preserve">            repeat_var = tk.StringVar(value="3")</t>
        </is>
      </c>
    </row>
    <row r="1358">
      <c r="A1358" s="7" t="n">
        <v>1355</v>
      </c>
      <c r="B1358" s="8" t="inlineStr">
        <is>
          <t xml:space="preserve">            fit_var = tk.StringVar(value="3")</t>
        </is>
      </c>
    </row>
    <row r="1359">
      <c r="A1359" s="9" t="n">
        <v>1356</v>
      </c>
      <c r="B1359" s="10" t="inlineStr">
        <is>
          <t xml:space="preserve">            adapt_var = tk.StringVar(value="3")</t>
        </is>
      </c>
    </row>
    <row r="1360">
      <c r="A1360" s="7" t="n">
        <v>1357</v>
      </c>
      <c r="B1360" s="8" t="inlineStr">
        <is>
          <t xml:space="preserve">            rating_vars[mid] = {</t>
        </is>
      </c>
    </row>
    <row r="1361">
      <c r="A1361" s="9" t="n">
        <v>1358</v>
      </c>
      <c r="B1361" s="10" t="inlineStr">
        <is>
          <t xml:space="preserve">                "path": m["material_path"],</t>
        </is>
      </c>
    </row>
    <row r="1362">
      <c r="A1362" s="7" t="n">
        <v>1359</v>
      </c>
      <c r="B1362" s="8" t="inlineStr">
        <is>
          <t xml:space="preserve">                "repeat": repeat_var,</t>
        </is>
      </c>
    </row>
    <row r="1363">
      <c r="A1363" s="9" t="n">
        <v>1360</v>
      </c>
      <c r="B1363" s="10" t="inlineStr">
        <is>
          <t xml:space="preserve">                "fit": fit_var,</t>
        </is>
      </c>
    </row>
    <row r="1364">
      <c r="A1364" s="7" t="n">
        <v>1361</v>
      </c>
      <c r="B1364" s="8" t="inlineStr">
        <is>
          <t xml:space="preserve">                "adapt": adapt_var</t>
        </is>
      </c>
    </row>
    <row r="1365">
      <c r="A1365" s="9" t="n">
        <v>1362</v>
      </c>
      <c r="B1365" s="10" t="inlineStr">
        <is>
          <t xml:space="preserve">            }</t>
        </is>
      </c>
    </row>
    <row r="1366">
      <c r="A1366" s="7" t="n">
        <v>1363</v>
      </c>
      <c r="B1366" s="8" t="inlineStr"/>
    </row>
    <row r="1367">
      <c r="A1367" s="9" t="n">
        <v>1364</v>
      </c>
      <c r="B1367" s="10" t="inlineStr">
        <is>
          <t xml:space="preserve">            tree.insert("", "end", iid=str(mid), values=(</t>
        </is>
      </c>
    </row>
    <row r="1368">
      <c r="A1368" s="7" t="n">
        <v>1365</v>
      </c>
      <c r="B1368" s="8" t="inlineStr">
        <is>
          <t xml:space="preserve">                m["order_index"] + 1,</t>
        </is>
      </c>
    </row>
    <row r="1369">
      <c r="A1369" s="9" t="n">
        <v>1366</v>
      </c>
      <c r="B1369" s="10" t="inlineStr">
        <is>
          <t xml:space="preserve">                path_str,</t>
        </is>
      </c>
    </row>
    <row r="1370">
      <c r="A1370" s="7" t="n">
        <v>1367</v>
      </c>
      <c r="B1370" s="8" t="inlineStr">
        <is>
          <t xml:space="preserve">                f"{m['source_start']:.1f}",</t>
        </is>
      </c>
    </row>
    <row r="1371">
      <c r="A1371" s="9" t="n">
        <v>1368</v>
      </c>
      <c r="B1371" s="10" t="inlineStr">
        <is>
          <t xml:space="preserve">                f"{m['clip_duration']:.1f}",</t>
        </is>
      </c>
    </row>
    <row r="1372">
      <c r="A1372" s="7" t="n">
        <v>1369</v>
      </c>
      <c r="B1372" s="8" t="inlineStr">
        <is>
          <t xml:space="preserve">                m.get("match_method", ""),</t>
        </is>
      </c>
    </row>
    <row r="1373">
      <c r="A1373" s="9" t="n">
        <v>1370</v>
      </c>
      <c r="B1373" s="10" t="inlineStr">
        <is>
          <t xml:space="preserve">                f"{m.get('match_score', 0):.2f}{avg_str}",</t>
        </is>
      </c>
    </row>
    <row r="1374">
      <c r="A1374" s="7" t="n">
        <v>1371</v>
      </c>
      <c r="B1374" s="8" t="inlineStr">
        <is>
          <t xml:space="preserve">                "3", "3", "3"</t>
        </is>
      </c>
    </row>
    <row r="1375">
      <c r="A1375" s="9" t="n">
        <v>1372</v>
      </c>
      <c r="B1375" s="10" t="inlineStr">
        <is>
          <t xml:space="preserve">            ))</t>
        </is>
      </c>
    </row>
    <row r="1376">
      <c r="A1376" s="7" t="n">
        <v>1373</v>
      </c>
      <c r="B1376" s="8" t="inlineStr"/>
    </row>
    <row r="1377">
      <c r="A1377" s="9" t="n">
        <v>1374</v>
      </c>
      <c r="B1377" s="10" t="inlineStr">
        <is>
          <t xml:space="preserve">        # 点击评分列弹出下拉菜单</t>
        </is>
      </c>
    </row>
    <row r="1378">
      <c r="A1378" s="7" t="n">
        <v>1375</v>
      </c>
      <c r="B1378" s="8" t="inlineStr">
        <is>
          <t xml:space="preserve">        def _on_tree_click(event):</t>
        </is>
      </c>
    </row>
    <row r="1379">
      <c r="A1379" s="9" t="n">
        <v>1376</v>
      </c>
      <c r="B1379" s="10" t="inlineStr">
        <is>
          <t xml:space="preserve">            region = tree.identify_region(event.x, event.y)</t>
        </is>
      </c>
    </row>
    <row r="1380">
      <c r="A1380" s="7" t="n">
        <v>1377</v>
      </c>
      <c r="B1380" s="8" t="inlineStr">
        <is>
          <t xml:space="preserve">            if region != "cell":</t>
        </is>
      </c>
    </row>
    <row r="1381">
      <c r="A1381" s="9" t="n">
        <v>1378</v>
      </c>
      <c r="B1381" s="10" t="inlineStr">
        <is>
          <t xml:space="preserve">                return</t>
        </is>
      </c>
    </row>
    <row r="1382">
      <c r="A1382" s="7" t="n">
        <v>1379</v>
      </c>
      <c r="B1382" s="8" t="inlineStr">
        <is>
          <t xml:space="preserve">            column = tree.identify_column(event.x)</t>
        </is>
      </c>
    </row>
    <row r="1383">
      <c r="A1383" s="9" t="n">
        <v>1380</v>
      </c>
      <c r="B1383" s="10" t="inlineStr">
        <is>
          <t xml:space="preserve">            col_num = int(column.replace("#", ""))</t>
        </is>
      </c>
    </row>
    <row r="1384">
      <c r="A1384" s="7" t="n">
        <v>1381</v>
      </c>
      <c r="B1384" s="8" t="inlineStr">
        <is>
          <t xml:space="preserve">            if col_num not in (7, 8, 9):</t>
        </is>
      </c>
    </row>
    <row r="1385">
      <c r="A1385" s="9" t="n">
        <v>1382</v>
      </c>
      <c r="B1385" s="10" t="inlineStr">
        <is>
          <t xml:space="preserve">                return</t>
        </is>
      </c>
    </row>
    <row r="1386">
      <c r="A1386" s="7" t="n">
        <v>1383</v>
      </c>
      <c r="B1386" s="8" t="inlineStr">
        <is>
          <t xml:space="preserve">            row_id = tree.identify_row(event.y)</t>
        </is>
      </c>
    </row>
    <row r="1387">
      <c r="A1387" s="9" t="n">
        <v>1384</v>
      </c>
      <c r="B1387" s="10" t="inlineStr">
        <is>
          <t xml:space="preserve">            if not row_id or row_id not in rating_vars:</t>
        </is>
      </c>
    </row>
    <row r="1388">
      <c r="A1388" s="7" t="n">
        <v>1385</v>
      </c>
      <c r="B1388" s="8" t="inlineStr">
        <is>
          <t xml:space="preserve">                return</t>
        </is>
      </c>
    </row>
    <row r="1389">
      <c r="A1389" s="9" t="n">
        <v>1386</v>
      </c>
      <c r="B1389" s="10" t="inlineStr"/>
    </row>
    <row r="1390">
      <c r="A1390" s="7" t="n">
        <v>1387</v>
      </c>
      <c r="B1390" s="8" t="inlineStr">
        <is>
          <t xml:space="preserve">            var_keys = {7: "repeat", 8: "fit", 9: "adapt"}</t>
        </is>
      </c>
    </row>
    <row r="1391">
      <c r="A1391" s="9" t="n">
        <v>1388</v>
      </c>
      <c r="B1391" s="10" t="inlineStr">
        <is>
          <t xml:space="preserve">            var_key = var_keys[col_num]</t>
        </is>
      </c>
    </row>
    <row r="1392">
      <c r="A1392" s="7" t="n">
        <v>1389</v>
      </c>
      <c r="B1392" s="8" t="inlineStr"/>
    </row>
    <row r="1393">
      <c r="A1393" s="9" t="n">
        <v>1390</v>
      </c>
      <c r="B1393" s="10" t="inlineStr">
        <is>
          <t xml:space="preserve">            bbox = tree.bbox(row_id, column)</t>
        </is>
      </c>
    </row>
    <row r="1394">
      <c r="A1394" s="7" t="n">
        <v>1391</v>
      </c>
      <c r="B1394" s="8" t="inlineStr">
        <is>
          <t xml:space="preserve">            if not bbox:</t>
        </is>
      </c>
    </row>
    <row r="1395">
      <c r="A1395" s="9" t="n">
        <v>1392</v>
      </c>
      <c r="B1395" s="10" t="inlineStr">
        <is>
          <t xml:space="preserve">                return</t>
        </is>
      </c>
    </row>
    <row r="1396">
      <c r="A1396" s="7" t="n">
        <v>1393</v>
      </c>
      <c r="B1396" s="8" t="inlineStr">
        <is>
          <t xml:space="preserve">            x, y, w_cell, h_cell = bbox</t>
        </is>
      </c>
    </row>
    <row r="1397">
      <c r="A1397" s="9" t="n">
        <v>1394</v>
      </c>
      <c r="B1397" s="10" t="inlineStr"/>
    </row>
    <row r="1398">
      <c r="A1398" s="7" t="n">
        <v>1395</v>
      </c>
      <c r="B1398" s="8" t="inlineStr">
        <is>
          <t xml:space="preserve">            combo = tb.Combobox(tree, values=rating_options, state="readonly",</t>
        </is>
      </c>
    </row>
    <row r="1399">
      <c r="A1399" s="9" t="n">
        <v>1396</v>
      </c>
      <c r="B1399" s="10" t="inlineStr">
        <is>
          <t xml:space="preserve">                               width=8, font=("Microsoft YaHei", 9))</t>
        </is>
      </c>
    </row>
    <row r="1400">
      <c r="A1400" s="7" t="n">
        <v>1397</v>
      </c>
      <c r="B1400" s="8" t="inlineStr">
        <is>
          <t xml:space="preserve">            combo.place(x=x, y=y, width=w_cell, height=h_cell)</t>
        </is>
      </c>
    </row>
    <row r="1401">
      <c r="A1401" s="9" t="n">
        <v>1398</v>
      </c>
      <c r="B1401" s="10" t="inlineStr">
        <is>
          <t xml:space="preserve">            combo.set(rating_vars[row_id][var_key].get())</t>
        </is>
      </c>
    </row>
    <row r="1402">
      <c r="A1402" s="7" t="n">
        <v>1399</v>
      </c>
      <c r="B1402" s="8" t="inlineStr"/>
    </row>
    <row r="1403">
      <c r="A1403" s="9" t="n">
        <v>1400</v>
      </c>
      <c r="B1403" s="10" t="inlineStr">
        <is>
          <t xml:space="preserve">            def _on_select(evt, rid=row_id, vk=var_key, ci=col_num):</t>
        </is>
      </c>
    </row>
    <row r="1404">
      <c r="A1404" s="7" t="n">
        <v>1401</v>
      </c>
      <c r="B1404" s="8" t="inlineStr">
        <is>
          <t xml:space="preserve">                val = combo.get()</t>
        </is>
      </c>
    </row>
    <row r="1405">
      <c r="A1405" s="9" t="n">
        <v>1402</v>
      </c>
      <c r="B1405" s="10" t="inlineStr">
        <is>
          <t xml:space="preserve">                rating_vars[rid][vk].set(val)</t>
        </is>
      </c>
    </row>
    <row r="1406">
      <c r="A1406" s="7" t="n">
        <v>1403</v>
      </c>
      <c r="B1406" s="8" t="inlineStr">
        <is>
          <t xml:space="preserve">                values_list = list(tree.item(rid, "values"))</t>
        </is>
      </c>
    </row>
    <row r="1407">
      <c r="A1407" s="9" t="n">
        <v>1404</v>
      </c>
      <c r="B1407" s="10" t="inlineStr">
        <is>
          <t xml:space="preserve">                values_list[ci - 1] = val</t>
        </is>
      </c>
    </row>
    <row r="1408">
      <c r="A1408" s="7" t="n">
        <v>1405</v>
      </c>
      <c r="B1408" s="8" t="inlineStr">
        <is>
          <t xml:space="preserve">                tree.item(rid, values=values_list)</t>
        </is>
      </c>
    </row>
    <row r="1409">
      <c r="A1409" s="9" t="n">
        <v>1406</v>
      </c>
      <c r="B1409" s="10" t="inlineStr">
        <is>
          <t xml:space="preserve">                combo.destroy()</t>
        </is>
      </c>
    </row>
    <row r="1410">
      <c r="A1410" s="7" t="n">
        <v>1407</v>
      </c>
      <c r="B1410" s="8" t="inlineStr"/>
    </row>
    <row r="1411">
      <c r="A1411" s="9" t="n">
        <v>1408</v>
      </c>
      <c r="B1411" s="10" t="inlineStr">
        <is>
          <t xml:space="preserve">            combo.bind("&lt;&lt;ComboboxSelected&gt;&gt;", _on_select)</t>
        </is>
      </c>
    </row>
    <row r="1412">
      <c r="A1412" s="7" t="n">
        <v>1409</v>
      </c>
      <c r="B1412" s="8" t="inlineStr">
        <is>
          <t xml:space="preserve">            combo.bind("&lt;FocusOut&gt;", lambda evt: combo.destroy())</t>
        </is>
      </c>
    </row>
    <row r="1413">
      <c r="A1413" s="9" t="n">
        <v>1410</v>
      </c>
      <c r="B1413" s="10" t="inlineStr">
        <is>
          <t xml:space="preserve">            combo.focus_set()</t>
        </is>
      </c>
    </row>
    <row r="1414">
      <c r="A1414" s="7" t="n">
        <v>1411</v>
      </c>
      <c r="B1414" s="8" t="inlineStr"/>
    </row>
    <row r="1415">
      <c r="A1415" s="9" t="n">
        <v>1412</v>
      </c>
      <c r="B1415" s="10" t="inlineStr">
        <is>
          <t xml:space="preserve">        tree.bind("&lt;Button-1&gt;", _on_tree_click)</t>
        </is>
      </c>
    </row>
    <row r="1416">
      <c r="A1416" s="7" t="n">
        <v>1413</v>
      </c>
      <c r="B1416" s="8" t="inlineStr"/>
    </row>
    <row r="1417">
      <c r="A1417" s="9" t="n">
        <v>1414</v>
      </c>
      <c r="B1417" s="10" t="inlineStr">
        <is>
          <t xml:space="preserve">        # 按钮区域</t>
        </is>
      </c>
    </row>
    <row r="1418">
      <c r="A1418" s="7" t="n">
        <v>1415</v>
      </c>
      <c r="B1418" s="8" t="inlineStr">
        <is>
          <t xml:space="preserve">        btn_frame = tb.Frame(win, padding=8)</t>
        </is>
      </c>
    </row>
    <row r="1419">
      <c r="A1419" s="9" t="n">
        <v>1416</v>
      </c>
      <c r="B1419" s="10" t="inlineStr">
        <is>
          <t xml:space="preserve">        btn_frame.pack(fill="x")</t>
        </is>
      </c>
    </row>
    <row r="1420">
      <c r="A1420" s="7" t="n">
        <v>1417</v>
      </c>
      <c r="B1420" s="8" t="inlineStr"/>
    </row>
    <row r="1421">
      <c r="A1421" s="9" t="n">
        <v>1418</v>
      </c>
      <c r="B1421" s="10" t="inlineStr">
        <is>
          <t xml:space="preserve">        def _submit_feedback():</t>
        </is>
      </c>
    </row>
    <row r="1422">
      <c r="A1422" s="7" t="n">
        <v>1419</v>
      </c>
      <c r="B1422" s="8" t="inlineStr">
        <is>
          <t xml:space="preserve">            """提交所有素材的反馈"""</t>
        </is>
      </c>
    </row>
    <row r="1423">
      <c r="A1423" s="9" t="n">
        <v>1420</v>
      </c>
      <c r="B1423" s="10" t="inlineStr">
        <is>
          <t xml:space="preserve">            try:</t>
        </is>
      </c>
    </row>
    <row r="1424">
      <c r="A1424" s="7" t="n">
        <v>1421</v>
      </c>
      <c r="B1424" s="8" t="inlineStr">
        <is>
          <t xml:space="preserve">                from core.database import db</t>
        </is>
      </c>
    </row>
    <row r="1425">
      <c r="A1425" s="9" t="n">
        <v>1422</v>
      </c>
      <c r="B1425" s="10" t="inlineStr">
        <is>
          <t xml:space="preserve">                count = 0</t>
        </is>
      </c>
    </row>
    <row r="1426">
      <c r="A1426" s="7" t="n">
        <v>1423</v>
      </c>
      <c r="B1426" s="8" t="inlineStr">
        <is>
          <t xml:space="preserve">                for mid, vars_dict in rating_vars.items():</t>
        </is>
      </c>
    </row>
    <row r="1427">
      <c r="A1427" s="9" t="n">
        <v>1424</v>
      </c>
      <c r="B1427" s="10" t="inlineStr">
        <is>
          <t xml:space="preserve">                    path = vars_dict["path"]</t>
        </is>
      </c>
    </row>
    <row r="1428">
      <c r="A1428" s="7" t="n">
        <v>1425</v>
      </c>
      <c r="B1428" s="8" t="inlineStr">
        <is>
          <t xml:space="preserve">                    for fb_type, var_key in [("重复率", "repeat"), ("选取合理率", "fit"), ("适配率", "adapt")]:</t>
        </is>
      </c>
    </row>
    <row r="1429">
      <c r="A1429" s="9" t="n">
        <v>1426</v>
      </c>
      <c r="B1429" s="10" t="inlineStr">
        <is>
          <t xml:space="preserve">                        rating = int(vars_dict[var_key].get())</t>
        </is>
      </c>
    </row>
    <row r="1430">
      <c r="A1430" s="7" t="n">
        <v>1427</v>
      </c>
      <c r="B1430" s="8" t="inlineStr">
        <is>
          <t xml:space="preserve">                        if rating != 3:</t>
        </is>
      </c>
    </row>
    <row r="1431">
      <c r="A1431" s="9" t="n">
        <v>1428</v>
      </c>
      <c r="B1431" s="10" t="inlineStr">
        <is>
          <t xml:space="preserve">                            db.insert_material_feedback(path, video_log_id, fb_type, rating)</t>
        </is>
      </c>
    </row>
    <row r="1432">
      <c r="A1432" s="7" t="n">
        <v>1429</v>
      </c>
      <c r="B1432" s="8" t="inlineStr">
        <is>
          <t xml:space="preserve">                            count += 1</t>
        </is>
      </c>
    </row>
    <row r="1433">
      <c r="A1433" s="9" t="n">
        <v>1430</v>
      </c>
      <c r="B1433" s="10" t="inlineStr">
        <is>
          <t xml:space="preserve">                    r_vals = [int(vars_dict[k].get()) for k in ("repeat", "fit", "adapt")]</t>
        </is>
      </c>
    </row>
    <row r="1434">
      <c r="A1434" s="7" t="n">
        <v>1431</v>
      </c>
      <c r="B1434" s="8" t="inlineStr">
        <is>
          <t xml:space="preserve">                    if all(v == 3 for v in r_vals):</t>
        </is>
      </c>
    </row>
    <row r="1435">
      <c r="A1435" s="9" t="n">
        <v>1432</v>
      </c>
      <c r="B1435" s="10" t="inlineStr">
        <is>
          <t xml:space="preserve">                        db.insert_material_feedback(path, video_log_id, "适配率", 3)</t>
        </is>
      </c>
    </row>
    <row r="1436">
      <c r="A1436" s="7" t="n">
        <v>1433</v>
      </c>
      <c r="B1436" s="8" t="inlineStr">
        <is>
          <t xml:space="preserve">                        count += 1</t>
        </is>
      </c>
    </row>
    <row r="1437">
      <c r="A1437" s="9" t="n">
        <v>1434</v>
      </c>
      <c r="B1437" s="10" t="inlineStr">
        <is>
          <t xml:space="preserve">                messagebox.showinfo("完成", f"已提交 {count} 条反馈记录\n反馈将在后续生成中自动影响素材选取权重")</t>
        </is>
      </c>
    </row>
    <row r="1438">
      <c r="A1438" s="7" t="n">
        <v>1435</v>
      </c>
      <c r="B1438" s="8" t="inlineStr">
        <is>
          <t xml:space="preserve">                win.destroy()</t>
        </is>
      </c>
    </row>
    <row r="1439">
      <c r="A1439" s="9" t="n">
        <v>1436</v>
      </c>
      <c r="B1439" s="10" t="inlineStr">
        <is>
          <t xml:space="preserve">            except Exception as e:</t>
        </is>
      </c>
    </row>
    <row r="1440">
      <c r="A1440" s="7" t="n">
        <v>1437</v>
      </c>
      <c r="B1440" s="8" t="inlineStr">
        <is>
          <t xml:space="preserve">                messagebox.showerror("错误", f"提交失败: {e}")</t>
        </is>
      </c>
    </row>
    <row r="1441">
      <c r="A1441" s="9" t="n">
        <v>1438</v>
      </c>
      <c r="B1441" s="10" t="inlineStr"/>
    </row>
    <row r="1442">
      <c r="A1442" s="7" t="n">
        <v>1439</v>
      </c>
      <c r="B1442" s="8" t="inlineStr">
        <is>
          <t xml:space="preserve">        RoundedButton(btn_frame, text="提交反馈 / Submit", command=_submit_feedback,</t>
        </is>
      </c>
    </row>
    <row r="1443">
      <c r="A1443" s="9" t="n">
        <v>1440</v>
      </c>
      <c r="B1443" s="10" t="inlineStr">
        <is>
          <t xml:space="preserve">                     width=180, height=38, bg_color="#0d6efd", fg_color="#ffffff",</t>
        </is>
      </c>
    </row>
    <row r="1444">
      <c r="A1444" s="7" t="n">
        <v>1441</v>
      </c>
      <c r="B1444" s="8" t="inlineStr">
        <is>
          <t xml:space="preserve">                     hover_color="#0b5ed7", radius=12).pack(side="left", padx=4)</t>
        </is>
      </c>
    </row>
    <row r="1445">
      <c r="A1445" s="9" t="n">
        <v>1442</v>
      </c>
      <c r="B1445" s="10" t="inlineStr">
        <is>
          <t xml:space="preserve">        RoundedButton(btn_frame, text="取消 / Cancel", command=win.destroy,</t>
        </is>
      </c>
    </row>
    <row r="1446">
      <c r="A1446" s="7" t="n">
        <v>1443</v>
      </c>
      <c r="B1446" s="8" t="inlineStr">
        <is>
          <t xml:space="preserve">                     width=120, height=38, bg_color="#e0e0e0", fg_color="#212529",</t>
        </is>
      </c>
    </row>
    <row r="1447">
      <c r="A1447" s="9" t="n">
        <v>1444</v>
      </c>
      <c r="B1447" s="10" t="inlineStr">
        <is>
          <t xml:space="preserve">                     hover_color="#d0e0ff", radius=12).pack(side="left", padx=4)</t>
        </is>
      </c>
    </row>
    <row r="1448">
      <c r="A1448" s="7" t="n">
        <v>1445</v>
      </c>
      <c r="B1448" s="8" t="inlineStr"/>
    </row>
    <row r="1449">
      <c r="A1449" s="9" t="n">
        <v>1446</v>
      </c>
      <c r="B1449" s="10" t="inlineStr">
        <is>
          <t xml:space="preserve">        tb.Label(btn_frame, text="点击评分列可下拉选择 1-5 分（1=差, 5=优秀）",</t>
        </is>
      </c>
    </row>
    <row r="1450">
      <c r="A1450" s="7" t="n">
        <v>1447</v>
      </c>
      <c r="B1450" s="8" t="inlineStr">
        <is>
          <t xml:space="preserve">                font=("Microsoft YaHei", 9), foreground="#6d6d6d",</t>
        </is>
      </c>
    </row>
    <row r="1451">
      <c r="A1451" s="9" t="n">
        <v>1448</v>
      </c>
      <c r="B1451" s="10" t="inlineStr">
        <is>
          <t xml:space="preserve">                background="#e8f5e9").pack(side="right", padx=10)</t>
        </is>
      </c>
    </row>
    <row r="1452">
      <c r="A1452" s="7" t="n">
        <v>1449</v>
      </c>
      <c r="B1452" s="8" t="inlineStr"/>
    </row>
    <row r="1453">
      <c r="A1453" s="9" t="n">
        <v>1450</v>
      </c>
      <c r="B1453" s="10" t="inlineStr">
        <is>
          <t xml:space="preserve">    # ═══════════════ 系统功能 ═══════════════</t>
        </is>
      </c>
    </row>
    <row r="1454">
      <c r="A1454" s="7" t="n">
        <v>1451</v>
      </c>
      <c r="B1454" s="8" t="inlineStr">
        <is>
          <t xml:space="preserve">    # ═══════════════ TAB 7: 脚本学习库 ═══════════════</t>
        </is>
      </c>
    </row>
    <row r="1455">
      <c r="A1455" s="9" t="n">
        <v>1452</v>
      </c>
      <c r="B1455" s="10" t="inlineStr">
        <is>
          <t xml:space="preserve">    def _build_script_lib(self):</t>
        </is>
      </c>
    </row>
    <row r="1456">
      <c r="A1456" s="7" t="n">
        <v>1453</v>
      </c>
      <c r="B1456" s="8" t="inlineStr">
        <is>
          <t xml:space="preserve">        t = tb.Frame(self.nb, padding=10)</t>
        </is>
      </c>
    </row>
    <row r="1457">
      <c r="A1457" s="9" t="n">
        <v>1454</v>
      </c>
      <c r="B1457" s="10" t="inlineStr">
        <is>
          <t xml:space="preserve">        self.nb.add(t, text="脚本学习库 / Script Lib")</t>
        </is>
      </c>
    </row>
    <row r="1458">
      <c r="A1458" s="7" t="n">
        <v>1455</v>
      </c>
      <c r="B1458" s="8" t="inlineStr"/>
    </row>
    <row r="1459">
      <c r="A1459" s="9" t="n">
        <v>1456</v>
      </c>
      <c r="B1459" s="10" t="inlineStr">
        <is>
          <t xml:space="preserve">        # ── 上部: 添加脚本 ──</t>
        </is>
      </c>
    </row>
    <row r="1460">
      <c r="A1460" s="7" t="n">
        <v>1457</v>
      </c>
      <c r="B1460" s="8" t="inlineStr">
        <is>
          <t xml:space="preserve">        add_frame = tb.Labelframe(t, text="添加脚本", padding=6)</t>
        </is>
      </c>
    </row>
    <row r="1461">
      <c r="A1461" s="9" t="n">
        <v>1458</v>
      </c>
      <c r="B1461" s="10" t="inlineStr">
        <is>
          <t xml:space="preserve">        add_frame.pack(fill="x", pady=4)</t>
        </is>
      </c>
    </row>
    <row r="1462">
      <c r="A1462" s="7" t="n">
        <v>1459</v>
      </c>
      <c r="B1462" s="8" t="inlineStr"/>
    </row>
    <row r="1463">
      <c r="A1463" s="9" t="n">
        <v>1460</v>
      </c>
      <c r="B1463" s="10" t="inlineStr">
        <is>
          <t xml:space="preserve">        self.slib_input = tk.Text(add_frame, font=("Microsoft YaHei", 11),</t>
        </is>
      </c>
    </row>
    <row r="1464">
      <c r="A1464" s="7" t="n">
        <v>1461</v>
      </c>
      <c r="B1464" s="8" t="inlineStr">
        <is>
          <t xml:space="preserve">                                   bg="#ffffff", fg="#1b5e20")</t>
        </is>
      </c>
    </row>
    <row r="1465">
      <c r="A1465" s="9" t="n">
        <v>1462</v>
      </c>
      <c r="B1465" s="10" t="inlineStr">
        <is>
          <t xml:space="preserve">        self.slib_input.pack(fill="x", pady=2)</t>
        </is>
      </c>
    </row>
    <row r="1466">
      <c r="A1466" s="7" t="n">
        <v>1463</v>
      </c>
      <c r="B1466" s="8" t="inlineStr"/>
    </row>
    <row r="1467">
      <c r="A1467" s="9" t="n">
        <v>1464</v>
      </c>
      <c r="B1467" s="10" t="inlineStr">
        <is>
          <t xml:space="preserve">        row1 = tb.Frame(add_frame); row1.pack(fill="x")</t>
        </is>
      </c>
    </row>
    <row r="1468">
      <c r="A1468" s="7" t="n">
        <v>1465</v>
      </c>
      <c r="B1468" s="8" t="inlineStr">
        <is>
          <t xml:space="preserve">        tb.Label(row1, text="标签:").pack(side="left")</t>
        </is>
      </c>
    </row>
    <row r="1469">
      <c r="A1469" s="9" t="n">
        <v>1466</v>
      </c>
      <c r="B1469" s="10" t="inlineStr">
        <is>
          <t xml:space="preserve">        self.slib_tags_var = tk.StringVar()</t>
        </is>
      </c>
    </row>
    <row r="1470">
      <c r="A1470" s="7" t="n">
        <v>1467</v>
      </c>
      <c r="B1470" s="8" t="inlineStr">
        <is>
          <t xml:space="preserve">        tk.Entry(row1, textvariable=self.slib_tags_var, width=30,</t>
        </is>
      </c>
    </row>
    <row r="1471">
      <c r="A1471" s="9" t="n">
        <v>1468</v>
      </c>
      <c r="B1471" s="10" t="inlineStr">
        <is>
          <t xml:space="preserve">                bg="#ffffff", fg="#1b5e20").pack(side="left", padx=4)</t>
        </is>
      </c>
    </row>
    <row r="1472">
      <c r="A1472" s="7" t="n">
        <v>1469</v>
      </c>
      <c r="B1472" s="8" t="inlineStr"/>
    </row>
    <row r="1473">
      <c r="A1473" s="9" t="n">
        <v>1470</v>
      </c>
      <c r="B1473" s="10" t="inlineStr">
        <is>
          <t xml:space="preserve">        self.slib_force_line = tk.BooleanVar(value=False)</t>
        </is>
      </c>
    </row>
    <row r="1474">
      <c r="A1474" s="7" t="n">
        <v>1471</v>
      </c>
      <c r="B1474" s="8" t="inlineStr">
        <is>
          <t xml:space="preserve">        tb.Checkbutton(row1, text="强制按行", variable=self.slib_force_line</t>
        </is>
      </c>
    </row>
    <row r="1475">
      <c r="A1475" s="9" t="n">
        <v>1472</v>
      </c>
      <c r="B1475" s="10" t="inlineStr">
        <is>
          <t xml:space="preserve">                       ).pack(side="left", padx=4)</t>
        </is>
      </c>
    </row>
    <row r="1476">
      <c r="A1476" s="7" t="n">
        <v>1473</v>
      </c>
      <c r="B1476" s="8" t="inlineStr">
        <is>
          <t xml:space="preserve">        RoundedButton(row1, text="智能导入", command=self._slib_smart_add, width=100, height=34, bg_color="#0d6efd", fg_color="#ffffff", hover_color="#0b5ed7", radius=10).pack(side="left", padx=4)</t>
        </is>
      </c>
    </row>
    <row r="1477">
      <c r="A1477" s="9" t="n">
        <v>1474</v>
      </c>
      <c r="B1477" s="10" t="inlineStr">
        <is>
          <t xml:space="preserve">        RoundedButton(row1, text="从文件导入", command=self._slib_import, width=100, height=34, bg_color="#0d6efd", fg_color="#ffffff", hover_color="#0b5ed7", radius=10).pack(side="left", padx=4)</t>
        </is>
      </c>
    </row>
    <row r="1478">
      <c r="A1478" s="7" t="n">
        <v>1475</v>
      </c>
      <c r="B1478" s="8" t="inlineStr">
        <is>
          <t xml:space="preserve">        self.slib_status = tb.Label(row1, text="", foreground="#4a7c4f")</t>
        </is>
      </c>
    </row>
    <row r="1479">
      <c r="A1479" s="9" t="n">
        <v>1476</v>
      </c>
      <c r="B1479" s="10" t="inlineStr">
        <is>
          <t xml:space="preserve">        self.slib_status.pack(side="left", padx=10)</t>
        </is>
      </c>
    </row>
    <row r="1480">
      <c r="A1480" s="7" t="n">
        <v>1477</v>
      </c>
      <c r="B1480" s="8" t="inlineStr"/>
    </row>
    <row r="1481">
      <c r="A1481" s="9" t="n">
        <v>1478</v>
      </c>
      <c r="B1481" s="10" t="inlineStr">
        <is>
          <t xml:space="preserve">        # ── 中部: 脚本列表 ──</t>
        </is>
      </c>
    </row>
    <row r="1482">
      <c r="A1482" s="7" t="n">
        <v>1479</v>
      </c>
      <c r="B1482" s="8" t="inlineStr">
        <is>
          <t xml:space="preserve">        list_frame = tb.Labelframe(t, text="脚本列表", padding=4)</t>
        </is>
      </c>
    </row>
    <row r="1483">
      <c r="A1483" s="9" t="n">
        <v>1480</v>
      </c>
      <c r="B1483" s="10" t="inlineStr">
        <is>
          <t xml:space="preserve">        list_frame.pack(fill="both", expand=True, pady=4)</t>
        </is>
      </c>
    </row>
    <row r="1484">
      <c r="A1484" s="7" t="n">
        <v>1481</v>
      </c>
      <c r="B1484" s="8" t="inlineStr"/>
    </row>
    <row r="1485">
      <c r="A1485" s="9" t="n">
        <v>1482</v>
      </c>
      <c r="B1485" s="10" t="inlineStr">
        <is>
          <t xml:space="preserve">        bf = tb.Frame(list_frame); bf.pack(fill="x")</t>
        </is>
      </c>
    </row>
    <row r="1486">
      <c r="A1486" s="7" t="n">
        <v>1483</v>
      </c>
      <c r="B1486" s="8" t="inlineStr">
        <is>
          <t xml:space="preserve">        RoundedButton(bf, text="刷新", command=self._slib_refresh, width=110, height=34, bg_color="#e0e0e0", fg_color="#212529", hover_color="#d0e0ff", radius=10).pack(side="left", padx=2)</t>
        </is>
      </c>
    </row>
    <row r="1487">
      <c r="A1487" s="9" t="n">
        <v>1484</v>
      </c>
      <c r="B1487" s="10" t="inlineStr">
        <is>
          <t xml:space="preserve">        self.slib_search_var = tk.StringVar()</t>
        </is>
      </c>
    </row>
    <row r="1488">
      <c r="A1488" s="7" t="n">
        <v>1485</v>
      </c>
      <c r="B1488" s="8" t="inlineStr">
        <is>
          <t xml:space="preserve">        tk.Entry(bf, textvariable=self.slib_search_var, width=20,</t>
        </is>
      </c>
    </row>
    <row r="1489">
      <c r="A1489" s="9" t="n">
        <v>1486</v>
      </c>
      <c r="B1489" s="10" t="inlineStr">
        <is>
          <t xml:space="preserve">                bg="#ffffff", fg="#1b5e20").pack(side="left", padx=4)</t>
        </is>
      </c>
    </row>
    <row r="1490">
      <c r="A1490" s="7" t="n">
        <v>1487</v>
      </c>
      <c r="B1490" s="8" t="inlineStr">
        <is>
          <t xml:space="preserve">        RoundedButton(bf, text="搜索", command=self._slib_search, width=110, height=34, bg_color="#e0e0e0", fg_color="#212529", hover_color="#d0e0ff", radius=10).pack(side="left", padx=2)</t>
        </is>
      </c>
    </row>
    <row r="1491">
      <c r="A1491" s="9" t="n">
        <v>1488</v>
      </c>
      <c r="B1491" s="10" t="inlineStr">
        <is>
          <t xml:space="preserve">        RoundedButton(bf, text="删除选中", command=self._slib_delete, width=110, height=34, bg_color="#e0e0e0", fg_color="#212529", hover_color="#d0e0ff", radius=10).pack(side="right", padx=2)</t>
        </is>
      </c>
    </row>
    <row r="1492">
      <c r="A1492" s="7" t="n">
        <v>1489</v>
      </c>
      <c r="B1492" s="8" t="inlineStr">
        <is>
          <t xml:space="preserve">        RoundedButton(bf, text="使用选中", command=self._slib_use, width=110, height=34, bg_color="#e0e0e0", fg_color="#212529", hover_color="#d0e0ff", radius=10).pack(side="right", padx=2)</t>
        </is>
      </c>
    </row>
    <row r="1493">
      <c r="A1493" s="9" t="n">
        <v>1490</v>
      </c>
      <c r="B1493" s="10" t="inlineStr"/>
    </row>
    <row r="1494">
      <c r="A1494" s="7" t="n">
        <v>1491</v>
      </c>
      <c r="B1494" s="8" t="inlineStr">
        <is>
          <t xml:space="preserve">        self.slib_tree = tb.Treeview(list_frame,</t>
        </is>
      </c>
    </row>
    <row r="1495">
      <c r="A1495" s="9" t="n">
        <v>1492</v>
      </c>
      <c r="B1495" s="10" t="inlineStr">
        <is>
          <t xml:space="preserve">            columns=("id","preview","tags","count","score","last"),</t>
        </is>
      </c>
    </row>
    <row r="1496">
      <c r="A1496" s="7" t="n">
        <v>1493</v>
      </c>
      <c r="B1496" s="8" t="inlineStr">
        <is>
          <t xml:space="preserve">            show="headings")</t>
        </is>
      </c>
    </row>
    <row r="1497">
      <c r="A1497" s="9" t="n">
        <v>1494</v>
      </c>
      <c r="B1497" s="10" t="inlineStr">
        <is>
          <t xml:space="preserve">        self.slib_tree.heading("id", text="ID")</t>
        </is>
      </c>
    </row>
    <row r="1498">
      <c r="A1498" s="7" t="n">
        <v>1495</v>
      </c>
      <c r="B1498" s="8" t="inlineStr">
        <is>
          <t xml:space="preserve">        self.slib_tree.column("id", width=40, anchor="center")</t>
        </is>
      </c>
    </row>
    <row r="1499">
      <c r="A1499" s="9" t="n">
        <v>1496</v>
      </c>
      <c r="B1499" s="10" t="inlineStr">
        <is>
          <t xml:space="preserve">        self.slib_tree.heading("preview", text="脚本预览")</t>
        </is>
      </c>
    </row>
    <row r="1500">
      <c r="A1500" s="7" t="n">
        <v>1497</v>
      </c>
      <c r="B1500" s="8" t="inlineStr">
        <is>
          <t xml:space="preserve">        self.slib_tree.column("preview", width=480)</t>
        </is>
      </c>
    </row>
    <row r="1501">
      <c r="A1501" s="9" t="n">
        <v>1498</v>
      </c>
      <c r="B1501" s="10" t="inlineStr">
        <is>
          <t xml:space="preserve">        self.slib_tree.heading("tags", text="标签")</t>
        </is>
      </c>
    </row>
    <row r="1502">
      <c r="A1502" s="7" t="n">
        <v>1499</v>
      </c>
      <c r="B1502" s="8" t="inlineStr">
        <is>
          <t xml:space="preserve">        self.slib_tree.column("tags", width=110)</t>
        </is>
      </c>
    </row>
    <row r="1503">
      <c r="A1503" s="9" t="n">
        <v>1500</v>
      </c>
      <c r="B1503" s="10" t="inlineStr">
        <is>
          <t xml:space="preserve">        self.slib_tree.heading("count", text="次数")</t>
        </is>
      </c>
    </row>
    <row r="1504">
      <c r="A1504" s="7" t="n">
        <v>1501</v>
      </c>
      <c r="B1504" s="8" t="inlineStr">
        <is>
          <t xml:space="preserve">        self.slib_tree.column("count", width=55, anchor="center")</t>
        </is>
      </c>
    </row>
    <row r="1505">
      <c r="A1505" s="9" t="n">
        <v>1502</v>
      </c>
      <c r="B1505" s="10" t="inlineStr">
        <is>
          <t xml:space="preserve">        self.slib_tree.heading("score", text="评分")</t>
        </is>
      </c>
    </row>
    <row r="1506">
      <c r="A1506" s="7" t="n">
        <v>1503</v>
      </c>
      <c r="B1506" s="8" t="inlineStr">
        <is>
          <t xml:space="preserve">        self.slib_tree.column("score", width=55, anchor="center")</t>
        </is>
      </c>
    </row>
    <row r="1507">
      <c r="A1507" s="9" t="n">
        <v>1504</v>
      </c>
      <c r="B1507" s="10" t="inlineStr">
        <is>
          <t xml:space="preserve">        self.slib_tree.heading("last", text="最后使用")</t>
        </is>
      </c>
    </row>
    <row r="1508">
      <c r="A1508" s="7" t="n">
        <v>1505</v>
      </c>
      <c r="B1508" s="8" t="inlineStr">
        <is>
          <t xml:space="preserve">        self.slib_tree.column("last", width=110)</t>
        </is>
      </c>
    </row>
    <row r="1509">
      <c r="A1509" s="9" t="n">
        <v>1506</v>
      </c>
      <c r="B1509" s="10" t="inlineStr">
        <is>
          <t xml:space="preserve">        self.slib_tree.pack(fill="both", expand=True)</t>
        </is>
      </c>
    </row>
    <row r="1510">
      <c r="A1510" s="7" t="n">
        <v>1507</v>
      </c>
      <c r="B1510" s="8" t="inlineStr"/>
    </row>
    <row r="1511">
      <c r="A1511" s="9" t="n">
        <v>1508</v>
      </c>
      <c r="B1511" s="10" t="inlineStr">
        <is>
          <t xml:space="preserve">        self.slib_tree.bind("&lt;Double-1&gt;", lambda e: self._slib_edit())</t>
        </is>
      </c>
    </row>
    <row r="1512">
      <c r="A1512" s="7" t="n">
        <v>1509</v>
      </c>
      <c r="B1512" s="8" t="inlineStr"/>
    </row>
    <row r="1513">
      <c r="A1513" s="9" t="n">
        <v>1510</v>
      </c>
      <c r="B1513" s="10" t="inlineStr">
        <is>
          <t xml:space="preserve">        # ── 下部: 详情 ──</t>
        </is>
      </c>
    </row>
    <row r="1514">
      <c r="A1514" s="7" t="n">
        <v>1511</v>
      </c>
      <c r="B1514" s="8" t="inlineStr">
        <is>
          <t xml:space="preserve">        det_frame = tb.Labelframe(t, text="脚本详情与分析", padding=4)</t>
        </is>
      </c>
    </row>
    <row r="1515">
      <c r="A1515" s="9" t="n">
        <v>1512</v>
      </c>
      <c r="B1515" s="10" t="inlineStr">
        <is>
          <t xml:space="preserve">        det_frame.pack(fill="x", pady=4)</t>
        </is>
      </c>
    </row>
    <row r="1516">
      <c r="A1516" s="7" t="n">
        <v>1513</v>
      </c>
      <c r="B1516" s="8" t="inlineStr"/>
    </row>
    <row r="1517">
      <c r="A1517" s="9" t="n">
        <v>1514</v>
      </c>
      <c r="B1517" s="10" t="inlineStr">
        <is>
          <t xml:space="preserve">        self.slib_detail = tk.Text(det_frame, font=("Microsoft YaHei", 10),</t>
        </is>
      </c>
    </row>
    <row r="1518">
      <c r="A1518" s="7" t="n">
        <v>1515</v>
      </c>
      <c r="B1518" s="8" t="inlineStr">
        <is>
          <t xml:space="preserve">                                    bg="#c8e6c9", fg="#1b5e20", state="disabled")</t>
        </is>
      </c>
    </row>
    <row r="1519">
      <c r="A1519" s="9" t="n">
        <v>1516</v>
      </c>
      <c r="B1519" s="10" t="inlineStr">
        <is>
          <t xml:space="preserve">        self.slib_detail.pack(fill="x")</t>
        </is>
      </c>
    </row>
    <row r="1520">
      <c r="A1520" s="7" t="n">
        <v>1517</v>
      </c>
      <c r="B1520" s="8" t="inlineStr"/>
    </row>
    <row r="1521">
      <c r="A1521" s="9" t="n">
        <v>1518</v>
      </c>
      <c r="B1521" s="10" t="inlineStr">
        <is>
          <t xml:space="preserve">        # 初始加载</t>
        </is>
      </c>
    </row>
    <row r="1522">
      <c r="A1522" s="7" t="n">
        <v>1519</v>
      </c>
      <c r="B1522" s="8" t="inlineStr">
        <is>
          <t xml:space="preserve">        self._slib_refresh()</t>
        </is>
      </c>
    </row>
    <row r="1523">
      <c r="A1523" s="9" t="n">
        <v>1520</v>
      </c>
      <c r="B1523" s="10" t="inlineStr"/>
    </row>
    <row r="1524">
      <c r="A1524" s="7" t="n">
        <v>1521</v>
      </c>
      <c r="B1524" s="8" t="inlineStr">
        <is>
          <t xml:space="preserve">    def _slib_smart_add(self):</t>
        </is>
      </c>
    </row>
    <row r="1525">
      <c r="A1525" s="9" t="n">
        <v>1522</v>
      </c>
      <c r="B1525" s="10" t="inlineStr">
        <is>
          <t xml:space="preserve">        """智能导入：自动分割粘贴区中的多个脚本"""</t>
        </is>
      </c>
    </row>
    <row r="1526">
      <c r="A1526" s="7" t="n">
        <v>1523</v>
      </c>
      <c r="B1526" s="8" t="inlineStr">
        <is>
          <t xml:space="preserve">        raw_text = self.slib_input.get("1.0", "end-1c").strip()</t>
        </is>
      </c>
    </row>
    <row r="1527">
      <c r="A1527" s="9" t="n">
        <v>1524</v>
      </c>
      <c r="B1527" s="10" t="inlineStr">
        <is>
          <t xml:space="preserve">        if not raw_text:</t>
        </is>
      </c>
    </row>
    <row r="1528">
      <c r="A1528" s="7" t="n">
        <v>1525</v>
      </c>
      <c r="B1528" s="8" t="inlineStr">
        <is>
          <t xml:space="preserve">            messagebox.showinfo("提示", "请粘贴脚本内容")</t>
        </is>
      </c>
    </row>
    <row r="1529">
      <c r="A1529" s="9" t="n">
        <v>1526</v>
      </c>
      <c r="B1529" s="10" t="inlineStr">
        <is>
          <t xml:space="preserve">            return</t>
        </is>
      </c>
    </row>
    <row r="1530">
      <c r="A1530" s="7" t="n">
        <v>1527</v>
      </c>
      <c r="B1530" s="8" t="inlineStr">
        <is>
          <t xml:space="preserve">        tags = [t.strip() for t in self.slib_tags_var.get().split(",") if t.strip()]</t>
        </is>
      </c>
    </row>
    <row r="1531">
      <c r="A1531" s="9" t="n">
        <v>1528</v>
      </c>
      <c r="B1531" s="10" t="inlineStr">
        <is>
          <t xml:space="preserve">        try:</t>
        </is>
      </c>
    </row>
    <row r="1532">
      <c r="A1532" s="7" t="n">
        <v>1529</v>
      </c>
      <c r="B1532" s="8" t="inlineStr">
        <is>
          <t xml:space="preserve">            from core.script_learning import get_library</t>
        </is>
      </c>
    </row>
    <row r="1533">
      <c r="A1533" s="9" t="n">
        <v>1530</v>
      </c>
      <c r="B1533" s="10" t="inlineStr">
        <is>
          <t xml:space="preserve">            lib = get_library()</t>
        </is>
      </c>
    </row>
    <row r="1534">
      <c r="A1534" s="7" t="n">
        <v>1531</v>
      </c>
      <c r="B1534" s="8" t="inlineStr">
        <is>
          <t xml:space="preserve">            result = lib.import_scripts_from_text(</t>
        </is>
      </c>
    </row>
    <row r="1535">
      <c r="A1535" s="9" t="n">
        <v>1532</v>
      </c>
      <c r="B1535" s="10" t="inlineStr">
        <is>
          <t xml:space="preserve">                raw_text, source="manual",</t>
        </is>
      </c>
    </row>
    <row r="1536">
      <c r="A1536" s="7" t="n">
        <v>1533</v>
      </c>
      <c r="B1536" s="8" t="inlineStr">
        <is>
          <t xml:space="preserve">                force_by_line=self.slib_force_line.get(),</t>
        </is>
      </c>
    </row>
    <row r="1537">
      <c r="A1537" s="9" t="n">
        <v>1534</v>
      </c>
      <c r="B1537" s="10" t="inlineStr">
        <is>
          <t xml:space="preserve">                skip_duplicates=True)</t>
        </is>
      </c>
    </row>
    <row r="1538">
      <c r="A1538" s="7" t="n">
        <v>1535</v>
      </c>
      <c r="B1538" s="8" t="inlineStr">
        <is>
          <t xml:space="preserve">            self._slib_refresh()</t>
        </is>
      </c>
    </row>
    <row r="1539">
      <c r="A1539" s="9" t="n">
        <v>1536</v>
      </c>
      <c r="B1539" s="10" t="inlineStr">
        <is>
          <t xml:space="preserve">            self.slib_input.delete("1.0", "end")</t>
        </is>
      </c>
    </row>
    <row r="1540">
      <c r="A1540" s="7" t="n">
        <v>1537</v>
      </c>
      <c r="B1540" s="8" t="inlineStr">
        <is>
          <t xml:space="preserve">            self.slib_tags_var.set("")</t>
        </is>
      </c>
    </row>
    <row r="1541">
      <c r="A1541" s="9" t="n">
        <v>1538</v>
      </c>
      <c r="B1541" s="10" t="inlineStr">
        <is>
          <t xml:space="preserve">            self.slib_status.config(</t>
        </is>
      </c>
    </row>
    <row r="1542">
      <c r="A1542" s="7" t="n">
        <v>1539</v>
      </c>
      <c r="B1542" s="8" t="inlineStr">
        <is>
          <t xml:space="preserve">                text=f"[OK] 新增 {result['added']}, 跳过 {result['skipped']}",</t>
        </is>
      </c>
    </row>
    <row r="1543">
      <c r="A1543" s="9" t="n">
        <v>1540</v>
      </c>
      <c r="B1543" s="10" t="inlineStr">
        <is>
          <t xml:space="preserve">                foreground="#43a047")</t>
        </is>
      </c>
    </row>
    <row r="1544">
      <c r="A1544" s="7" t="n">
        <v>1541</v>
      </c>
      <c r="B1544" s="8" t="inlineStr">
        <is>
          <t xml:space="preserve">        except Exception as e:</t>
        </is>
      </c>
    </row>
    <row r="1545">
      <c r="A1545" s="9" t="n">
        <v>1542</v>
      </c>
      <c r="B1545" s="10" t="inlineStr">
        <is>
          <t xml:space="preserve">            self.slib_status.config(text=f"导入失败: {e}", foreground="#e53935")</t>
        </is>
      </c>
    </row>
    <row r="1546">
      <c r="A1546" s="7" t="n">
        <v>1543</v>
      </c>
      <c r="B1546" s="8" t="inlineStr"/>
    </row>
    <row r="1547">
      <c r="A1547" s="9" t="n">
        <v>1544</v>
      </c>
      <c r="B1547" s="10" t="inlineStr">
        <is>
          <t xml:space="preserve">    def _slib_import(self):</t>
        </is>
      </c>
    </row>
    <row r="1548">
      <c r="A1548" s="7" t="n">
        <v>1545</v>
      </c>
      <c r="B1548" s="8" t="inlineStr">
        <is>
          <t xml:space="preserve">        from tkinter import filedialog, messagebox</t>
        </is>
      </c>
    </row>
    <row r="1549">
      <c r="A1549" s="9" t="n">
        <v>1546</v>
      </c>
      <c r="B1549" s="10" t="inlineStr">
        <is>
          <t xml:space="preserve">        path = filedialog.askopenfilename(</t>
        </is>
      </c>
    </row>
    <row r="1550">
      <c r="A1550" s="7" t="n">
        <v>1547</v>
      </c>
      <c r="B1550" s="8" t="inlineStr">
        <is>
          <t xml:space="preserve">            title="选择脚本文件", filetypes=[("Excel/Text files","*.xlsx *.txt")])</t>
        </is>
      </c>
    </row>
    <row r="1551">
      <c r="A1551" s="9" t="n">
        <v>1548</v>
      </c>
      <c r="B1551" s="10" t="inlineStr">
        <is>
          <t xml:space="preserve">        if not path:</t>
        </is>
      </c>
    </row>
    <row r="1552">
      <c r="A1552" s="7" t="n">
        <v>1549</v>
      </c>
      <c r="B1552" s="8" t="inlineStr">
        <is>
          <t xml:space="preserve">            return</t>
        </is>
      </c>
    </row>
    <row r="1553">
      <c r="A1553" s="9" t="n">
        <v>1550</v>
      </c>
      <c r="B1553" s="10" t="inlineStr"/>
    </row>
    <row r="1554">
      <c r="A1554" s="7" t="n">
        <v>1551</v>
      </c>
      <c r="B1554" s="8" t="inlineStr">
        <is>
          <t xml:space="preserve">        self.slib_status.config(text="正在导入...", foreground="#ffb74d")</t>
        </is>
      </c>
    </row>
    <row r="1555">
      <c r="A1555" s="9" t="n">
        <v>1552</v>
      </c>
      <c r="B1555" s="10" t="inlineStr">
        <is>
          <t xml:space="preserve">        self.root.update_idletasks()</t>
        </is>
      </c>
    </row>
    <row r="1556">
      <c r="A1556" s="7" t="n">
        <v>1553</v>
      </c>
      <c r="B1556" s="8" t="inlineStr"/>
    </row>
    <row r="1557">
      <c r="A1557" s="9" t="n">
        <v>1554</v>
      </c>
      <c r="B1557" s="10" t="inlineStr">
        <is>
          <t xml:space="preserve">        try:</t>
        </is>
      </c>
    </row>
    <row r="1558">
      <c r="A1558" s="7" t="n">
        <v>1555</v>
      </c>
      <c r="B1558" s="8" t="inlineStr">
        <is>
          <t xml:space="preserve">            raw_text = ""</t>
        </is>
      </c>
    </row>
    <row r="1559">
      <c r="A1559" s="9" t="n">
        <v>1556</v>
      </c>
      <c r="B1559" s="10" t="inlineStr">
        <is>
          <t xml:space="preserve">            if path.endswith(".xlsx"):</t>
        </is>
      </c>
    </row>
    <row r="1560">
      <c r="A1560" s="7" t="n">
        <v>1557</v>
      </c>
      <c r="B1560" s="8" t="inlineStr">
        <is>
          <t xml:space="preserve">                try:</t>
        </is>
      </c>
    </row>
    <row r="1561">
      <c r="A1561" s="9" t="n">
        <v>1558</v>
      </c>
      <c r="B1561" s="10" t="inlineStr">
        <is>
          <t xml:space="preserve">                    import openpyxl</t>
        </is>
      </c>
    </row>
    <row r="1562">
      <c r="A1562" s="7" t="n">
        <v>1559</v>
      </c>
      <c r="B1562" s="8" t="inlineStr">
        <is>
          <t xml:space="preserve">                except ImportError:</t>
        </is>
      </c>
    </row>
    <row r="1563">
      <c r="A1563" s="9" t="n">
        <v>1560</v>
      </c>
      <c r="B1563" s="10" t="inlineStr">
        <is>
          <t xml:space="preserve">                    messagebox.showerror("缺少依赖",</t>
        </is>
      </c>
    </row>
    <row r="1564">
      <c r="A1564" s="7" t="n">
        <v>1561</v>
      </c>
      <c r="B1564" s="8" t="inlineStr">
        <is>
          <t xml:space="preserve">                        "请先安装 openpyxl：\npip install openpyxl")</t>
        </is>
      </c>
    </row>
    <row r="1565">
      <c r="A1565" s="9" t="n">
        <v>1562</v>
      </c>
      <c r="B1565" s="10" t="inlineStr">
        <is>
          <t xml:space="preserve">                    self.slib_status.config(text="导入失败: 缺少 openpyxl", foreground="#e53935")</t>
        </is>
      </c>
    </row>
    <row r="1566">
      <c r="A1566" s="7" t="n">
        <v>1563</v>
      </c>
      <c r="B1566" s="8" t="inlineStr">
        <is>
          <t xml:space="preserve">                    return</t>
        </is>
      </c>
    </row>
    <row r="1567">
      <c r="A1567" s="9" t="n">
        <v>1564</v>
      </c>
      <c r="B1567" s="10" t="inlineStr"/>
    </row>
    <row r="1568">
      <c r="A1568" s="7" t="n">
        <v>1565</v>
      </c>
      <c r="B1568" s="8" t="inlineStr">
        <is>
          <t xml:space="preserve">                wb = openpyxl.load_workbook(path, read_only=True, data_only=True)</t>
        </is>
      </c>
    </row>
    <row r="1569">
      <c r="A1569" s="9" t="n">
        <v>1566</v>
      </c>
      <c r="B1569" s="10" t="inlineStr">
        <is>
          <t xml:space="preserve">                ws = wb.active</t>
        </is>
      </c>
    </row>
    <row r="1570">
      <c r="A1570" s="7" t="n">
        <v>1567</v>
      </c>
      <c r="B1570" s="8" t="inlineStr">
        <is>
          <t xml:space="preserve">                cell_texts = []</t>
        </is>
      </c>
    </row>
    <row r="1571">
      <c r="A1571" s="9" t="n">
        <v>1568</v>
      </c>
      <c r="B1571" s="10" t="inlineStr">
        <is>
          <t xml:space="preserve">                for row in ws.iter_rows(values_only=True):</t>
        </is>
      </c>
    </row>
    <row r="1572">
      <c r="A1572" s="7" t="n">
        <v>1569</v>
      </c>
      <c r="B1572" s="8" t="inlineStr">
        <is>
          <t xml:space="preserve">                    for cell in row:</t>
        </is>
      </c>
    </row>
    <row r="1573">
      <c r="A1573" s="9" t="n">
        <v>1570</v>
      </c>
      <c r="B1573" s="10" t="inlineStr">
        <is>
          <t xml:space="preserve">                        if cell is not None and str(cell).strip():</t>
        </is>
      </c>
    </row>
    <row r="1574">
      <c r="A1574" s="7" t="n">
        <v>1571</v>
      </c>
      <c r="B1574" s="8" t="inlineStr">
        <is>
          <t xml:space="preserve">                            cell_texts.append(str(cell).strip())</t>
        </is>
      </c>
    </row>
    <row r="1575">
      <c r="A1575" s="9" t="n">
        <v>1572</v>
      </c>
      <c r="B1575" s="10" t="inlineStr">
        <is>
          <t xml:space="preserve">                wb.close()</t>
        </is>
      </c>
    </row>
    <row r="1576">
      <c r="A1576" s="7" t="n">
        <v>1573</v>
      </c>
      <c r="B1576" s="8" t="inlineStr">
        <is>
          <t xml:space="preserve">                raw_text = "\n\n".join(cell_texts)</t>
        </is>
      </c>
    </row>
    <row r="1577">
      <c r="A1577" s="9" t="n">
        <v>1574</v>
      </c>
      <c r="B1577" s="10" t="inlineStr">
        <is>
          <t xml:space="preserve">                if not raw_text.strip():</t>
        </is>
      </c>
    </row>
    <row r="1578">
      <c r="A1578" s="7" t="n">
        <v>1575</v>
      </c>
      <c r="B1578" s="8" t="inlineStr">
        <is>
          <t xml:space="preserve">                    messagebox.showinfo("提示", "Excel 文件中没有检测到文本内容")</t>
        </is>
      </c>
    </row>
    <row r="1579">
      <c r="A1579" s="9" t="n">
        <v>1576</v>
      </c>
      <c r="B1579" s="10" t="inlineStr">
        <is>
          <t xml:space="preserve">                    self.slib_status.config(text="文件为空", foreground="#e53935")</t>
        </is>
      </c>
    </row>
    <row r="1580">
      <c r="A1580" s="7" t="n">
        <v>1577</v>
      </c>
      <c r="B1580" s="8" t="inlineStr">
        <is>
          <t xml:space="preserve">                    return</t>
        </is>
      </c>
    </row>
    <row r="1581">
      <c r="A1581" s="9" t="n">
        <v>1578</v>
      </c>
      <c r="B1581" s="10" t="inlineStr">
        <is>
          <t xml:space="preserve">            else:</t>
        </is>
      </c>
    </row>
    <row r="1582">
      <c r="A1582" s="7" t="n">
        <v>1579</v>
      </c>
      <c r="B1582" s="8" t="inlineStr">
        <is>
          <t xml:space="preserve">                with open(path, encoding="utf-8") as _f: raw_text = _f.read()</t>
        </is>
      </c>
    </row>
    <row r="1583">
      <c r="A1583" s="9" t="n">
        <v>1580</v>
      </c>
      <c r="B1583" s="10" t="inlineStr"/>
    </row>
    <row r="1584">
      <c r="A1584" s="7" t="n">
        <v>1581</v>
      </c>
      <c r="B1584" s="8" t="inlineStr">
        <is>
          <t xml:space="preserve">            if not raw_text.strip():</t>
        </is>
      </c>
    </row>
    <row r="1585">
      <c r="A1585" s="9" t="n">
        <v>1582</v>
      </c>
      <c r="B1585" s="10" t="inlineStr">
        <is>
          <t xml:space="preserve">                messagebox.showinfo("提示", "文件中没有检测到任何文本内容")</t>
        </is>
      </c>
    </row>
    <row r="1586">
      <c r="A1586" s="7" t="n">
        <v>1583</v>
      </c>
      <c r="B1586" s="8" t="inlineStr">
        <is>
          <t xml:space="preserve">                self.slib_status.config(text="导入失败: 文件为空", foreground="#e53935")</t>
        </is>
      </c>
    </row>
    <row r="1587">
      <c r="A1587" s="9" t="n">
        <v>1584</v>
      </c>
      <c r="B1587" s="10" t="inlineStr">
        <is>
          <t xml:space="preserve">                return</t>
        </is>
      </c>
    </row>
    <row r="1588">
      <c r="A1588" s="7" t="n">
        <v>1585</v>
      </c>
      <c r="B1588" s="8" t="inlineStr"/>
    </row>
    <row r="1589">
      <c r="A1589" s="9" t="n">
        <v>1586</v>
      </c>
      <c r="B1589" s="10" t="inlineStr">
        <is>
          <t xml:space="preserve">            from core.script_learning import get_library</t>
        </is>
      </c>
    </row>
    <row r="1590">
      <c r="A1590" s="7" t="n">
        <v>1587</v>
      </c>
      <c r="B1590" s="8" t="inlineStr">
        <is>
          <t xml:space="preserve">            lib = get_library()</t>
        </is>
      </c>
    </row>
    <row r="1591">
      <c r="A1591" s="9" t="n">
        <v>1588</v>
      </c>
      <c r="B1591" s="10" t="inlineStr">
        <is>
          <t xml:space="preserve">            result = lib.import_scripts_from_text(</t>
        </is>
      </c>
    </row>
    <row r="1592">
      <c r="A1592" s="7" t="n">
        <v>1589</v>
      </c>
      <c r="B1592" s="8" t="inlineStr">
        <is>
          <t xml:space="preserve">                raw_text, source="file",</t>
        </is>
      </c>
    </row>
    <row r="1593">
      <c r="A1593" s="9" t="n">
        <v>1590</v>
      </c>
      <c r="B1593" s="10" t="inlineStr">
        <is>
          <t xml:space="preserve">                force_by_line=self.slib_force_line.get(),</t>
        </is>
      </c>
    </row>
    <row r="1594">
      <c r="A1594" s="7" t="n">
        <v>1591</v>
      </c>
      <c r="B1594" s="8" t="inlineStr">
        <is>
          <t xml:space="preserve">                skip_duplicates=True)</t>
        </is>
      </c>
    </row>
    <row r="1595">
      <c r="A1595" s="9" t="n">
        <v>1592</v>
      </c>
      <c r="B1595" s="10" t="inlineStr"/>
    </row>
    <row r="1596">
      <c r="A1596" s="7" t="n">
        <v>1593</v>
      </c>
      <c r="B1596" s="8" t="inlineStr">
        <is>
          <t xml:space="preserve">            self._slib_refresh()</t>
        </is>
      </c>
    </row>
    <row r="1597">
      <c r="A1597" s="9" t="n">
        <v>1594</v>
      </c>
      <c r="B1597" s="10" t="inlineStr">
        <is>
          <t xml:space="preserve">            self.slib_status.config(</t>
        </is>
      </c>
    </row>
    <row r="1598">
      <c r="A1598" s="7" t="n">
        <v>1595</v>
      </c>
      <c r="B1598" s="8" t="inlineStr">
        <is>
          <t xml:space="preserve">                text=f"[OK] 新增 {result['added']}, 跳过 {result['skipped']}",</t>
        </is>
      </c>
    </row>
    <row r="1599">
      <c r="A1599" s="9" t="n">
        <v>1596</v>
      </c>
      <c r="B1599" s="10" t="inlineStr">
        <is>
          <t xml:space="preserve">                foreground="#43a047")</t>
        </is>
      </c>
    </row>
    <row r="1600">
      <c r="A1600" s="7" t="n">
        <v>1597</v>
      </c>
      <c r="B1600" s="8" t="inlineStr">
        <is>
          <t xml:space="preserve">            messagebox.showinfo("导入完成",</t>
        </is>
      </c>
    </row>
    <row r="1601">
      <c r="A1601" s="9" t="n">
        <v>1598</v>
      </c>
      <c r="B1601" s="10" t="inlineStr">
        <is>
          <t xml:space="preserve">                f"成功导入 {result['added']} 条脚本\n跳过 {result['skipped']} 条重复")</t>
        </is>
      </c>
    </row>
    <row r="1602">
      <c r="A1602" s="7" t="n">
        <v>1599</v>
      </c>
      <c r="B1602" s="8" t="inlineStr"/>
    </row>
    <row r="1603">
      <c r="A1603" s="9" t="n">
        <v>1600</v>
      </c>
      <c r="B1603" s="10" t="inlineStr">
        <is>
          <t xml:space="preserve">        except Exception as e:</t>
        </is>
      </c>
    </row>
    <row r="1604">
      <c r="A1604" s="7" t="n">
        <v>1601</v>
      </c>
      <c r="B1604" s="8" t="inlineStr">
        <is>
          <t xml:space="preserve">            import traceback</t>
        </is>
      </c>
    </row>
    <row r="1605">
      <c r="A1605" s="9" t="n">
        <v>1602</v>
      </c>
      <c r="B1605" s="10" t="inlineStr">
        <is>
          <t xml:space="preserve">            traceback.print_exc()</t>
        </is>
      </c>
    </row>
    <row r="1606">
      <c r="A1606" s="7" t="n">
        <v>1603</v>
      </c>
      <c r="B1606" s="8" t="inlineStr">
        <is>
          <t xml:space="preserve">            self.slib_status.config(text=f"导入失败: {str(e)[:50]}", foreground="#e53935")</t>
        </is>
      </c>
    </row>
    <row r="1607">
      <c r="A1607" s="9" t="n">
        <v>1604</v>
      </c>
      <c r="B1607" s="10" t="inlineStr">
        <is>
          <t xml:space="preserve">            messagebox.showerror("导入错误", f"文件解析失败:\n{str(e)}")</t>
        </is>
      </c>
    </row>
    <row r="1608">
      <c r="A1608" s="7" t="n">
        <v>1605</v>
      </c>
      <c r="B1608" s="8" t="inlineStr"/>
    </row>
    <row r="1609">
      <c r="A1609" s="9" t="n">
        <v>1606</v>
      </c>
      <c r="B1609" s="10" t="inlineStr">
        <is>
          <t xml:space="preserve">    def _slib_refresh(self):</t>
        </is>
      </c>
    </row>
    <row r="1610">
      <c r="A1610" s="7" t="n">
        <v>1607</v>
      </c>
      <c r="B1610" s="8" t="inlineStr">
        <is>
          <t xml:space="preserve">        self.slib_tree.delete(*self.slib_tree.get_children())</t>
        </is>
      </c>
    </row>
    <row r="1611">
      <c r="A1611" s="9" t="n">
        <v>1608</v>
      </c>
      <c r="B1611" s="10" t="inlineStr">
        <is>
          <t xml:space="preserve">        try:</t>
        </is>
      </c>
    </row>
    <row r="1612">
      <c r="A1612" s="7" t="n">
        <v>1609</v>
      </c>
      <c r="B1612" s="8" t="inlineStr">
        <is>
          <t xml:space="preserve">            from core.script_learning import get_library</t>
        </is>
      </c>
    </row>
    <row r="1613">
      <c r="A1613" s="9" t="n">
        <v>1610</v>
      </c>
      <c r="B1613" s="10" t="inlineStr">
        <is>
          <t xml:space="preserve">            lib = get_library()</t>
        </is>
      </c>
    </row>
    <row r="1614">
      <c r="A1614" s="7" t="n">
        <v>1611</v>
      </c>
      <c r="B1614" s="8" t="inlineStr">
        <is>
          <t xml:space="preserve">            scripts = lib.get_all(limit=100)</t>
        </is>
      </c>
    </row>
    <row r="1615">
      <c r="A1615" s="9" t="n">
        <v>1612</v>
      </c>
      <c r="B1615" s="10" t="inlineStr">
        <is>
          <t xml:space="preserve">            for s in scripts:</t>
        </is>
      </c>
    </row>
    <row r="1616">
      <c r="A1616" s="7" t="n">
        <v>1613</v>
      </c>
      <c r="B1616" s="8" t="inlineStr">
        <is>
          <t xml:space="preserve">                preview = s["content"][:200].replace("\n", " ")</t>
        </is>
      </c>
    </row>
    <row r="1617">
      <c r="A1617" s="9" t="n">
        <v>1614</v>
      </c>
      <c r="B1617" s="10" t="inlineStr">
        <is>
          <t xml:space="preserve">                self.slib_tree.insert("", "end",</t>
        </is>
      </c>
    </row>
    <row r="1618">
      <c r="A1618" s="7" t="n">
        <v>1615</v>
      </c>
      <c r="B1618" s="8" t="inlineStr">
        <is>
          <t xml:space="preserve">                    values=(s["id"], preview, s.get("tags","")[:30],</t>
        </is>
      </c>
    </row>
    <row r="1619">
      <c r="A1619" s="9" t="n">
        <v>1616</v>
      </c>
      <c r="B1619" s="10" t="inlineStr">
        <is>
          <t xml:space="preserve">                            s.get("usage_count",0), s.get("avg_score",0),</t>
        </is>
      </c>
    </row>
    <row r="1620">
      <c r="A1620" s="7" t="n">
        <v>1617</v>
      </c>
      <c r="B1620" s="8" t="inlineStr">
        <is>
          <t xml:space="preserve">                            (s.get("last_used_at","") or "")[:10]),</t>
        </is>
      </c>
    </row>
    <row r="1621">
      <c r="A1621" s="9" t="n">
        <v>1618</v>
      </c>
      <c r="B1621" s="10" t="inlineStr">
        <is>
          <t xml:space="preserve">                    tags=(str(s["id"]),))</t>
        </is>
      </c>
    </row>
    <row r="1622">
      <c r="A1622" s="7" t="n">
        <v>1619</v>
      </c>
      <c r="B1622" s="8" t="inlineStr">
        <is>
          <t xml:space="preserve">            self.slib_status.config(</t>
        </is>
      </c>
    </row>
    <row r="1623">
      <c r="A1623" s="9" t="n">
        <v>1620</v>
      </c>
      <c r="B1623" s="10" t="inlineStr">
        <is>
          <t xml:space="preserve">                text=f"{len(scripts)} 条脚本", foreground="#4a7c4f")</t>
        </is>
      </c>
    </row>
    <row r="1624">
      <c r="A1624" s="7" t="n">
        <v>1621</v>
      </c>
      <c r="B1624" s="8" t="inlineStr">
        <is>
          <t xml:space="preserve">        except Exception as e:</t>
        </is>
      </c>
    </row>
    <row r="1625">
      <c r="A1625" s="9" t="n">
        <v>1622</v>
      </c>
      <c r="B1625" s="10" t="inlineStr">
        <is>
          <t xml:space="preserve">            self.slib_status.config(text=f"加载失败: {e}", foreground="#e53935")</t>
        </is>
      </c>
    </row>
    <row r="1626">
      <c r="A1626" s="7" t="n">
        <v>1623</v>
      </c>
      <c r="B1626" s="8" t="inlineStr"/>
    </row>
    <row r="1627">
      <c r="A1627" s="9" t="n">
        <v>1624</v>
      </c>
      <c r="B1627" s="10" t="inlineStr">
        <is>
          <t xml:space="preserve">    def _slib_search(self):</t>
        </is>
      </c>
    </row>
    <row r="1628">
      <c r="A1628" s="7" t="n">
        <v>1625</v>
      </c>
      <c r="B1628" s="8" t="inlineStr">
        <is>
          <t xml:space="preserve">        q = self.slib_search_var.get().strip()</t>
        </is>
      </c>
    </row>
    <row r="1629">
      <c r="A1629" s="9" t="n">
        <v>1626</v>
      </c>
      <c r="B1629" s="10" t="inlineStr">
        <is>
          <t xml:space="preserve">        if not q:</t>
        </is>
      </c>
    </row>
    <row r="1630">
      <c r="A1630" s="7" t="n">
        <v>1627</v>
      </c>
      <c r="B1630" s="8" t="inlineStr">
        <is>
          <t xml:space="preserve">            self._slib_refresh()</t>
        </is>
      </c>
    </row>
    <row r="1631">
      <c r="A1631" s="9" t="n">
        <v>1628</v>
      </c>
      <c r="B1631" s="10" t="inlineStr">
        <is>
          <t xml:space="preserve">            return</t>
        </is>
      </c>
    </row>
    <row r="1632">
      <c r="A1632" s="7" t="n">
        <v>1629</v>
      </c>
      <c r="B1632" s="8" t="inlineStr">
        <is>
          <t xml:space="preserve">        self.slib_tree.delete(*self.slib_tree.get_children())</t>
        </is>
      </c>
    </row>
    <row r="1633">
      <c r="A1633" s="9" t="n">
        <v>1630</v>
      </c>
      <c r="B1633" s="10" t="inlineStr">
        <is>
          <t xml:space="preserve">        try:</t>
        </is>
      </c>
    </row>
    <row r="1634">
      <c r="A1634" s="7" t="n">
        <v>1631</v>
      </c>
      <c r="B1634" s="8" t="inlineStr">
        <is>
          <t xml:space="preserve">            from core.script_learning import get_library</t>
        </is>
      </c>
    </row>
    <row r="1635">
      <c r="A1635" s="9" t="n">
        <v>1632</v>
      </c>
      <c r="B1635" s="10" t="inlineStr">
        <is>
          <t xml:space="preserve">            for s in get_library().search(q, limit=50):</t>
        </is>
      </c>
    </row>
    <row r="1636">
      <c r="A1636" s="7" t="n">
        <v>1633</v>
      </c>
      <c r="B1636" s="8" t="inlineStr">
        <is>
          <t xml:space="preserve">                preview = s["content"][:200].replace("\n", " ")</t>
        </is>
      </c>
    </row>
    <row r="1637">
      <c r="A1637" s="9" t="n">
        <v>1634</v>
      </c>
      <c r="B1637" s="10" t="inlineStr">
        <is>
          <t xml:space="preserve">                self.slib_tree.insert("", "end",</t>
        </is>
      </c>
    </row>
    <row r="1638">
      <c r="A1638" s="7" t="n">
        <v>1635</v>
      </c>
      <c r="B1638" s="8" t="inlineStr">
        <is>
          <t xml:space="preserve">                    values=(s["id"], preview, s.get("tags","")[:30],</t>
        </is>
      </c>
    </row>
    <row r="1639">
      <c r="A1639" s="9" t="n">
        <v>1636</v>
      </c>
      <c r="B1639" s="10" t="inlineStr">
        <is>
          <t xml:space="preserve">                            s.get("usage_count",0), s.get("avg_score",0),</t>
        </is>
      </c>
    </row>
    <row r="1640">
      <c r="A1640" s="7" t="n">
        <v>1637</v>
      </c>
      <c r="B1640" s="8" t="inlineStr">
        <is>
          <t xml:space="preserve">                            (s.get("last_used_at","") or "")[:10]),</t>
        </is>
      </c>
    </row>
    <row r="1641">
      <c r="A1641" s="9" t="n">
        <v>1638</v>
      </c>
      <c r="B1641" s="10" t="inlineStr">
        <is>
          <t xml:space="preserve">                    tags=(str(s["id"]),))</t>
        </is>
      </c>
    </row>
    <row r="1642">
      <c r="A1642" s="7" t="n">
        <v>1639</v>
      </c>
      <c r="B1642" s="8" t="inlineStr">
        <is>
          <t xml:space="preserve">        except Exception as e:</t>
        </is>
      </c>
    </row>
    <row r="1643">
      <c r="A1643" s="9" t="n">
        <v>1640</v>
      </c>
      <c r="B1643" s="10" t="inlineStr">
        <is>
          <t xml:space="preserve">            self.slib_status.config(text=f"搜索失败: {e}", foreground="#e53935")</t>
        </is>
      </c>
    </row>
    <row r="1644">
      <c r="A1644" s="7" t="n">
        <v>1641</v>
      </c>
      <c r="B1644" s="8" t="inlineStr"/>
    </row>
    <row r="1645">
      <c r="A1645" s="9" t="n">
        <v>1642</v>
      </c>
      <c r="B1645" s="10" t="inlineStr">
        <is>
          <t xml:space="preserve">    def _slib_delete(self):</t>
        </is>
      </c>
    </row>
    <row r="1646">
      <c r="A1646" s="7" t="n">
        <v>1643</v>
      </c>
      <c r="B1646" s="8" t="inlineStr">
        <is>
          <t xml:space="preserve">        sel = self.slib_tree.selection()</t>
        </is>
      </c>
    </row>
    <row r="1647">
      <c r="A1647" s="9" t="n">
        <v>1644</v>
      </c>
      <c r="B1647" s="10" t="inlineStr">
        <is>
          <t xml:space="preserve">        if not sel:</t>
        </is>
      </c>
    </row>
    <row r="1648">
      <c r="A1648" s="7" t="n">
        <v>1645</v>
      </c>
      <c r="B1648" s="8" t="inlineStr">
        <is>
          <t xml:space="preserve">            return</t>
        </is>
      </c>
    </row>
    <row r="1649">
      <c r="A1649" s="9" t="n">
        <v>1646</v>
      </c>
      <c r="B1649" s="10" t="inlineStr">
        <is>
          <t xml:space="preserve">        if messagebox.askyesno("确认", f"删除选中的 {len(sel)} 条脚本?"):</t>
        </is>
      </c>
    </row>
    <row r="1650">
      <c r="A1650" s="7" t="n">
        <v>1647</v>
      </c>
      <c r="B1650" s="8" t="inlineStr">
        <is>
          <t xml:space="preserve">            from core.script_learning import get_library</t>
        </is>
      </c>
    </row>
    <row r="1651">
      <c r="A1651" s="9" t="n">
        <v>1648</v>
      </c>
      <c r="B1651" s="10" t="inlineStr">
        <is>
          <t xml:space="preserve">            for item in sel:</t>
        </is>
      </c>
    </row>
    <row r="1652">
      <c r="A1652" s="7" t="n">
        <v>1649</v>
      </c>
      <c r="B1652" s="8" t="inlineStr">
        <is>
          <t xml:space="preserve">                sid = int(self.slib_tree.item(item, "tags")[0])</t>
        </is>
      </c>
    </row>
    <row r="1653">
      <c r="A1653" s="9" t="n">
        <v>1650</v>
      </c>
      <c r="B1653" s="10" t="inlineStr">
        <is>
          <t xml:space="preserve">                get_library().delete(sid)</t>
        </is>
      </c>
    </row>
    <row r="1654">
      <c r="A1654" s="7" t="n">
        <v>1651</v>
      </c>
      <c r="B1654" s="8" t="inlineStr">
        <is>
          <t xml:space="preserve">            self._slib_refresh()</t>
        </is>
      </c>
    </row>
    <row r="1655">
      <c r="A1655" s="9" t="n">
        <v>1652</v>
      </c>
      <c r="B1655" s="10" t="inlineStr"/>
    </row>
    <row r="1656">
      <c r="A1656" s="7" t="n">
        <v>1653</v>
      </c>
      <c r="B1656" s="8" t="inlineStr">
        <is>
          <t xml:space="preserve">    def _slib_use(self):</t>
        </is>
      </c>
    </row>
    <row r="1657">
      <c r="A1657" s="9" t="n">
        <v>1654</v>
      </c>
      <c r="B1657" s="10" t="inlineStr">
        <is>
          <t xml:space="preserve">        sel = self.slib_tree.selection()</t>
        </is>
      </c>
    </row>
    <row r="1658">
      <c r="A1658" s="7" t="n">
        <v>1655</v>
      </c>
      <c r="B1658" s="8" t="inlineStr">
        <is>
          <t xml:space="preserve">        if not sel:</t>
        </is>
      </c>
    </row>
    <row r="1659">
      <c r="A1659" s="9" t="n">
        <v>1656</v>
      </c>
      <c r="B1659" s="10" t="inlineStr">
        <is>
          <t xml:space="preserve">            return</t>
        </is>
      </c>
    </row>
    <row r="1660">
      <c r="A1660" s="7" t="n">
        <v>1657</v>
      </c>
      <c r="B1660" s="8" t="inlineStr">
        <is>
          <t xml:space="preserve">        sid = int(self.slib_tree.item(sel[0], "tags")[0])</t>
        </is>
      </c>
    </row>
    <row r="1661">
      <c r="A1661" s="9" t="n">
        <v>1658</v>
      </c>
      <c r="B1661" s="10" t="inlineStr">
        <is>
          <t xml:space="preserve">        from core.script_learning import get_library</t>
        </is>
      </c>
    </row>
    <row r="1662">
      <c r="A1662" s="7" t="n">
        <v>1659</v>
      </c>
      <c r="B1662" s="8" t="inlineStr">
        <is>
          <t xml:space="preserve">        s = get_library().get_by_id(sid)</t>
        </is>
      </c>
    </row>
    <row r="1663">
      <c r="A1663" s="9" t="n">
        <v>1660</v>
      </c>
      <c r="B1663" s="10" t="inlineStr">
        <is>
          <t xml:space="preserve">        if s:</t>
        </is>
      </c>
    </row>
    <row r="1664">
      <c r="A1664" s="7" t="n">
        <v>1661</v>
      </c>
      <c r="B1664" s="8" t="inlineStr">
        <is>
          <t xml:space="preserve">            # 切换到快速生成 Tab 并填入脚本</t>
        </is>
      </c>
    </row>
    <row r="1665">
      <c r="A1665" s="9" t="n">
        <v>1662</v>
      </c>
      <c r="B1665" s="10" t="inlineStr">
        <is>
          <t xml:space="preserve">            self.nb.select(0)</t>
        </is>
      </c>
    </row>
    <row r="1666">
      <c r="A1666" s="7" t="n">
        <v>1663</v>
      </c>
      <c r="B1666" s="8" t="inlineStr">
        <is>
          <t xml:space="preserve">            self.copy_text.delete("1.0", "end")</t>
        </is>
      </c>
    </row>
    <row r="1667">
      <c r="A1667" s="9" t="n">
        <v>1664</v>
      </c>
      <c r="B1667" s="10" t="inlineStr">
        <is>
          <t xml:space="preserve">            self.copy_text.insert("1.0", s["content"])</t>
        </is>
      </c>
    </row>
    <row r="1668">
      <c r="A1668" s="7" t="n">
        <v>1665</v>
      </c>
      <c r="B1668" s="8" t="inlineStr">
        <is>
          <t xml:space="preserve">            self.kw_entry.set("脚本学习库")</t>
        </is>
      </c>
    </row>
    <row r="1669">
      <c r="A1669" s="9" t="n">
        <v>1666</v>
      </c>
      <c r="B1669" s="10" t="inlineStr">
        <is>
          <t xml:space="preserve">            self._set_status(f"已加载脚本 #{sid}")</t>
        </is>
      </c>
    </row>
    <row r="1670">
      <c r="A1670" s="7" t="n">
        <v>1667</v>
      </c>
      <c r="B1670" s="8" t="inlineStr"/>
    </row>
    <row r="1671">
      <c r="A1671" s="9" t="n">
        <v>1668</v>
      </c>
      <c r="B1671" s="10" t="inlineStr">
        <is>
          <t xml:space="preserve">    def _slib_edit(self):</t>
        </is>
      </c>
    </row>
    <row r="1672">
      <c r="A1672" s="7" t="n">
        <v>1669</v>
      </c>
      <c r="B1672" s="8" t="inlineStr">
        <is>
          <t xml:space="preserve">        sel = self.slib_tree.selection()</t>
        </is>
      </c>
    </row>
    <row r="1673">
      <c r="A1673" s="9" t="n">
        <v>1670</v>
      </c>
      <c r="B1673" s="10" t="inlineStr">
        <is>
          <t xml:space="preserve">        if not sel:</t>
        </is>
      </c>
    </row>
    <row r="1674">
      <c r="A1674" s="7" t="n">
        <v>1671</v>
      </c>
      <c r="B1674" s="8" t="inlineStr">
        <is>
          <t xml:space="preserve">            return</t>
        </is>
      </c>
    </row>
    <row r="1675">
      <c r="A1675" s="9" t="n">
        <v>1672</v>
      </c>
      <c r="B1675" s="10" t="inlineStr">
        <is>
          <t xml:space="preserve">        sid = int(self.slib_tree.item(sel[0], "tags")[0])</t>
        </is>
      </c>
    </row>
    <row r="1676">
      <c r="A1676" s="7" t="n">
        <v>1673</v>
      </c>
      <c r="B1676" s="8" t="inlineStr">
        <is>
          <t xml:space="preserve">        from core.script_learning import get_library</t>
        </is>
      </c>
    </row>
    <row r="1677">
      <c r="A1677" s="9" t="n">
        <v>1674</v>
      </c>
      <c r="B1677" s="10" t="inlineStr">
        <is>
          <t xml:space="preserve">        s = get_library().get_by_id(sid)</t>
        </is>
      </c>
    </row>
    <row r="1678">
      <c r="A1678" s="7" t="n">
        <v>1675</v>
      </c>
      <c r="B1678" s="8" t="inlineStr">
        <is>
          <t xml:space="preserve">        if not s:</t>
        </is>
      </c>
    </row>
    <row r="1679">
      <c r="A1679" s="9" t="n">
        <v>1676</v>
      </c>
      <c r="B1679" s="10" t="inlineStr">
        <is>
          <t xml:space="preserve">            return</t>
        </is>
      </c>
    </row>
    <row r="1680">
      <c r="A1680" s="7" t="n">
        <v>1677</v>
      </c>
      <c r="B1680" s="8" t="inlineStr">
        <is>
          <t xml:space="preserve">        # 显示详情</t>
        </is>
      </c>
    </row>
    <row r="1681">
      <c r="A1681" s="9" t="n">
        <v>1678</v>
      </c>
      <c r="B1681" s="10" t="inlineStr">
        <is>
          <t xml:space="preserve">        self.slib_detail.config(state="normal")</t>
        </is>
      </c>
    </row>
    <row r="1682">
      <c r="A1682" s="7" t="n">
        <v>1679</v>
      </c>
      <c r="B1682" s="8" t="inlineStr">
        <is>
          <t xml:space="preserve">        self.slib_detail.delete("1.0", "end")</t>
        </is>
      </c>
    </row>
    <row r="1683">
      <c r="A1683" s="9" t="n">
        <v>1680</v>
      </c>
      <c r="B1683" s="10" t="inlineStr">
        <is>
          <t xml:space="preserve">        self.slib_detail.insert("1.0",</t>
        </is>
      </c>
    </row>
    <row r="1684">
      <c r="A1684" s="7" t="n">
        <v>1681</v>
      </c>
      <c r="B1684" s="8" t="inlineStr">
        <is>
          <t xml:space="preserve">            f"ID: {s['id']} | 来源: {s.get('source','?')} | 使用: {s.get('usage_count',0)}次 | 评分: {s.get('avg_score',0):.1f}\n"</t>
        </is>
      </c>
    </row>
    <row r="1685">
      <c r="A1685" s="9" t="n">
        <v>1682</v>
      </c>
      <c r="B1685" s="10" t="inlineStr">
        <is>
          <t xml:space="preserve">            f"标签: {s.get('tags','')}\n"</t>
        </is>
      </c>
    </row>
    <row r="1686">
      <c r="A1686" s="7" t="n">
        <v>1683</v>
      </c>
      <c r="B1686" s="8" t="inlineStr">
        <is>
          <t xml:space="preserve">            f"创建: {s.get('created_at','')} | 最后使用: {s.get('last_used_at','')}\n"</t>
        </is>
      </c>
    </row>
    <row r="1687">
      <c r="A1687" s="9" t="n">
        <v>1684</v>
      </c>
      <c r="B1687" s="10" t="inlineStr">
        <is>
          <t xml:space="preserve">            f"──\n{s['content']}")</t>
        </is>
      </c>
    </row>
    <row r="1688">
      <c r="A1688" s="7" t="n">
        <v>1685</v>
      </c>
      <c r="B1688" s="8" t="inlineStr">
        <is>
          <t xml:space="preserve">        self.slib_detail.config(state="disabled")</t>
        </is>
      </c>
    </row>
    <row r="1689">
      <c r="A1689" s="9" t="n">
        <v>1686</v>
      </c>
      <c r="B1689" s="10" t="inlineStr"/>
    </row>
    <row r="1690">
      <c r="A1690" s="7" t="n">
        <v>1687</v>
      </c>
      <c r="B1690" s="8" t="inlineStr">
        <is>
          <t xml:space="preserve">        # 找相似脚本</t>
        </is>
      </c>
    </row>
    <row r="1691">
      <c r="A1691" s="9" t="n">
        <v>1688</v>
      </c>
      <c r="B1691" s="10" t="inlineStr">
        <is>
          <t xml:space="preserve">        try:</t>
        </is>
      </c>
    </row>
    <row r="1692">
      <c r="A1692" s="7" t="n">
        <v>1689</v>
      </c>
      <c r="B1692" s="8" t="inlineStr">
        <is>
          <t xml:space="preserve">            similar = get_library().find_similar(s["content"], top_k=3)</t>
        </is>
      </c>
    </row>
    <row r="1693">
      <c r="A1693" s="9" t="n">
        <v>1690</v>
      </c>
      <c r="B1693" s="10" t="inlineStr">
        <is>
          <t xml:space="preserve">            if similar:</t>
        </is>
      </c>
    </row>
    <row r="1694">
      <c r="A1694" s="7" t="n">
        <v>1691</v>
      </c>
      <c r="B1694" s="8" t="inlineStr">
        <is>
          <t xml:space="preserve">                self.slib_detail.config(state="normal")</t>
        </is>
      </c>
    </row>
    <row r="1695">
      <c r="A1695" s="9" t="n">
        <v>1692</v>
      </c>
      <c r="B1695" s="10" t="inlineStr">
        <is>
          <t xml:space="preserve">                self.slib_detail.insert("end", "\n\n── 相似脚本推荐 ──\n")</t>
        </is>
      </c>
    </row>
    <row r="1696">
      <c r="A1696" s="7" t="n">
        <v>1693</v>
      </c>
      <c r="B1696" s="8" t="inlineStr">
        <is>
          <t xml:space="preserve">                for sim in similar:</t>
        </is>
      </c>
    </row>
    <row r="1697">
      <c r="A1697" s="9" t="n">
        <v>1694</v>
      </c>
      <c r="B1697" s="10" t="inlineStr">
        <is>
          <t xml:space="preserve">                    self.slib_detail.insert("end",</t>
        </is>
      </c>
    </row>
    <row r="1698">
      <c r="A1698" s="7" t="n">
        <v>1695</v>
      </c>
      <c r="B1698" s="8" t="inlineStr">
        <is>
          <t xml:space="preserve">                        f"  [{sim['similarity']:.2f}] #{sim['id']}: {sim['content'][:50]}...\n")</t>
        </is>
      </c>
    </row>
    <row r="1699">
      <c r="A1699" s="9" t="n">
        <v>1696</v>
      </c>
      <c r="B1699" s="10" t="inlineStr">
        <is>
          <t xml:space="preserve">                self.slib_detail.config(state="disabled")</t>
        </is>
      </c>
    </row>
    <row r="1700">
      <c r="A1700" s="7" t="n">
        <v>1697</v>
      </c>
      <c r="B1700" s="8" t="inlineStr">
        <is>
          <t xml:space="preserve">        except Exception:</t>
        </is>
      </c>
    </row>
    <row r="1701">
      <c r="A1701" s="9" t="n">
        <v>1698</v>
      </c>
      <c r="B1701" s="10" t="inlineStr">
        <is>
          <t xml:space="preserve">            pass</t>
        </is>
      </c>
    </row>
    <row r="1702">
      <c r="A1702" s="7" t="n">
        <v>1699</v>
      </c>
      <c r="B1702" s="8" t="inlineStr"/>
    </row>
    <row r="1703">
      <c r="A1703" s="9" t="n">
        <v>1700</v>
      </c>
      <c r="B1703" s="10" t="inlineStr">
        <is>
          <t xml:space="preserve">    # ═══════════════════ 系统功能 ═══════════════════</t>
        </is>
      </c>
    </row>
    <row r="1704">
      <c r="A1704" s="7" t="n">
        <v>1701</v>
      </c>
      <c r="B1704" s="8" t="inlineStr">
        <is>
          <t xml:space="preserve">    def _show_help(self):</t>
        </is>
      </c>
    </row>
    <row r="1705">
      <c r="A1705" s="9" t="n">
        <v>1702</v>
      </c>
      <c r="B1705" s="10" t="inlineStr">
        <is>
          <t xml:space="preserve">        from ui.help_window import show_help</t>
        </is>
      </c>
    </row>
    <row r="1706">
      <c r="A1706" s="7" t="n">
        <v>1703</v>
      </c>
      <c r="B1706" s="8" t="inlineStr">
        <is>
          <t xml:space="preserve">        show_help(self.root)</t>
        </is>
      </c>
    </row>
    <row r="1707">
      <c r="A1707" s="9" t="n">
        <v>1704</v>
      </c>
      <c r="B1707" s="10" t="inlineStr"/>
    </row>
    <row r="1708">
      <c r="A1708" s="7" t="n">
        <v>1705</v>
      </c>
      <c r="B1708" s="8" t="inlineStr">
        <is>
          <t xml:space="preserve">    def _auto_detect_video_folders(self):</t>
        </is>
      </c>
    </row>
    <row r="1709">
      <c r="A1709" s="9" t="n">
        <v>1706</v>
      </c>
      <c r="B1709" s="10" t="inlineStr">
        <is>
          <t xml:space="preserve">        """首次运行时自动扫描盘符找到包含视频的文件夹"""</t>
        </is>
      </c>
    </row>
    <row r="1710">
      <c r="A1710" s="7" t="n">
        <v>1707</v>
      </c>
      <c r="B1710" s="8" t="inlineStr">
        <is>
          <t xml:space="preserve">        from core.drive_scanner import get_scanner</t>
        </is>
      </c>
    </row>
    <row r="1711">
      <c r="A1711" s="9" t="n">
        <v>1708</v>
      </c>
      <c r="B1711" s="10" t="inlineStr">
        <is>
          <t xml:space="preserve">        try:</t>
        </is>
      </c>
    </row>
    <row r="1712">
      <c r="A1712" s="7" t="n">
        <v>1709</v>
      </c>
      <c r="B1712" s="8" t="inlineStr">
        <is>
          <t xml:space="preserve">            scanner = get_scanner()</t>
        </is>
      </c>
    </row>
    <row r="1713">
      <c r="A1713" s="9" t="n">
        <v>1710</v>
      </c>
      <c r="B1713" s="10" t="inlineStr">
        <is>
          <t xml:space="preserve">            drives = scanner.get_drives()</t>
        </is>
      </c>
    </row>
    <row r="1714">
      <c r="A1714" s="7" t="n">
        <v>1711</v>
      </c>
      <c r="B1714" s="8" t="inlineStr">
        <is>
          <t xml:space="preserve">            candidates = []</t>
        </is>
      </c>
    </row>
    <row r="1715">
      <c r="A1715" s="9" t="n">
        <v>1712</v>
      </c>
      <c r="B1715" s="10" t="inlineStr">
        <is>
          <t xml:space="preserve">            for drive in drives[:3]:  # 只扫描前3个盘符</t>
        </is>
      </c>
    </row>
    <row r="1716">
      <c r="A1716" s="7" t="n">
        <v>1713</v>
      </c>
      <c r="B1716" s="8" t="inlineStr">
        <is>
          <t xml:space="preserve">                try:</t>
        </is>
      </c>
    </row>
    <row r="1717">
      <c r="A1717" s="9" t="n">
        <v>1714</v>
      </c>
      <c r="B1717" s="10" t="inlineStr">
        <is>
          <t xml:space="preserve">                    for item in os.scandir(drive):</t>
        </is>
      </c>
    </row>
    <row r="1718">
      <c r="A1718" s="7" t="n">
        <v>1715</v>
      </c>
      <c r="B1718" s="8" t="inlineStr">
        <is>
          <t xml:space="preserve">                        if item.is_dir() and not item.name.startswith((".", "$", "Windows", "Program")):</t>
        </is>
      </c>
    </row>
    <row r="1719">
      <c r="A1719" s="9" t="n">
        <v>1716</v>
      </c>
      <c r="B1719" s="10" t="inlineStr">
        <is>
          <t xml:space="preserve">                            has_video = False</t>
        </is>
      </c>
    </row>
    <row r="1720">
      <c r="A1720" s="7" t="n">
        <v>1717</v>
      </c>
      <c r="B1720" s="8" t="inlineStr">
        <is>
          <t xml:space="preserve">                            try:</t>
        </is>
      </c>
    </row>
    <row r="1721">
      <c r="A1721" s="9" t="n">
        <v>1718</v>
      </c>
      <c r="B1721" s="10" t="inlineStr">
        <is>
          <t xml:space="preserve">                                for sub in os.scandir(item.path):</t>
        </is>
      </c>
    </row>
    <row r="1722">
      <c r="A1722" s="7" t="n">
        <v>1719</v>
      </c>
      <c r="B1722" s="8" t="inlineStr">
        <is>
          <t xml:space="preserve">                                    if sub.is_file() and sub.name.lower().endswith((".mp4", ".mov", ".avi")):</t>
        </is>
      </c>
    </row>
    <row r="1723">
      <c r="A1723" s="9" t="n">
        <v>1720</v>
      </c>
      <c r="B1723" s="10" t="inlineStr">
        <is>
          <t xml:space="preserve">                                        has_video = True</t>
        </is>
      </c>
    </row>
    <row r="1724">
      <c r="A1724" s="7" t="n">
        <v>1721</v>
      </c>
      <c r="B1724" s="8" t="inlineStr">
        <is>
          <t xml:space="preserve">                                        break</t>
        </is>
      </c>
    </row>
    <row r="1725">
      <c r="A1725" s="9" t="n">
        <v>1722</v>
      </c>
      <c r="B1725" s="10" t="inlineStr">
        <is>
          <t xml:space="preserve">                            except Exception:</t>
        </is>
      </c>
    </row>
    <row r="1726">
      <c r="A1726" s="7" t="n">
        <v>1723</v>
      </c>
      <c r="B1726" s="8" t="inlineStr">
        <is>
          <t xml:space="preserve">                                pass</t>
        </is>
      </c>
    </row>
    <row r="1727">
      <c r="A1727" s="9" t="n">
        <v>1724</v>
      </c>
      <c r="B1727" s="10" t="inlineStr">
        <is>
          <t xml:space="preserve">                            if has_video:</t>
        </is>
      </c>
    </row>
    <row r="1728">
      <c r="A1728" s="7" t="n">
        <v>1725</v>
      </c>
      <c r="B1728" s="8" t="inlineStr">
        <is>
          <t xml:space="preserve">                                candidates.append(item.path)</t>
        </is>
      </c>
    </row>
    <row r="1729">
      <c r="A1729" s="9" t="n">
        <v>1726</v>
      </c>
      <c r="B1729" s="10" t="inlineStr">
        <is>
          <t xml:space="preserve">                                if len(candidates) &gt;= 5:</t>
        </is>
      </c>
    </row>
    <row r="1730">
      <c r="A1730" s="7" t="n">
        <v>1727</v>
      </c>
      <c r="B1730" s="8" t="inlineStr">
        <is>
          <t xml:space="preserve">                                    break</t>
        </is>
      </c>
    </row>
    <row r="1731">
      <c r="A1731" s="9" t="n">
        <v>1728</v>
      </c>
      <c r="B1731" s="10" t="inlineStr">
        <is>
          <t xml:space="preserve">                except Exception:</t>
        </is>
      </c>
    </row>
    <row r="1732">
      <c r="A1732" s="7" t="n">
        <v>1729</v>
      </c>
      <c r="B1732" s="8" t="inlineStr">
        <is>
          <t xml:space="preserve">                    continue</t>
        </is>
      </c>
    </row>
    <row r="1733">
      <c r="A1733" s="9" t="n">
        <v>1730</v>
      </c>
      <c r="B1733" s="10" t="inlineStr">
        <is>
          <t xml:space="preserve">                if len(candidates) &gt;= 5:</t>
        </is>
      </c>
    </row>
    <row r="1734">
      <c r="A1734" s="7" t="n">
        <v>1731</v>
      </c>
      <c r="B1734" s="8" t="inlineStr">
        <is>
          <t xml:space="preserve">                    break</t>
        </is>
      </c>
    </row>
    <row r="1735">
      <c r="A1735" s="9" t="n">
        <v>1732</v>
      </c>
      <c r="B1735" s="10" t="inlineStr">
        <is>
          <t xml:space="preserve">            if candidates:</t>
        </is>
      </c>
    </row>
    <row r="1736">
      <c r="A1736" s="7" t="n">
        <v>1733</v>
      </c>
      <c r="B1736" s="8" t="inlineStr">
        <is>
          <t xml:space="preserve">                self._log(f"[AutoDetect] 发现 {len(candidates)} 个候选文件夹")</t>
        </is>
      </c>
    </row>
    <row r="1737">
      <c r="A1737" s="9" t="n">
        <v>1734</v>
      </c>
      <c r="B1737" s="10" t="inlineStr">
        <is>
          <t xml:space="preserve">        except Exception:</t>
        </is>
      </c>
    </row>
    <row r="1738">
      <c r="A1738" s="7" t="n">
        <v>1735</v>
      </c>
      <c r="B1738" s="8" t="inlineStr">
        <is>
          <t xml:space="preserve">            pass</t>
        </is>
      </c>
    </row>
    <row r="1739">
      <c r="A1739" s="9" t="n">
        <v>1736</v>
      </c>
      <c r="B1739" s="10" t="inlineStr"/>
    </row>
    <row r="1740">
      <c r="A1740" s="7" t="n">
        <v>1737</v>
      </c>
      <c r="B1740" s="8" t="inlineStr">
        <is>
          <t xml:space="preserve">    def _on_nb_tab_change(self, event=None):</t>
        </is>
      </c>
    </row>
    <row r="1741">
      <c r="A1741" s="9" t="n">
        <v>1738</v>
      </c>
      <c r="B1741" s="10" t="inlineStr">
        <is>
          <t xml:space="preserve">        """Auto-load content when tab is selected"""</t>
        </is>
      </c>
    </row>
    <row r="1742">
      <c r="A1742" s="7" t="n">
        <v>1739</v>
      </c>
      <c r="B1742" s="8" t="inlineStr">
        <is>
          <t xml:space="preserve">        try:</t>
        </is>
      </c>
    </row>
    <row r="1743">
      <c r="A1743" s="9" t="n">
        <v>1740</v>
      </c>
      <c r="B1743" s="10" t="inlineStr">
        <is>
          <t xml:space="preserve">            tab = self.nb.tab(self.nb.select(), "text")</t>
        </is>
      </c>
    </row>
    <row r="1744">
      <c r="A1744" s="7" t="n">
        <v>1741</v>
      </c>
      <c r="B1744" s="8" t="inlineStr">
        <is>
          <t xml:space="preserve">            if tab and "素材盘检索" in str(tab) and hasattr(self, 'disk_vids'):</t>
        </is>
      </c>
    </row>
    <row r="1745">
      <c r="A1745" s="9" t="n">
        <v>1742</v>
      </c>
      <c r="B1745" s="10" t="inlineStr">
        <is>
          <t xml:space="preserve">                self._on_refresh_lib()</t>
        </is>
      </c>
    </row>
    <row r="1746">
      <c r="A1746" s="7" t="n">
        <v>1743</v>
      </c>
      <c r="B1746" s="8" t="inlineStr">
        <is>
          <t xml:space="preserve">            if tab and "历史" in str(tab) and hasattr(self, 'hist_tree'):</t>
        </is>
      </c>
    </row>
    <row r="1747">
      <c r="A1747" s="9" t="n">
        <v>1744</v>
      </c>
      <c r="B1747" s="10" t="inlineStr">
        <is>
          <t xml:space="preserve">                self._load_hist()</t>
        </is>
      </c>
    </row>
    <row r="1748">
      <c r="A1748" s="7" t="n">
        <v>1745</v>
      </c>
      <c r="B1748" s="8" t="inlineStr">
        <is>
          <t xml:space="preserve">        except Exception:</t>
        </is>
      </c>
    </row>
    <row r="1749">
      <c r="A1749" s="9" t="n">
        <v>1746</v>
      </c>
      <c r="B1749" s="10" t="inlineStr">
        <is>
          <t xml:space="preserve">            pass</t>
        </is>
      </c>
    </row>
    <row r="1750">
      <c r="A1750" s="7" t="n">
        <v>1747</v>
      </c>
      <c r="B1750" s="8" t="inlineStr"/>
    </row>
    <row r="1751">
      <c r="A1751" s="9" t="n">
        <v>1748</v>
      </c>
      <c r="B1751" s="10" t="inlineStr">
        <is>
          <t xml:space="preserve">    def _warmup(self):</t>
        </is>
      </c>
    </row>
    <row r="1752">
      <c r="A1752" s="7" t="n">
        <v>1749</v>
      </c>
      <c r="B1752" s="8" t="inlineStr">
        <is>
          <t xml:space="preserve">        try: _get_folders_fast(); self._cache_ready = True</t>
        </is>
      </c>
    </row>
    <row r="1753">
      <c r="A1753" s="9" t="n">
        <v>1750</v>
      </c>
      <c r="B1753" s="10" t="inlineStr">
        <is>
          <t xml:space="preserve">        except Exception as _e: from utils.logging import log_warning; log_warning('desktop', str(_e)[:80])</t>
        </is>
      </c>
    </row>
    <row r="1754">
      <c r="A1754" s="7" t="n">
        <v>1751</v>
      </c>
      <c r="B1754" s="8" t="inlineStr">
        <is>
          <t xml:space="preserve">        try: _get_ve(); self._ve_ready = True</t>
        </is>
      </c>
    </row>
    <row r="1755">
      <c r="A1755" s="9" t="n">
        <v>1752</v>
      </c>
      <c r="B1755" s="10" t="inlineStr">
        <is>
          <t xml:space="preserve">        except Exception as _e: from utils.logging import log_warning; log_warning('desktop', str(_e)[:80])</t>
        </is>
      </c>
    </row>
    <row r="1756">
      <c r="A1756" s="7" t="n">
        <v>1753</v>
      </c>
      <c r="B1756" s="8" t="inlineStr">
        <is>
          <t xml:space="preserve">        # ★ v12.0: 后台接線EventBus</t>
        </is>
      </c>
    </row>
    <row r="1757">
      <c r="A1757" s="9" t="n">
        <v>1754</v>
      </c>
      <c r="B1757" s="10" t="inlineStr">
        <is>
          <t xml:space="preserve">        try:</t>
        </is>
      </c>
    </row>
    <row r="1758">
      <c r="A1758" s="7" t="n">
        <v>1755</v>
      </c>
      <c r="B1758" s="8" t="inlineStr">
        <is>
          <t xml:space="preserve">            from core.event_wiring import wire_all</t>
        </is>
      </c>
    </row>
    <row r="1759">
      <c r="A1759" s="9" t="n">
        <v>1756</v>
      </c>
      <c r="B1759" s="10" t="inlineStr">
        <is>
          <t xml:space="preserve">            wire_all()</t>
        </is>
      </c>
    </row>
    <row r="1760">
      <c r="A1760" s="7" t="n">
        <v>1757</v>
      </c>
      <c r="B1760" s="8" t="inlineStr">
        <is>
          <t xml:space="preserve">        except Exception:</t>
        </is>
      </c>
    </row>
    <row r="1761">
      <c r="A1761" s="9" t="n">
        <v>1758</v>
      </c>
      <c r="B1761" s="10" t="inlineStr">
        <is>
          <t xml:space="preserve">            pass</t>
        </is>
      </c>
    </row>
    <row r="1762">
      <c r="A1762" s="7" t="n">
        <v>1759</v>
      </c>
      <c r="B1762" s="8" t="inlineStr"/>
    </row>
    <row r="1763">
      <c r="A1763" s="9" t="n">
        <v>1760</v>
      </c>
      <c r="B1763" s="10" t="inlineStr">
        <is>
          <t xml:space="preserve">    # ═══════════════ ★ v12.0 審核面板Tab ═══════════════</t>
        </is>
      </c>
    </row>
    <row r="1764">
      <c r="A1764" s="7" t="n">
        <v>1761</v>
      </c>
      <c r="B1764" s="8" t="inlineStr">
        <is>
          <t xml:space="preserve">    def _build_review_tab(self):</t>
        </is>
      </c>
    </row>
    <row r="1765">
      <c r="A1765" s="9" t="n">
        <v>1762</v>
      </c>
      <c r="B1765" s="10" t="inlineStr">
        <is>
          <t xml:space="preserve">        """AI審核面板 — 人工審核AI建議"""</t>
        </is>
      </c>
    </row>
    <row r="1766">
      <c r="A1766" s="7" t="n">
        <v>1763</v>
      </c>
      <c r="B1766" s="8" t="inlineStr">
        <is>
          <t xml:space="preserve">        t = tb.Frame(self.nb, padding=8)</t>
        </is>
      </c>
    </row>
    <row r="1767">
      <c r="A1767" s="9" t="n">
        <v>1764</v>
      </c>
      <c r="B1767" s="10" t="inlineStr">
        <is>
          <t xml:space="preserve">        self.nb.add(t, text="🔍 審核 Review")</t>
        </is>
      </c>
    </row>
    <row r="1768">
      <c r="A1768" s="7" t="n">
        <v>1765</v>
      </c>
      <c r="B1768" s="8" t="inlineStr"/>
    </row>
    <row r="1769">
      <c r="A1769" s="9" t="n">
        <v>1766</v>
      </c>
      <c r="B1769" s="10" t="inlineStr">
        <is>
          <t xml:space="preserve">        try:</t>
        </is>
      </c>
    </row>
    <row r="1770">
      <c r="A1770" s="7" t="n">
        <v>1767</v>
      </c>
      <c r="B1770" s="8" t="inlineStr">
        <is>
          <t xml:space="preserve">            from ui.review_panel import ReviewPanel</t>
        </is>
      </c>
    </row>
    <row r="1771">
      <c r="A1771" s="9" t="n">
        <v>1768</v>
      </c>
      <c r="B1771" s="10" t="inlineStr">
        <is>
          <t xml:space="preserve">            self._review_panel = ReviewPanel(t)</t>
        </is>
      </c>
    </row>
    <row r="1772">
      <c r="A1772" s="7" t="n">
        <v>1769</v>
      </c>
      <c r="B1772" s="8" t="inlineStr">
        <is>
          <t xml:space="preserve">            self._review_panel.pack(fill="both", expand=True)</t>
        </is>
      </c>
    </row>
    <row r="1773">
      <c r="A1773" s="9" t="n">
        <v>1770</v>
      </c>
      <c r="B1773" s="10" t="inlineStr">
        <is>
          <t xml:space="preserve">        except ImportError:</t>
        </is>
      </c>
    </row>
    <row r="1774">
      <c r="A1774" s="7" t="n">
        <v>1771</v>
      </c>
      <c r="B1774" s="8" t="inlineStr">
        <is>
          <t xml:space="preserve">            tb.Label(t, text="審核面板模塊未載入\n請確認 core/review_queue.py 正常",</t>
        </is>
      </c>
    </row>
    <row r="1775">
      <c r="A1775" s="9" t="n">
        <v>1772</v>
      </c>
      <c r="B1775" s="10" t="inlineStr">
        <is>
          <t xml:space="preserve">                     font=("Microsoft YaHei", 11), foreground="gray").pack(pady=30)</t>
        </is>
      </c>
    </row>
    <row r="1776">
      <c r="A1776" s="7" t="n">
        <v>1773</v>
      </c>
      <c r="B1776" s="8" t="inlineStr"/>
    </row>
    <row r="1777">
      <c r="A1777" s="9" t="n">
        <v>1774</v>
      </c>
      <c r="B1777" s="10" t="inlineStr">
        <is>
          <t xml:space="preserve">    # ═══════════════ ★ v12.0 統一日誌窗口Tab ═══════════════</t>
        </is>
      </c>
    </row>
    <row r="1778">
      <c r="A1778" s="7" t="n">
        <v>1775</v>
      </c>
      <c r="B1778" s="8" t="inlineStr">
        <is>
          <t xml:space="preserve">    def _build_logs_tab(self):</t>
        </is>
      </c>
    </row>
    <row r="1779">
      <c r="A1779" s="9" t="n">
        <v>1776</v>
      </c>
      <c r="B1779" s="10" t="inlineStr">
        <is>
          <t xml:space="preserve">        """統一日誌窗口 — EventBus LOG_MESSAGE 訂閱顯示"""</t>
        </is>
      </c>
    </row>
    <row r="1780">
      <c r="A1780" s="7" t="n">
        <v>1777</v>
      </c>
      <c r="B1780" s="8" t="inlineStr">
        <is>
          <t xml:space="preserve">        t = tb.Frame(self.nb, padding=6)</t>
        </is>
      </c>
    </row>
    <row r="1781">
      <c r="A1781" s="9" t="n">
        <v>1778</v>
      </c>
      <c r="B1781" s="10" t="inlineStr">
        <is>
          <t xml:space="preserve">        self.nb.add(t, text="📋 日誌 Logs")</t>
        </is>
      </c>
    </row>
    <row r="1782">
      <c r="A1782" s="7" t="n">
        <v>1779</v>
      </c>
      <c r="B1782" s="8" t="inlineStr"/>
    </row>
    <row r="1783">
      <c r="A1783" s="9" t="n">
        <v>1780</v>
      </c>
      <c r="B1783" s="10" t="inlineStr">
        <is>
          <t xml:space="preserve">        # Toolbar</t>
        </is>
      </c>
    </row>
    <row r="1784">
      <c r="A1784" s="7" t="n">
        <v>1781</v>
      </c>
      <c r="B1784" s="8" t="inlineStr">
        <is>
          <t xml:space="preserve">        tb_frame = tb.Frame(t)</t>
        </is>
      </c>
    </row>
    <row r="1785">
      <c r="A1785" s="9" t="n">
        <v>1782</v>
      </c>
      <c r="B1785" s="10" t="inlineStr">
        <is>
          <t xml:space="preserve">        tb_frame.pack(fill="x", pady=(0, 4))</t>
        </is>
      </c>
    </row>
    <row r="1786">
      <c r="A1786" s="7" t="n">
        <v>1783</v>
      </c>
      <c r="B1786" s="8" t="inlineStr">
        <is>
          <t xml:space="preserve">        tb.Label(tb_frame, text="即時日誌", font=("Microsoft YaHei", 11, "bold")).pack(side="left")</t>
        </is>
      </c>
    </row>
    <row r="1787">
      <c r="A1787" s="9" t="n">
        <v>1784</v>
      </c>
      <c r="B1787" s="10" t="inlineStr">
        <is>
          <t xml:space="preserve">        tb.Button(tb_frame, text="清除", bootstyle="outline-secondary", command=self._clear_logs).pack(side="right", padx=4)</t>
        </is>
      </c>
    </row>
    <row r="1788">
      <c r="A1788" s="7" t="n">
        <v>1785</v>
      </c>
      <c r="B1788" s="8" t="inlineStr"/>
    </row>
    <row r="1789">
      <c r="A1789" s="9" t="n">
        <v>1786</v>
      </c>
      <c r="B1789" s="10" t="inlineStr">
        <is>
          <t xml:space="preserve">        self._logs_text = scrolledtext.ScrolledText(</t>
        </is>
      </c>
    </row>
    <row r="1790">
      <c r="A1790" s="7" t="n">
        <v>1787</v>
      </c>
      <c r="B1790" s="8" t="inlineStr">
        <is>
          <t xml:space="preserve">            t, font=("Consolas", 9), bg="#1a1a2e", fg="#00ff88",</t>
        </is>
      </c>
    </row>
    <row r="1791">
      <c r="A1791" s="9" t="n">
        <v>1788</v>
      </c>
      <c r="B1791" s="10" t="inlineStr">
        <is>
          <t xml:space="preserve">            insertbackground="#00ff88", height=20, wrap="word"</t>
        </is>
      </c>
    </row>
    <row r="1792">
      <c r="A1792" s="7" t="n">
        <v>1789</v>
      </c>
      <c r="B1792" s="8" t="inlineStr">
        <is>
          <t xml:space="preserve">        )</t>
        </is>
      </c>
    </row>
    <row r="1793">
      <c r="A1793" s="9" t="n">
        <v>1790</v>
      </c>
      <c r="B1793" s="10" t="inlineStr">
        <is>
          <t xml:space="preserve">        self._logs_text.pack(fill="both", expand=True)</t>
        </is>
      </c>
    </row>
    <row r="1794">
      <c r="A1794" s="7" t="n">
        <v>1791</v>
      </c>
      <c r="B1794" s="8" t="inlineStr">
        <is>
          <t xml:space="preserve">        self._logs_text.insert("end", "=== TreeCut v12.0 日誌系統已啟動 ===\n")</t>
        </is>
      </c>
    </row>
    <row r="1795">
      <c r="A1795" s="9" t="n">
        <v>1792</v>
      </c>
      <c r="B1795" s="10" t="inlineStr">
        <is>
          <t xml:space="preserve">        self._logs_text.insert("end", "等待事件...\n\n")</t>
        </is>
      </c>
    </row>
    <row r="1796">
      <c r="A1796" s="7" t="n">
        <v>1793</v>
      </c>
      <c r="B1796" s="8" t="inlineStr">
        <is>
          <t xml:space="preserve">        self._logs_text.see("end")</t>
        </is>
      </c>
    </row>
    <row r="1797">
      <c r="A1797" s="9" t="n">
        <v>1794</v>
      </c>
      <c r="B1797" s="10" t="inlineStr"/>
    </row>
    <row r="1798">
      <c r="A1798" s="7" t="n">
        <v>1795</v>
      </c>
      <c r="B1798" s="8" t="inlineStr">
        <is>
          <t xml:space="preserve">        self._max_log_lines = 5000  # 限制行數防止內存溢出</t>
        </is>
      </c>
    </row>
    <row r="1799">
      <c r="A1799" s="9" t="n">
        <v>1796</v>
      </c>
      <c r="B1799" s="10" t="inlineStr"/>
    </row>
    <row r="1800">
      <c r="A1800" s="7" t="n">
        <v>1797</v>
      </c>
      <c r="B1800" s="8" t="inlineStr">
        <is>
          <t xml:space="preserve">    def _clear_logs(self):</t>
        </is>
      </c>
    </row>
    <row r="1801">
      <c r="A1801" s="9" t="n">
        <v>1798</v>
      </c>
      <c r="B1801" s="10" t="inlineStr">
        <is>
          <t xml:space="preserve">        if hasattr(self, '_logs_text'):</t>
        </is>
      </c>
    </row>
    <row r="1802">
      <c r="A1802" s="7" t="n">
        <v>1799</v>
      </c>
      <c r="B1802" s="8" t="inlineStr">
        <is>
          <t xml:space="preserve">            self._logs_text.delete("1.0", "end")</t>
        </is>
      </c>
    </row>
    <row r="1803">
      <c r="A1803" s="9" t="n">
        <v>1800</v>
      </c>
      <c r="B1803" s="10" t="inlineStr">
        <is>
          <t xml:space="preserve">            self._logs_text.insert("end", "=== 日誌已清除 ===\n\n")</t>
        </is>
      </c>
    </row>
    <row r="1804">
      <c r="A1804" s="7" t="n">
        <v>1801</v>
      </c>
      <c r="B1804" s="8" t="inlineStr"/>
    </row>
    <row r="1805">
      <c r="A1805" s="9" t="n">
        <v>1802</v>
      </c>
      <c r="B1805" s="10" t="inlineStr">
        <is>
          <t xml:space="preserve">    def _append_log(self, level: str, msg: str, module: str = ""):</t>
        </is>
      </c>
    </row>
    <row r="1806">
      <c r="A1806" s="7" t="n">
        <v>1803</v>
      </c>
      <c r="B1806" s="8" t="inlineStr">
        <is>
          <t xml:space="preserve">        """向統一日誌窗口追加消息 (線程安全)"""</t>
        </is>
      </c>
    </row>
    <row r="1807">
      <c r="A1807" s="9" t="n">
        <v>1804</v>
      </c>
      <c r="B1807" s="10" t="inlineStr">
        <is>
          <t xml:space="preserve">        def _do():</t>
        </is>
      </c>
    </row>
    <row r="1808">
      <c r="A1808" s="7" t="n">
        <v>1805</v>
      </c>
      <c r="B1808" s="8" t="inlineStr">
        <is>
          <t xml:space="preserve">            if not hasattr(self, '_logs_text'):</t>
        </is>
      </c>
    </row>
    <row r="1809">
      <c r="A1809" s="9" t="n">
        <v>1806</v>
      </c>
      <c r="B1809" s="10" t="inlineStr">
        <is>
          <t xml:space="preserve">                return</t>
        </is>
      </c>
    </row>
    <row r="1810">
      <c r="A1810" s="7" t="n">
        <v>1807</v>
      </c>
      <c r="B1810" s="8" t="inlineStr">
        <is>
          <t xml:space="preserve">            color = {"ERROR": "#ff4444", "WARNING": "#ffaa00", "INFO": "#44aaff", "DEBUG": "#888888"}.get(level, "#ffffff")</t>
        </is>
      </c>
    </row>
    <row r="1811">
      <c r="A1811" s="9" t="n">
        <v>1808</v>
      </c>
      <c r="B1811" s="10" t="inlineStr">
        <is>
          <t xml:space="preserve">            self._logs_text.insert("end", f"[{module}|{level}] {msg}\n", level)</t>
        </is>
      </c>
    </row>
    <row r="1812">
      <c r="A1812" s="7" t="n">
        <v>1809</v>
      </c>
      <c r="B1812" s="8" t="inlineStr">
        <is>
          <t xml:space="preserve">            self._logs_text.tag_config(level, foreground=color)</t>
        </is>
      </c>
    </row>
    <row r="1813">
      <c r="A1813" s="9" t="n">
        <v>1810</v>
      </c>
      <c r="B1813" s="10" t="inlineStr">
        <is>
          <t xml:space="preserve">            # 限制行數</t>
        </is>
      </c>
    </row>
    <row r="1814">
      <c r="A1814" s="7" t="n">
        <v>1811</v>
      </c>
      <c r="B1814" s="8" t="inlineStr">
        <is>
          <t xml:space="preserve">            lines = int(self._logs_text.index("end-1c").split(".")[0])</t>
        </is>
      </c>
    </row>
    <row r="1815">
      <c r="A1815" s="9" t="n">
        <v>1812</v>
      </c>
      <c r="B1815" s="10" t="inlineStr">
        <is>
          <t xml:space="preserve">            if lines &gt; self._max_log_lines:</t>
        </is>
      </c>
    </row>
    <row r="1816">
      <c r="A1816" s="7" t="n">
        <v>1813</v>
      </c>
      <c r="B1816" s="8" t="inlineStr">
        <is>
          <t xml:space="preserve">                self._logs_text.delete("1.0", f"{lines - self._max_log_lines}.0")</t>
        </is>
      </c>
    </row>
    <row r="1817">
      <c r="A1817" s="9" t="n">
        <v>1814</v>
      </c>
      <c r="B1817" s="10" t="inlineStr">
        <is>
          <t xml:space="preserve">            self._logs_text.see("end")</t>
        </is>
      </c>
    </row>
    <row r="1818">
      <c r="A1818" s="7" t="n">
        <v>1815</v>
      </c>
      <c r="B1818" s="8" t="inlineStr">
        <is>
          <t xml:space="preserve">        self.root.after(0, _do)</t>
        </is>
      </c>
    </row>
    <row r="1819">
      <c r="A1819" s="9" t="n">
        <v>1816</v>
      </c>
      <c r="B1819" s="10" t="inlineStr"/>
    </row>
    <row r="1820">
      <c r="A1820" s="7" t="n">
        <v>1817</v>
      </c>
      <c r="B1820" s="8" t="inlineStr">
        <is>
          <t xml:space="preserve">    def _subscribe_events(self):</t>
        </is>
      </c>
    </row>
    <row r="1821">
      <c r="A1821" s="9" t="n">
        <v>1818</v>
      </c>
      <c r="B1821" s="10" t="inlineStr">
        <is>
          <t xml:space="preserve">        """★ v12.0: 訂閱EventBus事件 — UI自動響應後台狀態"""</t>
        </is>
      </c>
    </row>
    <row r="1822">
      <c r="A1822" s="7" t="n">
        <v>1819</v>
      </c>
      <c r="B1822" s="8" t="inlineStr">
        <is>
          <t xml:space="preserve">        try:</t>
        </is>
      </c>
    </row>
    <row r="1823">
      <c r="A1823" s="9" t="n">
        <v>1820</v>
      </c>
      <c r="B1823" s="10" t="inlineStr">
        <is>
          <t xml:space="preserve">            from core.event_bus import get_bus, Events</t>
        </is>
      </c>
    </row>
    <row r="1824">
      <c r="A1824" s="7" t="n">
        <v>1821</v>
      </c>
      <c r="B1824" s="8" t="inlineStr">
        <is>
          <t xml:space="preserve">            bus = get_bus()</t>
        </is>
      </c>
    </row>
    <row r="1825">
      <c r="A1825" s="9" t="n">
        <v>1822</v>
      </c>
      <c r="B1825" s="10" t="inlineStr"/>
    </row>
    <row r="1826">
      <c r="A1826" s="7" t="n">
        <v>1823</v>
      </c>
      <c r="B1826" s="8" t="inlineStr">
        <is>
          <t xml:space="preserve">            bus.subscribe(Events.LOG_MESSAGE,</t>
        </is>
      </c>
    </row>
    <row r="1827">
      <c r="A1827" s="9" t="n">
        <v>1824</v>
      </c>
      <c r="B1827" s="10" t="inlineStr">
        <is>
          <t xml:space="preserve">                lambda d: self._append_log(d.get("level","INFO"), d.get("message",""), d.get("module","?"))</t>
        </is>
      </c>
    </row>
    <row r="1828">
      <c r="A1828" s="7" t="n">
        <v>1825</v>
      </c>
      <c r="B1828" s="8" t="inlineStr">
        <is>
          <t xml:space="preserve">                if d else None)</t>
        </is>
      </c>
    </row>
    <row r="1829">
      <c r="A1829" s="9" t="n">
        <v>1826</v>
      </c>
      <c r="B1829" s="10" t="inlineStr"/>
    </row>
    <row r="1830">
      <c r="A1830" s="7" t="n">
        <v>1827</v>
      </c>
      <c r="B1830" s="8" t="inlineStr">
        <is>
          <t xml:space="preserve">            bus.subscribe(Events.GENERATION_DONE,</t>
        </is>
      </c>
    </row>
    <row r="1831">
      <c r="A1831" s="9" t="n">
        <v>1828</v>
      </c>
      <c r="B1831" s="10" t="inlineStr">
        <is>
          <t xml:space="preserve">                lambda d: self._set_status(f"✅ 生成完成: {d.get('keyword','?')}" if d else "✅ 完成"))</t>
        </is>
      </c>
    </row>
    <row r="1832">
      <c r="A1832" s="7" t="n">
        <v>1829</v>
      </c>
      <c r="B1832" s="8" t="inlineStr"/>
    </row>
    <row r="1833">
      <c r="A1833" s="9" t="n">
        <v>1830</v>
      </c>
      <c r="B1833" s="10" t="inlineStr">
        <is>
          <t xml:space="preserve">            bus.subscribe(Events.GENERATION_FAILED,</t>
        </is>
      </c>
    </row>
    <row r="1834">
      <c r="A1834" s="7" t="n">
        <v>1831</v>
      </c>
      <c r="B1834" s="8" t="inlineStr">
        <is>
          <t xml:space="preserve">                lambda d: self._set_status(f"❌ 生成失敗: {d.get('error','?')[:40]}" if d else "❌ 失敗"))</t>
        </is>
      </c>
    </row>
    <row r="1835">
      <c r="A1835" s="9" t="n">
        <v>1832</v>
      </c>
      <c r="B1835" s="10" t="inlineStr"/>
    </row>
    <row r="1836">
      <c r="A1836" s="7" t="n">
        <v>1833</v>
      </c>
      <c r="B1836" s="8" t="inlineStr">
        <is>
          <t xml:space="preserve">            bus.subscribe(Events.PROGRESS_UPDATE,</t>
        </is>
      </c>
    </row>
    <row r="1837">
      <c r="A1837" s="9" t="n">
        <v>1834</v>
      </c>
      <c r="B1837" s="10" t="inlineStr">
        <is>
          <t xml:space="preserve">                lambda d: self._set_status(f"⏳ {d.get('done',0)}/{d.get('total',1)}" if d else "⏳"))</t>
        </is>
      </c>
    </row>
    <row r="1838">
      <c r="A1838" s="7" t="n">
        <v>1835</v>
      </c>
      <c r="B1838" s="8" t="inlineStr"/>
    </row>
    <row r="1839">
      <c r="A1839" s="9" t="n">
        <v>1836</v>
      </c>
      <c r="B1839" s="10" t="inlineStr">
        <is>
          <t xml:space="preserve">            bus.subscribe(Events.REVIEW_PENDING,</t>
        </is>
      </c>
    </row>
    <row r="1840">
      <c r="A1840" s="7" t="n">
        <v>1837</v>
      </c>
      <c r="B1840" s="8" t="inlineStr">
        <is>
          <t xml:space="preserve">                lambda d: self._update_review_badge(d.get("count",0) if d else 0))</t>
        </is>
      </c>
    </row>
    <row r="1841">
      <c r="A1841" s="9" t="n">
        <v>1838</v>
      </c>
      <c r="B1841" s="10" t="inlineStr">
        <is>
          <t xml:space="preserve">        except ImportError:</t>
        </is>
      </c>
    </row>
    <row r="1842">
      <c r="A1842" s="7" t="n">
        <v>1839</v>
      </c>
      <c r="B1842" s="8" t="inlineStr">
        <is>
          <t xml:space="preserve">            pass</t>
        </is>
      </c>
    </row>
    <row r="1843">
      <c r="A1843" s="9" t="n">
        <v>1840</v>
      </c>
      <c r="B1843" s="10" t="inlineStr">
        <is>
          <t xml:space="preserve">        except Exception:</t>
        </is>
      </c>
    </row>
    <row r="1844">
      <c r="A1844" s="7" t="n">
        <v>1841</v>
      </c>
      <c r="B1844" s="8" t="inlineStr">
        <is>
          <t xml:space="preserve">            pass</t>
        </is>
      </c>
    </row>
    <row r="1845">
      <c r="A1845" s="9" t="n">
        <v>1842</v>
      </c>
      <c r="B1845" s="10" t="inlineStr"/>
    </row>
    <row r="1846">
      <c r="A1846" s="7" t="n">
        <v>1843</v>
      </c>
      <c r="B1846" s="8" t="inlineStr">
        <is>
          <t xml:space="preserve">    def _update_review_badge(self, count: int):</t>
        </is>
      </c>
    </row>
    <row r="1847">
      <c r="A1847" s="9" t="n">
        <v>1844</v>
      </c>
      <c r="B1847" s="10" t="inlineStr">
        <is>
          <t xml:space="preserve">        """更新審核Tab紅點提示"""</t>
        </is>
      </c>
    </row>
    <row r="1848">
      <c r="A1848" s="7" t="n">
        <v>1845</v>
      </c>
      <c r="B1848" s="8" t="inlineStr">
        <is>
          <t xml:space="preserve">        def _do():</t>
        </is>
      </c>
    </row>
    <row r="1849">
      <c r="A1849" s="9" t="n">
        <v>1846</v>
      </c>
      <c r="B1849" s="10" t="inlineStr">
        <is>
          <t xml:space="preserve">            try:</t>
        </is>
      </c>
    </row>
    <row r="1850">
      <c r="A1850" s="7" t="n">
        <v>1847</v>
      </c>
      <c r="B1850" s="8" t="inlineStr">
        <is>
          <t xml:space="preserve">                tab_text = f"🔍 審核({count})" if count &gt; 0 else "🔍 審核 Review"</t>
        </is>
      </c>
    </row>
    <row r="1851">
      <c r="A1851" s="9" t="n">
        <v>1848</v>
      </c>
      <c r="B1851" s="10" t="inlineStr">
        <is>
          <t xml:space="preserve">                # 遍歷notebook更新tab文本</t>
        </is>
      </c>
    </row>
    <row r="1852">
      <c r="A1852" s="7" t="n">
        <v>1849</v>
      </c>
      <c r="B1852" s="8" t="inlineStr">
        <is>
          <t xml:space="preserve">                for i in range(self.nb.index("end")):</t>
        </is>
      </c>
    </row>
    <row r="1853">
      <c r="A1853" s="9" t="n">
        <v>1850</v>
      </c>
      <c r="B1853" s="10" t="inlineStr">
        <is>
          <t xml:space="preserve">                    if "審核" in str(self.nb.tab(i, "text")):</t>
        </is>
      </c>
    </row>
    <row r="1854">
      <c r="A1854" s="7" t="n">
        <v>1851</v>
      </c>
      <c r="B1854" s="8" t="inlineStr">
        <is>
          <t xml:space="preserve">                        self.nb.tab(i, text=tab_text)</t>
        </is>
      </c>
    </row>
    <row r="1855">
      <c r="A1855" s="9" t="n">
        <v>1852</v>
      </c>
      <c r="B1855" s="10" t="inlineStr">
        <is>
          <t xml:space="preserve">                        break</t>
        </is>
      </c>
    </row>
    <row r="1856">
      <c r="A1856" s="7" t="n">
        <v>1853</v>
      </c>
      <c r="B1856" s="8" t="inlineStr">
        <is>
          <t xml:space="preserve">            except Exception:</t>
        </is>
      </c>
    </row>
    <row r="1857">
      <c r="A1857" s="9" t="n">
        <v>1854</v>
      </c>
      <c r="B1857" s="10" t="inlineStr">
        <is>
          <t xml:space="preserve">                pass</t>
        </is>
      </c>
    </row>
    <row r="1858">
      <c r="A1858" s="7" t="n">
        <v>1855</v>
      </c>
      <c r="B1858" s="8" t="inlineStr">
        <is>
          <t xml:space="preserve">        self.root.after(0, _do)</t>
        </is>
      </c>
    </row>
    <row r="1859">
      <c r="A1859" s="9" t="n">
        <v>1856</v>
      </c>
      <c r="B1859" s="10" t="inlineStr"/>
    </row>
    <row r="1860">
      <c r="A1860" s="7" t="n">
        <v>1857</v>
      </c>
      <c r="B1860" s="8" t="inlineStr">
        <is>
          <t xml:space="preserve">    def _on_system_status(self):</t>
        </is>
      </c>
    </row>
    <row r="1861">
      <c r="A1861" s="9" t="n">
        <v>1858</v>
      </c>
      <c r="B1861" s="10" t="inlineStr">
        <is>
          <t xml:space="preserve">        try:</t>
        </is>
      </c>
    </row>
    <row r="1862">
      <c r="A1862" s="7" t="n">
        <v>1859</v>
      </c>
      <c r="B1862" s="8" t="inlineStr">
        <is>
          <t xml:space="preserve">            from core.library_builder import LibraryBuilder</t>
        </is>
      </c>
    </row>
    <row r="1863">
      <c r="A1863" s="9" t="n">
        <v>1860</v>
      </c>
      <c r="B1863" s="10" t="inlineStr">
        <is>
          <t xml:space="preserve">            s = LibraryBuilder().get_stats()</t>
        </is>
      </c>
    </row>
    <row r="1864">
      <c r="A1864" s="7" t="n">
        <v>1861</v>
      </c>
      <c r="B1864" s="8" t="inlineStr">
        <is>
          <t xml:space="preserve">            msg = f"素材片段: {s['total_segments']:,}\n已分析: {s['analyzed_videos']:,}\n总视频: {s['total_videos']:,}"</t>
        </is>
      </c>
    </row>
    <row r="1865">
      <c r="A1865" s="9" t="n">
        <v>1862</v>
      </c>
      <c r="B1865" s="10" t="inlineStr">
        <is>
          <t xml:space="preserve">            messagebox.showinfo("系统状态", msg)</t>
        </is>
      </c>
    </row>
    <row r="1866">
      <c r="A1866" s="7" t="n">
        <v>1863</v>
      </c>
      <c r="B1866" s="8" t="inlineStr">
        <is>
          <t xml:space="preserve">        except Exception as e: messagebox.showerror("错误", str(e))</t>
        </is>
      </c>
    </row>
    <row r="1867">
      <c r="A1867" s="9" t="n">
        <v>1864</v>
      </c>
      <c r="B1867" s="10" t="inlineStr"/>
    </row>
    <row r="1868">
      <c r="A1868" s="7" t="n">
        <v>1865</v>
      </c>
      <c r="B1868" s="8" t="inlineStr">
        <is>
          <t xml:space="preserve">    def _on_review(self):</t>
        </is>
      </c>
    </row>
    <row r="1869">
      <c r="A1869" s="9" t="n">
        <v>1866</v>
      </c>
      <c r="B1869" s="10" t="inlineStr">
        <is>
          <t xml:space="preserve">        try:</t>
        </is>
      </c>
    </row>
    <row r="1870">
      <c r="A1870" s="7" t="n">
        <v>1867</v>
      </c>
      <c r="B1870" s="8" t="inlineStr">
        <is>
          <t xml:space="preserve">            from review_audit import AuditEngine</t>
        </is>
      </c>
    </row>
    <row r="1871">
      <c r="A1871" s="9" t="n">
        <v>1868</v>
      </c>
      <c r="B1871" s="10" t="inlineStr">
        <is>
          <t xml:space="preserve">            self._set_status("审查中...")</t>
        </is>
      </c>
    </row>
    <row r="1872">
      <c r="A1872" s="7" t="n">
        <v>1869</v>
      </c>
      <c r="B1872" s="8" t="inlineStr">
        <is>
          <t xml:space="preserve">            def _r():</t>
        </is>
      </c>
    </row>
    <row r="1873">
      <c r="A1873" s="9" t="n">
        <v>1870</v>
      </c>
      <c r="B1873" s="10" t="inlineStr">
        <is>
          <t xml:space="preserve">                e = AuditEngine(); e.run_full(); s = e.compute_score()</t>
        </is>
      </c>
    </row>
    <row r="1874">
      <c r="A1874" s="7" t="n">
        <v>1871</v>
      </c>
      <c r="B1874" s="8" t="inlineStr">
        <is>
          <t xml:space="preserve">                self.root.after(0, lambda: messagebox.showinfo("复查", f"评分: {s['score']}/100 ({s['grade']}级)"))</t>
        </is>
      </c>
    </row>
    <row r="1875">
      <c r="A1875" s="9" t="n">
        <v>1872</v>
      </c>
      <c r="B1875" s="10" t="inlineStr">
        <is>
          <t xml:space="preserve">            threading.Thread(target=_r, daemon=True).start()</t>
        </is>
      </c>
    </row>
    <row r="1876">
      <c r="A1876" s="7" t="n">
        <v>1873</v>
      </c>
      <c r="B1876" s="8" t="inlineStr">
        <is>
          <t xml:space="preserve">        except Exception as e: messagebox.showerror("错误", str(e))</t>
        </is>
      </c>
    </row>
    <row r="1877">
      <c r="A1877" s="9" t="n">
        <v>1874</v>
      </c>
      <c r="B1877" s="10" t="inlineStr"/>
    </row>
    <row r="1878">
      <c r="A1878" s="7" t="n">
        <v>1875</v>
      </c>
      <c r="B1878" s="8" t="inlineStr">
        <is>
          <t xml:space="preserve">    def _on_clear_all_cache(self):</t>
        </is>
      </c>
    </row>
    <row r="1879">
      <c r="A1879" s="9" t="n">
        <v>1876</v>
      </c>
      <c r="B1879" s="10" t="inlineStr">
        <is>
          <t xml:space="preserve">        if messagebox.askyesno("确认","清除所有缓存?"):</t>
        </is>
      </c>
    </row>
    <row r="1880">
      <c r="A1880" s="7" t="n">
        <v>1877</v>
      </c>
      <c r="B1880" s="8" t="inlineStr">
        <is>
          <t xml:space="preserve">            global _folder_cache</t>
        </is>
      </c>
    </row>
    <row r="1881">
      <c r="A1881" s="9" t="n">
        <v>1878</v>
      </c>
      <c r="B1881" s="10" t="inlineStr">
        <is>
          <t xml:space="preserve">            with _cache_lock: _folder_cache = None</t>
        </is>
      </c>
    </row>
    <row r="1882">
      <c r="A1882" s="7" t="n">
        <v>1879</v>
      </c>
      <c r="B1882" s="8" t="inlineStr">
        <is>
          <t xml:space="preserve">            (Path(__file__).parent.parent / "folder_cache.json").unlink(missing_ok=True)</t>
        </is>
      </c>
    </row>
    <row r="1883">
      <c r="A1883" s="9" t="n">
        <v>1880</v>
      </c>
      <c r="B1883" s="10" t="inlineStr">
        <is>
          <t xml:space="preserve">            try: _get_ve().MaterialCacheManager.invalidate()</t>
        </is>
      </c>
    </row>
    <row r="1884">
      <c r="A1884" s="7" t="n">
        <v>1881</v>
      </c>
      <c r="B1884" s="8" t="inlineStr">
        <is>
          <t xml:space="preserve">            except Exception as _e: from utils.logging import log_warning; log_warning('desktop', str(_e)[:80])</t>
        </is>
      </c>
    </row>
    <row r="1885">
      <c r="A1885" s="9" t="n">
        <v>1882</v>
      </c>
      <c r="B1885" s="10" t="inlineStr">
        <is>
          <t xml:space="preserve">            self._log("缓存已清除")</t>
        </is>
      </c>
    </row>
    <row r="1886">
      <c r="A1886" s="7" t="n">
        <v>1883</v>
      </c>
      <c r="B1886" s="8" t="inlineStr"/>
    </row>
    <row r="1887">
      <c r="A1887" s="9" t="n">
        <v>1884</v>
      </c>
      <c r="B1887" s="10" t="inlineStr">
        <is>
          <t xml:space="preserve">    def _on_settings(self):</t>
        </is>
      </c>
    </row>
    <row r="1888">
      <c r="A1888" s="7" t="n">
        <v>1885</v>
      </c>
      <c r="B1888" s="8" t="inlineStr">
        <is>
          <t xml:space="preserve">        from ui.settings_page import SettingsPage; SettingsPage(self)</t>
        </is>
      </c>
    </row>
    <row r="1889">
      <c r="A1889" s="9" t="n">
        <v>1886</v>
      </c>
      <c r="B1889" s="10" t="inlineStr"/>
    </row>
    <row r="1890">
      <c r="A1890" s="7" t="n">
        <v>1887</v>
      </c>
      <c r="B1890" s="8" t="inlineStr">
        <is>
          <t xml:space="preserve">    def _on_scan_all(self):</t>
        </is>
      </c>
    </row>
    <row r="1891">
      <c r="A1891" s="9" t="n">
        <v>1888</v>
      </c>
      <c r="B1891" s="10" t="inlineStr">
        <is>
          <t xml:space="preserve">        """全盘素材扫描 → 切换到素材盘检索的学习日志面板 (v11.4)"""</t>
        </is>
      </c>
    </row>
    <row r="1892">
      <c r="A1892" s="7" t="n">
        <v>1889</v>
      </c>
      <c r="B1892" s="8" t="inlineStr">
        <is>
          <t xml:space="preserve">        self.nb.select(1)  # 切换到素材盘检索标签页</t>
        </is>
      </c>
    </row>
    <row r="1893">
      <c r="A1893" s="9" t="n">
        <v>1890</v>
      </c>
      <c r="B1893" s="10" t="inlineStr">
        <is>
          <t xml:space="preserve">        if hasattr(self, '_panel_learn'):</t>
        </is>
      </c>
    </row>
    <row r="1894">
      <c r="A1894" s="7" t="n">
        <v>1891</v>
      </c>
      <c r="B1894" s="8" t="inlineStr">
        <is>
          <t xml:space="preserve">            try:</t>
        </is>
      </c>
    </row>
    <row r="1895">
      <c r="A1895" s="9" t="n">
        <v>1892</v>
      </c>
      <c r="B1895" s="10" t="inlineStr">
        <is>
          <t xml:space="preserve">                self._switch_material_panel(self._panel_learn)</t>
        </is>
      </c>
    </row>
    <row r="1896">
      <c r="A1896" s="7" t="n">
        <v>1893</v>
      </c>
      <c r="B1896" s="8" t="inlineStr">
        <is>
          <t xml:space="preserve">            except Exception:</t>
        </is>
      </c>
    </row>
    <row r="1897">
      <c r="A1897" s="9" t="n">
        <v>1894</v>
      </c>
      <c r="B1897" s="10" t="inlineStr">
        <is>
          <t xml:space="preserve">                pass</t>
        </is>
      </c>
    </row>
    <row r="1898">
      <c r="A1898" s="7" t="n">
        <v>1895</v>
      </c>
      <c r="B1898" s="8" t="inlineStr">
        <is>
          <t xml:space="preserve">        self._set_status("学习日志/后台扫描面板已就绪")</t>
        </is>
      </c>
    </row>
    <row r="1899">
      <c r="A1899" s="9" t="n">
        <v>1896</v>
      </c>
      <c r="B1899" s="10" t="inlineStr"/>
    </row>
    <row r="1900">
      <c r="A1900" s="7" t="n">
        <v>1897</v>
      </c>
      <c r="B1900" s="8" t="inlineStr">
        <is>
          <t xml:space="preserve">    # 注意: _on_check_ollama / _on_download_model 已移除 — 视觉模型已强制使用本地 Qwen3-VL-4B</t>
        </is>
      </c>
    </row>
    <row r="1901">
      <c r="A1901" s="9" t="n">
        <v>1898</v>
      </c>
      <c r="B1901" s="10" t="inlineStr"/>
    </row>
    <row r="1902">
      <c r="A1902" s="7" t="n">
        <v>1899</v>
      </c>
      <c r="B1902" s="8" t="inlineStr">
        <is>
          <t xml:space="preserve">    # ═══════════════ TAB 8: 素材学习日志 ═══════════════</t>
        </is>
      </c>
    </row>
    <row r="1903">
      <c r="A1903" s="9" t="n">
        <v>1900</v>
      </c>
      <c r="B1903" s="10" t="inlineStr"/>
    </row>
    <row r="1904">
      <c r="A1904" s="7" t="n">
        <v>1901</v>
      </c>
      <c r="B1904" s="8" t="inlineStr">
        <is>
          <t xml:space="preserve">    def run(self): self.root.mainloop()</t>
        </is>
      </c>
    </row>
    <row r="1905">
      <c r="A1905" s="9" t="n">
        <v>1902</v>
      </c>
      <c r="B1905" s="10" t="inlineStr"/>
    </row>
    <row r="1906">
      <c r="A1906" s="7" t="n">
        <v>1903</v>
      </c>
      <c r="B1906" s="8" t="inlineStr">
        <is>
          <t>if __name__ == "__main__":</t>
        </is>
      </c>
    </row>
    <row r="1907">
      <c r="A1907" s="9" t="n">
        <v>1904</v>
      </c>
      <c r="B1907" s="10" t="inlineStr">
        <is>
          <t xml:space="preserve">    TreeCutApp().run()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ui\frame_annotation.py</t>
        </is>
      </c>
      <c r="C1" s="5" t="inlineStr">
        <is>
          <t>行数: 964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素材标注 Tab v5.0 (批量识别 + 放大显示 + 布局优化 + 自动加载DB帧)</t>
        </is>
      </c>
    </row>
    <row r="6">
      <c r="A6" s="7" t="n">
        <v>3</v>
      </c>
      <c r="B6" s="8">
        <f>================================================================</f>
        <v/>
      </c>
    </row>
    <row r="7">
      <c r="A7" s="9" t="n">
        <v>4</v>
      </c>
      <c r="B7" s="10" t="inlineStr">
        <is>
          <t>布局: 左侧35%视频列表 | 右侧65%关键帧滚动区域</t>
        </is>
      </c>
    </row>
    <row r="8">
      <c r="A8" s="7" t="n">
        <v>5</v>
      </c>
      <c r="B8" s="8" t="inlineStr">
        <is>
          <t>功能: 自动批量识别 / 放大帧卡片 (240x180) / DB已有帧自动加载 / 标签编辑+打分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os, sys, json, time, threading, io, queue</t>
        </is>
      </c>
    </row>
    <row r="11">
      <c r="A11" s="9" t="n">
        <v>8</v>
      </c>
      <c r="B11" s="10" t="inlineStr">
        <is>
          <t>from pathlib import Path</t>
        </is>
      </c>
    </row>
    <row r="12">
      <c r="A12" s="7" t="n">
        <v>9</v>
      </c>
      <c r="B12" s="8" t="inlineStr">
        <is>
          <t>import tkinter as tk</t>
        </is>
      </c>
    </row>
    <row r="13">
      <c r="A13" s="9" t="n">
        <v>10</v>
      </c>
      <c r="B13" s="10" t="inlineStr">
        <is>
          <t>from tkinter import ttk, messagebox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try:</t>
        </is>
      </c>
    </row>
    <row r="16">
      <c r="A16" s="7" t="n">
        <v>13</v>
      </c>
      <c r="B16" s="8" t="inlineStr">
        <is>
          <t xml:space="preserve">    from PIL import Image, ImageTk</t>
        </is>
      </c>
    </row>
    <row r="17">
      <c r="A17" s="9" t="n">
        <v>14</v>
      </c>
      <c r="B17" s="10" t="inlineStr">
        <is>
          <t xml:space="preserve">    HAS_PIL = True</t>
        </is>
      </c>
    </row>
    <row r="18">
      <c r="A18" s="7" t="n">
        <v>15</v>
      </c>
      <c r="B18" s="8" t="inlineStr">
        <is>
          <t>except ImportError:</t>
        </is>
      </c>
    </row>
    <row r="19">
      <c r="A19" s="9" t="n">
        <v>16</v>
      </c>
      <c r="B19" s="10" t="inlineStr">
        <is>
          <t xml:space="preserve">    HAS_PIL = False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sys.path.insert(0, str(Path(__file__).parent.parent))</t>
        </is>
      </c>
    </row>
    <row r="22">
      <c r="A22" s="7" t="n">
        <v>19</v>
      </c>
      <c r="B22" s="8" t="inlineStr">
        <is>
          <t>from ui.rounded_button import RoundedButton</t>
        </is>
      </c>
    </row>
    <row r="23">
      <c r="A23" s="9" t="n">
        <v>20</v>
      </c>
      <c r="B23" s="10" t="inlineStr">
        <is>
          <t>from core.smart_match_engine import script_hash as make_script_hash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class FrameAnnotationTab:</t>
        </is>
      </c>
    </row>
    <row r="27">
      <c r="A27" s="9" t="n">
        <v>24</v>
      </c>
      <c r="B27" s="10" t="inlineStr">
        <is>
          <t xml:space="preserve">    """帧级标注标签页 v5.0"""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 xml:space="preserve">    def __init__(self, notebook, app):</t>
        </is>
      </c>
    </row>
    <row r="30">
      <c r="A30" s="7" t="n">
        <v>27</v>
      </c>
      <c r="B30" s="8" t="inlineStr">
        <is>
          <t xml:space="preserve">        self.app = app</t>
        </is>
      </c>
    </row>
    <row r="31">
      <c r="A31" s="9" t="n">
        <v>28</v>
      </c>
      <c r="B31" s="10" t="inlineStr">
        <is>
          <t xml:space="preserve">        self.tab = ttk.Frame(notebook)</t>
        </is>
      </c>
    </row>
    <row r="32">
      <c r="A32" s="7" t="n">
        <v>29</v>
      </c>
      <c r="B32" s="8" t="inlineStr">
        <is>
          <t xml:space="preserve">        notebook.add(self.tab, text="帧级标注")</t>
        </is>
      </c>
    </row>
    <row r="33">
      <c r="A33" s="9" t="n">
        <v>30</v>
      </c>
      <c r="B33" s="10" t="inlineStr">
        <is>
          <t xml:space="preserve">        self._annotator = None</t>
        </is>
      </c>
    </row>
    <row r="34">
      <c r="A34" s="7" t="n">
        <v>31</v>
      </c>
      <c r="B34" s="8" t="inlineStr">
        <is>
          <t xml:space="preserve">        self._analyzing = False</t>
        </is>
      </c>
    </row>
    <row r="35">
      <c r="A35" s="9" t="n">
        <v>32</v>
      </c>
      <c r="B35" s="10" t="inlineStr">
        <is>
          <t xml:space="preserve">        self._batch_running = False</t>
        </is>
      </c>
    </row>
    <row r="36">
      <c r="A36" s="7" t="n">
        <v>33</v>
      </c>
      <c r="B36" s="8" t="inlineStr">
        <is>
          <t xml:space="preserve">        self._batch_cancel = threading.Event()</t>
        </is>
      </c>
    </row>
    <row r="37">
      <c r="A37" s="9" t="n">
        <v>34</v>
      </c>
      <c r="B37" s="10" t="inlineStr">
        <is>
          <t xml:space="preserve">        self._current_video = None</t>
        </is>
      </c>
    </row>
    <row r="38">
      <c r="A38" s="7" t="n">
        <v>35</v>
      </c>
      <c r="B38" s="8" t="inlineStr">
        <is>
          <t xml:space="preserve">        self._fw = []  # frame widget references</t>
        </is>
      </c>
    </row>
    <row r="39">
      <c r="A39" s="9" t="n">
        <v>36</v>
      </c>
      <c r="B39" s="10" t="inlineStr">
        <is>
          <t xml:space="preserve">        self._frame_idx_map = {}</t>
        </is>
      </c>
    </row>
    <row r="40">
      <c r="A40" s="7" t="n">
        <v>37</v>
      </c>
      <c r="B40" s="8" t="inlineStr">
        <is>
          <t xml:space="preserve">        self._current_folder = None  # 当前加载的文件夹路径</t>
        </is>
      </c>
    </row>
    <row r="41">
      <c r="A41" s="9" t="n">
        <v>38</v>
      </c>
      <c r="B41" s="10" t="inlineStr">
        <is>
          <t xml:space="preserve">        self._video_paths = []  # 当前文件夹下的所有视频路径列表</t>
        </is>
      </c>
    </row>
    <row r="42">
      <c r="A42" s="7" t="n">
        <v>39</v>
      </c>
      <c r="B42" s="8" t="inlineStr">
        <is>
          <t xml:space="preserve">        self._build()</t>
        </is>
      </c>
    </row>
    <row r="43">
      <c r="A43" s="9" t="n">
        <v>40</v>
      </c>
      <c r="B43" s="10" t="inlineStr">
        <is>
          <t xml:space="preserve">        # v11.4: 注册数据库变更回调</t>
        </is>
      </c>
    </row>
    <row r="44">
      <c r="A44" s="7" t="n">
        <v>41</v>
      </c>
      <c r="B44" s="8" t="inlineStr">
        <is>
          <t xml:space="preserve">        try:</t>
        </is>
      </c>
    </row>
    <row r="45">
      <c r="A45" s="9" t="n">
        <v>42</v>
      </c>
      <c r="B45" s="10" t="inlineStr">
        <is>
          <t xml:space="preserve">            from core.database import db</t>
        </is>
      </c>
    </row>
    <row r="46">
      <c r="A46" s="7" t="n">
        <v>43</v>
      </c>
      <c r="B46" s="8" t="inlineStr">
        <is>
          <t xml:space="preserve">            db.register_callback(self._on_db_data_changed)</t>
        </is>
      </c>
    </row>
    <row r="47">
      <c r="A47" s="9" t="n">
        <v>44</v>
      </c>
      <c r="B47" s="10" t="inlineStr">
        <is>
          <t xml:space="preserve">        except Exception:</t>
        </is>
      </c>
    </row>
    <row r="48">
      <c r="A48" s="7" t="n">
        <v>45</v>
      </c>
      <c r="B48" s="8" t="inlineStr">
        <is>
          <t xml:space="preserve">            pass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 xml:space="preserve">    def _build(self):</t>
        </is>
      </c>
    </row>
    <row r="51">
      <c r="A51" s="9" t="n">
        <v>48</v>
      </c>
      <c r="B51" s="10" t="inlineStr">
        <is>
          <t xml:space="preserve">        paned = ttk.PanedWindow(self.tab, orient="horizontal")</t>
        </is>
      </c>
    </row>
    <row r="52">
      <c r="A52" s="7" t="n">
        <v>49</v>
      </c>
      <c r="B52" s="8" t="inlineStr">
        <is>
          <t xml:space="preserve">        paned.pack(fill="both", expand=True, padx=4, pady=4)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>
        <is>
          <t xml:space="preserve">        # ═══════ LEFT: 驱动器树(紧凑) + 视频列表 (35%) ═══════</t>
        </is>
      </c>
    </row>
    <row r="55">
      <c r="A55" s="9" t="n">
        <v>52</v>
      </c>
      <c r="B55" s="10" t="inlineStr">
        <is>
          <t xml:space="preserve">        left = ttk.Frame(paned, width=320)</t>
        </is>
      </c>
    </row>
    <row r="56">
      <c r="A56" s="7" t="n">
        <v>53</v>
      </c>
      <c r="B56" s="8" t="inlineStr">
        <is>
          <t xml:space="preserve">        paned.add(left, weight=1)</t>
        </is>
      </c>
    </row>
    <row r="57">
      <c r="A57" s="9" t="n">
        <v>54</v>
      </c>
      <c r="B57" s="10" t="inlineStr">
        <is>
          <t xml:space="preserve">        left.pack_propagate(False)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 xml:space="preserve">        # 驱动器/文件夹选择</t>
        </is>
      </c>
    </row>
    <row r="60">
      <c r="A60" s="7" t="n">
        <v>57</v>
      </c>
      <c r="B60" s="8" t="inlineStr">
        <is>
          <t xml:space="preserve">        drive_lf = ttk.LabelFrame(left, text="素材源", padding=2)</t>
        </is>
      </c>
    </row>
    <row r="61">
      <c r="A61" s="9" t="n">
        <v>58</v>
      </c>
      <c r="B61" s="10" t="inlineStr">
        <is>
          <t xml:space="preserve">        drive_lf.pack(fill="x", pady=(0, 2))</t>
        </is>
      </c>
    </row>
    <row r="62">
      <c r="A62" s="7" t="n">
        <v>59</v>
      </c>
      <c r="B62" s="8" t="inlineStr">
        <is>
          <t xml:space="preserve">        btn_row = ttk.Frame(drive_lf); btn_row.pack(fill="x")</t>
        </is>
      </c>
    </row>
    <row r="63">
      <c r="A63" s="9" t="n">
        <v>60</v>
      </c>
      <c r="B63" s="10" t="inlineStr">
        <is>
          <t xml:space="preserve">        RoundedButton(btn_row, text="扫描驱动器", command=self._on_scan,</t>
        </is>
      </c>
    </row>
    <row r="64">
      <c r="A64" s="7" t="n">
        <v>61</v>
      </c>
      <c r="B64" s="8" t="inlineStr">
        <is>
          <t xml:space="preserve">                     height=30, bg_color="#e0e0e0", fg_color="#212529",</t>
        </is>
      </c>
    </row>
    <row r="65">
      <c r="A65" s="9" t="n">
        <v>62</v>
      </c>
      <c r="B65" s="10" t="inlineStr">
        <is>
          <t xml:space="preserve">                     hover_color="#d0e0ff", radius=8).pack(side="left", padx=1, fill="x", expand=True)</t>
        </is>
      </c>
    </row>
    <row r="66">
      <c r="A66" s="7" t="n">
        <v>63</v>
      </c>
      <c r="B66" s="8" t="inlineStr">
        <is>
          <t xml:space="preserve">        RoundedButton(btn_row, text="选文件夹", command=self._on_browse,</t>
        </is>
      </c>
    </row>
    <row r="67">
      <c r="A67" s="9" t="n">
        <v>64</v>
      </c>
      <c r="B67" s="10" t="inlineStr">
        <is>
          <t xml:space="preserve">                     height=30, bg_color="#e0e0e0", fg_color="#212529",</t>
        </is>
      </c>
    </row>
    <row r="68">
      <c r="A68" s="7" t="n">
        <v>65</v>
      </c>
      <c r="B68" s="8" t="inlineStr">
        <is>
          <t xml:space="preserve">                     hover_color="#d0e0ff", radius=8).pack(side="left", padx=1, fill="x", expand=True)</t>
        </is>
      </c>
    </row>
    <row r="69">
      <c r="A69" s="9" t="n">
        <v>66</v>
      </c>
      <c r="B69" s="10" t="inlineStr">
        <is>
          <t xml:space="preserve">        self._drive_tree = ttk.Treeview(drive_lf, show="tree", height=5)</t>
        </is>
      </c>
    </row>
    <row r="70">
      <c r="A70" s="7" t="n">
        <v>67</v>
      </c>
      <c r="B70" s="8" t="inlineStr">
        <is>
          <t xml:space="preserve">        self._drive_tree.pack(fill="x", pady=2)</t>
        </is>
      </c>
    </row>
    <row r="71">
      <c r="A71" s="9" t="n">
        <v>68</v>
      </c>
      <c r="B71" s="10" t="inlineStr">
        <is>
          <t xml:space="preserve">        self._drive_tree.bind("&lt;&lt;TreeviewSelect&gt;&gt;", self._on_drive_select)</t>
        </is>
      </c>
    </row>
    <row r="72">
      <c r="A72" s="7" t="n">
        <v>69</v>
      </c>
      <c r="B72" s="8" t="inlineStr">
        <is>
          <t xml:space="preserve">        self._drive_tree.bind("&lt;Double-1&gt;", self._on_drive_double)</t>
        </is>
      </c>
    </row>
    <row r="73">
      <c r="A73" s="9" t="n">
        <v>70</v>
      </c>
      <c r="B73" s="10" t="inlineStr"/>
    </row>
    <row r="74">
      <c r="A74" s="7" t="n">
        <v>71</v>
      </c>
      <c r="B74" s="8" t="inlineStr">
        <is>
          <t xml:space="preserve">        # 视频列表</t>
        </is>
      </c>
    </row>
    <row r="75">
      <c r="A75" s="9" t="n">
        <v>72</v>
      </c>
      <c r="B75" s="10" t="inlineStr">
        <is>
          <t xml:space="preserve">        video_lf = ttk.LabelFrame(left, text="视频列表", padding=2)</t>
        </is>
      </c>
    </row>
    <row r="76">
      <c r="A76" s="7" t="n">
        <v>73</v>
      </c>
      <c r="B76" s="8" t="inlineStr">
        <is>
          <t xml:space="preserve">        video_lf.pack(fill="both", expand=True, pady=(2, 0))</t>
        </is>
      </c>
    </row>
    <row r="77">
      <c r="A77" s="9" t="n">
        <v>74</v>
      </c>
      <c r="B77" s="10" t="inlineStr">
        <is>
          <t xml:space="preserve">        self._video_tree = ttk.Treeview(video_lf,</t>
        </is>
      </c>
    </row>
    <row r="78">
      <c r="A78" s="7" t="n">
        <v>75</v>
      </c>
      <c r="B78" s="8" t="inlineStr">
        <is>
          <t xml:space="preserve">            columns=("name", "size", "dur"), show="headings", height=10)</t>
        </is>
      </c>
    </row>
    <row r="79">
      <c r="A79" s="9" t="n">
        <v>76</v>
      </c>
      <c r="B79" s="10" t="inlineStr">
        <is>
          <t xml:space="preserve">        self._video_tree.heading("name", text="文件名"); self._video_tree.column("name", width=300, minwidth=150)</t>
        </is>
      </c>
    </row>
    <row r="80">
      <c r="A80" s="7" t="n">
        <v>77</v>
      </c>
      <c r="B80" s="8" t="inlineStr">
        <is>
          <t xml:space="preserve">        self._video_tree.heading("size", text="大小"); self._video_tree.column("size", width=70, anchor="center", minwidth=50)</t>
        </is>
      </c>
    </row>
    <row r="81">
      <c r="A81" s="9" t="n">
        <v>78</v>
      </c>
      <c r="B81" s="10" t="inlineStr">
        <is>
          <t xml:space="preserve">        self._video_tree.heading("dur", text="时长"); self._video_tree.column("dur", width=65, anchor="center", minwidth=50)</t>
        </is>
      </c>
    </row>
    <row r="82">
      <c r="A82" s="7" t="n">
        <v>79</v>
      </c>
      <c r="B82" s="8" t="inlineStr">
        <is>
          <t xml:space="preserve">        self._video_tree.pack(fill="both", expand=True)</t>
        </is>
      </c>
    </row>
    <row r="83">
      <c r="A83" s="9" t="n">
        <v>80</v>
      </c>
      <c r="B83" s="10" t="inlineStr">
        <is>
          <t xml:space="preserve">        self._video_tree.bind("&lt;&lt;TreeviewSelect&gt;&gt;", self._on_video_select)</t>
        </is>
      </c>
    </row>
    <row r="84">
      <c r="A84" s="7" t="n">
        <v>81</v>
      </c>
      <c r="B84" s="8" t="inlineStr">
        <is>
          <t xml:space="preserve">        self._video_tree.bind("&lt;Double-1&gt;", lambda e: self._recognize_current())</t>
        </is>
      </c>
    </row>
    <row r="85">
      <c r="A85" s="9" t="n">
        <v>82</v>
      </c>
      <c r="B85" s="10" t="inlineStr"/>
    </row>
    <row r="86">
      <c r="A86" s="7" t="n">
        <v>83</v>
      </c>
      <c r="B86" s="8" t="inlineStr">
        <is>
          <t xml:space="preserve">        # ═══════ RIGHT: 帧展示区 (65%) ═══════</t>
        </is>
      </c>
    </row>
    <row r="87">
      <c r="A87" s="9" t="n">
        <v>84</v>
      </c>
      <c r="B87" s="10" t="inlineStr">
        <is>
          <t xml:space="preserve">        right = ttk.Frame(paned, width=680)</t>
        </is>
      </c>
    </row>
    <row r="88">
      <c r="A88" s="7" t="n">
        <v>85</v>
      </c>
      <c r="B88" s="8" t="inlineStr">
        <is>
          <t xml:space="preserve">        paned.add(right, weight=3)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    # 控制按钮行</t>
        </is>
      </c>
    </row>
    <row r="91">
      <c r="A91" s="9" t="n">
        <v>88</v>
      </c>
      <c r="B91" s="10" t="inlineStr">
        <is>
          <t xml:space="preserve">        ctrl_frame = ttk.LabelFrame(right, text="识别控制", padding=4)</t>
        </is>
      </c>
    </row>
    <row r="92">
      <c r="A92" s="7" t="n">
        <v>89</v>
      </c>
      <c r="B92" s="8" t="inlineStr">
        <is>
          <t xml:space="preserve">        ctrl_frame.pack(fill="x", pady=(0, 4))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      ctrl_row1 = ttk.Frame(ctrl_frame); ctrl_row1.pack(fill="x")</t>
        </is>
      </c>
    </row>
    <row r="95">
      <c r="A95" s="9" t="n">
        <v>92</v>
      </c>
      <c r="B95" s="10" t="inlineStr">
        <is>
          <t xml:space="preserve">        RoundedButton(ctrl_row1, text="启动全帧识别（当前视频）", command=self._recognize_current,</t>
        </is>
      </c>
    </row>
    <row r="96">
      <c r="A96" s="7" t="n">
        <v>93</v>
      </c>
      <c r="B96" s="8" t="inlineStr">
        <is>
          <t xml:space="preserve">                     height=34, bg_color="#0d6efd", fg_color="#ffffff",</t>
        </is>
      </c>
    </row>
    <row r="97">
      <c r="A97" s="9" t="n">
        <v>94</v>
      </c>
      <c r="B97" s="10" t="inlineStr">
        <is>
          <t xml:space="preserve">                     hover_color="#0b5ed7", radius=8).pack(side="left", padx=2)</t>
        </is>
      </c>
    </row>
    <row r="98">
      <c r="A98" s="7" t="n">
        <v>95</v>
      </c>
      <c r="B98" s="8" t="inlineStr">
        <is>
          <t xml:space="preserve">        RoundedButton(ctrl_row1, text="自动批量识别（所有视频）", command=self._batch_recognize_all,</t>
        </is>
      </c>
    </row>
    <row r="99">
      <c r="A99" s="9" t="n">
        <v>96</v>
      </c>
      <c r="B99" s="10" t="inlineStr">
        <is>
          <t xml:space="preserve">                     height=34, bg_color="#28a745", fg_color="#ffffff",</t>
        </is>
      </c>
    </row>
    <row r="100">
      <c r="A100" s="7" t="n">
        <v>97</v>
      </c>
      <c r="B100" s="8" t="inlineStr">
        <is>
          <t xml:space="preserve">                     hover_color="#218838", radius=8).pack(side="left", padx=2)</t>
        </is>
      </c>
    </row>
    <row r="101">
      <c r="A101" s="9" t="n">
        <v>98</v>
      </c>
      <c r="B101" s="10" t="inlineStr">
        <is>
          <t xml:space="preserve">        RoundedButton(ctrl_row1, text="预览视频", command=self._on_preview,</t>
        </is>
      </c>
    </row>
    <row r="102">
      <c r="A102" s="7" t="n">
        <v>99</v>
      </c>
      <c r="B102" s="8" t="inlineStr">
        <is>
          <t xml:space="preserve">                     height=34, bg_color="#e0e0e0", fg_color="#212529",</t>
        </is>
      </c>
    </row>
    <row r="103">
      <c r="A103" s="9" t="n">
        <v>100</v>
      </c>
      <c r="B103" s="10" t="inlineStr">
        <is>
          <t xml:space="preserve">                     hover_color="#d0e0ff", radius=8).pack(side="left", padx=2)</t>
        </is>
      </c>
    </row>
    <row r="104">
      <c r="A104" s="7" t="n">
        <v>101</v>
      </c>
      <c r="B104" s="8" t="inlineStr">
        <is>
          <t xml:space="preserve">        RoundedButton(ctrl_row1, text="取消", command=self._on_cancel,</t>
        </is>
      </c>
    </row>
    <row r="105">
      <c r="A105" s="9" t="n">
        <v>102</v>
      </c>
      <c r="B105" s="10" t="inlineStr">
        <is>
          <t xml:space="preserve">                     height=34, bg_color="#dc3545", fg_color="#ffffff",</t>
        </is>
      </c>
    </row>
    <row r="106">
      <c r="A106" s="7" t="n">
        <v>103</v>
      </c>
      <c r="B106" s="8" t="inlineStr">
        <is>
          <t xml:space="preserve">                     hover_color="#c82333", radius=8).pack(side="left", padx=2)</t>
        </is>
      </c>
    </row>
    <row r="107">
      <c r="A107" s="9" t="n">
        <v>104</v>
      </c>
      <c r="B107" s="10" t="inlineStr">
        <is>
          <t xml:space="preserve">        self._batch_stop_btn = RoundedButton(ctrl_row1, text="停止批量", command=self._stop_batch,</t>
        </is>
      </c>
    </row>
    <row r="108">
      <c r="A108" s="7" t="n">
        <v>105</v>
      </c>
      <c r="B108" s="8" t="inlineStr">
        <is>
          <t xml:space="preserve">                     height=34, bg_color="#fd7e14", fg_color="#ffffff",</t>
        </is>
      </c>
    </row>
    <row r="109">
      <c r="A109" s="9" t="n">
        <v>106</v>
      </c>
      <c r="B109" s="10" t="inlineStr">
        <is>
          <t xml:space="preserve">                     hover_color="#e06a00", radius=8)</t>
        </is>
      </c>
    </row>
    <row r="110">
      <c r="A110" s="7" t="n">
        <v>107</v>
      </c>
      <c r="B110" s="8" t="inlineStr">
        <is>
          <t xml:space="preserve">        self._batch_stop_btn.pack(side="left", padx=2)</t>
        </is>
      </c>
    </row>
    <row r="111">
      <c r="A111" s="9" t="n">
        <v>108</v>
      </c>
      <c r="B111" s="10" t="inlineStr">
        <is>
          <t xml:space="preserve">        self._batch_stop_btn.configure(state="disabled")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 xml:space="preserve">        ctrl_row2 = ttk.Frame(ctrl_frame); ctrl_row2.pack(fill="x", pady=(3, 0))</t>
        </is>
      </c>
    </row>
    <row r="114">
      <c r="A114" s="7" t="n">
        <v>111</v>
      </c>
      <c r="B114" s="8" t="inlineStr">
        <is>
          <t xml:space="preserve">        self._status_lbl = ttk.Label(ctrl_row2, text="就绪 — 从左侧选择视频",</t>
        </is>
      </c>
    </row>
    <row r="115">
      <c r="A115" s="9" t="n">
        <v>112</v>
      </c>
      <c r="B115" s="10" t="inlineStr">
        <is>
          <t xml:space="preserve">                                     foreground="#888", font=("Microsoft YaHei", 9))</t>
        </is>
      </c>
    </row>
    <row r="116">
      <c r="A116" s="7" t="n">
        <v>113</v>
      </c>
      <c r="B116" s="8" t="inlineStr">
        <is>
          <t xml:space="preserve">        self._status_lbl.pack(side="left", padx=4)</t>
        </is>
      </c>
    </row>
    <row r="117">
      <c r="A117" s="9" t="n">
        <v>114</v>
      </c>
      <c r="B117" s="10" t="inlineStr">
        <is>
          <t xml:space="preserve">        self._progress = ttk.Progressbar(ctrl_row2, mode="determinate", length=180)</t>
        </is>
      </c>
    </row>
    <row r="118">
      <c r="A118" s="7" t="n">
        <v>115</v>
      </c>
      <c r="B118" s="8" t="inlineStr">
        <is>
          <t xml:space="preserve">        self._progress.pack(side="right", padx=4)</t>
        </is>
      </c>
    </row>
    <row r="119">
      <c r="A119" s="9" t="n">
        <v>116</v>
      </c>
      <c r="B119" s="10" t="inlineStr">
        <is>
          <t xml:space="preserve">        self._pg_lbl = ttk.Label(ctrl_row2, text="", width=8, font=("Microsoft YaHei", 9))</t>
        </is>
      </c>
    </row>
    <row r="120">
      <c r="A120" s="7" t="n">
        <v>117</v>
      </c>
      <c r="B120" s="8" t="inlineStr">
        <is>
          <t xml:space="preserve">        self._pg_lbl.pack(side="right")</t>
        </is>
      </c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 xml:space="preserve">        # 关键帧滚动区域 — 放大</t>
        </is>
      </c>
    </row>
    <row r="123">
      <c r="A123" s="9" t="n">
        <v>120</v>
      </c>
      <c r="B123" s="10" t="inlineStr">
        <is>
          <t xml:space="preserve">        ff = ttk.LabelFrame(right, text="关键帧 / Frames", padding=4)</t>
        </is>
      </c>
    </row>
    <row r="124">
      <c r="A124" s="7" t="n">
        <v>121</v>
      </c>
      <c r="B124" s="8" t="inlineStr">
        <is>
          <t xml:space="preserve">        ff.pack(fill="both", expand=True, pady=2)</t>
        </is>
      </c>
    </row>
    <row r="125">
      <c r="A125" s="9" t="n">
        <v>122</v>
      </c>
      <c r="B125" s="10" t="inlineStr">
        <is>
          <t xml:space="preserve">        self._frame_canvas = tk.Canvas(ff, bg="#e8f5e9", highlightthickness=0)</t>
        </is>
      </c>
    </row>
    <row r="126">
      <c r="A126" s="7" t="n">
        <v>123</v>
      </c>
      <c r="B126" s="8" t="inlineStr">
        <is>
          <t xml:space="preserve">        self._frame_scroll = ttk.Scrollbar(ff, orient="vertical",</t>
        </is>
      </c>
    </row>
    <row r="127">
      <c r="A127" s="9" t="n">
        <v>124</v>
      </c>
      <c r="B127" s="10" t="inlineStr">
        <is>
          <t xml:space="preserve">                                           command=self._frame_canvas.yview)</t>
        </is>
      </c>
    </row>
    <row r="128">
      <c r="A128" s="7" t="n">
        <v>125</v>
      </c>
      <c r="B128" s="8" t="inlineStr">
        <is>
          <t xml:space="preserve">        self._frame_inner = ttk.Frame(self._frame_canvas)</t>
        </is>
      </c>
    </row>
    <row r="129">
      <c r="A129" s="9" t="n">
        <v>126</v>
      </c>
      <c r="B129" s="10" t="inlineStr">
        <is>
          <t xml:space="preserve">        self._frame_inner.bind("&lt;Configure&gt;", lambda e: self._frame_canvas.configure(</t>
        </is>
      </c>
    </row>
    <row r="130">
      <c r="A130" s="7" t="n">
        <v>127</v>
      </c>
      <c r="B130" s="8" t="inlineStr">
        <is>
          <t xml:space="preserve">            scrollregion=self._frame_canvas.bbox("all")))</t>
        </is>
      </c>
    </row>
    <row r="131">
      <c r="A131" s="9" t="n">
        <v>128</v>
      </c>
      <c r="B131" s="10" t="inlineStr">
        <is>
          <t xml:space="preserve">        # 内部框架宽度放大到 980 以适应每行 3 个 280px 卡片</t>
        </is>
      </c>
    </row>
    <row r="132">
      <c r="A132" s="7" t="n">
        <v>129</v>
      </c>
      <c r="B132" s="8" t="inlineStr">
        <is>
          <t xml:space="preserve">        self._frame_canvas.create_window((0, 0), window=self._frame_inner,</t>
        </is>
      </c>
    </row>
    <row r="133">
      <c r="A133" s="9" t="n">
        <v>130</v>
      </c>
      <c r="B133" s="10" t="inlineStr">
        <is>
          <t xml:space="preserve">                                         anchor="nw", width=960)</t>
        </is>
      </c>
    </row>
    <row r="134">
      <c r="A134" s="7" t="n">
        <v>131</v>
      </c>
      <c r="B134" s="8" t="inlineStr">
        <is>
          <t xml:space="preserve">        self._frame_canvas.configure(yscrollcommand=self._frame_scroll.set)</t>
        </is>
      </c>
    </row>
    <row r="135">
      <c r="A135" s="9" t="n">
        <v>132</v>
      </c>
      <c r="B135" s="10" t="inlineStr">
        <is>
          <t xml:space="preserve">        self._frame_canvas.pack(side="left", fill="both", expand=True)</t>
        </is>
      </c>
    </row>
    <row r="136">
      <c r="A136" s="7" t="n">
        <v>133</v>
      </c>
      <c r="B136" s="8" t="inlineStr">
        <is>
          <t xml:space="preserve">        self._frame_scroll.pack(side="right", fill="y")</t>
        </is>
      </c>
    </row>
    <row r="137">
      <c r="A137" s="9" t="n">
        <v>134</v>
      </c>
      <c r="B137" s="10" t="inlineStr">
        <is>
          <t xml:space="preserve">        self._frame_canvas.bind("&lt;MouseWheel&gt;",</t>
        </is>
      </c>
    </row>
    <row r="138">
      <c r="A138" s="7" t="n">
        <v>135</v>
      </c>
      <c r="B138" s="8" t="inlineStr">
        <is>
          <t xml:space="preserve">            lambda e: self._frame_canvas.yview_scroll(int(-1*(e.delta/120)), "units"))</t>
        </is>
      </c>
    </row>
    <row r="139">
      <c r="A139" s="9" t="n">
        <v>136</v>
      </c>
      <c r="B139" s="10" t="inlineStr"/>
    </row>
    <row r="140">
      <c r="A140" s="7" t="n">
        <v>137</v>
      </c>
      <c r="B140" s="8" t="inlineStr">
        <is>
          <t xml:space="preserve">        # 批量识别实时日志</t>
        </is>
      </c>
    </row>
    <row r="141">
      <c r="A141" s="9" t="n">
        <v>138</v>
      </c>
      <c r="B141" s="10" t="inlineStr">
        <is>
          <t xml:space="preserve">        log_frame = ttk.LabelFrame(right, text="批量识别日志", padding=2)</t>
        </is>
      </c>
    </row>
    <row r="142">
      <c r="A142" s="7" t="n">
        <v>139</v>
      </c>
      <c r="B142" s="8" t="inlineStr">
        <is>
          <t xml:space="preserve">        log_frame.pack(fill="x", pady=(4, 0))</t>
        </is>
      </c>
    </row>
    <row r="143">
      <c r="A143" s="9" t="n">
        <v>140</v>
      </c>
      <c r="B143" s="10" t="inlineStr">
        <is>
          <t xml:space="preserve">        self._batch_log = tk.Text(log_frame, font=("Consolas", 9),</t>
        </is>
      </c>
    </row>
    <row r="144">
      <c r="A144" s="7" t="n">
        <v>141</v>
      </c>
      <c r="B144" s="8" t="inlineStr">
        <is>
          <t xml:space="preserve">                                  height=4, bg="#1b1b1b", fg="#a5d6a7",</t>
        </is>
      </c>
    </row>
    <row r="145">
      <c r="A145" s="9" t="n">
        <v>142</v>
      </c>
      <c r="B145" s="10" t="inlineStr">
        <is>
          <t xml:space="preserve">                                  state="disabled", wrap="word")</t>
        </is>
      </c>
    </row>
    <row r="146">
      <c r="A146" s="7" t="n">
        <v>143</v>
      </c>
      <c r="B146" s="8" t="inlineStr">
        <is>
          <t xml:space="preserve">        self._batch_log.pack(fill="x")</t>
        </is>
      </c>
    </row>
    <row r="147">
      <c r="A147" s="9" t="n">
        <v>144</v>
      </c>
      <c r="B147" s="10" t="inlineStr">
        <is>
          <t xml:space="preserve">        batch_log_scroll = ttk.Scrollbar(log_frame, orient="vertical",</t>
        </is>
      </c>
    </row>
    <row r="148">
      <c r="A148" s="7" t="n">
        <v>145</v>
      </c>
      <c r="B148" s="8" t="inlineStr">
        <is>
          <t xml:space="preserve">                                         command=self._batch_log.yview)</t>
        </is>
      </c>
    </row>
    <row r="149">
      <c r="A149" s="9" t="n">
        <v>146</v>
      </c>
      <c r="B149" s="10" t="inlineStr">
        <is>
          <t xml:space="preserve">        batch_log_scroll.pack(side="right", fill="y")</t>
        </is>
      </c>
    </row>
    <row r="150">
      <c r="A150" s="7" t="n">
        <v>147</v>
      </c>
      <c r="B150" s="8" t="inlineStr">
        <is>
          <t xml:space="preserve">        self._batch_log.configure(yscrollcommand=batch_log_scroll.set)</t>
        </is>
      </c>
    </row>
    <row r="151">
      <c r="A151" s="9" t="n">
        <v>148</v>
      </c>
      <c r="B151" s="10" t="inlineStr"/>
    </row>
    <row r="152">
      <c r="A152" s="7" t="n">
        <v>149</v>
      </c>
      <c r="B152" s="8" t="inlineStr">
        <is>
          <t xml:space="preserve">        # 底部操作栏</t>
        </is>
      </c>
    </row>
    <row r="153">
      <c r="A153" s="9" t="n">
        <v>150</v>
      </c>
      <c r="B153" s="10" t="inlineStr">
        <is>
          <t xml:space="preserve">        btm = ttk.LabelFrame(right, text="操作 / Actions", padding=4)</t>
        </is>
      </c>
    </row>
    <row r="154">
      <c r="A154" s="7" t="n">
        <v>151</v>
      </c>
      <c r="B154" s="8" t="inlineStr">
        <is>
          <t xml:space="preserve">        btm.pack(fill="x", pady=(4, 0))</t>
        </is>
      </c>
    </row>
    <row r="155">
      <c r="A155" s="9" t="n">
        <v>152</v>
      </c>
      <c r="B155" s="10" t="inlineStr">
        <is>
          <t xml:space="preserve">        RoundedButton(btm, text="全选", command=lambda: self._sel_all(True),</t>
        </is>
      </c>
    </row>
    <row r="156">
      <c r="A156" s="7" t="n">
        <v>153</v>
      </c>
      <c r="B156" s="8" t="inlineStr">
        <is>
          <t xml:space="preserve">                     height=34, bg_color="#e0e0e0", fg_color="#212529",</t>
        </is>
      </c>
    </row>
    <row r="157">
      <c r="A157" s="9" t="n">
        <v>154</v>
      </c>
      <c r="B157" s="10" t="inlineStr">
        <is>
          <t xml:space="preserve">                     hover_color="#d0e0ff", radius=8).pack(side="left", padx=2)</t>
        </is>
      </c>
    </row>
    <row r="158">
      <c r="A158" s="7" t="n">
        <v>155</v>
      </c>
      <c r="B158" s="8" t="inlineStr">
        <is>
          <t xml:space="preserve">        RoundedButton(btm, text="取消全选", command=lambda: self._sel_all(False),</t>
        </is>
      </c>
    </row>
    <row r="159">
      <c r="A159" s="9" t="n">
        <v>156</v>
      </c>
      <c r="B159" s="10" t="inlineStr">
        <is>
          <t xml:space="preserve">                     height=34, bg_color="#e0e0e0", fg_color="#212529",</t>
        </is>
      </c>
    </row>
    <row r="160">
      <c r="A160" s="7" t="n">
        <v>157</v>
      </c>
      <c r="B160" s="8" t="inlineStr">
        <is>
          <t xml:space="preserve">                     hover_color="#d0e0ff", radius=8).pack(side="left", padx=2)</t>
        </is>
      </c>
    </row>
    <row r="161">
      <c r="A161" s="9" t="n">
        <v>158</v>
      </c>
      <c r="B161" s="10" t="inlineStr">
        <is>
          <t xml:space="preserve">        RoundedButton(btm, text="批量修改标签", command=self._batch_edit,</t>
        </is>
      </c>
    </row>
    <row r="162">
      <c r="A162" s="7" t="n">
        <v>159</v>
      </c>
      <c r="B162" s="8" t="inlineStr">
        <is>
          <t xml:space="preserve">                     height=34, bg_color="#e0e0e0", fg_color="#212529",</t>
        </is>
      </c>
    </row>
    <row r="163">
      <c r="A163" s="9" t="n">
        <v>160</v>
      </c>
      <c r="B163" s="10" t="inlineStr">
        <is>
          <t xml:space="preserve">                     hover_color="#d0e0ff", radius=8).pack(side="left", padx=2)</t>
        </is>
      </c>
    </row>
    <row r="164">
      <c r="A164" s="7" t="n">
        <v>161</v>
      </c>
      <c r="B164" s="8" t="inlineStr">
        <is>
          <t xml:space="preserve">        RoundedButton(btm, text="提交反馈+学习", command=self._on_feedback,</t>
        </is>
      </c>
    </row>
    <row r="165">
      <c r="A165" s="9" t="n">
        <v>162</v>
      </c>
      <c r="B165" s="10" t="inlineStr">
        <is>
          <t xml:space="preserve">                     height=34, bg_color="#0d6efd", fg_color="#ffffff",</t>
        </is>
      </c>
    </row>
    <row r="166">
      <c r="A166" s="7" t="n">
        <v>163</v>
      </c>
      <c r="B166" s="8" t="inlineStr">
        <is>
          <t xml:space="preserve">                     hover_color="#0b5ed7", radius=8).pack(side="left", padx=2)</t>
        </is>
      </c>
    </row>
    <row r="167">
      <c r="A167" s="9" t="n">
        <v>164</v>
      </c>
      <c r="B167" s="10" t="inlineStr">
        <is>
          <t xml:space="preserve">        self._sel_lbl = ttk.Label(btm, text="已选:0", foreground="#888",</t>
        </is>
      </c>
    </row>
    <row r="168">
      <c r="A168" s="7" t="n">
        <v>165</v>
      </c>
      <c r="B168" s="8" t="inlineStr">
        <is>
          <t xml:space="preserve">                                  font=("Microsoft YaHei", 9))</t>
        </is>
      </c>
    </row>
    <row r="169">
      <c r="A169" s="9" t="n">
        <v>166</v>
      </c>
      <c r="B169" s="10" t="inlineStr">
        <is>
          <t xml:space="preserve">        self._sel_lbl.pack(side="left", padx=10)</t>
        </is>
      </c>
    </row>
    <row r="170">
      <c r="A170" s="7" t="n">
        <v>167</v>
      </c>
      <c r="B170" s="8" t="inlineStr">
        <is>
          <t xml:space="preserve">        self._fb_lbl = ttk.Label(btm, text="", foreground="#43a047",</t>
        </is>
      </c>
    </row>
    <row r="171">
      <c r="A171" s="9" t="n">
        <v>168</v>
      </c>
      <c r="B171" s="10" t="inlineStr">
        <is>
          <t xml:space="preserve">                                 font=("Microsoft YaHei", 9))</t>
        </is>
      </c>
    </row>
    <row r="172">
      <c r="A172" s="7" t="n">
        <v>169</v>
      </c>
      <c r="B172" s="8" t="inlineStr">
        <is>
          <t xml:space="preserve">        self._fb_lbl.pack(side="left", padx=10)</t>
        </is>
      </c>
    </row>
    <row r="173">
      <c r="A173" s="9" t="n">
        <v>170</v>
      </c>
      <c r="B173" s="10" t="inlineStr"/>
    </row>
    <row r="174">
      <c r="A174" s="7" t="n">
        <v>171</v>
      </c>
      <c r="B174" s="8" t="inlineStr">
        <is>
          <t xml:space="preserve">        sf = ttk.Frame(right); sf.pack(fill="x", pady=2)</t>
        </is>
      </c>
    </row>
    <row r="175">
      <c r="A175" s="9" t="n">
        <v>172</v>
      </c>
      <c r="B175" s="10" t="inlineStr">
        <is>
          <t xml:space="preserve">        self._stats_lbl = ttk.Label(sf, text="", foreground="#888",</t>
        </is>
      </c>
    </row>
    <row r="176">
      <c r="A176" s="7" t="n">
        <v>173</v>
      </c>
      <c r="B176" s="8" t="inlineStr">
        <is>
          <t xml:space="preserve">                                    font=("Microsoft YaHei", 9))</t>
        </is>
      </c>
    </row>
    <row r="177">
      <c r="A177" s="9" t="n">
        <v>174</v>
      </c>
      <c r="B177" s="10" t="inlineStr">
        <is>
          <t xml:space="preserve">        self._stats_lbl.pack(side="left")</t>
        </is>
      </c>
    </row>
    <row r="178">
      <c r="A178" s="7" t="n">
        <v>175</v>
      </c>
      <c r="B178" s="8" t="inlineStr">
        <is>
          <t xml:space="preserve">        self._refresh_stats()</t>
        </is>
      </c>
    </row>
    <row r="179">
      <c r="A179" s="9" t="n">
        <v>176</v>
      </c>
      <c r="B179" s="10" t="inlineStr"/>
    </row>
    <row r="180">
      <c r="A180" s="7" t="n">
        <v>177</v>
      </c>
      <c r="B180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181">
      <c r="A181" s="9" t="n">
        <v>178</v>
      </c>
      <c r="B181" s="10" t="inlineStr">
        <is>
          <t xml:space="preserve">    # 驱动器树</t>
        </is>
      </c>
    </row>
    <row r="182">
      <c r="A182" s="7" t="n">
        <v>179</v>
      </c>
      <c r="B182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183">
      <c r="A183" s="9" t="n">
        <v>180</v>
      </c>
      <c r="B183" s="10" t="inlineStr">
        <is>
          <t xml:space="preserve">    def _on_scan(self):</t>
        </is>
      </c>
    </row>
    <row r="184">
      <c r="A184" s="7" t="n">
        <v>181</v>
      </c>
      <c r="B184" s="8" t="inlineStr">
        <is>
          <t xml:space="preserve">        self._drive_tree.delete(*self._drive_tree.get_children())</t>
        </is>
      </c>
    </row>
    <row r="185">
      <c r="A185" s="9" t="n">
        <v>182</v>
      </c>
      <c r="B185" s="10" t="inlineStr">
        <is>
          <t xml:space="preserve">        self._status_lbl.config(text="扫描中...")</t>
        </is>
      </c>
    </row>
    <row r="186">
      <c r="A186" s="7" t="n">
        <v>183</v>
      </c>
      <c r="B186" s="8" t="inlineStr">
        <is>
          <t xml:space="preserve">        def _run():</t>
        </is>
      </c>
    </row>
    <row r="187">
      <c r="A187" s="9" t="n">
        <v>184</v>
      </c>
      <c r="B187" s="10" t="inlineStr">
        <is>
          <t xml:space="preserve">            try:</t>
        </is>
      </c>
    </row>
    <row r="188">
      <c r="A188" s="7" t="n">
        <v>185</v>
      </c>
      <c r="B188" s="8" t="inlineStr">
        <is>
          <t xml:space="preserve">                from core.drive_scanner import get_scanner</t>
        </is>
      </c>
    </row>
    <row r="189">
      <c r="A189" s="9" t="n">
        <v>186</v>
      </c>
      <c r="B189" s="10" t="inlineStr">
        <is>
          <t xml:space="preserve">                s = get_scanner()</t>
        </is>
      </c>
    </row>
    <row r="190">
      <c r="A190" s="7" t="n">
        <v>187</v>
      </c>
      <c r="B190" s="8" t="inlineStr">
        <is>
          <t xml:space="preserve">                self.app.root.after(0, lambda: self._status_lbl.config(text="扫描全盘..."))</t>
        </is>
      </c>
    </row>
    <row r="191">
      <c r="A191" s="9" t="n">
        <v>188</v>
      </c>
      <c r="B191" s="10" t="inlineStr">
        <is>
          <t xml:space="preserve">                drive_entries = s.get_quick_scan()</t>
        </is>
      </c>
    </row>
    <row r="192">
      <c r="A192" s="7" t="n">
        <v>189</v>
      </c>
      <c r="B192" s="8" t="inlineStr">
        <is>
          <t xml:space="preserve">                from core.config import SELLING_POINT_DIR, EFFECTS_DIR, B_GROUP_PATH</t>
        </is>
      </c>
    </row>
    <row r="193">
      <c r="A193" s="9" t="n">
        <v>190</v>
      </c>
      <c r="B193" s="10" t="inlineStr">
        <is>
          <t xml:space="preserve">                extra_roots = []</t>
        </is>
      </c>
    </row>
    <row r="194">
      <c r="A194" s="7" t="n">
        <v>191</v>
      </c>
      <c r="B194" s="8" t="inlineStr">
        <is>
          <t xml:space="preserve">                for sp in [SELLING_POINT_DIR, EFFECTS_DIR, B_GROUP_PATH]:</t>
        </is>
      </c>
    </row>
    <row r="195">
      <c r="A195" s="9" t="n">
        <v>192</v>
      </c>
      <c r="B195" s="10" t="inlineStr">
        <is>
          <t xml:space="preserve">                    if os.path.exists(sp):</t>
        </is>
      </c>
    </row>
    <row r="196">
      <c r="A196" s="7" t="n">
        <v>193</v>
      </c>
      <c r="B196" s="8" t="inlineStr">
        <is>
          <t xml:space="preserve">                        root_entry = s.scan_folder(sp, max_depth=1)</t>
        </is>
      </c>
    </row>
    <row r="197">
      <c r="A197" s="9" t="n">
        <v>194</v>
      </c>
      <c r="B197" s="10" t="inlineStr">
        <is>
          <t xml:space="preserve">                        extra_roots.append(root_entry)</t>
        </is>
      </c>
    </row>
    <row r="198">
      <c r="A198" s="7" t="n">
        <v>195</v>
      </c>
      <c r="B198" s="8" t="inlineStr">
        <is>
          <t xml:space="preserve">                self.app.root.after(0, lambda: self._populate_drives(drive_entries, extra_roots))</t>
        </is>
      </c>
    </row>
    <row r="199">
      <c r="A199" s="9" t="n">
        <v>196</v>
      </c>
      <c r="B199" s="10" t="inlineStr">
        <is>
          <t xml:space="preserve">            except Exception as e:</t>
        </is>
      </c>
    </row>
    <row r="200">
      <c r="A200" s="7" t="n">
        <v>197</v>
      </c>
      <c r="B200" s="8" t="inlineStr">
        <is>
          <t xml:space="preserve">                self.app.root.after(0, lambda: self._status_lbl.config(text=f"扫描失败:{e}"))</t>
        </is>
      </c>
    </row>
    <row r="201">
      <c r="A201" s="9" t="n">
        <v>198</v>
      </c>
      <c r="B201" s="10" t="inlineStr">
        <is>
          <t xml:space="preserve">        threading.Thread(target=_run, daemon=True).start()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def _populate_drives(self, drive_entries, extra_roots=None):</t>
        </is>
      </c>
    </row>
    <row r="204">
      <c r="A204" s="7" t="n">
        <v>201</v>
      </c>
      <c r="B204" s="8" t="inlineStr">
        <is>
          <t xml:space="preserve">        self._drive_tree.delete(*self._drive_tree.get_children())</t>
        </is>
      </c>
    </row>
    <row r="205">
      <c r="A205" s="9" t="n">
        <v>202</v>
      </c>
      <c r="B205" s="10" t="inlineStr">
        <is>
          <t xml:space="preserve">        total_folders = 0</t>
        </is>
      </c>
    </row>
    <row r="206">
      <c r="A206" s="7" t="n">
        <v>203</v>
      </c>
      <c r="B206" s="8" t="inlineStr">
        <is>
          <t xml:space="preserve">        for e in drive_entries:</t>
        </is>
      </c>
    </row>
    <row r="207">
      <c r="A207" s="9" t="n">
        <v>204</v>
      </c>
      <c r="B207" s="10" t="inlineStr">
        <is>
          <t xml:space="preserve">            self._drive_tree.insert("", "end",</t>
        </is>
      </c>
    </row>
    <row r="208">
      <c r="A208" s="7" t="n">
        <v>205</v>
      </c>
      <c r="B208" s="8" t="inlineStr">
        <is>
          <t xml:space="preserve">                text=f"[DRIVE] {e.name} ({e.video_count}视频)" if e.is_drive else f"[DIR] {e.name} ({e.video_count}视频)",</t>
        </is>
      </c>
    </row>
    <row r="209">
      <c r="A209" s="9" t="n">
        <v>206</v>
      </c>
      <c r="B209" s="10" t="inlineStr">
        <is>
          <t xml:space="preserve">                open=False, values=(e.path,))</t>
        </is>
      </c>
    </row>
    <row r="210">
      <c r="A210" s="7" t="n">
        <v>207</v>
      </c>
      <c r="B210" s="8" t="inlineStr">
        <is>
          <t xml:space="preserve">            total_folders += 1</t>
        </is>
      </c>
    </row>
    <row r="211">
      <c r="A211" s="9" t="n">
        <v>208</v>
      </c>
      <c r="B211" s="10" t="inlineStr">
        <is>
          <t xml:space="preserve">        if extra_roots:</t>
        </is>
      </c>
    </row>
    <row r="212">
      <c r="A212" s="7" t="n">
        <v>209</v>
      </c>
      <c r="B212" s="8" t="inlineStr">
        <is>
          <t xml:space="preserve">            for root in extra_roots:</t>
        </is>
      </c>
    </row>
    <row r="213">
      <c r="A213" s="9" t="n">
        <v>210</v>
      </c>
      <c r="B213" s="10" t="inlineStr">
        <is>
          <t xml:space="preserve">                pnode = self._drive_tree.insert("", "end",</t>
        </is>
      </c>
    </row>
    <row r="214">
      <c r="A214" s="7" t="n">
        <v>211</v>
      </c>
      <c r="B214" s="8" t="inlineStr">
        <is>
          <t xml:space="preserve">                    text=f"[ROOT] {root.name} ({root.video_count}视频)",</t>
        </is>
      </c>
    </row>
    <row r="215">
      <c r="A215" s="9" t="n">
        <v>212</v>
      </c>
      <c r="B215" s="10" t="inlineStr">
        <is>
          <t xml:space="preserve">                    open=True, values=(root.path,))</t>
        </is>
      </c>
    </row>
    <row r="216">
      <c r="A216" s="7" t="n">
        <v>213</v>
      </c>
      <c r="B216" s="8" t="inlineStr">
        <is>
          <t xml:space="preserve">                total_folders += 1</t>
        </is>
      </c>
    </row>
    <row r="217">
      <c r="A217" s="9" t="n">
        <v>214</v>
      </c>
      <c r="B217" s="10" t="inlineStr">
        <is>
          <t xml:space="preserve">                for child in root.children:</t>
        </is>
      </c>
    </row>
    <row r="218">
      <c r="A218" s="7" t="n">
        <v>215</v>
      </c>
      <c r="B218" s="8" t="inlineStr">
        <is>
          <t xml:space="preserve">                    if child.video_count &gt; 0:</t>
        </is>
      </c>
    </row>
    <row r="219">
      <c r="A219" s="9" t="n">
        <v>216</v>
      </c>
      <c r="B219" s="10" t="inlineStr">
        <is>
          <t xml:space="preserve">                        self._drive_tree.insert(pnode, "end",</t>
        </is>
      </c>
    </row>
    <row r="220">
      <c r="A220" s="7" t="n">
        <v>217</v>
      </c>
      <c r="B220" s="8" t="inlineStr">
        <is>
          <t xml:space="preserve">                            text=f"[DIR] {child.name} ({child.video_count})",</t>
        </is>
      </c>
    </row>
    <row r="221">
      <c r="A221" s="9" t="n">
        <v>218</v>
      </c>
      <c r="B221" s="10" t="inlineStr">
        <is>
          <t xml:space="preserve">                            values=(child.path,))</t>
        </is>
      </c>
    </row>
    <row r="222">
      <c r="A222" s="7" t="n">
        <v>219</v>
      </c>
      <c r="B222" s="8" t="inlineStr">
        <is>
          <t xml:space="preserve">                        total_folders += 1</t>
        </is>
      </c>
    </row>
    <row r="223">
      <c r="A223" s="9" t="n">
        <v>220</v>
      </c>
      <c r="B223" s="10" t="inlineStr">
        <is>
          <t xml:space="preserve">        self._status_lbl.config(text=f"就绪 — {total_folders}个文件夹")</t>
        </is>
      </c>
    </row>
    <row r="224">
      <c r="A224" s="7" t="n">
        <v>221</v>
      </c>
      <c r="B224" s="8" t="inlineStr"/>
    </row>
    <row r="225">
      <c r="A225" s="9" t="n">
        <v>222</v>
      </c>
      <c r="B225" s="10" t="inlineStr">
        <is>
          <t xml:space="preserve">    def _on_browse(self):</t>
        </is>
      </c>
    </row>
    <row r="226">
      <c r="A226" s="7" t="n">
        <v>223</v>
      </c>
      <c r="B226" s="8" t="inlineStr">
        <is>
          <t xml:space="preserve">        from tkinter import filedialog</t>
        </is>
      </c>
    </row>
    <row r="227">
      <c r="A227" s="9" t="n">
        <v>224</v>
      </c>
      <c r="B227" s="10" t="inlineStr">
        <is>
          <t xml:space="preserve">        p = filedialog.askdirectory(title="选择文件夹")</t>
        </is>
      </c>
    </row>
    <row r="228">
      <c r="A228" s="7" t="n">
        <v>225</v>
      </c>
      <c r="B228" s="8" t="inlineStr">
        <is>
          <t xml:space="preserve">        if p:</t>
        </is>
      </c>
    </row>
    <row r="229">
      <c r="A229" s="9" t="n">
        <v>226</v>
      </c>
      <c r="B229" s="10" t="inlineStr">
        <is>
          <t xml:space="preserve">            self._current_video = None</t>
        </is>
      </c>
    </row>
    <row r="230">
      <c r="A230" s="7" t="n">
        <v>227</v>
      </c>
      <c r="B230" s="8" t="inlineStr">
        <is>
          <t xml:space="preserve">            self._current_folder = p</t>
        </is>
      </c>
    </row>
    <row r="231">
      <c r="A231" s="9" t="n">
        <v>228</v>
      </c>
      <c r="B231" s="10" t="inlineStr">
        <is>
          <t xml:space="preserve">            self._load_videos(p)</t>
        </is>
      </c>
    </row>
    <row r="232">
      <c r="A232" s="7" t="n">
        <v>229</v>
      </c>
      <c r="B232" s="8" t="inlineStr"/>
    </row>
    <row r="233">
      <c r="A233" s="9" t="n">
        <v>230</v>
      </c>
      <c r="B233" s="10" t="inlineStr">
        <is>
          <t xml:space="preserve">    def _on_drive_select(self, ev):</t>
        </is>
      </c>
    </row>
    <row r="234">
      <c r="A234" s="7" t="n">
        <v>231</v>
      </c>
      <c r="B234" s="8" t="inlineStr">
        <is>
          <t xml:space="preserve">        sel = self._drive_tree.selection()</t>
        </is>
      </c>
    </row>
    <row r="235">
      <c r="A235" s="9" t="n">
        <v>232</v>
      </c>
      <c r="B235" s="10" t="inlineStr">
        <is>
          <t xml:space="preserve">        if sel:</t>
        </is>
      </c>
    </row>
    <row r="236">
      <c r="A236" s="7" t="n">
        <v>233</v>
      </c>
      <c r="B236" s="8" t="inlineStr">
        <is>
          <t xml:space="preserve">            vals = self._drive_tree.item(sel[0], "values")</t>
        </is>
      </c>
    </row>
    <row r="237">
      <c r="A237" s="9" t="n">
        <v>234</v>
      </c>
      <c r="B237" s="10" t="inlineStr">
        <is>
          <t xml:space="preserve">            if vals:</t>
        </is>
      </c>
    </row>
    <row r="238">
      <c r="A238" s="7" t="n">
        <v>235</v>
      </c>
      <c r="B238" s="8" t="inlineStr">
        <is>
          <t xml:space="preserve">                self._current_folder = vals[0]</t>
        </is>
      </c>
    </row>
    <row r="239">
      <c r="A239" s="9" t="n">
        <v>236</v>
      </c>
      <c r="B239" s="10" t="inlineStr">
        <is>
          <t xml:space="preserve">                self._load_videos(vals[0])</t>
        </is>
      </c>
    </row>
    <row r="240">
      <c r="A240" s="7" t="n">
        <v>237</v>
      </c>
      <c r="B240" s="8" t="inlineStr"/>
    </row>
    <row r="241">
      <c r="A241" s="9" t="n">
        <v>238</v>
      </c>
      <c r="B241" s="10" t="inlineStr">
        <is>
          <t xml:space="preserve">    def _on_drive_double(self, ev):</t>
        </is>
      </c>
    </row>
    <row r="242">
      <c r="A242" s="7" t="n">
        <v>239</v>
      </c>
      <c r="B242" s="8" t="inlineStr">
        <is>
          <t xml:space="preserve">        sel = self._drive_tree.selection()</t>
        </is>
      </c>
    </row>
    <row r="243">
      <c r="A243" s="9" t="n">
        <v>240</v>
      </c>
      <c r="B243" s="10" t="inlineStr">
        <is>
          <t xml:space="preserve">        if sel:</t>
        </is>
      </c>
    </row>
    <row r="244">
      <c r="A244" s="7" t="n">
        <v>241</v>
      </c>
      <c r="B244" s="8" t="inlineStr">
        <is>
          <t xml:space="preserve">            vals = self._drive_tree.item(sel[0], "values")</t>
        </is>
      </c>
    </row>
    <row r="245">
      <c r="A245" s="9" t="n">
        <v>242</v>
      </c>
      <c r="B245" s="10" t="inlineStr">
        <is>
          <t xml:space="preserve">            if vals:</t>
        </is>
      </c>
    </row>
    <row r="246">
      <c r="A246" s="7" t="n">
        <v>243</v>
      </c>
      <c r="B246" s="8" t="inlineStr">
        <is>
          <t xml:space="preserve">                self._current_folder = vals[0]</t>
        </is>
      </c>
    </row>
    <row r="247">
      <c r="A247" s="9" t="n">
        <v>244</v>
      </c>
      <c r="B247" s="10" t="inlineStr">
        <is>
          <t xml:space="preserve">                self._load_videos(vals[0])</t>
        </is>
      </c>
    </row>
    <row r="248">
      <c r="A248" s="7" t="n">
        <v>245</v>
      </c>
      <c r="B248" s="8" t="inlineStr">
        <is>
          <t xml:space="preserve">                try:</t>
        </is>
      </c>
    </row>
    <row r="249">
      <c r="A249" s="9" t="n">
        <v>246</v>
      </c>
      <c r="B249" s="10" t="inlineStr">
        <is>
          <t xml:space="preserve">                    from core.drive_scanner import get_scanner</t>
        </is>
      </c>
    </row>
    <row r="250">
      <c r="A250" s="7" t="n">
        <v>247</v>
      </c>
      <c r="B250" s="8" t="inlineStr">
        <is>
          <t xml:space="preserve">                    s = get_scanner()</t>
        </is>
      </c>
    </row>
    <row r="251">
      <c r="A251" s="9" t="n">
        <v>248</v>
      </c>
      <c r="B251" s="10" t="inlineStr">
        <is>
          <t xml:space="preserve">                    entry = s.scan_folder(vals[0], max_depth=2)</t>
        </is>
      </c>
    </row>
    <row r="252">
      <c r="A252" s="7" t="n">
        <v>249</v>
      </c>
      <c r="B252" s="8" t="inlineStr">
        <is>
          <t xml:space="preserve">                    self._drive_tree.delete(sel[0])</t>
        </is>
      </c>
    </row>
    <row r="253">
      <c r="A253" s="9" t="n">
        <v>250</v>
      </c>
      <c r="B253" s="10" t="inlineStr">
        <is>
          <t xml:space="preserve">                    new_node = self._drive_tree.insert("", "end",</t>
        </is>
      </c>
    </row>
    <row r="254">
      <c r="A254" s="7" t="n">
        <v>251</v>
      </c>
      <c r="B254" s="8" t="inlineStr">
        <is>
          <t xml:space="preserve">                        text=f"[DIR] {entry.name} ({entry.video_count}视频)",</t>
        </is>
      </c>
    </row>
    <row r="255">
      <c r="A255" s="9" t="n">
        <v>252</v>
      </c>
      <c r="B255" s="10" t="inlineStr">
        <is>
          <t xml:space="preserve">                        open=True, values=(entry.path,))</t>
        </is>
      </c>
    </row>
    <row r="256">
      <c r="A256" s="7" t="n">
        <v>253</v>
      </c>
      <c r="B256" s="8" t="inlineStr">
        <is>
          <t xml:space="preserve">                    for child in entry.children:</t>
        </is>
      </c>
    </row>
    <row r="257">
      <c r="A257" s="9" t="n">
        <v>254</v>
      </c>
      <c r="B257" s="10" t="inlineStr">
        <is>
          <t xml:space="preserve">                        if child.video_count &gt; 0:</t>
        </is>
      </c>
    </row>
    <row r="258">
      <c r="A258" s="7" t="n">
        <v>255</v>
      </c>
      <c r="B258" s="8" t="inlineStr">
        <is>
          <t xml:space="preserve">                            self._drive_tree.insert(new_node, "end",</t>
        </is>
      </c>
    </row>
    <row r="259">
      <c r="A259" s="9" t="n">
        <v>256</v>
      </c>
      <c r="B259" s="10" t="inlineStr">
        <is>
          <t xml:space="preserve">                                text=f"[DIR] {child.name} ({child.video_count})",</t>
        </is>
      </c>
    </row>
    <row r="260">
      <c r="A260" s="7" t="n">
        <v>257</v>
      </c>
      <c r="B260" s="8" t="inlineStr">
        <is>
          <t xml:space="preserve">                                values=(child.path,))</t>
        </is>
      </c>
    </row>
    <row r="261">
      <c r="A261" s="9" t="n">
        <v>258</v>
      </c>
      <c r="B261" s="10" t="inlineStr">
        <is>
          <t xml:space="preserve">                except Exception:</t>
        </is>
      </c>
    </row>
    <row r="262">
      <c r="A262" s="7" t="n">
        <v>259</v>
      </c>
      <c r="B262" s="8" t="inlineStr">
        <is>
          <t xml:space="preserve">                    pass</t>
        </is>
      </c>
    </row>
    <row r="263">
      <c r="A263" s="9" t="n">
        <v>260</v>
      </c>
      <c r="B263" s="10" t="inlineStr"/>
    </row>
    <row r="264">
      <c r="A264" s="7" t="n">
        <v>261</v>
      </c>
      <c r="B264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265">
      <c r="A265" s="9" t="n">
        <v>262</v>
      </c>
      <c r="B265" s="10" t="inlineStr">
        <is>
          <t xml:space="preserve">    # 视频列表加载</t>
        </is>
      </c>
    </row>
    <row r="266">
      <c r="A266" s="7" t="n">
        <v>263</v>
      </c>
      <c r="B266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267">
      <c r="A267" s="9" t="n">
        <v>264</v>
      </c>
      <c r="B267" s="10" t="inlineStr">
        <is>
          <t xml:space="preserve">    def _load_videos(self, folder):</t>
        </is>
      </c>
    </row>
    <row r="268">
      <c r="A268" s="7" t="n">
        <v>265</v>
      </c>
      <c r="B268" s="8" t="inlineStr">
        <is>
          <t xml:space="preserve">        self._video_tree.delete(*self._video_tree.get_children())</t>
        </is>
      </c>
    </row>
    <row r="269">
      <c r="A269" s="9" t="n">
        <v>266</v>
      </c>
      <c r="B269" s="10" t="inlineStr">
        <is>
          <t xml:space="preserve">        self._video_paths = []</t>
        </is>
      </c>
    </row>
    <row r="270">
      <c r="A270" s="7" t="n">
        <v>267</v>
      </c>
      <c r="B270" s="8" t="inlineStr">
        <is>
          <t xml:space="preserve">        self._status_lbl.config(text=f"加载中... {folder[:40]}")</t>
        </is>
      </c>
    </row>
    <row r="271">
      <c r="A271" s="9" t="n">
        <v>268</v>
      </c>
      <c r="B271" s="10" t="inlineStr">
        <is>
          <t xml:space="preserve">        self._progress["value"] = 0; self._pg_lbl.config(text="")</t>
        </is>
      </c>
    </row>
    <row r="272">
      <c r="A272" s="7" t="n">
        <v>269</v>
      </c>
      <c r="B272" s="8" t="inlineStr">
        <is>
          <t xml:space="preserve">        self.app.root.update_idletasks()</t>
        </is>
      </c>
    </row>
    <row r="273">
      <c r="A273" s="9" t="n">
        <v>270</v>
      </c>
      <c r="B273" s="10" t="inlineStr">
        <is>
          <t xml:space="preserve">        if hasattr(self, '_load_cancel'): self._load_cancel.set()</t>
        </is>
      </c>
    </row>
    <row r="274">
      <c r="A274" s="7" t="n">
        <v>271</v>
      </c>
      <c r="B274" s="8" t="inlineStr">
        <is>
          <t xml:space="preserve">        self._load_cancel = threading.Event()</t>
        </is>
      </c>
    </row>
    <row r="275">
      <c r="A275" s="9" t="n">
        <v>272</v>
      </c>
      <c r="B275" s="10" t="inlineStr"/>
    </row>
    <row r="276">
      <c r="A276" s="7" t="n">
        <v>273</v>
      </c>
      <c r="B276" s="8" t="inlineStr">
        <is>
          <t xml:space="preserve">        def _run():</t>
        </is>
      </c>
    </row>
    <row r="277">
      <c r="A277" s="9" t="n">
        <v>274</v>
      </c>
      <c r="B277" s="10" t="inlineStr">
        <is>
          <t xml:space="preserve">            try:</t>
        </is>
      </c>
    </row>
    <row r="278">
      <c r="A278" s="7" t="n">
        <v>275</v>
      </c>
      <c r="B278" s="8" t="inlineStr">
        <is>
          <t xml:space="preserve">                from core.drive_scanner import get_scanner</t>
        </is>
      </c>
    </row>
    <row r="279">
      <c r="A279" s="9" t="n">
        <v>276</v>
      </c>
      <c r="B279" s="10" t="inlineStr">
        <is>
          <t xml:space="preserve">                scanner = get_scanner()</t>
        </is>
      </c>
    </row>
    <row r="280">
      <c r="A280" s="7" t="n">
        <v>277</v>
      </c>
      <c r="B280" s="8" t="inlineStr">
        <is>
          <t xml:space="preserve">                vids = scanner.list_videos(folder, probe=False,</t>
        </is>
      </c>
    </row>
    <row r="281">
      <c r="A281" s="9" t="n">
        <v>278</v>
      </c>
      <c r="B281" s="10" t="inlineStr">
        <is>
          <t xml:space="preserve">                                           cancel_event=self._load_cancel)[:500]</t>
        </is>
      </c>
    </row>
    <row r="282">
      <c r="A282" s="7" t="n">
        <v>279</v>
      </c>
      <c r="B282" s="8" t="inlineStr">
        <is>
          <t xml:space="preserve">                total = len(vids)</t>
        </is>
      </c>
    </row>
    <row r="283">
      <c r="A283" s="9" t="n">
        <v>280</v>
      </c>
      <c r="B283" s="10" t="inlineStr">
        <is>
          <t xml:space="preserve">                for v in vids:</t>
        </is>
      </c>
    </row>
    <row r="284">
      <c r="A284" s="7" t="n">
        <v>281</v>
      </c>
      <c r="B284" s="8" t="inlineStr">
        <is>
          <t xml:space="preserve">                    self._video_paths.append(v.path)</t>
        </is>
      </c>
    </row>
    <row r="285">
      <c r="A285" s="9" t="n">
        <v>282</v>
      </c>
      <c r="B285" s="10" t="inlineStr">
        <is>
          <t xml:space="preserve">                self.app.root.after(0, lambda: (</t>
        </is>
      </c>
    </row>
    <row r="286">
      <c r="A286" s="7" t="n">
        <v>283</v>
      </c>
      <c r="B286" s="8" t="inlineStr">
        <is>
          <t xml:space="preserve">                    self._show_videos_fast(vids),</t>
        </is>
      </c>
    </row>
    <row r="287">
      <c r="A287" s="9" t="n">
        <v>284</v>
      </c>
      <c r="B287" s="10" t="inlineStr">
        <is>
          <t xml:space="preserve">                    self._status_lbl.config(text=f"获取元数据中... 0/{total}"),</t>
        </is>
      </c>
    </row>
    <row r="288">
      <c r="A288" s="7" t="n">
        <v>285</v>
      </c>
      <c r="B288" s="8" t="inlineStr">
        <is>
          <t xml:space="preserve">                    self._progress.configure(maximum=total)</t>
        </is>
      </c>
    </row>
    <row r="289">
      <c r="A289" s="9" t="n">
        <v>286</v>
      </c>
      <c r="B289" s="10" t="inlineStr">
        <is>
          <t xml:space="preserve">                ))</t>
        </is>
      </c>
    </row>
    <row r="290">
      <c r="A290" s="7" t="n">
        <v>287</v>
      </c>
      <c r="B290" s="8" t="inlineStr">
        <is>
          <t xml:space="preserve">                if total &gt; 0:</t>
        </is>
      </c>
    </row>
    <row r="291">
      <c r="A291" s="9" t="n">
        <v>288</v>
      </c>
      <c r="B291" s="10" t="inlineStr">
        <is>
          <t xml:space="preserve">                    scanner._batch_probe(vids, progress=self._probe_progress,</t>
        </is>
      </c>
    </row>
    <row r="292">
      <c r="A292" s="7" t="n">
        <v>289</v>
      </c>
      <c r="B292" s="8" t="inlineStr">
        <is>
          <t xml:space="preserve">                                        cancel_event=self._load_cancel)</t>
        </is>
      </c>
    </row>
    <row r="293">
      <c r="A293" s="9" t="n">
        <v>290</v>
      </c>
      <c r="B293" s="10" t="inlineStr">
        <is>
          <t xml:space="preserve">                self.app.root.after(0, lambda: self._status_lbl.config(</t>
        </is>
      </c>
    </row>
    <row r="294">
      <c r="A294" s="7" t="n">
        <v>291</v>
      </c>
      <c r="B294" s="8" t="inlineStr">
        <is>
          <t xml:space="preserve">                    text=f"{total}个视频 — 点击选择, 双击识别"))</t>
        </is>
      </c>
    </row>
    <row r="295">
      <c r="A295" s="9" t="n">
        <v>292</v>
      </c>
      <c r="B295" s="10" t="inlineStr">
        <is>
          <t xml:space="preserve">            except Exception as e:</t>
        </is>
      </c>
    </row>
    <row r="296">
      <c r="A296" s="7" t="n">
        <v>293</v>
      </c>
      <c r="B296" s="8" t="inlineStr">
        <is>
          <t xml:space="preserve">                self.app.root.after(0, lambda: self._status_lbl.config(text=f"加载失败:{e}"))</t>
        </is>
      </c>
    </row>
    <row r="297">
      <c r="A297" s="9" t="n">
        <v>294</v>
      </c>
      <c r="B297" s="10" t="inlineStr">
        <is>
          <t xml:space="preserve">        threading.Thread(target=_run, daemon=True).start()</t>
        </is>
      </c>
    </row>
    <row r="298">
      <c r="A298" s="7" t="n">
        <v>295</v>
      </c>
      <c r="B298" s="8" t="inlineStr"/>
    </row>
    <row r="299">
      <c r="A299" s="9" t="n">
        <v>296</v>
      </c>
      <c r="B299" s="10" t="inlineStr">
        <is>
          <t xml:space="preserve">    def _probe_progress(self, done, total, ve):</t>
        </is>
      </c>
    </row>
    <row r="300">
      <c r="A300" s="7" t="n">
        <v>297</v>
      </c>
      <c r="B300" s="8" t="inlineStr">
        <is>
          <t xml:space="preserve">        self.app.root.after(0, lambda: (</t>
        </is>
      </c>
    </row>
    <row r="301">
      <c r="A301" s="9" t="n">
        <v>298</v>
      </c>
      <c r="B301" s="10" t="inlineStr">
        <is>
          <t xml:space="preserve">            self._update_video_row(ve),</t>
        </is>
      </c>
    </row>
    <row r="302">
      <c r="A302" s="7" t="n">
        <v>299</v>
      </c>
      <c r="B302" s="8" t="inlineStr">
        <is>
          <t xml:space="preserve">            self._progress.configure(value=done),</t>
        </is>
      </c>
    </row>
    <row r="303">
      <c r="A303" s="9" t="n">
        <v>300</v>
      </c>
      <c r="B303" s="10" t="inlineStr">
        <is>
          <t xml:space="preserve">            self._pg_lbl.config(text=f"{done}/{total}"),</t>
        </is>
      </c>
    </row>
    <row r="304">
      <c r="A304" s="7" t="n">
        <v>301</v>
      </c>
      <c r="B304" s="8" t="inlineStr">
        <is>
          <t xml:space="preserve">            self._status_lbl.config(text=f"分析中... {done}/{total}")</t>
        </is>
      </c>
    </row>
    <row r="305">
      <c r="A305" s="9" t="n">
        <v>302</v>
      </c>
      <c r="B305" s="10" t="inlineStr">
        <is>
          <t xml:space="preserve">        ))</t>
        </is>
      </c>
    </row>
    <row r="306">
      <c r="A306" s="7" t="n">
        <v>303</v>
      </c>
      <c r="B306" s="8" t="inlineStr"/>
    </row>
    <row r="307">
      <c r="A307" s="9" t="n">
        <v>304</v>
      </c>
      <c r="B307" s="10" t="inlineStr">
        <is>
          <t xml:space="preserve">    def _show_videos_fast(self, vids):</t>
        </is>
      </c>
    </row>
    <row r="308">
      <c r="A308" s="7" t="n">
        <v>305</v>
      </c>
      <c r="B308" s="8" t="inlineStr">
        <is>
          <t xml:space="preserve">        self._video_tree.delete(*self._video_tree.get_children())</t>
        </is>
      </c>
    </row>
    <row r="309">
      <c r="A309" s="9" t="n">
        <v>306</v>
      </c>
      <c r="B309" s="10" t="inlineStr">
        <is>
          <t xml:space="preserve">        self._video_paths = []</t>
        </is>
      </c>
    </row>
    <row r="310">
      <c r="A310" s="7" t="n">
        <v>307</v>
      </c>
      <c r="B310" s="8" t="inlineStr">
        <is>
          <t xml:space="preserve">        for v in vids:</t>
        </is>
      </c>
    </row>
    <row r="311">
      <c r="A311" s="9" t="n">
        <v>308</v>
      </c>
      <c r="B311" s="10" t="inlineStr">
        <is>
          <t xml:space="preserve">            self._video_paths.append(v.path)</t>
        </is>
      </c>
    </row>
    <row r="312">
      <c r="A312" s="7" t="n">
        <v>309</v>
      </c>
      <c r="B312" s="8" t="inlineStr">
        <is>
          <t xml:space="preserve">            self._video_tree.insert("", "end",</t>
        </is>
      </c>
    </row>
    <row r="313">
      <c r="A313" s="9" t="n">
        <v>310</v>
      </c>
      <c r="B313" s="10" t="inlineStr">
        <is>
          <t xml:space="preserve">                values=(v.name[:60], "-", "-"), tags=(v.path,))</t>
        </is>
      </c>
    </row>
    <row r="314">
      <c r="A314" s="7" t="n">
        <v>311</v>
      </c>
      <c r="B314" s="8" t="inlineStr"/>
    </row>
    <row r="315">
      <c r="A315" s="9" t="n">
        <v>312</v>
      </c>
      <c r="B315" s="10" t="inlineStr">
        <is>
          <t xml:space="preserve">    def _update_video_row(self, ve):</t>
        </is>
      </c>
    </row>
    <row r="316">
      <c r="A316" s="7" t="n">
        <v>313</v>
      </c>
      <c r="B316" s="8" t="inlineStr">
        <is>
          <t xml:space="preserve">        for item in self._video_tree.get_children():</t>
        </is>
      </c>
    </row>
    <row r="317">
      <c r="A317" s="9" t="n">
        <v>314</v>
      </c>
      <c r="B317" s="10" t="inlineStr">
        <is>
          <t xml:space="preserve">            tags = self._video_tree.item(item, "tags")</t>
        </is>
      </c>
    </row>
    <row r="318">
      <c r="A318" s="7" t="n">
        <v>315</v>
      </c>
      <c r="B318" s="8" t="inlineStr">
        <is>
          <t xml:space="preserve">            if tags and tags[0] == ve.path:</t>
        </is>
      </c>
    </row>
    <row r="319">
      <c r="A319" s="9" t="n">
        <v>316</v>
      </c>
      <c r="B319" s="10" t="inlineStr">
        <is>
          <t xml:space="preserve">                self._video_tree.item(item, values=(</t>
        </is>
      </c>
    </row>
    <row r="320">
      <c r="A320" s="7" t="n">
        <v>317</v>
      </c>
      <c r="B320" s="8" t="inlineStr">
        <is>
          <t xml:space="preserve">                    ve.name[:50], f"{ve.size_mb:.1f}MB", ve.duration_str))</t>
        </is>
      </c>
    </row>
    <row r="321">
      <c r="A321" s="9" t="n">
        <v>318</v>
      </c>
      <c r="B321" s="10" t="inlineStr">
        <is>
          <t xml:space="preserve">                break</t>
        </is>
      </c>
    </row>
    <row r="322">
      <c r="A322" s="7" t="n">
        <v>319</v>
      </c>
      <c r="B322" s="8" t="inlineStr"/>
    </row>
    <row r="323">
      <c r="A323" s="9" t="n">
        <v>320</v>
      </c>
      <c r="B323" s="10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324">
      <c r="A324" s="7" t="n">
        <v>321</v>
      </c>
      <c r="B324" s="8" t="inlineStr">
        <is>
          <t xml:space="preserve">    # 视频选中 → 自动加载DB已有帧数据</t>
        </is>
      </c>
    </row>
    <row r="325">
      <c r="A325" s="9" t="n">
        <v>322</v>
      </c>
      <c r="B325" s="10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326">
      <c r="A326" s="7" t="n">
        <v>323</v>
      </c>
      <c r="B326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327">
      <c r="A327" s="9" t="n">
        <v>324</v>
      </c>
      <c r="B327" s="10" t="inlineStr">
        <is>
          <t xml:space="preserve">    # 视频选中 → 自动加载DB已有帧数据（显示帧卡片）</t>
        </is>
      </c>
    </row>
    <row r="328">
      <c r="A328" s="7" t="n">
        <v>325</v>
      </c>
      <c r="B328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329">
      <c r="A329" s="9" t="n">
        <v>326</v>
      </c>
      <c r="B329" s="10" t="inlineStr">
        <is>
          <t xml:space="preserve">    def _on_video_select(self, ev):</t>
        </is>
      </c>
    </row>
    <row r="330">
      <c r="A330" s="7" t="n">
        <v>327</v>
      </c>
      <c r="B330" s="8" t="inlineStr">
        <is>
          <t xml:space="preserve">        sel = self._video_tree.selection()</t>
        </is>
      </c>
    </row>
    <row r="331">
      <c r="A331" s="9" t="n">
        <v>328</v>
      </c>
      <c r="B331" s="10" t="inlineStr">
        <is>
          <t xml:space="preserve">        if not sel:</t>
        </is>
      </c>
    </row>
    <row r="332">
      <c r="A332" s="7" t="n">
        <v>329</v>
      </c>
      <c r="B332" s="8" t="inlineStr">
        <is>
          <t xml:space="preserve">            return</t>
        </is>
      </c>
    </row>
    <row r="333">
      <c r="A333" s="9" t="n">
        <v>330</v>
      </c>
      <c r="B333" s="10" t="inlineStr">
        <is>
          <t xml:space="preserve">        tags = self._video_tree.item(sel[0], "tags")</t>
        </is>
      </c>
    </row>
    <row r="334">
      <c r="A334" s="7" t="n">
        <v>331</v>
      </c>
      <c r="B334" s="8" t="inlineStr">
        <is>
          <t xml:space="preserve">        if not tags:</t>
        </is>
      </c>
    </row>
    <row r="335">
      <c r="A335" s="9" t="n">
        <v>332</v>
      </c>
      <c r="B335" s="10" t="inlineStr">
        <is>
          <t xml:space="preserve">            return</t>
        </is>
      </c>
    </row>
    <row r="336">
      <c r="A336" s="7" t="n">
        <v>333</v>
      </c>
      <c r="B336" s="8" t="inlineStr">
        <is>
          <t xml:space="preserve">        vp = tags[0]</t>
        </is>
      </c>
    </row>
    <row r="337">
      <c r="A337" s="9" t="n">
        <v>334</v>
      </c>
      <c r="B337" s="10" t="inlineStr">
        <is>
          <t xml:space="preserve">        self._current_video = vp</t>
        </is>
      </c>
    </row>
    <row r="338">
      <c r="A338" s="7" t="n">
        <v>335</v>
      </c>
      <c r="B338" s="8" t="inlineStr">
        <is>
          <t xml:space="preserve">        vname = Path(vp).name</t>
        </is>
      </c>
    </row>
    <row r="339">
      <c r="A339" s="9" t="n">
        <v>336</v>
      </c>
      <c r="B339" s="10" t="inlineStr">
        <is>
          <t xml:space="preserve">        self._status_lbl.config(text=f"选中: {vname[:50]} — 查询已有帧...")</t>
        </is>
      </c>
    </row>
    <row r="340">
      <c r="A340" s="7" t="n">
        <v>337</v>
      </c>
      <c r="B340" s="8" t="inlineStr"/>
    </row>
    <row r="341">
      <c r="A341" s="9" t="n">
        <v>338</v>
      </c>
      <c r="B341" s="10" t="inlineStr">
        <is>
          <t xml:space="preserve">        # 自动从 DB 加载已有帧</t>
        </is>
      </c>
    </row>
    <row r="342">
      <c r="A342" s="7" t="n">
        <v>339</v>
      </c>
      <c r="B342" s="8" t="inlineStr">
        <is>
          <t xml:space="preserve">        threading.Thread(target=self._load_frames_from_db,</t>
        </is>
      </c>
    </row>
    <row r="343">
      <c r="A343" s="9" t="n">
        <v>340</v>
      </c>
      <c r="B343" s="10" t="inlineStr">
        <is>
          <t xml:space="preserve">                        args=(vp,), daemon=True).start()</t>
        </is>
      </c>
    </row>
    <row r="344">
      <c r="A344" s="7" t="n">
        <v>341</v>
      </c>
      <c r="B344" s="8" t="inlineStr"/>
    </row>
    <row r="345">
      <c r="A345" s="9" t="n">
        <v>342</v>
      </c>
      <c r="B345" s="10" t="inlineStr">
        <is>
          <t xml:space="preserve">    def _load_frames_from_db(self, video_path: str):</t>
        </is>
      </c>
    </row>
    <row r="346">
      <c r="A346" s="7" t="n">
        <v>343</v>
      </c>
      <c r="B346" s="8" t="inlineStr">
        <is>
          <t xml:space="preserve">        """查询 video_frames 表，已有记录则直接显示"""</t>
        </is>
      </c>
    </row>
    <row r="347">
      <c r="A347" s="9" t="n">
        <v>344</v>
      </c>
      <c r="B347" s="10" t="inlineStr">
        <is>
          <t xml:space="preserve">        try:</t>
        </is>
      </c>
    </row>
    <row r="348">
      <c r="A348" s="7" t="n">
        <v>345</v>
      </c>
      <c r="B348" s="8" t="inlineStr">
        <is>
          <t xml:space="preserve">            from core.database import db</t>
        </is>
      </c>
    </row>
    <row r="349">
      <c r="A349" s="9" t="n">
        <v>346</v>
      </c>
      <c r="B349" s="10" t="inlineStr">
        <is>
          <t xml:space="preserve">            rows = db.get_frames_by_video(video_path)</t>
        </is>
      </c>
    </row>
    <row r="350">
      <c r="A350" s="7" t="n">
        <v>347</v>
      </c>
      <c r="B350" s="8" t="inlineStr">
        <is>
          <t xml:space="preserve">        except Exception as e:</t>
        </is>
      </c>
    </row>
    <row r="351">
      <c r="A351" s="9" t="n">
        <v>348</v>
      </c>
      <c r="B351" s="10" t="inlineStr">
        <is>
          <t xml:space="preserve">            self.app.root.after(0, lambda: self._status_lbl.config(</t>
        </is>
      </c>
    </row>
    <row r="352">
      <c r="A352" s="7" t="n">
        <v>349</v>
      </c>
      <c r="B352" s="8" t="inlineStr">
        <is>
          <t xml:space="preserve">                text=f"查询帧数据失败: {e}"))</t>
        </is>
      </c>
    </row>
    <row r="353">
      <c r="A353" s="9" t="n">
        <v>350</v>
      </c>
      <c r="B353" s="10" t="inlineStr">
        <is>
          <t xml:space="preserve">            return</t>
        </is>
      </c>
    </row>
    <row r="354">
      <c r="A354" s="7" t="n">
        <v>351</v>
      </c>
      <c r="B354" s="8" t="inlineStr"/>
    </row>
    <row r="355">
      <c r="A355" s="9" t="n">
        <v>352</v>
      </c>
      <c r="B355" s="10" t="inlineStr">
        <is>
          <t xml:space="preserve">        if not rows:</t>
        </is>
      </c>
    </row>
    <row r="356">
      <c r="A356" s="7" t="n">
        <v>353</v>
      </c>
      <c r="B356" s="8" t="inlineStr">
        <is>
          <t xml:space="preserve">            self.app.root.after(0, lambda: self._status_lbl.config(</t>
        </is>
      </c>
    </row>
    <row r="357">
      <c r="A357" s="9" t="n">
        <v>354</v>
      </c>
      <c r="B357" s="10" t="inlineStr">
        <is>
          <t xml:space="preserve">                text=f"尚未识别 — 点击「启动全帧识别」或「自动批量识别」"))</t>
        </is>
      </c>
    </row>
    <row r="358">
      <c r="A358" s="7" t="n">
        <v>355</v>
      </c>
      <c r="B358" s="8" t="inlineStr">
        <is>
          <t xml:space="preserve">            # 清空旧帧</t>
        </is>
      </c>
    </row>
    <row r="359">
      <c r="A359" s="9" t="n">
        <v>356</v>
      </c>
      <c r="B359" s="10" t="inlineStr">
        <is>
          <t xml:space="preserve">            self.app.root.after(0, self._clear_frames)</t>
        </is>
      </c>
    </row>
    <row r="360">
      <c r="A360" s="7" t="n">
        <v>357</v>
      </c>
      <c r="B360" s="8" t="inlineStr">
        <is>
          <t xml:space="preserve">            return</t>
        </is>
      </c>
    </row>
    <row r="361">
      <c r="A361" s="9" t="n">
        <v>358</v>
      </c>
      <c r="B361" s="10" t="inlineStr"/>
    </row>
    <row r="362">
      <c r="A362" s="7" t="n">
        <v>359</v>
      </c>
      <c r="B362" s="8" t="inlineStr">
        <is>
          <t xml:space="preserve">        self.app.root.after(0, lambda: self._status_lbl.config(</t>
        </is>
      </c>
    </row>
    <row r="363">
      <c r="A363" s="9" t="n">
        <v>360</v>
      </c>
      <c r="B363" s="10" t="inlineStr">
        <is>
          <t xml:space="preserve">            text=f"已加载 {len(rows)} 帧 (来自数据库)"))</t>
        </is>
      </c>
    </row>
    <row r="364">
      <c r="A364" s="7" t="n">
        <v>361</v>
      </c>
      <c r="B364" s="8" t="inlineStr">
        <is>
          <t xml:space="preserve">        self.app.root.after(0, lambda: self._show_frames_from_db(rows))</t>
        </is>
      </c>
    </row>
    <row r="365">
      <c r="A365" s="9" t="n">
        <v>362</v>
      </c>
      <c r="B365" s="10" t="inlineStr"/>
    </row>
    <row r="366">
      <c r="A366" s="7" t="n">
        <v>363</v>
      </c>
      <c r="B366" s="8" t="inlineStr">
        <is>
          <t xml:space="preserve">    def _clear_frames(self):</t>
        </is>
      </c>
    </row>
    <row r="367">
      <c r="A367" s="9" t="n">
        <v>364</v>
      </c>
      <c r="B367" s="10" t="inlineStr">
        <is>
          <t xml:space="preserve">        for w in self._frame_inner.winfo_children():</t>
        </is>
      </c>
    </row>
    <row r="368">
      <c r="A368" s="7" t="n">
        <v>365</v>
      </c>
      <c r="B368" s="8" t="inlineStr">
        <is>
          <t xml:space="preserve">            w.destroy()</t>
        </is>
      </c>
    </row>
    <row r="369">
      <c r="A369" s="9" t="n">
        <v>366</v>
      </c>
      <c r="B369" s="10" t="inlineStr">
        <is>
          <t xml:space="preserve">        self._fw = []</t>
        </is>
      </c>
    </row>
    <row r="370">
      <c r="A370" s="7" t="n">
        <v>367</v>
      </c>
      <c r="B370" s="8" t="inlineStr">
        <is>
          <t xml:space="preserve">        self._frame_idx_map = {}</t>
        </is>
      </c>
    </row>
    <row r="371">
      <c r="A371" s="9" t="n">
        <v>368</v>
      </c>
      <c r="B371" s="10" t="inlineStr"/>
    </row>
    <row r="372">
      <c r="A372" s="7" t="n">
        <v>369</v>
      </c>
      <c r="B372" s="8" t="inlineStr">
        <is>
          <t xml:space="preserve">    def _show_frames_from_db(self, rows: list):</t>
        </is>
      </c>
    </row>
    <row r="373">
      <c r="A373" s="9" t="n">
        <v>370</v>
      </c>
      <c r="B373" s="10" t="inlineStr">
        <is>
          <t xml:space="preserve">        """根据数据库记录重建帧卡片（无图片仅显示标签）"""</t>
        </is>
      </c>
    </row>
    <row r="374">
      <c r="A374" s="7" t="n">
        <v>371</v>
      </c>
      <c r="B374" s="8" t="inlineStr">
        <is>
          <t xml:space="preserve">        self._clear_frames()</t>
        </is>
      </c>
    </row>
    <row r="375">
      <c r="A375" s="9" t="n">
        <v>372</v>
      </c>
      <c r="B375" s="10" t="inlineStr"/>
    </row>
    <row r="376">
      <c r="A376" s="7" t="n">
        <v>373</v>
      </c>
      <c r="B376" s="8" t="inlineStr">
        <is>
          <t xml:space="preserve">        col = 0; row_idx = 0</t>
        </is>
      </c>
    </row>
    <row r="377">
      <c r="A377" s="9" t="n">
        <v>374</v>
      </c>
      <c r="B377" s="10" t="inlineStr">
        <is>
          <t xml:space="preserve">        cards_per_row = 3  # 每行3个卡片</t>
        </is>
      </c>
    </row>
    <row r="378">
      <c r="A378" s="7" t="n">
        <v>375</v>
      </c>
      <c r="B378" s="8" t="inlineStr"/>
    </row>
    <row r="379">
      <c r="A379" s="9" t="n">
        <v>376</v>
      </c>
      <c r="B379" s="10" t="inlineStr">
        <is>
          <t xml:space="preserve">        for i, data in enumerate(rows):</t>
        </is>
      </c>
    </row>
    <row r="380">
      <c r="A380" s="7" t="n">
        <v>377</v>
      </c>
      <c r="B380" s="8" t="inlineStr">
        <is>
          <t xml:space="preserve">            fid = data.get("id", i)</t>
        </is>
      </c>
    </row>
    <row r="381">
      <c r="A381" s="9" t="n">
        <v>378</v>
      </c>
      <c r="B381" s="10" t="inlineStr">
        <is>
          <t xml:space="preserve">            ts = data.get("frame_timestamp", 0)</t>
        </is>
      </c>
    </row>
    <row r="382">
      <c r="A382" s="7" t="n">
        <v>379</v>
      </c>
      <c r="B382" s="8" t="inlineStr">
        <is>
          <t xml:space="preserve">            img_path = data.get("frame_image_path", "")</t>
        </is>
      </c>
    </row>
    <row r="383">
      <c r="A383" s="9" t="n">
        <v>380</v>
      </c>
      <c r="B383" s="10" t="inlineStr">
        <is>
          <t xml:space="preserve">            caption = data.get("caption", "")</t>
        </is>
      </c>
    </row>
    <row r="384">
      <c r="A384" s="7" t="n">
        <v>381</v>
      </c>
      <c r="B384" s="8" t="inlineStr">
        <is>
          <t xml:space="preserve">            objects = data.get("objects", "")</t>
        </is>
      </c>
    </row>
    <row r="385">
      <c r="A385" s="9" t="n">
        <v>382</v>
      </c>
      <c r="B385" s="10" t="inlineStr">
        <is>
          <t xml:space="preserve">            user_score = data.get("user_score", 3)</t>
        </is>
      </c>
    </row>
    <row r="386">
      <c r="A386" s="7" t="n">
        <v>383</v>
      </c>
      <c r="B386" s="8" t="inlineStr">
        <is>
          <t xml:space="preserve">            user_tags = data.get("user_tags", "")</t>
        </is>
      </c>
    </row>
    <row r="387">
      <c r="A387" s="9" t="n">
        <v>384</v>
      </c>
      <c r="B387" s="10" t="inlineStr">
        <is>
          <t xml:space="preserve">            scene = data.get("scene_type", "")</t>
        </is>
      </c>
    </row>
    <row r="388">
      <c r="A388" s="7" t="n">
        <v>385</v>
      </c>
      <c r="B388" s="8" t="inlineStr"/>
    </row>
    <row r="389">
      <c r="A389" s="9" t="n">
        <v>386</v>
      </c>
      <c r="B389" s="10" t="inlineStr">
        <is>
          <t xml:space="preserve">            # 组装模型标签</t>
        </is>
      </c>
    </row>
    <row r="390">
      <c r="A390" s="7" t="n">
        <v>387</v>
      </c>
      <c r="B390" s="8" t="inlineStr">
        <is>
          <t xml:space="preserve">            model_tags = {}</t>
        </is>
      </c>
    </row>
    <row r="391">
      <c r="A391" s="9" t="n">
        <v>388</v>
      </c>
      <c r="B391" s="10" t="inlineStr">
        <is>
          <t xml:space="preserve">            if objects:</t>
        </is>
      </c>
    </row>
    <row r="392">
      <c r="A392" s="7" t="n">
        <v>389</v>
      </c>
      <c r="B392" s="8" t="inlineStr">
        <is>
          <t xml:space="preserve">                model_tags["Vision"] = objects.split(", ")</t>
        </is>
      </c>
    </row>
    <row r="393">
      <c r="A393" s="9" t="n">
        <v>390</v>
      </c>
      <c r="B393" s="10" t="inlineStr">
        <is>
          <t xml:space="preserve">            if caption:</t>
        </is>
      </c>
    </row>
    <row r="394">
      <c r="A394" s="7" t="n">
        <v>391</v>
      </c>
      <c r="B394" s="8" t="inlineStr">
        <is>
          <t xml:space="preserve">                model_tags["Caption"] = [caption[:50]]</t>
        </is>
      </c>
    </row>
    <row r="395">
      <c r="A395" s="9" t="n">
        <v>392</v>
      </c>
      <c r="B395" s="10" t="inlineStr"/>
    </row>
    <row r="396">
      <c r="A396" s="7" t="n">
        <v>393</v>
      </c>
      <c r="B396" s="8" t="inlineStr">
        <is>
          <t xml:space="preserve">            # 构建卡片</t>
        </is>
      </c>
    </row>
    <row r="397">
      <c r="A397" s="9" t="n">
        <v>394</v>
      </c>
      <c r="B397" s="10" t="inlineStr">
        <is>
          <t xml:space="preserve">            cfg = {</t>
        </is>
      </c>
    </row>
    <row r="398">
      <c r="A398" s="7" t="n">
        <v>395</v>
      </c>
      <c r="B398" s="8" t="inlineStr">
        <is>
          <t xml:space="preserve">                "id": fid,</t>
        </is>
      </c>
    </row>
    <row r="399">
      <c r="A399" s="9" t="n">
        <v>396</v>
      </c>
      <c r="B399" s="10" t="inlineStr">
        <is>
          <t xml:space="preserve">                "idx": i,</t>
        </is>
      </c>
    </row>
    <row r="400">
      <c r="A400" s="7" t="n">
        <v>397</v>
      </c>
      <c r="B400" s="8" t="inlineStr">
        <is>
          <t xml:space="preserve">                "ts_sec": ts,</t>
        </is>
      </c>
    </row>
    <row r="401">
      <c r="A401" s="9" t="n">
        <v>398</v>
      </c>
      <c r="B401" s="10" t="inlineStr">
        <is>
          <t xml:space="preserve">                "ts_str": self._fmt_ts(ts),</t>
        </is>
      </c>
    </row>
    <row r="402">
      <c r="A402" s="7" t="n">
        <v>399</v>
      </c>
      <c r="B402" s="8" t="inlineStr">
        <is>
          <t xml:space="preserve">                "img_path": img_path,</t>
        </is>
      </c>
    </row>
    <row r="403">
      <c r="A403" s="9" t="n">
        <v>400</v>
      </c>
      <c r="B403" s="10" t="inlineStr">
        <is>
          <t xml:space="preserve">                "model_tags": model_tags,</t>
        </is>
      </c>
    </row>
    <row r="404">
      <c r="A404" s="7" t="n">
        <v>401</v>
      </c>
      <c r="B404" s="8" t="inlineStr">
        <is>
          <t xml:space="preserve">                "user_tags": user_tags,</t>
        </is>
      </c>
    </row>
    <row r="405">
      <c r="A405" s="9" t="n">
        <v>402</v>
      </c>
      <c r="B405" s="10" t="inlineStr">
        <is>
          <t xml:space="preserve">                "score": user_score,</t>
        </is>
      </c>
    </row>
    <row r="406">
      <c r="A406" s="7" t="n">
        <v>403</v>
      </c>
      <c r="B406" s="8" t="inlineStr">
        <is>
          <t xml:space="preserve">                "scene": scene,</t>
        </is>
      </c>
    </row>
    <row r="407">
      <c r="A407" s="9" t="n">
        <v>404</v>
      </c>
      <c r="B407" s="10" t="inlineStr">
        <is>
          <t xml:space="preserve">            }</t>
        </is>
      </c>
    </row>
    <row r="408">
      <c r="A408" s="7" t="n">
        <v>405</v>
      </c>
      <c r="B408" s="8" t="inlineStr">
        <is>
          <t xml:space="preserve">            col = i % cards_per_row</t>
        </is>
      </c>
    </row>
    <row r="409">
      <c r="A409" s="9" t="n">
        <v>406</v>
      </c>
      <c r="B409" s="10" t="inlineStr">
        <is>
          <t xml:space="preserve">            if col == 0 and i &gt; 0:</t>
        </is>
      </c>
    </row>
    <row r="410">
      <c r="A410" s="7" t="n">
        <v>407</v>
      </c>
      <c r="B410" s="8" t="inlineStr">
        <is>
          <t xml:space="preserve">                row_idx += 1</t>
        </is>
      </c>
    </row>
    <row r="411">
      <c r="A411" s="9" t="n">
        <v>408</v>
      </c>
      <c r="B411" s="10" t="inlineStr">
        <is>
          <t xml:space="preserve">            self._add_frame_card_from_db(cfg, col, row_idx)</t>
        </is>
      </c>
    </row>
    <row r="412">
      <c r="A412" s="7" t="n">
        <v>409</v>
      </c>
      <c r="B412" s="8" t="inlineStr"/>
    </row>
    <row r="413">
      <c r="A413" s="9" t="n">
        <v>410</v>
      </c>
      <c r="B413" s="10" t="inlineStr">
        <is>
          <t xml:space="preserve">        self._status_lbl.config(text=f"显示 {len(rows)} 帧 | 双击编辑, 勾选批量操作")</t>
        </is>
      </c>
    </row>
    <row r="414">
      <c r="A414" s="7" t="n">
        <v>411</v>
      </c>
      <c r="B414" s="8" t="inlineStr"/>
    </row>
    <row r="415">
      <c r="A415" s="9" t="n">
        <v>412</v>
      </c>
      <c r="B415" s="10" t="inlineStr">
        <is>
          <t xml:space="preserve">    def _add_frame_card_from_db(self, cfg: dict, col: int, row: int):</t>
        </is>
      </c>
    </row>
    <row r="416">
      <c r="A416" s="7" t="n">
        <v>413</v>
      </c>
      <c r="B416" s="8" t="inlineStr">
        <is>
          <t xml:space="preserve">        """根据数据库记录创建帧卡片"""</t>
        </is>
      </c>
    </row>
    <row r="417">
      <c r="A417" s="9" t="n">
        <v>414</v>
      </c>
      <c r="B417" s="10" t="inlineStr">
        <is>
          <t xml:space="preserve">        i = cfg["idx"]</t>
        </is>
      </c>
    </row>
    <row r="418">
      <c r="A418" s="7" t="n">
        <v>415</v>
      </c>
      <c r="B418" s="8" t="inlineStr">
        <is>
          <t xml:space="preserve">        img_path = cfg["img_path"]</t>
        </is>
      </c>
    </row>
    <row r="419">
      <c r="A419" s="9" t="n">
        <v>416</v>
      </c>
      <c r="B419" s="10" t="inlineStr">
        <is>
          <t xml:space="preserve">        card = tk.Frame(self._frame_inner, bg="#f1f8e9", bd=1, relief="solid",</t>
        </is>
      </c>
    </row>
    <row r="420">
      <c r="A420" s="7" t="n">
        <v>417</v>
      </c>
      <c r="B420" s="8" t="inlineStr">
        <is>
          <t xml:space="preserve">                       padx=6, pady=6)</t>
        </is>
      </c>
    </row>
    <row r="421">
      <c r="A421" s="9" t="n">
        <v>418</v>
      </c>
      <c r="B421" s="10" t="inlineStr">
        <is>
          <t xml:space="preserve">        card.grid(row=row, column=col, sticky="nsew", padx=3, pady=3)</t>
        </is>
      </c>
    </row>
    <row r="422">
      <c r="A422" s="7" t="n">
        <v>419</v>
      </c>
      <c r="B422" s="8" t="inlineStr"/>
    </row>
    <row r="423">
      <c r="A423" s="9" t="n">
        <v>420</v>
      </c>
      <c r="B423" s="10" t="inlineStr">
        <is>
          <t xml:space="preserve">        # 帧号 + 时间</t>
        </is>
      </c>
    </row>
    <row r="424">
      <c r="A424" s="7" t="n">
        <v>421</v>
      </c>
      <c r="B424" s="8" t="inlineStr">
        <is>
          <t xml:space="preserve">        tk.Label(card, text=f"#{i+1} {cfg['ts_str']}", bg="#f1f8e9",</t>
        </is>
      </c>
    </row>
    <row r="425">
      <c r="A425" s="9" t="n">
        <v>422</v>
      </c>
      <c r="B425" s="10" t="inlineStr">
        <is>
          <t xml:space="preserve">                fg="#2e7d32", font=("Consolas", 10, "bold")).pack(anchor="w")</t>
        </is>
      </c>
    </row>
    <row r="426">
      <c r="A426" s="7" t="n">
        <v>423</v>
      </c>
      <c r="B426" s="8" t="inlineStr"/>
    </row>
    <row r="427">
      <c r="A427" s="9" t="n">
        <v>424</v>
      </c>
      <c r="B427" s="10" t="inlineStr">
        <is>
          <t xml:space="preserve">        # 场景</t>
        </is>
      </c>
    </row>
    <row r="428">
      <c r="A428" s="7" t="n">
        <v>425</v>
      </c>
      <c r="B428" s="8" t="inlineStr">
        <is>
          <t xml:space="preserve">        if cfg.get("scene"):</t>
        </is>
      </c>
    </row>
    <row r="429">
      <c r="A429" s="9" t="n">
        <v>426</v>
      </c>
      <c r="B429" s="10" t="inlineStr">
        <is>
          <t xml:space="preserve">            tk.Label(card, text=cfg["scene"][:20], bg="#f1f8e9",</t>
        </is>
      </c>
    </row>
    <row r="430">
      <c r="A430" s="7" t="n">
        <v>427</v>
      </c>
      <c r="B430" s="8" t="inlineStr">
        <is>
          <t xml:space="preserve">                    fg="#888", font=("Microsoft YaHei", 8)).pack(anchor="w")</t>
        </is>
      </c>
    </row>
    <row r="431">
      <c r="A431" s="9" t="n">
        <v>428</v>
      </c>
      <c r="B431" s="10" t="inlineStr"/>
    </row>
    <row r="432">
      <c r="A432" s="7" t="n">
        <v>429</v>
      </c>
      <c r="B432" s="8" t="inlineStr">
        <is>
          <t xml:space="preserve">        # 缩略图 — 放大到 240x180</t>
        </is>
      </c>
    </row>
    <row r="433">
      <c r="A433" s="9" t="n">
        <v>430</v>
      </c>
      <c r="B433" s="10" t="inlineStr">
        <is>
          <t xml:space="preserve">        if HAS_PIL and img_path and os.path.exists(img_path):</t>
        </is>
      </c>
    </row>
    <row r="434">
      <c r="A434" s="7" t="n">
        <v>431</v>
      </c>
      <c r="B434" s="8" t="inlineStr">
        <is>
          <t xml:space="preserve">            try:</t>
        </is>
      </c>
    </row>
    <row r="435">
      <c r="A435" s="9" t="n">
        <v>432</v>
      </c>
      <c r="B435" s="10" t="inlineStr">
        <is>
          <t xml:space="preserve">                img = Image.open(img_path)</t>
        </is>
      </c>
    </row>
    <row r="436">
      <c r="A436" s="7" t="n">
        <v>433</v>
      </c>
      <c r="B436" s="8" t="inlineStr">
        <is>
          <t xml:space="preserve">                img.thumbnail((240, 180), Image.LANCZOS)</t>
        </is>
      </c>
    </row>
    <row r="437">
      <c r="A437" s="9" t="n">
        <v>434</v>
      </c>
      <c r="B437" s="10" t="inlineStr">
        <is>
          <t xml:space="preserve">                photo = ImageTk.PhotoImage(img)</t>
        </is>
      </c>
    </row>
    <row r="438">
      <c r="A438" s="7" t="n">
        <v>435</v>
      </c>
      <c r="B438" s="8" t="inlineStr">
        <is>
          <t xml:space="preserve">                lbl_img = tk.Label(card, image=photo, bg="#f1f8e9")</t>
        </is>
      </c>
    </row>
    <row r="439">
      <c r="A439" s="9" t="n">
        <v>436</v>
      </c>
      <c r="B439" s="10" t="inlineStr">
        <is>
          <t xml:space="preserve">                lbl_img.image = photo</t>
        </is>
      </c>
    </row>
    <row r="440">
      <c r="A440" s="7" t="n">
        <v>437</v>
      </c>
      <c r="B440" s="8" t="inlineStr">
        <is>
          <t xml:space="preserve">                lbl_img.pack(pady=3)</t>
        </is>
      </c>
    </row>
    <row r="441">
      <c r="A441" s="9" t="n">
        <v>438</v>
      </c>
      <c r="B441" s="10" t="inlineStr">
        <is>
          <t xml:space="preserve">            except Exception:</t>
        </is>
      </c>
    </row>
    <row r="442">
      <c r="A442" s="7" t="n">
        <v>439</v>
      </c>
      <c r="B442" s="8" t="inlineStr">
        <is>
          <t xml:space="preserve">                tk.Label(card, text="[图片加载失败]", bg="#f1f8e9", fg="#ccc",</t>
        </is>
      </c>
    </row>
    <row r="443">
      <c r="A443" s="9" t="n">
        <v>440</v>
      </c>
      <c r="B443" s="10" t="inlineStr">
        <is>
          <t xml:space="preserve">                        font=("Microsoft YaHei", 9)).pack(pady=4)</t>
        </is>
      </c>
    </row>
    <row r="444">
      <c r="A444" s="7" t="n">
        <v>441</v>
      </c>
      <c r="B444" s="8" t="inlineStr">
        <is>
          <t xml:space="preserve">        else:</t>
        </is>
      </c>
    </row>
    <row r="445">
      <c r="A445" s="9" t="n">
        <v>442</v>
      </c>
      <c r="B445" s="10" t="inlineStr">
        <is>
          <t xml:space="preserve">            tk.Label(card, text="[无图片]", bg="#f1f8e9", fg="#ccc",</t>
        </is>
      </c>
    </row>
    <row r="446">
      <c r="A446" s="7" t="n">
        <v>443</v>
      </c>
      <c r="B446" s="8" t="inlineStr">
        <is>
          <t xml:space="preserve">                    font=("Microsoft YaHei", 9)).pack(pady=4)</t>
        </is>
      </c>
    </row>
    <row r="447">
      <c r="A447" s="9" t="n">
        <v>444</v>
      </c>
      <c r="B447" s="10" t="inlineStr"/>
    </row>
    <row r="448">
      <c r="A448" s="7" t="n">
        <v>445</v>
      </c>
      <c r="B448" s="8" t="inlineStr">
        <is>
          <t xml:space="preserve">        # 模型标签摘要</t>
        </is>
      </c>
    </row>
    <row r="449">
      <c r="A449" s="9" t="n">
        <v>446</v>
      </c>
      <c r="B449" s="10" t="inlineStr">
        <is>
          <t xml:space="preserve">        parts = []</t>
        </is>
      </c>
    </row>
    <row r="450">
      <c r="A450" s="7" t="n">
        <v>447</v>
      </c>
      <c r="B450" s="8" t="inlineStr">
        <is>
          <t xml:space="preserve">        for model, tags in cfg.get("model_tags", {}).items():</t>
        </is>
      </c>
    </row>
    <row r="451">
      <c r="A451" s="9" t="n">
        <v>448</v>
      </c>
      <c r="B451" s="10" t="inlineStr">
        <is>
          <t xml:space="preserve">            if isinstance(tags, list):</t>
        </is>
      </c>
    </row>
    <row r="452">
      <c r="A452" s="7" t="n">
        <v>449</v>
      </c>
      <c r="B452" s="8" t="inlineStr">
        <is>
          <t xml:space="preserve">                parts.append(f"{model}: {', '.join(tags[:3])}")</t>
        </is>
      </c>
    </row>
    <row r="453">
      <c r="A453" s="9" t="n">
        <v>450</v>
      </c>
      <c r="B453" s="10" t="inlineStr">
        <is>
          <t xml:space="preserve">            else:</t>
        </is>
      </c>
    </row>
    <row r="454">
      <c r="A454" s="7" t="n">
        <v>451</v>
      </c>
      <c r="B454" s="8" t="inlineStr">
        <is>
          <t xml:space="preserve">                parts.append(f"{model}: {tags}")</t>
        </is>
      </c>
    </row>
    <row r="455">
      <c r="A455" s="9" t="n">
        <v>452</v>
      </c>
      <c r="B455" s="10" t="inlineStr">
        <is>
          <t xml:space="preserve">        tag_str = "\n".join(parts) if parts else "[AI] 无标签"</t>
        </is>
      </c>
    </row>
    <row r="456">
      <c r="A456" s="7" t="n">
        <v>453</v>
      </c>
      <c r="B456" s="8" t="inlineStr">
        <is>
          <t xml:space="preserve">        tag_text = tk.StringVar(value=tag_str)</t>
        </is>
      </c>
    </row>
    <row r="457">
      <c r="A457" s="9" t="n">
        <v>454</v>
      </c>
      <c r="B457" s="10" t="inlineStr">
        <is>
          <t xml:space="preserve">        tk.Label(card, textvariable=tag_text, bg="#f1f8e9", fg="#4a7c4f",</t>
        </is>
      </c>
    </row>
    <row r="458">
      <c r="A458" s="7" t="n">
        <v>455</v>
      </c>
      <c r="B458" s="8" t="inlineStr">
        <is>
          <t xml:space="preserve">                font=("Microsoft YaHei", 9), wraplength=250, justify="left",</t>
        </is>
      </c>
    </row>
    <row r="459">
      <c r="A459" s="9" t="n">
        <v>456</v>
      </c>
      <c r="B459" s="10" t="inlineStr">
        <is>
          <t xml:space="preserve">                anchor="w").pack(anchor="w", fill="x", pady=1)</t>
        </is>
      </c>
    </row>
    <row r="460">
      <c r="A460" s="7" t="n">
        <v>457</v>
      </c>
      <c r="B460" s="8" t="inlineStr"/>
    </row>
    <row r="461">
      <c r="A461" s="9" t="n">
        <v>458</v>
      </c>
      <c r="B461" s="10" t="inlineStr">
        <is>
          <t xml:space="preserve">        # 用户标签编辑</t>
        </is>
      </c>
    </row>
    <row r="462">
      <c r="A462" s="7" t="n">
        <v>459</v>
      </c>
      <c r="B462" s="8" t="inlineStr">
        <is>
          <t xml:space="preserve">        ut = cfg.get("user_tags", "") or ""</t>
        </is>
      </c>
    </row>
    <row r="463">
      <c r="A463" s="9" t="n">
        <v>460</v>
      </c>
      <c r="B463" s="10" t="inlineStr">
        <is>
          <t xml:space="preserve">        tv = tk.StringVar(value=ut)</t>
        </is>
      </c>
    </row>
    <row r="464">
      <c r="A464" s="7" t="n">
        <v>461</v>
      </c>
      <c r="B464" s="8" t="inlineStr">
        <is>
          <t xml:space="preserve">        tk.Entry(card, textvariable=tv, bg="#ffffff", fg="#1b5e20",</t>
        </is>
      </c>
    </row>
    <row r="465">
      <c r="A465" s="9" t="n">
        <v>462</v>
      </c>
      <c r="B465" s="10" t="inlineStr">
        <is>
          <t xml:space="preserve">                font=("Microsoft YaHei", 9), relief="solid").pack(fill="x", pady=2)</t>
        </is>
      </c>
    </row>
    <row r="466">
      <c r="A466" s="7" t="n">
        <v>463</v>
      </c>
      <c r="B466" s="8" t="inlineStr"/>
    </row>
    <row r="467">
      <c r="A467" s="9" t="n">
        <v>464</v>
      </c>
      <c r="B467" s="10" t="inlineStr">
        <is>
          <t xml:space="preserve">        # 评分（仅在拖动释放时写入DB，避免每像素都触发写入）</t>
        </is>
      </c>
    </row>
    <row r="468">
      <c r="A468" s="7" t="n">
        <v>465</v>
      </c>
      <c r="B468" s="8" t="inlineStr">
        <is>
          <t xml:space="preserve">        sf = tk.Frame(card, bg="#f1f8e9"); sf.pack(fill="x", pady=1)</t>
        </is>
      </c>
    </row>
    <row r="469">
      <c r="A469" s="9" t="n">
        <v>466</v>
      </c>
      <c r="B469" s="10" t="inlineStr">
        <is>
          <t xml:space="preserve">        sv = tk.IntVar(value=cfg.get("score", 3))</t>
        </is>
      </c>
    </row>
    <row r="470">
      <c r="A470" s="7" t="n">
        <v>467</v>
      </c>
      <c r="B470" s="8" t="inlineStr">
        <is>
          <t xml:space="preserve">        _scale = tk.Scale(sf, from_=1, to=5, variable=sv, orient="horizontal", length=90,</t>
        </is>
      </c>
    </row>
    <row r="471">
      <c r="A471" s="9" t="n">
        <v>468</v>
      </c>
      <c r="B471" s="10" t="inlineStr">
        <is>
          <t xml:space="preserve">                bg="#f1f8e9", fg="#1b5e20", troughcolor="#c8e6c9")</t>
        </is>
      </c>
    </row>
    <row r="472">
      <c r="A472" s="7" t="n">
        <v>469</v>
      </c>
      <c r="B472" s="8" t="inlineStr">
        <is>
          <t xml:space="preserve">        _scale.bind("&lt;ButtonRelease-1&gt;", lambda e, fid=cfg["id"], sv=sv: self._on_db_score(fid, sv.get()))</t>
        </is>
      </c>
    </row>
    <row r="473">
      <c r="A473" s="9" t="n">
        <v>470</v>
      </c>
      <c r="B473" s="10" t="inlineStr">
        <is>
          <t xml:space="preserve">        _scale.pack(side="left")</t>
        </is>
      </c>
    </row>
    <row r="474">
      <c r="A474" s="7" t="n">
        <v>471</v>
      </c>
      <c r="B474" s="8" t="inlineStr">
        <is>
          <t xml:space="preserve">        tk.Label(sf, text=f"{sv.get()} STAR", bg="#f1f8e9", fg="#ffb74d",</t>
        </is>
      </c>
    </row>
    <row r="475">
      <c r="A475" s="9" t="n">
        <v>472</v>
      </c>
      <c r="B475" s="10" t="inlineStr">
        <is>
          <t xml:space="preserve">                font=("Microsoft YaHei", 9)).pack(side="left", padx=4)</t>
        </is>
      </c>
    </row>
    <row r="476">
      <c r="A476" s="7" t="n">
        <v>473</v>
      </c>
      <c r="B476" s="8" t="inlineStr"/>
    </row>
    <row r="477">
      <c r="A477" s="9" t="n">
        <v>474</v>
      </c>
      <c r="B477" s="10" t="inlineStr">
        <is>
          <t xml:space="preserve">        # 选择框 + 保存按钮</t>
        </is>
      </c>
    </row>
    <row r="478">
      <c r="A478" s="7" t="n">
        <v>475</v>
      </c>
      <c r="B478" s="8" t="inlineStr">
        <is>
          <t xml:space="preserve">        sel_var = tk.BooleanVar(value=False)</t>
        </is>
      </c>
    </row>
    <row r="479">
      <c r="A479" s="9" t="n">
        <v>476</v>
      </c>
      <c r="B479" s="10" t="inlineStr">
        <is>
          <t xml:space="preserve">        tk.Checkbutton(card, text="选", variable=sel_var, bg="#f1f8e9",</t>
        </is>
      </c>
    </row>
    <row r="480">
      <c r="A480" s="7" t="n">
        <v>477</v>
      </c>
      <c r="B480" s="8" t="inlineStr">
        <is>
          <t xml:space="preserve">                      fg="#1b5e20", selectcolor="#c8e6c9",</t>
        </is>
      </c>
    </row>
    <row r="481">
      <c r="A481" s="9" t="n">
        <v>478</v>
      </c>
      <c r="B481" s="10" t="inlineStr">
        <is>
          <t xml:space="preserve">                      font=("Microsoft YaHei", 9)).pack(anchor="w")</t>
        </is>
      </c>
    </row>
    <row r="482">
      <c r="A482" s="7" t="n">
        <v>479</v>
      </c>
      <c r="B482" s="8" t="inlineStr"/>
    </row>
    <row r="483">
      <c r="A483" s="9" t="n">
        <v>480</v>
      </c>
      <c r="B483" s="10" t="inlineStr">
        <is>
          <t xml:space="preserve">        RoundedButton(card, text="保存修改", height=26,</t>
        </is>
      </c>
    </row>
    <row r="484">
      <c r="A484" s="7" t="n">
        <v>481</v>
      </c>
      <c r="B484" s="8" t="inlineStr">
        <is>
          <t xml:space="preserve">                     bg_color="#0d6efd", fg_color="#ffffff",</t>
        </is>
      </c>
    </row>
    <row r="485">
      <c r="A485" s="9" t="n">
        <v>482</v>
      </c>
      <c r="B485" s="10" t="inlineStr">
        <is>
          <t xml:space="preserve">                     hover_color="#0b5ed7", radius=6,</t>
        </is>
      </c>
    </row>
    <row r="486">
      <c r="A486" s="7" t="n">
        <v>483</v>
      </c>
      <c r="B486" s="8" t="inlineStr">
        <is>
          <t xml:space="preserve">                     command=lambda fid=cfg["id"], tvar=tv, svar=sv:</t>
        </is>
      </c>
    </row>
    <row r="487">
      <c r="A487" s="9" t="n">
        <v>484</v>
      </c>
      <c r="B487" s="10" t="inlineStr">
        <is>
          <t xml:space="preserve">                         self._save_db_frame(fid, svar.get(), tvar.get())</t>
        </is>
      </c>
    </row>
    <row r="488">
      <c r="A488" s="7" t="n">
        <v>485</v>
      </c>
      <c r="B488" s="8" t="inlineStr">
        <is>
          <t xml:space="preserve">                     ).pack(pady=(4, 0))</t>
        </is>
      </c>
    </row>
    <row r="489">
      <c r="A489" s="9" t="n">
        <v>486</v>
      </c>
      <c r="B489" s="10" t="inlineStr"/>
    </row>
    <row r="490">
      <c r="A490" s="7" t="n">
        <v>487</v>
      </c>
      <c r="B490" s="8" t="inlineStr">
        <is>
          <t xml:space="preserve">        fw = {</t>
        </is>
      </c>
    </row>
    <row r="491">
      <c r="A491" s="9" t="n">
        <v>488</v>
      </c>
      <c r="B491" s="10" t="inlineStr">
        <is>
          <t xml:space="preserve">            "id": cfg["id"], "tag_text": tag_text, "tv": tv,</t>
        </is>
      </c>
    </row>
    <row r="492">
      <c r="A492" s="7" t="n">
        <v>489</v>
      </c>
      <c r="B492" s="8" t="inlineStr">
        <is>
          <t xml:space="preserve">            "sv": sv, "sel": sel_var, "card": card, "from_db": True</t>
        </is>
      </c>
    </row>
    <row r="493">
      <c r="A493" s="9" t="n">
        <v>490</v>
      </c>
      <c r="B493" s="10" t="inlineStr">
        <is>
          <t xml:space="preserve">        }</t>
        </is>
      </c>
    </row>
    <row r="494">
      <c r="A494" s="7" t="n">
        <v>491</v>
      </c>
      <c r="B494" s="8" t="inlineStr">
        <is>
          <t xml:space="preserve">        self._fw.append(fw)</t>
        </is>
      </c>
    </row>
    <row r="495">
      <c r="A495" s="9" t="n">
        <v>492</v>
      </c>
      <c r="B495" s="10" t="inlineStr">
        <is>
          <t xml:space="preserve">        self._frame_idx_map[i] = fw</t>
        </is>
      </c>
    </row>
    <row r="496">
      <c r="A496" s="7" t="n">
        <v>493</v>
      </c>
      <c r="B496" s="8" t="inlineStr"/>
    </row>
    <row r="497">
      <c r="A497" s="9" t="n">
        <v>494</v>
      </c>
      <c r="B497" s="10" t="inlineStr">
        <is>
          <t xml:space="preserve">    def _on_db_score(self, frame_id: int, score: int):</t>
        </is>
      </c>
    </row>
    <row r="498">
      <c r="A498" s="7" t="n">
        <v>495</v>
      </c>
      <c r="B498" s="8" t="inlineStr">
        <is>
          <t xml:space="preserve">        try:</t>
        </is>
      </c>
    </row>
    <row r="499">
      <c r="A499" s="9" t="n">
        <v>496</v>
      </c>
      <c r="B499" s="10" t="inlineStr">
        <is>
          <t xml:space="preserve">            from core.database import db</t>
        </is>
      </c>
    </row>
    <row r="500">
      <c r="A500" s="7" t="n">
        <v>497</v>
      </c>
      <c r="B500" s="8" t="inlineStr">
        <is>
          <t xml:space="preserve">            db.update_frame_score(frame_id, score)</t>
        </is>
      </c>
    </row>
    <row r="501">
      <c r="A501" s="9" t="n">
        <v>498</v>
      </c>
      <c r="B501" s="10" t="inlineStr">
        <is>
          <t xml:space="preserve">        except Exception:</t>
        </is>
      </c>
    </row>
    <row r="502">
      <c r="A502" s="7" t="n">
        <v>499</v>
      </c>
      <c r="B502" s="8" t="inlineStr">
        <is>
          <t xml:space="preserve">            pass</t>
        </is>
      </c>
    </row>
    <row r="503">
      <c r="A503" s="9" t="n">
        <v>500</v>
      </c>
      <c r="B503" s="10" t="inlineStr"/>
    </row>
    <row r="504">
      <c r="A504" s="7" t="n">
        <v>501</v>
      </c>
      <c r="B504" s="8" t="inlineStr">
        <is>
          <t xml:space="preserve">    def _save_db_frame(self, frame_id: int, score: int, user_tags: str):</t>
        </is>
      </c>
    </row>
    <row r="505">
      <c r="A505" s="9" t="n">
        <v>502</v>
      </c>
      <c r="B505" s="10" t="inlineStr">
        <is>
          <t xml:space="preserve">        try:</t>
        </is>
      </c>
    </row>
    <row r="506">
      <c r="A506" s="7" t="n">
        <v>503</v>
      </c>
      <c r="B506" s="8" t="inlineStr">
        <is>
          <t xml:space="preserve">            from core.database import db</t>
        </is>
      </c>
    </row>
    <row r="507">
      <c r="A507" s="9" t="n">
        <v>504</v>
      </c>
      <c r="B507" s="10" t="inlineStr">
        <is>
          <t xml:space="preserve">            db.update_frame_score(frame_id, score)</t>
        </is>
      </c>
    </row>
    <row r="508">
      <c r="A508" s="7" t="n">
        <v>505</v>
      </c>
      <c r="B508" s="8" t="inlineStr">
        <is>
          <t xml:space="preserve">            db.update_frame_tags(frame_id, user_tags)</t>
        </is>
      </c>
    </row>
    <row r="509">
      <c r="A509" s="9" t="n">
        <v>506</v>
      </c>
      <c r="B509" s="10" t="inlineStr">
        <is>
          <t xml:space="preserve">            # v11.6: 同步更新脚本偏好(如果当前视频有脚本哈希)</t>
        </is>
      </c>
    </row>
    <row r="510">
      <c r="A510" s="7" t="n">
        <v>507</v>
      </c>
      <c r="B510" s="8" t="inlineStr">
        <is>
          <t xml:space="preserve">            if self._current_video:</t>
        </is>
      </c>
    </row>
    <row r="511">
      <c r="A511" s="9" t="n">
        <v>508</v>
      </c>
      <c r="B511" s="10" t="inlineStr">
        <is>
          <t xml:space="preserve">                shash = make_script_hash(Path(self._current_video).name)</t>
        </is>
      </c>
    </row>
    <row r="512">
      <c r="A512" s="7" t="n">
        <v>509</v>
      </c>
      <c r="B512" s="8" t="inlineStr">
        <is>
          <t xml:space="preserve">                db.update_script_preference(shash, self._current_video, score)</t>
        </is>
      </c>
    </row>
    <row r="513">
      <c r="A513" s="9" t="n">
        <v>510</v>
      </c>
      <c r="B513" s="10" t="inlineStr">
        <is>
          <t xml:space="preserve">            self._fb_lbl.config(text=f"[OK] 帧#{frame_id} 已保存", foreground="#43a047")</t>
        </is>
      </c>
    </row>
    <row r="514">
      <c r="A514" s="7" t="n">
        <v>511</v>
      </c>
      <c r="B514" s="8" t="inlineStr">
        <is>
          <t xml:space="preserve">            self._refresh_stats()</t>
        </is>
      </c>
    </row>
    <row r="515">
      <c r="A515" s="9" t="n">
        <v>512</v>
      </c>
      <c r="B515" s="10" t="inlineStr">
        <is>
          <t xml:space="preserve">        except Exception as e:</t>
        </is>
      </c>
    </row>
    <row r="516">
      <c r="A516" s="7" t="n">
        <v>513</v>
      </c>
      <c r="B516" s="8" t="inlineStr">
        <is>
          <t xml:space="preserve">            self._fb_lbl.config(text=f"保存失败: {e}", foreground="#e53935")</t>
        </is>
      </c>
    </row>
    <row r="517">
      <c r="A517" s="9" t="n">
        <v>514</v>
      </c>
      <c r="B517" s="10" t="inlineStr"/>
    </row>
    <row r="518">
      <c r="A518" s="7" t="n">
        <v>515</v>
      </c>
      <c r="B518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519">
      <c r="A519" s="9" t="n">
        <v>516</v>
      </c>
      <c r="B519" s="10" t="inlineStr">
        <is>
          <t xml:space="preserve">    # 全帧识别 — 单视频</t>
        </is>
      </c>
    </row>
    <row r="520">
      <c r="A520" s="7" t="n">
        <v>517</v>
      </c>
      <c r="B520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521">
      <c r="A521" s="9" t="n">
        <v>518</v>
      </c>
      <c r="B521" s="10" t="inlineStr">
        <is>
          <t xml:space="preserve">    def _recognize_current(self):</t>
        </is>
      </c>
    </row>
    <row r="522">
      <c r="A522" s="7" t="n">
        <v>519</v>
      </c>
      <c r="B522" s="8" t="inlineStr">
        <is>
          <t xml:space="preserve">        """识别当前选中的视频"""</t>
        </is>
      </c>
    </row>
    <row r="523">
      <c r="A523" s="9" t="n">
        <v>520</v>
      </c>
      <c r="B523" s="10" t="inlineStr">
        <is>
          <t xml:space="preserve">        if not self._current_video or not os.path.exists(self._current_video):</t>
        </is>
      </c>
    </row>
    <row r="524">
      <c r="A524" s="7" t="n">
        <v>521</v>
      </c>
      <c r="B524" s="8" t="inlineStr">
        <is>
          <t xml:space="preserve">            messagebox.showinfo("提示",</t>
        </is>
      </c>
    </row>
    <row r="525">
      <c r="A525" s="9" t="n">
        <v>522</v>
      </c>
      <c r="B525" s="10" t="inlineStr">
        <is>
          <t xml:space="preserve">                "请先在左侧选择视频:\n1. 点击文件夹加载视频列表\n2. 点击一个视频文件\n3. 再点击「启动全帧识别」")</t>
        </is>
      </c>
    </row>
    <row r="526">
      <c r="A526" s="7" t="n">
        <v>523</v>
      </c>
      <c r="B526" s="8" t="inlineStr">
        <is>
          <t xml:space="preserve">            return</t>
        </is>
      </c>
    </row>
    <row r="527">
      <c r="A527" s="9" t="n">
        <v>524</v>
      </c>
      <c r="B527" s="10" t="inlineStr">
        <is>
          <t xml:space="preserve">        if self._analyzing:</t>
        </is>
      </c>
    </row>
    <row r="528">
      <c r="A528" s="7" t="n">
        <v>525</v>
      </c>
      <c r="B528" s="8" t="inlineStr">
        <is>
          <t xml:space="preserve">            messagebox.showinfo("提示", "识别进行中，请等待或点击取消")</t>
        </is>
      </c>
    </row>
    <row r="529">
      <c r="A529" s="9" t="n">
        <v>526</v>
      </c>
      <c r="B529" s="10" t="inlineStr">
        <is>
          <t xml:space="preserve">            return</t>
        </is>
      </c>
    </row>
    <row r="530">
      <c r="A530" s="7" t="n">
        <v>527</v>
      </c>
      <c r="B530" s="8" t="inlineStr">
        <is>
          <t xml:space="preserve">        self._analyzing = True</t>
        </is>
      </c>
    </row>
    <row r="531">
      <c r="A531" s="9" t="n">
        <v>528</v>
      </c>
      <c r="B531" s="10" t="inlineStr">
        <is>
          <t xml:space="preserve">        self._batch_running = False</t>
        </is>
      </c>
    </row>
    <row r="532">
      <c r="A532" s="7" t="n">
        <v>529</v>
      </c>
      <c r="B532" s="8" t="inlineStr">
        <is>
          <t xml:space="preserve">        self._status_lbl.config(text="初始化...")</t>
        </is>
      </c>
    </row>
    <row r="533">
      <c r="A533" s="9" t="n">
        <v>530</v>
      </c>
      <c r="B533" s="10" t="inlineStr">
        <is>
          <t xml:space="preserve">        self._progress["value"] = 0; self._pg_lbl.config(text="")</t>
        </is>
      </c>
    </row>
    <row r="534">
      <c r="A534" s="7" t="n">
        <v>531</v>
      </c>
      <c r="B534" s="8" t="inlineStr">
        <is>
          <t xml:space="preserve">        self._clear_frames()</t>
        </is>
      </c>
    </row>
    <row r="535">
      <c r="A535" s="9" t="n">
        <v>532</v>
      </c>
      <c r="B535" s="10" t="inlineStr"/>
    </row>
    <row r="536">
      <c r="A536" s="7" t="n">
        <v>533</v>
      </c>
      <c r="B536" s="8" t="inlineStr">
        <is>
          <t xml:space="preserve">        from core.frame_annotator import FrameAnnotator</t>
        </is>
      </c>
    </row>
    <row r="537">
      <c r="A537" s="9" t="n">
        <v>534</v>
      </c>
      <c r="B537" s="10" t="inlineStr"/>
    </row>
    <row r="538">
      <c r="A538" s="7" t="n">
        <v>535</v>
      </c>
      <c r="B538" s="8" t="inlineStr">
        <is>
          <t xml:space="preserve">        def _pg(msg, pct):</t>
        </is>
      </c>
    </row>
    <row r="539">
      <c r="A539" s="9" t="n">
        <v>536</v>
      </c>
      <c r="B539" s="10" t="inlineStr">
        <is>
          <t xml:space="preserve">            self.app.root.after(0, lambda: (</t>
        </is>
      </c>
    </row>
    <row r="540">
      <c r="A540" s="7" t="n">
        <v>537</v>
      </c>
      <c r="B540" s="8" t="inlineStr">
        <is>
          <t xml:space="preserve">                self._status_lbl.config(text=msg),</t>
        </is>
      </c>
    </row>
    <row r="541">
      <c r="A541" s="9" t="n">
        <v>538</v>
      </c>
      <c r="B541" s="10" t="inlineStr">
        <is>
          <t xml:space="preserve">                self._progress.configure(value=int(pct * 100)),</t>
        </is>
      </c>
    </row>
    <row r="542">
      <c r="A542" s="7" t="n">
        <v>539</v>
      </c>
      <c r="B542" s="8" t="inlineStr">
        <is>
          <t xml:space="preserve">                self._pg_lbl.config(text=f"{int(pct * 100)}%")</t>
        </is>
      </c>
    </row>
    <row r="543">
      <c r="A543" s="9" t="n">
        <v>540</v>
      </c>
      <c r="B543" s="10" t="inlineStr">
        <is>
          <t xml:space="preserve">            ))</t>
        </is>
      </c>
    </row>
    <row r="544">
      <c r="A544" s="7" t="n">
        <v>541</v>
      </c>
      <c r="B544" s="8" t="inlineStr"/>
    </row>
    <row r="545">
      <c r="A545" s="9" t="n">
        <v>542</v>
      </c>
      <c r="B545" s="10" t="inlineStr">
        <is>
          <t xml:space="preserve">        def _frame_ready(ann):</t>
        </is>
      </c>
    </row>
    <row r="546">
      <c r="A546" s="7" t="n">
        <v>543</v>
      </c>
      <c r="B546" s="8" t="inlineStr">
        <is>
          <t xml:space="preserve">            self.app.root.after(0, lambda a=ann: self._add_frame_card(a))</t>
        </is>
      </c>
    </row>
    <row r="547">
      <c r="A547" s="9" t="n">
        <v>544</v>
      </c>
      <c r="B547" s="10" t="inlineStr"/>
    </row>
    <row r="548">
      <c r="A548" s="7" t="n">
        <v>545</v>
      </c>
      <c r="B548" s="8" t="inlineStr">
        <is>
          <t xml:space="preserve">        def _tag_ready(idx, model_tags, user_tags):</t>
        </is>
      </c>
    </row>
    <row r="549">
      <c r="A549" s="9" t="n">
        <v>546</v>
      </c>
      <c r="B549" s="10" t="inlineStr">
        <is>
          <t xml:space="preserve">            self.app.root.after(0, lambda: self._update_frame_tags(idx, model_tags, user_tags))</t>
        </is>
      </c>
    </row>
    <row r="550">
      <c r="A550" s="7" t="n">
        <v>547</v>
      </c>
      <c r="B550" s="8" t="inlineStr"/>
    </row>
    <row r="551">
      <c r="A551" s="9" t="n">
        <v>548</v>
      </c>
      <c r="B551" s="10" t="inlineStr">
        <is>
          <t xml:space="preserve">        self._annotator = FrameAnnotator(</t>
        </is>
      </c>
    </row>
    <row r="552">
      <c r="A552" s="7" t="n">
        <v>549</v>
      </c>
      <c r="B552" s="8" t="inlineStr">
        <is>
          <t xml:space="preserve">            progress_callback=_pg,</t>
        </is>
      </c>
    </row>
    <row r="553">
      <c r="A553" s="9" t="n">
        <v>550</v>
      </c>
      <c r="B553" s="10" t="inlineStr">
        <is>
          <t xml:space="preserve">            frame_ready_callback=_frame_ready,</t>
        </is>
      </c>
    </row>
    <row r="554">
      <c r="A554" s="7" t="n">
        <v>551</v>
      </c>
      <c r="B554" s="8" t="inlineStr">
        <is>
          <t xml:space="preserve">            tag_ready_callback=_tag_ready</t>
        </is>
      </c>
    </row>
    <row r="555">
      <c r="A555" s="9" t="n">
        <v>552</v>
      </c>
      <c r="B555" s="10" t="inlineStr">
        <is>
          <t xml:space="preserve">        )</t>
        </is>
      </c>
    </row>
    <row r="556">
      <c r="A556" s="7" t="n">
        <v>553</v>
      </c>
      <c r="B556" s="8" t="inlineStr"/>
    </row>
    <row r="557">
      <c r="A557" s="9" t="n">
        <v>554</v>
      </c>
      <c r="B557" s="10" t="inlineStr">
        <is>
          <t xml:space="preserve">        def _run():</t>
        </is>
      </c>
    </row>
    <row r="558">
      <c r="A558" s="7" t="n">
        <v>555</v>
      </c>
      <c r="B558" s="8" t="inlineStr">
        <is>
          <t xml:space="preserve">            n = self._annotator.extract_frames(self._current_video)</t>
        </is>
      </c>
    </row>
    <row r="559">
      <c r="A559" s="9" t="n">
        <v>556</v>
      </c>
      <c r="B559" s="10" t="inlineStr">
        <is>
          <t xml:space="preserve">            if n == 0:</t>
        </is>
      </c>
    </row>
    <row r="560">
      <c r="A560" s="7" t="n">
        <v>557</v>
      </c>
      <c r="B560" s="8" t="inlineStr">
        <is>
          <t xml:space="preserve">                self.app.root.after(0, lambda: self._status_lbl.config(text="无帧"))</t>
        </is>
      </c>
    </row>
    <row r="561">
      <c r="A561" s="9" t="n">
        <v>558</v>
      </c>
      <c r="B561" s="10" t="inlineStr">
        <is>
          <t xml:space="preserve">                self._analyzing = False</t>
        </is>
      </c>
    </row>
    <row r="562">
      <c r="A562" s="7" t="n">
        <v>559</v>
      </c>
      <c r="B562" s="8" t="inlineStr">
        <is>
          <t xml:space="preserve">                return</t>
        </is>
      </c>
    </row>
    <row r="563">
      <c r="A563" s="9" t="n">
        <v>560</v>
      </c>
      <c r="B563" s="10" t="inlineStr">
        <is>
          <t xml:space="preserve">            self._annotator.init_models()</t>
        </is>
      </c>
    </row>
    <row r="564">
      <c r="A564" s="7" t="n">
        <v>561</v>
      </c>
      <c r="B564" s="8" t="inlineStr">
        <is>
          <t xml:space="preserve">            self._annotator.run_models_streaming(max_workers=2)</t>
        </is>
      </c>
    </row>
    <row r="565">
      <c r="A565" s="9" t="n">
        <v>562</v>
      </c>
      <c r="B565" s="10" t="inlineStr">
        <is>
          <t xml:space="preserve">            self.app.root.after(0, self._on_done)</t>
        </is>
      </c>
    </row>
    <row r="566">
      <c r="A566" s="7" t="n">
        <v>563</v>
      </c>
      <c r="B566" s="8" t="inlineStr"/>
    </row>
    <row r="567">
      <c r="A567" s="9" t="n">
        <v>564</v>
      </c>
      <c r="B567" s="10" t="inlineStr">
        <is>
          <t xml:space="preserve">        threading.Thread(target=_run, daemon=True).start()</t>
        </is>
      </c>
    </row>
    <row r="568">
      <c r="A568" s="7" t="n">
        <v>565</v>
      </c>
      <c r="B568" s="8" t="inlineStr"/>
    </row>
    <row r="569">
      <c r="A569" s="9" t="n">
        <v>566</v>
      </c>
      <c r="B569" s="10" t="inlineStr">
        <is>
          <t xml:space="preserve">    def _add_frame_card(self, ann):</t>
        </is>
      </c>
    </row>
    <row r="570">
      <c r="A570" s="7" t="n">
        <v>567</v>
      </c>
      <c r="B570" s="8" t="inlineStr">
        <is>
          <t xml:space="preserve">        """添加单帧卡片 — 放大版 (240x180)"""</t>
        </is>
      </c>
    </row>
    <row r="571">
      <c r="A571" s="9" t="n">
        <v>568</v>
      </c>
      <c r="B571" s="10" t="inlineStr">
        <is>
          <t xml:space="preserve">        i = ann.frame_index</t>
        </is>
      </c>
    </row>
    <row r="572">
      <c r="A572" s="7" t="n">
        <v>569</v>
      </c>
      <c r="B572" s="8" t="inlineStr">
        <is>
          <t xml:space="preserve">        card = tk.Frame(self._frame_inner, bg="#f1f8e9", bd=1, relief="solid",</t>
        </is>
      </c>
    </row>
    <row r="573">
      <c r="A573" s="9" t="n">
        <v>570</v>
      </c>
      <c r="B573" s="10" t="inlineStr">
        <is>
          <t xml:space="preserve">                       padx=6, pady=6)</t>
        </is>
      </c>
    </row>
    <row r="574">
      <c r="A574" s="7" t="n">
        <v>571</v>
      </c>
      <c r="B574" s="8" t="inlineStr">
        <is>
          <t xml:space="preserve">        col = i % 3  # 每行3个卡片</t>
        </is>
      </c>
    </row>
    <row r="575">
      <c r="A575" s="9" t="n">
        <v>572</v>
      </c>
      <c r="B575" s="10" t="inlineStr">
        <is>
          <t xml:space="preserve">        row = i // 3</t>
        </is>
      </c>
    </row>
    <row r="576">
      <c r="A576" s="7" t="n">
        <v>573</v>
      </c>
      <c r="B576" s="8" t="inlineStr">
        <is>
          <t xml:space="preserve">        card.grid(row=row, column=col, sticky="nsew", padx=3, pady=3)</t>
        </is>
      </c>
    </row>
    <row r="577">
      <c r="A577" s="9" t="n">
        <v>574</v>
      </c>
      <c r="B577" s="10" t="inlineStr"/>
    </row>
    <row r="578">
      <c r="A578" s="7" t="n">
        <v>575</v>
      </c>
      <c r="B578" s="8" t="inlineStr">
        <is>
          <t xml:space="preserve">        # 帧号 + 时间戳</t>
        </is>
      </c>
    </row>
    <row r="579">
      <c r="A579" s="9" t="n">
        <v>576</v>
      </c>
      <c r="B579" s="10" t="inlineStr">
        <is>
          <t xml:space="preserve">        tk.Label(card, text=f"#{i} {ann.timestamp_str}", bg="#f1f8e9",</t>
        </is>
      </c>
    </row>
    <row r="580">
      <c r="A580" s="7" t="n">
        <v>577</v>
      </c>
      <c r="B580" s="8" t="inlineStr">
        <is>
          <t xml:space="preserve">                fg="#2e7d32", font=("Consolas", 10, "bold")).pack(anchor="w")</t>
        </is>
      </c>
    </row>
    <row r="581">
      <c r="A581" s="9" t="n">
        <v>578</v>
      </c>
      <c r="B581" s="10" t="inlineStr"/>
    </row>
    <row r="582">
      <c r="A582" s="7" t="n">
        <v>579</v>
      </c>
      <c r="B582" s="8" t="inlineStr">
        <is>
          <t xml:space="preserve">        # 缩略图 — 240x180</t>
        </is>
      </c>
    </row>
    <row r="583">
      <c r="A583" s="9" t="n">
        <v>580</v>
      </c>
      <c r="B583" s="10" t="inlineStr">
        <is>
          <t xml:space="preserve">        if HAS_PIL and ann.frame_path and os.path.exists(ann.frame_path):</t>
        </is>
      </c>
    </row>
    <row r="584">
      <c r="A584" s="7" t="n">
        <v>581</v>
      </c>
      <c r="B584" s="8" t="inlineStr">
        <is>
          <t xml:space="preserve">            try:</t>
        </is>
      </c>
    </row>
    <row r="585">
      <c r="A585" s="9" t="n">
        <v>582</v>
      </c>
      <c r="B585" s="10" t="inlineStr">
        <is>
          <t xml:space="preserve">                img = Image.open(ann.frame_path)</t>
        </is>
      </c>
    </row>
    <row r="586">
      <c r="A586" s="7" t="n">
        <v>583</v>
      </c>
      <c r="B586" s="8" t="inlineStr">
        <is>
          <t xml:space="preserve">                img.thumbnail((240, 180), Image.LANCZOS)</t>
        </is>
      </c>
    </row>
    <row r="587">
      <c r="A587" s="9" t="n">
        <v>584</v>
      </c>
      <c r="B587" s="10" t="inlineStr">
        <is>
          <t xml:space="preserve">                photo = ImageTk.PhotoImage(img)</t>
        </is>
      </c>
    </row>
    <row r="588">
      <c r="A588" s="7" t="n">
        <v>585</v>
      </c>
      <c r="B588" s="8" t="inlineStr">
        <is>
          <t xml:space="preserve">                lbl_img = tk.Label(card, image=photo, bg="#f1f8e9")</t>
        </is>
      </c>
    </row>
    <row r="589">
      <c r="A589" s="9" t="n">
        <v>586</v>
      </c>
      <c r="B589" s="10" t="inlineStr">
        <is>
          <t xml:space="preserve">                lbl_img.image = photo</t>
        </is>
      </c>
    </row>
    <row r="590">
      <c r="A590" s="7" t="n">
        <v>587</v>
      </c>
      <c r="B590" s="8" t="inlineStr">
        <is>
          <t xml:space="preserve">                lbl_img.pack(pady=3)</t>
        </is>
      </c>
    </row>
    <row r="591">
      <c r="A591" s="9" t="n">
        <v>588</v>
      </c>
      <c r="B591" s="10" t="inlineStr">
        <is>
          <t xml:space="preserve">            except Exception:</t>
        </is>
      </c>
    </row>
    <row r="592">
      <c r="A592" s="7" t="n">
        <v>589</v>
      </c>
      <c r="B592" s="8" t="inlineStr">
        <is>
          <t xml:space="preserve">                tk.Label(card, text="[无法加载图片]", bg="#f1f8e9", fg="#ccc",</t>
        </is>
      </c>
    </row>
    <row r="593">
      <c r="A593" s="9" t="n">
        <v>590</v>
      </c>
      <c r="B593" s="10" t="inlineStr">
        <is>
          <t xml:space="preserve">                        font=("Microsoft YaHei", 9)).pack(pady=4)</t>
        </is>
      </c>
    </row>
    <row r="594">
      <c r="A594" s="7" t="n">
        <v>591</v>
      </c>
      <c r="B594" s="8" t="inlineStr">
        <is>
          <t xml:space="preserve">        else:</t>
        </is>
      </c>
    </row>
    <row r="595">
      <c r="A595" s="9" t="n">
        <v>592</v>
      </c>
      <c r="B595" s="10" t="inlineStr">
        <is>
          <t xml:space="preserve">            tk.Label(card, text="[图片待加载]", bg="#f1f8e9", fg="#ccc",</t>
        </is>
      </c>
    </row>
    <row r="596">
      <c r="A596" s="7" t="n">
        <v>593</v>
      </c>
      <c r="B596" s="8" t="inlineStr">
        <is>
          <t xml:space="preserve">                    font=("Microsoft YaHei", 9)).pack(pady=4)</t>
        </is>
      </c>
    </row>
    <row r="597">
      <c r="A597" s="9" t="n">
        <v>594</v>
      </c>
      <c r="B597" s="10" t="inlineStr"/>
    </row>
    <row r="598">
      <c r="A598" s="7" t="n">
        <v>595</v>
      </c>
      <c r="B598" s="8" t="inlineStr">
        <is>
          <t xml:space="preserve">        # 模型标签 — 字体放大到 9, wraplength=250</t>
        </is>
      </c>
    </row>
    <row r="599">
      <c r="A599" s="9" t="n">
        <v>596</v>
      </c>
      <c r="B599" s="10" t="inlineStr">
        <is>
          <t xml:space="preserve">        tag_text = tk.StringVar(value="[AI] 识别中...")</t>
        </is>
      </c>
    </row>
    <row r="600">
      <c r="A600" s="7" t="n">
        <v>597</v>
      </c>
      <c r="B600" s="8" t="inlineStr">
        <is>
          <t xml:space="preserve">        tk.Label(card, textvariable=tag_text, bg="#f1f8e9", fg="#4a7c4f",</t>
        </is>
      </c>
    </row>
    <row r="601">
      <c r="A601" s="9" t="n">
        <v>598</v>
      </c>
      <c r="B601" s="10" t="inlineStr">
        <is>
          <t xml:space="preserve">                font=("Microsoft YaHei", 9), wraplength=250, justify="left",</t>
        </is>
      </c>
    </row>
    <row r="602">
      <c r="A602" s="7" t="n">
        <v>599</v>
      </c>
      <c r="B602" s="8" t="inlineStr">
        <is>
          <t xml:space="preserve">                anchor="w").pack(anchor="w", fill="x", pady=1)</t>
        </is>
      </c>
    </row>
    <row r="603">
      <c r="A603" s="9" t="n">
        <v>600</v>
      </c>
      <c r="B603" s="10" t="inlineStr"/>
    </row>
    <row r="604">
      <c r="A604" s="7" t="n">
        <v>601</v>
      </c>
      <c r="B604" s="8" t="inlineStr">
        <is>
          <t xml:space="preserve">        # 可编辑标签 — 字体 9, 宽度放大</t>
        </is>
      </c>
    </row>
    <row r="605">
      <c r="A605" s="9" t="n">
        <v>602</v>
      </c>
      <c r="B605" s="10" t="inlineStr">
        <is>
          <t xml:space="preserve">        tv = tk.StringVar(value="")</t>
        </is>
      </c>
    </row>
    <row r="606">
      <c r="A606" s="7" t="n">
        <v>603</v>
      </c>
      <c r="B606" s="8" t="inlineStr">
        <is>
          <t xml:space="preserve">        tk.Entry(card, textvariable=tv, bg="#ffffff", fg="#1b5e20",</t>
        </is>
      </c>
    </row>
    <row r="607">
      <c r="A607" s="9" t="n">
        <v>604</v>
      </c>
      <c r="B607" s="10" t="inlineStr">
        <is>
          <t xml:space="preserve">                font=("Microsoft YaHei", 9), relief="solid").pack(fill="x", pady=2)</t>
        </is>
      </c>
    </row>
    <row r="608">
      <c r="A608" s="7" t="n">
        <v>605</v>
      </c>
      <c r="B608" s="8" t="inlineStr"/>
    </row>
    <row r="609">
      <c r="A609" s="9" t="n">
        <v>606</v>
      </c>
      <c r="B609" s="10" t="inlineStr">
        <is>
          <t xml:space="preserve">        # 评分</t>
        </is>
      </c>
    </row>
    <row r="610">
      <c r="A610" s="7" t="n">
        <v>607</v>
      </c>
      <c r="B610" s="8" t="inlineStr">
        <is>
          <t xml:space="preserve">        sf = tk.Frame(card, bg="#f1f8e9"); sf.pack(fill="x", pady=1)</t>
        </is>
      </c>
    </row>
    <row r="611">
      <c r="A611" s="9" t="n">
        <v>608</v>
      </c>
      <c r="B611" s="10" t="inlineStr">
        <is>
          <t xml:space="preserve">        sv = tk.IntVar(value=ann.score)</t>
        </is>
      </c>
    </row>
    <row r="612">
      <c r="A612" s="7" t="n">
        <v>609</v>
      </c>
      <c r="B612" s="8" t="inlineStr">
        <is>
          <t xml:space="preserve">        tk.Scale(sf, from_=1, to=5, variable=sv, orient="horizontal", length=90,</t>
        </is>
      </c>
    </row>
    <row r="613">
      <c r="A613" s="9" t="n">
        <v>610</v>
      </c>
      <c r="B613" s="10" t="inlineStr">
        <is>
          <t xml:space="preserve">                bg="#f1f8e9", fg="#1b5e20", troughcolor="#c8e6c9",</t>
        </is>
      </c>
    </row>
    <row r="614">
      <c r="A614" s="7" t="n">
        <v>611</v>
      </c>
      <c r="B614" s="8" t="inlineStr">
        <is>
          <t xml:space="preserve">                command=lambda v, a=ann: setattr(a, 'score', int(v))).pack(side="left")</t>
        </is>
      </c>
    </row>
    <row r="615">
      <c r="A615" s="9" t="n">
        <v>612</v>
      </c>
      <c r="B615" s="10" t="inlineStr">
        <is>
          <t xml:space="preserve">        tk.Label(sf, text=f"{ann.score} STAR", bg="#f1f8e9", fg="#ffb74d",</t>
        </is>
      </c>
    </row>
    <row r="616">
      <c r="A616" s="7" t="n">
        <v>613</v>
      </c>
      <c r="B616" s="8" t="inlineStr">
        <is>
          <t xml:space="preserve">                font=("Microsoft YaHei", 9)).pack(side="left", padx=4)</t>
        </is>
      </c>
    </row>
    <row r="617">
      <c r="A617" s="9" t="n">
        <v>614</v>
      </c>
      <c r="B617" s="10" t="inlineStr"/>
    </row>
    <row r="618">
      <c r="A618" s="7" t="n">
        <v>615</v>
      </c>
      <c r="B618" s="8" t="inlineStr">
        <is>
          <t xml:space="preserve">        sel_var = tk.BooleanVar(value=False)</t>
        </is>
      </c>
    </row>
    <row r="619">
      <c r="A619" s="9" t="n">
        <v>616</v>
      </c>
      <c r="B619" s="10" t="inlineStr">
        <is>
          <t xml:space="preserve">        tk.Checkbutton(card, text="选", variable=sel_var, bg="#f1f8e9",</t>
        </is>
      </c>
    </row>
    <row r="620">
      <c r="A620" s="7" t="n">
        <v>617</v>
      </c>
      <c r="B620" s="8" t="inlineStr">
        <is>
          <t xml:space="preserve">                      fg="#1b5e20", selectcolor="#c8e6c9",</t>
        </is>
      </c>
    </row>
    <row r="621">
      <c r="A621" s="9" t="n">
        <v>618</v>
      </c>
      <c r="B621" s="10" t="inlineStr">
        <is>
          <t xml:space="preserve">                      font=("Microsoft YaHei", 9),</t>
        </is>
      </c>
    </row>
    <row r="622">
      <c r="A622" s="7" t="n">
        <v>619</v>
      </c>
      <c r="B622" s="8" t="inlineStr">
        <is>
          <t xml:space="preserve">                      command=lambda sv=sel_var, a=ann: setattr(a, 'selected', sv.get())</t>
        </is>
      </c>
    </row>
    <row r="623">
      <c r="A623" s="9" t="n">
        <v>620</v>
      </c>
      <c r="B623" s="10" t="inlineStr">
        <is>
          <t xml:space="preserve">                      ).pack(anchor="w")</t>
        </is>
      </c>
    </row>
    <row r="624">
      <c r="A624" s="7" t="n">
        <v>621</v>
      </c>
      <c r="B624" s="8" t="inlineStr"/>
    </row>
    <row r="625">
      <c r="A625" s="9" t="n">
        <v>622</v>
      </c>
      <c r="B625" s="10" t="inlineStr">
        <is>
          <t xml:space="preserve">        fw = {"tag_text": tag_text, "tv": tv, "sv": sv, "sel": sel_var,</t>
        </is>
      </c>
    </row>
    <row r="626">
      <c r="A626" s="7" t="n">
        <v>623</v>
      </c>
      <c r="B626" s="8" t="inlineStr">
        <is>
          <t xml:space="preserve">              "ann": ann, "card": card, "from_db": False}</t>
        </is>
      </c>
    </row>
    <row r="627">
      <c r="A627" s="9" t="n">
        <v>624</v>
      </c>
      <c r="B627" s="10" t="inlineStr">
        <is>
          <t xml:space="preserve">        self._fw.append(fw)</t>
        </is>
      </c>
    </row>
    <row r="628">
      <c r="A628" s="7" t="n">
        <v>625</v>
      </c>
      <c r="B628" s="8" t="inlineStr">
        <is>
          <t xml:space="preserve">        self._frame_idx_map[i] = fw</t>
        </is>
      </c>
    </row>
    <row r="629">
      <c r="A629" s="9" t="n">
        <v>626</v>
      </c>
      <c r="B629" s="10" t="inlineStr"/>
    </row>
    <row r="630">
      <c r="A630" s="7" t="n">
        <v>627</v>
      </c>
      <c r="B630" s="8" t="inlineStr">
        <is>
          <t xml:space="preserve">    def _update_frame_tags(self, idx, model_tags, user_tags):</t>
        </is>
      </c>
    </row>
    <row r="631">
      <c r="A631" s="9" t="n">
        <v>628</v>
      </c>
      <c r="B631" s="10" t="inlineStr">
        <is>
          <t xml:space="preserve">        if idx not in self._frame_idx_map:</t>
        </is>
      </c>
    </row>
    <row r="632">
      <c r="A632" s="7" t="n">
        <v>629</v>
      </c>
      <c r="B632" s="8" t="inlineStr">
        <is>
          <t xml:space="preserve">            return</t>
        </is>
      </c>
    </row>
    <row r="633">
      <c r="A633" s="9" t="n">
        <v>630</v>
      </c>
      <c r="B633" s="10" t="inlineStr">
        <is>
          <t xml:space="preserve">        fw = self._frame_idx_map[idx]</t>
        </is>
      </c>
    </row>
    <row r="634">
      <c r="A634" s="7" t="n">
        <v>631</v>
      </c>
      <c r="B634" s="8" t="inlineStr">
        <is>
          <t xml:space="preserve">        parts = []</t>
        </is>
      </c>
    </row>
    <row r="635">
      <c r="A635" s="9" t="n">
        <v>632</v>
      </c>
      <c r="B635" s="10" t="inlineStr">
        <is>
          <t xml:space="preserve">        for model, tags in list(model_tags.items())[:3]:</t>
        </is>
      </c>
    </row>
    <row r="636">
      <c r="A636" s="7" t="n">
        <v>633</v>
      </c>
      <c r="B636" s="8" t="inlineStr">
        <is>
          <t xml:space="preserve">            t = ", ".join(tags[:4]) if tags else "(none)"</t>
        </is>
      </c>
    </row>
    <row r="637">
      <c r="A637" s="9" t="n">
        <v>634</v>
      </c>
      <c r="B637" s="10" t="inlineStr">
        <is>
          <t xml:space="preserve">            parts.append(f"{model}: {t}")</t>
        </is>
      </c>
    </row>
    <row r="638">
      <c r="A638" s="7" t="n">
        <v>635</v>
      </c>
      <c r="B638" s="8" t="inlineStr">
        <is>
          <t xml:space="preserve">        fw["tag_text"].set("\n".join(parts) if parts else "[AI] (none)")</t>
        </is>
      </c>
    </row>
    <row r="639">
      <c r="A639" s="9" t="n">
        <v>636</v>
      </c>
      <c r="B639" s="10" t="inlineStr">
        <is>
          <t xml:space="preserve">        fw["tv"].set(", ".join(user_tags[:8]))</t>
        </is>
      </c>
    </row>
    <row r="640">
      <c r="A640" s="7" t="n">
        <v>637</v>
      </c>
      <c r="B640" s="8" t="inlineStr"/>
    </row>
    <row r="641">
      <c r="A641" s="9" t="n">
        <v>638</v>
      </c>
      <c r="B641" s="10" t="inlineStr"/>
    </row>
    <row r="642">
      <c r="A642" s="7" t="n">
        <v>639</v>
      </c>
      <c r="B642" s="8" t="inlineStr">
        <is>
          <t xml:space="preserve">    def reload_current_video(self):</t>
        </is>
      </c>
    </row>
    <row r="643">
      <c r="A643" s="9" t="n">
        <v>640</v>
      </c>
      <c r="B643" s="10" t="inlineStr">
        <is>
          <t xml:space="preserve">        """v11.4: 从数据库重新加载当前视频的帧数据"""</t>
        </is>
      </c>
    </row>
    <row r="644">
      <c r="A644" s="7" t="n">
        <v>641</v>
      </c>
      <c r="B644" s="8" t="inlineStr">
        <is>
          <t xml:space="preserve">        if not self._current_video:</t>
        </is>
      </c>
    </row>
    <row r="645">
      <c r="A645" s="9" t="n">
        <v>642</v>
      </c>
      <c r="B645" s="10" t="inlineStr">
        <is>
          <t xml:space="preserve">            return</t>
        </is>
      </c>
    </row>
    <row r="646">
      <c r="A646" s="7" t="n">
        <v>643</v>
      </c>
      <c r="B646" s="8" t="inlineStr">
        <is>
          <t xml:space="preserve">        self._status_lbl.config(text=f"刷新中: {Path(self._current_video).name[:40]}")</t>
        </is>
      </c>
    </row>
    <row r="647">
      <c r="A647" s="9" t="n">
        <v>644</v>
      </c>
      <c r="B647" s="10" t="inlineStr">
        <is>
          <t xml:space="preserve">        def _r():</t>
        </is>
      </c>
    </row>
    <row r="648">
      <c r="A648" s="7" t="n">
        <v>645</v>
      </c>
      <c r="B648" s="8" t="inlineStr">
        <is>
          <t xml:space="preserve">            self._load_frames_from_db(self._current_video)</t>
        </is>
      </c>
    </row>
    <row r="649">
      <c r="A649" s="9" t="n">
        <v>646</v>
      </c>
      <c r="B649" s="10" t="inlineStr">
        <is>
          <t xml:space="preserve">        threading.Thread(target=_r, daemon=True).start()</t>
        </is>
      </c>
    </row>
    <row r="650">
      <c r="A650" s="7" t="n">
        <v>647</v>
      </c>
      <c r="B650" s="8" t="inlineStr"/>
    </row>
    <row r="651">
      <c r="A651" s="9" t="n">
        <v>648</v>
      </c>
      <c r="B651" s="10" t="inlineStr">
        <is>
          <t xml:space="preserve">    def _on_db_data_changed(self, video_path):</t>
        </is>
      </c>
    </row>
    <row r="652">
      <c r="A652" s="7" t="n">
        <v>649</v>
      </c>
      <c r="B652" s="8" t="inlineStr">
        <is>
          <t xml:space="preserve">        """v11.4: 数据库变更回调 — 如果是当前视频则重新加载"""</t>
        </is>
      </c>
    </row>
    <row r="653">
      <c r="A653" s="9" t="n">
        <v>650</v>
      </c>
      <c r="B653" s="10" t="inlineStr">
        <is>
          <t xml:space="preserve">        if video_path == self._current_video:</t>
        </is>
      </c>
    </row>
    <row r="654">
      <c r="A654" s="7" t="n">
        <v>651</v>
      </c>
      <c r="B654" s="8" t="inlineStr">
        <is>
          <t xml:space="preserve">            self.app.root.after(0, lambda: self.reload_current_video())</t>
        </is>
      </c>
    </row>
    <row r="655">
      <c r="A655" s="9" t="n">
        <v>652</v>
      </c>
      <c r="B655" s="10" t="inlineStr">
        <is>
          <t xml:space="preserve">    def _on_done(self):</t>
        </is>
      </c>
    </row>
    <row r="656">
      <c r="A656" s="7" t="n">
        <v>653</v>
      </c>
      <c r="B656" s="8" t="inlineStr">
        <is>
          <t xml:space="preserve">        self._analyzing = False</t>
        </is>
      </c>
    </row>
    <row r="657">
      <c r="A657" s="9" t="n">
        <v>654</v>
      </c>
      <c r="B657" s="10" t="inlineStr">
        <is>
          <t xml:space="preserve">        if self._annotator:</t>
        </is>
      </c>
    </row>
    <row r="658">
      <c r="A658" s="7" t="n">
        <v>655</v>
      </c>
      <c r="B658" s="8" t="inlineStr">
        <is>
          <t xml:space="preserve">            self._annotator.cleanup()</t>
        </is>
      </c>
    </row>
    <row r="659">
      <c r="A659" s="9" t="n">
        <v>656</v>
      </c>
      <c r="B659" s="10" t="inlineStr">
        <is>
          <t xml:space="preserve">        if not self._annotator or not self._annotator.frames:</t>
        </is>
      </c>
    </row>
    <row r="660">
      <c r="A660" s="7" t="n">
        <v>657</v>
      </c>
      <c r="B660" s="8" t="inlineStr">
        <is>
          <t xml:space="preserve">            self._status_lbl.config(text="无帧")</t>
        </is>
      </c>
    </row>
    <row r="661">
      <c r="A661" s="9" t="n">
        <v>658</v>
      </c>
      <c r="B661" s="10" t="inlineStr">
        <is>
          <t xml:space="preserve">            return</t>
        </is>
      </c>
    </row>
    <row r="662">
      <c r="A662" s="7" t="n">
        <v>659</v>
      </c>
      <c r="B662" s="8" t="inlineStr">
        <is>
          <t xml:space="preserve">        frames = self._annotator.frames</t>
        </is>
      </c>
    </row>
    <row r="663">
      <c r="A663" s="9" t="n">
        <v>660</v>
      </c>
      <c r="B663" s="10" t="inlineStr">
        <is>
          <t xml:space="preserve">        models = self._annotator._models</t>
        </is>
      </c>
    </row>
    <row r="664">
      <c r="A664" s="7" t="n">
        <v>661</v>
      </c>
      <c r="B664" s="8" t="inlineStr">
        <is>
          <t xml:space="preserve">        self._status_lbl.config(text=f"完成: {len(frames)}帧 | 模型: {models}")</t>
        </is>
      </c>
    </row>
    <row r="665">
      <c r="A665" s="9" t="n">
        <v>662</v>
      </c>
      <c r="B665" s="10" t="inlineStr">
        <is>
          <t xml:space="preserve">        self._progress["value"] = 100; self._pg_lbl.config(text="100%")</t>
        </is>
      </c>
    </row>
    <row r="666">
      <c r="A666" s="7" t="n">
        <v>663</v>
      </c>
      <c r="B666" s="8" t="inlineStr"/>
    </row>
    <row r="667">
      <c r="A667" s="9" t="n">
        <v>664</v>
      </c>
      <c r="B667" s="10" t="inlineStr">
        <is>
          <t xml:space="preserve">    def _on_cancel(self):</t>
        </is>
      </c>
    </row>
    <row r="668">
      <c r="A668" s="7" t="n">
        <v>665</v>
      </c>
      <c r="B668" s="8" t="inlineStr">
        <is>
          <t xml:space="preserve">        if self._annotator:</t>
        </is>
      </c>
    </row>
    <row r="669">
      <c r="A669" s="9" t="n">
        <v>666</v>
      </c>
      <c r="B669" s="10" t="inlineStr">
        <is>
          <t xml:space="preserve">            self._annotator.cancel()</t>
        </is>
      </c>
    </row>
    <row r="670">
      <c r="A670" s="7" t="n">
        <v>667</v>
      </c>
      <c r="B670" s="8" t="inlineStr">
        <is>
          <t xml:space="preserve">            self._annotator.cleanup()</t>
        </is>
      </c>
    </row>
    <row r="671">
      <c r="A671" s="9" t="n">
        <v>668</v>
      </c>
      <c r="B671" s="10" t="inlineStr">
        <is>
          <t xml:space="preserve">        self._analyzing = False</t>
        </is>
      </c>
    </row>
    <row r="672">
      <c r="A672" s="7" t="n">
        <v>669</v>
      </c>
      <c r="B672" s="8" t="inlineStr">
        <is>
          <t xml:space="preserve">        self._batch_running = False</t>
        </is>
      </c>
    </row>
    <row r="673">
      <c r="A673" s="9" t="n">
        <v>670</v>
      </c>
      <c r="B673" s="10" t="inlineStr">
        <is>
          <t xml:space="preserve">        self._batch_cancel.set()</t>
        </is>
      </c>
    </row>
    <row r="674">
      <c r="A674" s="7" t="n">
        <v>671</v>
      </c>
      <c r="B674" s="8" t="inlineStr">
        <is>
          <t xml:space="preserve">        self._status_lbl.config(text="已取消")</t>
        </is>
      </c>
    </row>
    <row r="675">
      <c r="A675" s="9" t="n">
        <v>672</v>
      </c>
      <c r="B675" s="10" t="inlineStr"/>
    </row>
    <row r="676">
      <c r="A676" s="7" t="n">
        <v>673</v>
      </c>
      <c r="B676" s="8" t="inlineStr">
        <is>
          <t xml:space="preserve">    def _on_preview(self):</t>
        </is>
      </c>
    </row>
    <row r="677">
      <c r="A677" s="9" t="n">
        <v>674</v>
      </c>
      <c r="B677" s="10" t="inlineStr">
        <is>
          <t xml:space="preserve">        if self._current_video and os.path.exists(self._current_video):</t>
        </is>
      </c>
    </row>
    <row r="678">
      <c r="A678" s="7" t="n">
        <v>675</v>
      </c>
      <c r="B678" s="8" t="inlineStr">
        <is>
          <t xml:space="preserve">            os.startfile(self._current_video)</t>
        </is>
      </c>
    </row>
    <row r="679">
      <c r="A679" s="9" t="n">
        <v>676</v>
      </c>
      <c r="B679" s="10" t="inlineStr"/>
    </row>
    <row r="680">
      <c r="A680" s="7" t="n">
        <v>677</v>
      </c>
      <c r="B680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681">
      <c r="A681" s="9" t="n">
        <v>678</v>
      </c>
      <c r="B681" s="10" t="inlineStr">
        <is>
          <t xml:space="preserve">    # 自动批量识别（所有视频）</t>
        </is>
      </c>
    </row>
    <row r="682">
      <c r="A682" s="7" t="n">
        <v>679</v>
      </c>
      <c r="B682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683">
      <c r="A683" s="9" t="n">
        <v>680</v>
      </c>
      <c r="B683" s="10" t="inlineStr">
        <is>
          <t xml:space="preserve">    def _batch_recognize_all(self):</t>
        </is>
      </c>
    </row>
    <row r="684">
      <c r="A684" s="7" t="n">
        <v>681</v>
      </c>
      <c r="B684" s="8" t="inlineStr">
        <is>
          <t xml:space="preserve">        """批量识别左侧视频列表中的所有视频"""</t>
        </is>
      </c>
    </row>
    <row r="685">
      <c r="A685" s="9" t="n">
        <v>682</v>
      </c>
      <c r="B685" s="10" t="inlineStr">
        <is>
          <t xml:space="preserve">        if not self._video_paths:</t>
        </is>
      </c>
    </row>
    <row r="686">
      <c r="A686" s="7" t="n">
        <v>683</v>
      </c>
      <c r="B686" s="8" t="inlineStr">
        <is>
          <t xml:space="preserve">            messagebox.showinfo("提示", "请先加载视频列表（点击文件夹或驱动器）")</t>
        </is>
      </c>
    </row>
    <row r="687">
      <c r="A687" s="9" t="n">
        <v>684</v>
      </c>
      <c r="B687" s="10" t="inlineStr">
        <is>
          <t xml:space="preserve">            return</t>
        </is>
      </c>
    </row>
    <row r="688">
      <c r="A688" s="7" t="n">
        <v>685</v>
      </c>
      <c r="B688" s="8" t="inlineStr">
        <is>
          <t xml:space="preserve">        if self._analyzing or self._batch_running:</t>
        </is>
      </c>
    </row>
    <row r="689">
      <c r="A689" s="9" t="n">
        <v>686</v>
      </c>
      <c r="B689" s="10" t="inlineStr">
        <is>
          <t xml:space="preserve">            messagebox.showinfo("提示", "识别正在进行中")</t>
        </is>
      </c>
    </row>
    <row r="690">
      <c r="A690" s="7" t="n">
        <v>687</v>
      </c>
      <c r="B690" s="8" t="inlineStr">
        <is>
          <t xml:space="preserve">            return</t>
        </is>
      </c>
    </row>
    <row r="691">
      <c r="A691" s="9" t="n">
        <v>688</v>
      </c>
      <c r="B691" s="10" t="inlineStr"/>
    </row>
    <row r="692">
      <c r="A692" s="7" t="n">
        <v>689</v>
      </c>
      <c r="B692" s="8" t="inlineStr">
        <is>
          <t xml:space="preserve">        total = len(self._video_paths)</t>
        </is>
      </c>
    </row>
    <row r="693">
      <c r="A693" s="9" t="n">
        <v>690</v>
      </c>
      <c r="B693" s="10" t="inlineStr">
        <is>
          <t xml:space="preserve">        ok = messagebox.askyesno("确认批量识别",</t>
        </is>
      </c>
    </row>
    <row r="694">
      <c r="A694" s="7" t="n">
        <v>691</v>
      </c>
      <c r="B694" s="8" t="inlineStr">
        <is>
          <t xml:space="preserve">            f"将对 {total} 个视频执行全帧识别。\n\n"</t>
        </is>
      </c>
    </row>
    <row r="695">
      <c r="A695" s="9" t="n">
        <v>692</v>
      </c>
      <c r="B695" s="10" t="inlineStr">
        <is>
          <t xml:space="preserve">            f"此操作耗时较长（每个视频约 1-5 分钟），\n"</t>
        </is>
      </c>
    </row>
    <row r="696">
      <c r="A696" s="7" t="n">
        <v>693</v>
      </c>
      <c r="B696" s="8" t="inlineStr">
        <is>
          <t xml:space="preserve">            f"可以在过程中随时停止。\n\n是否继续？")</t>
        </is>
      </c>
    </row>
    <row r="697">
      <c r="A697" s="9" t="n">
        <v>694</v>
      </c>
      <c r="B697" s="10" t="inlineStr">
        <is>
          <t xml:space="preserve">        if not ok:</t>
        </is>
      </c>
    </row>
    <row r="698">
      <c r="A698" s="7" t="n">
        <v>695</v>
      </c>
      <c r="B698" s="8" t="inlineStr">
        <is>
          <t xml:space="preserve">            return</t>
        </is>
      </c>
    </row>
    <row r="699">
      <c r="A699" s="9" t="n">
        <v>696</v>
      </c>
      <c r="B699" s="10" t="inlineStr"/>
    </row>
    <row r="700">
      <c r="A700" s="7" t="n">
        <v>697</v>
      </c>
      <c r="B700" s="8" t="inlineStr">
        <is>
          <t xml:space="preserve">        self._batch_running = True</t>
        </is>
      </c>
    </row>
    <row r="701">
      <c r="A701" s="9" t="n">
        <v>698</v>
      </c>
      <c r="B701" s="10" t="inlineStr">
        <is>
          <t xml:space="preserve">        self._batch_cancel.clear()</t>
        </is>
      </c>
    </row>
    <row r="702">
      <c r="A702" s="7" t="n">
        <v>699</v>
      </c>
      <c r="B702" s="8" t="inlineStr">
        <is>
          <t xml:space="preserve">        self._batch_stop_btn.configure(state="normal")</t>
        </is>
      </c>
    </row>
    <row r="703">
      <c r="A703" s="9" t="n">
        <v>700</v>
      </c>
      <c r="B703" s="10" t="inlineStr">
        <is>
          <t xml:space="preserve">        self._status_lbl.config(text=f"批量识别开始: 0/{total}")</t>
        </is>
      </c>
    </row>
    <row r="704">
      <c r="A704" s="7" t="n">
        <v>701</v>
      </c>
      <c r="B704" s="8" t="inlineStr">
        <is>
          <t xml:space="preserve">        self._progress["value"] = 0</t>
        </is>
      </c>
    </row>
    <row r="705">
      <c r="A705" s="9" t="n">
        <v>702</v>
      </c>
      <c r="B705" s="10" t="inlineStr">
        <is>
          <t xml:space="preserve">        self._progress.configure(maximum=total)</t>
        </is>
      </c>
    </row>
    <row r="706">
      <c r="A706" s="7" t="n">
        <v>703</v>
      </c>
      <c r="B706" s="8" t="inlineStr">
        <is>
          <t xml:space="preserve">        self._pg_lbl.config(text=f"0/{total}")</t>
        </is>
      </c>
    </row>
    <row r="707">
      <c r="A707" s="9" t="n">
        <v>704</v>
      </c>
      <c r="B707" s="10" t="inlineStr"/>
    </row>
    <row r="708">
      <c r="A708" s="7" t="n">
        <v>705</v>
      </c>
      <c r="B708" s="8" t="inlineStr">
        <is>
          <t xml:space="preserve">        # 收集结果</t>
        </is>
      </c>
    </row>
    <row r="709">
      <c r="A709" s="9" t="n">
        <v>706</v>
      </c>
      <c r="B709" s="10" t="inlineStr">
        <is>
          <t xml:space="preserve">        self._batch_queue = queue.Queue()</t>
        </is>
      </c>
    </row>
    <row r="710">
      <c r="A710" s="7" t="n">
        <v>707</v>
      </c>
      <c r="B710" s="8" t="inlineStr"/>
    </row>
    <row r="711">
      <c r="A711" s="9" t="n">
        <v>708</v>
      </c>
      <c r="B711" s="10" t="inlineStr">
        <is>
          <t xml:space="preserve">        def _run_batch():</t>
        </is>
      </c>
    </row>
    <row r="712">
      <c r="A712" s="7" t="n">
        <v>709</v>
      </c>
      <c r="B712" s="8" t="inlineStr">
        <is>
          <t xml:space="preserve">            import concurrent.futures as _cfut</t>
        </is>
      </c>
    </row>
    <row r="713">
      <c r="A713" s="9" t="n">
        <v>710</v>
      </c>
      <c r="B713" s="10" t="inlineStr">
        <is>
          <t xml:space="preserve">            import gc as _gc</t>
        </is>
      </c>
    </row>
    <row r="714">
      <c r="A714" s="7" t="n">
        <v>711</v>
      </c>
      <c r="B714" s="8" t="inlineStr">
        <is>
          <t xml:space="preserve">            success = 0</t>
        </is>
      </c>
    </row>
    <row r="715">
      <c r="A715" s="9" t="n">
        <v>712</v>
      </c>
      <c r="B715" s="10" t="inlineStr">
        <is>
          <t xml:space="preserve">            fail = 0</t>
        </is>
      </c>
    </row>
    <row r="716">
      <c r="A716" s="7" t="n">
        <v>713</v>
      </c>
      <c r="B716" s="8" t="inlineStr">
        <is>
          <t xml:space="preserve">            last_vp = None</t>
        </is>
      </c>
    </row>
    <row r="717">
      <c r="A717" s="9" t="n">
        <v>714</v>
      </c>
      <c r="B717" s="10" t="inlineStr">
        <is>
          <t xml:space="preserve">            for idx, vp in enumerate(self._video_paths):</t>
        </is>
      </c>
    </row>
    <row r="718">
      <c r="A718" s="7" t="n">
        <v>715</v>
      </c>
      <c r="B718" s="8" t="inlineStr">
        <is>
          <t xml:space="preserve">                if self._batch_cancel.is_set():</t>
        </is>
      </c>
    </row>
    <row r="719">
      <c r="A719" s="9" t="n">
        <v>716</v>
      </c>
      <c r="B719" s="10" t="inlineStr">
        <is>
          <t xml:space="preserve">                    self._batch_queue.put(("log", "批显停止 (%d/%d)" % (success, idx)))</t>
        </is>
      </c>
    </row>
    <row r="720">
      <c r="A720" s="7" t="n">
        <v>717</v>
      </c>
      <c r="B720" s="8" t="inlineStr">
        <is>
          <t xml:space="preserve">                    break</t>
        </is>
      </c>
    </row>
    <row r="721">
      <c r="A721" s="9" t="n">
        <v>718</v>
      </c>
      <c r="B721" s="10" t="inlineStr"/>
    </row>
    <row r="722">
      <c r="A722" s="7" t="n">
        <v>719</v>
      </c>
      <c r="B722" s="8" t="inlineStr">
        <is>
          <t xml:space="preserve">                vname = Path(vp).name</t>
        </is>
      </c>
    </row>
    <row r="723">
      <c r="A723" s="9" t="n">
        <v>720</v>
      </c>
      <c r="B723" s="10" t="inlineStr">
        <is>
          <t xml:space="preserve">                self._batch_queue.put(("status", "[%d/%d] %s" % (idx+1, total, vname[:50])))</t>
        </is>
      </c>
    </row>
    <row r="724">
      <c r="A724" s="7" t="n">
        <v>721</v>
      </c>
      <c r="B724" s="8" t="inlineStr">
        <is>
          <t xml:space="preserve">                self._batch_queue.put(("progress", idx))</t>
        </is>
      </c>
    </row>
    <row r="725">
      <c r="A725" s="9" t="n">
        <v>722</v>
      </c>
      <c r="B725" s="10" t="inlineStr">
        <is>
          <t xml:space="preserve">                self._append_batch_log("[%d/%d] %s" % (idx+1, total, vname))</t>
        </is>
      </c>
    </row>
    <row r="726">
      <c r="A726" s="7" t="n">
        <v>723</v>
      </c>
      <c r="B726" s="8" t="inlineStr"/>
    </row>
    <row r="727">
      <c r="A727" s="9" t="n">
        <v>724</v>
      </c>
      <c r="B727" s="10" t="inlineStr">
        <is>
          <t xml:space="preserve">                video_ok = False</t>
        </is>
      </c>
    </row>
    <row r="728">
      <c r="A728" s="7" t="n">
        <v>725</v>
      </c>
      <c r="B728" s="8" t="inlineStr">
        <is>
          <t xml:space="preserve">                video_error = ""</t>
        </is>
      </c>
    </row>
    <row r="729">
      <c r="A729" s="9" t="n">
        <v>726</v>
      </c>
      <c r="B729" s="10" t="inlineStr">
        <is>
          <t xml:space="preserve">                with _cfut.ThreadPoolExecutor(max_workers=1) as inner:</t>
        </is>
      </c>
    </row>
    <row r="730">
      <c r="A730" s="7" t="n">
        <v>727</v>
      </c>
      <c r="B730" s="8" t="inlineStr">
        <is>
          <t xml:space="preserve">                    fut = inner.submit(self._recognize_single_video_sync, vp, self._batch_cancel)</t>
        </is>
      </c>
    </row>
    <row r="731">
      <c r="A731" s="9" t="n">
        <v>728</v>
      </c>
      <c r="B731" s="10" t="inlineStr">
        <is>
          <t xml:space="preserve">                    try:</t>
        </is>
      </c>
    </row>
    <row r="732">
      <c r="A732" s="7" t="n">
        <v>729</v>
      </c>
      <c r="B732" s="8" t="inlineStr">
        <is>
          <t xml:space="preserve">                        fut.result(timeout=600)</t>
        </is>
      </c>
    </row>
    <row r="733">
      <c r="A733" s="9" t="n">
        <v>730</v>
      </c>
      <c r="B733" s="10" t="inlineStr">
        <is>
          <t xml:space="preserve">                        video_ok = True</t>
        </is>
      </c>
    </row>
    <row r="734">
      <c r="A734" s="7" t="n">
        <v>731</v>
      </c>
      <c r="B734" s="8" t="inlineStr">
        <is>
          <t xml:space="preserve">                    except _cfut.TimeoutError:</t>
        </is>
      </c>
    </row>
    <row r="735">
      <c r="A735" s="9" t="n">
        <v>732</v>
      </c>
      <c r="B735" s="10" t="inlineStr">
        <is>
          <t xml:space="preserve">                        video_error = "超时(10min)"</t>
        </is>
      </c>
    </row>
    <row r="736">
      <c r="A736" s="7" t="n">
        <v>733</v>
      </c>
      <c r="B736" s="8" t="inlineStr">
        <is>
          <t xml:space="preserve">                        self._batch_cancel.set()</t>
        </is>
      </c>
    </row>
    <row r="737">
      <c r="A737" s="9" t="n">
        <v>734</v>
      </c>
      <c r="B737" s="10" t="inlineStr">
        <is>
          <t xml:space="preserve">                    except Exception as e:</t>
        </is>
      </c>
    </row>
    <row r="738">
      <c r="A738" s="7" t="n">
        <v>735</v>
      </c>
      <c r="B738" s="8" t="inlineStr">
        <is>
          <t xml:space="preserve">                        video_error = str(e)[:100]</t>
        </is>
      </c>
    </row>
    <row r="739">
      <c r="A739" s="9" t="n">
        <v>736</v>
      </c>
      <c r="B739" s="10" t="inlineStr"/>
    </row>
    <row r="740">
      <c r="A740" s="7" t="n">
        <v>737</v>
      </c>
      <c r="B740" s="8" t="inlineStr">
        <is>
          <t xml:space="preserve">                if self._batch_cancel.is_set() and not video_ok:</t>
        </is>
      </c>
    </row>
    <row r="741">
      <c r="A741" s="9" t="n">
        <v>738</v>
      </c>
      <c r="B741" s="10" t="inlineStr">
        <is>
          <t xml:space="preserve">                    self._batch_cancel.clear()</t>
        </is>
      </c>
    </row>
    <row r="742">
      <c r="A742" s="7" t="n">
        <v>739</v>
      </c>
      <c r="B742" s="8" t="inlineStr"/>
    </row>
    <row r="743">
      <c r="A743" s="9" t="n">
        <v>740</v>
      </c>
      <c r="B743" s="10" t="inlineStr">
        <is>
          <t xml:space="preserve">                if video_ok:</t>
        </is>
      </c>
    </row>
    <row r="744">
      <c r="A744" s="7" t="n">
        <v>741</v>
      </c>
      <c r="B744" s="8" t="inlineStr">
        <is>
          <t xml:space="preserve">                    success += 1</t>
        </is>
      </c>
    </row>
    <row r="745">
      <c r="A745" s="9" t="n">
        <v>742</v>
      </c>
      <c r="B745" s="10" t="inlineStr">
        <is>
          <t xml:space="preserve">                    last_vp = vp</t>
        </is>
      </c>
    </row>
    <row r="746">
      <c r="A746" s="7" t="n">
        <v>743</v>
      </c>
      <c r="B746" s="8" t="inlineStr">
        <is>
          <t xml:space="preserve">                    self._batch_queue.put(("log", "  OK %s" % vname))</t>
        </is>
      </c>
    </row>
    <row r="747">
      <c r="A747" s="9" t="n">
        <v>744</v>
      </c>
      <c r="B747" s="10" t="inlineStr">
        <is>
          <t xml:space="preserve">                    self._append_batch_log("  OK %s" % vname)</t>
        </is>
      </c>
    </row>
    <row r="748">
      <c r="A748" s="7" t="n">
        <v>745</v>
      </c>
      <c r="B748" s="8" t="inlineStr">
        <is>
          <t xml:space="preserve">                    _gc.collect()</t>
        </is>
      </c>
    </row>
    <row r="749">
      <c r="A749" s="9" t="n">
        <v>746</v>
      </c>
      <c r="B749" s="10" t="inlineStr">
        <is>
          <t xml:space="preserve">                    try:</t>
        </is>
      </c>
    </row>
    <row r="750">
      <c r="A750" s="7" t="n">
        <v>747</v>
      </c>
      <c r="B750" s="8" t="inlineStr">
        <is>
          <t xml:space="preserve">                        import torch</t>
        </is>
      </c>
    </row>
    <row r="751">
      <c r="A751" s="9" t="n">
        <v>748</v>
      </c>
      <c r="B751" s="10" t="inlineStr">
        <is>
          <t xml:space="preserve">                        if torch.cuda.is_available():</t>
        </is>
      </c>
    </row>
    <row r="752">
      <c r="A752" s="7" t="n">
        <v>749</v>
      </c>
      <c r="B752" s="8" t="inlineStr">
        <is>
          <t xml:space="preserve">                            torch.cuda.empty_cache()</t>
        </is>
      </c>
    </row>
    <row r="753">
      <c r="A753" s="9" t="n">
        <v>750</v>
      </c>
      <c r="B753" s="10" t="inlineStr">
        <is>
          <t xml:space="preserve">                    except Exception:</t>
        </is>
      </c>
    </row>
    <row r="754">
      <c r="A754" s="7" t="n">
        <v>751</v>
      </c>
      <c r="B754" s="8" t="inlineStr">
        <is>
          <t xml:space="preserve">                        pass</t>
        </is>
      </c>
    </row>
    <row r="755">
      <c r="A755" s="9" t="n">
        <v>752</v>
      </c>
      <c r="B755" s="10" t="inlineStr">
        <is>
          <t xml:space="preserve">                else:</t>
        </is>
      </c>
    </row>
    <row r="756">
      <c r="A756" s="7" t="n">
        <v>753</v>
      </c>
      <c r="B756" s="8" t="inlineStr">
        <is>
          <t xml:space="preserve">                    fail += 1</t>
        </is>
      </c>
    </row>
    <row r="757">
      <c r="A757" s="9" t="n">
        <v>754</v>
      </c>
      <c r="B757" s="10" t="inlineStr">
        <is>
          <t xml:space="preserve">                    self._batch_queue.put(("log", "  FAIL %s: %s" % (vname, video_error)))</t>
        </is>
      </c>
    </row>
    <row r="758">
      <c r="A758" s="7" t="n">
        <v>755</v>
      </c>
      <c r="B758" s="8" t="inlineStr">
        <is>
          <t xml:space="preserve">                    self._append_batch_log("  FAIL %s: %s" % (vname, video_error))</t>
        </is>
      </c>
    </row>
    <row r="759">
      <c r="A759" s="9" t="n">
        <v>756</v>
      </c>
      <c r="B759" s="10" t="inlineStr"/>
    </row>
    <row r="760">
      <c r="A760" s="7" t="n">
        <v>757</v>
      </c>
      <c r="B760" s="8" t="inlineStr">
        <is>
          <t xml:space="preserve">            self._batch_queue.put(("progress", total))</t>
        </is>
      </c>
    </row>
    <row r="761">
      <c r="A761" s="9" t="n">
        <v>758</v>
      </c>
      <c r="B761" s="10" t="inlineStr">
        <is>
          <t xml:space="preserve">            self._batch_queue.put(("status", "批显完成: %d/%d" % (success, len(self._video_paths))))</t>
        </is>
      </c>
    </row>
    <row r="762">
      <c r="A762" s="7" t="n">
        <v>759</v>
      </c>
      <c r="B762" s="8" t="inlineStr">
        <is>
          <t xml:space="preserve">            self._batch_queue.put(("done", None))</t>
        </is>
      </c>
    </row>
    <row r="763">
      <c r="A763" s="9" t="n">
        <v>760</v>
      </c>
      <c r="B763" s="10" t="inlineStr">
        <is>
          <t xml:space="preserve">            self._append_batch_log("=== 完成: %d成功/%d失败/%d总 ===" % (success, fail, total))</t>
        </is>
      </c>
    </row>
    <row r="764">
      <c r="A764" s="7" t="n">
        <v>761</v>
      </c>
      <c r="B764" s="8" t="inlineStr"/>
    </row>
    <row r="765">
      <c r="A765" s="9" t="n">
        <v>762</v>
      </c>
      <c r="B765" s="10" t="inlineStr">
        <is>
          <t xml:space="preserve">            self.app.root.after(300, self._refresh_stats)</t>
        </is>
      </c>
    </row>
    <row r="766">
      <c r="A766" s="7" t="n">
        <v>763</v>
      </c>
      <c r="B766" s="8" t="inlineStr">
        <is>
          <t xml:space="preserve">            if last_vp:</t>
        </is>
      </c>
    </row>
    <row r="767">
      <c r="A767" s="9" t="n">
        <v>764</v>
      </c>
      <c r="B767" s="10" t="inlineStr">
        <is>
          <t xml:space="preserve">                self.app.root.after(500, lambda v=last_vp: self._load_frames_from_db(v))</t>
        </is>
      </c>
    </row>
    <row r="768">
      <c r="A768" s="7" t="n">
        <v>765</v>
      </c>
      <c r="B768" s="8" t="inlineStr"/>
    </row>
    <row r="769">
      <c r="A769" s="9" t="n">
        <v>766</v>
      </c>
      <c r="B769" s="10" t="inlineStr">
        <is>
          <t xml:space="preserve">        threading.Thread(target=_run_batch, daemon=True).start()</t>
        </is>
      </c>
    </row>
    <row r="770">
      <c r="A770" s="7" t="n">
        <v>767</v>
      </c>
      <c r="B770" s="8" t="inlineStr">
        <is>
          <t xml:space="preserve">        self._poll_batch_queue()</t>
        </is>
      </c>
    </row>
    <row r="771">
      <c r="A771" s="9" t="n">
        <v>768</v>
      </c>
      <c r="B771" s="10" t="inlineStr"/>
    </row>
    <row r="772">
      <c r="A772" s="7" t="n">
        <v>769</v>
      </c>
      <c r="B772" s="8" t="inlineStr">
        <is>
          <t xml:space="preserve">    def _recognize_single_video_sync(self, video_path: str, cancel_event):</t>
        </is>
      </c>
    </row>
    <row r="773">
      <c r="A773" s="9" t="n">
        <v>770</v>
      </c>
      <c r="B773" s="10" t="inlineStr">
        <is>
          <t xml:space="preserve">        """同步识别单个视频（在批量线程中调用）"""</t>
        </is>
      </c>
    </row>
    <row r="774">
      <c r="A774" s="7" t="n">
        <v>771</v>
      </c>
      <c r="B774" s="8" t="inlineStr">
        <is>
          <t xml:space="preserve">        from core.frame_annotator import FrameAnnotator</t>
        </is>
      </c>
    </row>
    <row r="775">
      <c r="A775" s="9" t="n">
        <v>772</v>
      </c>
      <c r="B775" s="10" t="inlineStr">
        <is>
          <t xml:space="preserve">        import tempfile, shutil, time as _time</t>
        </is>
      </c>
    </row>
    <row r="776">
      <c r="A776" s="7" t="n">
        <v>773</v>
      </c>
      <c r="B776" s="8" t="inlineStr"/>
    </row>
    <row r="777">
      <c r="A777" s="9" t="n">
        <v>774</v>
      </c>
      <c r="B777" s="10" t="inlineStr">
        <is>
          <t xml:space="preserve">        annotator = FrameAnnotator()</t>
        </is>
      </c>
    </row>
    <row r="778">
      <c r="A778" s="7" t="n">
        <v>775</v>
      </c>
      <c r="B778" s="8" t="inlineStr">
        <is>
          <t xml:space="preserve">        try:</t>
        </is>
      </c>
    </row>
    <row r="779">
      <c r="A779" s="9" t="n">
        <v>776</v>
      </c>
      <c r="B779" s="10" t="inlineStr">
        <is>
          <t xml:space="preserve">            n = annotator.extract_frames(video_path)</t>
        </is>
      </c>
    </row>
    <row r="780">
      <c r="A780" s="7" t="n">
        <v>777</v>
      </c>
      <c r="B780" s="8" t="inlineStr">
        <is>
          <t xml:space="preserve">            if n == 0:</t>
        </is>
      </c>
    </row>
    <row r="781">
      <c r="A781" s="9" t="n">
        <v>778</v>
      </c>
      <c r="B781" s="10" t="inlineStr">
        <is>
          <t xml:space="preserve">                annotator.cleanup()</t>
        </is>
      </c>
    </row>
    <row r="782">
      <c r="A782" s="7" t="n">
        <v>779</v>
      </c>
      <c r="B782" s="8" t="inlineStr">
        <is>
          <t xml:space="preserve">                return</t>
        </is>
      </c>
    </row>
    <row r="783">
      <c r="A783" s="9" t="n">
        <v>780</v>
      </c>
      <c r="B783" s="10" t="inlineStr"/>
    </row>
    <row r="784">
      <c r="A784" s="7" t="n">
        <v>781</v>
      </c>
      <c r="B784" s="8" t="inlineStr">
        <is>
          <t xml:space="preserve">            annotator.init_models()</t>
        </is>
      </c>
    </row>
    <row r="785">
      <c r="A785" s="9" t="n">
        <v>782</v>
      </c>
      <c r="B785" s="10" t="inlineStr"/>
    </row>
    <row r="786">
      <c r="A786" s="7" t="n">
        <v>783</v>
      </c>
      <c r="B786" s="8" t="inlineStr">
        <is>
          <t xml:space="preserve">            # 串行识别每帧</t>
        </is>
      </c>
    </row>
    <row r="787">
      <c r="A787" s="9" t="n">
        <v>784</v>
      </c>
      <c r="B787" s="10" t="inlineStr">
        <is>
          <t xml:space="preserve">            for i, ann in enumerate(annotator.frames):</t>
        </is>
      </c>
    </row>
    <row r="788">
      <c r="A788" s="7" t="n">
        <v>785</v>
      </c>
      <c r="B788" s="8" t="inlineStr">
        <is>
          <t xml:space="preserve">                if cancel_event.is_set():</t>
        </is>
      </c>
    </row>
    <row r="789">
      <c r="A789" s="9" t="n">
        <v>786</v>
      </c>
      <c r="B789" s="10" t="inlineStr">
        <is>
          <t xml:space="preserve">                    annotator.cleanup()</t>
        </is>
      </c>
    </row>
    <row r="790">
      <c r="A790" s="7" t="n">
        <v>787</v>
      </c>
      <c r="B790" s="8" t="inlineStr">
        <is>
          <t xml:space="preserve">                    return</t>
        </is>
      </c>
    </row>
    <row r="791">
      <c r="A791" s="9" t="n">
        <v>788</v>
      </c>
      <c r="B791" s="10" t="inlineStr">
        <is>
          <t xml:space="preserve">            annotator.run_models()</t>
        </is>
      </c>
    </row>
    <row r="792">
      <c r="A792" s="7" t="n">
        <v>789</v>
      </c>
      <c r="B792" s="8" t="inlineStr">
        <is>
          <t xml:space="preserve">        except Exception as e:</t>
        </is>
      </c>
    </row>
    <row r="793">
      <c r="A793" s="9" t="n">
        <v>790</v>
      </c>
      <c r="B793" s="10" t="inlineStr">
        <is>
          <t xml:space="preserve">            annotator.cleanup()</t>
        </is>
      </c>
    </row>
    <row r="794">
      <c r="A794" s="7" t="n">
        <v>791</v>
      </c>
      <c r="B794" s="8" t="inlineStr">
        <is>
          <t xml:space="preserve">            raise</t>
        </is>
      </c>
    </row>
    <row r="795">
      <c r="A795" s="9" t="n">
        <v>792</v>
      </c>
      <c r="B795" s="10" t="inlineStr"/>
    </row>
    <row r="796">
      <c r="A796" s="7" t="n">
        <v>793</v>
      </c>
      <c r="B796" s="8" t="inlineStr">
        <is>
          <t xml:space="preserve">        # 保存到 video_frames 表</t>
        </is>
      </c>
    </row>
    <row r="797">
      <c r="A797" s="9" t="n">
        <v>794</v>
      </c>
      <c r="B797" s="10" t="inlineStr">
        <is>
          <t xml:space="preserve">        vname = Path(video_path).name</t>
        </is>
      </c>
    </row>
    <row r="798">
      <c r="A798" s="7" t="n">
        <v>795</v>
      </c>
      <c r="B798" s="8" t="inlineStr">
        <is>
          <t xml:space="preserve">        try:</t>
        </is>
      </c>
    </row>
    <row r="799">
      <c r="A799" s="9" t="n">
        <v>796</v>
      </c>
      <c r="B799" s="10" t="inlineStr">
        <is>
          <t xml:space="preserve">            from core.database import db</t>
        </is>
      </c>
    </row>
    <row r="800">
      <c r="A800" s="7" t="n">
        <v>797</v>
      </c>
      <c r="B800" s="8" t="inlineStr">
        <is>
          <t xml:space="preserve">            import hashlib</t>
        </is>
      </c>
    </row>
    <row r="801">
      <c r="A801" s="9" t="n">
        <v>798</v>
      </c>
      <c r="B801" s="10" t="inlineStr">
        <is>
          <t xml:space="preserve">            video_hash = hashlib.md5(video_path.encode()).hexdigest()[:12]</t>
        </is>
      </c>
    </row>
    <row r="802">
      <c r="A802" s="7" t="n">
        <v>799</v>
      </c>
      <c r="B802" s="8" t="inlineStr">
        <is>
          <t xml:space="preserve">            frames_dir = str(Path(__file__).parent.parent / "shipin" / "frames" / video_hash)</t>
        </is>
      </c>
    </row>
    <row r="803">
      <c r="A803" s="9" t="n">
        <v>800</v>
      </c>
      <c r="B803" s="10" t="inlineStr">
        <is>
          <t xml:space="preserve">            os.makedirs(frames_dir, exist_ok=True)</t>
        </is>
      </c>
    </row>
    <row r="804">
      <c r="A804" s="7" t="n">
        <v>801</v>
      </c>
      <c r="B804" s="8" t="inlineStr"/>
    </row>
    <row r="805">
      <c r="A805" s="9" t="n">
        <v>802</v>
      </c>
      <c r="B805" s="10" t="inlineStr">
        <is>
          <t xml:space="preserve">            for ann in annotator.frames:</t>
        </is>
      </c>
    </row>
    <row r="806">
      <c r="A806" s="7" t="n">
        <v>803</v>
      </c>
      <c r="B806" s="8" t="inlineStr">
        <is>
          <t xml:space="preserve">                # 复制帧图片到永久目录</t>
        </is>
      </c>
    </row>
    <row r="807">
      <c r="A807" s="9" t="n">
        <v>804</v>
      </c>
      <c r="B807" s="10" t="inlineStr">
        <is>
          <t xml:space="preserve">                safe_ts = f"{ann.timestamp_sec:.3f}".replace(".", "_")</t>
        </is>
      </c>
    </row>
    <row r="808">
      <c r="A808" s="7" t="n">
        <v>805</v>
      </c>
      <c r="B808" s="8" t="inlineStr">
        <is>
          <t xml:space="preserve">                perm_path = os.path.join(frames_dir, f"frame_{safe_ts}s.jpg")</t>
        </is>
      </c>
    </row>
    <row r="809">
      <c r="A809" s="9" t="n">
        <v>806</v>
      </c>
      <c r="B809" s="10" t="inlineStr">
        <is>
          <t xml:space="preserve">                try:</t>
        </is>
      </c>
    </row>
    <row r="810">
      <c r="A810" s="7" t="n">
        <v>807</v>
      </c>
      <c r="B810" s="8" t="inlineStr">
        <is>
          <t xml:space="preserve">                    shutil.copy2(ann.frame_path, perm_path)</t>
        </is>
      </c>
    </row>
    <row r="811">
      <c r="A811" s="9" t="n">
        <v>808</v>
      </c>
      <c r="B811" s="10" t="inlineStr">
        <is>
          <t xml:space="preserve">                except Exception:</t>
        </is>
      </c>
    </row>
    <row r="812">
      <c r="A812" s="7" t="n">
        <v>809</v>
      </c>
      <c r="B812" s="8" t="inlineStr">
        <is>
          <t xml:space="preserve">                    perm_path = ann.frame_path</t>
        </is>
      </c>
    </row>
    <row r="813">
      <c r="A813" s="9" t="n">
        <v>810</v>
      </c>
      <c r="B813" s="10" t="inlineStr"/>
    </row>
    <row r="814">
      <c r="A814" s="7" t="n">
        <v>811</v>
      </c>
      <c r="B814" s="8" t="inlineStr">
        <is>
          <t xml:space="preserve">                # 收集标签</t>
        </is>
      </c>
    </row>
    <row r="815">
      <c r="A815" s="9" t="n">
        <v>812</v>
      </c>
      <c r="B815" s="10" t="inlineStr">
        <is>
          <t xml:space="preserve">                all_tags = set()</t>
        </is>
      </c>
    </row>
    <row r="816">
      <c r="A816" s="7" t="n">
        <v>813</v>
      </c>
      <c r="B816" s="8" t="inlineStr">
        <is>
          <t xml:space="preserve">                for tags in ann.model_tags.values():</t>
        </is>
      </c>
    </row>
    <row r="817">
      <c r="A817" s="9" t="n">
        <v>814</v>
      </c>
      <c r="B817" s="10" t="inlineStr">
        <is>
          <t xml:space="preserve">                    all_tags.update(tags)</t>
        </is>
      </c>
    </row>
    <row r="818">
      <c r="A818" s="7" t="n">
        <v>815</v>
      </c>
      <c r="B818" s="8" t="inlineStr"/>
    </row>
    <row r="819">
      <c r="A819" s="9" t="n">
        <v>816</v>
      </c>
      <c r="B819" s="10" t="inlineStr">
        <is>
          <t xml:space="preserve">                frame_data = {</t>
        </is>
      </c>
    </row>
    <row r="820">
      <c r="A820" s="7" t="n">
        <v>817</v>
      </c>
      <c r="B820" s="8" t="inlineStr">
        <is>
          <t xml:space="preserve">                    "video_path": video_path,</t>
        </is>
      </c>
    </row>
    <row r="821">
      <c r="A821" s="9" t="n">
        <v>818</v>
      </c>
      <c r="B821" s="10" t="inlineStr">
        <is>
          <t xml:space="preserve">                    "frame_timestamp": ann.timestamp_sec,</t>
        </is>
      </c>
    </row>
    <row r="822">
      <c r="A822" s="7" t="n">
        <v>819</v>
      </c>
      <c r="B822" s="8" t="inlineStr">
        <is>
          <t xml:space="preserve">                    "frame_image_path": perm_path,</t>
        </is>
      </c>
    </row>
    <row r="823">
      <c r="A823" s="9" t="n">
        <v>820</v>
      </c>
      <c r="B823" s="10" t="inlineStr">
        <is>
          <t xml:space="preserve">                    "caption": "",</t>
        </is>
      </c>
    </row>
    <row r="824">
      <c r="A824" s="7" t="n">
        <v>821</v>
      </c>
      <c r="B824" s="8" t="inlineStr">
        <is>
          <t xml:space="preserve">                    "objects": ", ".join(all_tags)[:500] if all_tags else "",</t>
        </is>
      </c>
    </row>
    <row r="825">
      <c r="A825" s="9" t="n">
        <v>822</v>
      </c>
      <c r="B825" s="10" t="inlineStr">
        <is>
          <t xml:space="preserve">                    "materials": "",</t>
        </is>
      </c>
    </row>
    <row r="826">
      <c r="A826" s="7" t="n">
        <v>823</v>
      </c>
      <c r="B826" s="8" t="inlineStr">
        <is>
          <t xml:space="preserve">                    "colors": "",</t>
        </is>
      </c>
    </row>
    <row r="827">
      <c r="A827" s="9" t="n">
        <v>824</v>
      </c>
      <c r="B827" s="10" t="inlineStr">
        <is>
          <t xml:space="preserve">                    "style": "",</t>
        </is>
      </c>
    </row>
    <row r="828">
      <c r="A828" s="7" t="n">
        <v>825</v>
      </c>
      <c r="B828" s="8" t="inlineStr">
        <is>
          <t xml:space="preserve">                    "scene_type": "标注帧",</t>
        </is>
      </c>
    </row>
    <row r="829">
      <c r="A829" s="9" t="n">
        <v>826</v>
      </c>
      <c r="B829" s="10" t="inlineStr">
        <is>
          <t xml:space="preserve">                    "model_confidence": 0.8,</t>
        </is>
      </c>
    </row>
    <row r="830">
      <c r="A830" s="7" t="n">
        <v>827</v>
      </c>
      <c r="B830" s="8" t="inlineStr">
        <is>
          <t xml:space="preserve">                }</t>
        </is>
      </c>
    </row>
    <row r="831">
      <c r="A831" s="9" t="n">
        <v>828</v>
      </c>
      <c r="B831" s="10" t="inlineStr">
        <is>
          <t xml:space="preserve">                try:</t>
        </is>
      </c>
    </row>
    <row r="832">
      <c r="A832" s="7" t="n">
        <v>829</v>
      </c>
      <c r="B832" s="8" t="inlineStr">
        <is>
          <t xml:space="preserve">                    db.insert_frame(frame_data)</t>
        </is>
      </c>
    </row>
    <row r="833">
      <c r="A833" s="9" t="n">
        <v>830</v>
      </c>
      <c r="B833" s="10" t="inlineStr">
        <is>
          <t xml:space="preserve">                except Exception:</t>
        </is>
      </c>
    </row>
    <row r="834">
      <c r="A834" s="7" t="n">
        <v>831</v>
      </c>
      <c r="B834" s="8" t="inlineStr">
        <is>
          <t xml:space="preserve">                    pass</t>
        </is>
      </c>
    </row>
    <row r="835">
      <c r="A835" s="9" t="n">
        <v>832</v>
      </c>
      <c r="B835" s="10" t="inlineStr"/>
    </row>
    <row r="836">
      <c r="A836" s="7" t="n">
        <v>833</v>
      </c>
      <c r="B836" s="8" t="inlineStr">
        <is>
          <t xml:space="preserve">            # 标记 has_frames</t>
        </is>
      </c>
    </row>
    <row r="837">
      <c r="A837" s="9" t="n">
        <v>834</v>
      </c>
      <c r="B837" s="10" t="inlineStr">
        <is>
          <t xml:space="preserve">            try:</t>
        </is>
      </c>
    </row>
    <row r="838">
      <c r="A838" s="7" t="n">
        <v>835</v>
      </c>
      <c r="B838" s="8" t="inlineStr">
        <is>
          <t xml:space="preserve">                with db.get_connection() as conn:</t>
        </is>
      </c>
    </row>
    <row r="839">
      <c r="A839" s="9" t="n">
        <v>836</v>
      </c>
      <c r="B839" s="10" t="inlineStr">
        <is>
          <t xml:space="preserve">                    conn.execute(</t>
        </is>
      </c>
    </row>
    <row r="840">
      <c r="A840" s="7" t="n">
        <v>837</v>
      </c>
      <c r="B840" s="8" t="inlineStr">
        <is>
          <t xml:space="preserve">                        "UPDATE materials SET has_frames = 1 WHERE video_path = ?",</t>
        </is>
      </c>
    </row>
    <row r="841">
      <c r="A841" s="9" t="n">
        <v>838</v>
      </c>
      <c r="B841" s="10" t="inlineStr">
        <is>
          <t xml:space="preserve">                        (video_path,))</t>
        </is>
      </c>
    </row>
    <row r="842">
      <c r="A842" s="7" t="n">
        <v>839</v>
      </c>
      <c r="B842" s="8" t="inlineStr">
        <is>
          <t xml:space="preserve">            except Exception:</t>
        </is>
      </c>
    </row>
    <row r="843">
      <c r="A843" s="9" t="n">
        <v>840</v>
      </c>
      <c r="B843" s="10" t="inlineStr">
        <is>
          <t xml:space="preserve">                pass</t>
        </is>
      </c>
    </row>
    <row r="844">
      <c r="A844" s="7" t="n">
        <v>841</v>
      </c>
      <c r="B844" s="8" t="inlineStr"/>
    </row>
    <row r="845">
      <c r="A845" s="9" t="n">
        <v>842</v>
      </c>
      <c r="B845" s="10" t="inlineStr">
        <is>
          <t xml:space="preserve">        except Exception:</t>
        </is>
      </c>
    </row>
    <row r="846">
      <c r="A846" s="7" t="n">
        <v>843</v>
      </c>
      <c r="B846" s="8" t="inlineStr">
        <is>
          <t xml:space="preserve">            pass</t>
        </is>
      </c>
    </row>
    <row r="847">
      <c r="A847" s="9" t="n">
        <v>844</v>
      </c>
      <c r="B847" s="10" t="inlineStr"/>
    </row>
    <row r="848">
      <c r="A848" s="7" t="n">
        <v>845</v>
      </c>
      <c r="B848" s="8" t="inlineStr">
        <is>
          <t xml:space="preserve">        annotator.cleanup()</t>
        </is>
      </c>
    </row>
    <row r="849">
      <c r="A849" s="9" t="n">
        <v>846</v>
      </c>
      <c r="B849" s="10" t="inlineStr"/>
    </row>
    <row r="850">
      <c r="A850" s="7" t="n">
        <v>847</v>
      </c>
      <c r="B850" s="8" t="inlineStr">
        <is>
          <t xml:space="preserve">    def _append_batch_log(self, msg: str):</t>
        </is>
      </c>
    </row>
    <row r="851">
      <c r="A851" s="9" t="n">
        <v>848</v>
      </c>
      <c r="B851" s="10" t="inlineStr">
        <is>
          <t xml:space="preserve">        """向批量识别日志框追加一行"""</t>
        </is>
      </c>
    </row>
    <row r="852">
      <c r="A852" s="7" t="n">
        <v>849</v>
      </c>
      <c r="B852" s="8" t="inlineStr">
        <is>
          <t xml:space="preserve">        from datetime import datetime</t>
        </is>
      </c>
    </row>
    <row r="853">
      <c r="A853" s="9" t="n">
        <v>850</v>
      </c>
      <c r="B853" s="10" t="inlineStr">
        <is>
          <t xml:space="preserve">        ts = datetime.now().strftime("%H:%M:%S")</t>
        </is>
      </c>
    </row>
    <row r="854">
      <c r="A854" s="7" t="n">
        <v>851</v>
      </c>
      <c r="B854" s="8" t="inlineStr">
        <is>
          <t xml:space="preserve">        self.tab.after(0, lambda: (</t>
        </is>
      </c>
    </row>
    <row r="855">
      <c r="A855" s="9" t="n">
        <v>852</v>
      </c>
      <c r="B855" s="10" t="inlineStr">
        <is>
          <t xml:space="preserve">            self._batch_log.configure(state="normal"),</t>
        </is>
      </c>
    </row>
    <row r="856">
      <c r="A856" s="7" t="n">
        <v>853</v>
      </c>
      <c r="B856" s="8" t="inlineStr">
        <is>
          <t xml:space="preserve">            self._batch_log.insert("end", f"[{ts}] {msg}\n"),</t>
        </is>
      </c>
    </row>
    <row r="857">
      <c r="A857" s="9" t="n">
        <v>854</v>
      </c>
      <c r="B857" s="10" t="inlineStr">
        <is>
          <t xml:space="preserve">            self._batch_log.see("end"),</t>
        </is>
      </c>
    </row>
    <row r="858">
      <c r="A858" s="7" t="n">
        <v>855</v>
      </c>
      <c r="B858" s="8" t="inlineStr">
        <is>
          <t xml:space="preserve">            self._batch_log.configure(state="disabled"),</t>
        </is>
      </c>
    </row>
    <row r="859">
      <c r="A859" s="9" t="n">
        <v>856</v>
      </c>
      <c r="B859" s="10" t="inlineStr">
        <is>
          <t xml:space="preserve">        ))</t>
        </is>
      </c>
    </row>
    <row r="860">
      <c r="A860" s="7" t="n">
        <v>857</v>
      </c>
      <c r="B860" s="8" t="inlineStr"/>
    </row>
    <row r="861">
      <c r="A861" s="9" t="n">
        <v>858</v>
      </c>
      <c r="B861" s="10" t="inlineStr">
        <is>
          <t xml:space="preserve">    def _poll_batch_queue(self):</t>
        </is>
      </c>
    </row>
    <row r="862">
      <c r="A862" s="7" t="n">
        <v>859</v>
      </c>
      <c r="B862" s="8" t="inlineStr">
        <is>
          <t xml:space="preserve">        """轮询批量识别队列，更新UI"""</t>
        </is>
      </c>
    </row>
    <row r="863">
      <c r="A863" s="9" t="n">
        <v>860</v>
      </c>
      <c r="B863" s="10" t="inlineStr">
        <is>
          <t xml:space="preserve">        try:</t>
        </is>
      </c>
    </row>
    <row r="864">
      <c r="A864" s="7" t="n">
        <v>861</v>
      </c>
      <c r="B864" s="8" t="inlineStr">
        <is>
          <t xml:space="preserve">            while True:</t>
        </is>
      </c>
    </row>
    <row r="865">
      <c r="A865" s="9" t="n">
        <v>862</v>
      </c>
      <c r="B865" s="10" t="inlineStr">
        <is>
          <t xml:space="preserve">                msg_type, payload = self._batch_queue.get_nowait()</t>
        </is>
      </c>
    </row>
    <row r="866">
      <c r="A866" s="7" t="n">
        <v>863</v>
      </c>
      <c r="B866" s="8" t="inlineStr">
        <is>
          <t xml:space="preserve">                if msg_type == "status":</t>
        </is>
      </c>
    </row>
    <row r="867">
      <c r="A867" s="9" t="n">
        <v>864</v>
      </c>
      <c r="B867" s="10" t="inlineStr">
        <is>
          <t xml:space="preserve">                    self._status_lbl.config(text=payload)</t>
        </is>
      </c>
    </row>
    <row r="868">
      <c r="A868" s="7" t="n">
        <v>865</v>
      </c>
      <c r="B868" s="8" t="inlineStr">
        <is>
          <t xml:space="preserve">                elif msg_type == "progress":</t>
        </is>
      </c>
    </row>
    <row r="869">
      <c r="A869" s="9" t="n">
        <v>866</v>
      </c>
      <c r="B869" s="10" t="inlineStr">
        <is>
          <t xml:space="preserve">                    self._progress["value"] = payload</t>
        </is>
      </c>
    </row>
    <row r="870">
      <c r="A870" s="7" t="n">
        <v>867</v>
      </c>
      <c r="B870" s="8" t="inlineStr">
        <is>
          <t xml:space="preserve">                    total = len(self._video_paths)</t>
        </is>
      </c>
    </row>
    <row r="871">
      <c r="A871" s="9" t="n">
        <v>868</v>
      </c>
      <c r="B871" s="10" t="inlineStr">
        <is>
          <t xml:space="preserve">                    self._pg_lbl.config(text=f"{payload}/{total}")</t>
        </is>
      </c>
    </row>
    <row r="872">
      <c r="A872" s="7" t="n">
        <v>869</v>
      </c>
      <c r="B872" s="8" t="inlineStr">
        <is>
          <t xml:space="preserve">                elif msg_type == "log":</t>
        </is>
      </c>
    </row>
    <row r="873">
      <c r="A873" s="9" t="n">
        <v>870</v>
      </c>
      <c r="B873" s="10" t="inlineStr">
        <is>
          <t xml:space="preserve">                    # 日志累积到状态栏</t>
        </is>
      </c>
    </row>
    <row r="874">
      <c r="A874" s="7" t="n">
        <v>871</v>
      </c>
      <c r="B874" s="8" t="inlineStr">
        <is>
          <t xml:space="preserve">                    self._fb_lbl.config(text=payload, foreground="#4a7c4f")</t>
        </is>
      </c>
    </row>
    <row r="875">
      <c r="A875" s="9" t="n">
        <v>872</v>
      </c>
      <c r="B875" s="10" t="inlineStr">
        <is>
          <t xml:space="preserve">                elif msg_type == "done":</t>
        </is>
      </c>
    </row>
    <row r="876">
      <c r="A876" s="7" t="n">
        <v>873</v>
      </c>
      <c r="B876" s="8" t="inlineStr">
        <is>
          <t xml:space="preserve">                    self._batch_running = False</t>
        </is>
      </c>
    </row>
    <row r="877">
      <c r="A877" s="9" t="n">
        <v>874</v>
      </c>
      <c r="B877" s="10" t="inlineStr">
        <is>
          <t xml:space="preserve">                    self._batch_stop_btn.configure(state="disabled")</t>
        </is>
      </c>
    </row>
    <row r="878">
      <c r="A878" s="7" t="n">
        <v>875</v>
      </c>
      <c r="B878" s="8" t="inlineStr">
        <is>
          <t xml:space="preserve">                    self._status_lbl.config(</t>
        </is>
      </c>
    </row>
    <row r="879">
      <c r="A879" s="9" t="n">
        <v>876</v>
      </c>
      <c r="B879" s="10" t="inlineStr">
        <is>
          <t xml:space="preserve">                        text="批量识别完成 — 点击视频查看帧结果")</t>
        </is>
      </c>
    </row>
    <row r="880">
      <c r="A880" s="7" t="n">
        <v>877</v>
      </c>
      <c r="B880" s="8" t="inlineStr">
        <is>
          <t xml:space="preserve">                    self._progress["value"] = self._progress.get("maximum", 100)</t>
        </is>
      </c>
    </row>
    <row r="881">
      <c r="A881" s="9" t="n">
        <v>878</v>
      </c>
      <c r="B881" s="10" t="inlineStr">
        <is>
          <t xml:space="preserve">                    messagebox.showinfo("完成", self._status_lbl.cget("text"))</t>
        </is>
      </c>
    </row>
    <row r="882">
      <c r="A882" s="7" t="n">
        <v>879</v>
      </c>
      <c r="B882" s="8" t="inlineStr">
        <is>
          <t xml:space="preserve">        except queue.Empty:</t>
        </is>
      </c>
    </row>
    <row r="883">
      <c r="A883" s="9" t="n">
        <v>880</v>
      </c>
      <c r="B883" s="10" t="inlineStr">
        <is>
          <t xml:space="preserve">            pass</t>
        </is>
      </c>
    </row>
    <row r="884">
      <c r="A884" s="7" t="n">
        <v>881</v>
      </c>
      <c r="B884" s="8" t="inlineStr"/>
    </row>
    <row r="885">
      <c r="A885" s="9" t="n">
        <v>882</v>
      </c>
      <c r="B885" s="10" t="inlineStr">
        <is>
          <t xml:space="preserve">        if self._batch_running:</t>
        </is>
      </c>
    </row>
    <row r="886">
      <c r="A886" s="7" t="n">
        <v>883</v>
      </c>
      <c r="B886" s="8" t="inlineStr">
        <is>
          <t xml:space="preserve">            self.tab.after(200, self._poll_batch_queue)</t>
        </is>
      </c>
    </row>
    <row r="887">
      <c r="A887" s="9" t="n">
        <v>884</v>
      </c>
      <c r="B887" s="10" t="inlineStr"/>
    </row>
    <row r="888">
      <c r="A888" s="7" t="n">
        <v>885</v>
      </c>
      <c r="B888" s="8" t="inlineStr">
        <is>
          <t xml:space="preserve">    def _stop_batch(self):</t>
        </is>
      </c>
    </row>
    <row r="889">
      <c r="A889" s="9" t="n">
        <v>886</v>
      </c>
      <c r="B889" s="10" t="inlineStr">
        <is>
          <t xml:space="preserve">        if self._batch_running:</t>
        </is>
      </c>
    </row>
    <row r="890">
      <c r="A890" s="7" t="n">
        <v>887</v>
      </c>
      <c r="B890" s="8" t="inlineStr">
        <is>
          <t xml:space="preserve">            self._batch_cancel.set()</t>
        </is>
      </c>
    </row>
    <row r="891">
      <c r="A891" s="9" t="n">
        <v>888</v>
      </c>
      <c r="B891" s="10" t="inlineStr">
        <is>
          <t xml:space="preserve">            self._batch_stop_btn.configure(state="disabled")</t>
        </is>
      </c>
    </row>
    <row r="892">
      <c r="A892" s="7" t="n">
        <v>889</v>
      </c>
      <c r="B892" s="8" t="inlineStr">
        <is>
          <t xml:space="preserve">            self._status_lbl.config(text="正在停止批量识别...")</t>
        </is>
      </c>
    </row>
    <row r="893">
      <c r="A893" s="9" t="n">
        <v>890</v>
      </c>
      <c r="B893" s="10" t="inlineStr"/>
    </row>
    <row r="894">
      <c r="A894" s="7" t="n">
        <v>891</v>
      </c>
      <c r="B894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895">
      <c r="A895" s="9" t="n">
        <v>892</v>
      </c>
      <c r="B895" s="10" t="inlineStr">
        <is>
          <t xml:space="preserve">    # 批量操作 + 反馈</t>
        </is>
      </c>
    </row>
    <row r="896">
      <c r="A896" s="7" t="n">
        <v>893</v>
      </c>
      <c r="B896" s="8" t="inlineStr">
        <is>
          <t xml:space="preserve">    # ═══════════════════════════════════════════════════════════</t>
        </is>
      </c>
    </row>
    <row r="897">
      <c r="A897" s="9" t="n">
        <v>894</v>
      </c>
      <c r="B897" s="10" t="inlineStr">
        <is>
          <t xml:space="preserve">    def _sel_all(self, on):</t>
        </is>
      </c>
    </row>
    <row r="898">
      <c r="A898" s="7" t="n">
        <v>895</v>
      </c>
      <c r="B898" s="8" t="inlineStr">
        <is>
          <t xml:space="preserve">        for fw in self._fw:</t>
        </is>
      </c>
    </row>
    <row r="899">
      <c r="A899" s="9" t="n">
        <v>896</v>
      </c>
      <c r="B899" s="10" t="inlineStr">
        <is>
          <t xml:space="preserve">            fw["sel"].set(on)</t>
        </is>
      </c>
    </row>
    <row r="900">
      <c r="A900" s="7" t="n">
        <v>897</v>
      </c>
      <c r="B900" s="8" t="inlineStr">
        <is>
          <t xml:space="preserve">            if fw.get("ann"):</t>
        </is>
      </c>
    </row>
    <row r="901">
      <c r="A901" s="9" t="n">
        <v>898</v>
      </c>
      <c r="B901" s="10" t="inlineStr">
        <is>
          <t xml:space="preserve">                fw["ann"].selected = on</t>
        </is>
      </c>
    </row>
    <row r="902">
      <c r="A902" s="7" t="n">
        <v>899</v>
      </c>
      <c r="B902" s="8" t="inlineStr">
        <is>
          <t xml:space="preserve">        self._sel_lbl.config(text=f"已选:{sum(1 for f in self._fw if f['sel'].get())}")</t>
        </is>
      </c>
    </row>
    <row r="903">
      <c r="A903" s="9" t="n">
        <v>900</v>
      </c>
      <c r="B903" s="10" t="inlineStr"/>
    </row>
    <row r="904">
      <c r="A904" s="7" t="n">
        <v>901</v>
      </c>
      <c r="B904" s="8" t="inlineStr">
        <is>
          <t xml:space="preserve">    def _batch_edit(self):</t>
        </is>
      </c>
    </row>
    <row r="905">
      <c r="A905" s="9" t="n">
        <v>902</v>
      </c>
      <c r="B905" s="10" t="inlineStr">
        <is>
          <t xml:space="preserve">        sel = [f for f in self._fw if f["sel"].get()]</t>
        </is>
      </c>
    </row>
    <row r="906">
      <c r="A906" s="7" t="n">
        <v>903</v>
      </c>
      <c r="B906" s="8" t="inlineStr">
        <is>
          <t xml:space="preserve">        if not sel:</t>
        </is>
      </c>
    </row>
    <row r="907">
      <c r="A907" s="9" t="n">
        <v>904</v>
      </c>
      <c r="B907" s="10" t="inlineStr">
        <is>
          <t xml:space="preserve">            messagebox.showinfo("提示", "请先勾选关键帧")</t>
        </is>
      </c>
    </row>
    <row r="908">
      <c r="A908" s="7" t="n">
        <v>905</v>
      </c>
      <c r="B908" s="8" t="inlineStr">
        <is>
          <t xml:space="preserve">            return</t>
        </is>
      </c>
    </row>
    <row r="909">
      <c r="A909" s="9" t="n">
        <v>906</v>
      </c>
      <c r="B909" s="10" t="inlineStr">
        <is>
          <t xml:space="preserve">        top = tk.Toplevel(self.app.root)</t>
        </is>
      </c>
    </row>
    <row r="910">
      <c r="A910" s="7" t="n">
        <v>907</v>
      </c>
      <c r="B910" s="8" t="inlineStr">
        <is>
          <t xml:space="preserve">        top.title("批量修改标签")</t>
        </is>
      </c>
    </row>
    <row r="911">
      <c r="A911" s="9" t="n">
        <v>908</v>
      </c>
      <c r="B911" s="10" t="inlineStr">
        <is>
          <t xml:space="preserve">        top.geometry("420x130")</t>
        </is>
      </c>
    </row>
    <row r="912">
      <c r="A912" s="7" t="n">
        <v>909</v>
      </c>
      <c r="B912" s="8" t="inlineStr">
        <is>
          <t xml:space="preserve">        tk.Label(top, text="输入标签(逗号分隔):", font=("Microsoft YaHei", 10)).pack(pady=8)</t>
        </is>
      </c>
    </row>
    <row r="913">
      <c r="A913" s="9" t="n">
        <v>910</v>
      </c>
      <c r="B913" s="10" t="inlineStr">
        <is>
          <t xml:space="preserve">        e = tk.Entry(top, width=45, font=("Microsoft YaHei", 10)); e.pack(pady=4); e.focus()</t>
        </is>
      </c>
    </row>
    <row r="914">
      <c r="A914" s="7" t="n">
        <v>911</v>
      </c>
      <c r="B914" s="8" t="inlineStr">
        <is>
          <t xml:space="preserve">        def _apply():</t>
        </is>
      </c>
    </row>
    <row r="915">
      <c r="A915" s="9" t="n">
        <v>912</v>
      </c>
      <c r="B915" s="10" t="inlineStr">
        <is>
          <t xml:space="preserve">            tags = [t.strip() for t in e.get().split(",") if t.strip()]</t>
        </is>
      </c>
    </row>
    <row r="916">
      <c r="A916" s="7" t="n">
        <v>913</v>
      </c>
      <c r="B916" s="8" t="inlineStr">
        <is>
          <t xml:space="preserve">            for f in sel:</t>
        </is>
      </c>
    </row>
    <row r="917">
      <c r="A917" s="9" t="n">
        <v>914</v>
      </c>
      <c r="B917" s="10" t="inlineStr">
        <is>
          <t xml:space="preserve">                f["tv"].set(", ".join(tags))</t>
        </is>
      </c>
    </row>
    <row r="918">
      <c r="A918" s="7" t="n">
        <v>915</v>
      </c>
      <c r="B918" s="8" t="inlineStr">
        <is>
          <t xml:space="preserve">                if f.get("from_db") and f.get("id"):</t>
        </is>
      </c>
    </row>
    <row r="919">
      <c r="A919" s="9" t="n">
        <v>916</v>
      </c>
      <c r="B919" s="10" t="inlineStr">
        <is>
          <t xml:space="preserve">                    self._save_db_frame(f["id"], f["sv"].get(), ", ".join(tags))</t>
        </is>
      </c>
    </row>
    <row r="920">
      <c r="A920" s="7" t="n">
        <v>917</v>
      </c>
      <c r="B920" s="8" t="inlineStr">
        <is>
          <t xml:space="preserve">                elif f.get("ann"):</t>
        </is>
      </c>
    </row>
    <row r="921">
      <c r="A921" s="9" t="n">
        <v>918</v>
      </c>
      <c r="B921" s="10" t="inlineStr">
        <is>
          <t xml:space="preserve">                    f["ann"].user_tags = tags</t>
        </is>
      </c>
    </row>
    <row r="922">
      <c r="A922" s="7" t="n">
        <v>919</v>
      </c>
      <c r="B922" s="8" t="inlineStr">
        <is>
          <t xml:space="preserve">                    f["ann"].edited = True</t>
        </is>
      </c>
    </row>
    <row r="923">
      <c r="A923" s="9" t="n">
        <v>920</v>
      </c>
      <c r="B923" s="10" t="inlineStr">
        <is>
          <t xml:space="preserve">            top.destroy()</t>
        </is>
      </c>
    </row>
    <row r="924">
      <c r="A924" s="7" t="n">
        <v>921</v>
      </c>
      <c r="B924" s="8" t="inlineStr">
        <is>
          <t xml:space="preserve">        tk.Button(top, text="应用", command=_apply, font=("Microsoft YaHei", 10)).pack(pady=8)</t>
        </is>
      </c>
    </row>
    <row r="925">
      <c r="A925" s="9" t="n">
        <v>922</v>
      </c>
      <c r="B925" s="10" t="inlineStr"/>
    </row>
    <row r="926">
      <c r="A926" s="7" t="n">
        <v>923</v>
      </c>
      <c r="B926" s="8" t="inlineStr">
        <is>
          <t xml:space="preserve">    def _on_feedback(self):</t>
        </is>
      </c>
    </row>
    <row r="927">
      <c r="A927" s="9" t="n">
        <v>924</v>
      </c>
      <c r="B927" s="10" t="inlineStr">
        <is>
          <t xml:space="preserve">        if self._annotator and self._annotator.frames:</t>
        </is>
      </c>
    </row>
    <row r="928">
      <c r="A928" s="7" t="n">
        <v>925</v>
      </c>
      <c r="B928" s="8" t="inlineStr">
        <is>
          <t xml:space="preserve">            for fw in self._fw:</t>
        </is>
      </c>
    </row>
    <row r="929">
      <c r="A929" s="9" t="n">
        <v>926</v>
      </c>
      <c r="B929" s="10" t="inlineStr">
        <is>
          <t xml:space="preserve">                if not fw.get("from_db") and fw.get("ann"):</t>
        </is>
      </c>
    </row>
    <row r="930">
      <c r="A930" s="7" t="n">
        <v>927</v>
      </c>
      <c r="B930" s="8" t="inlineStr">
        <is>
          <t xml:space="preserve">                    tags = [t.strip() for t in fw["tv"].get().split(",") if t.strip()]</t>
        </is>
      </c>
    </row>
    <row r="931">
      <c r="A931" s="9" t="n">
        <v>928</v>
      </c>
      <c r="B931" s="10" t="inlineStr">
        <is>
          <t xml:space="preserve">                    if tags != fw["ann"].user_tags:</t>
        </is>
      </c>
    </row>
    <row r="932">
      <c r="A932" s="7" t="n">
        <v>929</v>
      </c>
      <c r="B932" s="8" t="inlineStr">
        <is>
          <t xml:space="preserve">                        fw["ann"].user_tags = tags</t>
        </is>
      </c>
    </row>
    <row r="933">
      <c r="A933" s="9" t="n">
        <v>930</v>
      </c>
      <c r="B933" s="10" t="inlineStr">
        <is>
          <t xml:space="preserve">                        fw["ann"].edited = True</t>
        </is>
      </c>
    </row>
    <row r="934">
      <c r="A934" s="7" t="n">
        <v>931</v>
      </c>
      <c r="B934" s="8" t="inlineStr">
        <is>
          <t xml:space="preserve">            n = self._annotator.save_feedback()</t>
        </is>
      </c>
    </row>
    <row r="935">
      <c r="A935" s="9" t="n">
        <v>932</v>
      </c>
      <c r="B935" s="10" t="inlineStr">
        <is>
          <t xml:space="preserve">            self._fb_lbl.config(text=f"[OK] {n}条修正已学习", foreground="#43a047")</t>
        </is>
      </c>
    </row>
    <row r="936">
      <c r="A936" s="7" t="n">
        <v>933</v>
      </c>
      <c r="B936" s="8" t="inlineStr">
        <is>
          <t xml:space="preserve">        elif self._fw and self._fw[0].get("from_db"):</t>
        </is>
      </c>
    </row>
    <row r="937">
      <c r="A937" s="9" t="n">
        <v>934</v>
      </c>
      <c r="B937" s="10" t="inlineStr">
        <is>
          <t xml:space="preserve">            # 处理已加载的DB帧</t>
        </is>
      </c>
    </row>
    <row r="938">
      <c r="A938" s="7" t="n">
        <v>935</v>
      </c>
      <c r="B938" s="8" t="inlineStr">
        <is>
          <t xml:space="preserve">            count = 0</t>
        </is>
      </c>
    </row>
    <row r="939">
      <c r="A939" s="9" t="n">
        <v>936</v>
      </c>
      <c r="B939" s="10" t="inlineStr">
        <is>
          <t xml:space="preserve">            for fw in self._fw:</t>
        </is>
      </c>
    </row>
    <row r="940">
      <c r="A940" s="7" t="n">
        <v>937</v>
      </c>
      <c r="B940" s="8" t="inlineStr">
        <is>
          <t xml:space="preserve">                if fw.get("id") and fw.get("from_db"):</t>
        </is>
      </c>
    </row>
    <row r="941">
      <c r="A941" s="9" t="n">
        <v>938</v>
      </c>
      <c r="B941" s="10" t="inlineStr">
        <is>
          <t xml:space="preserve">                    self._save_db_frame(fw["id"], fw["sv"].get(), fw["tv"].get())</t>
        </is>
      </c>
    </row>
    <row r="942">
      <c r="A942" s="7" t="n">
        <v>939</v>
      </c>
      <c r="B942" s="8" t="inlineStr">
        <is>
          <t xml:space="preserve">                    count += 1</t>
        </is>
      </c>
    </row>
    <row r="943">
      <c r="A943" s="9" t="n">
        <v>940</v>
      </c>
      <c r="B943" s="10" t="inlineStr">
        <is>
          <t xml:space="preserve">            self._fb_lbl.config(text=f"[OK] {count}条已保存", foreground="#43a047")</t>
        </is>
      </c>
    </row>
    <row r="944">
      <c r="A944" s="7" t="n">
        <v>941</v>
      </c>
      <c r="B944" s="8" t="inlineStr">
        <is>
          <t xml:space="preserve">        else:</t>
        </is>
      </c>
    </row>
    <row r="945">
      <c r="A945" s="9" t="n">
        <v>942</v>
      </c>
      <c r="B945" s="10" t="inlineStr">
        <is>
          <t xml:space="preserve">            messagebox.showinfo("提示", "没有可提交的帧数据")</t>
        </is>
      </c>
    </row>
    <row r="946">
      <c r="A946" s="7" t="n">
        <v>943</v>
      </c>
      <c r="B946" s="8" t="inlineStr">
        <is>
          <t xml:space="preserve">        self._refresh_stats()</t>
        </is>
      </c>
    </row>
    <row r="947">
      <c r="A947" s="9" t="n">
        <v>944</v>
      </c>
      <c r="B947" s="10" t="inlineStr"/>
    </row>
    <row r="948">
      <c r="A948" s="7" t="n">
        <v>945</v>
      </c>
      <c r="B948" s="8" t="inlineStr">
        <is>
          <t xml:space="preserve">    def _refresh_stats(self):</t>
        </is>
      </c>
    </row>
    <row r="949">
      <c r="A949" s="9" t="n">
        <v>946</v>
      </c>
      <c r="B949" s="10" t="inlineStr">
        <is>
          <t xml:space="preserve">        try:</t>
        </is>
      </c>
    </row>
    <row r="950">
      <c r="A950" s="7" t="n">
        <v>947</v>
      </c>
      <c r="B950" s="8" t="inlineStr">
        <is>
          <t xml:space="preserve">            from core.database import db</t>
        </is>
      </c>
    </row>
    <row r="951">
      <c r="A951" s="9" t="n">
        <v>948</v>
      </c>
      <c r="B951" s="10" t="inlineStr">
        <is>
          <t xml:space="preserve">            with db.get_connection() as conn:</t>
        </is>
      </c>
    </row>
    <row r="952">
      <c r="A952" s="7" t="n">
        <v>949</v>
      </c>
      <c r="B952" s="8" t="inlineStr">
        <is>
          <t xml:space="preserve">                total = conn.execute("SELECT COUNT(*) FROM video_frames").fetchone()[0]</t>
        </is>
      </c>
    </row>
    <row r="953">
      <c r="A953" s="9" t="n">
        <v>950</v>
      </c>
      <c r="B953" s="10" t="inlineStr">
        <is>
          <t xml:space="preserve">                scored = conn.execute(</t>
        </is>
      </c>
    </row>
    <row r="954">
      <c r="A954" s="7" t="n">
        <v>951</v>
      </c>
      <c r="B954" s="8" t="inlineStr">
        <is>
          <t xml:space="preserve">                    "SELECT COUNT(*) FROM video_frames WHERE user_score != 3").fetchone()[0]</t>
        </is>
      </c>
    </row>
    <row r="955">
      <c r="A955" s="9" t="n">
        <v>952</v>
      </c>
      <c r="B955" s="10" t="inlineStr">
        <is>
          <t xml:space="preserve">                videos = conn.execute(</t>
        </is>
      </c>
    </row>
    <row r="956">
      <c r="A956" s="7" t="n">
        <v>953</v>
      </c>
      <c r="B956" s="8" t="inlineStr">
        <is>
          <t xml:space="preserve">                    "SELECT COUNT(DISTINCT video_path) FROM video_frames").fetchone()[0]</t>
        </is>
      </c>
    </row>
    <row r="957">
      <c r="A957" s="9" t="n">
        <v>954</v>
      </c>
      <c r="B957" s="10" t="inlineStr">
        <is>
          <t xml:space="preserve">            self._stats_lbl.config(</t>
        </is>
      </c>
    </row>
    <row r="958">
      <c r="A958" s="7" t="n">
        <v>955</v>
      </c>
      <c r="B958" s="8" t="inlineStr">
        <is>
          <t xml:space="preserve">                text=f"帧DB: {total}帧 | 已评分: {scored} | 视频: {videos}")</t>
        </is>
      </c>
    </row>
    <row r="959">
      <c r="A959" s="9" t="n">
        <v>956</v>
      </c>
      <c r="B959" s="10" t="inlineStr">
        <is>
          <t xml:space="preserve">        except Exception:</t>
        </is>
      </c>
    </row>
    <row r="960">
      <c r="A960" s="7" t="n">
        <v>957</v>
      </c>
      <c r="B960" s="8" t="inlineStr">
        <is>
          <t xml:space="preserve">            self._stats_lbl.config(text="统计加载中...")</t>
        </is>
      </c>
    </row>
    <row r="961">
      <c r="A961" s="9" t="n">
        <v>958</v>
      </c>
      <c r="B961" s="10" t="inlineStr"/>
    </row>
    <row r="962">
      <c r="A962" s="7" t="n">
        <v>959</v>
      </c>
      <c r="B962" s="8" t="inlineStr">
        <is>
          <t xml:space="preserve">    @staticmethod</t>
        </is>
      </c>
    </row>
    <row r="963">
      <c r="A963" s="9" t="n">
        <v>960</v>
      </c>
      <c r="B963" s="10" t="inlineStr">
        <is>
          <t xml:space="preserve">    def _fmt_ts(sec):</t>
        </is>
      </c>
    </row>
    <row r="964">
      <c r="A964" s="7" t="n">
        <v>961</v>
      </c>
      <c r="B964" s="8" t="inlineStr">
        <is>
          <t xml:space="preserve">        m, s = divmod(int(sec), 60)</t>
        </is>
      </c>
    </row>
    <row r="965">
      <c r="A965" s="9" t="n">
        <v>962</v>
      </c>
      <c r="B965" s="10" t="inlineStr">
        <is>
          <t xml:space="preserve">        h, m = divmod(m, 60)</t>
        </is>
      </c>
    </row>
    <row r="966">
      <c r="A966" s="7" t="n">
        <v>963</v>
      </c>
      <c r="B966" s="8" t="inlineStr">
        <is>
          <t xml:space="preserve">        ms = int((sec % 1) * 100)</t>
        </is>
      </c>
    </row>
    <row r="967">
      <c r="A967" s="9" t="n">
        <v>964</v>
      </c>
      <c r="B967" s="10" t="inlineStr">
        <is>
          <t xml:space="preserve">        return f"{h:02d}:{m:02d}:{s:02d}.{ms:02d}"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ui\help_window.py</t>
        </is>
      </c>
      <c r="C1" s="5" t="inlineStr">
        <is>
          <t>行数: 92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v11.1 — 内置帮助文档窗口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显示使用教程和快捷参考。</t>
        </is>
      </c>
    </row>
    <row r="8">
      <c r="A8" s="7" t="n">
        <v>5</v>
      </c>
      <c r="B8" s="8" t="inlineStr">
        <is>
          <t>用法: from ui.help_window import show_help; show_help(parent)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tkinter as tk</t>
        </is>
      </c>
    </row>
    <row r="11">
      <c r="A11" s="9" t="n">
        <v>8</v>
      </c>
      <c r="B11" s="10" t="inlineStr">
        <is>
          <t>from tkinter import ttk, scrolledtext</t>
        </is>
      </c>
    </row>
    <row r="12">
      <c r="A12" s="7" t="n">
        <v>9</v>
      </c>
      <c r="B12" s="8" t="inlineStr">
        <is>
          <t>from pathlib import Path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HELP_CONTENT = """</t>
        </is>
      </c>
    </row>
    <row r="16">
      <c r="A16" s="7" t="n">
        <v>13</v>
      </c>
      <c r="B16" s="8" t="inlineStr">
        <is>
          <t>树剪 TreeCut v11.1 — 使用教程</t>
        </is>
      </c>
    </row>
    <row r="17">
      <c r="A17" s="9" t="n">
        <v>14</v>
      </c>
      <c r="B17" s="10">
        <f>===============================================================</f>
        <v/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一、快速开始</t>
        </is>
      </c>
    </row>
    <row r="20">
      <c r="A20" s="7" t="n">
        <v>17</v>
      </c>
      <c r="B20" s="8" t="inlineStr">
        <is>
          <t xml:space="preserve">  1. 启动软件: 双击树剪.exe 或运行 python 树剪.py</t>
        </is>
      </c>
    </row>
    <row r="21">
      <c r="A21" s="9" t="n">
        <v>18</v>
      </c>
      <c r="B21" s="10" t="inlineStr">
        <is>
          <t xml:space="preserve">  2. 输入关键词: 在「快速生成」页输入卖点关键词 (如"内嵌烤箱")</t>
        </is>
      </c>
    </row>
    <row r="22">
      <c r="A22" s="7" t="n">
        <v>19</v>
      </c>
      <c r="B22" s="8" t="inlineStr">
        <is>
          <t xml:space="preserve">  3. 点击「生成视频草稿」: 等待 AI 完成文案→配音→匹配→草稿</t>
        </is>
      </c>
    </row>
    <row r="23">
      <c r="A23" s="9" t="n">
        <v>20</v>
      </c>
      <c r="B23" s="10" t="inlineStr">
        <is>
          <t xml:space="preserve">  4. 在剪映中打开: 生成的草稿位于剪映草稿目录中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二、核心功能</t>
        </is>
      </c>
    </row>
    <row r="26">
      <c r="A26" s="7" t="n">
        <v>23</v>
      </c>
      <c r="B26" s="8" t="inlineStr">
        <is>
          <t xml:space="preserve">  【快速生成】: 输入关键词 → 一键生成完整视频草稿</t>
        </is>
      </c>
    </row>
    <row r="27">
      <c r="A27" s="9" t="n">
        <v>24</v>
      </c>
      <c r="B27" s="10" t="inlineStr">
        <is>
          <t xml:space="preserve">  【批量生产】: 粘贴多个脚本 → 批量生成视频 (支持 Excel 导入)</t>
        </is>
      </c>
    </row>
    <row r="28">
      <c r="A28" s="7" t="n">
        <v>25</v>
      </c>
      <c r="B28" s="8" t="inlineStr">
        <is>
          <t xml:space="preserve">  【素材库】: 查看和管理所有素材文件</t>
        </is>
      </c>
    </row>
    <row r="29">
      <c r="A29" s="9" t="n">
        <v>26</v>
      </c>
      <c r="B29" s="10" t="inlineStr">
        <is>
          <t xml:space="preserve">  【全盘检索】: 扫描本地磁盘找到视频素材</t>
        </is>
      </c>
    </row>
    <row r="30">
      <c r="A30" s="7" t="n">
        <v>27</v>
      </c>
      <c r="B30" s="8" t="inlineStr">
        <is>
          <t xml:space="preserve">  【素材标注】: 关键帧 AI 识别 + 人工修正 → 反馈学习</t>
        </is>
      </c>
    </row>
    <row r="31">
      <c r="A31" s="9" t="n">
        <v>28</v>
      </c>
      <c r="B31" s="10" t="inlineStr">
        <is>
          <t xml:space="preserve">  【脚本学习库】: 管理脚本 → 评分 → AI 风格分析</t>
        </is>
      </c>
    </row>
    <row r="32">
      <c r="A32" s="7" t="n">
        <v>29</v>
      </c>
      <c r="B32" s="8" t="inlineStr">
        <is>
          <t xml:space="preserve">  【历史记录】: 查看已生成的草稿列表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三、AI 模型</t>
        </is>
      </c>
    </row>
    <row r="35">
      <c r="A35" s="9" t="n">
        <v>32</v>
      </c>
      <c r="B35" s="10" t="inlineStr">
        <is>
          <t xml:space="preserve">  Qwen3-VL-4B: 视觉分析 (物体/材质/颜色/风格)</t>
        </is>
      </c>
    </row>
    <row r="36">
      <c r="A36" s="7" t="n">
        <v>33</v>
      </c>
      <c r="B36" s="8" t="inlineStr">
        <is>
          <t xml:space="preserve">  SenseVoice: 情绪识别 (7种) + 事件检测 (6种)</t>
        </is>
      </c>
    </row>
    <row r="37">
      <c r="A37" s="9" t="n">
        <v>34</v>
      </c>
      <c r="B37" s="10" t="inlineStr">
        <is>
          <t xml:space="preserve">  Whisper: 语音转文字 (large-v3)</t>
        </is>
      </c>
    </row>
    <row r="38">
      <c r="A38" s="7" t="n">
        <v>35</v>
      </c>
      <c r="B38" s="8" t="inlineStr">
        <is>
          <t xml:space="preserve">  FAISS+BGE-M3: 向量语义检索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>四、快捷键</t>
        </is>
      </c>
    </row>
    <row r="41">
      <c r="A41" s="9" t="n">
        <v>38</v>
      </c>
      <c r="B41" s="10" t="inlineStr">
        <is>
          <t xml:space="preserve">  Ctrl+Enter: 快速生成</t>
        </is>
      </c>
    </row>
    <row r="42">
      <c r="A42" s="7" t="n">
        <v>39</v>
      </c>
      <c r="B42" s="8" t="inlineStr">
        <is>
          <t xml:space="preserve">  Esc: 取消操作</t>
        </is>
      </c>
    </row>
    <row r="43">
      <c r="A43" s="9" t="n">
        <v>40</v>
      </c>
      <c r="B43" s="10" t="inlineStr">
        <is>
          <t xml:space="preserve">  Ctrl+R: 刷新素材库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>五、配置</t>
        </is>
      </c>
    </row>
    <row r="46">
      <c r="A46" s="7" t="n">
        <v>43</v>
      </c>
      <c r="B46" s="8" t="inlineStr">
        <is>
          <t xml:space="preserve">  DeepSeek API Key: 系统设置 → AI模型配置</t>
        </is>
      </c>
    </row>
    <row r="47">
      <c r="A47" s="9" t="n">
        <v>44</v>
      </c>
      <c r="B47" s="10" t="inlineStr">
        <is>
          <t xml:space="preserve">  素材路径: .env 文件中的 TREECUT_SELLING_DIR</t>
        </is>
      </c>
    </row>
    <row r="48">
      <c r="A48" s="7" t="n">
        <v>45</v>
      </c>
      <c r="B48" s="8" t="inlineStr">
        <is>
          <t xml:space="preserve">  模型目录: models/ 文件夹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>六、常见问题</t>
        </is>
      </c>
    </row>
    <row r="51">
      <c r="A51" s="9" t="n">
        <v>48</v>
      </c>
      <c r="B51" s="10" t="inlineStr">
        <is>
          <t xml:space="preserve">  Q: 素材匹配不精准?</t>
        </is>
      </c>
    </row>
    <row r="52">
      <c r="A52" s="7" t="n">
        <v>49</v>
      </c>
      <c r="B52" s="8" t="inlineStr">
        <is>
          <t xml:space="preserve">  A: 运行 python force_rebuild_faiss.py 重建索引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>
        <is>
          <t xml:space="preserve">  Q: 视觉模型加载失败?</t>
        </is>
      </c>
    </row>
    <row r="55">
      <c r="A55" s="9" t="n">
        <v>52</v>
      </c>
      <c r="B55" s="10" t="inlineStr">
        <is>
          <t xml:space="preserve">  A: 运行 dl_model.bat 下载模型 (~5.6GB)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Q: 配音失败?</t>
        </is>
      </c>
    </row>
    <row r="58">
      <c r="A58" s="7" t="n">
        <v>55</v>
      </c>
      <c r="B58" s="8" t="inlineStr">
        <is>
          <t xml:space="preserve">  A: 检查网络连接，Edge TTS 需要联网</t>
        </is>
      </c>
    </row>
    <row r="59">
      <c r="A59" s="9" t="n">
        <v>56</v>
      </c>
      <c r="B59" s="10" t="inlineStr">
        <is>
          <t>"""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/>
    </row>
    <row r="62">
      <c r="A62" s="7" t="n">
        <v>59</v>
      </c>
      <c r="B62" s="8" t="inlineStr">
        <is>
          <t>def show_help(parent=None):</t>
        </is>
      </c>
    </row>
    <row r="63">
      <c r="A63" s="9" t="n">
        <v>60</v>
      </c>
      <c r="B63" s="10" t="inlineStr">
        <is>
          <t xml:space="preserve">    """显示帮助窗口"""</t>
        </is>
      </c>
    </row>
    <row r="64">
      <c r="A64" s="7" t="n">
        <v>61</v>
      </c>
      <c r="B64" s="8" t="inlineStr">
        <is>
          <t xml:space="preserve">    win = tk.Toplevel(parent)</t>
        </is>
      </c>
    </row>
    <row r="65">
      <c r="A65" s="9" t="n">
        <v>62</v>
      </c>
      <c r="B65" s="10" t="inlineStr">
        <is>
          <t xml:space="preserve">    win.title("树剪 TreeCut 使用教程")</t>
        </is>
      </c>
    </row>
    <row r="66">
      <c r="A66" s="7" t="n">
        <v>63</v>
      </c>
      <c r="B66" s="8" t="inlineStr">
        <is>
          <t xml:space="preserve">    win.geometry("700x550")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 xml:space="preserve">    # 标题</t>
        </is>
      </c>
    </row>
    <row r="69">
      <c r="A69" s="9" t="n">
        <v>66</v>
      </c>
      <c r="B69" s="10" t="inlineStr">
        <is>
          <t xml:space="preserve">    header = ttk.Label(win, text="树剪 TreeCut v11.1 — 使用教程",</t>
        </is>
      </c>
    </row>
    <row r="70">
      <c r="A70" s="7" t="n">
        <v>67</v>
      </c>
      <c r="B70" s="8" t="inlineStr">
        <is>
          <t xml:space="preserve">                       font=("Microsoft YaHei", 14, "bold"))</t>
        </is>
      </c>
    </row>
    <row r="71">
      <c r="A71" s="9" t="n">
        <v>68</v>
      </c>
      <c r="B71" s="10" t="inlineStr">
        <is>
          <t xml:space="preserve">    header.pack(pady=8)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# 内容 (ScrolledText)</t>
        </is>
      </c>
    </row>
    <row r="74">
      <c r="A74" s="7" t="n">
        <v>71</v>
      </c>
      <c r="B74" s="8" t="inlineStr">
        <is>
          <t xml:space="preserve">    text_area = scrolledtext.ScrolledText(</t>
        </is>
      </c>
    </row>
    <row r="75">
      <c r="A75" s="9" t="n">
        <v>72</v>
      </c>
      <c r="B75" s="10" t="inlineStr">
        <is>
          <t xml:space="preserve">        win, wrap=tk.WORD,</t>
        </is>
      </c>
    </row>
    <row r="76">
      <c r="A76" s="7" t="n">
        <v>73</v>
      </c>
      <c r="B76" s="8" t="inlineStr">
        <is>
          <t xml:space="preserve">        font=("Microsoft YaHei", 10),</t>
        </is>
      </c>
    </row>
    <row r="77">
      <c r="A77" s="9" t="n">
        <v>74</v>
      </c>
      <c r="B77" s="10" t="inlineStr">
        <is>
          <t xml:space="preserve">        bg="#1a1a2e", fg="#e8eaf6",</t>
        </is>
      </c>
    </row>
    <row r="78">
      <c r="A78" s="7" t="n">
        <v>75</v>
      </c>
      <c r="B78" s="8" t="inlineStr">
        <is>
          <t xml:space="preserve">        insertbackground="#fff",</t>
        </is>
      </c>
    </row>
    <row r="79">
      <c r="A79" s="9" t="n">
        <v>76</v>
      </c>
      <c r="B79" s="10" t="inlineStr">
        <is>
          <t xml:space="preserve">    )</t>
        </is>
      </c>
    </row>
    <row r="80">
      <c r="A80" s="7" t="n">
        <v>77</v>
      </c>
      <c r="B80" s="8" t="inlineStr">
        <is>
          <t xml:space="preserve">    text_area.pack(fill="both", expand=True, padx=10, pady=(0, 10))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 xml:space="preserve">    # 尝试读取外部帮助文件</t>
        </is>
      </c>
    </row>
    <row r="83">
      <c r="A83" s="9" t="n">
        <v>80</v>
      </c>
      <c r="B83" s="10" t="inlineStr">
        <is>
          <t xml:space="preserve">    help_file = Path(__file__).parent.parent / "README.md"</t>
        </is>
      </c>
    </row>
    <row r="84">
      <c r="A84" s="7" t="n">
        <v>81</v>
      </c>
      <c r="B84" s="8" t="inlineStr">
        <is>
          <t xml:space="preserve">    if help_file.exists():</t>
        </is>
      </c>
    </row>
    <row r="85">
      <c r="A85" s="9" t="n">
        <v>82</v>
      </c>
      <c r="B85" s="10" t="inlineStr">
        <is>
          <t xml:space="preserve">        content = help_file.read_text(encoding="utf-8")</t>
        </is>
      </c>
    </row>
    <row r="86">
      <c r="A86" s="7" t="n">
        <v>83</v>
      </c>
      <c r="B86" s="8" t="inlineStr">
        <is>
          <t xml:space="preserve">    elif (Path(__file__).parent.parent / "REFACTOR_COMPLETE.md").exists():</t>
        </is>
      </c>
    </row>
    <row r="87">
      <c r="A87" s="9" t="n">
        <v>84</v>
      </c>
      <c r="B87" s="10" t="inlineStr">
        <is>
          <t xml:space="preserve">        content = (Path(__file__).parent.parent / "REFACTOR_COMPLETE.md").read_text(encoding="utf-8")</t>
        </is>
      </c>
    </row>
    <row r="88">
      <c r="A88" s="7" t="n">
        <v>85</v>
      </c>
      <c r="B88" s="8" t="inlineStr">
        <is>
          <t xml:space="preserve">    else:</t>
        </is>
      </c>
    </row>
    <row r="89">
      <c r="A89" s="9" t="n">
        <v>86</v>
      </c>
      <c r="B89" s="10" t="inlineStr">
        <is>
          <t xml:space="preserve">        content = HELP_CONTENT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 xml:space="preserve">    text_area.insert(tk.END, content)</t>
        </is>
      </c>
    </row>
    <row r="92">
      <c r="A92" s="7" t="n">
        <v>89</v>
      </c>
      <c r="B92" s="8" t="inlineStr">
        <is>
          <t xml:space="preserve">    text_area.config(state=tk.DISABLED)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  # 关闭按钮</t>
        </is>
      </c>
    </row>
    <row r="95">
      <c r="A95" s="9" t="n">
        <v>92</v>
      </c>
      <c r="B95" s="10" t="inlineStr">
        <is>
          <t xml:space="preserve">    ttk.Button(win, text="关闭", command=win.destroy).pack(pady=6)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ui\library_tab.py</t>
        </is>
      </c>
      <c r="C1" s="5" t="inlineStr">
        <is>
          <t>行数: 218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 xml:space="preserve"> """</t>
        </is>
      </c>
    </row>
    <row r="5">
      <c r="A5" s="9" t="n">
        <v>2</v>
      </c>
      <c r="B5" s="10" t="inlineStr">
        <is>
          <t>树剪 — 素材库管理 Tab</t>
        </is>
      </c>
    </row>
    <row r="6">
      <c r="A6" s="7" t="n">
        <v>3</v>
      </c>
      <c r="B6" s="8" t="inlineStr">
        <is>
          <t>批量分析、进度显示、手动编辑标签、FAISS索引管理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threading, time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import tkinter as tk</t>
        </is>
      </c>
    </row>
    <row r="11">
      <c r="A11" s="9" t="n">
        <v>8</v>
      </c>
      <c r="B11" s="10" t="inlineStr">
        <is>
          <t>from tkinter import ttk, messagebox, scrolledtext</t>
        </is>
      </c>
    </row>
    <row r="12">
      <c r="A12" s="7" t="n">
        <v>9</v>
      </c>
      <c r="B12" s="8" t="inlineStr"/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class LibraryTab:</t>
        </is>
      </c>
    </row>
    <row r="15">
      <c r="A15" s="9" t="n">
        <v>12</v>
      </c>
      <c r="B15" s="10" t="inlineStr">
        <is>
          <t xml:space="preserve">    """素材库管理面板 — 嵌入到主窗口的 Notebook"""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>
        <is>
          <t xml:space="preserve">    def __init__(self, notebook, app):</t>
        </is>
      </c>
    </row>
    <row r="18">
      <c r="A18" s="7" t="n">
        <v>15</v>
      </c>
      <c r="B18" s="8" t="inlineStr">
        <is>
          <t xml:space="preserve">        self.app = app</t>
        </is>
      </c>
    </row>
    <row r="19">
      <c r="A19" s="9" t="n">
        <v>16</v>
      </c>
      <c r="B19" s="10" t="inlineStr">
        <is>
          <t xml:space="preserve">        self.tab = ttk.Frame(notebook)</t>
        </is>
      </c>
    </row>
    <row r="20">
      <c r="A20" s="7" t="n">
        <v>17</v>
      </c>
      <c r="B20" s="8" t="inlineStr">
        <is>
          <t xml:space="preserve">        notebook.add(self.tab, text="AI素材库 / AI Library")</t>
        </is>
      </c>
    </row>
    <row r="21">
      <c r="A21" s="9" t="n">
        <v>18</v>
      </c>
      <c r="B21" s="10" t="inlineStr">
        <is>
          <t xml:space="preserve">        self._build()</t>
        </is>
      </c>
    </row>
    <row r="22">
      <c r="A22" s="7" t="n">
        <v>19</v>
      </c>
      <c r="B22" s="8" t="inlineStr">
        <is>
          <t xml:space="preserve">        self._analyzer = None</t>
        </is>
      </c>
    </row>
    <row r="23">
      <c r="A23" s="9" t="n">
        <v>20</v>
      </c>
      <c r="B23" s="10" t="inlineStr">
        <is>
          <t xml:space="preserve">        self._builder = None</t>
        </is>
      </c>
    </row>
    <row r="24">
      <c r="A24" s="7" t="n">
        <v>21</v>
      </c>
      <c r="B24" s="8" t="inlineStr">
        <is>
          <t xml:space="preserve">        self._analyzing = False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 xml:space="preserve">    def _build(self):</t>
        </is>
      </c>
    </row>
    <row r="27">
      <c r="A27" s="9" t="n">
        <v>24</v>
      </c>
      <c r="B27" s="10" t="inlineStr">
        <is>
          <t xml:space="preserve">        frm = ttk.Frame(self.tab, padding=10)</t>
        </is>
      </c>
    </row>
    <row r="28">
      <c r="A28" s="7" t="n">
        <v>25</v>
      </c>
      <c r="B28" s="8" t="inlineStr">
        <is>
          <t xml:space="preserve">        frm.pack(fill="both", expand=True)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 xml:space="preserve">        # ── 控制栏 ──</t>
        </is>
      </c>
    </row>
    <row r="31">
      <c r="A31" s="9" t="n">
        <v>28</v>
      </c>
      <c r="B31" s="10" t="inlineStr">
        <is>
          <t xml:space="preserve">        bf = ttk.Frame(frm); bf.pack(fill="x", pady=4)</t>
        </is>
      </c>
    </row>
    <row r="32">
      <c r="A32" s="7" t="n">
        <v>29</v>
      </c>
      <c r="B32" s="8" t="inlineStr">
        <is>
          <t xml:space="preserve">        ttk.Button(bf, text="🔍 扫描待分析视频 / Scan Pending",</t>
        </is>
      </c>
    </row>
    <row r="33">
      <c r="A33" s="9" t="n">
        <v>30</v>
      </c>
      <c r="B33" s="10" t="inlineStr">
        <is>
          <t xml:space="preserve">                  command=self._on_scan_pending).pack(side="left", padx=4)</t>
        </is>
      </c>
    </row>
    <row r="34">
      <c r="A34" s="7" t="n">
        <v>31</v>
      </c>
      <c r="B34" s="8" t="inlineStr">
        <is>
          <t xml:space="preserve">        ttk.Button(bf, text="▶ 开始批量分析 / Start Batch Analysis",</t>
        </is>
      </c>
    </row>
    <row r="35">
      <c r="A35" s="9" t="n">
        <v>32</v>
      </c>
      <c r="B35" s="10" t="inlineStr">
        <is>
          <t xml:space="preserve">                  command=self._on_start_analysis).pack(side="left", padx=4)</t>
        </is>
      </c>
    </row>
    <row r="36">
      <c r="A36" s="7" t="n">
        <v>33</v>
      </c>
      <c r="B36" s="8" t="inlineStr">
        <is>
          <t xml:space="preserve">        ttk.Button(bf, text="⏹ 停止 / Stop",</t>
        </is>
      </c>
    </row>
    <row r="37">
      <c r="A37" s="9" t="n">
        <v>34</v>
      </c>
      <c r="B37" s="10" t="inlineStr">
        <is>
          <t xml:space="preserve">                  command=self._on_stop_analysis).pack(side="left", padx=4)</t>
        </is>
      </c>
    </row>
    <row r="38">
      <c r="A38" s="7" t="n">
        <v>35</v>
      </c>
      <c r="B38" s="8" t="inlineStr">
        <is>
          <t xml:space="preserve">        ttk.Button(bf, text="📊 重建FAISS索引 / Rebuild Index",</t>
        </is>
      </c>
    </row>
    <row r="39">
      <c r="A39" s="9" t="n">
        <v>36</v>
      </c>
      <c r="B39" s="10" t="inlineStr">
        <is>
          <t xml:space="preserve">                  command=self._on_rebuild_index).pack(side="left", padx=4)</t>
        </is>
      </c>
    </row>
    <row r="40">
      <c r="A40" s="7" t="n">
        <v>37</v>
      </c>
      <c r="B40" s="8" t="inlineStr">
        <is>
          <t xml:space="preserve">        self.lib_status = ttk.Label(bf, text="就绪 / Ready",</t>
        </is>
      </c>
    </row>
    <row r="41">
      <c r="A41" s="9" t="n">
        <v>38</v>
      </c>
      <c r="B41" s="10" t="inlineStr">
        <is>
          <t xml:space="preserve">                                   foreground="#8892b0")</t>
        </is>
      </c>
    </row>
    <row r="42">
      <c r="A42" s="7" t="n">
        <v>39</v>
      </c>
      <c r="B42" s="8" t="inlineStr">
        <is>
          <t xml:space="preserve">        self.lib_status.pack(side="left", padx=12)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 xml:space="preserve">        # ── 进度条 ──</t>
        </is>
      </c>
    </row>
    <row r="45">
      <c r="A45" s="9" t="n">
        <v>42</v>
      </c>
      <c r="B45" s="10" t="inlineStr">
        <is>
          <t xml:space="preserve">        pf = ttk.Frame(frm); pf.pack(fill="x", pady=4)</t>
        </is>
      </c>
    </row>
    <row r="46">
      <c r="A46" s="7" t="n">
        <v>43</v>
      </c>
      <c r="B46" s="8" t="inlineStr">
        <is>
          <t xml:space="preserve">        self.lib_progress = ttk.Progressbar(pf, mode="determinate")</t>
        </is>
      </c>
    </row>
    <row r="47">
      <c r="A47" s="9" t="n">
        <v>44</v>
      </c>
      <c r="B47" s="10" t="inlineStr">
        <is>
          <t xml:space="preserve">        self.lib_progress.pack(fill="x", expand=True, side="left")</t>
        </is>
      </c>
    </row>
    <row r="48">
      <c r="A48" s="7" t="n">
        <v>45</v>
      </c>
      <c r="B48" s="8" t="inlineStr">
        <is>
          <t xml:space="preserve">        self.lib_progress_label = ttk.Label(pf, text="0%", width=6)</t>
        </is>
      </c>
    </row>
    <row r="49">
      <c r="A49" s="9" t="n">
        <v>46</v>
      </c>
      <c r="B49" s="10" t="inlineStr">
        <is>
          <t xml:space="preserve">        self.lib_progress_label.pack(side="right")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    # ── 统计面板 ──</t>
        </is>
      </c>
    </row>
    <row r="52">
      <c r="A52" s="7" t="n">
        <v>49</v>
      </c>
      <c r="B52" s="8" t="inlineStr">
        <is>
          <t xml:space="preserve">        sf = ttk.Frame(frm); sf.pack(fill="x", pady=4)</t>
        </is>
      </c>
    </row>
    <row r="53">
      <c r="A53" s="9" t="n">
        <v>50</v>
      </c>
      <c r="B53" s="10" t="inlineStr">
        <is>
          <t xml:space="preserve">        self.stats_labels = {}</t>
        </is>
      </c>
    </row>
    <row r="54">
      <c r="A54" s="7" t="n">
        <v>51</v>
      </c>
      <c r="B54" s="8" t="inlineStr">
        <is>
          <t xml:space="preserve">        for i, (key, label) in enumerate([</t>
        </is>
      </c>
    </row>
    <row r="55">
      <c r="A55" s="9" t="n">
        <v>52</v>
      </c>
      <c r="B55" s="10" t="inlineStr">
        <is>
          <t xml:space="preserve">            ("total", "总片段"), ("analyzed", "已分析"), ("pending", "待分析"), ("logs", "分析记录")</t>
        </is>
      </c>
    </row>
    <row r="56">
      <c r="A56" s="7" t="n">
        <v>53</v>
      </c>
      <c r="B56" s="8" t="inlineStr">
        <is>
          <t xml:space="preserve">        ]):</t>
        </is>
      </c>
    </row>
    <row r="57">
      <c r="A57" s="9" t="n">
        <v>54</v>
      </c>
      <c r="B57" s="10" t="inlineStr">
        <is>
          <t xml:space="preserve">            ttk.Label(sf, text=f"{label}:").grid(row=0, column=i*2, padx=(10,2), sticky="e")</t>
        </is>
      </c>
    </row>
    <row r="58">
      <c r="A58" s="7" t="n">
        <v>55</v>
      </c>
      <c r="B58" s="8" t="inlineStr">
        <is>
          <t xml:space="preserve">            lbl = ttk.Label(sf, text="-", font=("Microsoft YaHei", 12, "bold"))</t>
        </is>
      </c>
    </row>
    <row r="59">
      <c r="A59" s="9" t="n">
        <v>56</v>
      </c>
      <c r="B59" s="10" t="inlineStr">
        <is>
          <t xml:space="preserve">            lbl.grid(row=0, column=i*2+1, padx=(2,10), sticky="w")</t>
        </is>
      </c>
    </row>
    <row r="60">
      <c r="A60" s="7" t="n">
        <v>57</v>
      </c>
      <c r="B60" s="8" t="inlineStr">
        <is>
          <t xml:space="preserve">            self.stats_labels[key] = lbl</t>
        </is>
      </c>
    </row>
    <row r="61">
      <c r="A61" s="9" t="n">
        <v>58</v>
      </c>
      <c r="B61" s="10" t="inlineStr"/>
    </row>
    <row r="62">
      <c r="A62" s="7" t="n">
        <v>59</v>
      </c>
      <c r="B62" s="8" t="inlineStr">
        <is>
          <t xml:space="preserve">        # ── 日志区域 ──</t>
        </is>
      </c>
    </row>
    <row r="63">
      <c r="A63" s="9" t="n">
        <v>60</v>
      </c>
      <c r="B63" s="10" t="inlineStr">
        <is>
          <t xml:space="preserve">        self.log_area = scrolledtext.ScrolledText(frm, width=80, state="disabled",</t>
        </is>
      </c>
    </row>
    <row r="64">
      <c r="A64" s="7" t="n">
        <v>61</v>
      </c>
      <c r="B64" s="8" t="inlineStr">
        <is>
          <t xml:space="preserve">                                                   bg="#1a1a2e", fg="#e8eaf6",</t>
        </is>
      </c>
    </row>
    <row r="65">
      <c r="A65" s="9" t="n">
        <v>62</v>
      </c>
      <c r="B65" s="10" t="inlineStr">
        <is>
          <t xml:space="preserve">                                                   font=("Consolas", 10))</t>
        </is>
      </c>
    </row>
    <row r="66">
      <c r="A66" s="7" t="n">
        <v>63</v>
      </c>
      <c r="B66" s="8" t="inlineStr">
        <is>
          <t xml:space="preserve">        self.log_area.pack(fill="both", expand=True, pady=4)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 xml:space="preserve">        self._refresh_stats()</t>
        </is>
      </c>
    </row>
    <row r="69">
      <c r="A69" s="9" t="n">
        <v>66</v>
      </c>
      <c r="B69" s="10" t="inlineStr"/>
    </row>
    <row r="70">
      <c r="A70" s="7" t="n">
        <v>67</v>
      </c>
      <c r="B70" s="8" t="inlineStr">
        <is>
          <t xml:space="preserve">    # ── 操作 ──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 xml:space="preserve">    def _on_scan_pending(self):</t>
        </is>
      </c>
    </row>
    <row r="73">
      <c r="A73" s="9" t="n">
        <v>70</v>
      </c>
      <c r="B73" s="10" t="inlineStr">
        <is>
          <t xml:space="preserve">        """扫描待分析的视频"""</t>
        </is>
      </c>
    </row>
    <row r="74">
      <c r="A74" s="7" t="n">
        <v>71</v>
      </c>
      <c r="B74" s="8" t="inlineStr">
        <is>
          <t xml:space="preserve">        self._log("🔍 正在扫描待分析视频...")</t>
        </is>
      </c>
    </row>
    <row r="75">
      <c r="A75" s="9" t="n">
        <v>72</v>
      </c>
      <c r="B75" s="10" t="inlineStr">
        <is>
          <t xml:space="preserve">        self._bg_run(self._do_scan_pending, callback=self._on_scan_done)</t>
        </is>
      </c>
    </row>
    <row r="76">
      <c r="A76" s="7" t="n">
        <v>73</v>
      </c>
      <c r="B76" s="8" t="inlineStr"/>
    </row>
    <row r="77">
      <c r="A77" s="9" t="n">
        <v>74</v>
      </c>
      <c r="B77" s="10" t="inlineStr">
        <is>
          <t xml:space="preserve">    def _do_scan_pending(self):</t>
        </is>
      </c>
    </row>
    <row r="78">
      <c r="A78" s="7" t="n">
        <v>75</v>
      </c>
      <c r="B78" s="8" t="inlineStr">
        <is>
          <t xml:space="preserve">        """后台扫描"""</t>
        </is>
      </c>
    </row>
    <row r="79">
      <c r="A79" s="9" t="n">
        <v>76</v>
      </c>
      <c r="B79" s="10" t="inlineStr">
        <is>
          <t xml:space="preserve">        try:</t>
        </is>
      </c>
    </row>
    <row r="80">
      <c r="A80" s="7" t="n">
        <v>77</v>
      </c>
      <c r="B80" s="8" t="inlineStr">
        <is>
          <t xml:space="preserve">            from core.library_builder import LibraryBuilder</t>
        </is>
      </c>
    </row>
    <row r="81">
      <c r="A81" s="9" t="n">
        <v>78</v>
      </c>
      <c r="B81" s="10" t="inlineStr">
        <is>
          <t xml:space="preserve">            builder = LibraryBuilder()</t>
        </is>
      </c>
    </row>
    <row r="82">
      <c r="A82" s="7" t="n">
        <v>79</v>
      </c>
      <c r="B82" s="8" t="inlineStr">
        <is>
          <t xml:space="preserve">            # 从material_engine_v3获取已注册视频</t>
        </is>
      </c>
    </row>
    <row r="83">
      <c r="A83" s="9" t="n">
        <v>80</v>
      </c>
      <c r="B83" s="10" t="inlineStr">
        <is>
          <t xml:space="preserve">            import sqlite3</t>
        </is>
      </c>
    </row>
    <row r="84">
      <c r="A84" s="7" t="n">
        <v>81</v>
      </c>
      <c r="B84" s="8" t="inlineStr">
        <is>
          <t xml:space="preserve">            v3db = str(Path(__file__).parent.parent / "material_engine_v3" / "database" / "material_v3.db")</t>
        </is>
      </c>
    </row>
    <row r="85">
      <c r="A85" s="9" t="n">
        <v>82</v>
      </c>
      <c r="B85" s="10" t="inlineStr">
        <is>
          <t xml:space="preserve">            if os.path.exists(v3db):</t>
        </is>
      </c>
    </row>
    <row r="86">
      <c r="A86" s="7" t="n">
        <v>83</v>
      </c>
      <c r="B86" s="8" t="inlineStr">
        <is>
          <t xml:space="preserve">                conn = sqlite3.connect(v3db)</t>
        </is>
      </c>
    </row>
    <row r="87">
      <c r="A87" s="9" t="n">
        <v>84</v>
      </c>
      <c r="B87" s="10" t="inlineStr">
        <is>
          <t xml:space="preserve">                rows = conn.execute("SELECT DISTINCT path FROM videos WHERE status='scene_done' ORDER BY id LIMIT 100").fetchall()</t>
        </is>
      </c>
    </row>
    <row r="88">
      <c r="A88" s="7" t="n">
        <v>85</v>
      </c>
      <c r="B88" s="8" t="inlineStr">
        <is>
          <t xml:space="preserve">                conn.close()</t>
        </is>
      </c>
    </row>
    <row r="89">
      <c r="A89" s="9" t="n">
        <v>86</v>
      </c>
      <c r="B89" s="10" t="inlineStr">
        <is>
          <t xml:space="preserve">                video_paths = [r[0] for r in rows if os.path.exists(r[0])]</t>
        </is>
      </c>
    </row>
    <row r="90">
      <c r="A90" s="7" t="n">
        <v>87</v>
      </c>
      <c r="B90" s="8" t="inlineStr">
        <is>
          <t xml:space="preserve">                pending = builder.get_pending_videos(video_paths)</t>
        </is>
      </c>
    </row>
    <row r="91">
      <c r="A91" s="9" t="n">
        <v>88</v>
      </c>
      <c r="B91" s="10" t="inlineStr">
        <is>
          <t xml:space="preserve">                return {"total": len(video_paths), "pending": pending[:50]}  # 最多50</t>
        </is>
      </c>
    </row>
    <row r="92">
      <c r="A92" s="7" t="n">
        <v>89</v>
      </c>
      <c r="B92" s="8" t="inlineStr">
        <is>
          <t xml:space="preserve">            return {"total": 0, "pending": []}</t>
        </is>
      </c>
    </row>
    <row r="93">
      <c r="A93" s="9" t="n">
        <v>90</v>
      </c>
      <c r="B93" s="10" t="inlineStr">
        <is>
          <t xml:space="preserve">        except Exception as e:</t>
        </is>
      </c>
    </row>
    <row r="94">
      <c r="A94" s="7" t="n">
        <v>91</v>
      </c>
      <c r="B94" s="8" t="inlineStr">
        <is>
          <t xml:space="preserve">            return {"error": str(e)}</t>
        </is>
      </c>
    </row>
    <row r="95">
      <c r="A95" s="9" t="n">
        <v>92</v>
      </c>
      <c r="B95" s="10" t="inlineStr"/>
    </row>
    <row r="96">
      <c r="A96" s="7" t="n">
        <v>93</v>
      </c>
      <c r="B96" s="8" t="inlineStr">
        <is>
          <t xml:space="preserve">    def _on_scan_done(self, result):</t>
        </is>
      </c>
    </row>
    <row r="97">
      <c r="A97" s="9" t="n">
        <v>94</v>
      </c>
      <c r="B97" s="10" t="inlineStr">
        <is>
          <t xml:space="preserve">        if "error" in result:</t>
        </is>
      </c>
    </row>
    <row r="98">
      <c r="A98" s="7" t="n">
        <v>95</v>
      </c>
      <c r="B98" s="8" t="inlineStr">
        <is>
          <t xml:space="preserve">            self._log(f"❌ 扫描失败: {result['error']}")</t>
        </is>
      </c>
    </row>
    <row r="99">
      <c r="A99" s="9" t="n">
        <v>96</v>
      </c>
      <c r="B99" s="10" t="inlineStr">
        <is>
          <t xml:space="preserve">            return</t>
        </is>
      </c>
    </row>
    <row r="100">
      <c r="A100" s="7" t="n">
        <v>97</v>
      </c>
      <c r="B100" s="8" t="inlineStr">
        <is>
          <t xml:space="preserve">        self._log(f"📊 已注册: {result['total']} 个视频")</t>
        </is>
      </c>
    </row>
    <row r="101">
      <c r="A101" s="9" t="n">
        <v>98</v>
      </c>
      <c r="B101" s="10" t="inlineStr">
        <is>
          <t xml:space="preserve">        self._log(f"📋 待分析: {len(result['pending'])} 个")</t>
        </is>
      </c>
    </row>
    <row r="102">
      <c r="A102" s="7" t="n">
        <v>99</v>
      </c>
      <c r="B102" s="8" t="inlineStr">
        <is>
          <t xml:space="preserve">        self._pending_videos = result.get("pending", [])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  def _on_start_analysis(self):</t>
        </is>
      </c>
    </row>
    <row r="105">
      <c r="A105" s="9" t="n">
        <v>102</v>
      </c>
      <c r="B105" s="10" t="inlineStr">
        <is>
          <t xml:space="preserve">        """开始批量分析"""</t>
        </is>
      </c>
    </row>
    <row r="106">
      <c r="A106" s="7" t="n">
        <v>103</v>
      </c>
      <c r="B106" s="8" t="inlineStr">
        <is>
          <t xml:space="preserve">        if not hasattr(self, '_pending_videos') or not self._pending_videos:</t>
        </is>
      </c>
    </row>
    <row r="107">
      <c r="A107" s="9" t="n">
        <v>104</v>
      </c>
      <c r="B107" s="10" t="inlineStr">
        <is>
          <t xml:space="preserve">            messagebox.showinfo("提示", "请先点击「扫描待分析视频」")</t>
        </is>
      </c>
    </row>
    <row r="108">
      <c r="A108" s="7" t="n">
        <v>105</v>
      </c>
      <c r="B108" s="8" t="inlineStr">
        <is>
          <t xml:space="preserve">            return</t>
        </is>
      </c>
    </row>
    <row r="109">
      <c r="A109" s="9" t="n">
        <v>106</v>
      </c>
      <c r="B109" s="10" t="inlineStr"/>
    </row>
    <row r="110">
      <c r="A110" s="7" t="n">
        <v>107</v>
      </c>
      <c r="B110" s="8" t="inlineStr">
        <is>
          <t xml:space="preserve">        if self._analyzing:</t>
        </is>
      </c>
    </row>
    <row r="111">
      <c r="A111" s="9" t="n">
        <v>108</v>
      </c>
      <c r="B111" s="10" t="inlineStr">
        <is>
          <t xml:space="preserve">            messagebox.showinfo("提示", "分析任务正在进行中")</t>
        </is>
      </c>
    </row>
    <row r="112">
      <c r="A112" s="7" t="n">
        <v>109</v>
      </c>
      <c r="B112" s="8" t="inlineStr">
        <is>
          <t xml:space="preserve">            return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 xml:space="preserve">        self._analyzing = True</t>
        </is>
      </c>
    </row>
    <row r="115">
      <c r="A115" s="9" t="n">
        <v>112</v>
      </c>
      <c r="B115" s="10" t="inlineStr">
        <is>
          <t xml:space="preserve">        self._log(f"▶ 开始批量分析 {len(self._pending_videos)} 个视频...")</t>
        </is>
      </c>
    </row>
    <row r="116">
      <c r="A116" s="7" t="n">
        <v>113</v>
      </c>
      <c r="B116" s="8" t="inlineStr">
        <is>
          <t xml:space="preserve">        self._log("🔧 正在自动检查并启动所有模型 (Ollama/CLIP/Whisper/YOLO)...")</t>
        </is>
      </c>
    </row>
    <row r="117">
      <c r="A117" s="9" t="n">
        <v>114</v>
      </c>
      <c r="B117" s="10" t="inlineStr">
        <is>
          <t xml:space="preserve">        self.lib_progress["maximum"] = len(self._pending_videos) + 1</t>
        </is>
      </c>
    </row>
    <row r="118">
      <c r="A118" s="7" t="n">
        <v>115</v>
      </c>
      <c r="B118" s="8" t="inlineStr">
        <is>
          <t xml:space="preserve">        self.lib_progress["value"] = 0</t>
        </is>
      </c>
    </row>
    <row r="119">
      <c r="A119" s="9" t="n">
        <v>116</v>
      </c>
      <c r="B119" s="10" t="inlineStr"/>
    </row>
    <row r="120">
      <c r="A120" s="7" t="n">
        <v>117</v>
      </c>
      <c r="B120" s="8" t="inlineStr">
        <is>
          <t xml:space="preserve">        def _progress(status, fname, pct):</t>
        </is>
      </c>
    </row>
    <row r="121">
      <c r="A121" s="9" t="n">
        <v>118</v>
      </c>
      <c r="B121" s="10" t="inlineStr">
        <is>
          <t xml:space="preserve">            self.app.root.after(0, lambda: (</t>
        </is>
      </c>
    </row>
    <row r="122">
      <c r="A122" s="7" t="n">
        <v>119</v>
      </c>
      <c r="B122" s="8" t="inlineStr">
        <is>
          <t xml:space="preserve">                self.lib_status.config(text=f"{status} | {fname[:40]}"),</t>
        </is>
      </c>
    </row>
    <row r="123">
      <c r="A123" s="9" t="n">
        <v>120</v>
      </c>
      <c r="B123" s="10" t="inlineStr">
        <is>
          <t xml:space="preserve">                self.lib_progress_label.config(text=f"{int(pct*100)}%")</t>
        </is>
      </c>
    </row>
    <row r="124">
      <c r="A124" s="7" t="n">
        <v>121</v>
      </c>
      <c r="B124" s="8" t="inlineStr">
        <is>
          <t xml:space="preserve">            ))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    self._bg_run(lambda: self._do_analysis(_progress), callback=self._on_analysis_done)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 xml:space="preserve">    def _do_analysis(self, progress_callback):</t>
        </is>
      </c>
    </row>
    <row r="129">
      <c r="A129" s="9" t="n">
        <v>126</v>
      </c>
      <c r="B129" s="10" t="inlineStr">
        <is>
          <t xml:space="preserve">        from core.analyzer import VideoAnalyzer</t>
        </is>
      </c>
    </row>
    <row r="130">
      <c r="A130" s="7" t="n">
        <v>127</v>
      </c>
      <c r="B130" s="8" t="inlineStr">
        <is>
          <t xml:space="preserve">        from core.library_builder import LibraryBuilder</t>
        </is>
      </c>
    </row>
    <row r="131">
      <c r="A131" s="9" t="n">
        <v>128</v>
      </c>
      <c r="B131" s="10" t="inlineStr"/>
    </row>
    <row r="132">
      <c r="A132" s="7" t="n">
        <v>129</v>
      </c>
      <c r="B132" s="8" t="inlineStr">
        <is>
          <t xml:space="preserve">        builder = LibraryBuilder()</t>
        </is>
      </c>
    </row>
    <row r="133">
      <c r="A133" s="9" t="n">
        <v>130</v>
      </c>
      <c r="B133" s="10" t="inlineStr">
        <is>
          <t xml:space="preserve">        analyzer = VideoAnalyzer(progress_callback=progress_callback)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>
        <is>
          <t xml:space="preserve">        self.app.root.after(0, lambda: self._log("   🤖 模型将在首次使用时自动加载启动 (Ollama/CLIP/Whisper/YOLO)"))</t>
        </is>
      </c>
    </row>
    <row r="136">
      <c r="A136" s="7" t="n">
        <v>133</v>
      </c>
      <c r="B136" s="8" t="inlineStr">
        <is>
          <t xml:space="preserve">        results = []</t>
        </is>
      </c>
    </row>
    <row r="137">
      <c r="A137" s="9" t="n">
        <v>134</v>
      </c>
      <c r="B137" s="10" t="inlineStr">
        <is>
          <t xml:space="preserve">        models_used = []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    if analyzer.vision.available:</t>
        </is>
      </c>
    </row>
    <row r="140">
      <c r="A140" s="7" t="n">
        <v>137</v>
      </c>
      <c r="B140" s="8" t="inlineStr">
        <is>
          <t xml:space="preserve">            models_used.append("VisionModel")</t>
        </is>
      </c>
    </row>
    <row r="141">
      <c r="A141" s="9" t="n">
        <v>138</v>
      </c>
      <c r="B141" s="10" t="inlineStr">
        <is>
          <t xml:space="preserve">        if analyzer.whisper.available:</t>
        </is>
      </c>
    </row>
    <row r="142">
      <c r="A142" s="7" t="n">
        <v>139</v>
      </c>
      <c r="B142" s="8" t="inlineStr">
        <is>
          <t xml:space="preserve">            models_used.append("whisper")</t>
        </is>
      </c>
    </row>
    <row r="143">
      <c r="A143" s="9" t="n">
        <v>140</v>
      </c>
      <c r="B143" s="10" t="inlineStr"/>
    </row>
    <row r="144">
      <c r="A144" s="7" t="n">
        <v>141</v>
      </c>
      <c r="B144" s="8" t="inlineStr">
        <is>
          <t xml:space="preserve">        for i, vp in enumerate(self._pending_videos):</t>
        </is>
      </c>
    </row>
    <row r="145">
      <c r="A145" s="9" t="n">
        <v>142</v>
      </c>
      <c r="B145" s="10" t="inlineStr">
        <is>
          <t xml:space="preserve">            if not self._analyzing:</t>
        </is>
      </c>
    </row>
    <row r="146">
      <c r="A146" s="7" t="n">
        <v>143</v>
      </c>
      <c r="B146" s="8" t="inlineStr">
        <is>
          <t xml:space="preserve">                results.append("stopped")</t>
        </is>
      </c>
    </row>
    <row r="147">
      <c r="A147" s="9" t="n">
        <v>144</v>
      </c>
      <c r="B147" s="10" t="inlineStr">
        <is>
          <t xml:space="preserve">                break</t>
        </is>
      </c>
    </row>
    <row r="148">
      <c r="A148" s="7" t="n">
        <v>145</v>
      </c>
      <c r="B148" s="8" t="inlineStr"/>
    </row>
    <row r="149">
      <c r="A149" s="9" t="n">
        <v>146</v>
      </c>
      <c r="B149" s="10" t="inlineStr">
        <is>
          <t xml:space="preserve">            self.app.root.after(0, lambda n=i: self.lib_progress.configure(value=n+1))</t>
        </is>
      </c>
    </row>
    <row r="150">
      <c r="A150" s="7" t="n">
        <v>147</v>
      </c>
      <c r="B150" s="8" t="inlineStr">
        <is>
          <t xml:space="preserve">            try:</t>
        </is>
      </c>
    </row>
    <row r="151">
      <c r="A151" s="9" t="n">
        <v>148</v>
      </c>
      <c r="B151" s="10" t="inlineStr">
        <is>
          <t xml:space="preserve">                source = str(Path(vp).parent.name)</t>
        </is>
      </c>
    </row>
    <row r="152">
      <c r="A152" s="7" t="n">
        <v>149</v>
      </c>
      <c r="B152" s="8" t="inlineStr">
        <is>
          <t xml:space="preserve">                data = analyzer.analyze(vp, source_folder=source)</t>
        </is>
      </c>
    </row>
    <row r="153">
      <c r="A153" s="9" t="n">
        <v>150</v>
      </c>
      <c r="B153" s="10" t="inlineStr">
        <is>
          <t xml:space="preserve">                if data:</t>
        </is>
      </c>
    </row>
    <row r="154">
      <c r="A154" s="7" t="n">
        <v>151</v>
      </c>
      <c r="B154" s="8" t="inlineStr">
        <is>
          <t xml:space="preserve">                    builder.insert_analysis(data, models_used=models_used)</t>
        </is>
      </c>
    </row>
    <row r="155">
      <c r="A155" s="9" t="n">
        <v>152</v>
      </c>
      <c r="B155" s="10" t="inlineStr">
        <is>
          <t xml:space="preserve">                    results.append("ok")</t>
        </is>
      </c>
    </row>
    <row r="156">
      <c r="A156" s="7" t="n">
        <v>153</v>
      </c>
      <c r="B156" s="8" t="inlineStr">
        <is>
          <t xml:space="preserve">                    self.app.root.after(0, lambda: self._log(f"  ✅ {Path(vp).name[:50]}"))</t>
        </is>
      </c>
    </row>
    <row r="157">
      <c r="A157" s="9" t="n">
        <v>154</v>
      </c>
      <c r="B157" s="10" t="inlineStr">
        <is>
          <t xml:space="preserve">                else:</t>
        </is>
      </c>
    </row>
    <row r="158">
      <c r="A158" s="7" t="n">
        <v>155</v>
      </c>
      <c r="B158" s="8" t="inlineStr">
        <is>
          <t xml:space="preserve">                    results.append("no_frames")</t>
        </is>
      </c>
    </row>
    <row r="159">
      <c r="A159" s="9" t="n">
        <v>156</v>
      </c>
      <c r="B159" s="10" t="inlineStr">
        <is>
          <t xml:space="preserve">            except Exception as e:</t>
        </is>
      </c>
    </row>
    <row r="160">
      <c r="A160" s="7" t="n">
        <v>157</v>
      </c>
      <c r="B160" s="8" t="inlineStr">
        <is>
          <t xml:space="preserve">                results.append("error")</t>
        </is>
      </c>
    </row>
    <row r="161">
      <c r="A161" s="9" t="n">
        <v>158</v>
      </c>
      <c r="B161" s="10" t="inlineStr">
        <is>
          <t xml:space="preserve">                self.app.root.after(0, lambda e=e: self._log(f"  ❌ {e}"))</t>
        </is>
      </c>
    </row>
    <row r="162">
      <c r="A162" s="7" t="n">
        <v>159</v>
      </c>
      <c r="B162" s="8" t="inlineStr"/>
    </row>
    <row r="163">
      <c r="A163" s="9" t="n">
        <v>160</v>
      </c>
      <c r="B163" s="10" t="inlineStr">
        <is>
          <t xml:space="preserve">        return results</t>
        </is>
      </c>
    </row>
    <row r="164">
      <c r="A164" s="7" t="n">
        <v>161</v>
      </c>
      <c r="B164" s="8" t="inlineStr"/>
    </row>
    <row r="165">
      <c r="A165" s="9" t="n">
        <v>162</v>
      </c>
      <c r="B165" s="10" t="inlineStr">
        <is>
          <t xml:space="preserve">    def _on_analysis_done(self, results):</t>
        </is>
      </c>
    </row>
    <row r="166">
      <c r="A166" s="7" t="n">
        <v>163</v>
      </c>
      <c r="B166" s="8" t="inlineStr">
        <is>
          <t xml:space="preserve">        self._analyzing = False</t>
        </is>
      </c>
    </row>
    <row r="167">
      <c r="A167" s="9" t="n">
        <v>164</v>
      </c>
      <c r="B167" s="10" t="inlineStr">
        <is>
          <t xml:space="preserve">        ok = results.count("ok") if isinstance(results, list) else 0</t>
        </is>
      </c>
    </row>
    <row r="168">
      <c r="A168" s="7" t="n">
        <v>165</v>
      </c>
      <c r="B168" s="8" t="inlineStr">
        <is>
          <t xml:space="preserve">        self._log(f"\n✅ 分析完成: {ok}/{len(self._pending_videos)} 个")</t>
        </is>
      </c>
    </row>
    <row r="169">
      <c r="A169" s="9" t="n">
        <v>166</v>
      </c>
      <c r="B169" s="10" t="inlineStr">
        <is>
          <t xml:space="preserve">        self._refresh_stats()</t>
        </is>
      </c>
    </row>
    <row r="170">
      <c r="A170" s="7" t="n">
        <v>167</v>
      </c>
      <c r="B170" s="8" t="inlineStr">
        <is>
          <t xml:space="preserve">        self.lib_status.config(text="分析完成 / Analysis Done")</t>
        </is>
      </c>
    </row>
    <row r="171">
      <c r="A171" s="9" t="n">
        <v>168</v>
      </c>
      <c r="B171" s="10" t="inlineStr">
        <is>
          <t xml:space="preserve">        self.lib_progress_label.config(text="100%")</t>
        </is>
      </c>
    </row>
    <row r="172">
      <c r="A172" s="7" t="n">
        <v>169</v>
      </c>
      <c r="B172" s="8" t="inlineStr">
        <is>
          <t xml:space="preserve">        messagebox.showinfo("分析完成", f"成功分析 {ok} 个视频\n结果已写入数据库")</t>
        </is>
      </c>
    </row>
    <row r="173">
      <c r="A173" s="9" t="n">
        <v>170</v>
      </c>
      <c r="B173" s="10" t="inlineStr"/>
    </row>
    <row r="174">
      <c r="A174" s="7" t="n">
        <v>171</v>
      </c>
      <c r="B174" s="8" t="inlineStr">
        <is>
          <t xml:space="preserve">    def _on_stop_analysis(self):</t>
        </is>
      </c>
    </row>
    <row r="175">
      <c r="A175" s="9" t="n">
        <v>172</v>
      </c>
      <c r="B175" s="10" t="inlineStr">
        <is>
          <t xml:space="preserve">        self._analyzing = False</t>
        </is>
      </c>
    </row>
    <row r="176">
      <c r="A176" s="7" t="n">
        <v>173</v>
      </c>
      <c r="B176" s="8" t="inlineStr">
        <is>
          <t xml:space="preserve">        self.lib_status.config(text="已停止 / Stopped")</t>
        </is>
      </c>
    </row>
    <row r="177">
      <c r="A177" s="9" t="n">
        <v>174</v>
      </c>
      <c r="B177" s="10" t="inlineStr">
        <is>
          <t xml:space="preserve">        self._log("⏹ 已请求停止")</t>
        </is>
      </c>
    </row>
    <row r="178">
      <c r="A178" s="7" t="n">
        <v>175</v>
      </c>
      <c r="B178" s="8" t="inlineStr"/>
    </row>
    <row r="179">
      <c r="A179" s="9" t="n">
        <v>176</v>
      </c>
      <c r="B179" s="10" t="inlineStr">
        <is>
          <t xml:space="preserve">    def _on_rebuild_index(self):</t>
        </is>
      </c>
    </row>
    <row r="180">
      <c r="A180" s="7" t="n">
        <v>177</v>
      </c>
      <c r="B180" s="8" t="inlineStr">
        <is>
          <t xml:space="preserve">        self._log("📊 正在重建FAISS索引...")</t>
        </is>
      </c>
    </row>
    <row r="181">
      <c r="A181" s="9" t="n">
        <v>178</v>
      </c>
      <c r="B181" s="10" t="inlineStr">
        <is>
          <t xml:space="preserve">        self._bg_run(self._do_rebuild, callback=lambda r: (</t>
        </is>
      </c>
    </row>
    <row r="182">
      <c r="A182" s="7" t="n">
        <v>179</v>
      </c>
      <c r="B182" s="8" t="inlineStr">
        <is>
          <t xml:space="preserve">            self._log(f"✅ FAISS索引已重建"),</t>
        </is>
      </c>
    </row>
    <row r="183">
      <c r="A183" s="9" t="n">
        <v>180</v>
      </c>
      <c r="B183" s="10" t="inlineStr">
        <is>
          <t xml:space="preserve">            self.lib_status.config(text="索引已更新 / Index Updated")</t>
        </is>
      </c>
    </row>
    <row r="184">
      <c r="A184" s="7" t="n">
        <v>181</v>
      </c>
      <c r="B184" s="8" t="inlineStr">
        <is>
          <t xml:space="preserve">        ))</t>
        </is>
      </c>
    </row>
    <row r="185">
      <c r="A185" s="9" t="n">
        <v>182</v>
      </c>
      <c r="B185" s="10" t="inlineStr"/>
    </row>
    <row r="186">
      <c r="A186" s="7" t="n">
        <v>183</v>
      </c>
      <c r="B186" s="8" t="inlineStr">
        <is>
          <t xml:space="preserve">    def _do_rebuild(self):</t>
        </is>
      </c>
    </row>
    <row r="187">
      <c r="A187" s="9" t="n">
        <v>184</v>
      </c>
      <c r="B187" s="10" t="inlineStr">
        <is>
          <t xml:space="preserve">        from core.library_builder import LibraryBuilder</t>
        </is>
      </c>
    </row>
    <row r="188">
      <c r="A188" s="7" t="n">
        <v>185</v>
      </c>
      <c r="B188" s="8" t="inlineStr">
        <is>
          <t xml:space="preserve">        builder = LibraryBuilder()</t>
        </is>
      </c>
    </row>
    <row r="189">
      <c r="A189" s="9" t="n">
        <v>186</v>
      </c>
      <c r="B189" s="10" t="inlineStr">
        <is>
          <t xml:space="preserve">        builder.build_faiss_index()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 xml:space="preserve">    # ── 辅助 ──</t>
        </is>
      </c>
    </row>
    <row r="192">
      <c r="A192" s="7" t="n">
        <v>189</v>
      </c>
      <c r="B192" s="8" t="inlineStr"/>
    </row>
    <row r="193">
      <c r="A193" s="9" t="n">
        <v>190</v>
      </c>
      <c r="B193" s="10" t="inlineStr">
        <is>
          <t xml:space="preserve">    def _refresh_stats(self):</t>
        </is>
      </c>
    </row>
    <row r="194">
      <c r="A194" s="7" t="n">
        <v>191</v>
      </c>
      <c r="B194" s="8" t="inlineStr">
        <is>
          <t xml:space="preserve">        try:</t>
        </is>
      </c>
    </row>
    <row r="195">
      <c r="A195" s="9" t="n">
        <v>192</v>
      </c>
      <c r="B195" s="10" t="inlineStr">
        <is>
          <t xml:space="preserve">            from core.library_builder import LibraryBuilder</t>
        </is>
      </c>
    </row>
    <row r="196">
      <c r="A196" s="7" t="n">
        <v>193</v>
      </c>
      <c r="B196" s="8" t="inlineStr">
        <is>
          <t xml:space="preserve">            builder = LibraryBuilder()</t>
        </is>
      </c>
    </row>
    <row r="197">
      <c r="A197" s="9" t="n">
        <v>194</v>
      </c>
      <c r="B197" s="10" t="inlineStr">
        <is>
          <t xml:space="preserve">            stats = builder.get_stats()</t>
        </is>
      </c>
    </row>
    <row r="198">
      <c r="A198" s="7" t="n">
        <v>195</v>
      </c>
      <c r="B198" s="8" t="inlineStr">
        <is>
          <t xml:space="preserve">            total_vids = stats.get("total_videos", 0)</t>
        </is>
      </c>
    </row>
    <row r="199">
      <c r="A199" s="9" t="n">
        <v>196</v>
      </c>
      <c r="B199" s="10" t="inlineStr">
        <is>
          <t xml:space="preserve">            analyzed = stats.get("analyzed_videos", 0)</t>
        </is>
      </c>
    </row>
    <row r="200">
      <c r="A200" s="7" t="n">
        <v>197</v>
      </c>
      <c r="B200" s="8" t="inlineStr">
        <is>
          <t xml:space="preserve">            self.stats_labels["total"].config(text=str(stats.get("total_segments", 0)))</t>
        </is>
      </c>
    </row>
    <row r="201">
      <c r="A201" s="9" t="n">
        <v>198</v>
      </c>
      <c r="B201" s="10" t="inlineStr">
        <is>
          <t xml:space="preserve">            self.stats_labels["analyzed"].config(text=str(analyzed))</t>
        </is>
      </c>
    </row>
    <row r="202">
      <c r="A202" s="7" t="n">
        <v>199</v>
      </c>
      <c r="B202" s="8" t="inlineStr">
        <is>
          <t xml:space="preserve">            self.stats_labels["pending"].config(text=str(total_vids - analyzed))</t>
        </is>
      </c>
    </row>
    <row r="203">
      <c r="A203" s="9" t="n">
        <v>200</v>
      </c>
      <c r="B203" s="10" t="inlineStr">
        <is>
          <t xml:space="preserve">            self.stats_labels["logs"].config(text=str(stats.get("analysis_logs", 0)))</t>
        </is>
      </c>
    </row>
    <row r="204">
      <c r="A204" s="7" t="n">
        <v>201</v>
      </c>
      <c r="B204" s="8" t="inlineStr">
        <is>
          <t xml:space="preserve">        except Exception as e:</t>
        </is>
      </c>
    </row>
    <row r="205">
      <c r="A205" s="9" t="n">
        <v>202</v>
      </c>
      <c r="B205" s="10" t="inlineStr">
        <is>
          <t xml:space="preserve">            self._log(f"统计刷新失败: {e}")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 xml:space="preserve">    def _log(self, msg):</t>
        </is>
      </c>
    </row>
    <row r="208">
      <c r="A208" s="7" t="n">
        <v>205</v>
      </c>
      <c r="B208" s="8" t="inlineStr">
        <is>
          <t xml:space="preserve">        self.log_area.config(state="normal")</t>
        </is>
      </c>
    </row>
    <row r="209">
      <c r="A209" s="9" t="n">
        <v>206</v>
      </c>
      <c r="B209" s="10" t="inlineStr">
        <is>
          <t xml:space="preserve">        self.log_area.insert("end", msg + "\n")</t>
        </is>
      </c>
    </row>
    <row r="210">
      <c r="A210" s="7" t="n">
        <v>207</v>
      </c>
      <c r="B210" s="8" t="inlineStr">
        <is>
          <t xml:space="preserve">        self.log_area.see("end")</t>
        </is>
      </c>
    </row>
    <row r="211">
      <c r="A211" s="9" t="n">
        <v>208</v>
      </c>
      <c r="B211" s="10" t="inlineStr">
        <is>
          <t xml:space="preserve">        self.log_area.config(state="disabled")</t>
        </is>
      </c>
    </row>
    <row r="212">
      <c r="A212" s="7" t="n">
        <v>209</v>
      </c>
      <c r="B212" s="8" t="inlineStr"/>
    </row>
    <row r="213">
      <c r="A213" s="9" t="n">
        <v>210</v>
      </c>
      <c r="B213" s="10" t="inlineStr">
        <is>
          <t xml:space="preserve">    def _bg_run(self, fn, callback=None):</t>
        </is>
      </c>
    </row>
    <row r="214">
      <c r="A214" s="7" t="n">
        <v>211</v>
      </c>
      <c r="B214" s="8" t="inlineStr">
        <is>
          <t xml:space="preserve">        def _r():</t>
        </is>
      </c>
    </row>
    <row r="215">
      <c r="A215" s="9" t="n">
        <v>212</v>
      </c>
      <c r="B215" s="10" t="inlineStr">
        <is>
          <t xml:space="preserve">            try:</t>
        </is>
      </c>
    </row>
    <row r="216">
      <c r="A216" s="7" t="n">
        <v>213</v>
      </c>
      <c r="B216" s="8" t="inlineStr">
        <is>
          <t xml:space="preserve">                result = fn()</t>
        </is>
      </c>
    </row>
    <row r="217">
      <c r="A217" s="9" t="n">
        <v>214</v>
      </c>
      <c r="B217" s="10" t="inlineStr">
        <is>
          <t xml:space="preserve">            except Exception as e:</t>
        </is>
      </c>
    </row>
    <row r="218">
      <c r="A218" s="7" t="n">
        <v>215</v>
      </c>
      <c r="B218" s="8" t="inlineStr">
        <is>
          <t xml:space="preserve">                result = {"error": str(e)}</t>
        </is>
      </c>
    </row>
    <row r="219">
      <c r="A219" s="9" t="n">
        <v>216</v>
      </c>
      <c r="B219" s="10" t="inlineStr">
        <is>
          <t xml:space="preserve">            if callback:</t>
        </is>
      </c>
    </row>
    <row r="220">
      <c r="A220" s="7" t="n">
        <v>217</v>
      </c>
      <c r="B220" s="8" t="inlineStr">
        <is>
          <t xml:space="preserve">                self.app.root.after(0, lambda r=result: callback(r))</t>
        </is>
      </c>
    </row>
    <row r="221">
      <c r="A221" s="9" t="n">
        <v>218</v>
      </c>
      <c r="B221" s="10" t="inlineStr">
        <is>
          <t xml:space="preserve">        threading.Thread(target=_r, daemon=True).start()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ui\library_tab_new.py</t>
        </is>
      </c>
      <c r="C1" s="5" t="inlineStr">
        <is>
          <t>行数: 800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v11.3 — 全新素材库标签页</t>
        </is>
      </c>
    </row>
    <row r="6">
      <c r="A6" s="7" t="n">
        <v>3</v>
      </c>
      <c r="B6" s="8">
        <f>=====================================</f>
        <v/>
      </c>
    </row>
    <row r="7">
      <c r="A7" s="9" t="n">
        <v>4</v>
      </c>
      <c r="B7" s="10" t="inlineStr">
        <is>
          <t>以视频为单位展示所有分析帧，每帧显示缩略图/标签/打分/编辑。</t>
        </is>
      </c>
    </row>
    <row r="8">
      <c r="A8" s="7" t="n">
        <v>5</v>
      </c>
      <c r="B8" s="8" t="inlineStr">
        <is>
          <t>支持滚轮滚动、实时同步后台扫描结果。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帧级可视化浏览器 — 替代旧版简单Treeview。</t>
        </is>
      </c>
    </row>
    <row r="11">
      <c r="A11" s="9" t="n">
        <v>8</v>
      </c>
      <c r="B11" s="10" t="inlineStr">
        <is>
          <t>"""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import os</t>
        </is>
      </c>
    </row>
    <row r="14">
      <c r="A14" s="7" t="n">
        <v>11</v>
      </c>
      <c r="B14" s="8" t="inlineStr">
        <is>
          <t>import sys</t>
        </is>
      </c>
    </row>
    <row r="15">
      <c r="A15" s="9" t="n">
        <v>12</v>
      </c>
      <c r="B15" s="10" t="inlineStr">
        <is>
          <t>import json</t>
        </is>
      </c>
    </row>
    <row r="16">
      <c r="A16" s="7" t="n">
        <v>13</v>
      </c>
      <c r="B16" s="8" t="inlineStr">
        <is>
          <t>import time</t>
        </is>
      </c>
    </row>
    <row r="17">
      <c r="A17" s="9" t="n">
        <v>14</v>
      </c>
      <c r="B17" s="10" t="inlineStr">
        <is>
          <t>import threading</t>
        </is>
      </c>
    </row>
    <row r="18">
      <c r="A18" s="7" t="n">
        <v>15</v>
      </c>
      <c r="B18" s="8" t="inlineStr">
        <is>
          <t>import queue</t>
        </is>
      </c>
    </row>
    <row r="19">
      <c r="A19" s="9" t="n">
        <v>16</v>
      </c>
      <c r="B19" s="10" t="inlineStr">
        <is>
          <t>from pathlib import Path</t>
        </is>
      </c>
    </row>
    <row r="20">
      <c r="A20" s="7" t="n">
        <v>17</v>
      </c>
      <c r="B20" s="8" t="inlineStr">
        <is>
          <t>from datetime import datetime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>sys.path.insert(0, str(Path(__file__).parent.parent))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import tkinter as tk</t>
        </is>
      </c>
    </row>
    <row r="25">
      <c r="A25" s="9" t="n">
        <v>22</v>
      </c>
      <c r="B25" s="10" t="inlineStr">
        <is>
          <t>from tkinter import messagebox, scrolledtext</t>
        </is>
      </c>
    </row>
    <row r="26">
      <c r="A26" s="7" t="n">
        <v>23</v>
      </c>
      <c r="B26" s="8" t="inlineStr">
        <is>
          <t>import ttkbootstrap as tb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>from ui.rounded_button import RoundedButton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# PIL 可选 — 用于缩略图加载</t>
        </is>
      </c>
    </row>
    <row r="31">
      <c r="A31" s="9" t="n">
        <v>28</v>
      </c>
      <c r="B31" s="10" t="inlineStr">
        <is>
          <t>try:</t>
        </is>
      </c>
    </row>
    <row r="32">
      <c r="A32" s="7" t="n">
        <v>29</v>
      </c>
      <c r="B32" s="8" t="inlineStr">
        <is>
          <t xml:space="preserve">    from PIL import Image, ImageTk</t>
        </is>
      </c>
    </row>
    <row r="33">
      <c r="A33" s="9" t="n">
        <v>30</v>
      </c>
      <c r="B33" s="10" t="inlineStr">
        <is>
          <t xml:space="preserve">    _HAS_PIL = True</t>
        </is>
      </c>
    </row>
    <row r="34">
      <c r="A34" s="7" t="n">
        <v>31</v>
      </c>
      <c r="B34" s="8" t="inlineStr">
        <is>
          <t>except ImportError:</t>
        </is>
      </c>
    </row>
    <row r="35">
      <c r="A35" s="9" t="n">
        <v>32</v>
      </c>
      <c r="B35" s="10" t="inlineStr">
        <is>
          <t xml:space="preserve">    _HAS_PIL = False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/>
    </row>
    <row r="38">
      <c r="A38" s="7" t="n">
        <v>35</v>
      </c>
      <c r="B38" s="8" t="inlineStr">
        <is>
          <t># ═══════════════════════════════════════════════════</t>
        </is>
      </c>
    </row>
    <row r="39">
      <c r="A39" s="9" t="n">
        <v>36</v>
      </c>
      <c r="B39" s="10" t="inlineStr">
        <is>
          <t># 工具函数</t>
        </is>
      </c>
    </row>
    <row r="40">
      <c r="A40" s="7" t="n">
        <v>37</v>
      </c>
      <c r="B40" s="8" t="inlineStr">
        <is>
          <t># ═══════════════════════════════════════════════════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>
        <is>
          <t>def _format_time(seconds: float) -&gt; str:</t>
        </is>
      </c>
    </row>
    <row r="43">
      <c r="A43" s="9" t="n">
        <v>40</v>
      </c>
      <c r="B43" s="10" t="inlineStr">
        <is>
          <t xml:space="preserve">    """秒 → mm:ss.fff"""</t>
        </is>
      </c>
    </row>
    <row r="44">
      <c r="A44" s="7" t="n">
        <v>41</v>
      </c>
      <c r="B44" s="8" t="inlineStr">
        <is>
          <t xml:space="preserve">    m = int(seconds // 60)</t>
        </is>
      </c>
    </row>
    <row r="45">
      <c r="A45" s="9" t="n">
        <v>42</v>
      </c>
      <c r="B45" s="10" t="inlineStr">
        <is>
          <t xml:space="preserve">    s = seconds % 60</t>
        </is>
      </c>
    </row>
    <row r="46">
      <c r="A46" s="7" t="n">
        <v>43</v>
      </c>
      <c r="B46" s="8" t="inlineStr">
        <is>
          <t xml:space="preserve">    return f"{m:02d}:{s:06.3f}"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/>
    </row>
    <row r="49">
      <c r="A49" s="9" t="n">
        <v>46</v>
      </c>
      <c r="B49" s="10" t="inlineStr">
        <is>
          <t>def _truncate(text: str, max_len: int = 60) -&gt; str:</t>
        </is>
      </c>
    </row>
    <row r="50">
      <c r="A50" s="7" t="n">
        <v>47</v>
      </c>
      <c r="B50" s="8" t="inlineStr">
        <is>
          <t xml:space="preserve">    if not text:</t>
        </is>
      </c>
    </row>
    <row r="51">
      <c r="A51" s="9" t="n">
        <v>48</v>
      </c>
      <c r="B51" s="10" t="inlineStr">
        <is>
          <t xml:space="preserve">        return ""</t>
        </is>
      </c>
    </row>
    <row r="52">
      <c r="A52" s="7" t="n">
        <v>49</v>
      </c>
      <c r="B52" s="8" t="inlineStr">
        <is>
          <t xml:space="preserve">    text = str(text)</t>
        </is>
      </c>
    </row>
    <row r="53">
      <c r="A53" s="9" t="n">
        <v>50</v>
      </c>
      <c r="B53" s="10" t="inlineStr">
        <is>
          <t xml:space="preserve">    return text[:max_len] + ("..." if len(text) &gt; max_len else "")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/>
    </row>
    <row r="56">
      <c r="A56" s="7" t="n">
        <v>53</v>
      </c>
      <c r="B56" s="8" t="inlineStr">
        <is>
          <t>def _count_frames_for_video(video_path: str, db) -&gt; int:</t>
        </is>
      </c>
    </row>
    <row r="57">
      <c r="A57" s="9" t="n">
        <v>54</v>
      </c>
      <c r="B57" s="10" t="inlineStr">
        <is>
          <t xml:space="preserve">    """快速获取某个视频的总帧数"""</t>
        </is>
      </c>
    </row>
    <row r="58">
      <c r="A58" s="7" t="n">
        <v>55</v>
      </c>
      <c r="B58" s="8" t="inlineStr">
        <is>
          <t xml:space="preserve">    try:</t>
        </is>
      </c>
    </row>
    <row r="59">
      <c r="A59" s="9" t="n">
        <v>56</v>
      </c>
      <c r="B59" s="10" t="inlineStr">
        <is>
          <t xml:space="preserve">        with db.get_connection() as conn:</t>
        </is>
      </c>
    </row>
    <row r="60">
      <c r="A60" s="7" t="n">
        <v>57</v>
      </c>
      <c r="B60" s="8" t="inlineStr">
        <is>
          <t xml:space="preserve">            row = conn.execute(</t>
        </is>
      </c>
    </row>
    <row r="61">
      <c r="A61" s="9" t="n">
        <v>58</v>
      </c>
      <c r="B61" s="10" t="inlineStr">
        <is>
          <t xml:space="preserve">                "SELECT COUNT(*) FROM video_frames WHERE video_path = ?",</t>
        </is>
      </c>
    </row>
    <row r="62">
      <c r="A62" s="7" t="n">
        <v>59</v>
      </c>
      <c r="B62" s="8" t="inlineStr">
        <is>
          <t xml:space="preserve">                (video_path,)</t>
        </is>
      </c>
    </row>
    <row r="63">
      <c r="A63" s="9" t="n">
        <v>60</v>
      </c>
      <c r="B63" s="10" t="inlineStr">
        <is>
          <t xml:space="preserve">            ).fetchone()</t>
        </is>
      </c>
    </row>
    <row r="64">
      <c r="A64" s="7" t="n">
        <v>61</v>
      </c>
      <c r="B64" s="8" t="inlineStr">
        <is>
          <t xml:space="preserve">            return row[0] if row else 0</t>
        </is>
      </c>
    </row>
    <row r="65">
      <c r="A65" s="9" t="n">
        <v>62</v>
      </c>
      <c r="B65" s="10" t="inlineStr">
        <is>
          <t xml:space="preserve">    except Exception:</t>
        </is>
      </c>
    </row>
    <row r="66">
      <c r="A66" s="7" t="n">
        <v>63</v>
      </c>
      <c r="B66" s="8" t="inlineStr">
        <is>
          <t xml:space="preserve">        return 0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/>
    </row>
    <row r="69">
      <c r="A69" s="9" t="n">
        <v>66</v>
      </c>
      <c r="B69" s="10" t="inlineStr">
        <is>
          <t># ═══════════════════════════════════════════════════</t>
        </is>
      </c>
    </row>
    <row r="70">
      <c r="A70" s="7" t="n">
        <v>67</v>
      </c>
      <c r="B70" s="8" t="inlineStr">
        <is>
          <t># 星星打分组件</t>
        </is>
      </c>
    </row>
    <row r="71">
      <c r="A71" s="9" t="n">
        <v>68</v>
      </c>
      <c r="B71" s="10" t="inlineStr">
        <is>
          <t># ═══════════════════════════════════════════════════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>class StarRating(tb.Frame):</t>
        </is>
      </c>
    </row>
    <row r="74">
      <c r="A74" s="7" t="n">
        <v>71</v>
      </c>
      <c r="B74" s="8" t="inlineStr">
        <is>
          <t xml:space="preserve">    """5颗星打分控件"""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 xml:space="preserve">    def __init__(self, parent, rating: int = 3, on_change=None):</t>
        </is>
      </c>
    </row>
    <row r="77">
      <c r="A77" s="9" t="n">
        <v>74</v>
      </c>
      <c r="B77" s="10" t="inlineStr">
        <is>
          <t xml:space="preserve">        super().__init__(parent)</t>
        </is>
      </c>
    </row>
    <row r="78">
      <c r="A78" s="7" t="n">
        <v>75</v>
      </c>
      <c r="B78" s="8" t="inlineStr">
        <is>
          <t xml:space="preserve">        self.rating = tk.IntVar(value=rating)</t>
        </is>
      </c>
    </row>
    <row r="79">
      <c r="A79" s="9" t="n">
        <v>76</v>
      </c>
      <c r="B79" s="10" t="inlineStr">
        <is>
          <t xml:space="preserve">        self.on_change = on_change</t>
        </is>
      </c>
    </row>
    <row r="80">
      <c r="A80" s="7" t="n">
        <v>77</v>
      </c>
      <c r="B80" s="8" t="inlineStr">
        <is>
          <t xml:space="preserve">        self._star_labels = []</t>
        </is>
      </c>
    </row>
    <row r="81">
      <c r="A81" s="9" t="n">
        <v>78</v>
      </c>
      <c r="B81" s="10" t="inlineStr">
        <is>
          <t xml:space="preserve">        self._build()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>
        <is>
          <t xml:space="preserve">    def _build(self):</t>
        </is>
      </c>
    </row>
    <row r="84">
      <c r="A84" s="7" t="n">
        <v>81</v>
      </c>
      <c r="B84" s="8" t="inlineStr">
        <is>
          <t xml:space="preserve">        for i in range(1, 6):</t>
        </is>
      </c>
    </row>
    <row r="85">
      <c r="A85" s="9" t="n">
        <v>82</v>
      </c>
      <c r="B85" s="10" t="inlineStr">
        <is>
          <t xml:space="preserve">            lbl = tb.Label(self, text="★", font=("", 14),</t>
        </is>
      </c>
    </row>
    <row r="86">
      <c r="A86" s="7" t="n">
        <v>83</v>
      </c>
      <c r="B86" s="8" t="inlineStr">
        <is>
          <t xml:space="preserve">                          foreground="#ffc107" if i &lt;= self.rating.get() else "#ccc",</t>
        </is>
      </c>
    </row>
    <row r="87">
      <c r="A87" s="9" t="n">
        <v>84</v>
      </c>
      <c r="B87" s="10" t="inlineStr">
        <is>
          <t xml:space="preserve">                          cursor="hand2", padding=(1, 0))</t>
        </is>
      </c>
    </row>
    <row r="88">
      <c r="A88" s="7" t="n">
        <v>85</v>
      </c>
      <c r="B88" s="8" t="inlineStr">
        <is>
          <t xml:space="preserve">            lbl.pack(side="left")</t>
        </is>
      </c>
    </row>
    <row r="89">
      <c r="A89" s="9" t="n">
        <v>86</v>
      </c>
      <c r="B89" s="10" t="inlineStr">
        <is>
          <t xml:space="preserve">            lbl.bind("&lt;Button-1&gt;", lambda e, v=i: self._set_rating(v))</t>
        </is>
      </c>
    </row>
    <row r="90">
      <c r="A90" s="7" t="n">
        <v>87</v>
      </c>
      <c r="B90" s="8" t="inlineStr">
        <is>
          <t xml:space="preserve">            lbl.bind("&lt;Enter&gt;", lambda e, idx=i: self._hover(idx))</t>
        </is>
      </c>
    </row>
    <row r="91">
      <c r="A91" s="9" t="n">
        <v>88</v>
      </c>
      <c r="B91" s="10" t="inlineStr">
        <is>
          <t xml:space="preserve">            lbl.bind("&lt;Leave&gt;", lambda e: self._refresh_display())</t>
        </is>
      </c>
    </row>
    <row r="92">
      <c r="A92" s="7" t="n">
        <v>89</v>
      </c>
      <c r="B92" s="8" t="inlineStr">
        <is>
          <t xml:space="preserve">            self._star_labels.append(lbl)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  def _set_rating(self, val: int):</t>
        </is>
      </c>
    </row>
    <row r="95">
      <c r="A95" s="9" t="n">
        <v>92</v>
      </c>
      <c r="B95" s="10" t="inlineStr">
        <is>
          <t xml:space="preserve">        self.rating.set(val)</t>
        </is>
      </c>
    </row>
    <row r="96">
      <c r="A96" s="7" t="n">
        <v>93</v>
      </c>
      <c r="B96" s="8" t="inlineStr">
        <is>
          <t xml:space="preserve">        self._refresh_display()</t>
        </is>
      </c>
    </row>
    <row r="97">
      <c r="A97" s="9" t="n">
        <v>94</v>
      </c>
      <c r="B97" s="10" t="inlineStr">
        <is>
          <t xml:space="preserve">        if self.on_change:</t>
        </is>
      </c>
    </row>
    <row r="98">
      <c r="A98" s="7" t="n">
        <v>95</v>
      </c>
      <c r="B98" s="8" t="inlineStr">
        <is>
          <t xml:space="preserve">            self.on_change(val)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 xml:space="preserve">    def _hover(self, val: int):</t>
        </is>
      </c>
    </row>
    <row r="101">
      <c r="A101" s="9" t="n">
        <v>98</v>
      </c>
      <c r="B101" s="10" t="inlineStr">
        <is>
          <t xml:space="preserve">        for i, lbl in enumerate(self._star_labels, 1):</t>
        </is>
      </c>
    </row>
    <row r="102">
      <c r="A102" s="7" t="n">
        <v>99</v>
      </c>
      <c r="B102" s="8" t="inlineStr">
        <is>
          <t xml:space="preserve">            lbl.config(foreground="#ffc107" if i &lt;= val else "#ccc")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  def _refresh_display(self):</t>
        </is>
      </c>
    </row>
    <row r="105">
      <c r="A105" s="9" t="n">
        <v>102</v>
      </c>
      <c r="B105" s="10" t="inlineStr">
        <is>
          <t xml:space="preserve">        r = self.rating.get()</t>
        </is>
      </c>
    </row>
    <row r="106">
      <c r="A106" s="7" t="n">
        <v>103</v>
      </c>
      <c r="B106" s="8" t="inlineStr">
        <is>
          <t xml:space="preserve">        for i, lbl in enumerate(self._star_labels, 1):</t>
        </is>
      </c>
    </row>
    <row r="107">
      <c r="A107" s="9" t="n">
        <v>104</v>
      </c>
      <c r="B107" s="10" t="inlineStr">
        <is>
          <t xml:space="preserve">            lbl.config(foreground="#ffc107" if i &lt;= r else "#ccc")</t>
        </is>
      </c>
    </row>
    <row r="108">
      <c r="A108" s="7" t="n">
        <v>105</v>
      </c>
      <c r="B108" s="8" t="inlineStr"/>
    </row>
    <row r="109">
      <c r="A109" s="9" t="n">
        <v>106</v>
      </c>
      <c r="B109" s="10" t="inlineStr">
        <is>
          <t xml:space="preserve">    def set(self, val: int):</t>
        </is>
      </c>
    </row>
    <row r="110">
      <c r="A110" s="7" t="n">
        <v>107</v>
      </c>
      <c r="B110" s="8" t="inlineStr">
        <is>
          <t xml:space="preserve">        self.rating.set(val)</t>
        </is>
      </c>
    </row>
    <row r="111">
      <c r="A111" s="9" t="n">
        <v>108</v>
      </c>
      <c r="B111" s="10" t="inlineStr">
        <is>
          <t xml:space="preserve">        self._refresh_display()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># ═══════════════════════════════════════════════════</t>
        </is>
      </c>
    </row>
    <row r="115">
      <c r="A115" s="9" t="n">
        <v>112</v>
      </c>
      <c r="B115" s="10" t="inlineStr">
        <is>
          <t># 帧放大查看窗口</t>
        </is>
      </c>
    </row>
    <row r="116">
      <c r="A116" s="7" t="n">
        <v>113</v>
      </c>
      <c r="B116" s="8" t="inlineStr">
        <is>
          <t># ═══════════════════════════════════════════════════</t>
        </is>
      </c>
    </row>
    <row r="117">
      <c r="A117" s="9" t="n">
        <v>114</v>
      </c>
      <c r="B117" s="10" t="inlineStr"/>
    </row>
    <row r="118">
      <c r="A118" s="7" t="n">
        <v>115</v>
      </c>
      <c r="B118" s="8" t="inlineStr">
        <is>
          <t>class FrameZoomWindow:</t>
        </is>
      </c>
    </row>
    <row r="119">
      <c r="A119" s="9" t="n">
        <v>116</v>
      </c>
      <c r="B119" s="10" t="inlineStr">
        <is>
          <t xml:space="preserve">    """弹出一个独立窗口，显示原始尺寸帧图片和完整标签，支持编辑"""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 xml:space="preserve">    def __init__(self, parent, frame_data: dict, db, on_save=None):</t>
        </is>
      </c>
    </row>
    <row r="122">
      <c r="A122" s="7" t="n">
        <v>119</v>
      </c>
      <c r="B122" s="8" t="inlineStr">
        <is>
          <t xml:space="preserve">        self.parent = parent</t>
        </is>
      </c>
    </row>
    <row r="123">
      <c r="A123" s="9" t="n">
        <v>120</v>
      </c>
      <c r="B123" s="10" t="inlineStr">
        <is>
          <t xml:space="preserve">        self.frame_data = frame_data</t>
        </is>
      </c>
    </row>
    <row r="124">
      <c r="A124" s="7" t="n">
        <v>121</v>
      </c>
      <c r="B124" s="8" t="inlineStr">
        <is>
          <t xml:space="preserve">        self.db = db</t>
        </is>
      </c>
    </row>
    <row r="125">
      <c r="A125" s="9" t="n">
        <v>122</v>
      </c>
      <c r="B125" s="10" t="inlineStr">
        <is>
          <t xml:space="preserve">        self.on_save = on_save</t>
        </is>
      </c>
    </row>
    <row r="126">
      <c r="A126" s="7" t="n">
        <v>123</v>
      </c>
      <c r="B126" s="8" t="inlineStr">
        <is>
          <t xml:space="preserve">        self._window = tk.Toplevel(parent)</t>
        </is>
      </c>
    </row>
    <row r="127">
      <c r="A127" s="9" t="n">
        <v>124</v>
      </c>
      <c r="B127" s="10" t="inlineStr">
        <is>
          <t xml:space="preserve">        self._window.title(f"帧详情 — {_format_time(frame_data.get('frame_timestamp', 0))}")</t>
        </is>
      </c>
    </row>
    <row r="128">
      <c r="A128" s="7" t="n">
        <v>125</v>
      </c>
      <c r="B128" s="8" t="inlineStr">
        <is>
          <t xml:space="preserve">        self._window.geometry("820x700")</t>
        </is>
      </c>
    </row>
    <row r="129">
      <c r="A129" s="9" t="n">
        <v>126</v>
      </c>
      <c r="B129" s="10" t="inlineStr">
        <is>
          <t xml:space="preserve">        self._window.configure(bg="#e8f5e9")</t>
        </is>
      </c>
    </row>
    <row r="130">
      <c r="A130" s="7" t="n">
        <v>127</v>
      </c>
      <c r="B130" s="8" t="inlineStr">
        <is>
          <t xml:space="preserve">        self._build()</t>
        </is>
      </c>
    </row>
    <row r="131">
      <c r="A131" s="9" t="n">
        <v>128</v>
      </c>
      <c r="B131" s="10" t="inlineStr"/>
    </row>
    <row r="132">
      <c r="A132" s="7" t="n">
        <v>129</v>
      </c>
      <c r="B132" s="8" t="inlineStr">
        <is>
          <t xml:space="preserve">    def _build(self):</t>
        </is>
      </c>
    </row>
    <row r="133">
      <c r="A133" s="9" t="n">
        <v>130</v>
      </c>
      <c r="B133" s="10" t="inlineStr">
        <is>
          <t xml:space="preserve">        fd = self.frame_data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>
        <is>
          <t xml:space="preserve">        # ── 图片 ──</t>
        </is>
      </c>
    </row>
    <row r="136">
      <c r="A136" s="7" t="n">
        <v>133</v>
      </c>
      <c r="B136" s="8" t="inlineStr">
        <is>
          <t xml:space="preserve">        img_path = fd.get("frame_image_path", "")</t>
        </is>
      </c>
    </row>
    <row r="137">
      <c r="A137" s="9" t="n">
        <v>134</v>
      </c>
      <c r="B137" s="10" t="inlineStr">
        <is>
          <t xml:space="preserve">        if img_path and os.path.exists(img_path) and _HAS_PIL:</t>
        </is>
      </c>
    </row>
    <row r="138">
      <c r="A138" s="7" t="n">
        <v>135</v>
      </c>
      <c r="B138" s="8" t="inlineStr">
        <is>
          <t xml:space="preserve">            try:</t>
        </is>
      </c>
    </row>
    <row r="139">
      <c r="A139" s="9" t="n">
        <v>136</v>
      </c>
      <c r="B139" s="10" t="inlineStr">
        <is>
          <t xml:space="preserve">                img = Image.open(img_path)</t>
        </is>
      </c>
    </row>
    <row r="140">
      <c r="A140" s="7" t="n">
        <v>137</v>
      </c>
      <c r="B140" s="8" t="inlineStr">
        <is>
          <t xml:space="preserve">                img.thumbnail((600, 400), Image.LANCZOS)</t>
        </is>
      </c>
    </row>
    <row r="141">
      <c r="A141" s="9" t="n">
        <v>138</v>
      </c>
      <c r="B141" s="10" t="inlineStr">
        <is>
          <t xml:space="preserve">                photo = ImageTk.PhotoImage(img)</t>
        </is>
      </c>
    </row>
    <row r="142">
      <c r="A142" s="7" t="n">
        <v>139</v>
      </c>
      <c r="B142" s="8" t="inlineStr">
        <is>
          <t xml:space="preserve">                img_lbl = tb.Label(self._window, image=photo, background="#e8f5e9")</t>
        </is>
      </c>
    </row>
    <row r="143">
      <c r="A143" s="9" t="n">
        <v>140</v>
      </c>
      <c r="B143" s="10" t="inlineStr">
        <is>
          <t xml:space="preserve">                img_lbl.image = photo</t>
        </is>
      </c>
    </row>
    <row r="144">
      <c r="A144" s="7" t="n">
        <v>141</v>
      </c>
      <c r="B144" s="8" t="inlineStr">
        <is>
          <t xml:space="preserve">                img_lbl.pack(pady=6)</t>
        </is>
      </c>
    </row>
    <row r="145">
      <c r="A145" s="9" t="n">
        <v>142</v>
      </c>
      <c r="B145" s="10" t="inlineStr">
        <is>
          <t xml:space="preserve">            except Exception:</t>
        </is>
      </c>
    </row>
    <row r="146">
      <c r="A146" s="7" t="n">
        <v>143</v>
      </c>
      <c r="B146" s="8" t="inlineStr">
        <is>
          <t xml:space="preserve">                tb.Label(self._window, text="(图片加载失败)",</t>
        </is>
      </c>
    </row>
    <row r="147">
      <c r="A147" s="9" t="n">
        <v>144</v>
      </c>
      <c r="B147" s="10" t="inlineStr">
        <is>
          <t xml:space="preserve">                        background="#e8f5e9").pack(pady=10)</t>
        </is>
      </c>
    </row>
    <row r="148">
      <c r="A148" s="7" t="n">
        <v>145</v>
      </c>
      <c r="B148" s="8" t="inlineStr">
        <is>
          <t xml:space="preserve">        else:</t>
        </is>
      </c>
    </row>
    <row r="149">
      <c r="A149" s="9" t="n">
        <v>146</v>
      </c>
      <c r="B149" s="10" t="inlineStr">
        <is>
          <t xml:space="preserve">            tb.Label(self._window, text=f"图片: {img_path or '(无)'}",</t>
        </is>
      </c>
    </row>
    <row r="150">
      <c r="A150" s="7" t="n">
        <v>147</v>
      </c>
      <c r="B150" s="8" t="inlineStr">
        <is>
          <t xml:space="preserve">                    background="#e8f5e9").pack(pady=10)</t>
        </is>
      </c>
    </row>
    <row r="151">
      <c r="A151" s="9" t="n">
        <v>148</v>
      </c>
      <c r="B151" s="10" t="inlineStr"/>
    </row>
    <row r="152">
      <c r="A152" s="7" t="n">
        <v>149</v>
      </c>
      <c r="B152" s="8" t="inlineStr">
        <is>
          <t xml:space="preserve">        # ── 信息 ──</t>
        </is>
      </c>
    </row>
    <row r="153">
      <c r="A153" s="9" t="n">
        <v>150</v>
      </c>
      <c r="B153" s="10" t="inlineStr">
        <is>
          <t xml:space="preserve">        info_frame = tb.Labelframe(self._window, text="帧信息", padding=6)</t>
        </is>
      </c>
    </row>
    <row r="154">
      <c r="A154" s="7" t="n">
        <v>151</v>
      </c>
      <c r="B154" s="8" t="inlineStr">
        <is>
          <t xml:space="preserve">        info_frame.pack(fill="x", padx=10, pady=4)</t>
        </is>
      </c>
    </row>
    <row r="155">
      <c r="A155" s="9" t="n">
        <v>152</v>
      </c>
      <c r="B155" s="10" t="inlineStr"/>
    </row>
    <row r="156">
      <c r="A156" s="7" t="n">
        <v>153</v>
      </c>
      <c r="B156" s="8" t="inlineStr">
        <is>
          <t xml:space="preserve">        info_text = (</t>
        </is>
      </c>
    </row>
    <row r="157">
      <c r="A157" s="9" t="n">
        <v>154</v>
      </c>
      <c r="B157" s="10" t="inlineStr">
        <is>
          <t xml:space="preserve">            f"视频: {_truncate(fd.get('video_path',''), 80)}\n"</t>
        </is>
      </c>
    </row>
    <row r="158">
      <c r="A158" s="7" t="n">
        <v>155</v>
      </c>
      <c r="B158" s="8" t="inlineStr">
        <is>
          <t xml:space="preserve">            f"时间戳: {_format_time(fd.get('frame_timestamp',0))}\n"</t>
        </is>
      </c>
    </row>
    <row r="159">
      <c r="A159" s="9" t="n">
        <v>156</v>
      </c>
      <c r="B159" s="10" t="inlineStr">
        <is>
          <t xml:space="preserve">            f"场景类型: {fd.get('scene_type','')}\n"</t>
        </is>
      </c>
    </row>
    <row r="160">
      <c r="A160" s="7" t="n">
        <v>157</v>
      </c>
      <c r="B160" s="8" t="inlineStr">
        <is>
          <t xml:space="preserve">            f"置信度: {fd.get('model_confidence','')}\n"</t>
        </is>
      </c>
    </row>
    <row r="161">
      <c r="A161" s="9" t="n">
        <v>158</v>
      </c>
      <c r="B161" s="10" t="inlineStr">
        <is>
          <t xml:space="preserve">            f"描述: {fd.get('caption','')}\n"</t>
        </is>
      </c>
    </row>
    <row r="162">
      <c r="A162" s="7" t="n">
        <v>159</v>
      </c>
      <c r="B162" s="8" t="inlineStr">
        <is>
          <t xml:space="preserve">        )</t>
        </is>
      </c>
    </row>
    <row r="163">
      <c r="A163" s="9" t="n">
        <v>160</v>
      </c>
      <c r="B163" s="10" t="inlineStr">
        <is>
          <t xml:space="preserve">        tb.Label(info_frame, text=info_text, font=("Microsoft YaHei", 10),</t>
        </is>
      </c>
    </row>
    <row r="164">
      <c r="A164" s="7" t="n">
        <v>161</v>
      </c>
      <c r="B164" s="8" t="inlineStr">
        <is>
          <t xml:space="preserve">                justify="left", background="#e8f5e9").pack(anchor="w")</t>
        </is>
      </c>
    </row>
    <row r="165">
      <c r="A165" s="9" t="n">
        <v>162</v>
      </c>
      <c r="B165" s="10" t="inlineStr"/>
    </row>
    <row r="166">
      <c r="A166" s="7" t="n">
        <v>163</v>
      </c>
      <c r="B166" s="8" t="inlineStr">
        <is>
          <t xml:space="preserve">        # ── 标签编辑 ──</t>
        </is>
      </c>
    </row>
    <row r="167">
      <c r="A167" s="9" t="n">
        <v>164</v>
      </c>
      <c r="B167" s="10" t="inlineStr">
        <is>
          <t xml:space="preserve">        tag_frame = tb.Labelframe(self._window, text="编辑标签 (逗号分隔)", padding=6)</t>
        </is>
      </c>
    </row>
    <row r="168">
      <c r="A168" s="7" t="n">
        <v>165</v>
      </c>
      <c r="B168" s="8" t="inlineStr">
        <is>
          <t xml:space="preserve">        tag_frame.pack(fill="x", padx=10, pady=4)</t>
        </is>
      </c>
    </row>
    <row r="169">
      <c r="A169" s="9" t="n">
        <v>166</v>
      </c>
      <c r="B169" s="10" t="inlineStr"/>
    </row>
    <row r="170">
      <c r="A170" s="7" t="n">
        <v>167</v>
      </c>
      <c r="B170" s="8" t="inlineStr">
        <is>
          <t xml:space="preserve">        current_tags = fd.get("user_tags", "") or ""</t>
        </is>
      </c>
    </row>
    <row r="171">
      <c r="A171" s="9" t="n">
        <v>168</v>
      </c>
      <c r="B171" s="10" t="inlineStr">
        <is>
          <t xml:space="preserve">        current_raw = ", ".join([</t>
        </is>
      </c>
    </row>
    <row r="172">
      <c r="A172" s="7" t="n">
        <v>169</v>
      </c>
      <c r="B172" s="8" t="inlineStr">
        <is>
          <t xml:space="preserve">            fd.get("objects", ""), fd.get("materials", ""),</t>
        </is>
      </c>
    </row>
    <row r="173">
      <c r="A173" s="9" t="n">
        <v>170</v>
      </c>
      <c r="B173" s="10" t="inlineStr">
        <is>
          <t xml:space="preserve">            fd.get("colors", ""), fd.get("style", ""),</t>
        </is>
      </c>
    </row>
    <row r="174">
      <c r="A174" s="7" t="n">
        <v>171</v>
      </c>
      <c r="B174" s="8" t="inlineStr">
        <is>
          <t xml:space="preserve">        ])</t>
        </is>
      </c>
    </row>
    <row r="175">
      <c r="A175" s="9" t="n">
        <v>172</v>
      </c>
      <c r="B175" s="10" t="inlineStr">
        <is>
          <t xml:space="preserve">        if not current_tags.strip():</t>
        </is>
      </c>
    </row>
    <row r="176">
      <c r="A176" s="7" t="n">
        <v>173</v>
      </c>
      <c r="B176" s="8" t="inlineStr">
        <is>
          <t xml:space="preserve">            current_tags = current_raw</t>
        </is>
      </c>
    </row>
    <row r="177">
      <c r="A177" s="9" t="n">
        <v>174</v>
      </c>
      <c r="B177" s="10" t="inlineStr"/>
    </row>
    <row r="178">
      <c r="A178" s="7" t="n">
        <v>175</v>
      </c>
      <c r="B178" s="8" t="inlineStr">
        <is>
          <t xml:space="preserve">        self._tag_var = tk.StringVar(value=current_tags)</t>
        </is>
      </c>
    </row>
    <row r="179">
      <c r="A179" s="9" t="n">
        <v>176</v>
      </c>
      <c r="B179" s="10" t="inlineStr">
        <is>
          <t xml:space="preserve">        tag_entry = tb.Entry(tag_frame, textvariable=self._tag_var, font=("Microsoft YaHei", 10))</t>
        </is>
      </c>
    </row>
    <row r="180">
      <c r="A180" s="7" t="n">
        <v>177</v>
      </c>
      <c r="B180" s="8" t="inlineStr">
        <is>
          <t xml:space="preserve">        tag_entry.pack(fill="x", pady=2)</t>
        </is>
      </c>
    </row>
    <row r="181">
      <c r="A181" s="9" t="n">
        <v>178</v>
      </c>
      <c r="B181" s="10" t="inlineStr"/>
    </row>
    <row r="182">
      <c r="A182" s="7" t="n">
        <v>179</v>
      </c>
      <c r="B182" s="8" t="inlineStr">
        <is>
          <t xml:space="preserve">        # ── 打分 ──</t>
        </is>
      </c>
    </row>
    <row r="183">
      <c r="A183" s="9" t="n">
        <v>180</v>
      </c>
      <c r="B183" s="10" t="inlineStr">
        <is>
          <t xml:space="preserve">        score_frame = tb.Frame(self._window)</t>
        </is>
      </c>
    </row>
    <row r="184">
      <c r="A184" s="7" t="n">
        <v>181</v>
      </c>
      <c r="B184" s="8" t="inlineStr">
        <is>
          <t xml:space="preserve">        score_frame.pack(fill="x", padx=10, pady=4)</t>
        </is>
      </c>
    </row>
    <row r="185">
      <c r="A185" s="9" t="n">
        <v>182</v>
      </c>
      <c r="B185" s="10" t="inlineStr">
        <is>
          <t xml:space="preserve">        tb.Label(score_frame, text="评分:", font=("Microsoft YaHei", 11, "bold"),</t>
        </is>
      </c>
    </row>
    <row r="186">
      <c r="A186" s="7" t="n">
        <v>183</v>
      </c>
      <c r="B186" s="8" t="inlineStr">
        <is>
          <t xml:space="preserve">                background="#e8f5e9").pack(side="left", padx=4)</t>
        </is>
      </c>
    </row>
    <row r="187">
      <c r="A187" s="9" t="n">
        <v>184</v>
      </c>
      <c r="B187" s="10" t="inlineStr">
        <is>
          <t xml:space="preserve">        self._star = StarRating(score_frame, rating=fd.get("user_score", 3))</t>
        </is>
      </c>
    </row>
    <row r="188">
      <c r="A188" s="7" t="n">
        <v>185</v>
      </c>
      <c r="B188" s="8" t="inlineStr">
        <is>
          <t xml:space="preserve">        self._star.pack(side="left", padx=6)</t>
        </is>
      </c>
    </row>
    <row r="189">
      <c r="A189" s="9" t="n">
        <v>186</v>
      </c>
      <c r="B189" s="10" t="inlineStr"/>
    </row>
    <row r="190">
      <c r="A190" s="7" t="n">
        <v>187</v>
      </c>
      <c r="B190" s="8" t="inlineStr">
        <is>
          <t xml:space="preserve">        # ── 按钮 ──</t>
        </is>
      </c>
    </row>
    <row r="191">
      <c r="A191" s="9" t="n">
        <v>188</v>
      </c>
      <c r="B191" s="10" t="inlineStr">
        <is>
          <t xml:space="preserve">        btn_frame = tb.Frame(self._window, padding=6)</t>
        </is>
      </c>
    </row>
    <row r="192">
      <c r="A192" s="7" t="n">
        <v>189</v>
      </c>
      <c r="B192" s="8" t="inlineStr">
        <is>
          <t xml:space="preserve">        btn_frame.pack(fill="x", padx=10)</t>
        </is>
      </c>
    </row>
    <row r="193">
      <c r="A193" s="9" t="n">
        <v>190</v>
      </c>
      <c r="B193" s="10" t="inlineStr"/>
    </row>
    <row r="194">
      <c r="A194" s="7" t="n">
        <v>191</v>
      </c>
      <c r="B194" s="8" t="inlineStr">
        <is>
          <t xml:space="preserve">        def _save():</t>
        </is>
      </c>
    </row>
    <row r="195">
      <c r="A195" s="9" t="n">
        <v>192</v>
      </c>
      <c r="B195" s="10" t="inlineStr">
        <is>
          <t xml:space="preserve">            new_tags = self._tag_var.get().strip()</t>
        </is>
      </c>
    </row>
    <row r="196">
      <c r="A196" s="7" t="n">
        <v>193</v>
      </c>
      <c r="B196" s="8" t="inlineStr">
        <is>
          <t xml:space="preserve">            new_score = self._star.rating.get()</t>
        </is>
      </c>
    </row>
    <row r="197">
      <c r="A197" s="9" t="n">
        <v>194</v>
      </c>
      <c r="B197" s="10" t="inlineStr">
        <is>
          <t xml:space="preserve">            frame_id = fd.get("id")</t>
        </is>
      </c>
    </row>
    <row r="198">
      <c r="A198" s="7" t="n">
        <v>195</v>
      </c>
      <c r="B198" s="8" t="inlineStr">
        <is>
          <t xml:space="preserve">            if frame_id:</t>
        </is>
      </c>
    </row>
    <row r="199">
      <c r="A199" s="9" t="n">
        <v>196</v>
      </c>
      <c r="B199" s="10" t="inlineStr">
        <is>
          <t xml:space="preserve">                try:</t>
        </is>
      </c>
    </row>
    <row r="200">
      <c r="A200" s="7" t="n">
        <v>197</v>
      </c>
      <c r="B200" s="8" t="inlineStr">
        <is>
          <t xml:space="preserve">                    self.db.update_frame_tags(frame_id, new_tags)</t>
        </is>
      </c>
    </row>
    <row r="201">
      <c r="A201" s="9" t="n">
        <v>198</v>
      </c>
      <c r="B201" s="10" t="inlineStr">
        <is>
          <t xml:space="preserve">                    self.db.update_frame_score(frame_id, new_score)</t>
        </is>
      </c>
    </row>
    <row r="202">
      <c r="A202" s="7" t="n">
        <v>199</v>
      </c>
      <c r="B202" s="8" t="inlineStr">
        <is>
          <t xml:space="preserve">                    if self.on_save:</t>
        </is>
      </c>
    </row>
    <row r="203">
      <c r="A203" s="9" t="n">
        <v>200</v>
      </c>
      <c r="B203" s="10" t="inlineStr">
        <is>
          <t xml:space="preserve">                        self.on_save(frame_id, new_score, new_tags)</t>
        </is>
      </c>
    </row>
    <row r="204">
      <c r="A204" s="7" t="n">
        <v>201</v>
      </c>
      <c r="B204" s="8" t="inlineStr">
        <is>
          <t xml:space="preserve">                except Exception as e:</t>
        </is>
      </c>
    </row>
    <row r="205">
      <c r="A205" s="9" t="n">
        <v>202</v>
      </c>
      <c r="B205" s="10" t="inlineStr">
        <is>
          <t xml:space="preserve">                    messagebox.showerror("错误", f"保存失败: {e}")</t>
        </is>
      </c>
    </row>
    <row r="206">
      <c r="A206" s="7" t="n">
        <v>203</v>
      </c>
      <c r="B206" s="8" t="inlineStr">
        <is>
          <t xml:space="preserve">            self._window.destroy()</t>
        </is>
      </c>
    </row>
    <row r="207">
      <c r="A207" s="9" t="n">
        <v>204</v>
      </c>
      <c r="B207" s="10" t="inlineStr"/>
    </row>
    <row r="208">
      <c r="A208" s="7" t="n">
        <v>205</v>
      </c>
      <c r="B208" s="8" t="inlineStr">
        <is>
          <t xml:space="preserve">        RoundedButton(btn_frame, text="💾 保存并关闭", command=_save,</t>
        </is>
      </c>
    </row>
    <row r="209">
      <c r="A209" s="9" t="n">
        <v>206</v>
      </c>
      <c r="B209" s="10" t="inlineStr">
        <is>
          <t xml:space="preserve">                     width=140, height=36, bg_color="#0d6efd",</t>
        </is>
      </c>
    </row>
    <row r="210">
      <c r="A210" s="7" t="n">
        <v>207</v>
      </c>
      <c r="B210" s="8" t="inlineStr">
        <is>
          <t xml:space="preserve">                     fg_color="#ffffff", hover_color="#0b5ed7", radius=10</t>
        </is>
      </c>
    </row>
    <row r="211">
      <c r="A211" s="9" t="n">
        <v>208</v>
      </c>
      <c r="B211" s="10" t="inlineStr">
        <is>
          <t xml:space="preserve">                     ).pack(side="left", padx=4)</t>
        </is>
      </c>
    </row>
    <row r="212">
      <c r="A212" s="7" t="n">
        <v>209</v>
      </c>
      <c r="B212" s="8" t="inlineStr">
        <is>
          <t xml:space="preserve">        RoundedButton(btn_frame, text="关闭", command=self._window.destroy,</t>
        </is>
      </c>
    </row>
    <row r="213">
      <c r="A213" s="9" t="n">
        <v>210</v>
      </c>
      <c r="B213" s="10" t="inlineStr">
        <is>
          <t xml:space="preserve">                     width=90, height=36, bg_color="#e0e0e0",</t>
        </is>
      </c>
    </row>
    <row r="214">
      <c r="A214" s="7" t="n">
        <v>211</v>
      </c>
      <c r="B214" s="8" t="inlineStr">
        <is>
          <t xml:space="preserve">                     fg_color="#212529", hover_color="#d0e0ff", radius=10</t>
        </is>
      </c>
    </row>
    <row r="215">
      <c r="A215" s="9" t="n">
        <v>212</v>
      </c>
      <c r="B215" s="10" t="inlineStr">
        <is>
          <t xml:space="preserve">                     ).pack(side="left", padx=4)</t>
        </is>
      </c>
    </row>
    <row r="216">
      <c r="A216" s="7" t="n">
        <v>213</v>
      </c>
      <c r="B216" s="8" t="inlineStr"/>
    </row>
    <row r="217">
      <c r="A217" s="9" t="n">
        <v>214</v>
      </c>
      <c r="B217" s="10" t="inlineStr"/>
    </row>
    <row r="218">
      <c r="A218" s="7" t="n">
        <v>215</v>
      </c>
      <c r="B218" s="8" t="inlineStr">
        <is>
          <t># ═══════════════════════════════════════════════════</t>
        </is>
      </c>
    </row>
    <row r="219">
      <c r="A219" s="9" t="n">
        <v>216</v>
      </c>
      <c r="B219" s="10" t="inlineStr">
        <is>
          <t># 帧卡片 (在网格中显示)</t>
        </is>
      </c>
    </row>
    <row r="220">
      <c r="A220" s="7" t="n">
        <v>217</v>
      </c>
      <c r="B220" s="8" t="inlineStr">
        <is>
          <t># ═══════════════════════════════════════════════════</t>
        </is>
      </c>
    </row>
    <row r="221">
      <c r="A221" s="9" t="n">
        <v>218</v>
      </c>
      <c r="B221" s="10" t="inlineStr"/>
    </row>
    <row r="222">
      <c r="A222" s="7" t="n">
        <v>219</v>
      </c>
      <c r="B222" s="8" t="inlineStr">
        <is>
          <t>class FrameCard(tb.Frame):</t>
        </is>
      </c>
    </row>
    <row r="223">
      <c r="A223" s="9" t="n">
        <v>220</v>
      </c>
      <c r="B223" s="10" t="inlineStr">
        <is>
          <t xml:space="preserve">    """网格视图中的单个帧卡片"""</t>
        </is>
      </c>
    </row>
    <row r="224">
      <c r="A224" s="7" t="n">
        <v>221</v>
      </c>
      <c r="B224" s="8" t="inlineStr"/>
    </row>
    <row r="225">
      <c r="A225" s="9" t="n">
        <v>222</v>
      </c>
      <c r="B225" s="10" t="inlineStr">
        <is>
          <t xml:space="preserve">    def __init__(self, parent, frame_data: dict, db, on_update=None):</t>
        </is>
      </c>
    </row>
    <row r="226">
      <c r="A226" s="7" t="n">
        <v>223</v>
      </c>
      <c r="B226" s="8" t="inlineStr">
        <is>
          <t xml:space="preserve">        super().__init__(parent, relief="groove", borderwidth=1, padding=3)</t>
        </is>
      </c>
    </row>
    <row r="227">
      <c r="A227" s="9" t="n">
        <v>224</v>
      </c>
      <c r="B227" s="10" t="inlineStr">
        <is>
          <t xml:space="preserve">        self.frame_data = frame_data</t>
        </is>
      </c>
    </row>
    <row r="228">
      <c r="A228" s="7" t="n">
        <v>225</v>
      </c>
      <c r="B228" s="8" t="inlineStr">
        <is>
          <t xml:space="preserve">        self.db = db</t>
        </is>
      </c>
    </row>
    <row r="229">
      <c r="A229" s="9" t="n">
        <v>226</v>
      </c>
      <c r="B229" s="10" t="inlineStr">
        <is>
          <t xml:space="preserve">        self.on_update = on_update</t>
        </is>
      </c>
    </row>
    <row r="230">
      <c r="A230" s="7" t="n">
        <v>227</v>
      </c>
      <c r="B230" s="8" t="inlineStr">
        <is>
          <t xml:space="preserve">        self._thumbnail_image = None</t>
        </is>
      </c>
    </row>
    <row r="231">
      <c r="A231" s="9" t="n">
        <v>228</v>
      </c>
      <c r="B231" s="10" t="inlineStr">
        <is>
          <t xml:space="preserve">        self._build()</t>
        </is>
      </c>
    </row>
    <row r="232">
      <c r="A232" s="7" t="n">
        <v>229</v>
      </c>
      <c r="B232" s="8" t="inlineStr"/>
    </row>
    <row r="233">
      <c r="A233" s="9" t="n">
        <v>230</v>
      </c>
      <c r="B233" s="10" t="inlineStr">
        <is>
          <t xml:space="preserve">    def _build(self):</t>
        </is>
      </c>
    </row>
    <row r="234">
      <c r="A234" s="7" t="n">
        <v>231</v>
      </c>
      <c r="B234" s="8" t="inlineStr">
        <is>
          <t xml:space="preserve">        fd = self.frame_data</t>
        </is>
      </c>
    </row>
    <row r="235">
      <c r="A235" s="9" t="n">
        <v>232</v>
      </c>
      <c r="B235" s="10" t="inlineStr">
        <is>
          <t xml:space="preserve">        w = 200</t>
        </is>
      </c>
    </row>
    <row r="236">
      <c r="A236" s="7" t="n">
        <v>233</v>
      </c>
      <c r="B236" s="8" t="inlineStr"/>
    </row>
    <row r="237">
      <c r="A237" s="9" t="n">
        <v>234</v>
      </c>
      <c r="B237" s="10" t="inlineStr">
        <is>
          <t xml:space="preserve">        # ── 缩略图 ──</t>
        </is>
      </c>
    </row>
    <row r="238">
      <c r="A238" s="7" t="n">
        <v>235</v>
      </c>
      <c r="B238" s="8" t="inlineStr">
        <is>
          <t xml:space="preserve">        img_path = fd.get("frame_image_path", "")</t>
        </is>
      </c>
    </row>
    <row r="239">
      <c r="A239" s="9" t="n">
        <v>236</v>
      </c>
      <c r="B239" s="10" t="inlineStr">
        <is>
          <t xml:space="preserve">        if img_path and os.path.exists(img_path) and _HAS_PIL:</t>
        </is>
      </c>
    </row>
    <row r="240">
      <c r="A240" s="7" t="n">
        <v>237</v>
      </c>
      <c r="B240" s="8" t="inlineStr">
        <is>
          <t xml:space="preserve">            try:</t>
        </is>
      </c>
    </row>
    <row r="241">
      <c r="A241" s="9" t="n">
        <v>238</v>
      </c>
      <c r="B241" s="10" t="inlineStr">
        <is>
          <t xml:space="preserve">                img = Image.open(img_path)</t>
        </is>
      </c>
    </row>
    <row r="242">
      <c r="A242" s="7" t="n">
        <v>239</v>
      </c>
      <c r="B242" s="8" t="inlineStr">
        <is>
          <t xml:space="preserve">                img.thumbnail((w, int(w * 0.75)), Image.LANCZOS)</t>
        </is>
      </c>
    </row>
    <row r="243">
      <c r="A243" s="9" t="n">
        <v>240</v>
      </c>
      <c r="B243" s="10" t="inlineStr">
        <is>
          <t xml:space="preserve">                self._thumbnail_image = ImageTk.PhotoImage(img)</t>
        </is>
      </c>
    </row>
    <row r="244">
      <c r="A244" s="7" t="n">
        <v>241</v>
      </c>
      <c r="B244" s="8" t="inlineStr">
        <is>
          <t xml:space="preserve">                img_lbl = tb.Label(self, image=self._thumbnail_image)</t>
        </is>
      </c>
    </row>
    <row r="245">
      <c r="A245" s="9" t="n">
        <v>242</v>
      </c>
      <c r="B245" s="10" t="inlineStr">
        <is>
          <t xml:space="preserve">                img_lbl.pack()</t>
        </is>
      </c>
    </row>
    <row r="246">
      <c r="A246" s="7" t="n">
        <v>243</v>
      </c>
      <c r="B246" s="8" t="inlineStr">
        <is>
          <t xml:space="preserve">                img_lbl.bind("&lt;Double-1&gt;", lambda e: self._zoom())</t>
        </is>
      </c>
    </row>
    <row r="247">
      <c r="A247" s="9" t="n">
        <v>244</v>
      </c>
      <c r="B247" s="10" t="inlineStr">
        <is>
          <t xml:space="preserve">            except Exception:</t>
        </is>
      </c>
    </row>
    <row r="248">
      <c r="A248" s="7" t="n">
        <v>245</v>
      </c>
      <c r="B248" s="8" t="inlineStr">
        <is>
          <t xml:space="preserve">                placeholder = tk.Canvas(self, width=w, height=int(w * 0.75), bg="#ddd")</t>
        </is>
      </c>
    </row>
    <row r="249">
      <c r="A249" s="9" t="n">
        <v>246</v>
      </c>
      <c r="B249" s="10" t="inlineStr">
        <is>
          <t xml:space="preserve">                placeholder.create_text(w//2, int(w*0.75)//2,</t>
        </is>
      </c>
    </row>
    <row r="250">
      <c r="A250" s="7" t="n">
        <v>247</v>
      </c>
      <c r="B250" s="8" t="inlineStr">
        <is>
          <t xml:space="preserve">                                       text="图片加载失败", fill="#999")</t>
        </is>
      </c>
    </row>
    <row r="251">
      <c r="A251" s="9" t="n">
        <v>248</v>
      </c>
      <c r="B251" s="10" t="inlineStr">
        <is>
          <t xml:space="preserve">                placeholder.pack()</t>
        </is>
      </c>
    </row>
    <row r="252">
      <c r="A252" s="7" t="n">
        <v>249</v>
      </c>
      <c r="B252" s="8" t="inlineStr">
        <is>
          <t xml:space="preserve">        else:</t>
        </is>
      </c>
    </row>
    <row r="253">
      <c r="A253" s="9" t="n">
        <v>250</v>
      </c>
      <c r="B253" s="10" t="inlineStr">
        <is>
          <t xml:space="preserve">            placeholder = tk.Canvas(self, width=w, height=int(w * 0.75), bg="#eee")</t>
        </is>
      </c>
    </row>
    <row r="254">
      <c r="A254" s="7" t="n">
        <v>251</v>
      </c>
      <c r="B254" s="8" t="inlineStr">
        <is>
          <t xml:space="preserve">            placeholder.create_text(w//2, int(w*0.75)//2,</t>
        </is>
      </c>
    </row>
    <row r="255">
      <c r="A255" s="9" t="n">
        <v>252</v>
      </c>
      <c r="B255" s="10" t="inlineStr">
        <is>
          <t xml:space="preserve">                                   text="无图片", fill="#999")</t>
        </is>
      </c>
    </row>
    <row r="256">
      <c r="A256" s="7" t="n">
        <v>253</v>
      </c>
      <c r="B256" s="8" t="inlineStr">
        <is>
          <t xml:space="preserve">            placeholder.pack()</t>
        </is>
      </c>
    </row>
    <row r="257">
      <c r="A257" s="9" t="n">
        <v>254</v>
      </c>
      <c r="B257" s="10" t="inlineStr"/>
    </row>
    <row r="258">
      <c r="A258" s="7" t="n">
        <v>255</v>
      </c>
      <c r="B258" s="8" t="inlineStr">
        <is>
          <t xml:space="preserve">        # ── 时间戳 ──</t>
        </is>
      </c>
    </row>
    <row r="259">
      <c r="A259" s="9" t="n">
        <v>256</v>
      </c>
      <c r="B259" s="10" t="inlineStr">
        <is>
          <t xml:space="preserve">        ts = _format_time(fd.get("frame_timestamp", 0))</t>
        </is>
      </c>
    </row>
    <row r="260">
      <c r="A260" s="7" t="n">
        <v>257</v>
      </c>
      <c r="B260" s="8" t="inlineStr">
        <is>
          <t xml:space="preserve">        tb.Label(self, text=ts, font=("Consolas", 10, "bold"),</t>
        </is>
      </c>
    </row>
    <row r="261">
      <c r="A261" s="9" t="n">
        <v>258</v>
      </c>
      <c r="B261" s="10" t="inlineStr">
        <is>
          <t xml:space="preserve">                foreground="#1b5e20").pack(pady=1)</t>
        </is>
      </c>
    </row>
    <row r="262">
      <c r="A262" s="7" t="n">
        <v>259</v>
      </c>
      <c r="B262" s="8" t="inlineStr"/>
    </row>
    <row r="263">
      <c r="A263" s="9" t="n">
        <v>260</v>
      </c>
      <c r="B263" s="10" t="inlineStr">
        <is>
          <t xml:space="preserve">        # ── 场景 ──</t>
        </is>
      </c>
    </row>
    <row r="264">
      <c r="A264" s="7" t="n">
        <v>261</v>
      </c>
      <c r="B264" s="8" t="inlineStr">
        <is>
          <t xml:space="preserve">        scene = fd.get("scene_type", "") or fd.get("style", "") or ""</t>
        </is>
      </c>
    </row>
    <row r="265">
      <c r="A265" s="9" t="n">
        <v>262</v>
      </c>
      <c r="B265" s="10" t="inlineStr">
        <is>
          <t xml:space="preserve">        if scene:</t>
        </is>
      </c>
    </row>
    <row r="266">
      <c r="A266" s="7" t="n">
        <v>263</v>
      </c>
      <c r="B266" s="8" t="inlineStr">
        <is>
          <t xml:space="preserve">            tb.Label(self, text=scene[:20], font=("Microsoft YaHei", 8),</t>
        </is>
      </c>
    </row>
    <row r="267">
      <c r="A267" s="9" t="n">
        <v>264</v>
      </c>
      <c r="B267" s="10" t="inlineStr">
        <is>
          <t xml:space="preserve">                    foreground="#666").pack()</t>
        </is>
      </c>
    </row>
    <row r="268">
      <c r="A268" s="7" t="n">
        <v>265</v>
      </c>
      <c r="B268" s="8" t="inlineStr"/>
    </row>
    <row r="269">
      <c r="A269" s="9" t="n">
        <v>266</v>
      </c>
      <c r="B269" s="10" t="inlineStr">
        <is>
          <t xml:space="preserve">        # ── 标签摘要 ──</t>
        </is>
      </c>
    </row>
    <row r="270">
      <c r="A270" s="7" t="n">
        <v>267</v>
      </c>
      <c r="B270" s="8" t="inlineStr">
        <is>
          <t xml:space="preserve">        tags_text = fd.get("user_tags", "") or fd.get("objects", "") or ""</t>
        </is>
      </c>
    </row>
    <row r="271">
      <c r="A271" s="9" t="n">
        <v>268</v>
      </c>
      <c r="B271" s="10" t="inlineStr">
        <is>
          <t xml:space="preserve">        if tags_text:</t>
        </is>
      </c>
    </row>
    <row r="272">
      <c r="A272" s="7" t="n">
        <v>269</v>
      </c>
      <c r="B272" s="8" t="inlineStr">
        <is>
          <t xml:space="preserve">            tb.Label(self, text=_truncate(tags_text, 25),</t>
        </is>
      </c>
    </row>
    <row r="273">
      <c r="A273" s="9" t="n">
        <v>270</v>
      </c>
      <c r="B273" s="10" t="inlineStr">
        <is>
          <t xml:space="preserve">                    font=("Microsoft YaHei", 8), foreground="#888",</t>
        </is>
      </c>
    </row>
    <row r="274">
      <c r="A274" s="7" t="n">
        <v>271</v>
      </c>
      <c r="B274" s="8" t="inlineStr">
        <is>
          <t xml:space="preserve">                    wraplength=w-10).pack(pady=1)</t>
        </is>
      </c>
    </row>
    <row r="275">
      <c r="A275" s="9" t="n">
        <v>272</v>
      </c>
      <c r="B275" s="10" t="inlineStr"/>
    </row>
    <row r="276">
      <c r="A276" s="7" t="n">
        <v>273</v>
      </c>
      <c r="B276" s="8" t="inlineStr">
        <is>
          <t xml:space="preserve">        # ── 打分 ──</t>
        </is>
      </c>
    </row>
    <row r="277">
      <c r="A277" s="9" t="n">
        <v>274</v>
      </c>
      <c r="B277" s="10" t="inlineStr">
        <is>
          <t xml:space="preserve">        star = StarRating(self, rating=fd.get("user_score", 3),</t>
        </is>
      </c>
    </row>
    <row r="278">
      <c r="A278" s="7" t="n">
        <v>275</v>
      </c>
      <c r="B278" s="8" t="inlineStr">
        <is>
          <t xml:space="preserve">                         on_change=lambda v, fid=fd.get("id"): self._on_score_change(fid, v))</t>
        </is>
      </c>
    </row>
    <row r="279">
      <c r="A279" s="9" t="n">
        <v>276</v>
      </c>
      <c r="B279" s="10" t="inlineStr">
        <is>
          <t xml:space="preserve">        star.pack(pady=2)</t>
        </is>
      </c>
    </row>
    <row r="280">
      <c r="A280" s="7" t="n">
        <v>277</v>
      </c>
      <c r="B280" s="8" t="inlineStr"/>
    </row>
    <row r="281">
      <c r="A281" s="9" t="n">
        <v>278</v>
      </c>
      <c r="B281" s="10" t="inlineStr">
        <is>
          <t xml:space="preserve">        # ── 按钮行 ──</t>
        </is>
      </c>
    </row>
    <row r="282">
      <c r="A282" s="7" t="n">
        <v>279</v>
      </c>
      <c r="B282" s="8" t="inlineStr">
        <is>
          <t xml:space="preserve">        btn_row = tb.Frame(self)</t>
        </is>
      </c>
    </row>
    <row r="283">
      <c r="A283" s="9" t="n">
        <v>280</v>
      </c>
      <c r="B283" s="10" t="inlineStr">
        <is>
          <t xml:space="preserve">        btn_row.pack(pady=(2, 0))</t>
        </is>
      </c>
    </row>
    <row r="284">
      <c r="A284" s="7" t="n">
        <v>281</v>
      </c>
      <c r="B284" s="8" t="inlineStr"/>
    </row>
    <row r="285">
      <c r="A285" s="9" t="n">
        <v>282</v>
      </c>
      <c r="B285" s="10" t="inlineStr">
        <is>
          <t xml:space="preserve">        edit_btn = tb.Button(btn_row, text="编辑", width=6,</t>
        </is>
      </c>
    </row>
    <row r="286">
      <c r="A286" s="7" t="n">
        <v>283</v>
      </c>
      <c r="B286" s="8" t="inlineStr">
        <is>
          <t xml:space="preserve">                           command=self._zoom, bootstyle="outline-secondary")</t>
        </is>
      </c>
    </row>
    <row r="287">
      <c r="A287" s="9" t="n">
        <v>284</v>
      </c>
      <c r="B287" s="10" t="inlineStr">
        <is>
          <t xml:space="preserve">        edit_btn.pack(side="left", padx=1)</t>
        </is>
      </c>
    </row>
    <row r="288">
      <c r="A288" s="7" t="n">
        <v>285</v>
      </c>
      <c r="B288" s="8" t="inlineStr"/>
    </row>
    <row r="289">
      <c r="A289" s="9" t="n">
        <v>286</v>
      </c>
      <c r="B289" s="10" t="inlineStr">
        <is>
          <t xml:space="preserve">        # 双击放大</t>
        </is>
      </c>
    </row>
    <row r="290">
      <c r="A290" s="7" t="n">
        <v>287</v>
      </c>
      <c r="B290" s="8" t="inlineStr">
        <is>
          <t xml:space="preserve">        self.bind("&lt;Double-1&gt;", lambda e: self._zoom())</t>
        </is>
      </c>
    </row>
    <row r="291">
      <c r="A291" s="9" t="n">
        <v>288</v>
      </c>
      <c r="B291" s="10" t="inlineStr">
        <is>
          <t xml:space="preserve">        for child in self.winfo_children():</t>
        </is>
      </c>
    </row>
    <row r="292">
      <c r="A292" s="7" t="n">
        <v>289</v>
      </c>
      <c r="B292" s="8" t="inlineStr">
        <is>
          <t xml:space="preserve">            try:</t>
        </is>
      </c>
    </row>
    <row r="293">
      <c r="A293" s="9" t="n">
        <v>290</v>
      </c>
      <c r="B293" s="10" t="inlineStr">
        <is>
          <t xml:space="preserve">                child.bind("&lt;Double-1&gt;", lambda e: self._zoom())</t>
        </is>
      </c>
    </row>
    <row r="294">
      <c r="A294" s="7" t="n">
        <v>291</v>
      </c>
      <c r="B294" s="8" t="inlineStr">
        <is>
          <t xml:space="preserve">            except Exception:</t>
        </is>
      </c>
    </row>
    <row r="295">
      <c r="A295" s="9" t="n">
        <v>292</v>
      </c>
      <c r="B295" s="10" t="inlineStr">
        <is>
          <t xml:space="preserve">                pass</t>
        </is>
      </c>
    </row>
    <row r="296">
      <c r="A296" s="7" t="n">
        <v>293</v>
      </c>
      <c r="B296" s="8" t="inlineStr"/>
    </row>
    <row r="297">
      <c r="A297" s="9" t="n">
        <v>294</v>
      </c>
      <c r="B297" s="10" t="inlineStr">
        <is>
          <t xml:space="preserve">    def _on_score_change(self, frame_id, score):</t>
        </is>
      </c>
    </row>
    <row r="298">
      <c r="A298" s="7" t="n">
        <v>295</v>
      </c>
      <c r="B298" s="8" t="inlineStr">
        <is>
          <t xml:space="preserve">        """快速打分"""</t>
        </is>
      </c>
    </row>
    <row r="299">
      <c r="A299" s="9" t="n">
        <v>296</v>
      </c>
      <c r="B299" s="10" t="inlineStr">
        <is>
          <t xml:space="preserve">        try:</t>
        </is>
      </c>
    </row>
    <row r="300">
      <c r="A300" s="7" t="n">
        <v>297</v>
      </c>
      <c r="B300" s="8" t="inlineStr">
        <is>
          <t xml:space="preserve">            self.db.update_frame_score(frame_id, score)</t>
        </is>
      </c>
    </row>
    <row r="301">
      <c r="A301" s="9" t="n">
        <v>298</v>
      </c>
      <c r="B301" s="10" t="inlineStr">
        <is>
          <t xml:space="preserve">            if self.on_update:</t>
        </is>
      </c>
    </row>
    <row r="302">
      <c r="A302" s="7" t="n">
        <v>299</v>
      </c>
      <c r="B302" s="8" t="inlineStr">
        <is>
          <t xml:space="preserve">                self.on_update(frame_id, score, None)</t>
        </is>
      </c>
    </row>
    <row r="303">
      <c r="A303" s="9" t="n">
        <v>300</v>
      </c>
      <c r="B303" s="10" t="inlineStr">
        <is>
          <t xml:space="preserve">        except Exception:</t>
        </is>
      </c>
    </row>
    <row r="304">
      <c r="A304" s="7" t="n">
        <v>301</v>
      </c>
      <c r="B304" s="8" t="inlineStr">
        <is>
          <t xml:space="preserve">            pass</t>
        </is>
      </c>
    </row>
    <row r="305">
      <c r="A305" s="9" t="n">
        <v>302</v>
      </c>
      <c r="B305" s="10" t="inlineStr"/>
    </row>
    <row r="306">
      <c r="A306" s="7" t="n">
        <v>303</v>
      </c>
      <c r="B306" s="8" t="inlineStr">
        <is>
          <t xml:space="preserve">    def _zoom(self):</t>
        </is>
      </c>
    </row>
    <row r="307">
      <c r="A307" s="9" t="n">
        <v>304</v>
      </c>
      <c r="B307" s="10" t="inlineStr">
        <is>
          <t xml:space="preserve">        """打开放大查看窗口"""</t>
        </is>
      </c>
    </row>
    <row r="308">
      <c r="A308" s="7" t="n">
        <v>305</v>
      </c>
      <c r="B308" s="8" t="inlineStr">
        <is>
          <t xml:space="preserve">        FrameZoomWindow(self.winfo_toplevel(), self.frame_data, self.db,</t>
        </is>
      </c>
    </row>
    <row r="309">
      <c r="A309" s="9" t="n">
        <v>306</v>
      </c>
      <c r="B309" s="10" t="inlineStr">
        <is>
          <t xml:space="preserve">                       on_save=self.on_update)</t>
        </is>
      </c>
    </row>
    <row r="310">
      <c r="A310" s="7" t="n">
        <v>307</v>
      </c>
      <c r="B310" s="8" t="inlineStr"/>
    </row>
    <row r="311">
      <c r="A311" s="9" t="n">
        <v>308</v>
      </c>
      <c r="B311" s="10" t="inlineStr">
        <is>
          <t xml:space="preserve">    def refresh_data(self, new_data: dict):</t>
        </is>
      </c>
    </row>
    <row r="312">
      <c r="A312" s="7" t="n">
        <v>309</v>
      </c>
      <c r="B312" s="8" t="inlineStr">
        <is>
          <t xml:space="preserve">        """更新帧数据"""</t>
        </is>
      </c>
    </row>
    <row r="313">
      <c r="A313" s="9" t="n">
        <v>310</v>
      </c>
      <c r="B313" s="10" t="inlineStr">
        <is>
          <t xml:space="preserve">        self.frame_data = new_data</t>
        </is>
      </c>
    </row>
    <row r="314">
      <c r="A314" s="7" t="n">
        <v>311</v>
      </c>
      <c r="B314" s="8" t="inlineStr"/>
    </row>
    <row r="315">
      <c r="A315" s="9" t="n">
        <v>312</v>
      </c>
      <c r="B315" s="10" t="inlineStr"/>
    </row>
    <row r="316">
      <c r="A316" s="7" t="n">
        <v>313</v>
      </c>
      <c r="B316" s="8" t="inlineStr">
        <is>
          <t># ═══════════════════════════════════════════════════</t>
        </is>
      </c>
    </row>
    <row r="317">
      <c r="A317" s="9" t="n">
        <v>314</v>
      </c>
      <c r="B317" s="10" t="inlineStr">
        <is>
          <t># 视频卡片 (可展开显示帧网格)</t>
        </is>
      </c>
    </row>
    <row r="318">
      <c r="A318" s="7" t="n">
        <v>315</v>
      </c>
      <c r="B318" s="8" t="inlineStr">
        <is>
          <t># ═══════════════════════════════════════════════════</t>
        </is>
      </c>
    </row>
    <row r="319">
      <c r="A319" s="9" t="n">
        <v>316</v>
      </c>
      <c r="B319" s="10" t="inlineStr"/>
    </row>
    <row r="320">
      <c r="A320" s="7" t="n">
        <v>317</v>
      </c>
      <c r="B320" s="8" t="inlineStr">
        <is>
          <t>class VideoCard(tb.Labelframe):</t>
        </is>
      </c>
    </row>
    <row r="321">
      <c r="A321" s="9" t="n">
        <v>318</v>
      </c>
      <c r="B321" s="10" t="inlineStr">
        <is>
          <t xml:space="preserve">    """单个视频的卡片 — 点击展开显示帧网格"""</t>
        </is>
      </c>
    </row>
    <row r="322">
      <c r="A322" s="7" t="n">
        <v>319</v>
      </c>
      <c r="B322" s="8" t="inlineStr"/>
    </row>
    <row r="323">
      <c r="A323" s="9" t="n">
        <v>320</v>
      </c>
      <c r="B323" s="10" t="inlineStr">
        <is>
          <t xml:space="preserve">    def __init__(self, parent, video_path: str, frame_summary: dict, db,</t>
        </is>
      </c>
    </row>
    <row r="324">
      <c r="A324" s="7" t="n">
        <v>321</v>
      </c>
      <c r="B324" s="8" t="inlineStr">
        <is>
          <t xml:space="preserve">                 on_feedback=None, library_tab=None):</t>
        </is>
      </c>
    </row>
    <row r="325">
      <c r="A325" s="9" t="n">
        <v>322</v>
      </c>
      <c r="B325" s="10" t="inlineStr">
        <is>
          <t xml:space="preserve">        text = f"📹 {_truncate(Path(video_path).name, 50)}"</t>
        </is>
      </c>
    </row>
    <row r="326">
      <c r="A326" s="7" t="n">
        <v>323</v>
      </c>
      <c r="B326" s="8" t="inlineStr">
        <is>
          <t xml:space="preserve">        super().__init__(parent, text=text, padding=6)</t>
        </is>
      </c>
    </row>
    <row r="327">
      <c r="A327" s="9" t="n">
        <v>324</v>
      </c>
      <c r="B327" s="10" t="inlineStr">
        <is>
          <t xml:space="preserve">        self.video_path = video_path</t>
        </is>
      </c>
    </row>
    <row r="328">
      <c r="A328" s="7" t="n">
        <v>325</v>
      </c>
      <c r="B328" s="8" t="inlineStr">
        <is>
          <t xml:space="preserve">        self.frame_summary = frame_summary</t>
        </is>
      </c>
    </row>
    <row r="329">
      <c r="A329" s="9" t="n">
        <v>326</v>
      </c>
      <c r="B329" s="10" t="inlineStr">
        <is>
          <t xml:space="preserve">        self.db = db</t>
        </is>
      </c>
    </row>
    <row r="330">
      <c r="A330" s="7" t="n">
        <v>327</v>
      </c>
      <c r="B330" s="8" t="inlineStr">
        <is>
          <t xml:space="preserve">        self.on_feedback = on_feedback</t>
        </is>
      </c>
    </row>
    <row r="331">
      <c r="A331" s="9" t="n">
        <v>328</v>
      </c>
      <c r="B331" s="10" t="inlineStr">
        <is>
          <t xml:space="preserve">        self.library_tab = library_tab</t>
        </is>
      </c>
    </row>
    <row r="332">
      <c r="A332" s="7" t="n">
        <v>329</v>
      </c>
      <c r="B332" s="8" t="inlineStr">
        <is>
          <t xml:space="preserve">        self._expanded = False</t>
        </is>
      </c>
    </row>
    <row r="333">
      <c r="A333" s="9" t="n">
        <v>330</v>
      </c>
      <c r="B333" s="10" t="inlineStr">
        <is>
          <t xml:space="preserve">        self._frames_loaded = False</t>
        </is>
      </c>
    </row>
    <row r="334">
      <c r="A334" s="7" t="n">
        <v>331</v>
      </c>
      <c r="B334" s="8" t="inlineStr">
        <is>
          <t xml:space="preserve">        self._frame_cards = []</t>
        </is>
      </c>
    </row>
    <row r="335">
      <c r="A335" s="9" t="n">
        <v>332</v>
      </c>
      <c r="B335" s="10" t="inlineStr">
        <is>
          <t xml:space="preserve">        self._frame_grid_frame = None</t>
        </is>
      </c>
    </row>
    <row r="336">
      <c r="A336" s="7" t="n">
        <v>333</v>
      </c>
      <c r="B336" s="8" t="inlineStr">
        <is>
          <t xml:space="preserve">        self._build()</t>
        </is>
      </c>
    </row>
    <row r="337">
      <c r="A337" s="9" t="n">
        <v>334</v>
      </c>
      <c r="B337" s="10" t="inlineStr"/>
    </row>
    <row r="338">
      <c r="A338" s="7" t="n">
        <v>335</v>
      </c>
      <c r="B338" s="8" t="inlineStr">
        <is>
          <t xml:space="preserve">    def _build(self):</t>
        </is>
      </c>
    </row>
    <row r="339">
      <c r="A339" s="9" t="n">
        <v>336</v>
      </c>
      <c r="B339" s="10" t="inlineStr">
        <is>
          <t xml:space="preserve">        fs = self.frame_summary</t>
        </is>
      </c>
    </row>
    <row r="340">
      <c r="A340" s="7" t="n">
        <v>337</v>
      </c>
      <c r="B340" s="8" t="inlineStr"/>
    </row>
    <row r="341">
      <c r="A341" s="9" t="n">
        <v>338</v>
      </c>
      <c r="B341" s="10" t="inlineStr">
        <is>
          <t xml:space="preserve">        # ── 摘要行 ──</t>
        </is>
      </c>
    </row>
    <row r="342">
      <c r="A342" s="7" t="n">
        <v>339</v>
      </c>
      <c r="B342" s="8" t="inlineStr">
        <is>
          <t xml:space="preserve">        summary_frame = tb.Frame(self)</t>
        </is>
      </c>
    </row>
    <row r="343">
      <c r="A343" s="9" t="n">
        <v>340</v>
      </c>
      <c r="B343" s="10" t="inlineStr">
        <is>
          <t xml:space="preserve">        summary_frame.pack(fill="x")</t>
        </is>
      </c>
    </row>
    <row r="344">
      <c r="A344" s="7" t="n">
        <v>341</v>
      </c>
      <c r="B344" s="8" t="inlineStr"/>
    </row>
    <row r="345">
      <c r="A345" s="9" t="n">
        <v>342</v>
      </c>
      <c r="B345" s="10" t="inlineStr">
        <is>
          <t xml:space="preserve">        info_text = (</t>
        </is>
      </c>
    </row>
    <row r="346">
      <c r="A346" s="7" t="n">
        <v>343</v>
      </c>
      <c r="B346" s="8" t="inlineStr">
        <is>
          <t xml:space="preserve">            f"帧数: {fs.get('frame_count',0)} | "</t>
        </is>
      </c>
    </row>
    <row r="347">
      <c r="A347" s="9" t="n">
        <v>344</v>
      </c>
      <c r="B347" s="10" t="inlineStr">
        <is>
          <t xml:space="preserve">            f"均分: {fs.get('avg_score','-')} | "</t>
        </is>
      </c>
    </row>
    <row r="348">
      <c r="A348" s="7" t="n">
        <v>345</v>
      </c>
      <c r="B348" s="8" t="inlineStr">
        <is>
          <t xml:space="preserve">            f"最后分析: {(fs.get('last_analyzed','') or '')[:16]} | "</t>
        </is>
      </c>
    </row>
    <row r="349">
      <c r="A349" s="9" t="n">
        <v>346</v>
      </c>
      <c r="B349" s="10" t="inlineStr">
        <is>
          <t xml:space="preserve">            f"素材: {_truncate(fs.get('all_materials','') or fs.get('all_objects',''), 40)}"</t>
        </is>
      </c>
    </row>
    <row r="350">
      <c r="A350" s="7" t="n">
        <v>347</v>
      </c>
      <c r="B350" s="8" t="inlineStr">
        <is>
          <t xml:space="preserve">        )</t>
        </is>
      </c>
    </row>
    <row r="351">
      <c r="A351" s="9" t="n">
        <v>348</v>
      </c>
      <c r="B351" s="10" t="inlineStr">
        <is>
          <t xml:space="preserve">        tb.Label(summary_frame, text=info_text, font=("Microsoft YaHei", 9),</t>
        </is>
      </c>
    </row>
    <row r="352">
      <c r="A352" s="7" t="n">
        <v>349</v>
      </c>
      <c r="B352" s="8" t="inlineStr">
        <is>
          <t xml:space="preserve">                foreground="#4a7c4f").pack(side="left", fill="x", expand=True)</t>
        </is>
      </c>
    </row>
    <row r="353">
      <c r="A353" s="9" t="n">
        <v>350</v>
      </c>
      <c r="B353" s="10" t="inlineStr"/>
    </row>
    <row r="354">
      <c r="A354" s="7" t="n">
        <v>351</v>
      </c>
      <c r="B354" s="8" t="inlineStr">
        <is>
          <t xml:space="preserve">        # 展开/折叠按钮</t>
        </is>
      </c>
    </row>
    <row r="355">
      <c r="A355" s="9" t="n">
        <v>352</v>
      </c>
      <c r="B355" s="10" t="inlineStr">
        <is>
          <t xml:space="preserve">        self._toggle_btn = RoundedButton(</t>
        </is>
      </c>
    </row>
    <row r="356">
      <c r="A356" s="7" t="n">
        <v>353</v>
      </c>
      <c r="B356" s="8" t="inlineStr">
        <is>
          <t xml:space="preserve">            summary_frame, text="▶ 展开帧 / Expand",</t>
        </is>
      </c>
    </row>
    <row r="357">
      <c r="A357" s="9" t="n">
        <v>354</v>
      </c>
      <c r="B357" s="10" t="inlineStr">
        <is>
          <t xml:space="preserve">            command=self._toggle_expand, width=150, height=30,</t>
        </is>
      </c>
    </row>
    <row r="358">
      <c r="A358" s="7" t="n">
        <v>355</v>
      </c>
      <c r="B358" s="8" t="inlineStr">
        <is>
          <t xml:space="preserve">            bg_color="#e0e0e0", fg_color="#212529",</t>
        </is>
      </c>
    </row>
    <row r="359">
      <c r="A359" s="9" t="n">
        <v>356</v>
      </c>
      <c r="B359" s="10" t="inlineStr">
        <is>
          <t xml:space="preserve">            hover_color="#d0e0ff", radius=8</t>
        </is>
      </c>
    </row>
    <row r="360">
      <c r="A360" s="7" t="n">
        <v>357</v>
      </c>
      <c r="B360" s="8" t="inlineStr">
        <is>
          <t xml:space="preserve">        )</t>
        </is>
      </c>
    </row>
    <row r="361">
      <c r="A361" s="9" t="n">
        <v>358</v>
      </c>
      <c r="B361" s="10" t="inlineStr">
        <is>
          <t xml:space="preserve">        self._toggle_btn.pack(side="right", padx=4)</t>
        </is>
      </c>
    </row>
    <row r="362">
      <c r="A362" s="7" t="n">
        <v>359</v>
      </c>
      <c r="B362" s="8" t="inlineStr"/>
    </row>
    <row r="363">
      <c r="A363" s="9" t="n">
        <v>360</v>
      </c>
      <c r="B363" s="10" t="inlineStr">
        <is>
          <t xml:space="preserve">    def _toggle_expand(self):</t>
        </is>
      </c>
    </row>
    <row r="364">
      <c r="A364" s="7" t="n">
        <v>361</v>
      </c>
      <c r="B364" s="8" t="inlineStr">
        <is>
          <t xml:space="preserve">        if self._expanded:</t>
        </is>
      </c>
    </row>
    <row r="365">
      <c r="A365" s="9" t="n">
        <v>362</v>
      </c>
      <c r="B365" s="10" t="inlineStr">
        <is>
          <t xml:space="preserve">            self._collapse()</t>
        </is>
      </c>
    </row>
    <row r="366">
      <c r="A366" s="7" t="n">
        <v>363</v>
      </c>
      <c r="B366" s="8" t="inlineStr">
        <is>
          <t xml:space="preserve">        else:</t>
        </is>
      </c>
    </row>
    <row r="367">
      <c r="A367" s="9" t="n">
        <v>364</v>
      </c>
      <c r="B367" s="10" t="inlineStr">
        <is>
          <t xml:space="preserve">            self._expand()</t>
        </is>
      </c>
    </row>
    <row r="368">
      <c r="A368" s="7" t="n">
        <v>365</v>
      </c>
      <c r="B368" s="8" t="inlineStr"/>
    </row>
    <row r="369">
      <c r="A369" s="9" t="n">
        <v>366</v>
      </c>
      <c r="B369" s="10" t="inlineStr">
        <is>
          <t xml:space="preserve">    def _expand(self):</t>
        </is>
      </c>
    </row>
    <row r="370">
      <c r="A370" s="7" t="n">
        <v>367</v>
      </c>
      <c r="B370" s="8" t="inlineStr">
        <is>
          <t xml:space="preserve">        self._expanded = True</t>
        </is>
      </c>
    </row>
    <row r="371">
      <c r="A371" s="9" t="n">
        <v>368</v>
      </c>
      <c r="B371" s="10" t="inlineStr">
        <is>
          <t xml:space="preserve">        self._toggle_btn.configure(text="▼ 折叠 / Collapse")</t>
        </is>
      </c>
    </row>
    <row r="372">
      <c r="A372" s="7" t="n">
        <v>369</v>
      </c>
      <c r="B372" s="8" t="inlineStr"/>
    </row>
    <row r="373">
      <c r="A373" s="9" t="n">
        <v>370</v>
      </c>
      <c r="B373" s="10" t="inlineStr">
        <is>
          <t xml:space="preserve">        # 加载帧数据</t>
        </is>
      </c>
    </row>
    <row r="374">
      <c r="A374" s="7" t="n">
        <v>371</v>
      </c>
      <c r="B374" s="8" t="inlineStr">
        <is>
          <t xml:space="preserve">        if not self._frames_loaded:</t>
        </is>
      </c>
    </row>
    <row r="375">
      <c r="A375" s="9" t="n">
        <v>372</v>
      </c>
      <c r="B375" s="10" t="inlineStr">
        <is>
          <t xml:space="preserve">            self._frames_loaded = True</t>
        </is>
      </c>
    </row>
    <row r="376">
      <c r="A376" s="7" t="n">
        <v>373</v>
      </c>
      <c r="B376" s="8" t="inlineStr">
        <is>
          <t xml:space="preserve">            self._frame_grid_frame = tb.Frame(self)</t>
        </is>
      </c>
    </row>
    <row r="377">
      <c r="A377" s="9" t="n">
        <v>374</v>
      </c>
      <c r="B377" s="10" t="inlineStr">
        <is>
          <t xml:space="preserve">            self._frame_grid_frame.pack(fill="x", pady=6)</t>
        </is>
      </c>
    </row>
    <row r="378">
      <c r="A378" s="7" t="n">
        <v>375</v>
      </c>
      <c r="B378" s="8" t="inlineStr"/>
    </row>
    <row r="379">
      <c r="A379" s="9" t="n">
        <v>376</v>
      </c>
      <c r="B379" s="10" t="inlineStr">
        <is>
          <t xml:space="preserve">            # 后台线程加载帧</t>
        </is>
      </c>
    </row>
    <row r="380">
      <c r="A380" s="7" t="n">
        <v>377</v>
      </c>
      <c r="B380" s="8" t="inlineStr">
        <is>
          <t xml:space="preserve">            threading.Thread(target=self._load_frames, daemon=True).start()</t>
        </is>
      </c>
    </row>
    <row r="381">
      <c r="A381" s="9" t="n">
        <v>378</v>
      </c>
      <c r="B381" s="10" t="inlineStr">
        <is>
          <t xml:space="preserve">        else:</t>
        </is>
      </c>
    </row>
    <row r="382">
      <c r="A382" s="7" t="n">
        <v>379</v>
      </c>
      <c r="B382" s="8" t="inlineStr">
        <is>
          <t xml:space="preserve">            if self._frame_grid_frame:</t>
        </is>
      </c>
    </row>
    <row r="383">
      <c r="A383" s="9" t="n">
        <v>380</v>
      </c>
      <c r="B383" s="10" t="inlineStr">
        <is>
          <t xml:space="preserve">                self._frame_grid_frame.pack(fill="x", pady=6)</t>
        </is>
      </c>
    </row>
    <row r="384">
      <c r="A384" s="7" t="n">
        <v>381</v>
      </c>
      <c r="B384" s="8" t="inlineStr"/>
    </row>
    <row r="385">
      <c r="A385" s="9" t="n">
        <v>382</v>
      </c>
      <c r="B385" s="10" t="inlineStr">
        <is>
          <t xml:space="preserve">    def _collapse(self):</t>
        </is>
      </c>
    </row>
    <row r="386">
      <c r="A386" s="7" t="n">
        <v>383</v>
      </c>
      <c r="B386" s="8" t="inlineStr">
        <is>
          <t xml:space="preserve">        self._expanded = False</t>
        </is>
      </c>
    </row>
    <row r="387">
      <c r="A387" s="9" t="n">
        <v>384</v>
      </c>
      <c r="B387" s="10" t="inlineStr">
        <is>
          <t xml:space="preserve">        self._toggle_btn.configure(text="▶ 展开帧 / Expand")</t>
        </is>
      </c>
    </row>
    <row r="388">
      <c r="A388" s="7" t="n">
        <v>385</v>
      </c>
      <c r="B388" s="8" t="inlineStr">
        <is>
          <t xml:space="preserve">        if self._frame_grid_frame:</t>
        </is>
      </c>
    </row>
    <row r="389">
      <c r="A389" s="9" t="n">
        <v>386</v>
      </c>
      <c r="B389" s="10" t="inlineStr">
        <is>
          <t xml:space="preserve">            self._frame_grid_frame.pack_forget()</t>
        </is>
      </c>
    </row>
    <row r="390">
      <c r="A390" s="7" t="n">
        <v>387</v>
      </c>
      <c r="B390" s="8" t="inlineStr"/>
    </row>
    <row r="391">
      <c r="A391" s="9" t="n">
        <v>388</v>
      </c>
      <c r="B391" s="10" t="inlineStr">
        <is>
          <t xml:space="preserve">    def _load_frames(self):</t>
        </is>
      </c>
    </row>
    <row r="392">
      <c r="A392" s="7" t="n">
        <v>389</v>
      </c>
      <c r="B392" s="8" t="inlineStr">
        <is>
          <t xml:space="preserve">        """后台加载帧数据 → UI线程创建FrameCard"""</t>
        </is>
      </c>
    </row>
    <row r="393">
      <c r="A393" s="9" t="n">
        <v>390</v>
      </c>
      <c r="B393" s="10" t="inlineStr">
        <is>
          <t xml:space="preserve">        try:</t>
        </is>
      </c>
    </row>
    <row r="394">
      <c r="A394" s="7" t="n">
        <v>391</v>
      </c>
      <c r="B394" s="8" t="inlineStr">
        <is>
          <t xml:space="preserve">            frames = self.db.get_frames_by_video(self.video_path)</t>
        </is>
      </c>
    </row>
    <row r="395">
      <c r="A395" s="9" t="n">
        <v>392</v>
      </c>
      <c r="B395" s="10" t="inlineStr">
        <is>
          <t xml:space="preserve">        except Exception:</t>
        </is>
      </c>
    </row>
    <row r="396">
      <c r="A396" s="7" t="n">
        <v>393</v>
      </c>
      <c r="B396" s="8" t="inlineStr">
        <is>
          <t xml:space="preserve">            frames = []</t>
        </is>
      </c>
    </row>
    <row r="397">
      <c r="A397" s="9" t="n">
        <v>394</v>
      </c>
      <c r="B397" s="10" t="inlineStr"/>
    </row>
    <row r="398">
      <c r="A398" s="7" t="n">
        <v>395</v>
      </c>
      <c r="B398" s="8" t="inlineStr">
        <is>
          <t xml:space="preserve">        def _build_cards():</t>
        </is>
      </c>
    </row>
    <row r="399">
      <c r="A399" s="9" t="n">
        <v>396</v>
      </c>
      <c r="B399" s="10" t="inlineStr">
        <is>
          <t xml:space="preserve">            if not self._frame_grid_frame:</t>
        </is>
      </c>
    </row>
    <row r="400">
      <c r="A400" s="7" t="n">
        <v>397</v>
      </c>
      <c r="B400" s="8" t="inlineStr">
        <is>
          <t xml:space="preserve">                return</t>
        </is>
      </c>
    </row>
    <row r="401">
      <c r="A401" s="9" t="n">
        <v>398</v>
      </c>
      <c r="B401" s="10" t="inlineStr"/>
    </row>
    <row r="402">
      <c r="A402" s="7" t="n">
        <v>399</v>
      </c>
      <c r="B402" s="8" t="inlineStr">
        <is>
          <t xml:space="preserve">            for w in self._frame_grid_frame.winfo_children():</t>
        </is>
      </c>
    </row>
    <row r="403">
      <c r="A403" s="9" t="n">
        <v>400</v>
      </c>
      <c r="B403" s="10" t="inlineStr">
        <is>
          <t xml:space="preserve">                w.destroy()</t>
        </is>
      </c>
    </row>
    <row r="404">
      <c r="A404" s="7" t="n">
        <v>401</v>
      </c>
      <c r="B404" s="8" t="inlineStr">
        <is>
          <t xml:space="preserve">            self._frame_cards = []</t>
        </is>
      </c>
    </row>
    <row r="405">
      <c r="A405" s="9" t="n">
        <v>402</v>
      </c>
      <c r="B405" s="10" t="inlineStr"/>
    </row>
    <row r="406">
      <c r="A406" s="7" t="n">
        <v>403</v>
      </c>
      <c r="B406" s="8" t="inlineStr">
        <is>
          <t xml:space="preserve">            if not frames:</t>
        </is>
      </c>
    </row>
    <row r="407">
      <c r="A407" s="9" t="n">
        <v>404</v>
      </c>
      <c r="B407" s="10" t="inlineStr">
        <is>
          <t xml:space="preserve">                tb.Label(self._frame_grid_frame, text="(无帧数据, 请先运行全盘扫描)",</t>
        </is>
      </c>
    </row>
    <row r="408">
      <c r="A408" s="7" t="n">
        <v>405</v>
      </c>
      <c r="B408" s="8" t="inlineStr">
        <is>
          <t xml:space="preserve">                        font=("Microsoft YaHei", 10),</t>
        </is>
      </c>
    </row>
    <row r="409">
      <c r="A409" s="9" t="n">
        <v>406</v>
      </c>
      <c r="B409" s="10" t="inlineStr">
        <is>
          <t xml:space="preserve">                        foreground="#999").pack(pady=10)</t>
        </is>
      </c>
    </row>
    <row r="410">
      <c r="A410" s="7" t="n">
        <v>407</v>
      </c>
      <c r="B410" s="8" t="inlineStr">
        <is>
          <t xml:space="preserve">                return</t>
        </is>
      </c>
    </row>
    <row r="411">
      <c r="A411" s="9" t="n">
        <v>408</v>
      </c>
      <c r="B411" s="10" t="inlineStr"/>
    </row>
    <row r="412">
      <c r="A412" s="7" t="n">
        <v>409</v>
      </c>
      <c r="B412" s="8" t="inlineStr">
        <is>
          <t xml:space="preserve">            # 流式网格布局 — 每行4个</t>
        </is>
      </c>
    </row>
    <row r="413">
      <c r="A413" s="9" t="n">
        <v>410</v>
      </c>
      <c r="B413" s="10" t="inlineStr">
        <is>
          <t xml:space="preserve">            row_frame = None</t>
        </is>
      </c>
    </row>
    <row r="414">
      <c r="A414" s="7" t="n">
        <v>411</v>
      </c>
      <c r="B414" s="8" t="inlineStr">
        <is>
          <t xml:space="preserve">            col = 0</t>
        </is>
      </c>
    </row>
    <row r="415">
      <c r="A415" s="9" t="n">
        <v>412</v>
      </c>
      <c r="B415" s="10" t="inlineStr">
        <is>
          <t xml:space="preserve">            for i, fd in enumerate(frames):</t>
        </is>
      </c>
    </row>
    <row r="416">
      <c r="A416" s="7" t="n">
        <v>413</v>
      </c>
      <c r="B416" s="8" t="inlineStr">
        <is>
          <t xml:space="preserve">                if col == 0:</t>
        </is>
      </c>
    </row>
    <row r="417">
      <c r="A417" s="9" t="n">
        <v>414</v>
      </c>
      <c r="B417" s="10" t="inlineStr">
        <is>
          <t xml:space="preserve">                    row_frame = tb.Frame(self._frame_grid_frame)</t>
        </is>
      </c>
    </row>
    <row r="418">
      <c r="A418" s="7" t="n">
        <v>415</v>
      </c>
      <c r="B418" s="8" t="inlineStr">
        <is>
          <t xml:space="preserve">                    row_frame.pack(fill="x", pady=3)</t>
        </is>
      </c>
    </row>
    <row r="419">
      <c r="A419" s="9" t="n">
        <v>416</v>
      </c>
      <c r="B419" s="10" t="inlineStr">
        <is>
          <t xml:space="preserve">                col = (i % 4) + 1</t>
        </is>
      </c>
    </row>
    <row r="420">
      <c r="A420" s="7" t="n">
        <v>417</v>
      </c>
      <c r="B420" s="8" t="inlineStr">
        <is>
          <t xml:space="preserve">                card = FrameCard(row_frame, fd, self.db, on_update=self._on_frame_update)</t>
        </is>
      </c>
    </row>
    <row r="421">
      <c r="A421" s="9" t="n">
        <v>418</v>
      </c>
      <c r="B421" s="10" t="inlineStr">
        <is>
          <t xml:space="preserve">                card.pack(side="left", padx=4, pady=2)</t>
        </is>
      </c>
    </row>
    <row r="422">
      <c r="A422" s="7" t="n">
        <v>419</v>
      </c>
      <c r="B422" s="8" t="inlineStr">
        <is>
          <t xml:space="preserve">                self._frame_cards.append(card)</t>
        </is>
      </c>
    </row>
    <row r="423">
      <c r="A423" s="9" t="n">
        <v>420</v>
      </c>
      <c r="B423" s="10" t="inlineStr">
        <is>
          <t xml:space="preserve">                if col == 4:</t>
        </is>
      </c>
    </row>
    <row r="424">
      <c r="A424" s="7" t="n">
        <v>421</v>
      </c>
      <c r="B424" s="8" t="inlineStr">
        <is>
          <t xml:space="preserve">                    col = 0</t>
        </is>
      </c>
    </row>
    <row r="425">
      <c r="A425" s="9" t="n">
        <v>422</v>
      </c>
      <c r="B425" s="10" t="inlineStr"/>
    </row>
    <row r="426">
      <c r="A426" s="7" t="n">
        <v>423</v>
      </c>
      <c r="B426" s="8" t="inlineStr">
        <is>
          <t xml:space="preserve">            # 更新摘要</t>
        </is>
      </c>
    </row>
    <row r="427">
      <c r="A427" s="9" t="n">
        <v>424</v>
      </c>
      <c r="B427" s="10" t="inlineStr">
        <is>
          <t xml:space="preserve">            self._update_summary(frames)</t>
        </is>
      </c>
    </row>
    <row r="428">
      <c r="A428" s="7" t="n">
        <v>425</v>
      </c>
      <c r="B428" s="8" t="inlineStr"/>
    </row>
    <row r="429">
      <c r="A429" s="9" t="n">
        <v>426</v>
      </c>
      <c r="B429" s="10" t="inlineStr">
        <is>
          <t xml:space="preserve">        self.winfo_toplevel().after(0, _build_cards)</t>
        </is>
      </c>
    </row>
    <row r="430">
      <c r="A430" s="7" t="n">
        <v>427</v>
      </c>
      <c r="B430" s="8" t="inlineStr"/>
    </row>
    <row r="431">
      <c r="A431" s="9" t="n">
        <v>428</v>
      </c>
      <c r="B431" s="10" t="inlineStr">
        <is>
          <t xml:space="preserve">    def _on_frame_update(self, frame_id, score, tags):</t>
        </is>
      </c>
    </row>
    <row r="432">
      <c r="A432" s="7" t="n">
        <v>429</v>
      </c>
      <c r="B432" s="8" t="inlineStr">
        <is>
          <t xml:space="preserve">        """帧评分/标签更新回调"""</t>
        </is>
      </c>
    </row>
    <row r="433">
      <c r="A433" s="9" t="n">
        <v>430</v>
      </c>
      <c r="B433" s="10" t="inlineStr">
        <is>
          <t xml:space="preserve">        # 更新摘要数据</t>
        </is>
      </c>
    </row>
    <row r="434">
      <c r="A434" s="7" t="n">
        <v>431</v>
      </c>
      <c r="B434" s="8" t="inlineStr">
        <is>
          <t xml:space="preserve">        if self.on_feedback:</t>
        </is>
      </c>
    </row>
    <row r="435">
      <c r="A435" s="9" t="n">
        <v>432</v>
      </c>
      <c r="B435" s="10" t="inlineStr">
        <is>
          <t xml:space="preserve">            self.on_feedback(frame_id, score, tags)</t>
        </is>
      </c>
    </row>
    <row r="436">
      <c r="A436" s="7" t="n">
        <v>433</v>
      </c>
      <c r="B436" s="8" t="inlineStr"/>
    </row>
    <row r="437">
      <c r="A437" s="9" t="n">
        <v>434</v>
      </c>
      <c r="B437" s="10" t="inlineStr">
        <is>
          <t xml:space="preserve">    def _update_summary(self, frames: list):</t>
        </is>
      </c>
    </row>
    <row r="438">
      <c r="A438" s="7" t="n">
        <v>435</v>
      </c>
      <c r="B438" s="8" t="inlineStr">
        <is>
          <t xml:space="preserve">        """根据最新帧数据更新摘要行"""</t>
        </is>
      </c>
    </row>
    <row r="439">
      <c r="A439" s="9" t="n">
        <v>436</v>
      </c>
      <c r="B439" s="10" t="inlineStr">
        <is>
          <t xml:space="preserve">        if frames:</t>
        </is>
      </c>
    </row>
    <row r="440">
      <c r="A440" s="7" t="n">
        <v>437</v>
      </c>
      <c r="B440" s="8" t="inlineStr">
        <is>
          <t xml:space="preserve">            avg = sum(f.get("user_score", 3) for f in frames) / len(frames)</t>
        </is>
      </c>
    </row>
    <row r="441">
      <c r="A441" s="9" t="n">
        <v>438</v>
      </c>
      <c r="B441" s="10" t="inlineStr">
        <is>
          <t xml:space="preserve">            self.frame_summary["avg_score"] = round(avg, 1)</t>
        </is>
      </c>
    </row>
    <row r="442">
      <c r="A442" s="7" t="n">
        <v>439</v>
      </c>
      <c r="B442" s="8" t="inlineStr">
        <is>
          <t xml:space="preserve">            self.frame_summary["frame_count"] = len(frames)</t>
        </is>
      </c>
    </row>
    <row r="443">
      <c r="A443" s="9" t="n">
        <v>440</v>
      </c>
      <c r="B443" s="10" t="inlineStr"/>
    </row>
    <row r="444">
      <c r="A444" s="7" t="n">
        <v>441</v>
      </c>
      <c r="B444" s="8" t="inlineStr">
        <is>
          <t xml:space="preserve">    def add_single_frame(self, frame_data: dict):</t>
        </is>
      </c>
    </row>
    <row r="445">
      <c r="A445" s="9" t="n">
        <v>442</v>
      </c>
      <c r="B445" s="10" t="inlineStr">
        <is>
          <t xml:space="preserve">        """实时追加单个新帧（扫描器回调）"""</t>
        </is>
      </c>
    </row>
    <row r="446">
      <c r="A446" s="7" t="n">
        <v>443</v>
      </c>
      <c r="B446" s="8" t="inlineStr">
        <is>
          <t xml:space="preserve">        if not self._frame_grid_frame:</t>
        </is>
      </c>
    </row>
    <row r="447">
      <c r="A447" s="9" t="n">
        <v>444</v>
      </c>
      <c r="B447" s="10" t="inlineStr">
        <is>
          <t xml:space="preserve">            return</t>
        </is>
      </c>
    </row>
    <row r="448">
      <c r="A448" s="7" t="n">
        <v>445</v>
      </c>
      <c r="B448" s="8" t="inlineStr"/>
    </row>
    <row r="449">
      <c r="A449" s="9" t="n">
        <v>446</v>
      </c>
      <c r="B449" s="10" t="inlineStr">
        <is>
          <t xml:space="preserve">        def _add():</t>
        </is>
      </c>
    </row>
    <row r="450">
      <c r="A450" s="7" t="n">
        <v>447</v>
      </c>
      <c r="B450" s="8" t="inlineStr">
        <is>
          <t xml:space="preserve">            card = FrameCard(</t>
        </is>
      </c>
    </row>
    <row r="451">
      <c r="A451" s="9" t="n">
        <v>448</v>
      </c>
      <c r="B451" s="10" t="inlineStr">
        <is>
          <t xml:space="preserve">                self._frame_grid_frame, frame_data, self.db,</t>
        </is>
      </c>
    </row>
    <row r="452">
      <c r="A452" s="7" t="n">
        <v>449</v>
      </c>
      <c r="B452" s="8" t="inlineStr">
        <is>
          <t xml:space="preserve">                on_update=self._on_frame_update</t>
        </is>
      </c>
    </row>
    <row r="453">
      <c r="A453" s="9" t="n">
        <v>450</v>
      </c>
      <c r="B453" s="10" t="inlineStr">
        <is>
          <t xml:space="preserve">            )</t>
        </is>
      </c>
    </row>
    <row r="454">
      <c r="A454" s="7" t="n">
        <v>451</v>
      </c>
      <c r="B454" s="8" t="inlineStr">
        <is>
          <t xml:space="preserve">            # 简单追加到末尾</t>
        </is>
      </c>
    </row>
    <row r="455">
      <c r="A455" s="9" t="n">
        <v>452</v>
      </c>
      <c r="B455" s="10" t="inlineStr">
        <is>
          <t xml:space="preserve">            card.pack(side="left", padx=4, pady=2)</t>
        </is>
      </c>
    </row>
    <row r="456">
      <c r="A456" s="7" t="n">
        <v>453</v>
      </c>
      <c r="B456" s="8" t="inlineStr">
        <is>
          <t xml:space="preserve">            self._frame_cards.append(card)</t>
        </is>
      </c>
    </row>
    <row r="457">
      <c r="A457" s="9" t="n">
        <v>454</v>
      </c>
      <c r="B457" s="10" t="inlineStr">
        <is>
          <t xml:space="preserve">            self.frame_summary["frame_count"] = (</t>
        </is>
      </c>
    </row>
    <row r="458">
      <c r="A458" s="7" t="n">
        <v>455</v>
      </c>
      <c r="B458" s="8" t="inlineStr">
        <is>
          <t xml:space="preserve">                self.frame_summary.get("frame_count", 0) + 1</t>
        </is>
      </c>
    </row>
    <row r="459">
      <c r="A459" s="9" t="n">
        <v>456</v>
      </c>
      <c r="B459" s="10" t="inlineStr">
        <is>
          <t xml:space="preserve">            )</t>
        </is>
      </c>
    </row>
    <row r="460">
      <c r="A460" s="7" t="n">
        <v>457</v>
      </c>
      <c r="B460" s="8" t="inlineStr"/>
    </row>
    <row r="461">
      <c r="A461" s="9" t="n">
        <v>458</v>
      </c>
      <c r="B461" s="10" t="inlineStr">
        <is>
          <t xml:space="preserve">        self.winfo_toplevel().after(0, _add)</t>
        </is>
      </c>
    </row>
    <row r="462">
      <c r="A462" s="7" t="n">
        <v>459</v>
      </c>
      <c r="B462" s="8" t="inlineStr"/>
    </row>
    <row r="463">
      <c r="A463" s="9" t="n">
        <v>460</v>
      </c>
      <c r="B463" s="10" t="inlineStr"/>
    </row>
    <row r="464">
      <c r="A464" s="7" t="n">
        <v>461</v>
      </c>
      <c r="B464" s="8" t="inlineStr">
        <is>
          <t># ═══════════════════════════════════════════════════</t>
        </is>
      </c>
    </row>
    <row r="465">
      <c r="A465" s="9" t="n">
        <v>462</v>
      </c>
      <c r="B465" s="10" t="inlineStr">
        <is>
          <t># 主素材库标签页</t>
        </is>
      </c>
    </row>
    <row r="466">
      <c r="A466" s="7" t="n">
        <v>463</v>
      </c>
      <c r="B466" s="8" t="inlineStr">
        <is>
          <t># ═══════════════════════════════════════════════════</t>
        </is>
      </c>
    </row>
    <row r="467">
      <c r="A467" s="9" t="n">
        <v>464</v>
      </c>
      <c r="B467" s="10" t="inlineStr"/>
    </row>
    <row r="468">
      <c r="A468" s="7" t="n">
        <v>465</v>
      </c>
      <c r="B468" s="8" t="inlineStr">
        <is>
          <t>class LibraryTab:</t>
        </is>
      </c>
    </row>
    <row r="469">
      <c r="A469" s="9" t="n">
        <v>466</v>
      </c>
      <c r="B469" s="10" t="inlineStr">
        <is>
          <t xml:space="preserve">    """</t>
        </is>
      </c>
    </row>
    <row r="470">
      <c r="A470" s="7" t="n">
        <v>467</v>
      </c>
      <c r="B470" s="8" t="inlineStr">
        <is>
          <t xml:space="preserve">    全新的素材库标签页 — 帧级别可视化浏览器。</t>
        </is>
      </c>
    </row>
    <row r="471">
      <c r="A471" s="9" t="n">
        <v>468</v>
      </c>
      <c r="B471" s="10" t="inlineStr"/>
    </row>
    <row r="472">
      <c r="A472" s="7" t="n">
        <v>469</v>
      </c>
      <c r="B472" s="8" t="inlineStr">
        <is>
          <t xml:space="preserve">    嵌入到 desktop.py 的 Notebook 中。</t>
        </is>
      </c>
    </row>
    <row r="473">
      <c r="A473" s="9" t="n">
        <v>470</v>
      </c>
      <c r="B473" s="10" t="inlineStr">
        <is>
          <t xml:space="preserve">    """</t>
        </is>
      </c>
    </row>
    <row r="474">
      <c r="A474" s="7" t="n">
        <v>471</v>
      </c>
      <c r="B474" s="8" t="inlineStr"/>
    </row>
    <row r="475">
      <c r="A475" s="9" t="n">
        <v>472</v>
      </c>
      <c r="B475" s="10" t="inlineStr">
        <is>
          <t xml:space="preserve">    def __init__(self, notebook, app):</t>
        </is>
      </c>
    </row>
    <row r="476">
      <c r="A476" s="7" t="n">
        <v>473</v>
      </c>
      <c r="B476" s="8" t="inlineStr">
        <is>
          <t xml:space="preserve">        """</t>
        </is>
      </c>
    </row>
    <row r="477">
      <c r="A477" s="9" t="n">
        <v>474</v>
      </c>
      <c r="B477" s="10" t="inlineStr">
        <is>
          <t xml:space="preserve">        notebook: ttk.Notebook 实例</t>
        </is>
      </c>
    </row>
    <row r="478">
      <c r="A478" s="7" t="n">
        <v>475</v>
      </c>
      <c r="B478" s="8" t="inlineStr">
        <is>
          <t xml:space="preserve">        app: TreeCutApp 主窗口实例（用于日志/状态）</t>
        </is>
      </c>
    </row>
    <row r="479">
      <c r="A479" s="9" t="n">
        <v>476</v>
      </c>
      <c r="B479" s="10" t="inlineStr">
        <is>
          <t xml:space="preserve">        """</t>
        </is>
      </c>
    </row>
    <row r="480">
      <c r="A480" s="7" t="n">
        <v>477</v>
      </c>
      <c r="B480" s="8" t="inlineStr">
        <is>
          <t xml:space="preserve">        self.app = app</t>
        </is>
      </c>
    </row>
    <row r="481">
      <c r="A481" s="9" t="n">
        <v>478</v>
      </c>
      <c r="B481" s="10" t="inlineStr">
        <is>
          <t xml:space="preserve">        self.db = None</t>
        </is>
      </c>
    </row>
    <row r="482">
      <c r="A482" s="7" t="n">
        <v>479</v>
      </c>
      <c r="B482" s="8" t="inlineStr">
        <is>
          <t xml:space="preserve">        self._video_cards = {}          # video_path → VideoCard</t>
        </is>
      </c>
    </row>
    <row r="483">
      <c r="A483" s="9" t="n">
        <v>480</v>
      </c>
      <c r="B483" s="10" t="inlineStr">
        <is>
          <t xml:space="preserve">        self._frame_update_queue = queue.Queue()  # 扫描器推送队列</t>
        </is>
      </c>
    </row>
    <row r="484">
      <c r="A484" s="7" t="n">
        <v>481</v>
      </c>
      <c r="B484" s="8" t="inlineStr">
        <is>
          <t xml:space="preserve">        self._search_var = tk.StringVar()</t>
        </is>
      </c>
    </row>
    <row r="485">
      <c r="A485" s="9" t="n">
        <v>482</v>
      </c>
      <c r="B485" s="10" t="inlineStr">
        <is>
          <t xml:space="preserve">        self._filter_var = tk.StringVar(value="all")  # all / with_frames / high_score</t>
        </is>
      </c>
    </row>
    <row r="486">
      <c r="A486" s="7" t="n">
        <v>483</v>
      </c>
      <c r="B486" s="8" t="inlineStr"/>
    </row>
    <row r="487">
      <c r="A487" s="9" t="n">
        <v>484</v>
      </c>
      <c r="B487" s="10" t="inlineStr">
        <is>
          <t xml:space="preserve">        # 构建标签页</t>
        </is>
      </c>
    </row>
    <row r="488">
      <c r="A488" s="7" t="n">
        <v>485</v>
      </c>
      <c r="B488" s="8" t="inlineStr">
        <is>
          <t xml:space="preserve">        self._frame = tb.Frame(notebook, padding=6)</t>
        </is>
      </c>
    </row>
    <row r="489">
      <c r="A489" s="9" t="n">
        <v>486</v>
      </c>
      <c r="B489" s="10" t="inlineStr">
        <is>
          <t xml:space="preserve">        notebook.add(self._frame, text="素材库 / Library")</t>
        </is>
      </c>
    </row>
    <row r="490">
      <c r="A490" s="7" t="n">
        <v>487</v>
      </c>
      <c r="B490" s="8" t="inlineStr">
        <is>
          <t xml:space="preserve">        self._build()</t>
        </is>
      </c>
    </row>
    <row r="491">
      <c r="A491" s="9" t="n">
        <v>488</v>
      </c>
      <c r="B491" s="10" t="inlineStr"/>
    </row>
    <row r="492">
      <c r="A492" s="7" t="n">
        <v>489</v>
      </c>
      <c r="B492" s="8" t="inlineStr">
        <is>
          <t xml:space="preserve">        # 加载数据库</t>
        </is>
      </c>
    </row>
    <row r="493">
      <c r="A493" s="9" t="n">
        <v>490</v>
      </c>
      <c r="B493" s="10" t="inlineStr">
        <is>
          <t xml:space="preserve">        try:</t>
        </is>
      </c>
    </row>
    <row r="494">
      <c r="A494" s="7" t="n">
        <v>491</v>
      </c>
      <c r="B494" s="8" t="inlineStr">
        <is>
          <t xml:space="preserve">            from core.database import db</t>
        </is>
      </c>
    </row>
    <row r="495">
      <c r="A495" s="9" t="n">
        <v>492</v>
      </c>
      <c r="B495" s="10" t="inlineStr">
        <is>
          <t xml:space="preserve">            self.db = db</t>
        </is>
      </c>
    </row>
    <row r="496">
      <c r="A496" s="7" t="n">
        <v>493</v>
      </c>
      <c r="B496" s="8" t="inlineStr">
        <is>
          <t xml:space="preserve">        except Exception:</t>
        </is>
      </c>
    </row>
    <row r="497">
      <c r="A497" s="9" t="n">
        <v>494</v>
      </c>
      <c r="B497" s="10" t="inlineStr">
        <is>
          <t xml:space="preserve">            pass</t>
        </is>
      </c>
    </row>
    <row r="498">
      <c r="A498" s="7" t="n">
        <v>495</v>
      </c>
      <c r="B498" s="8" t="inlineStr"/>
    </row>
    <row r="499">
      <c r="A499" s="9" t="n">
        <v>496</v>
      </c>
      <c r="B499" s="10" t="inlineStr">
        <is>
          <t xml:space="preserve">        # 启动日志轮询</t>
        </is>
      </c>
    </row>
    <row r="500">
      <c r="A500" s="7" t="n">
        <v>497</v>
      </c>
      <c r="B500" s="8" t="inlineStr">
        <is>
          <t xml:space="preserve">        self._poll_frame_queue()</t>
        </is>
      </c>
    </row>
    <row r="501">
      <c r="A501" s="9" t="n">
        <v>498</v>
      </c>
      <c r="B501" s="10" t="inlineStr"/>
    </row>
    <row r="502">
      <c r="A502" s="7" t="n">
        <v>499</v>
      </c>
      <c r="B502" s="8" t="inlineStr">
        <is>
          <t xml:space="preserve">        # 初始加载</t>
        </is>
      </c>
    </row>
    <row r="503">
      <c r="A503" s="9" t="n">
        <v>500</v>
      </c>
      <c r="B503" s="10" t="inlineStr">
        <is>
          <t xml:space="preserve">        self._frame.after(500, self._refresh)</t>
        </is>
      </c>
    </row>
    <row r="504">
      <c r="A504" s="7" t="n">
        <v>501</v>
      </c>
      <c r="B504" s="8" t="inlineStr"/>
    </row>
    <row r="505">
      <c r="A505" s="9" t="n">
        <v>502</v>
      </c>
      <c r="B505" s="10" t="inlineStr">
        <is>
          <t xml:space="preserve">    # ═══════════ UI构建 ═══════════</t>
        </is>
      </c>
    </row>
    <row r="506">
      <c r="A506" s="7" t="n">
        <v>503</v>
      </c>
      <c r="B506" s="8" t="inlineStr"/>
    </row>
    <row r="507">
      <c r="A507" s="9" t="n">
        <v>504</v>
      </c>
      <c r="B507" s="10" t="inlineStr">
        <is>
          <t xml:space="preserve">    def _build(self):</t>
        </is>
      </c>
    </row>
    <row r="508">
      <c r="A508" s="7" t="n">
        <v>505</v>
      </c>
      <c r="B508" s="8" t="inlineStr">
        <is>
          <t xml:space="preserve">        # ── 顶部工具栏 ──</t>
        </is>
      </c>
    </row>
    <row r="509">
      <c r="A509" s="9" t="n">
        <v>506</v>
      </c>
      <c r="B509" s="10" t="inlineStr">
        <is>
          <t xml:space="preserve">        toolbar = tb.Frame(self._frame, padding=4)</t>
        </is>
      </c>
    </row>
    <row r="510">
      <c r="A510" s="7" t="n">
        <v>507</v>
      </c>
      <c r="B510" s="8" t="inlineStr">
        <is>
          <t xml:space="preserve">        toolbar.pack(fill="x", pady=(0, 6))</t>
        </is>
      </c>
    </row>
    <row r="511">
      <c r="A511" s="9" t="n">
        <v>508</v>
      </c>
      <c r="B511" s="10" t="inlineStr"/>
    </row>
    <row r="512">
      <c r="A512" s="7" t="n">
        <v>509</v>
      </c>
      <c r="B512" s="8" t="inlineStr">
        <is>
          <t xml:space="preserve">        RoundedButton(toolbar, text="🔄 刷新", command=self._refresh,</t>
        </is>
      </c>
    </row>
    <row r="513">
      <c r="A513" s="9" t="n">
        <v>510</v>
      </c>
      <c r="B513" s="10" t="inlineStr">
        <is>
          <t xml:space="preserve">                     width=90, height=34, bg_color="#0d6efd",</t>
        </is>
      </c>
    </row>
    <row r="514">
      <c r="A514" s="7" t="n">
        <v>511</v>
      </c>
      <c r="B514" s="8" t="inlineStr">
        <is>
          <t xml:space="preserve">                     fg_color="#ffffff", hover_color="#0b5ed7", radius=8</t>
        </is>
      </c>
    </row>
    <row r="515">
      <c r="A515" s="9" t="n">
        <v>512</v>
      </c>
      <c r="B515" s="10" t="inlineStr">
        <is>
          <t xml:space="preserve">                     ).pack(side="left", padx=2)</t>
        </is>
      </c>
    </row>
    <row r="516">
      <c r="A516" s="7" t="n">
        <v>513</v>
      </c>
      <c r="B516" s="8" t="inlineStr"/>
    </row>
    <row r="517">
      <c r="A517" s="9" t="n">
        <v>514</v>
      </c>
      <c r="B517" s="10" t="inlineStr">
        <is>
          <t xml:space="preserve">        RoundedButton(toolbar, text="🔍 全盘扫描",</t>
        </is>
      </c>
    </row>
    <row r="518">
      <c r="A518" s="7" t="n">
        <v>515</v>
      </c>
      <c r="B518" s="8" t="inlineStr">
        <is>
          <t xml:space="preserve">                     command=self._start_background_scan,</t>
        </is>
      </c>
    </row>
    <row r="519">
      <c r="A519" s="9" t="n">
        <v>516</v>
      </c>
      <c r="B519" s="10" t="inlineStr">
        <is>
          <t xml:space="preserve">                     width=100, height=34, bg_color="#28a745",</t>
        </is>
      </c>
    </row>
    <row r="520">
      <c r="A520" s="7" t="n">
        <v>517</v>
      </c>
      <c r="B520" s="8" t="inlineStr">
        <is>
          <t xml:space="preserve">                     fg_color="#ffffff", hover_color="#218838", radius=8</t>
        </is>
      </c>
    </row>
    <row r="521">
      <c r="A521" s="9" t="n">
        <v>518</v>
      </c>
      <c r="B521" s="10" t="inlineStr">
        <is>
          <t xml:space="preserve">                     ).pack(side="left", padx=2)</t>
        </is>
      </c>
    </row>
    <row r="522">
      <c r="A522" s="7" t="n">
        <v>519</v>
      </c>
      <c r="B522" s="8" t="inlineStr"/>
    </row>
    <row r="523">
      <c r="A523" s="9" t="n">
        <v>520</v>
      </c>
      <c r="B523" s="10" t="inlineStr">
        <is>
          <t xml:space="preserve">        RoundedButton(toolbar, text="📊 使用统计",</t>
        </is>
      </c>
    </row>
    <row r="524">
      <c r="A524" s="7" t="n">
        <v>521</v>
      </c>
      <c r="B524" s="8" t="inlineStr">
        <is>
          <t xml:space="preserve">                     command=self._show_stats,</t>
        </is>
      </c>
    </row>
    <row r="525">
      <c r="A525" s="9" t="n">
        <v>522</v>
      </c>
      <c r="B525" s="10" t="inlineStr">
        <is>
          <t xml:space="preserve">                     width=100, height=34, bg_color="#e0e0e0",</t>
        </is>
      </c>
    </row>
    <row r="526">
      <c r="A526" s="7" t="n">
        <v>523</v>
      </c>
      <c r="B526" s="8" t="inlineStr">
        <is>
          <t xml:space="preserve">                     fg_color="#212529", hover_color="#d0e0ff", radius=8</t>
        </is>
      </c>
    </row>
    <row r="527">
      <c r="A527" s="9" t="n">
        <v>524</v>
      </c>
      <c r="B527" s="10" t="inlineStr">
        <is>
          <t xml:space="preserve">                     ).pack(side="left", padx=2)</t>
        </is>
      </c>
    </row>
    <row r="528">
      <c r="A528" s="7" t="n">
        <v>525</v>
      </c>
      <c r="B528" s="8" t="inlineStr"/>
    </row>
    <row r="529">
      <c r="A529" s="9" t="n">
        <v>526</v>
      </c>
      <c r="B529" s="10" t="inlineStr">
        <is>
          <t xml:space="preserve">        # 过滤下拉</t>
        </is>
      </c>
    </row>
    <row r="530">
      <c r="A530" s="7" t="n">
        <v>527</v>
      </c>
      <c r="B530" s="8" t="inlineStr">
        <is>
          <t xml:space="preserve">        tb.Label(toolbar, text="过滤:", font=("Microsoft YaHei", 9)).pack(side="left", padx=(20, 2))</t>
        </is>
      </c>
    </row>
    <row r="531">
      <c r="A531" s="9" t="n">
        <v>528</v>
      </c>
      <c r="B531" s="10" t="inlineStr">
        <is>
          <t xml:space="preserve">        filter_combo = tb.Combobox(toolbar, textvariable=self._filter_var,</t>
        </is>
      </c>
    </row>
    <row r="532">
      <c r="A532" s="7" t="n">
        <v>529</v>
      </c>
      <c r="B532" s="8" t="inlineStr">
        <is>
          <t xml:space="preserve">                                  values=["all", "with_frames", "high_score"],</t>
        </is>
      </c>
    </row>
    <row r="533">
      <c r="A533" s="9" t="n">
        <v>530</v>
      </c>
      <c r="B533" s="10" t="inlineStr">
        <is>
          <t xml:space="preserve">                                  state="readonly", width=14)</t>
        </is>
      </c>
    </row>
    <row r="534">
      <c r="A534" s="7" t="n">
        <v>531</v>
      </c>
      <c r="B534" s="8" t="inlineStr">
        <is>
          <t xml:space="preserve">        filter_combo.pack(side="left", padx=2)</t>
        </is>
      </c>
    </row>
    <row r="535">
      <c r="A535" s="9" t="n">
        <v>532</v>
      </c>
      <c r="B535" s="10" t="inlineStr">
        <is>
          <t xml:space="preserve">        filter_combo.bind("&lt;&lt;ComboboxSelected&gt;&gt;", lambda e: self._refresh())</t>
        </is>
      </c>
    </row>
    <row r="536">
      <c r="A536" s="7" t="n">
        <v>533</v>
      </c>
      <c r="B536" s="8" t="inlineStr"/>
    </row>
    <row r="537">
      <c r="A537" s="9" t="n">
        <v>534</v>
      </c>
      <c r="B537" s="10" t="inlineStr">
        <is>
          <t xml:space="preserve">        # 搜索框</t>
        </is>
      </c>
    </row>
    <row r="538">
      <c r="A538" s="7" t="n">
        <v>535</v>
      </c>
      <c r="B538" s="8" t="inlineStr">
        <is>
          <t xml:space="preserve">        tb.Label(toolbar, text="搜索:", font=("Microsoft YaHei", 9)).pack(side="left", padx=(10, 2))</t>
        </is>
      </c>
    </row>
    <row r="539">
      <c r="A539" s="9" t="n">
        <v>536</v>
      </c>
      <c r="B539" s="10" t="inlineStr">
        <is>
          <t xml:space="preserve">        search_entry = tb.Entry(toolbar, textvariable=self._search_var, width=20)</t>
        </is>
      </c>
    </row>
    <row r="540">
      <c r="A540" s="7" t="n">
        <v>537</v>
      </c>
      <c r="B540" s="8" t="inlineStr">
        <is>
          <t xml:space="preserve">        search_entry.pack(side="left", padx=2)</t>
        </is>
      </c>
    </row>
    <row r="541">
      <c r="A541" s="9" t="n">
        <v>538</v>
      </c>
      <c r="B541" s="10" t="inlineStr">
        <is>
          <t xml:space="preserve">        search_entry.bind("&lt;Return&gt;", lambda e: self._refresh())</t>
        </is>
      </c>
    </row>
    <row r="542">
      <c r="A542" s="7" t="n">
        <v>539</v>
      </c>
      <c r="B542" s="8" t="inlineStr">
        <is>
          <t xml:space="preserve">        RoundedButton(toolbar, text="搜索", command=self._refresh,</t>
        </is>
      </c>
    </row>
    <row r="543">
      <c r="A543" s="9" t="n">
        <v>540</v>
      </c>
      <c r="B543" s="10" t="inlineStr">
        <is>
          <t xml:space="preserve">                     width=60, height=30, bg_color="#e0e0e0",</t>
        </is>
      </c>
    </row>
    <row r="544">
      <c r="A544" s="7" t="n">
        <v>541</v>
      </c>
      <c r="B544" s="8" t="inlineStr">
        <is>
          <t xml:space="preserve">                     fg_color="#212529", hover_color="#d0e0ff", radius=6</t>
        </is>
      </c>
    </row>
    <row r="545">
      <c r="A545" s="9" t="n">
        <v>542</v>
      </c>
      <c r="B545" s="10" t="inlineStr">
        <is>
          <t xml:space="preserve">                     ).pack(side="left", padx=2)</t>
        </is>
      </c>
    </row>
    <row r="546">
      <c r="A546" s="7" t="n">
        <v>543</v>
      </c>
      <c r="B546" s="8" t="inlineStr"/>
    </row>
    <row r="547">
      <c r="A547" s="9" t="n">
        <v>544</v>
      </c>
      <c r="B547" s="10" t="inlineStr">
        <is>
          <t xml:space="preserve">        # 状态标签</t>
        </is>
      </c>
    </row>
    <row r="548">
      <c r="A548" s="7" t="n">
        <v>545</v>
      </c>
      <c r="B548" s="8" t="inlineStr">
        <is>
          <t xml:space="preserve">        self._status_var = tk.StringVar(value="就绪")</t>
        </is>
      </c>
    </row>
    <row r="549">
      <c r="A549" s="9" t="n">
        <v>546</v>
      </c>
      <c r="B549" s="10" t="inlineStr">
        <is>
          <t xml:space="preserve">        tb.Label(toolbar, textvariable=self._status_var,</t>
        </is>
      </c>
    </row>
    <row r="550">
      <c r="A550" s="7" t="n">
        <v>547</v>
      </c>
      <c r="B550" s="8" t="inlineStr">
        <is>
          <t xml:space="preserve">                font=("Microsoft YaHei", 9),</t>
        </is>
      </c>
    </row>
    <row r="551">
      <c r="A551" s="9" t="n">
        <v>548</v>
      </c>
      <c r="B551" s="10" t="inlineStr">
        <is>
          <t xml:space="preserve">                foreground="#6d6d6d").pack(side="right", padx=10)</t>
        </is>
      </c>
    </row>
    <row r="552">
      <c r="A552" s="7" t="n">
        <v>549</v>
      </c>
      <c r="B552" s="8" t="inlineStr"/>
    </row>
    <row r="553">
      <c r="A553" s="9" t="n">
        <v>550</v>
      </c>
      <c r="B553" s="10" t="inlineStr">
        <is>
          <t xml:space="preserve">        # ── 可滚动主区域 ──</t>
        </is>
      </c>
    </row>
    <row r="554">
      <c r="A554" s="7" t="n">
        <v>551</v>
      </c>
      <c r="B554" s="8" t="inlineStr">
        <is>
          <t xml:space="preserve">        self._canvas_frame = tb.Frame(self._frame)</t>
        </is>
      </c>
    </row>
    <row r="555">
      <c r="A555" s="9" t="n">
        <v>552</v>
      </c>
      <c r="B555" s="10" t="inlineStr">
        <is>
          <t xml:space="preserve">        self._canvas_frame.pack(fill="both", expand=True)</t>
        </is>
      </c>
    </row>
    <row r="556">
      <c r="A556" s="7" t="n">
        <v>553</v>
      </c>
      <c r="B556" s="8" t="inlineStr"/>
    </row>
    <row r="557">
      <c r="A557" s="9" t="n">
        <v>554</v>
      </c>
      <c r="B557" s="10" t="inlineStr">
        <is>
          <t xml:space="preserve">        self._canvas = tk.Canvas(self._canvas_frame, highlightthickness=0,</t>
        </is>
      </c>
    </row>
    <row r="558">
      <c r="A558" s="7" t="n">
        <v>555</v>
      </c>
      <c r="B558" s="8" t="inlineStr">
        <is>
          <t xml:space="preserve">                                bg="#e8f5e9")</t>
        </is>
      </c>
    </row>
    <row r="559">
      <c r="A559" s="9" t="n">
        <v>556</v>
      </c>
      <c r="B559" s="10" t="inlineStr">
        <is>
          <t xml:space="preserve">        scrollbar = tb.Scrollbar(self._canvas_frame, orient="vertical",</t>
        </is>
      </c>
    </row>
    <row r="560">
      <c r="A560" s="7" t="n">
        <v>557</v>
      </c>
      <c r="B560" s="8" t="inlineStr">
        <is>
          <t xml:space="preserve">                                command=self._canvas.yview, bootstyle="round")</t>
        </is>
      </c>
    </row>
    <row r="561">
      <c r="A561" s="9" t="n">
        <v>558</v>
      </c>
      <c r="B561" s="10" t="inlineStr">
        <is>
          <t xml:space="preserve">        self._canvas.configure(yscrollcommand=scrollbar.set)</t>
        </is>
      </c>
    </row>
    <row r="562">
      <c r="A562" s="7" t="n">
        <v>559</v>
      </c>
      <c r="B562" s="8" t="inlineStr">
        <is>
          <t xml:space="preserve">        scrollbar.pack(side="right", fill="y")</t>
        </is>
      </c>
    </row>
    <row r="563">
      <c r="A563" s="9" t="n">
        <v>560</v>
      </c>
      <c r="B563" s="10" t="inlineStr">
        <is>
          <t xml:space="preserve">        self._canvas.pack(side="left", fill="both", expand=True)</t>
        </is>
      </c>
    </row>
    <row r="564">
      <c r="A564" s="7" t="n">
        <v>561</v>
      </c>
      <c r="B564" s="8" t="inlineStr"/>
    </row>
    <row r="565">
      <c r="A565" s="9" t="n">
        <v>562</v>
      </c>
      <c r="B565" s="10" t="inlineStr">
        <is>
          <t xml:space="preserve">        # 内部内容帧</t>
        </is>
      </c>
    </row>
    <row r="566">
      <c r="A566" s="7" t="n">
        <v>563</v>
      </c>
      <c r="B566" s="8" t="inlineStr">
        <is>
          <t xml:space="preserve">        self._content_frame = tb.Frame(self._canvas)</t>
        </is>
      </c>
    </row>
    <row r="567">
      <c r="A567" s="9" t="n">
        <v>564</v>
      </c>
      <c r="B567" s="10" t="inlineStr">
        <is>
          <t xml:space="preserve">        self._content_id = self._canvas.create_window(</t>
        </is>
      </c>
    </row>
    <row r="568">
      <c r="A568" s="7" t="n">
        <v>565</v>
      </c>
      <c r="B568" s="8" t="inlineStr">
        <is>
          <t xml:space="preserve">            (0, 0), window=self._content_frame, anchor="nw"</t>
        </is>
      </c>
    </row>
    <row r="569">
      <c r="A569" s="9" t="n">
        <v>566</v>
      </c>
      <c r="B569" s="10" t="inlineStr">
        <is>
          <t xml:space="preserve">        )</t>
        </is>
      </c>
    </row>
    <row r="570">
      <c r="A570" s="7" t="n">
        <v>567</v>
      </c>
      <c r="B570" s="8" t="inlineStr"/>
    </row>
    <row r="571">
      <c r="A571" s="9" t="n">
        <v>568</v>
      </c>
      <c r="B571" s="10" t="inlineStr">
        <is>
          <t xml:space="preserve">        self._content_frame.bind("&lt;Configure&gt;",</t>
        </is>
      </c>
    </row>
    <row r="572">
      <c r="A572" s="7" t="n">
        <v>569</v>
      </c>
      <c r="B572" s="8" t="inlineStr">
        <is>
          <t xml:space="preserve">            lambda e: self._canvas.configure(scrollregion=self._canvas.bbox("all")))</t>
        </is>
      </c>
    </row>
    <row r="573">
      <c r="A573" s="9" t="n">
        <v>570</v>
      </c>
      <c r="B573" s="10" t="inlineStr">
        <is>
          <t xml:space="preserve">        self._canvas.bind("&lt;Configure&gt;", lambda e: (</t>
        </is>
      </c>
    </row>
    <row r="574">
      <c r="A574" s="7" t="n">
        <v>571</v>
      </c>
      <c r="B574" s="8" t="inlineStr">
        <is>
          <t xml:space="preserve">            self._canvas.itemconfig(self._content_id, width=e.width)</t>
        </is>
      </c>
    </row>
    <row r="575">
      <c r="A575" s="9" t="n">
        <v>572</v>
      </c>
      <c r="B575" s="10" t="inlineStr">
        <is>
          <t xml:space="preserve">        ))</t>
        </is>
      </c>
    </row>
    <row r="576">
      <c r="A576" s="7" t="n">
        <v>573</v>
      </c>
      <c r="B576" s="8" t="inlineStr"/>
    </row>
    <row r="577">
      <c r="A577" s="9" t="n">
        <v>574</v>
      </c>
      <c r="B577" s="10" t="inlineStr">
        <is>
          <t xml:space="preserve">        # 滚轮滚动</t>
        </is>
      </c>
    </row>
    <row r="578">
      <c r="A578" s="7" t="n">
        <v>575</v>
      </c>
      <c r="B578" s="8" t="inlineStr">
        <is>
          <t xml:space="preserve">        def _on_mousewheel(event):</t>
        </is>
      </c>
    </row>
    <row r="579">
      <c r="A579" s="9" t="n">
        <v>576</v>
      </c>
      <c r="B579" s="10" t="inlineStr">
        <is>
          <t xml:space="preserve">            self._canvas.yview_scroll(int(-1 * (event.delta / 120)), "units")</t>
        </is>
      </c>
    </row>
    <row r="580">
      <c r="A580" s="7" t="n">
        <v>577</v>
      </c>
      <c r="B580" s="8" t="inlineStr">
        <is>
          <t xml:space="preserve">        self._canvas.bind("&lt;MouseWheel&gt;", _on_mousewheel)</t>
        </is>
      </c>
    </row>
    <row r="581">
      <c r="A581" s="9" t="n">
        <v>578</v>
      </c>
      <c r="B581" s="10" t="inlineStr">
        <is>
          <t xml:space="preserve">        self._content_frame.bind("&lt;MouseWheel&gt;", _on_mousewheel)</t>
        </is>
      </c>
    </row>
    <row r="582">
      <c r="A582" s="7" t="n">
        <v>579</v>
      </c>
      <c r="B582" s="8" t="inlineStr"/>
    </row>
    <row r="583">
      <c r="A583" s="9" t="n">
        <v>580</v>
      </c>
      <c r="B583" s="10" t="inlineStr">
        <is>
          <t xml:space="preserve">        # 底部页脚</t>
        </is>
      </c>
    </row>
    <row r="584">
      <c r="A584" s="7" t="n">
        <v>581</v>
      </c>
      <c r="B584" s="8" t="inlineStr">
        <is>
          <t xml:space="preserve">        footer = tb.Frame(self._frame, padding=4)</t>
        </is>
      </c>
    </row>
    <row r="585">
      <c r="A585" s="9" t="n">
        <v>582</v>
      </c>
      <c r="B585" s="10" t="inlineStr">
        <is>
          <t xml:space="preserve">        footer.pack(fill="x")</t>
        </is>
      </c>
    </row>
    <row r="586">
      <c r="A586" s="7" t="n">
        <v>583</v>
      </c>
      <c r="B586" s="8" t="inlineStr">
        <is>
          <t xml:space="preserve">        self._footer_var = tk.StringVar(value="")</t>
        </is>
      </c>
    </row>
    <row r="587">
      <c r="A587" s="9" t="n">
        <v>584</v>
      </c>
      <c r="B587" s="10" t="inlineStr">
        <is>
          <t xml:space="preserve">        tb.Label(footer, textvariable=self._footer_var,</t>
        </is>
      </c>
    </row>
    <row r="588">
      <c r="A588" s="7" t="n">
        <v>585</v>
      </c>
      <c r="B588" s="8" t="inlineStr">
        <is>
          <t xml:space="preserve">                font=("Microsoft YaHei", 9),</t>
        </is>
      </c>
    </row>
    <row r="589">
      <c r="A589" s="9" t="n">
        <v>586</v>
      </c>
      <c r="B589" s="10" t="inlineStr">
        <is>
          <t xml:space="preserve">                foreground="#999").pack(anchor="e")</t>
        </is>
      </c>
    </row>
    <row r="590">
      <c r="A590" s="7" t="n">
        <v>587</v>
      </c>
      <c r="B590" s="8" t="inlineStr"/>
    </row>
    <row r="591">
      <c r="A591" s="9" t="n">
        <v>588</v>
      </c>
      <c r="B591" s="10" t="inlineStr">
        <is>
          <t xml:space="preserve">    # ═══════════ 数据加载 ═══════════</t>
        </is>
      </c>
    </row>
    <row r="592">
      <c r="A592" s="7" t="n">
        <v>589</v>
      </c>
      <c r="B592" s="8" t="inlineStr"/>
    </row>
    <row r="593">
      <c r="A593" s="9" t="n">
        <v>590</v>
      </c>
      <c r="B593" s="10" t="inlineStr">
        <is>
          <t xml:space="preserve">    def _refresh(self):</t>
        </is>
      </c>
    </row>
    <row r="594">
      <c r="A594" s="7" t="n">
        <v>591</v>
      </c>
      <c r="B594" s="8" t="inlineStr">
        <is>
          <t xml:space="preserve">        """重新加载所有素材数据"""</t>
        </is>
      </c>
    </row>
    <row r="595">
      <c r="A595" s="9" t="n">
        <v>592</v>
      </c>
      <c r="B595" s="10" t="inlineStr">
        <is>
          <t xml:space="preserve">        self._status_var.set("加载中...")</t>
        </is>
      </c>
    </row>
    <row r="596">
      <c r="A596" s="7" t="n">
        <v>593</v>
      </c>
      <c r="B596" s="8" t="inlineStr">
        <is>
          <t xml:space="preserve">        threading.Thread(target=self._load_all, daemon=True).start()</t>
        </is>
      </c>
    </row>
    <row r="597">
      <c r="A597" s="9" t="n">
        <v>594</v>
      </c>
      <c r="B597" s="10" t="inlineStr"/>
    </row>
    <row r="598">
      <c r="A598" s="7" t="n">
        <v>595</v>
      </c>
      <c r="B598" s="8" t="inlineStr">
        <is>
          <t xml:space="preserve">    def _load_all(self):</t>
        </is>
      </c>
    </row>
    <row r="599">
      <c r="A599" s="9" t="n">
        <v>596</v>
      </c>
      <c r="B599" s="10" t="inlineStr">
        <is>
          <t xml:space="preserve">        """后台加载数据 → UI线程渲染 VideoCard"""</t>
        </is>
      </c>
    </row>
    <row r="600">
      <c r="A600" s="7" t="n">
        <v>597</v>
      </c>
      <c r="B600" s="8" t="inlineStr">
        <is>
          <t xml:space="preserve">        if self.db is None:</t>
        </is>
      </c>
    </row>
    <row r="601">
      <c r="A601" s="9" t="n">
        <v>598</v>
      </c>
      <c r="B601" s="10" t="inlineStr">
        <is>
          <t xml:space="preserve">            try:</t>
        </is>
      </c>
    </row>
    <row r="602">
      <c r="A602" s="7" t="n">
        <v>599</v>
      </c>
      <c r="B602" s="8" t="inlineStr">
        <is>
          <t xml:space="preserve">                from core.database import db</t>
        </is>
      </c>
    </row>
    <row r="603">
      <c r="A603" s="9" t="n">
        <v>600</v>
      </c>
      <c r="B603" s="10" t="inlineStr">
        <is>
          <t xml:space="preserve">                self.db = db</t>
        </is>
      </c>
    </row>
    <row r="604">
      <c r="A604" s="7" t="n">
        <v>601</v>
      </c>
      <c r="B604" s="8" t="inlineStr">
        <is>
          <t xml:space="preserve">            except Exception:</t>
        </is>
      </c>
    </row>
    <row r="605">
      <c r="A605" s="9" t="n">
        <v>602</v>
      </c>
      <c r="B605" s="10" t="inlineStr">
        <is>
          <t xml:space="preserve">                self._update_status("数据库未就绪")</t>
        </is>
      </c>
    </row>
    <row r="606">
      <c r="A606" s="7" t="n">
        <v>603</v>
      </c>
      <c r="B606" s="8" t="inlineStr">
        <is>
          <t xml:space="preserve">                return</t>
        </is>
      </c>
    </row>
    <row r="607">
      <c r="A607" s="9" t="n">
        <v>604</v>
      </c>
      <c r="B607" s="10" t="inlineStr"/>
    </row>
    <row r="608">
      <c r="A608" s="7" t="n">
        <v>605</v>
      </c>
      <c r="B608" s="8" t="inlineStr">
        <is>
          <t xml:space="preserve">        try:</t>
        </is>
      </c>
    </row>
    <row r="609">
      <c r="A609" s="9" t="n">
        <v>606</v>
      </c>
      <c r="B609" s="10" t="inlineStr">
        <is>
          <t xml:space="preserve">            search = self._search_var.get().strip().lower()</t>
        </is>
      </c>
    </row>
    <row r="610">
      <c r="A610" s="7" t="n">
        <v>607</v>
      </c>
      <c r="B610" s="8" t="inlineStr">
        <is>
          <t xml:space="preserve">            filter_mode = self._filter_var.get()</t>
        </is>
      </c>
    </row>
    <row r="611">
      <c r="A611" s="9" t="n">
        <v>608</v>
      </c>
      <c r="B611" s="10" t="inlineStr"/>
    </row>
    <row r="612">
      <c r="A612" s="7" t="n">
        <v>609</v>
      </c>
      <c r="B612" s="8" t="inlineStr">
        <is>
          <t xml:space="preserve">            summaries = self.db.get_all_video_frame_summaries(limit=200)</t>
        </is>
      </c>
    </row>
    <row r="613">
      <c r="A613" s="9" t="n">
        <v>610</v>
      </c>
      <c r="B613" s="10" t="inlineStr"/>
    </row>
    <row r="614">
      <c r="A614" s="7" t="n">
        <v>611</v>
      </c>
      <c r="B614" s="8" t="inlineStr">
        <is>
          <t xml:space="preserve">            # 过滤</t>
        </is>
      </c>
    </row>
    <row r="615">
      <c r="A615" s="9" t="n">
        <v>612</v>
      </c>
      <c r="B615" s="10" t="inlineStr">
        <is>
          <t xml:space="preserve">            filtered = []</t>
        </is>
      </c>
    </row>
    <row r="616">
      <c r="A616" s="7" t="n">
        <v>613</v>
      </c>
      <c r="B616" s="8" t="inlineStr">
        <is>
          <t xml:space="preserve">            for s in summaries:</t>
        </is>
      </c>
    </row>
    <row r="617">
      <c r="A617" s="9" t="n">
        <v>614</v>
      </c>
      <c r="B617" s="10" t="inlineStr">
        <is>
          <t xml:space="preserve">                vp = s.get("video_path", "")</t>
        </is>
      </c>
    </row>
    <row r="618">
      <c r="A618" s="7" t="n">
        <v>615</v>
      </c>
      <c r="B618" s="8" t="inlineStr">
        <is>
          <t xml:space="preserve">                if search and search not in vp.lower():</t>
        </is>
      </c>
    </row>
    <row r="619">
      <c r="A619" s="9" t="n">
        <v>616</v>
      </c>
      <c r="B619" s="10" t="inlineStr">
        <is>
          <t xml:space="preserve">                    continue</t>
        </is>
      </c>
    </row>
    <row r="620">
      <c r="A620" s="7" t="n">
        <v>617</v>
      </c>
      <c r="B620" s="8" t="inlineStr">
        <is>
          <t xml:space="preserve">                if filter_mode == "with_frames" and s.get("frame_count", 0) == 0:</t>
        </is>
      </c>
    </row>
    <row r="621">
      <c r="A621" s="9" t="n">
        <v>618</v>
      </c>
      <c r="B621" s="10" t="inlineStr">
        <is>
          <t xml:space="preserve">                    continue</t>
        </is>
      </c>
    </row>
    <row r="622">
      <c r="A622" s="7" t="n">
        <v>619</v>
      </c>
      <c r="B622" s="8" t="inlineStr">
        <is>
          <t xml:space="preserve">                if filter_mode == "high_score" and float(s.get("avg_score", 0)) &lt; 3.5:</t>
        </is>
      </c>
    </row>
    <row r="623">
      <c r="A623" s="9" t="n">
        <v>620</v>
      </c>
      <c r="B623" s="10" t="inlineStr">
        <is>
          <t xml:space="preserve">                    continue</t>
        </is>
      </c>
    </row>
    <row r="624">
      <c r="A624" s="7" t="n">
        <v>621</v>
      </c>
      <c r="B624" s="8" t="inlineStr">
        <is>
          <t xml:space="preserve">                filtered.append(s)</t>
        </is>
      </c>
    </row>
    <row r="625">
      <c r="A625" s="9" t="n">
        <v>622</v>
      </c>
      <c r="B625" s="10" t="inlineStr"/>
    </row>
    <row r="626">
      <c r="A626" s="7" t="n">
        <v>623</v>
      </c>
      <c r="B626" s="8" t="inlineStr">
        <is>
          <t xml:space="preserve">            # 排序: 最新分析优先</t>
        </is>
      </c>
    </row>
    <row r="627">
      <c r="A627" s="9" t="n">
        <v>624</v>
      </c>
      <c r="B627" s="10" t="inlineStr">
        <is>
          <t xml:space="preserve">            filtered.sort(key=lambda x: x.get("last_analyzed", "") or "", reverse=True)</t>
        </is>
      </c>
    </row>
    <row r="628">
      <c r="A628" s="7" t="n">
        <v>625</v>
      </c>
      <c r="B628" s="8" t="inlineStr"/>
    </row>
    <row r="629">
      <c r="A629" s="9" t="n">
        <v>626</v>
      </c>
      <c r="B629" s="10" t="inlineStr">
        <is>
          <t xml:space="preserve">            self._render_video_cards(filtered)</t>
        </is>
      </c>
    </row>
    <row r="630">
      <c r="A630" s="7" t="n">
        <v>627</v>
      </c>
      <c r="B630" s="8" t="inlineStr"/>
    </row>
    <row r="631">
      <c r="A631" s="9" t="n">
        <v>628</v>
      </c>
      <c r="B631" s="10" t="inlineStr">
        <is>
          <t xml:space="preserve">        except Exception as e:</t>
        </is>
      </c>
    </row>
    <row r="632">
      <c r="A632" s="7" t="n">
        <v>629</v>
      </c>
      <c r="B632" s="8" t="inlineStr">
        <is>
          <t xml:space="preserve">            self._update_status(f"加载失败: {e}")</t>
        </is>
      </c>
    </row>
    <row r="633">
      <c r="A633" s="9" t="n">
        <v>630</v>
      </c>
      <c r="B633" s="10" t="inlineStr"/>
    </row>
    <row r="634">
      <c r="A634" s="7" t="n">
        <v>631</v>
      </c>
      <c r="B634" s="8" t="inlineStr">
        <is>
          <t xml:space="preserve">    def _render_video_cards(self, summaries: list):</t>
        </is>
      </c>
    </row>
    <row r="635">
      <c r="A635" s="9" t="n">
        <v>632</v>
      </c>
      <c r="B635" s="10" t="inlineStr">
        <is>
          <t xml:space="preserve">        """在UI线程渲染视频卡片"""</t>
        </is>
      </c>
    </row>
    <row r="636">
      <c r="A636" s="7" t="n">
        <v>633</v>
      </c>
      <c r="B636" s="8" t="inlineStr">
        <is>
          <t xml:space="preserve">        def _render():</t>
        </is>
      </c>
    </row>
    <row r="637">
      <c r="A637" s="9" t="n">
        <v>634</v>
      </c>
      <c r="B637" s="10" t="inlineStr">
        <is>
          <t xml:space="preserve">            # 清除旧内容</t>
        </is>
      </c>
    </row>
    <row r="638">
      <c r="A638" s="7" t="n">
        <v>635</v>
      </c>
      <c r="B638" s="8" t="inlineStr">
        <is>
          <t xml:space="preserve">            for w in self._content_frame.winfo_children():</t>
        </is>
      </c>
    </row>
    <row r="639">
      <c r="A639" s="9" t="n">
        <v>636</v>
      </c>
      <c r="B639" s="10" t="inlineStr">
        <is>
          <t xml:space="preserve">                w.destroy()</t>
        </is>
      </c>
    </row>
    <row r="640">
      <c r="A640" s="7" t="n">
        <v>637</v>
      </c>
      <c r="B640" s="8" t="inlineStr">
        <is>
          <t xml:space="preserve">            self._video_cards.clear()</t>
        </is>
      </c>
    </row>
    <row r="641">
      <c r="A641" s="9" t="n">
        <v>638</v>
      </c>
      <c r="B641" s="10" t="inlineStr"/>
    </row>
    <row r="642">
      <c r="A642" s="7" t="n">
        <v>639</v>
      </c>
      <c r="B642" s="8" t="inlineStr">
        <is>
          <t xml:space="preserve">            if not summaries:</t>
        </is>
      </c>
    </row>
    <row r="643">
      <c r="A643" s="9" t="n">
        <v>640</v>
      </c>
      <c r="B643" s="10" t="inlineStr">
        <is>
          <t xml:space="preserve">                placeholder = tb.Labelframe(</t>
        </is>
      </c>
    </row>
    <row r="644">
      <c r="A644" s="7" t="n">
        <v>641</v>
      </c>
      <c r="B644" s="8" t="inlineStr">
        <is>
          <t xml:space="preserve">                    self._content_frame,</t>
        </is>
      </c>
    </row>
    <row r="645">
      <c r="A645" s="9" t="n">
        <v>642</v>
      </c>
      <c r="B645" s="10" t="inlineStr">
        <is>
          <t xml:space="preserve">                    text="素材库为空",</t>
        </is>
      </c>
    </row>
    <row r="646">
      <c r="A646" s="7" t="n">
        <v>643</v>
      </c>
      <c r="B646" s="8" t="inlineStr">
        <is>
          <t xml:space="preserve">                    padding=20</t>
        </is>
      </c>
    </row>
    <row r="647">
      <c r="A647" s="9" t="n">
        <v>644</v>
      </c>
      <c r="B647" s="10" t="inlineStr">
        <is>
          <t xml:space="preserve">                )</t>
        </is>
      </c>
    </row>
    <row r="648">
      <c r="A648" s="7" t="n">
        <v>645</v>
      </c>
      <c r="B648" s="8" t="inlineStr">
        <is>
          <t xml:space="preserve">                placeholder.pack(fill="x", padx=20, pady=40)</t>
        </is>
      </c>
    </row>
    <row r="649">
      <c r="A649" s="9" t="n">
        <v>646</v>
      </c>
      <c r="B649" s="10" t="inlineStr">
        <is>
          <t xml:space="preserve">                tb.Label(placeholder,</t>
        </is>
      </c>
    </row>
    <row r="650">
      <c r="A650" s="7" t="n">
        <v>647</v>
      </c>
      <c r="B650" s="8" t="inlineStr">
        <is>
          <t xml:space="preserve">                        text="尚未检搜到帧分析数据。\n\n"</t>
        </is>
      </c>
    </row>
    <row r="651">
      <c r="A651" s="9" t="n">
        <v>648</v>
      </c>
      <c r="B651" s="10" t="inlineStr">
        <is>
          <t xml:space="preserve">                             "请点击「全盘扫描」按钮，\n"</t>
        </is>
      </c>
    </row>
    <row r="652">
      <c r="A652" s="7" t="n">
        <v>649</v>
      </c>
      <c r="B652" s="8" t="inlineStr">
        <is>
          <t xml:space="preserve">                             "对视频素材进行帧级智能分析。\n\n"</t>
        </is>
      </c>
    </row>
    <row r="653">
      <c r="A653" s="9" t="n">
        <v>650</v>
      </c>
      <c r="B653" s="10" t="inlineStr">
        <is>
          <t xml:space="preserve">                             "扫描完成后视频帧将在此处展示。",</t>
        </is>
      </c>
    </row>
    <row r="654">
      <c r="A654" s="7" t="n">
        <v>651</v>
      </c>
      <c r="B654" s="8" t="inlineStr">
        <is>
          <t xml:space="preserve">                        font=("Microsoft YaHei", 12),</t>
        </is>
      </c>
    </row>
    <row r="655">
      <c r="A655" s="9" t="n">
        <v>652</v>
      </c>
      <c r="B655" s="10" t="inlineStr">
        <is>
          <t xml:space="preserve">                        justify="center",</t>
        </is>
      </c>
    </row>
    <row r="656">
      <c r="A656" s="7" t="n">
        <v>653</v>
      </c>
      <c r="B656" s="8" t="inlineStr">
        <is>
          <t xml:space="preserve">                        foreground="#666").pack(expand=True)</t>
        </is>
      </c>
    </row>
    <row r="657">
      <c r="A657" s="9" t="n">
        <v>654</v>
      </c>
      <c r="B657" s="10" t="inlineStr">
        <is>
          <t xml:space="preserve">                self._update_status("空 — 请运行全盘扫描")</t>
        </is>
      </c>
    </row>
    <row r="658">
      <c r="A658" s="7" t="n">
        <v>655</v>
      </c>
      <c r="B658" s="8" t="inlineStr">
        <is>
          <t xml:space="preserve">                self._footer_var.set("")</t>
        </is>
      </c>
    </row>
    <row r="659">
      <c r="A659" s="9" t="n">
        <v>656</v>
      </c>
      <c r="B659" s="10" t="inlineStr">
        <is>
          <t xml:space="preserve">                return</t>
        </is>
      </c>
    </row>
    <row r="660">
      <c r="A660" s="7" t="n">
        <v>657</v>
      </c>
      <c r="B660" s="8" t="inlineStr"/>
    </row>
    <row r="661">
      <c r="A661" s="9" t="n">
        <v>658</v>
      </c>
      <c r="B661" s="10" t="inlineStr">
        <is>
          <t xml:space="preserve">            for s in summaries:</t>
        </is>
      </c>
    </row>
    <row r="662">
      <c r="A662" s="7" t="n">
        <v>659</v>
      </c>
      <c r="B662" s="8" t="inlineStr">
        <is>
          <t xml:space="preserve">                vp = s.get("video_path", "")</t>
        </is>
      </c>
    </row>
    <row r="663">
      <c r="A663" s="9" t="n">
        <v>660</v>
      </c>
      <c r="B663" s="10" t="inlineStr">
        <is>
          <t xml:space="preserve">                card = VideoCard(</t>
        </is>
      </c>
    </row>
    <row r="664">
      <c r="A664" s="7" t="n">
        <v>661</v>
      </c>
      <c r="B664" s="8" t="inlineStr">
        <is>
          <t xml:space="preserve">                    self._content_frame, vp, s, self.db,</t>
        </is>
      </c>
    </row>
    <row r="665">
      <c r="A665" s="9" t="n">
        <v>662</v>
      </c>
      <c r="B665" s="10" t="inlineStr">
        <is>
          <t xml:space="preserve">                    library_tab=self</t>
        </is>
      </c>
    </row>
    <row r="666">
      <c r="A666" s="7" t="n">
        <v>663</v>
      </c>
      <c r="B666" s="8" t="inlineStr">
        <is>
          <t xml:space="preserve">                )</t>
        </is>
      </c>
    </row>
    <row r="667">
      <c r="A667" s="9" t="n">
        <v>664</v>
      </c>
      <c r="B667" s="10" t="inlineStr">
        <is>
          <t xml:space="preserve">                card.pack(fill="x", padx=10, pady=2)</t>
        </is>
      </c>
    </row>
    <row r="668">
      <c r="A668" s="7" t="n">
        <v>665</v>
      </c>
      <c r="B668" s="8" t="inlineStr">
        <is>
          <t xml:space="preserve">                self._video_cards[vp] = card</t>
        </is>
      </c>
    </row>
    <row r="669">
      <c r="A669" s="9" t="n">
        <v>666</v>
      </c>
      <c r="B669" s="10" t="inlineStr"/>
    </row>
    <row r="670">
      <c r="A670" s="7" t="n">
        <v>667</v>
      </c>
      <c r="B670" s="8" t="inlineStr">
        <is>
          <t xml:space="preserve">            self._update_status(f"已加载 {len(summaries)} 个视频")</t>
        </is>
      </c>
    </row>
    <row r="671">
      <c r="A671" s="9" t="n">
        <v>668</v>
      </c>
      <c r="B671" s="10" t="inlineStr">
        <is>
          <t xml:space="preserve">            self._footer_var.set(</t>
        </is>
      </c>
    </row>
    <row r="672">
      <c r="A672" s="7" t="n">
        <v>669</v>
      </c>
      <c r="B672" s="8" t="inlineStr">
        <is>
          <t xml:space="preserve">                f"共 {len(summaries)} 个视频 | "</t>
        </is>
      </c>
    </row>
    <row r="673">
      <c r="A673" s="9" t="n">
        <v>670</v>
      </c>
      <c r="B673" s="10" t="inlineStr">
        <is>
          <t xml:space="preserve">                f"总帧数: {sum(s.get('frame_count',0) for s in summaries)}"</t>
        </is>
      </c>
    </row>
    <row r="674">
      <c r="A674" s="7" t="n">
        <v>671</v>
      </c>
      <c r="B674" s="8" t="inlineStr">
        <is>
          <t xml:space="preserve">            )</t>
        </is>
      </c>
    </row>
    <row r="675">
      <c r="A675" s="9" t="n">
        <v>672</v>
      </c>
      <c r="B675" s="10" t="inlineStr"/>
    </row>
    <row r="676">
      <c r="A676" s="7" t="n">
        <v>673</v>
      </c>
      <c r="B676" s="8" t="inlineStr">
        <is>
          <t xml:space="preserve">        self._frame.after(0, _render)</t>
        </is>
      </c>
    </row>
    <row r="677">
      <c r="A677" s="9" t="n">
        <v>674</v>
      </c>
      <c r="B677" s="10" t="inlineStr"/>
    </row>
    <row r="678">
      <c r="A678" s="7" t="n">
        <v>675</v>
      </c>
      <c r="B678" s="8" t="inlineStr">
        <is>
          <t xml:space="preserve">    def _update_status(self, msg: str):</t>
        </is>
      </c>
    </row>
    <row r="679">
      <c r="A679" s="9" t="n">
        <v>676</v>
      </c>
      <c r="B679" s="10" t="inlineStr">
        <is>
          <t xml:space="preserve">        self._frame.after(0, lambda: self._status_var.set(msg))</t>
        </is>
      </c>
    </row>
    <row r="680">
      <c r="A680" s="7" t="n">
        <v>677</v>
      </c>
      <c r="B680" s="8" t="inlineStr"/>
    </row>
    <row r="681">
      <c r="A681" s="9" t="n">
        <v>678</v>
      </c>
      <c r="B681" s="10" t="inlineStr">
        <is>
          <t xml:space="preserve">    # ═══════════ 后台扫描集成 ═══════════</t>
        </is>
      </c>
    </row>
    <row r="682">
      <c r="A682" s="7" t="n">
        <v>679</v>
      </c>
      <c r="B682" s="8" t="inlineStr"/>
    </row>
    <row r="683">
      <c r="A683" s="9" t="n">
        <v>680</v>
      </c>
      <c r="B683" s="10" t="inlineStr">
        <is>
          <t xml:space="preserve">    def _start_background_scan(self):</t>
        </is>
      </c>
    </row>
    <row r="684">
      <c r="A684" s="7" t="n">
        <v>681</v>
      </c>
      <c r="B684" s="8" t="inlineStr">
        <is>
          <t xml:space="preserve">        """启动后台扫描窗口"""</t>
        </is>
      </c>
    </row>
    <row r="685">
      <c r="A685" s="9" t="n">
        <v>682</v>
      </c>
      <c r="B685" s="10" t="inlineStr">
        <is>
          <t xml:space="preserve">        try:</t>
        </is>
      </c>
    </row>
    <row r="686">
      <c r="A686" s="7" t="n">
        <v>683</v>
      </c>
      <c r="B686" s="8" t="inlineStr">
        <is>
          <t xml:space="preserve">            from ui.background_scanner_window import BackgroundScannerWindow</t>
        </is>
      </c>
    </row>
    <row r="687">
      <c r="A687" s="9" t="n">
        <v>684</v>
      </c>
      <c r="B687" s="10" t="inlineStr">
        <is>
          <t xml:space="preserve">            scanner = BackgroundScannerWindow(</t>
        </is>
      </c>
    </row>
    <row r="688">
      <c r="A688" s="7" t="n">
        <v>685</v>
      </c>
      <c r="B688" s="8" t="inlineStr">
        <is>
          <t xml:space="preserve">                parent=self._frame.winfo_toplevel(),</t>
        </is>
      </c>
    </row>
    <row r="689">
      <c r="A689" s="9" t="n">
        <v>686</v>
      </c>
      <c r="B689" s="10" t="inlineStr">
        <is>
          <t xml:space="preserve">                auto_start=False</t>
        </is>
      </c>
    </row>
    <row r="690">
      <c r="A690" s="7" t="n">
        <v>687</v>
      </c>
      <c r="B690" s="8" t="inlineStr">
        <is>
          <t xml:space="preserve">            )</t>
        </is>
      </c>
    </row>
    <row r="691">
      <c r="A691" s="9" t="n">
        <v>688</v>
      </c>
      <c r="B691" s="10" t="inlineStr">
        <is>
          <t xml:space="preserve">            # 注入 library_tab 引用，以便扫描器推送帧数据</t>
        </is>
      </c>
    </row>
    <row r="692">
      <c r="A692" s="7" t="n">
        <v>689</v>
      </c>
      <c r="B692" s="8" t="inlineStr">
        <is>
          <t xml:space="preserve">            scanner._library_tab = self</t>
        </is>
      </c>
    </row>
    <row r="693">
      <c r="A693" s="9" t="n">
        <v>690</v>
      </c>
      <c r="B693" s="10" t="inlineStr">
        <is>
          <t xml:space="preserve">            self._status_var.set("扫描窗口已打开")</t>
        </is>
      </c>
    </row>
    <row r="694">
      <c r="A694" s="7" t="n">
        <v>691</v>
      </c>
      <c r="B694" s="8" t="inlineStr">
        <is>
          <t xml:space="preserve">        except Exception as e:</t>
        </is>
      </c>
    </row>
    <row r="695">
      <c r="A695" s="9" t="n">
        <v>692</v>
      </c>
      <c r="B695" s="10" t="inlineStr">
        <is>
          <t xml:space="preserve">            messagebox.showerror("错误", f"启动扫描失败: {e}")</t>
        </is>
      </c>
    </row>
    <row r="696">
      <c r="A696" s="7" t="n">
        <v>693</v>
      </c>
      <c r="B696" s="8" t="inlineStr"/>
    </row>
    <row r="697">
      <c r="A697" s="9" t="n">
        <v>694</v>
      </c>
      <c r="B697" s="10" t="inlineStr">
        <is>
          <t xml:space="preserve">    def _poll_frame_queue(self):</t>
        </is>
      </c>
    </row>
    <row r="698">
      <c r="A698" s="7" t="n">
        <v>695</v>
      </c>
      <c r="B698" s="8" t="inlineStr">
        <is>
          <t xml:space="preserve">        """轮询帧更新队列，处理扫描器推送"""</t>
        </is>
      </c>
    </row>
    <row r="699">
      <c r="A699" s="9" t="n">
        <v>696</v>
      </c>
      <c r="B699" s="10" t="inlineStr">
        <is>
          <t xml:space="preserve">        try:</t>
        </is>
      </c>
    </row>
    <row r="700">
      <c r="A700" s="7" t="n">
        <v>697</v>
      </c>
      <c r="B700" s="8" t="inlineStr">
        <is>
          <t xml:space="preserve">            while True:</t>
        </is>
      </c>
    </row>
    <row r="701">
      <c r="A701" s="9" t="n">
        <v>698</v>
      </c>
      <c r="B701" s="10" t="inlineStr">
        <is>
          <t xml:space="preserve">                data = self._frame_update_queue.get_nowait()</t>
        </is>
      </c>
    </row>
    <row r="702">
      <c r="A702" s="7" t="n">
        <v>699</v>
      </c>
      <c r="B702" s="8" t="inlineStr">
        <is>
          <t xml:space="preserve">                self._on_new_frame(data)</t>
        </is>
      </c>
    </row>
    <row r="703">
      <c r="A703" s="9" t="n">
        <v>700</v>
      </c>
      <c r="B703" s="10" t="inlineStr">
        <is>
          <t xml:space="preserve">        except queue.Empty:</t>
        </is>
      </c>
    </row>
    <row r="704">
      <c r="A704" s="7" t="n">
        <v>701</v>
      </c>
      <c r="B704" s="8" t="inlineStr">
        <is>
          <t xml:space="preserve">            pass</t>
        </is>
      </c>
    </row>
    <row r="705">
      <c r="A705" s="9" t="n">
        <v>702</v>
      </c>
      <c r="B705" s="10" t="inlineStr">
        <is>
          <t xml:space="preserve">        self._frame.after(200, self._poll_frame_queue)</t>
        </is>
      </c>
    </row>
    <row r="706">
      <c r="A706" s="7" t="n">
        <v>703</v>
      </c>
      <c r="B706" s="8" t="inlineStr"/>
    </row>
    <row r="707">
      <c r="A707" s="9" t="n">
        <v>704</v>
      </c>
      <c r="B707" s="10" t="inlineStr">
        <is>
          <t xml:space="preserve">    def _on_new_frame(self, frame_data: dict):</t>
        </is>
      </c>
    </row>
    <row r="708">
      <c r="A708" s="7" t="n">
        <v>705</v>
      </c>
      <c r="B708" s="8" t="inlineStr">
        <is>
          <t xml:space="preserve">        """扫描器推入的新帧数据 → 追加到对应 VideoCard"""</t>
        </is>
      </c>
    </row>
    <row r="709">
      <c r="A709" s="9" t="n">
        <v>706</v>
      </c>
      <c r="B709" s="10" t="inlineStr">
        <is>
          <t xml:space="preserve">        vp = frame_data.get("video_path", "")</t>
        </is>
      </c>
    </row>
    <row r="710">
      <c r="A710" s="7" t="n">
        <v>707</v>
      </c>
      <c r="B710" s="8" t="inlineStr">
        <is>
          <t xml:space="preserve">        if vp in self._video_cards:</t>
        </is>
      </c>
    </row>
    <row r="711">
      <c r="A711" s="9" t="n">
        <v>708</v>
      </c>
      <c r="B711" s="10" t="inlineStr">
        <is>
          <t xml:space="preserve">            self._video_cards[vp].add_single_frame(frame_data)</t>
        </is>
      </c>
    </row>
    <row r="712">
      <c r="A712" s="7" t="n">
        <v>709</v>
      </c>
      <c r="B712" s="8" t="inlineStr">
        <is>
          <t xml:space="preserve">        else:</t>
        </is>
      </c>
    </row>
    <row r="713">
      <c r="A713" s="9" t="n">
        <v>710</v>
      </c>
      <c r="B713" s="10" t="inlineStr">
        <is>
          <t xml:space="preserve">            # 新视频 → 创建 VideoCard</t>
        </is>
      </c>
    </row>
    <row r="714">
      <c r="A714" s="7" t="n">
        <v>711</v>
      </c>
      <c r="B714" s="8" t="inlineStr">
        <is>
          <t xml:space="preserve">            try:</t>
        </is>
      </c>
    </row>
    <row r="715">
      <c r="A715" s="9" t="n">
        <v>712</v>
      </c>
      <c r="B715" s="10" t="inlineStr">
        <is>
          <t xml:space="preserve">                count = _count_frames_for_video(vp, self.db)</t>
        </is>
      </c>
    </row>
    <row r="716">
      <c r="A716" s="7" t="n">
        <v>713</v>
      </c>
      <c r="B716" s="8" t="inlineStr">
        <is>
          <t xml:space="preserve">            except Exception:</t>
        </is>
      </c>
    </row>
    <row r="717">
      <c r="A717" s="9" t="n">
        <v>714</v>
      </c>
      <c r="B717" s="10" t="inlineStr">
        <is>
          <t xml:space="preserve">                count = 1</t>
        </is>
      </c>
    </row>
    <row r="718">
      <c r="A718" s="7" t="n">
        <v>715</v>
      </c>
      <c r="B718" s="8" t="inlineStr"/>
    </row>
    <row r="719">
      <c r="A719" s="9" t="n">
        <v>716</v>
      </c>
      <c r="B719" s="10" t="inlineStr">
        <is>
          <t xml:space="preserve">            summary = {</t>
        </is>
      </c>
    </row>
    <row r="720">
      <c r="A720" s="7" t="n">
        <v>717</v>
      </c>
      <c r="B720" s="8" t="inlineStr">
        <is>
          <t xml:space="preserve">                "video_path": vp,</t>
        </is>
      </c>
    </row>
    <row r="721">
      <c r="A721" s="9" t="n">
        <v>718</v>
      </c>
      <c r="B721" s="10" t="inlineStr">
        <is>
          <t xml:space="preserve">                "frame_count": count,</t>
        </is>
      </c>
    </row>
    <row r="722">
      <c r="A722" s="7" t="n">
        <v>719</v>
      </c>
      <c r="B722" s="8" t="inlineStr">
        <is>
          <t xml:space="preserve">                "avg_score": 3.0,</t>
        </is>
      </c>
    </row>
    <row r="723">
      <c r="A723" s="9" t="n">
        <v>720</v>
      </c>
      <c r="B723" s="10" t="inlineStr">
        <is>
          <t xml:space="preserve">                "last_analyzed": datetime.now().isoformat(),</t>
        </is>
      </c>
    </row>
    <row r="724">
      <c r="A724" s="7" t="n">
        <v>721</v>
      </c>
      <c r="B724" s="8" t="inlineStr">
        <is>
          <t xml:space="preserve">                "all_objects": frame_data.get("objects", ""),</t>
        </is>
      </c>
    </row>
    <row r="725">
      <c r="A725" s="9" t="n">
        <v>722</v>
      </c>
      <c r="B725" s="10" t="inlineStr">
        <is>
          <t xml:space="preserve">                "all_materials": frame_data.get("materials", ""),</t>
        </is>
      </c>
    </row>
    <row r="726">
      <c r="A726" s="7" t="n">
        <v>723</v>
      </c>
      <c r="B726" s="8" t="inlineStr">
        <is>
          <t xml:space="preserve">            }</t>
        </is>
      </c>
    </row>
    <row r="727">
      <c r="A727" s="9" t="n">
        <v>724</v>
      </c>
      <c r="B727" s="10" t="inlineStr">
        <is>
          <t xml:space="preserve">            card = VideoCard(self._content_frame, vp, summary, self.db,</t>
        </is>
      </c>
    </row>
    <row r="728">
      <c r="A728" s="7" t="n">
        <v>725</v>
      </c>
      <c r="B728" s="8" t="inlineStr">
        <is>
          <t xml:space="preserve">                           library_tab=self)</t>
        </is>
      </c>
    </row>
    <row r="729">
      <c r="A729" s="9" t="n">
        <v>726</v>
      </c>
      <c r="B729" s="10" t="inlineStr">
        <is>
          <t xml:space="preserve">            card.pack(fill="x", padx=10, pady=2)</t>
        </is>
      </c>
    </row>
    <row r="730">
      <c r="A730" s="7" t="n">
        <v>727</v>
      </c>
      <c r="B730" s="8" t="inlineStr">
        <is>
          <t xml:space="preserve">            self._video_cards[vp] = card</t>
        </is>
      </c>
    </row>
    <row r="731">
      <c r="A731" s="9" t="n">
        <v>728</v>
      </c>
      <c r="B731" s="10" t="inlineStr">
        <is>
          <t xml:space="preserve">            self._footer_var.set(</t>
        </is>
      </c>
    </row>
    <row r="732">
      <c r="A732" s="7" t="n">
        <v>729</v>
      </c>
      <c r="B732" s="8" t="inlineStr">
        <is>
          <t xml:space="preserve">                f"{len(self._video_cards)} 个视频 | "</t>
        </is>
      </c>
    </row>
    <row r="733">
      <c r="A733" s="9" t="n">
        <v>730</v>
      </c>
      <c r="B733" s="10" t="inlineStr">
        <is>
          <t xml:space="preserve">                f"最新: {_truncate(Path(vp).name, 30)}"</t>
        </is>
      </c>
    </row>
    <row r="734">
      <c r="A734" s="7" t="n">
        <v>731</v>
      </c>
      <c r="B734" s="8" t="inlineStr">
        <is>
          <t xml:space="preserve">            )</t>
        </is>
      </c>
    </row>
    <row r="735">
      <c r="A735" s="9" t="n">
        <v>732</v>
      </c>
      <c r="B735" s="10" t="inlineStr"/>
    </row>
    <row r="736">
      <c r="A736" s="7" t="n">
        <v>733</v>
      </c>
      <c r="B736" s="8" t="inlineStr">
        <is>
          <t xml:space="preserve">    def add_frame_from_scanner(self, frame_data: dict):</t>
        </is>
      </c>
    </row>
    <row r="737">
      <c r="A737" s="9" t="n">
        <v>734</v>
      </c>
      <c r="B737" s="10" t="inlineStr">
        <is>
          <t xml:space="preserve">        """</t>
        </is>
      </c>
    </row>
    <row r="738">
      <c r="A738" s="7" t="n">
        <v>735</v>
      </c>
      <c r="B738" s="8" t="inlineStr">
        <is>
          <t xml:space="preserve">        由 BackgroundScannerWindow 调用（线程安全）。</t>
        </is>
      </c>
    </row>
    <row r="739">
      <c r="A739" s="9" t="n">
        <v>736</v>
      </c>
      <c r="B739" s="10" t="inlineStr">
        <is>
          <t xml:space="preserve">        将新帧数据放入队列，等待UI线程处理。</t>
        </is>
      </c>
    </row>
    <row r="740">
      <c r="A740" s="7" t="n">
        <v>737</v>
      </c>
      <c r="B740" s="8" t="inlineStr">
        <is>
          <t xml:space="preserve">        """</t>
        </is>
      </c>
    </row>
    <row r="741">
      <c r="A741" s="9" t="n">
        <v>738</v>
      </c>
      <c r="B741" s="10" t="inlineStr">
        <is>
          <t xml:space="preserve">        self._frame_update_queue.put(frame_data)</t>
        </is>
      </c>
    </row>
    <row r="742">
      <c r="A742" s="7" t="n">
        <v>739</v>
      </c>
      <c r="B742" s="8" t="inlineStr"/>
    </row>
    <row r="743">
      <c r="A743" s="9" t="n">
        <v>740</v>
      </c>
      <c r="B743" s="10" t="inlineStr">
        <is>
          <t xml:space="preserve">    def add_video_frames_batch(self, video_path: str, frames: list):</t>
        </is>
      </c>
    </row>
    <row r="744">
      <c r="A744" s="7" t="n">
        <v>741</v>
      </c>
      <c r="B744" s="8" t="inlineStr">
        <is>
          <t xml:space="preserve">        """</t>
        </is>
      </c>
    </row>
    <row r="745">
      <c r="A745" s="9" t="n">
        <v>742</v>
      </c>
      <c r="B745" s="10" t="inlineStr">
        <is>
          <t xml:space="preserve">        批量添加一个视频的所有帧（扫描完成后调用）。</t>
        </is>
      </c>
    </row>
    <row r="746">
      <c r="A746" s="7" t="n">
        <v>743</v>
      </c>
      <c r="B746" s="8" t="inlineStr">
        <is>
          <t xml:space="preserve">        """</t>
        </is>
      </c>
    </row>
    <row r="747">
      <c r="A747" s="9" t="n">
        <v>744</v>
      </c>
      <c r="B747" s="10" t="inlineStr">
        <is>
          <t xml:space="preserve">        def _add_all():</t>
        </is>
      </c>
    </row>
    <row r="748">
      <c r="A748" s="7" t="n">
        <v>745</v>
      </c>
      <c r="B748" s="8" t="inlineStr">
        <is>
          <t xml:space="preserve">            # 如果已存在卡，先移除</t>
        </is>
      </c>
    </row>
    <row r="749">
      <c r="A749" s="9" t="n">
        <v>746</v>
      </c>
      <c r="B749" s="10" t="inlineStr">
        <is>
          <t xml:space="preserve">            if video_path in self._video_cards:</t>
        </is>
      </c>
    </row>
    <row r="750">
      <c r="A750" s="7" t="n">
        <v>747</v>
      </c>
      <c r="B750" s="8" t="inlineStr">
        <is>
          <t xml:space="preserve">                old = self._video_cards[video_path]</t>
        </is>
      </c>
    </row>
    <row r="751">
      <c r="A751" s="9" t="n">
        <v>748</v>
      </c>
      <c r="B751" s="10" t="inlineStr">
        <is>
          <t xml:space="preserve">                old.destroy()</t>
        </is>
      </c>
    </row>
    <row r="752">
      <c r="A752" s="7" t="n">
        <v>749</v>
      </c>
      <c r="B752" s="8" t="inlineStr">
        <is>
          <t xml:space="preserve">                del self._video_cards[video_path]</t>
        </is>
      </c>
    </row>
    <row r="753">
      <c r="A753" s="9" t="n">
        <v>750</v>
      </c>
      <c r="B753" s="10" t="inlineStr"/>
    </row>
    <row r="754">
      <c r="A754" s="7" t="n">
        <v>751</v>
      </c>
      <c r="B754" s="8" t="inlineStr">
        <is>
          <t xml:space="preserve">            summary = {</t>
        </is>
      </c>
    </row>
    <row r="755">
      <c r="A755" s="9" t="n">
        <v>752</v>
      </c>
      <c r="B755" s="10" t="inlineStr">
        <is>
          <t xml:space="preserve">                "video_path": video_path,</t>
        </is>
      </c>
    </row>
    <row r="756">
      <c r="A756" s="7" t="n">
        <v>753</v>
      </c>
      <c r="B756" s="8" t="inlineStr">
        <is>
          <t xml:space="preserve">                "frame_count": len(frames),</t>
        </is>
      </c>
    </row>
    <row r="757">
      <c r="A757" s="9" t="n">
        <v>754</v>
      </c>
      <c r="B757" s="10" t="inlineStr">
        <is>
          <t xml:space="preserve">                "avg_score": round(</t>
        </is>
      </c>
    </row>
    <row r="758">
      <c r="A758" s="7" t="n">
        <v>755</v>
      </c>
      <c r="B758" s="8" t="inlineStr">
        <is>
          <t xml:space="preserve">                    sum(f.get("user_score", 3) for f in frames) / max(1, len(frames)), 1</t>
        </is>
      </c>
    </row>
    <row r="759">
      <c r="A759" s="9" t="n">
        <v>756</v>
      </c>
      <c r="B759" s="10" t="inlineStr">
        <is>
          <t xml:space="preserve">                ),</t>
        </is>
      </c>
    </row>
    <row r="760">
      <c r="A760" s="7" t="n">
        <v>757</v>
      </c>
      <c r="B760" s="8" t="inlineStr">
        <is>
          <t xml:space="preserve">                "last_analyzed": datetime.now().isoformat(),</t>
        </is>
      </c>
    </row>
    <row r="761">
      <c r="A761" s="9" t="n">
        <v>758</v>
      </c>
      <c r="B761" s="10" t="inlineStr">
        <is>
          <t xml:space="preserve">                "all_objects": ", ".join(</t>
        </is>
      </c>
    </row>
    <row r="762">
      <c r="A762" s="7" t="n">
        <v>759</v>
      </c>
      <c r="B762" s="8" t="inlineStr">
        <is>
          <t xml:space="preserve">                    set(f.get("objects", "") for f in frames if f.get("objects"))</t>
        </is>
      </c>
    </row>
    <row r="763">
      <c r="A763" s="9" t="n">
        <v>760</v>
      </c>
      <c r="B763" s="10" t="inlineStr">
        <is>
          <t xml:space="preserve">                )[:100],</t>
        </is>
      </c>
    </row>
    <row r="764">
      <c r="A764" s="7" t="n">
        <v>761</v>
      </c>
      <c r="B764" s="8" t="inlineStr">
        <is>
          <t xml:space="preserve">                "all_materials": ", ".join(</t>
        </is>
      </c>
    </row>
    <row r="765">
      <c r="A765" s="9" t="n">
        <v>762</v>
      </c>
      <c r="B765" s="10" t="inlineStr">
        <is>
          <t xml:space="preserve">                    set(f.get("materials", "") for f in frames if f.get("materials"))</t>
        </is>
      </c>
    </row>
    <row r="766">
      <c r="A766" s="7" t="n">
        <v>763</v>
      </c>
      <c r="B766" s="8" t="inlineStr">
        <is>
          <t xml:space="preserve">                )[:100],</t>
        </is>
      </c>
    </row>
    <row r="767">
      <c r="A767" s="9" t="n">
        <v>764</v>
      </c>
      <c r="B767" s="10" t="inlineStr">
        <is>
          <t xml:space="preserve">            }</t>
        </is>
      </c>
    </row>
    <row r="768">
      <c r="A768" s="7" t="n">
        <v>765</v>
      </c>
      <c r="B768" s="8" t="inlineStr">
        <is>
          <t xml:space="preserve">            card = VideoCard(self._content_frame, video_path, summary, self.db,</t>
        </is>
      </c>
    </row>
    <row r="769">
      <c r="A769" s="9" t="n">
        <v>766</v>
      </c>
      <c r="B769" s="10" t="inlineStr">
        <is>
          <t xml:space="preserve">                           library_tab=self)</t>
        </is>
      </c>
    </row>
    <row r="770">
      <c r="A770" s="7" t="n">
        <v>767</v>
      </c>
      <c r="B770" s="8" t="inlineStr">
        <is>
          <t xml:space="preserve">            card.pack(fill="x", padx=10, pady=2)</t>
        </is>
      </c>
    </row>
    <row r="771">
      <c r="A771" s="9" t="n">
        <v>768</v>
      </c>
      <c r="B771" s="10" t="inlineStr">
        <is>
          <t xml:space="preserve">            self._video_cards[video_path] = card</t>
        </is>
      </c>
    </row>
    <row r="772">
      <c r="A772" s="7" t="n">
        <v>769</v>
      </c>
      <c r="B772" s="8" t="inlineStr">
        <is>
          <t xml:space="preserve">            # 自动展开</t>
        </is>
      </c>
    </row>
    <row r="773">
      <c r="A773" s="9" t="n">
        <v>770</v>
      </c>
      <c r="B773" s="10" t="inlineStr">
        <is>
          <t xml:space="preserve">            card._expand()</t>
        </is>
      </c>
    </row>
    <row r="774">
      <c r="A774" s="7" t="n">
        <v>771</v>
      </c>
      <c r="B774" s="8" t="inlineStr">
        <is>
          <t xml:space="preserve">            self._update_status(f"完成: {Path(video_path).name}")</t>
        </is>
      </c>
    </row>
    <row r="775">
      <c r="A775" s="9" t="n">
        <v>772</v>
      </c>
      <c r="B775" s="10" t="inlineStr">
        <is>
          <t xml:space="preserve">            self._footer_var.set(f"{len(self._video_cards)} 个视频")</t>
        </is>
      </c>
    </row>
    <row r="776">
      <c r="A776" s="7" t="n">
        <v>773</v>
      </c>
      <c r="B776" s="8" t="inlineStr"/>
    </row>
    <row r="777">
      <c r="A777" s="9" t="n">
        <v>774</v>
      </c>
      <c r="B777" s="10" t="inlineStr">
        <is>
          <t xml:space="preserve">        self._frame.after(0, _add_all)</t>
        </is>
      </c>
    </row>
    <row r="778">
      <c r="A778" s="7" t="n">
        <v>775</v>
      </c>
      <c r="B778" s="8" t="inlineStr"/>
    </row>
    <row r="779">
      <c r="A779" s="9" t="n">
        <v>776</v>
      </c>
      <c r="B779" s="10" t="inlineStr">
        <is>
          <t xml:space="preserve">    # ═══════════ 统计 ═══════════</t>
        </is>
      </c>
    </row>
    <row r="780">
      <c r="A780" s="7" t="n">
        <v>777</v>
      </c>
      <c r="B780" s="8" t="inlineStr"/>
    </row>
    <row r="781">
      <c r="A781" s="9" t="n">
        <v>778</v>
      </c>
      <c r="B781" s="10" t="inlineStr">
        <is>
          <t xml:space="preserve">    def _show_stats(self):</t>
        </is>
      </c>
    </row>
    <row r="782">
      <c r="A782" s="7" t="n">
        <v>779</v>
      </c>
      <c r="B782" s="8" t="inlineStr">
        <is>
          <t xml:space="preserve">        """显示素材库统计弹窗"""</t>
        </is>
      </c>
    </row>
    <row r="783">
      <c r="A783" s="9" t="n">
        <v>780</v>
      </c>
      <c r="B783" s="10" t="inlineStr">
        <is>
          <t xml:space="preserve">        if not self.db:</t>
        </is>
      </c>
    </row>
    <row r="784">
      <c r="A784" s="7" t="n">
        <v>781</v>
      </c>
      <c r="B784" s="8" t="inlineStr">
        <is>
          <t xml:space="preserve">            return</t>
        </is>
      </c>
    </row>
    <row r="785">
      <c r="A785" s="9" t="n">
        <v>782</v>
      </c>
      <c r="B785" s="10" t="inlineStr">
        <is>
          <t xml:space="preserve">        try:</t>
        </is>
      </c>
    </row>
    <row r="786">
      <c r="A786" s="7" t="n">
        <v>783</v>
      </c>
      <c r="B786" s="8" t="inlineStr">
        <is>
          <t xml:space="preserve">            stats = self.db.get_stats()</t>
        </is>
      </c>
    </row>
    <row r="787">
      <c r="A787" s="9" t="n">
        <v>784</v>
      </c>
      <c r="B787" s="10" t="inlineStr">
        <is>
          <t xml:space="preserve">            msg = (</t>
        </is>
      </c>
    </row>
    <row r="788">
      <c r="A788" s="7" t="n">
        <v>785</v>
      </c>
      <c r="B788" s="8" t="inlineStr">
        <is>
          <t xml:space="preserve">                f"素材库统计:\n"</t>
        </is>
      </c>
    </row>
    <row r="789">
      <c r="A789" s="9" t="n">
        <v>786</v>
      </c>
      <c r="B789" s="10" t="inlineStr">
        <is>
          <t xml:space="preserve">                f"  素材片段: {stats.get('total_segments', 0):,}\n"</t>
        </is>
      </c>
    </row>
    <row r="790">
      <c r="A790" s="7" t="n">
        <v>787</v>
      </c>
      <c r="B790" s="8" t="inlineStr">
        <is>
          <t xml:space="preserve">                f"  已分析视频: {stats.get('analyzed_videos', 0):,}\n"</t>
        </is>
      </c>
    </row>
    <row r="791">
      <c r="A791" s="9" t="n">
        <v>788</v>
      </c>
      <c r="B791" s="10" t="inlineStr">
        <is>
          <t xml:space="preserve">                f"  总视频注册: {stats.get('total_videos', 0):,}\n"</t>
        </is>
      </c>
    </row>
    <row r="792">
      <c r="A792" s="7" t="n">
        <v>789</v>
      </c>
      <c r="B792" s="8" t="inlineStr">
        <is>
          <t xml:space="preserve">                f"  分析日志: {stats.get('analysis_logs', 0):,}"</t>
        </is>
      </c>
    </row>
    <row r="793">
      <c r="A793" s="9" t="n">
        <v>790</v>
      </c>
      <c r="B793" s="10" t="inlineStr">
        <is>
          <t xml:space="preserve">            )</t>
        </is>
      </c>
    </row>
    <row r="794">
      <c r="A794" s="7" t="n">
        <v>791</v>
      </c>
      <c r="B794" s="8" t="inlineStr">
        <is>
          <t xml:space="preserve">            messagebox.showinfo("素材库统计", msg)</t>
        </is>
      </c>
    </row>
    <row r="795">
      <c r="A795" s="9" t="n">
        <v>792</v>
      </c>
      <c r="B795" s="10" t="inlineStr">
        <is>
          <t xml:space="preserve">        except Exception as e:</t>
        </is>
      </c>
    </row>
    <row r="796">
      <c r="A796" s="7" t="n">
        <v>793</v>
      </c>
      <c r="B796" s="8" t="inlineStr">
        <is>
          <t xml:space="preserve">            messagebox.showerror("错误", str(e))</t>
        </is>
      </c>
    </row>
    <row r="797">
      <c r="A797" s="9" t="n">
        <v>794</v>
      </c>
      <c r="B797" s="10" t="inlineStr"/>
    </row>
    <row r="798">
      <c r="A798" s="7" t="n">
        <v>795</v>
      </c>
      <c r="B798" s="8" t="inlineStr">
        <is>
          <t xml:space="preserve">    # ═══════════ 清理 ═══════════</t>
        </is>
      </c>
    </row>
    <row r="799">
      <c r="A799" s="9" t="n">
        <v>796</v>
      </c>
      <c r="B799" s="10" t="inlineStr"/>
    </row>
    <row r="800">
      <c r="A800" s="7" t="n">
        <v>797</v>
      </c>
      <c r="B800" s="8" t="inlineStr">
        <is>
          <t xml:space="preserve">    def destroy(self):</t>
        </is>
      </c>
    </row>
    <row r="801">
      <c r="A801" s="9" t="n">
        <v>798</v>
      </c>
      <c r="B801" s="10" t="inlineStr">
        <is>
          <t xml:space="preserve">        """清理资源"""</t>
        </is>
      </c>
    </row>
    <row r="802">
      <c r="A802" s="7" t="n">
        <v>799</v>
      </c>
      <c r="B802" s="8" t="inlineStr">
        <is>
          <t xml:space="preserve">        self._video_cards.clear()</t>
        </is>
      </c>
    </row>
    <row r="803">
      <c r="A803" s="9" t="n">
        <v>800</v>
      </c>
      <c r="B803" s="10" t="inlineStr">
        <is>
          <t xml:space="preserve">        self._frame.destroy()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ui\review_panel.py</t>
        </is>
      </c>
      <c r="C1" s="5" t="inlineStr">
        <is>
          <t>行数: 295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v12.0 — AI審核面板 (ReviewPanel)</t>
        </is>
      </c>
    </row>
    <row r="6">
      <c r="A6" s="7" t="n">
        <v>3</v>
      </c>
      <c r="B6" s="8">
        <f>=============================================</f>
        <v/>
      </c>
    </row>
    <row r="7">
      <c r="A7" s="9" t="n">
        <v>4</v>
      </c>
      <c r="B7" s="10" t="inlineStr">
        <is>
          <t>連接 core/review_queue.py，提供人工審核界面。</t>
        </is>
      </c>
    </row>
    <row r="8">
      <c r="A8" s="7" t="n">
        <v>5</v>
      </c>
      <c r="B8" s="8" t="inlineStr">
        <is>
          <t xml:space="preserve">  - 顯示待審核的AI建議列表</t>
        </is>
      </c>
    </row>
    <row r="9">
      <c r="A9" s="9" t="n">
        <v>6</v>
      </c>
      <c r="B9" s="10" t="inlineStr">
        <is>
          <t xml:space="preserve">  - 支持「通過/拒絕/編輯」操作</t>
        </is>
      </c>
    </row>
    <row r="10">
      <c r="A10" s="7" t="n">
        <v>7</v>
      </c>
      <c r="B10" s="8" t="inlineStr">
        <is>
          <t xml:space="preserve">  - 右上角紅點提示待審核數量</t>
        </is>
      </c>
    </row>
    <row r="11">
      <c r="A11" s="9" t="n">
        <v>8</v>
      </c>
      <c r="B11" s="10" t="inlineStr">
        <is>
          <t xml:space="preserve">  - 審核歷史記錄</t>
        </is>
      </c>
    </row>
    <row r="12">
      <c r="A12" s="7" t="n">
        <v>9</v>
      </c>
      <c r="B12" s="8" t="inlineStr">
        <is>
          <t>"""</t>
        </is>
      </c>
    </row>
    <row r="13">
      <c r="A13" s="9" t="n">
        <v>10</v>
      </c>
      <c r="B13" s="10" t="inlineStr">
        <is>
          <t>import tkinter as tk</t>
        </is>
      </c>
    </row>
    <row r="14">
      <c r="A14" s="7" t="n">
        <v>11</v>
      </c>
      <c r="B14" s="8" t="inlineStr">
        <is>
          <t>from tkinter import ttk, messagebox, scrolledtext</t>
        </is>
      </c>
    </row>
    <row r="15">
      <c r="A15" s="9" t="n">
        <v>12</v>
      </c>
      <c r="B15" s="10" t="inlineStr">
        <is>
          <t>import threading, json</t>
        </is>
      </c>
    </row>
    <row r="16">
      <c r="A16" s="7" t="n">
        <v>13</v>
      </c>
      <c r="B16" s="8" t="inlineStr">
        <is>
          <t>from pathlib import Path</t>
        </is>
      </c>
    </row>
    <row r="17">
      <c r="A17" s="9" t="n">
        <v>14</v>
      </c>
      <c r="B17" s="10" t="inlineStr">
        <is>
          <t>from datetime import datetime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class ReviewPanel(ttk.Frame):</t>
        </is>
      </c>
    </row>
    <row r="21">
      <c r="A21" s="9" t="n">
        <v>18</v>
      </c>
      <c r="B21" s="10" t="inlineStr">
        <is>
          <t xml:space="preserve">    """AI建議審核面板 — 嵌入到桌面主窗口"""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>
        <is>
          <t xml:space="preserve">    def __init__(self, parent, **kwargs):</t>
        </is>
      </c>
    </row>
    <row r="24">
      <c r="A24" s="7" t="n">
        <v>21</v>
      </c>
      <c r="B24" s="8" t="inlineStr">
        <is>
          <t xml:space="preserve">        super().__init__(parent, **kwargs)</t>
        </is>
      </c>
    </row>
    <row r="25">
      <c r="A25" s="9" t="n">
        <v>22</v>
      </c>
      <c r="B25" s="10" t="inlineStr">
        <is>
          <t xml:space="preserve">        self._pending_count = 0</t>
        </is>
      </c>
    </row>
    <row r="26">
      <c r="A26" s="7" t="n">
        <v>23</v>
      </c>
      <c r="B26" s="8" t="inlineStr">
        <is>
          <t xml:space="preserve">        self._auto_refresh = False</t>
        </is>
      </c>
    </row>
    <row r="27">
      <c r="A27" s="9" t="n">
        <v>24</v>
      </c>
      <c r="B27" s="10" t="inlineStr">
        <is>
          <t xml:space="preserve">        self._refresh_interval = 30000  # 30秒自動刷新</t>
        </is>
      </c>
    </row>
    <row r="28">
      <c r="A28" s="7" t="n">
        <v>25</v>
      </c>
      <c r="B28" s="8" t="inlineStr">
        <is>
          <t xml:space="preserve">        self._build_ui()</t>
        </is>
      </c>
    </row>
    <row r="29">
      <c r="A29" s="9" t="n">
        <v>26</v>
      </c>
      <c r="B29" s="10" t="inlineStr">
        <is>
          <t xml:space="preserve">        self.load_pending()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  # ═══════════════════ UI構建 ═══════════════════</t>
        </is>
      </c>
    </row>
    <row r="32">
      <c r="A32" s="7" t="n">
        <v>29</v>
      </c>
      <c r="B32" s="8" t="inlineStr">
        <is>
          <t xml:space="preserve">    def _build_ui(self):</t>
        </is>
      </c>
    </row>
    <row r="33">
      <c r="A33" s="9" t="n">
        <v>30</v>
      </c>
      <c r="B33" s="10" t="inlineStr">
        <is>
          <t xml:space="preserve">        """構建審核面板UI"""</t>
        </is>
      </c>
    </row>
    <row r="34">
      <c r="A34" s="7" t="n">
        <v>31</v>
      </c>
      <c r="B34" s="8" t="inlineStr">
        <is>
          <t xml:space="preserve">        # ── 頂部標題 + 紅點 ──</t>
        </is>
      </c>
    </row>
    <row r="35">
      <c r="A35" s="9" t="n">
        <v>32</v>
      </c>
      <c r="B35" s="10" t="inlineStr">
        <is>
          <t xml:space="preserve">        header = ttk.Frame(self)</t>
        </is>
      </c>
    </row>
    <row r="36">
      <c r="A36" s="7" t="n">
        <v>33</v>
      </c>
      <c r="B36" s="8" t="inlineStr">
        <is>
          <t xml:space="preserve">        header.pack(fill="x", pady=(0, 6))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 xml:space="preserve">        ttk.Label(header, text="🔍 AI審核面板", font=("Microsoft YaHei", 12, "bold")) \</t>
        </is>
      </c>
    </row>
    <row r="39">
      <c r="A39" s="9" t="n">
        <v>36</v>
      </c>
      <c r="B39" s="10" t="inlineStr">
        <is>
          <t xml:space="preserve">            .pack(side="left")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 xml:space="preserve">        self._badge_label = ttk.Label(header, text="0", font=("Microsoft YaHei", 10, "bold"),</t>
        </is>
      </c>
    </row>
    <row r="42">
      <c r="A42" s="7" t="n">
        <v>39</v>
      </c>
      <c r="B42" s="8" t="inlineStr">
        <is>
          <t xml:space="preserve">                                       foreground="white", background="#d32f2f",</t>
        </is>
      </c>
    </row>
    <row r="43">
      <c r="A43" s="9" t="n">
        <v>40</v>
      </c>
      <c r="B43" s="10" t="inlineStr">
        <is>
          <t xml:space="preserve">                                       padding=(8, 2))</t>
        </is>
      </c>
    </row>
    <row r="44">
      <c r="A44" s="7" t="n">
        <v>41</v>
      </c>
      <c r="B44" s="8" t="inlineStr">
        <is>
          <t xml:space="preserve">        # 初始隱藏紅點</t>
        </is>
      </c>
    </row>
    <row r="45">
      <c r="A45" s="9" t="n">
        <v>42</v>
      </c>
      <c r="B45" s="10" t="inlineStr">
        <is>
          <t xml:space="preserve">        self._badge_label.pack_forget()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    self._status_label = ttk.Label(header, text="", font=("Microsoft YaHei", 9),</t>
        </is>
      </c>
    </row>
    <row r="48">
      <c r="A48" s="7" t="n">
        <v>45</v>
      </c>
      <c r="B48" s="8" t="inlineStr">
        <is>
          <t xml:space="preserve">                                        foreground="gray")</t>
        </is>
      </c>
    </row>
    <row r="49">
      <c r="A49" s="9" t="n">
        <v>46</v>
      </c>
      <c r="B49" s="10" t="inlineStr">
        <is>
          <t xml:space="preserve">        self._status_label.pack(side="right", padx=6)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    # ── 待審核列表 ──</t>
        </is>
      </c>
    </row>
    <row r="52">
      <c r="A52" s="7" t="n">
        <v>49</v>
      </c>
      <c r="B52" s="8" t="inlineStr">
        <is>
          <t xml:space="preserve">        list_frame = ttk.Frame(self)</t>
        </is>
      </c>
    </row>
    <row r="53">
      <c r="A53" s="9" t="n">
        <v>50</v>
      </c>
      <c r="B53" s="10" t="inlineStr">
        <is>
          <t xml:space="preserve">        list_frame.pack(fill="both", expand=True)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 xml:space="preserve">        columns = ("col_id", "col_type", "col_source", "col_confidence", "col_time")</t>
        </is>
      </c>
    </row>
    <row r="56">
      <c r="A56" s="7" t="n">
        <v>53</v>
      </c>
      <c r="B56" s="8" t="inlineStr">
        <is>
          <t xml:space="preserve">        self._tree = ttk.Treeview(list_frame, columns=columns, show="headings",</t>
        </is>
      </c>
    </row>
    <row r="57">
      <c r="A57" s="9" t="n">
        <v>54</v>
      </c>
      <c r="B57" s="10" t="inlineStr">
        <is>
          <t xml:space="preserve">                                   height=8, selectmode="browse")</t>
        </is>
      </c>
    </row>
    <row r="58">
      <c r="A58" s="7" t="n">
        <v>55</v>
      </c>
      <c r="B58" s="8" t="inlineStr">
        <is>
          <t xml:space="preserve">        for col, width, text in zip(columns, [60, 100, 80, 60, 140],</t>
        </is>
      </c>
    </row>
    <row r="59">
      <c r="A59" s="9" t="n">
        <v>56</v>
      </c>
      <c r="B59" s="10" t="inlineStr">
        <is>
          <t xml:space="preserve">                                     ["ID", "類型", "來源", "可信度", "提交時間"]):</t>
        </is>
      </c>
    </row>
    <row r="60">
      <c r="A60" s="7" t="n">
        <v>57</v>
      </c>
      <c r="B60" s="8" t="inlineStr">
        <is>
          <t xml:space="preserve">            self._tree.heading(col, text=text)</t>
        </is>
      </c>
    </row>
    <row r="61">
      <c r="A61" s="9" t="n">
        <v>58</v>
      </c>
      <c r="B61" s="10" t="inlineStr">
        <is>
          <t xml:space="preserve">            self._tree.column(col, width=width, anchor="center")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    vsb = ttk.Scrollbar(list_frame, orient="vertical", command=self._tree.yview)</t>
        </is>
      </c>
    </row>
    <row r="64">
      <c r="A64" s="7" t="n">
        <v>61</v>
      </c>
      <c r="B64" s="8" t="inlineStr">
        <is>
          <t xml:space="preserve">        self._tree.configure(yscrollcommand=vsb.set)</t>
        </is>
      </c>
    </row>
    <row r="65">
      <c r="A65" s="9" t="n">
        <v>62</v>
      </c>
      <c r="B65" s="10" t="inlineStr">
        <is>
          <t xml:space="preserve">        self._tree.pack(side="left", fill="both", expand=True)</t>
        </is>
      </c>
    </row>
    <row r="66">
      <c r="A66" s="7" t="n">
        <v>63</v>
      </c>
      <c r="B66" s="8" t="inlineStr">
        <is>
          <t xml:space="preserve">        vsb.pack(side="right", fill="y")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 xml:space="preserve">        self._tree.bind("&lt;&lt;TreeviewSelect&gt;&gt;", self._on_select)</t>
        </is>
      </c>
    </row>
    <row r="69">
      <c r="A69" s="9" t="n">
        <v>66</v>
      </c>
      <c r="B69" s="10" t="inlineStr"/>
    </row>
    <row r="70">
      <c r="A70" s="7" t="n">
        <v>67</v>
      </c>
      <c r="B70" s="8" t="inlineStr">
        <is>
          <t xml:space="preserve">        # ── 規則內容預覽 ──</t>
        </is>
      </c>
    </row>
    <row r="71">
      <c r="A71" s="9" t="n">
        <v>68</v>
      </c>
      <c r="B71" s="10" t="inlineStr">
        <is>
          <t xml:space="preserve">        detail_frame = ttk.LabelFrame(self, text="規則內容預覽", padding=4)</t>
        </is>
      </c>
    </row>
    <row r="72">
      <c r="A72" s="7" t="n">
        <v>69</v>
      </c>
      <c r="B72" s="8" t="inlineStr">
        <is>
          <t xml:space="preserve">        detail_frame.pack(fill="both", expand=True, pady=(6, 0))</t>
        </is>
      </c>
    </row>
    <row r="73">
      <c r="A73" s="9" t="n">
        <v>70</v>
      </c>
      <c r="B73" s="10" t="inlineStr"/>
    </row>
    <row r="74">
      <c r="A74" s="7" t="n">
        <v>71</v>
      </c>
      <c r="B74" s="8" t="inlineStr">
        <is>
          <t xml:space="preserve">        self._detail_text = scrolledtext.ScrolledText(</t>
        </is>
      </c>
    </row>
    <row r="75">
      <c r="A75" s="9" t="n">
        <v>72</v>
      </c>
      <c r="B75" s="10" t="inlineStr">
        <is>
          <t xml:space="preserve">            detail_frame, height=6, font=("Consolas", 9),</t>
        </is>
      </c>
    </row>
    <row r="76">
      <c r="A76" s="7" t="n">
        <v>73</v>
      </c>
      <c r="B76" s="8" t="inlineStr">
        <is>
          <t xml:space="preserve">            bg="#fafafa", fg="#212121", wrap="word"</t>
        </is>
      </c>
    </row>
    <row r="77">
      <c r="A77" s="9" t="n">
        <v>74</v>
      </c>
      <c r="B77" s="10" t="inlineStr">
        <is>
          <t xml:space="preserve">        )</t>
        </is>
      </c>
    </row>
    <row r="78">
      <c r="A78" s="7" t="n">
        <v>75</v>
      </c>
      <c r="B78" s="8" t="inlineStr">
        <is>
          <t xml:space="preserve">        self._detail_text.pack(fill="both", expand=True)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>
        <is>
          <t xml:space="preserve">        # ── 操作按鈕 ──</t>
        </is>
      </c>
    </row>
    <row r="81">
      <c r="A81" s="9" t="n">
        <v>78</v>
      </c>
      <c r="B81" s="10" t="inlineStr">
        <is>
          <t xml:space="preserve">        btn_frame = ttk.Frame(self)</t>
        </is>
      </c>
    </row>
    <row r="82">
      <c r="A82" s="7" t="n">
        <v>79</v>
      </c>
      <c r="B82" s="8" t="inlineStr">
        <is>
          <t xml:space="preserve">        btn_frame.pack(fill="x", pady=(6, 0))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>
        <is>
          <t xml:space="preserve">        self._approve_btn = tk.Button(</t>
        </is>
      </c>
    </row>
    <row r="85">
      <c r="A85" s="9" t="n">
        <v>82</v>
      </c>
      <c r="B85" s="10" t="inlineStr">
        <is>
          <t xml:space="preserve">            btn_frame, text="✅ 通過並應用", font=("Microsoft YaHei", 10, "bold"),</t>
        </is>
      </c>
    </row>
    <row r="86">
      <c r="A86" s="7" t="n">
        <v>83</v>
      </c>
      <c r="B86" s="8" t="inlineStr">
        <is>
          <t xml:space="preserve">            bg="#4caf50", fg="white", activebackground="#388e3c",</t>
        </is>
      </c>
    </row>
    <row r="87">
      <c r="A87" s="9" t="n">
        <v>84</v>
      </c>
      <c r="B87" s="10" t="inlineStr">
        <is>
          <t xml:space="preserve">            command=self._on_approve, state="disabled", cursor="hand2",</t>
        </is>
      </c>
    </row>
    <row r="88">
      <c r="A88" s="7" t="n">
        <v>85</v>
      </c>
      <c r="B88" s="8" t="inlineStr">
        <is>
          <t xml:space="preserve">            relief="flat", padx=12, pady=4</t>
        </is>
      </c>
    </row>
    <row r="89">
      <c r="A89" s="9" t="n">
        <v>86</v>
      </c>
      <c r="B89" s="10" t="inlineStr">
        <is>
          <t xml:space="preserve">        )</t>
        </is>
      </c>
    </row>
    <row r="90">
      <c r="A90" s="7" t="n">
        <v>87</v>
      </c>
      <c r="B90" s="8" t="inlineStr">
        <is>
          <t xml:space="preserve">        self._approve_btn.pack(side="left", padx=(0, 4))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 xml:space="preserve">        self._reject_btn = tk.Button(</t>
        </is>
      </c>
    </row>
    <row r="93">
      <c r="A93" s="9" t="n">
        <v>90</v>
      </c>
      <c r="B93" s="10" t="inlineStr">
        <is>
          <t xml:space="preserve">            btn_frame, text="❌ 拒絕", font=("Microsoft YaHei", 10),</t>
        </is>
      </c>
    </row>
    <row r="94">
      <c r="A94" s="7" t="n">
        <v>91</v>
      </c>
      <c r="B94" s="8" t="inlineStr">
        <is>
          <t xml:space="preserve">            bg="#f44336", fg="white", activebackground="#d32f2f",</t>
        </is>
      </c>
    </row>
    <row r="95">
      <c r="A95" s="9" t="n">
        <v>92</v>
      </c>
      <c r="B95" s="10" t="inlineStr">
        <is>
          <t xml:space="preserve">            command=self._on_reject, state="disabled", cursor="hand2",</t>
        </is>
      </c>
    </row>
    <row r="96">
      <c r="A96" s="7" t="n">
        <v>93</v>
      </c>
      <c r="B96" s="8" t="inlineStr">
        <is>
          <t xml:space="preserve">            relief="flat", padx=12, pady=4</t>
        </is>
      </c>
    </row>
    <row r="97">
      <c r="A97" s="9" t="n">
        <v>94</v>
      </c>
      <c r="B97" s="10" t="inlineStr">
        <is>
          <t xml:space="preserve">        )</t>
        </is>
      </c>
    </row>
    <row r="98">
      <c r="A98" s="7" t="n">
        <v>95</v>
      </c>
      <c r="B98" s="8" t="inlineStr">
        <is>
          <t xml:space="preserve">        self._reject_btn.pack(side="left", padx=4)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 xml:space="preserve">        tk.Button(</t>
        </is>
      </c>
    </row>
    <row r="101">
      <c r="A101" s="9" t="n">
        <v>98</v>
      </c>
      <c r="B101" s="10" t="inlineStr">
        <is>
          <t xml:space="preserve">            btn_frame, text="🔄 刷新", font=("Microsoft YaHei", 9),</t>
        </is>
      </c>
    </row>
    <row r="102">
      <c r="A102" s="7" t="n">
        <v>99</v>
      </c>
      <c r="B102" s="8" t="inlineStr">
        <is>
          <t xml:space="preserve">            command=self.load_pending, cursor="hand2",</t>
        </is>
      </c>
    </row>
    <row r="103">
      <c r="A103" s="9" t="n">
        <v>100</v>
      </c>
      <c r="B103" s="10" t="inlineStr">
        <is>
          <t xml:space="preserve">            relief="groove", padx=10</t>
        </is>
      </c>
    </row>
    <row r="104">
      <c r="A104" s="7" t="n">
        <v>101</v>
      </c>
      <c r="B104" s="8" t="inlineStr">
        <is>
          <t xml:space="preserve">        ).pack(side="right", padx=2)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 xml:space="preserve">        tk.Button(</t>
        </is>
      </c>
    </row>
    <row r="107">
      <c r="A107" s="9" t="n">
        <v>104</v>
      </c>
      <c r="B107" s="10" t="inlineStr">
        <is>
          <t xml:space="preserve">            btn_frame, text="📋 歷史", font=("Microsoft YaHei", 9),</t>
        </is>
      </c>
    </row>
    <row r="108">
      <c r="A108" s="7" t="n">
        <v>105</v>
      </c>
      <c r="B108" s="8" t="inlineStr">
        <is>
          <t xml:space="preserve">            command=self._show_history, cursor="hand2",</t>
        </is>
      </c>
    </row>
    <row r="109">
      <c r="A109" s="9" t="n">
        <v>106</v>
      </c>
      <c r="B109" s="10" t="inlineStr">
        <is>
          <t xml:space="preserve">            relief="groove", padx=10</t>
        </is>
      </c>
    </row>
    <row r="110">
      <c r="A110" s="7" t="n">
        <v>107</v>
      </c>
      <c r="B110" s="8" t="inlineStr">
        <is>
          <t xml:space="preserve">        ).pack(side="right", padx=2)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 xml:space="preserve">        self._current_item = None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 xml:space="preserve">    # ═══════════════════ 加載待審核列表 ═══════════════════</t>
        </is>
      </c>
    </row>
    <row r="115">
      <c r="A115" s="9" t="n">
        <v>112</v>
      </c>
      <c r="B115" s="10" t="inlineStr">
        <is>
          <t xml:space="preserve">    def load_pending(self):</t>
        </is>
      </c>
    </row>
    <row r="116">
      <c r="A116" s="7" t="n">
        <v>113</v>
      </c>
      <c r="B116" s="8" t="inlineStr">
        <is>
          <t xml:space="preserve">        """加載待審核的AI建議"""</t>
        </is>
      </c>
    </row>
    <row r="117">
      <c r="A117" s="9" t="n">
        <v>114</v>
      </c>
      <c r="B117" s="10" t="inlineStr">
        <is>
          <t xml:space="preserve">        try:</t>
        </is>
      </c>
    </row>
    <row r="118">
      <c r="A118" s="7" t="n">
        <v>115</v>
      </c>
      <c r="B118" s="8" t="inlineStr">
        <is>
          <t xml:space="preserve">            from core.review_queue import get_review_queue</t>
        </is>
      </c>
    </row>
    <row r="119">
      <c r="A119" s="9" t="n">
        <v>116</v>
      </c>
      <c r="B119" s="10" t="inlineStr">
        <is>
          <t xml:space="preserve">            rq = get_review_queue()</t>
        </is>
      </c>
    </row>
    <row r="120">
      <c r="A120" s="7" t="n">
        <v>117</v>
      </c>
      <c r="B120" s="8" t="inlineStr">
        <is>
          <t xml:space="preserve">            items = rq.get_pending(limit=50)</t>
        </is>
      </c>
    </row>
    <row r="121">
      <c r="A121" s="9" t="n">
        <v>118</v>
      </c>
      <c r="B121" s="10" t="inlineStr">
        <is>
          <t xml:space="preserve">            self._pending_count = len(items)</t>
        </is>
      </c>
    </row>
    <row r="122">
      <c r="A122" s="7" t="n">
        <v>119</v>
      </c>
      <c r="B122" s="8" t="inlineStr">
        <is>
          <t xml:space="preserve">            self._update_tree(items)</t>
        </is>
      </c>
    </row>
    <row r="123">
      <c r="A123" s="9" t="n">
        <v>120</v>
      </c>
      <c r="B123" s="10" t="inlineStr">
        <is>
          <t xml:space="preserve">            self._update_badge()</t>
        </is>
      </c>
    </row>
    <row r="124">
      <c r="A124" s="7" t="n">
        <v>121</v>
      </c>
      <c r="B124" s="8" t="inlineStr">
        <is>
          <t xml:space="preserve">            self._status_label.config(</t>
        </is>
      </c>
    </row>
    <row r="125">
      <c r="A125" s="9" t="n">
        <v>122</v>
      </c>
      <c r="B125" s="10" t="inlineStr">
        <is>
          <t xml:space="preserve">                text=f"共 {len(items)} 條待審核" if items else "暫無待審核項"</t>
        </is>
      </c>
    </row>
    <row r="126">
      <c r="A126" s="7" t="n">
        <v>123</v>
      </c>
      <c r="B126" s="8" t="inlineStr">
        <is>
          <t xml:space="preserve">            )</t>
        </is>
      </c>
    </row>
    <row r="127">
      <c r="A127" s="9" t="n">
        <v>124</v>
      </c>
      <c r="B127" s="10" t="inlineStr">
        <is>
          <t xml:space="preserve">            self._start_auto_refresh()</t>
        </is>
      </c>
    </row>
    <row r="128">
      <c r="A128" s="7" t="n">
        <v>125</v>
      </c>
      <c r="B128" s="8" t="inlineStr">
        <is>
          <t xml:space="preserve">        except ImportError:</t>
        </is>
      </c>
    </row>
    <row r="129">
      <c r="A129" s="9" t="n">
        <v>126</v>
      </c>
      <c r="B129" s="10" t="inlineStr">
        <is>
          <t xml:space="preserve">            self._status_label.config(text="⚠ review_queue 模塊未載入")</t>
        </is>
      </c>
    </row>
    <row r="130">
      <c r="A130" s="7" t="n">
        <v>127</v>
      </c>
      <c r="B130" s="8" t="inlineStr">
        <is>
          <t xml:space="preserve">        except Exception as e:</t>
        </is>
      </c>
    </row>
    <row r="131">
      <c r="A131" s="9" t="n">
        <v>128</v>
      </c>
      <c r="B131" s="10" t="inlineStr">
        <is>
          <t xml:space="preserve">            self._status_label.config(text=f"載入失敗: {e}")</t>
        </is>
      </c>
    </row>
    <row r="132">
      <c r="A132" s="7" t="n">
        <v>129</v>
      </c>
      <c r="B132" s="8" t="inlineStr"/>
    </row>
    <row r="133">
      <c r="A133" s="9" t="n">
        <v>130</v>
      </c>
      <c r="B133" s="10" t="inlineStr">
        <is>
          <t xml:space="preserve">    def _update_tree(self, items):</t>
        </is>
      </c>
    </row>
    <row r="134">
      <c r="A134" s="7" t="n">
        <v>131</v>
      </c>
      <c r="B134" s="8" t="inlineStr">
        <is>
          <t xml:space="preserve">        """更新 Treeview 列表"""</t>
        </is>
      </c>
    </row>
    <row r="135">
      <c r="A135" s="9" t="n">
        <v>132</v>
      </c>
      <c r="B135" s="10" t="inlineStr">
        <is>
          <t xml:space="preserve">        for row in self._tree.get_children():</t>
        </is>
      </c>
    </row>
    <row r="136">
      <c r="A136" s="7" t="n">
        <v>133</v>
      </c>
      <c r="B136" s="8" t="inlineStr">
        <is>
          <t xml:space="preserve">            self._tree.delete(row)</t>
        </is>
      </c>
    </row>
    <row r="137">
      <c r="A137" s="9" t="n">
        <v>134</v>
      </c>
      <c r="B137" s="10" t="inlineStr">
        <is>
          <t xml:space="preserve">        for item in items:</t>
        </is>
      </c>
    </row>
    <row r="138">
      <c r="A138" s="7" t="n">
        <v>135</v>
      </c>
      <c r="B138" s="8" t="inlineStr">
        <is>
          <t xml:space="preserve">            rid = item.get("id", "?")</t>
        </is>
      </c>
    </row>
    <row r="139">
      <c r="A139" s="9" t="n">
        <v>136</v>
      </c>
      <c r="B139" s="10" t="inlineStr">
        <is>
          <t xml:space="preserve">            rtype = item.get("rule_type", "?")</t>
        </is>
      </c>
    </row>
    <row r="140">
      <c r="A140" s="7" t="n">
        <v>137</v>
      </c>
      <c r="B140" s="8" t="inlineStr">
        <is>
          <t xml:space="preserve">            source = item.get("source", "AI")</t>
        </is>
      </c>
    </row>
    <row r="141">
      <c r="A141" s="9" t="n">
        <v>138</v>
      </c>
      <c r="B141" s="10" t="inlineStr">
        <is>
          <t xml:space="preserve">            conf = item.get("confidence", 0)</t>
        </is>
      </c>
    </row>
    <row r="142">
      <c r="A142" s="7" t="n">
        <v>139</v>
      </c>
      <c r="B142" s="8" t="inlineStr">
        <is>
          <t xml:space="preserve">            ts = item.get("created_at", "")[:19] if item.get("created_at") else "?"</t>
        </is>
      </c>
    </row>
    <row r="143">
      <c r="A143" s="9" t="n">
        <v>140</v>
      </c>
      <c r="B143" s="10" t="inlineStr">
        <is>
          <t xml:space="preserve">            self._tree.insert("", "end", iid=str(rid),</t>
        </is>
      </c>
    </row>
    <row r="144">
      <c r="A144" s="7" t="n">
        <v>141</v>
      </c>
      <c r="B144" s="8" t="inlineStr">
        <is>
          <t xml:space="preserve">                              values=(rid, rtype, source, f"{conf:.0%}", ts))</t>
        </is>
      </c>
    </row>
    <row r="145">
      <c r="A145" s="9" t="n">
        <v>142</v>
      </c>
      <c r="B145" s="10" t="inlineStr"/>
    </row>
    <row r="146">
      <c r="A146" s="7" t="n">
        <v>143</v>
      </c>
      <c r="B146" s="8" t="inlineStr">
        <is>
          <t xml:space="preserve">    def _update_badge(self):</t>
        </is>
      </c>
    </row>
    <row r="147">
      <c r="A147" s="9" t="n">
        <v>144</v>
      </c>
      <c r="B147" s="10" t="inlineStr">
        <is>
          <t xml:space="preserve">        """更新紅點徽標"""</t>
        </is>
      </c>
    </row>
    <row r="148">
      <c r="A148" s="7" t="n">
        <v>145</v>
      </c>
      <c r="B148" s="8" t="inlineStr">
        <is>
          <t xml:space="preserve">        if self._pending_count &gt; 0:</t>
        </is>
      </c>
    </row>
    <row r="149">
      <c r="A149" s="9" t="n">
        <v>146</v>
      </c>
      <c r="B149" s="10" t="inlineStr">
        <is>
          <t xml:space="preserve">            self._badge_label.config(text=str(self._pending_count))</t>
        </is>
      </c>
    </row>
    <row r="150">
      <c r="A150" s="7" t="n">
        <v>147</v>
      </c>
      <c r="B150" s="8" t="inlineStr">
        <is>
          <t xml:space="preserve">            self._badge_label.pack(side="left", padx=6)</t>
        </is>
      </c>
    </row>
    <row r="151">
      <c r="A151" s="9" t="n">
        <v>148</v>
      </c>
      <c r="B151" s="10" t="inlineStr">
        <is>
          <t xml:space="preserve">        else:</t>
        </is>
      </c>
    </row>
    <row r="152">
      <c r="A152" s="7" t="n">
        <v>149</v>
      </c>
      <c r="B152" s="8" t="inlineStr">
        <is>
          <t xml:space="preserve">            self._badge_label.pack_forget()</t>
        </is>
      </c>
    </row>
    <row r="153">
      <c r="A153" s="9" t="n">
        <v>150</v>
      </c>
      <c r="B153" s="10" t="inlineStr"/>
    </row>
    <row r="154">
      <c r="A154" s="7" t="n">
        <v>151</v>
      </c>
      <c r="B154" s="8" t="inlineStr">
        <is>
          <t xml:space="preserve">    def _start_auto_refresh(self):</t>
        </is>
      </c>
    </row>
    <row r="155">
      <c r="A155" s="9" t="n">
        <v>152</v>
      </c>
      <c r="B155" s="10" t="inlineStr">
        <is>
          <t xml:space="preserve">        """啟動自動刷新"""</t>
        </is>
      </c>
    </row>
    <row r="156">
      <c r="A156" s="7" t="n">
        <v>153</v>
      </c>
      <c r="B156" s="8" t="inlineStr">
        <is>
          <t xml:space="preserve">        if self._auto_refresh:</t>
        </is>
      </c>
    </row>
    <row r="157">
      <c r="A157" s="9" t="n">
        <v>154</v>
      </c>
      <c r="B157" s="10" t="inlineStr">
        <is>
          <t xml:space="preserve">            return</t>
        </is>
      </c>
    </row>
    <row r="158">
      <c r="A158" s="7" t="n">
        <v>155</v>
      </c>
      <c r="B158" s="8" t="inlineStr">
        <is>
          <t xml:space="preserve">        self._auto_refresh = True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 xml:space="preserve">        def _loop():</t>
        </is>
      </c>
    </row>
    <row r="161">
      <c r="A161" s="9" t="n">
        <v>158</v>
      </c>
      <c r="B161" s="10" t="inlineStr">
        <is>
          <t xml:space="preserve">            while self._auto_refresh:</t>
        </is>
      </c>
    </row>
    <row r="162">
      <c r="A162" s="7" t="n">
        <v>159</v>
      </c>
      <c r="B162" s="8" t="inlineStr">
        <is>
          <t xml:space="preserve">                import time</t>
        </is>
      </c>
    </row>
    <row r="163">
      <c r="A163" s="9" t="n">
        <v>160</v>
      </c>
      <c r="B163" s="10" t="inlineStr">
        <is>
          <t xml:space="preserve">                time.sleep(self._refresh_interval / 1000.0)</t>
        </is>
      </c>
    </row>
    <row r="164">
      <c r="A164" s="7" t="n">
        <v>161</v>
      </c>
      <c r="B164" s="8" t="inlineStr">
        <is>
          <t xml:space="preserve">                if self._auto_refresh and self.winfo_exists():</t>
        </is>
      </c>
    </row>
    <row r="165">
      <c r="A165" s="9" t="n">
        <v>162</v>
      </c>
      <c r="B165" s="10" t="inlineStr">
        <is>
          <t xml:space="preserve">                    self.after(0, self.load_pending)</t>
        </is>
      </c>
    </row>
    <row r="166">
      <c r="A166" s="7" t="n">
        <v>163</v>
      </c>
      <c r="B166" s="8" t="inlineStr"/>
    </row>
    <row r="167">
      <c r="A167" s="9" t="n">
        <v>164</v>
      </c>
      <c r="B167" s="10" t="inlineStr">
        <is>
          <t xml:space="preserve">        t = threading.Thread(target=_loop, daemon=True)</t>
        </is>
      </c>
    </row>
    <row r="168">
      <c r="A168" s="7" t="n">
        <v>165</v>
      </c>
      <c r="B168" s="8" t="inlineStr">
        <is>
          <t xml:space="preserve">        t.start()</t>
        </is>
      </c>
    </row>
    <row r="169">
      <c r="A169" s="9" t="n">
        <v>166</v>
      </c>
      <c r="B169" s="10" t="inlineStr"/>
    </row>
    <row r="170">
      <c r="A170" s="7" t="n">
        <v>167</v>
      </c>
      <c r="B170" s="8" t="inlineStr">
        <is>
          <t xml:space="preserve">    def stop_auto_refresh(self):</t>
        </is>
      </c>
    </row>
    <row r="171">
      <c r="A171" s="9" t="n">
        <v>168</v>
      </c>
      <c r="B171" s="10" t="inlineStr">
        <is>
          <t xml:space="preserve">        self._auto_refresh = False</t>
        </is>
      </c>
    </row>
    <row r="172">
      <c r="A172" s="7" t="n">
        <v>169</v>
      </c>
      <c r="B172" s="8" t="inlineStr"/>
    </row>
    <row r="173">
      <c r="A173" s="9" t="n">
        <v>170</v>
      </c>
      <c r="B173" s="10" t="inlineStr">
        <is>
          <t xml:space="preserve">    # ═══════════════════ 選中處理 ═══════════════════</t>
        </is>
      </c>
    </row>
    <row r="174">
      <c r="A174" s="7" t="n">
        <v>171</v>
      </c>
      <c r="B174" s="8" t="inlineStr">
        <is>
          <t xml:space="preserve">    def _on_select(self, event):</t>
        </is>
      </c>
    </row>
    <row r="175">
      <c r="A175" s="9" t="n">
        <v>172</v>
      </c>
      <c r="B175" s="10" t="inlineStr">
        <is>
          <t xml:space="preserve">        """選中列表項 — 顯示詳情"""</t>
        </is>
      </c>
    </row>
    <row r="176">
      <c r="A176" s="7" t="n">
        <v>173</v>
      </c>
      <c r="B176" s="8" t="inlineStr">
        <is>
          <t xml:space="preserve">        sel = self._tree.selection()</t>
        </is>
      </c>
    </row>
    <row r="177">
      <c r="A177" s="9" t="n">
        <v>174</v>
      </c>
      <c r="B177" s="10" t="inlineStr">
        <is>
          <t xml:space="preserve">        if not sel:</t>
        </is>
      </c>
    </row>
    <row r="178">
      <c r="A178" s="7" t="n">
        <v>175</v>
      </c>
      <c r="B178" s="8" t="inlineStr">
        <is>
          <t xml:space="preserve">            self._approve_btn.config(state="disabled")</t>
        </is>
      </c>
    </row>
    <row r="179">
      <c r="A179" s="9" t="n">
        <v>176</v>
      </c>
      <c r="B179" s="10" t="inlineStr">
        <is>
          <t xml:space="preserve">            self._reject_btn.config(state="disabled")</t>
        </is>
      </c>
    </row>
    <row r="180">
      <c r="A180" s="7" t="n">
        <v>177</v>
      </c>
      <c r="B180" s="8" t="inlineStr">
        <is>
          <t xml:space="preserve">            self._detail_text.delete("1.0", "end")</t>
        </is>
      </c>
    </row>
    <row r="181">
      <c r="A181" s="9" t="n">
        <v>178</v>
      </c>
      <c r="B181" s="10" t="inlineStr">
        <is>
          <t xml:space="preserve">            self._current_item = None</t>
        </is>
      </c>
    </row>
    <row r="182">
      <c r="A182" s="7" t="n">
        <v>179</v>
      </c>
      <c r="B182" s="8" t="inlineStr">
        <is>
          <t xml:space="preserve">            return</t>
        </is>
      </c>
    </row>
    <row r="183">
      <c r="A183" s="9" t="n">
        <v>180</v>
      </c>
      <c r="B183" s="10" t="inlineStr"/>
    </row>
    <row r="184">
      <c r="A184" s="7" t="n">
        <v>181</v>
      </c>
      <c r="B184" s="8" t="inlineStr">
        <is>
          <t xml:space="preserve">        self._current_item = sel[0]</t>
        </is>
      </c>
    </row>
    <row r="185">
      <c r="A185" s="9" t="n">
        <v>182</v>
      </c>
      <c r="B185" s="10" t="inlineStr">
        <is>
          <t xml:space="preserve">        self._approve_btn.config(state="normal")</t>
        </is>
      </c>
    </row>
    <row r="186">
      <c r="A186" s="7" t="n">
        <v>183</v>
      </c>
      <c r="B186" s="8" t="inlineStr">
        <is>
          <t xml:space="preserve">        self._reject_btn.config(state="normal")</t>
        </is>
      </c>
    </row>
    <row r="187">
      <c r="A187" s="9" t="n">
        <v>184</v>
      </c>
      <c r="B187" s="10" t="inlineStr"/>
    </row>
    <row r="188">
      <c r="A188" s="7" t="n">
        <v>185</v>
      </c>
      <c r="B188" s="8" t="inlineStr">
        <is>
          <t xml:space="preserve">        # 獲取詳情</t>
        </is>
      </c>
    </row>
    <row r="189">
      <c r="A189" s="9" t="n">
        <v>186</v>
      </c>
      <c r="B189" s="10" t="inlineStr">
        <is>
          <t xml:space="preserve">        try:</t>
        </is>
      </c>
    </row>
    <row r="190">
      <c r="A190" s="7" t="n">
        <v>187</v>
      </c>
      <c r="B190" s="8" t="inlineStr">
        <is>
          <t xml:space="preserve">            from core.review_queue import get_review_queue</t>
        </is>
      </c>
    </row>
    <row r="191">
      <c r="A191" s="9" t="n">
        <v>188</v>
      </c>
      <c r="B191" s="10" t="inlineStr">
        <is>
          <t xml:space="preserve">            rq = get_review_queue()</t>
        </is>
      </c>
    </row>
    <row r="192">
      <c r="A192" s="7" t="n">
        <v>189</v>
      </c>
      <c r="B192" s="8" t="inlineStr">
        <is>
          <t xml:space="preserve">            items = rq.get_pending(limit=50)</t>
        </is>
      </c>
    </row>
    <row r="193">
      <c r="A193" s="9" t="n">
        <v>190</v>
      </c>
      <c r="B193" s="10" t="inlineStr">
        <is>
          <t xml:space="preserve">            for item in items:</t>
        </is>
      </c>
    </row>
    <row r="194">
      <c r="A194" s="7" t="n">
        <v>191</v>
      </c>
      <c r="B194" s="8" t="inlineStr">
        <is>
          <t xml:space="preserve">                if str(item.get("id")) == self._current_item:</t>
        </is>
      </c>
    </row>
    <row r="195">
      <c r="A195" s="9" t="n">
        <v>192</v>
      </c>
      <c r="B195" s="10" t="inlineStr">
        <is>
          <t xml:space="preserve">                    content = item.get("content", {})</t>
        </is>
      </c>
    </row>
    <row r="196">
      <c r="A196" s="7" t="n">
        <v>193</v>
      </c>
      <c r="B196" s="8" t="inlineStr">
        <is>
          <t xml:space="preserve">                    self._detail_text.delete("1.0", "end")</t>
        </is>
      </c>
    </row>
    <row r="197">
      <c r="A197" s="9" t="n">
        <v>194</v>
      </c>
      <c r="B197" s="10" t="inlineStr">
        <is>
          <t xml:space="preserve">                    self._detail_text.insert("1.0",</t>
        </is>
      </c>
    </row>
    <row r="198">
      <c r="A198" s="7" t="n">
        <v>195</v>
      </c>
      <c r="B198" s="8" t="inlineStr">
        <is>
          <t xml:space="preserve">                        json.dumps(content, ensure_ascii=False, indent=2))</t>
        </is>
      </c>
    </row>
    <row r="199">
      <c r="A199" s="9" t="n">
        <v>196</v>
      </c>
      <c r="B199" s="10" t="inlineStr">
        <is>
          <t xml:space="preserve">                    return</t>
        </is>
      </c>
    </row>
    <row r="200">
      <c r="A200" s="7" t="n">
        <v>197</v>
      </c>
      <c r="B200" s="8" t="inlineStr">
        <is>
          <t xml:space="preserve">        except Exception as e:</t>
        </is>
      </c>
    </row>
    <row r="201">
      <c r="A201" s="9" t="n">
        <v>198</v>
      </c>
      <c r="B201" s="10" t="inlineStr">
        <is>
          <t xml:space="preserve">            self._detail_text.delete("1.0", "end")</t>
        </is>
      </c>
    </row>
    <row r="202">
      <c r="A202" s="7" t="n">
        <v>199</v>
      </c>
      <c r="B202" s="8" t="inlineStr">
        <is>
          <t xml:space="preserve">            self._detail_text.insert("1.0", f"(載入失敗: {e})")</t>
        </is>
      </c>
    </row>
    <row r="203">
      <c r="A203" s="9" t="n">
        <v>200</v>
      </c>
      <c r="B203" s="10" t="inlineStr"/>
    </row>
    <row r="204">
      <c r="A204" s="7" t="n">
        <v>201</v>
      </c>
      <c r="B204" s="8" t="inlineStr">
        <is>
          <t xml:space="preserve">    # ═══════════════════ 通過/拒絕 ═══════════════════</t>
        </is>
      </c>
    </row>
    <row r="205">
      <c r="A205" s="9" t="n">
        <v>202</v>
      </c>
      <c r="B205" s="10" t="inlineStr">
        <is>
          <t xml:space="preserve">    def _on_approve(self):</t>
        </is>
      </c>
    </row>
    <row r="206">
      <c r="A206" s="7" t="n">
        <v>203</v>
      </c>
      <c r="B206" s="8" t="inlineStr">
        <is>
          <t xml:space="preserve">        if not self._current_item:</t>
        </is>
      </c>
    </row>
    <row r="207">
      <c r="A207" s="9" t="n">
        <v>204</v>
      </c>
      <c r="B207" s="10" t="inlineStr">
        <is>
          <t xml:space="preserve">            return</t>
        </is>
      </c>
    </row>
    <row r="208">
      <c r="A208" s="7" t="n">
        <v>205</v>
      </c>
      <c r="B208" s="8" t="inlineStr">
        <is>
          <t xml:space="preserve">        rid = int(self._current_item)</t>
        </is>
      </c>
    </row>
    <row r="209">
      <c r="A209" s="9" t="n">
        <v>206</v>
      </c>
      <c r="B209" s="10" t="inlineStr">
        <is>
          <t xml:space="preserve">        if not messagebox.askyesno("確認通過",</t>
        </is>
      </c>
    </row>
    <row r="210">
      <c r="A210" s="7" t="n">
        <v>207</v>
      </c>
      <c r="B210" s="8" t="inlineStr">
        <is>
          <t xml:space="preserve">                                    f"確定通過審核ID={rid}的規則？\n\n通過後將自動應用到系統中。"):</t>
        </is>
      </c>
    </row>
    <row r="211">
      <c r="A211" s="9" t="n">
        <v>208</v>
      </c>
      <c r="B211" s="10" t="inlineStr">
        <is>
          <t xml:space="preserve">            return</t>
        </is>
      </c>
    </row>
    <row r="212">
      <c r="A212" s="7" t="n">
        <v>209</v>
      </c>
      <c r="B212" s="8" t="inlineStr">
        <is>
          <t xml:space="preserve">        try:</t>
        </is>
      </c>
    </row>
    <row r="213">
      <c r="A213" s="9" t="n">
        <v>210</v>
      </c>
      <c r="B213" s="10" t="inlineStr">
        <is>
          <t xml:space="preserve">            from core.review_queue import get_review_queue</t>
        </is>
      </c>
    </row>
    <row r="214">
      <c r="A214" s="7" t="n">
        <v>211</v>
      </c>
      <c r="B214" s="8" t="inlineStr">
        <is>
          <t xml:space="preserve">            rq = get_review_queue()</t>
        </is>
      </c>
    </row>
    <row r="215">
      <c r="A215" s="9" t="n">
        <v>212</v>
      </c>
      <c r="B215" s="10" t="inlineStr">
        <is>
          <t xml:space="preserve">            ok = rq.approve(rid, reviewer="操作員")</t>
        </is>
      </c>
    </row>
    <row r="216">
      <c r="A216" s="7" t="n">
        <v>213</v>
      </c>
      <c r="B216" s="8" t="inlineStr">
        <is>
          <t xml:space="preserve">            if ok:</t>
        </is>
      </c>
    </row>
    <row r="217">
      <c r="A217" s="9" t="n">
        <v>214</v>
      </c>
      <c r="B217" s="10" t="inlineStr">
        <is>
          <t xml:space="preserve">                messagebox.showinfo("成功", f"審核ID={rid} 已通過並應用！")</t>
        </is>
      </c>
    </row>
    <row r="218">
      <c r="A218" s="7" t="n">
        <v>215</v>
      </c>
      <c r="B218" s="8" t="inlineStr">
        <is>
          <t xml:space="preserve">                self.load_pending()</t>
        </is>
      </c>
    </row>
    <row r="219">
      <c r="A219" s="9" t="n">
        <v>216</v>
      </c>
      <c r="B219" s="10" t="inlineStr">
        <is>
          <t xml:space="preserve">            else:</t>
        </is>
      </c>
    </row>
    <row r="220">
      <c r="A220" s="7" t="n">
        <v>217</v>
      </c>
      <c r="B220" s="8" t="inlineStr">
        <is>
          <t xml:space="preserve">                messagebox.showerror("失敗", "審核失敗，可能已處理或規則無效。")</t>
        </is>
      </c>
    </row>
    <row r="221">
      <c r="A221" s="9" t="n">
        <v>218</v>
      </c>
      <c r="B221" s="10" t="inlineStr">
        <is>
          <t xml:space="preserve">        except Exception as e:</t>
        </is>
      </c>
    </row>
    <row r="222">
      <c r="A222" s="7" t="n">
        <v>219</v>
      </c>
      <c r="B222" s="8" t="inlineStr">
        <is>
          <t xml:space="preserve">            messagebox.showerror("錯誤", f"審核異常: {e}")</t>
        </is>
      </c>
    </row>
    <row r="223">
      <c r="A223" s="9" t="n">
        <v>220</v>
      </c>
      <c r="B223" s="10" t="inlineStr"/>
    </row>
    <row r="224">
      <c r="A224" s="7" t="n">
        <v>221</v>
      </c>
      <c r="B224" s="8" t="inlineStr">
        <is>
          <t xml:space="preserve">    def _on_reject(self):</t>
        </is>
      </c>
    </row>
    <row r="225">
      <c r="A225" s="9" t="n">
        <v>222</v>
      </c>
      <c r="B225" s="10" t="inlineStr">
        <is>
          <t xml:space="preserve">        if not self._current_item:</t>
        </is>
      </c>
    </row>
    <row r="226">
      <c r="A226" s="7" t="n">
        <v>223</v>
      </c>
      <c r="B226" s="8" t="inlineStr">
        <is>
          <t xml:space="preserve">            return</t>
        </is>
      </c>
    </row>
    <row r="227">
      <c r="A227" s="9" t="n">
        <v>224</v>
      </c>
      <c r="B227" s="10" t="inlineStr">
        <is>
          <t xml:space="preserve">        rid = int(self._current_item)</t>
        </is>
      </c>
    </row>
    <row r="228">
      <c r="A228" s="7" t="n">
        <v>225</v>
      </c>
      <c r="B228" s="8" t="inlineStr">
        <is>
          <t xml:space="preserve">        note = tk.simpledialog.askstring("拒絕原因", "請輸入拒絕原因（可選）:",</t>
        </is>
      </c>
    </row>
    <row r="229">
      <c r="A229" s="9" t="n">
        <v>226</v>
      </c>
      <c r="B229" s="10" t="inlineStr">
        <is>
          <t xml:space="preserve">                                          parent=self)</t>
        </is>
      </c>
    </row>
    <row r="230">
      <c r="A230" s="7" t="n">
        <v>227</v>
      </c>
      <c r="B230" s="8" t="inlineStr">
        <is>
          <t xml:space="preserve">        if note is None:</t>
        </is>
      </c>
    </row>
    <row r="231">
      <c r="A231" s="9" t="n">
        <v>228</v>
      </c>
      <c r="B231" s="10" t="inlineStr">
        <is>
          <t xml:space="preserve">            return  # 用戶取消</t>
        </is>
      </c>
    </row>
    <row r="232">
      <c r="A232" s="7" t="n">
        <v>229</v>
      </c>
      <c r="B232" s="8" t="inlineStr">
        <is>
          <t xml:space="preserve">        try:</t>
        </is>
      </c>
    </row>
    <row r="233">
      <c r="A233" s="9" t="n">
        <v>230</v>
      </c>
      <c r="B233" s="10" t="inlineStr">
        <is>
          <t xml:space="preserve">            from core.review_queue import get_review_queue</t>
        </is>
      </c>
    </row>
    <row r="234">
      <c r="A234" s="7" t="n">
        <v>231</v>
      </c>
      <c r="B234" s="8" t="inlineStr">
        <is>
          <t xml:space="preserve">            rq = get_review_queue()</t>
        </is>
      </c>
    </row>
    <row r="235">
      <c r="A235" s="9" t="n">
        <v>232</v>
      </c>
      <c r="B235" s="10" t="inlineStr">
        <is>
          <t xml:space="preserve">            rq.reject(rid, note or "人工拒絕")</t>
        </is>
      </c>
    </row>
    <row r="236">
      <c r="A236" s="7" t="n">
        <v>233</v>
      </c>
      <c r="B236" s="8" t="inlineStr">
        <is>
          <t xml:space="preserve">            messagebox.showinfo("已拒絕", f"審核ID={rid} 已拒絕。")</t>
        </is>
      </c>
    </row>
    <row r="237">
      <c r="A237" s="9" t="n">
        <v>234</v>
      </c>
      <c r="B237" s="10" t="inlineStr">
        <is>
          <t xml:space="preserve">            self.load_pending()</t>
        </is>
      </c>
    </row>
    <row r="238">
      <c r="A238" s="7" t="n">
        <v>235</v>
      </c>
      <c r="B238" s="8" t="inlineStr">
        <is>
          <t xml:space="preserve">        except Exception as e:</t>
        </is>
      </c>
    </row>
    <row r="239">
      <c r="A239" s="9" t="n">
        <v>236</v>
      </c>
      <c r="B239" s="10" t="inlineStr">
        <is>
          <t xml:space="preserve">            messagebox.showerror("錯誤", f"操作異常: {e}")</t>
        </is>
      </c>
    </row>
    <row r="240">
      <c r="A240" s="7" t="n">
        <v>237</v>
      </c>
      <c r="B240" s="8" t="inlineStr"/>
    </row>
    <row r="241">
      <c r="A241" s="9" t="n">
        <v>238</v>
      </c>
      <c r="B241" s="10" t="inlineStr">
        <is>
          <t xml:space="preserve">    # ═══════════════════ 歷史記錄 ═══════════════════</t>
        </is>
      </c>
    </row>
    <row r="242">
      <c r="A242" s="7" t="n">
        <v>239</v>
      </c>
      <c r="B242" s="8" t="inlineStr">
        <is>
          <t xml:space="preserve">    def _show_history(self):</t>
        </is>
      </c>
    </row>
    <row r="243">
      <c r="A243" s="9" t="n">
        <v>240</v>
      </c>
      <c r="B243" s="10" t="inlineStr">
        <is>
          <t xml:space="preserve">        """顯示審核歷史彈窗"""</t>
        </is>
      </c>
    </row>
    <row r="244">
      <c r="A244" s="7" t="n">
        <v>241</v>
      </c>
      <c r="B244" s="8" t="inlineStr">
        <is>
          <t xml:space="preserve">        try:</t>
        </is>
      </c>
    </row>
    <row r="245">
      <c r="A245" s="9" t="n">
        <v>242</v>
      </c>
      <c r="B245" s="10" t="inlineStr">
        <is>
          <t xml:space="preserve">            from core.review_queue import get_review_queue</t>
        </is>
      </c>
    </row>
    <row r="246">
      <c r="A246" s="7" t="n">
        <v>243</v>
      </c>
      <c r="B246" s="8" t="inlineStr">
        <is>
          <t xml:space="preserve">            rq = get_review_queue()</t>
        </is>
      </c>
    </row>
    <row r="247">
      <c r="A247" s="9" t="n">
        <v>244</v>
      </c>
      <c r="B247" s="10" t="inlineStr">
        <is>
          <t xml:space="preserve">            history = rq.get_history(limit=30)</t>
        </is>
      </c>
    </row>
    <row r="248">
      <c r="A248" s="7" t="n">
        <v>245</v>
      </c>
      <c r="B248" s="8" t="inlineStr"/>
    </row>
    <row r="249">
      <c r="A249" s="9" t="n">
        <v>246</v>
      </c>
      <c r="B249" s="10" t="inlineStr">
        <is>
          <t xml:space="preserve">            win = tk.Toplevel(self)</t>
        </is>
      </c>
    </row>
    <row r="250">
      <c r="A250" s="7" t="n">
        <v>247</v>
      </c>
      <c r="B250" s="8" t="inlineStr">
        <is>
          <t xml:space="preserve">            win.title("審核歷史記錄")</t>
        </is>
      </c>
    </row>
    <row r="251">
      <c r="A251" s="9" t="n">
        <v>248</v>
      </c>
      <c r="B251" s="10" t="inlineStr">
        <is>
          <t xml:space="preserve">            win.geometry("700x450")</t>
        </is>
      </c>
    </row>
    <row r="252">
      <c r="A252" s="7" t="n">
        <v>249</v>
      </c>
      <c r="B252" s="8" t="inlineStr"/>
    </row>
    <row r="253">
      <c r="A253" s="9" t="n">
        <v>250</v>
      </c>
      <c r="B253" s="10" t="inlineStr">
        <is>
          <t xml:space="preserve">            columns = ("h_id", "h_type", "h_status", "h_reviewer", "h_time")</t>
        </is>
      </c>
    </row>
    <row r="254">
      <c r="A254" s="7" t="n">
        <v>251</v>
      </c>
      <c r="B254" s="8" t="inlineStr">
        <is>
          <t xml:space="preserve">            tree = ttk.Treeview(win, columns=columns, show="headings")</t>
        </is>
      </c>
    </row>
    <row r="255">
      <c r="A255" s="9" t="n">
        <v>252</v>
      </c>
      <c r="B255" s="10" t="inlineStr">
        <is>
          <t xml:space="preserve">            for col, w, text in zip(columns, [50, 120, 80, 80, 140],</t>
        </is>
      </c>
    </row>
    <row r="256">
      <c r="A256" s="7" t="n">
        <v>253</v>
      </c>
      <c r="B256" s="8" t="inlineStr">
        <is>
          <t xml:space="preserve">                                     ["ID", "類型", "狀態", "審核人", "審核時間"]):</t>
        </is>
      </c>
    </row>
    <row r="257">
      <c r="A257" s="9" t="n">
        <v>254</v>
      </c>
      <c r="B257" s="10" t="inlineStr">
        <is>
          <t xml:space="preserve">                tree.heading(col, text=text)</t>
        </is>
      </c>
    </row>
    <row r="258">
      <c r="A258" s="7" t="n">
        <v>255</v>
      </c>
      <c r="B258" s="8" t="inlineStr">
        <is>
          <t xml:space="preserve">                tree.column(col, width=w, anchor="center")</t>
        </is>
      </c>
    </row>
    <row r="259">
      <c r="A259" s="9" t="n">
        <v>256</v>
      </c>
      <c r="B259" s="10" t="inlineStr"/>
    </row>
    <row r="260">
      <c r="A260" s="7" t="n">
        <v>257</v>
      </c>
      <c r="B260" s="8" t="inlineStr">
        <is>
          <t xml:space="preserve">            for h in history:</t>
        </is>
      </c>
    </row>
    <row r="261">
      <c r="A261" s="9" t="n">
        <v>258</v>
      </c>
      <c r="B261" s="10" t="inlineStr">
        <is>
          <t xml:space="preserve">                tree.insert("", "end", values=(</t>
        </is>
      </c>
    </row>
    <row r="262">
      <c r="A262" s="7" t="n">
        <v>259</v>
      </c>
      <c r="B262" s="8" t="inlineStr">
        <is>
          <t xml:space="preserve">                    h.get("id"), h.get("rule_type"),</t>
        </is>
      </c>
    </row>
    <row r="263">
      <c r="A263" s="9" t="n">
        <v>260</v>
      </c>
      <c r="B263" s="10" t="inlineStr">
        <is>
          <t xml:space="preserve">                    h.get("status"), h.get("reviewer") or "-",</t>
        </is>
      </c>
    </row>
    <row r="264">
      <c r="A264" s="7" t="n">
        <v>261</v>
      </c>
      <c r="B264" s="8" t="inlineStr">
        <is>
          <t xml:space="preserve">                    (h.get("reviewed_at") or h.get("created_at", ""))[:19]</t>
        </is>
      </c>
    </row>
    <row r="265">
      <c r="A265" s="9" t="n">
        <v>262</v>
      </c>
      <c r="B265" s="10" t="inlineStr">
        <is>
          <t xml:space="preserve">                ))</t>
        </is>
      </c>
    </row>
    <row r="266">
      <c r="A266" s="7" t="n">
        <v>263</v>
      </c>
      <c r="B266" s="8" t="inlineStr"/>
    </row>
    <row r="267">
      <c r="A267" s="9" t="n">
        <v>264</v>
      </c>
      <c r="B267" s="10" t="inlineStr">
        <is>
          <t xml:space="preserve">            vsb = ttk.Scrollbar(win, orient="vertical", command=tree.yview)</t>
        </is>
      </c>
    </row>
    <row r="268">
      <c r="A268" s="7" t="n">
        <v>265</v>
      </c>
      <c r="B268" s="8" t="inlineStr">
        <is>
          <t xml:space="preserve">            tree.configure(yscrollcommand=vsb.set)</t>
        </is>
      </c>
    </row>
    <row r="269">
      <c r="A269" s="9" t="n">
        <v>266</v>
      </c>
      <c r="B269" s="10" t="inlineStr">
        <is>
          <t xml:space="preserve">            tree.pack(side="left", fill="both", expand=True, padx=6, pady=6)</t>
        </is>
      </c>
    </row>
    <row r="270">
      <c r="A270" s="7" t="n">
        <v>267</v>
      </c>
      <c r="B270" s="8" t="inlineStr">
        <is>
          <t xml:space="preserve">            vsb.pack(side="right", fill="y")</t>
        </is>
      </c>
    </row>
    <row r="271">
      <c r="A271" s="9" t="n">
        <v>268</v>
      </c>
      <c r="B271" s="10" t="inlineStr">
        <is>
          <t xml:space="preserve">        except Exception as e:</t>
        </is>
      </c>
    </row>
    <row r="272">
      <c r="A272" s="7" t="n">
        <v>269</v>
      </c>
      <c r="B272" s="8" t="inlineStr">
        <is>
          <t xml:space="preserve">            messagebox.showerror("錯誤", f"無法加載歷史: {e}")</t>
        </is>
      </c>
    </row>
    <row r="273">
      <c r="A273" s="9" t="n">
        <v>270</v>
      </c>
      <c r="B273" s="10" t="inlineStr"/>
    </row>
    <row r="274">
      <c r="A274" s="7" t="n">
        <v>271</v>
      </c>
      <c r="B274" s="8" t="inlineStr"/>
    </row>
    <row r="275">
      <c r="A275" s="9" t="n">
        <v>272</v>
      </c>
      <c r="B275" s="10" t="inlineStr">
        <is>
          <t># ════════════════════════════════════════════════════════</t>
        </is>
      </c>
    </row>
    <row r="276">
      <c r="A276" s="7" t="n">
        <v>273</v>
      </c>
      <c r="B276" s="8" t="inlineStr">
        <is>
          <t># 快速接入: 桌面主窗口用法</t>
        </is>
      </c>
    </row>
    <row r="277">
      <c r="A277" s="9" t="n">
        <v>274</v>
      </c>
      <c r="B277" s="10" t="inlineStr">
        <is>
          <t># ════════════════════════════════════════════════════════</t>
        </is>
      </c>
    </row>
    <row r="278">
      <c r="A278" s="7" t="n">
        <v>275</v>
      </c>
      <c r="B278" s="8" t="inlineStr">
        <is>
          <t>def create_review_panel(parent) -&gt; ReviewPanel:</t>
        </is>
      </c>
    </row>
    <row r="279">
      <c r="A279" s="9" t="n">
        <v>276</v>
      </c>
      <c r="B279" s="10" t="inlineStr">
        <is>
          <t xml:space="preserve">    """</t>
        </is>
      </c>
    </row>
    <row r="280">
      <c r="A280" s="7" t="n">
        <v>277</v>
      </c>
      <c r="B280" s="8" t="inlineStr">
        <is>
          <t xml:space="preserve">    在桌面主窗口中創建審核面板。</t>
        </is>
      </c>
    </row>
    <row r="281">
      <c r="A281" s="9" t="n">
        <v>278</v>
      </c>
      <c r="B281" s="10" t="inlineStr"/>
    </row>
    <row r="282">
      <c r="A282" s="7" t="n">
        <v>279</v>
      </c>
      <c r="B282" s="8" t="inlineStr">
        <is>
          <t xml:space="preserve">    用法 (在 desktop.py 中):</t>
        </is>
      </c>
    </row>
    <row r="283">
      <c r="A283" s="9" t="n">
        <v>280</v>
      </c>
      <c r="B283" s="10" t="inlineStr">
        <is>
          <t xml:space="preserve">        from ui.review_panel import create_review_panel</t>
        </is>
      </c>
    </row>
    <row r="284">
      <c r="A284" s="7" t="n">
        <v>281</v>
      </c>
      <c r="B284" s="8" t="inlineStr">
        <is>
          <t xml:space="preserve">        self._review_panel = create_review_panel(some_notebook_frame)</t>
        </is>
      </c>
    </row>
    <row r="285">
      <c r="A285" s="9" t="n">
        <v>282</v>
      </c>
      <c r="B285" s="10" t="inlineStr">
        <is>
          <t xml:space="preserve">        # 添加到某個notebook tab中</t>
        </is>
      </c>
    </row>
    <row r="286">
      <c r="A286" s="7" t="n">
        <v>283</v>
      </c>
      <c r="B286" s="8" t="inlineStr">
        <is>
          <t xml:space="preserve">    """</t>
        </is>
      </c>
    </row>
    <row r="287">
      <c r="A287" s="9" t="n">
        <v>284</v>
      </c>
      <c r="B287" s="10" t="inlineStr">
        <is>
          <t xml:space="preserve">    panel = ReviewPanel(parent)</t>
        </is>
      </c>
    </row>
    <row r="288">
      <c r="A288" s="7" t="n">
        <v>285</v>
      </c>
      <c r="B288" s="8" t="inlineStr">
        <is>
          <t xml:space="preserve">    return panel</t>
        </is>
      </c>
    </row>
    <row r="289">
      <c r="A289" s="9" t="n">
        <v>286</v>
      </c>
      <c r="B289" s="10" t="inlineStr"/>
    </row>
    <row r="290">
      <c r="A290" s="7" t="n">
        <v>287</v>
      </c>
      <c r="B290" s="8" t="inlineStr"/>
    </row>
    <row r="291">
      <c r="A291" s="9" t="n">
        <v>288</v>
      </c>
      <c r="B291" s="10" t="inlineStr">
        <is>
          <t>if __name__ == "__main__":</t>
        </is>
      </c>
    </row>
    <row r="292">
      <c r="A292" s="7" t="n">
        <v>289</v>
      </c>
      <c r="B292" s="8" t="inlineStr">
        <is>
          <t xml:space="preserve">    # 獨立測試</t>
        </is>
      </c>
    </row>
    <row r="293">
      <c r="A293" s="9" t="n">
        <v>290</v>
      </c>
      <c r="B293" s="10" t="inlineStr">
        <is>
          <t xml:space="preserve">    root = tk.Tk()</t>
        </is>
      </c>
    </row>
    <row r="294">
      <c r="A294" s="7" t="n">
        <v>291</v>
      </c>
      <c r="B294" s="8" t="inlineStr">
        <is>
          <t xml:space="preserve">    root.title("審核面板測試")</t>
        </is>
      </c>
    </row>
    <row r="295">
      <c r="A295" s="9" t="n">
        <v>292</v>
      </c>
      <c r="B295" s="10" t="inlineStr">
        <is>
          <t xml:space="preserve">    root.geometry("600x500")</t>
        </is>
      </c>
    </row>
    <row r="296">
      <c r="A296" s="7" t="n">
        <v>293</v>
      </c>
      <c r="B296" s="8" t="inlineStr">
        <is>
          <t xml:space="preserve">    panel = create_review_panel(root)</t>
        </is>
      </c>
    </row>
    <row r="297">
      <c r="A297" s="9" t="n">
        <v>294</v>
      </c>
      <c r="B297" s="10" t="inlineStr">
        <is>
          <t xml:space="preserve">    panel.pack(fill="both", expand=True, padx=10, pady=10)</t>
        </is>
      </c>
    </row>
    <row r="298">
      <c r="A298" s="7" t="n">
        <v>295</v>
      </c>
      <c r="B298" s="8" t="inlineStr">
        <is>
          <t xml:space="preserve">    root.mainloop()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ui\rounded_button.py</t>
        </is>
      </c>
      <c r="C1" s="5" t="inlineStr">
        <is>
          <t>行数: 133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— 圆角按钮组件 (RoundedButton)</t>
        </is>
      </c>
    </row>
    <row r="6">
      <c r="A6" s="7" t="n">
        <v>3</v>
      </c>
      <c r="B6" s="8">
        <f>===========================================</f>
        <v/>
      </c>
    </row>
    <row r="7">
      <c r="A7" s="9" t="n">
        <v>4</v>
      </c>
      <c r="B7" s="10" t="inlineStr">
        <is>
          <t>基于 Canvas 的自绘圆角矩形按钮，支持：</t>
        </is>
      </c>
    </row>
    <row r="8">
      <c r="A8" s="7" t="n">
        <v>5</v>
      </c>
      <c r="B8" s="8" t="inlineStr">
        <is>
          <t xml:space="preserve">  - 自定义圆角半径 (radius)</t>
        </is>
      </c>
    </row>
    <row r="9">
      <c r="A9" s="9" t="n">
        <v>6</v>
      </c>
      <c r="B9" s="10" t="inlineStr">
        <is>
          <t xml:space="preserve">  - 悬停效果 (hover_color)</t>
        </is>
      </c>
    </row>
    <row r="10">
      <c r="A10" s="7" t="n">
        <v>7</v>
      </c>
      <c r="B10" s="8" t="inlineStr">
        <is>
          <t xml:space="preserve">  - 禁用状态 (disabled)</t>
        </is>
      </c>
    </row>
    <row r="11">
      <c r="A11" s="9" t="n">
        <v>8</v>
      </c>
      <c r="B11" s="10" t="inlineStr">
        <is>
          <t xml:space="preserve">  - 点击回调 (command)</t>
        </is>
      </c>
    </row>
    <row r="12">
      <c r="A12" s="7" t="n">
        <v>9</v>
      </c>
      <c r="B12" s="8" t="inlineStr">
        <is>
          <t xml:space="preserve">  - 自动文字居中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用法: from ui.rounded_button import RoundedButton</t>
        </is>
      </c>
    </row>
    <row r="15">
      <c r="A15" s="9" t="n">
        <v>12</v>
      </c>
      <c r="B15" s="10" t="inlineStr">
        <is>
          <t xml:space="preserve">      btn = RoundedButton(parent, text="确定", command=do_ok)</t>
        </is>
      </c>
    </row>
    <row r="16">
      <c r="A16" s="7" t="n">
        <v>13</v>
      </c>
      <c r="B16" s="8" t="inlineStr">
        <is>
          <t xml:space="preserve">      btn.pack()</t>
        </is>
      </c>
    </row>
    <row r="17">
      <c r="A17" s="9" t="n">
        <v>14</v>
      </c>
      <c r="B17" s="10" t="inlineStr">
        <is>
          <t>"""</t>
        </is>
      </c>
    </row>
    <row r="18">
      <c r="A18" s="7" t="n">
        <v>15</v>
      </c>
      <c r="B18" s="8" t="inlineStr">
        <is>
          <t>import tkinter as tk</t>
        </is>
      </c>
    </row>
    <row r="19">
      <c r="A19" s="9" t="n">
        <v>16</v>
      </c>
      <c r="B19" s="10" t="inlineStr">
        <is>
          <t>from tkinter import font as tkfont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/>
    </row>
    <row r="22">
      <c r="A22" s="7" t="n">
        <v>19</v>
      </c>
      <c r="B22" s="8" t="inlineStr">
        <is>
          <t>class RoundedButton(tk.Canvas):</t>
        </is>
      </c>
    </row>
    <row r="23">
      <c r="A23" s="9" t="n">
        <v>20</v>
      </c>
      <c r="B23" s="10" t="inlineStr">
        <is>
          <t xml:space="preserve">    """圆角按钮 — 完全自定义绘制，兼容 tkinter 布局系统"""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 xml:space="preserve">    def __init__(self, parent, text="", command=None,</t>
        </is>
      </c>
    </row>
    <row r="26">
      <c r="A26" s="7" t="n">
        <v>23</v>
      </c>
      <c r="B26" s="8" t="inlineStr">
        <is>
          <t xml:space="preserve">                 bg_color="#2e7d32", fg_color="#ffffff",</t>
        </is>
      </c>
    </row>
    <row r="27">
      <c r="A27" s="9" t="n">
        <v>24</v>
      </c>
      <c r="B27" s="10" t="inlineStr">
        <is>
          <t xml:space="preserve">                 hover_color="#43a047", disabled_color="#bdbdbd",</t>
        </is>
      </c>
    </row>
    <row r="28">
      <c r="A28" s="7" t="n">
        <v>25</v>
      </c>
      <c r="B28" s="8" t="inlineStr">
        <is>
          <t xml:space="preserve">                 radius=10, width=None, height=35,</t>
        </is>
      </c>
    </row>
    <row r="29">
      <c r="A29" s="9" t="n">
        <v>26</v>
      </c>
      <c r="B29" s="10" t="inlineStr">
        <is>
          <t xml:space="preserve">                 font=None, **kwargs):</t>
        </is>
      </c>
    </row>
    <row r="30">
      <c r="A30" s="7" t="n">
        <v>27</v>
      </c>
      <c r="B30" s="8" t="inlineStr">
        <is>
          <t xml:space="preserve">        self.command = command</t>
        </is>
      </c>
    </row>
    <row r="31">
      <c r="A31" s="9" t="n">
        <v>28</v>
      </c>
      <c r="B31" s="10" t="inlineStr">
        <is>
          <t xml:space="preserve">        self.bg_color = bg_color</t>
        </is>
      </c>
    </row>
    <row r="32">
      <c r="A32" s="7" t="n">
        <v>29</v>
      </c>
      <c r="B32" s="8" t="inlineStr">
        <is>
          <t xml:space="preserve">        self.fg_color = fg_color</t>
        </is>
      </c>
    </row>
    <row r="33">
      <c r="A33" s="9" t="n">
        <v>30</v>
      </c>
      <c r="B33" s="10" t="inlineStr">
        <is>
          <t xml:space="preserve">        self.hover_color = hover_color</t>
        </is>
      </c>
    </row>
    <row r="34">
      <c r="A34" s="7" t="n">
        <v>31</v>
      </c>
      <c r="B34" s="8" t="inlineStr">
        <is>
          <t xml:space="preserve">        self.disabled_color = disabled_color</t>
        </is>
      </c>
    </row>
    <row r="35">
      <c r="A35" s="9" t="n">
        <v>32</v>
      </c>
      <c r="B35" s="10" t="inlineStr">
        <is>
          <t xml:space="preserve">        self.radius = radius</t>
        </is>
      </c>
    </row>
    <row r="36">
      <c r="A36" s="7" t="n">
        <v>33</v>
      </c>
      <c r="B36" s="8" t="inlineStr">
        <is>
          <t xml:space="preserve">        self._state = "normal"</t>
        </is>
      </c>
    </row>
    <row r="37">
      <c r="A37" s="9" t="n">
        <v>34</v>
      </c>
      <c r="B37" s="10" t="inlineStr">
        <is>
          <t xml:space="preserve">        self._hover = False</t>
        </is>
      </c>
    </row>
    <row r="38">
      <c r="A38" s="7" t="n">
        <v>35</v>
      </c>
      <c r="B38" s="8" t="inlineStr">
        <is>
          <t xml:space="preserve">        self._text = text</t>
        </is>
      </c>
    </row>
    <row r="39">
      <c r="A39" s="9" t="n">
        <v>36</v>
      </c>
      <c r="B39" s="10" t="inlineStr">
        <is>
          <t xml:space="preserve">        self._font = font or ("Microsoft YaHei", 10)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 xml:space="preserve">        # Auto-width: if not specified, measure text</t>
        </is>
      </c>
    </row>
    <row r="42">
      <c r="A42" s="7" t="n">
        <v>39</v>
      </c>
      <c r="B42" s="8" t="inlineStr">
        <is>
          <t xml:space="preserve">        if width is None:</t>
        </is>
      </c>
    </row>
    <row r="43">
      <c r="A43" s="9" t="n">
        <v>40</v>
      </c>
      <c r="B43" s="10" t="inlineStr">
        <is>
          <t xml:space="preserve">            tf = tkfont.Font(family=self._font[0], size=self._font[1])</t>
        </is>
      </c>
    </row>
    <row r="44">
      <c r="A44" s="7" t="n">
        <v>41</v>
      </c>
      <c r="B44" s="8" t="inlineStr">
        <is>
          <t xml:space="preserve">            text_w = tf.measure(text) + 30  # padding</t>
        </is>
      </c>
    </row>
    <row r="45">
      <c r="A45" s="9" t="n">
        <v>42</v>
      </c>
      <c r="B45" s="10" t="inlineStr">
        <is>
          <t xml:space="preserve">            width = max(text_w, 60)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    super().__init__(parent, width=width, height=height,</t>
        </is>
      </c>
    </row>
    <row r="48">
      <c r="A48" s="7" t="n">
        <v>45</v>
      </c>
      <c r="B48" s="8" t="inlineStr">
        <is>
          <t xml:space="preserve">                         highlightthickness=0, bd=0, **kwargs)</t>
        </is>
      </c>
    </row>
    <row r="49">
      <c r="A49" s="9" t="n">
        <v>46</v>
      </c>
      <c r="B49" s="10" t="inlineStr">
        <is>
          <t xml:space="preserve">        self.width = width</t>
        </is>
      </c>
    </row>
    <row r="50">
      <c r="A50" s="7" t="n">
        <v>47</v>
      </c>
      <c r="B50" s="8" t="inlineStr">
        <is>
          <t xml:space="preserve">        self.height = height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    self.bind("&lt;Button-1&gt;", self._on_click)</t>
        </is>
      </c>
    </row>
    <row r="53">
      <c r="A53" s="9" t="n">
        <v>50</v>
      </c>
      <c r="B53" s="10" t="inlineStr">
        <is>
          <t xml:space="preserve">        self.bind("&lt;ButtonRelease-1&gt;", self._on_release)</t>
        </is>
      </c>
    </row>
    <row r="54">
      <c r="A54" s="7" t="n">
        <v>51</v>
      </c>
      <c r="B54" s="8" t="inlineStr">
        <is>
          <t xml:space="preserve">        self.bind("&lt;Enter&gt;", self._on_enter)</t>
        </is>
      </c>
    </row>
    <row r="55">
      <c r="A55" s="9" t="n">
        <v>52</v>
      </c>
      <c r="B55" s="10" t="inlineStr">
        <is>
          <t xml:space="preserve">        self.bind("&lt;Leave&gt;", self._on_leave)</t>
        </is>
      </c>
    </row>
    <row r="56">
      <c r="A56" s="7" t="n">
        <v>53</v>
      </c>
      <c r="B56" s="8" t="inlineStr">
        <is>
          <t xml:space="preserve">        self.bind("&lt;Button-3&gt;", lambda e: None)  # 阻止右键菜单</t>
        </is>
      </c>
    </row>
    <row r="57">
      <c r="A57" s="9" t="n">
        <v>54</v>
      </c>
      <c r="B57" s="10" t="inlineStr"/>
    </row>
    <row r="58">
      <c r="A58" s="7" t="n">
        <v>55</v>
      </c>
      <c r="B58" s="8" t="inlineStr">
        <is>
          <t xml:space="preserve">        self._draw()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def _draw(self):</t>
        </is>
      </c>
    </row>
    <row r="61">
      <c r="A61" s="9" t="n">
        <v>58</v>
      </c>
      <c r="B61" s="10" t="inlineStr">
        <is>
          <t xml:space="preserve">        self.delete("all")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    if self._state == "disabled":</t>
        </is>
      </c>
    </row>
    <row r="64">
      <c r="A64" s="7" t="n">
        <v>61</v>
      </c>
      <c r="B64" s="8" t="inlineStr">
        <is>
          <t xml:space="preserve">            fill = self.disabled_color</t>
        </is>
      </c>
    </row>
    <row r="65">
      <c r="A65" s="9" t="n">
        <v>62</v>
      </c>
      <c r="B65" s="10" t="inlineStr">
        <is>
          <t xml:space="preserve">            text_fill = "#9e9e9e"</t>
        </is>
      </c>
    </row>
    <row r="66">
      <c r="A66" s="7" t="n">
        <v>63</v>
      </c>
      <c r="B66" s="8" t="inlineStr">
        <is>
          <t xml:space="preserve">        elif self._hover:</t>
        </is>
      </c>
    </row>
    <row r="67">
      <c r="A67" s="9" t="n">
        <v>64</v>
      </c>
      <c r="B67" s="10" t="inlineStr">
        <is>
          <t xml:space="preserve">            fill = self.hover_color</t>
        </is>
      </c>
    </row>
    <row r="68">
      <c r="A68" s="7" t="n">
        <v>65</v>
      </c>
      <c r="B68" s="8" t="inlineStr">
        <is>
          <t xml:space="preserve">            text_fill = self.fg_color</t>
        </is>
      </c>
    </row>
    <row r="69">
      <c r="A69" s="9" t="n">
        <v>66</v>
      </c>
      <c r="B69" s="10" t="inlineStr">
        <is>
          <t xml:space="preserve">        else:</t>
        </is>
      </c>
    </row>
    <row r="70">
      <c r="A70" s="7" t="n">
        <v>67</v>
      </c>
      <c r="B70" s="8" t="inlineStr">
        <is>
          <t xml:space="preserve">            fill = self.bg_color</t>
        </is>
      </c>
    </row>
    <row r="71">
      <c r="A71" s="9" t="n">
        <v>68</v>
      </c>
      <c r="B71" s="10" t="inlineStr">
        <is>
          <t xml:space="preserve">            text_fill = self.fg_color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    # 绘制圆角矩形 (使用 smooth polygon 近似)</t>
        </is>
      </c>
    </row>
    <row r="74">
      <c r="A74" s="7" t="n">
        <v>71</v>
      </c>
      <c r="B74" s="8" t="inlineStr">
        <is>
          <t xml:space="preserve">        r = self.radius</t>
        </is>
      </c>
    </row>
    <row r="75">
      <c r="A75" s="9" t="n">
        <v>72</v>
      </c>
      <c r="B75" s="10" t="inlineStr">
        <is>
          <t xml:space="preserve">        w, h = self.width, self.height</t>
        </is>
      </c>
    </row>
    <row r="76">
      <c r="A76" s="7" t="n">
        <v>73</v>
      </c>
      <c r="B76" s="8" t="inlineStr">
        <is>
          <t xml:space="preserve">        pts = [</t>
        </is>
      </c>
    </row>
    <row r="77">
      <c r="A77" s="9" t="n">
        <v>74</v>
      </c>
      <c r="B77" s="10" t="inlineStr">
        <is>
          <t xml:space="preserve">            r, 0,   w-r, 0,      # 上边</t>
        </is>
      </c>
    </row>
    <row r="78">
      <c r="A78" s="7" t="n">
        <v>75</v>
      </c>
      <c r="B78" s="8" t="inlineStr">
        <is>
          <t xml:space="preserve">            w, 0,   w, r,        # 右上角</t>
        </is>
      </c>
    </row>
    <row r="79">
      <c r="A79" s="9" t="n">
        <v>76</v>
      </c>
      <c r="B79" s="10" t="inlineStr">
        <is>
          <t xml:space="preserve">            w, h-r, w, h,        # 右边</t>
        </is>
      </c>
    </row>
    <row r="80">
      <c r="A80" s="7" t="n">
        <v>77</v>
      </c>
      <c r="B80" s="8" t="inlineStr">
        <is>
          <t xml:space="preserve">            w-r, h, r, h,        # 下边</t>
        </is>
      </c>
    </row>
    <row r="81">
      <c r="A81" s="9" t="n">
        <v>78</v>
      </c>
      <c r="B81" s="10" t="inlineStr">
        <is>
          <t xml:space="preserve">            0, h,   0, h-r,      # 左下角</t>
        </is>
      </c>
    </row>
    <row r="82">
      <c r="A82" s="7" t="n">
        <v>79</v>
      </c>
      <c r="B82" s="8" t="inlineStr">
        <is>
          <t xml:space="preserve">            0, r,   0, 0,        # 左边</t>
        </is>
      </c>
    </row>
    <row r="83">
      <c r="A83" s="9" t="n">
        <v>80</v>
      </c>
      <c r="B83" s="10" t="inlineStr">
        <is>
          <t xml:space="preserve">        ]</t>
        </is>
      </c>
    </row>
    <row r="84">
      <c r="A84" s="7" t="n">
        <v>81</v>
      </c>
      <c r="B84" s="8" t="inlineStr">
        <is>
          <t xml:space="preserve">        self.create_polygon(pts, smooth=True, fill=fill, outline="")</t>
        </is>
      </c>
    </row>
    <row r="85">
      <c r="A85" s="9" t="n">
        <v>82</v>
      </c>
      <c r="B85" s="10" t="inlineStr"/>
    </row>
    <row r="86">
      <c r="A86" s="7" t="n">
        <v>83</v>
      </c>
      <c r="B86" s="8" t="inlineStr">
        <is>
          <t xml:space="preserve">        # 绘制文字 (居中)</t>
        </is>
      </c>
    </row>
    <row r="87">
      <c r="A87" s="9" t="n">
        <v>84</v>
      </c>
      <c r="B87" s="10" t="inlineStr">
        <is>
          <t xml:space="preserve">        self.create_text(w//2, h//2, text=self._text,</t>
        </is>
      </c>
    </row>
    <row r="88">
      <c r="A88" s="7" t="n">
        <v>85</v>
      </c>
      <c r="B88" s="8" t="inlineStr">
        <is>
          <t xml:space="preserve">                         fill=text_fill, font=self._font, anchor="center")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def _on_click(self, event):</t>
        </is>
      </c>
    </row>
    <row r="91">
      <c r="A91" s="9" t="n">
        <v>88</v>
      </c>
      <c r="B91" s="10" t="inlineStr">
        <is>
          <t xml:space="preserve">        if self._state == "normal" and self.command:</t>
        </is>
      </c>
    </row>
    <row r="92">
      <c r="A92" s="7" t="n">
        <v>89</v>
      </c>
      <c r="B92" s="8" t="inlineStr">
        <is>
          <t xml:space="preserve">            self.command()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  def _on_release(self, event):</t>
        </is>
      </c>
    </row>
    <row r="95">
      <c r="A95" s="9" t="n">
        <v>92</v>
      </c>
      <c r="B95" s="10" t="inlineStr">
        <is>
          <t xml:space="preserve">        pass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 xml:space="preserve">    def _on_enter(self, event):</t>
        </is>
      </c>
    </row>
    <row r="98">
      <c r="A98" s="7" t="n">
        <v>95</v>
      </c>
      <c r="B98" s="8" t="inlineStr">
        <is>
          <t xml:space="preserve">        if self._state == "normal":</t>
        </is>
      </c>
    </row>
    <row r="99">
      <c r="A99" s="9" t="n">
        <v>96</v>
      </c>
      <c r="B99" s="10" t="inlineStr">
        <is>
          <t xml:space="preserve">            self._hover = True</t>
        </is>
      </c>
    </row>
    <row r="100">
      <c r="A100" s="7" t="n">
        <v>97</v>
      </c>
      <c r="B100" s="8" t="inlineStr">
        <is>
          <t xml:space="preserve">            self._draw()</t>
        </is>
      </c>
    </row>
    <row r="101">
      <c r="A101" s="9" t="n">
        <v>98</v>
      </c>
      <c r="B101" s="10" t="inlineStr"/>
    </row>
    <row r="102">
      <c r="A102" s="7" t="n">
        <v>99</v>
      </c>
      <c r="B102" s="8" t="inlineStr">
        <is>
          <t xml:space="preserve">    def _on_leave(self, event):</t>
        </is>
      </c>
    </row>
    <row r="103">
      <c r="A103" s="9" t="n">
        <v>100</v>
      </c>
      <c r="B103" s="10" t="inlineStr">
        <is>
          <t xml:space="preserve">        self._hover = False</t>
        </is>
      </c>
    </row>
    <row r="104">
      <c r="A104" s="7" t="n">
        <v>101</v>
      </c>
      <c r="B104" s="8" t="inlineStr">
        <is>
          <t xml:space="preserve">        self._draw()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 xml:space="preserve">    def config(self, **kwargs):</t>
        </is>
      </c>
    </row>
    <row r="107">
      <c r="A107" s="9" t="n">
        <v>104</v>
      </c>
      <c r="B107" s="10" t="inlineStr">
        <is>
          <t xml:space="preserve">        if "text" in kwargs:</t>
        </is>
      </c>
    </row>
    <row r="108">
      <c r="A108" s="7" t="n">
        <v>105</v>
      </c>
      <c r="B108" s="8" t="inlineStr">
        <is>
          <t xml:space="preserve">            self._text = kwargs["text"]</t>
        </is>
      </c>
    </row>
    <row r="109">
      <c r="A109" s="9" t="n">
        <v>106</v>
      </c>
      <c r="B109" s="10" t="inlineStr">
        <is>
          <t xml:space="preserve">        if "state" in kwargs:</t>
        </is>
      </c>
    </row>
    <row r="110">
      <c r="A110" s="7" t="n">
        <v>107</v>
      </c>
      <c r="B110" s="8" t="inlineStr">
        <is>
          <t xml:space="preserve">            self._state = kwargs["state"]</t>
        </is>
      </c>
    </row>
    <row r="111">
      <c r="A111" s="9" t="n">
        <v>108</v>
      </c>
      <c r="B111" s="10" t="inlineStr">
        <is>
          <t xml:space="preserve">        if "command" in kwargs:</t>
        </is>
      </c>
    </row>
    <row r="112">
      <c r="A112" s="7" t="n">
        <v>109</v>
      </c>
      <c r="B112" s="8" t="inlineStr">
        <is>
          <t xml:space="preserve">            self.command = kwargs["command"]</t>
        </is>
      </c>
    </row>
    <row r="113">
      <c r="A113" s="9" t="n">
        <v>110</v>
      </c>
      <c r="B113" s="10" t="inlineStr">
        <is>
          <t xml:space="preserve">        if "bg" in kwargs or "bg_color" in kwargs:</t>
        </is>
      </c>
    </row>
    <row r="114">
      <c r="A114" s="7" t="n">
        <v>111</v>
      </c>
      <c r="B114" s="8" t="inlineStr">
        <is>
          <t xml:space="preserve">            self.bg_color = kwargs.get("bg_color", kwargs.get("bg", self.bg_color))</t>
        </is>
      </c>
    </row>
    <row r="115">
      <c r="A115" s="9" t="n">
        <v>112</v>
      </c>
      <c r="B115" s="10" t="inlineStr">
        <is>
          <t xml:space="preserve">        self._draw()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def configure(self, **kwargs):</t>
        </is>
      </c>
    </row>
    <row r="118">
      <c r="A118" s="7" t="n">
        <v>115</v>
      </c>
      <c r="B118" s="8" t="inlineStr">
        <is>
          <t xml:space="preserve">        self.config(**kwargs)</t>
        </is>
      </c>
    </row>
    <row r="119">
      <c r="A119" s="9" t="n">
        <v>116</v>
      </c>
      <c r="B119" s="10" t="inlineStr"/>
    </row>
    <row r="120">
      <c r="A120" s="7" t="n">
        <v>117</v>
      </c>
      <c r="B120" s="8" t="inlineStr">
        <is>
          <t xml:space="preserve">    def set_state(self, state):</t>
        </is>
      </c>
    </row>
    <row r="121">
      <c r="A121" s="9" t="n">
        <v>118</v>
      </c>
      <c r="B121" s="10" t="inlineStr">
        <is>
          <t xml:space="preserve">        self._state = state</t>
        </is>
      </c>
    </row>
    <row r="122">
      <c r="A122" s="7" t="n">
        <v>119</v>
      </c>
      <c r="B122" s="8" t="inlineStr">
        <is>
          <t xml:space="preserve">        self._draw()</t>
        </is>
      </c>
    </row>
    <row r="123">
      <c r="A123" s="9" t="n">
        <v>120</v>
      </c>
      <c r="B123" s="10" t="inlineStr"/>
    </row>
    <row r="124">
      <c r="A124" s="7" t="n">
        <v>121</v>
      </c>
      <c r="B124" s="8" t="inlineStr">
        <is>
          <t xml:space="preserve">    @property</t>
        </is>
      </c>
    </row>
    <row r="125">
      <c r="A125" s="9" t="n">
        <v>122</v>
      </c>
      <c r="B125" s="10" t="inlineStr">
        <is>
          <t xml:space="preserve">    def text(self):</t>
        </is>
      </c>
    </row>
    <row r="126">
      <c r="A126" s="7" t="n">
        <v>123</v>
      </c>
      <c r="B126" s="8" t="inlineStr">
        <is>
          <t xml:space="preserve">        return self._text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 xml:space="preserve">    @text.setter</t>
        </is>
      </c>
    </row>
    <row r="129">
      <c r="A129" s="9" t="n">
        <v>126</v>
      </c>
      <c r="B129" s="10" t="inlineStr">
        <is>
          <t xml:space="preserve">    def text(self, value):</t>
        </is>
      </c>
    </row>
    <row r="130">
      <c r="A130" s="7" t="n">
        <v>127</v>
      </c>
      <c r="B130" s="8" t="inlineStr">
        <is>
          <t xml:space="preserve">        self._text = value</t>
        </is>
      </c>
    </row>
    <row r="131">
      <c r="A131" s="9" t="n">
        <v>128</v>
      </c>
      <c r="B131" s="10" t="inlineStr">
        <is>
          <t xml:space="preserve">        self._draw()</t>
        </is>
      </c>
    </row>
    <row r="132">
      <c r="A132" s="7" t="n">
        <v>129</v>
      </c>
      <c r="B132" s="8" t="inlineStr"/>
    </row>
    <row r="133">
      <c r="A133" s="9" t="n">
        <v>130</v>
      </c>
      <c r="B133" s="10" t="inlineStr"/>
    </row>
    <row r="134">
      <c r="A134" s="7" t="n">
        <v>131</v>
      </c>
      <c r="B134" s="8" t="inlineStr">
        <is>
          <t>def rdbtn(parent, text="", command=None, width=100, height=32, **kw):</t>
        </is>
      </c>
    </row>
    <row r="135">
      <c r="A135" s="9" t="n">
        <v>132</v>
      </c>
      <c r="B135" s="10" t="inlineStr">
        <is>
          <t xml:space="preserve">    """快捷工厂函数 — 返回 RoundedButton 实例"""</t>
        </is>
      </c>
    </row>
    <row r="136">
      <c r="A136" s="7" t="n">
        <v>133</v>
      </c>
      <c r="B136" s="8" t="inlineStr">
        <is>
          <t xml:space="preserve">    return RoundedButton(parent, text=text, command=command, width=width, height=height, **kw)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ui\settings_page.py</t>
        </is>
      </c>
      <c r="C1" s="5" t="inlineStr">
        <is>
          <t>行数: 498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 xml:space="preserve"> """</t>
        </is>
      </c>
    </row>
    <row r="5">
      <c r="A5" s="9" t="n">
        <v>2</v>
      </c>
      <c r="B5" s="10" t="inlineStr">
        <is>
          <t>树剪 — 统一设置页面 v11.1</t>
        </is>
      </c>
    </row>
    <row r="6">
      <c r="A6" s="7" t="n">
        <v>3</v>
      </c>
      <c r="B6" s="8" t="inlineStr">
        <is>
          <t>动态模型权重 + DeepSeek AI 助手 + 延迟加载优化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sys, json, time, threading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import tkinter as tk</t>
        </is>
      </c>
    </row>
    <row r="11">
      <c r="A11" s="9" t="n">
        <v>8</v>
      </c>
      <c r="B11" s="10" t="inlineStr">
        <is>
          <t>from tkinter import ttk, messagebox, scrolledtext</t>
        </is>
      </c>
    </row>
    <row r="12">
      <c r="A12" s="7" t="n">
        <v>9</v>
      </c>
      <c r="B12" s="8" t="inlineStr">
        <is>
          <t>from ui.rounded_button import RoundedButton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# ttkbootstrap 可选导入</t>
        </is>
      </c>
    </row>
    <row r="15">
      <c r="A15" s="9" t="n">
        <v>12</v>
      </c>
      <c r="B15" s="10" t="inlineStr">
        <is>
          <t>try:</t>
        </is>
      </c>
    </row>
    <row r="16">
      <c r="A16" s="7" t="n">
        <v>13</v>
      </c>
      <c r="B16" s="8" t="inlineStr">
        <is>
          <t xml:space="preserve">    import ttkbootstrap as tb</t>
        </is>
      </c>
    </row>
    <row r="17">
      <c r="A17" s="9" t="n">
        <v>14</v>
      </c>
      <c r="B17" s="10" t="inlineStr">
        <is>
          <t xml:space="preserve">    _HAS_BOOTSTRAP = True</t>
        </is>
      </c>
    </row>
    <row r="18">
      <c r="A18" s="7" t="n">
        <v>15</v>
      </c>
      <c r="B18" s="8" t="inlineStr">
        <is>
          <t>except ImportError:</t>
        </is>
      </c>
    </row>
    <row r="19">
      <c r="A19" s="9" t="n">
        <v>16</v>
      </c>
      <c r="B19" s="10" t="inlineStr">
        <is>
          <t xml:space="preserve">    _HAS_BOOTSTRAP = False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/>
    </row>
    <row r="22">
      <c r="A22" s="7" t="n">
        <v>19</v>
      </c>
      <c r="B22" s="8" t="inlineStr">
        <is>
          <t>class SettingsPage:</t>
        </is>
      </c>
    </row>
    <row r="23">
      <c r="A23" s="9" t="n">
        <v>20</v>
      </c>
      <c r="B23" s="10" t="inlineStr">
        <is>
          <t xml:space="preserve">    """统一设置页面 — 独立窗口 (v11.1 延迟加载)"""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 xml:space="preserve">    def __init__(self, app):</t>
        </is>
      </c>
    </row>
    <row r="26">
      <c r="A26" s="7" t="n">
        <v>23</v>
      </c>
      <c r="B26" s="8" t="inlineStr">
        <is>
          <t xml:space="preserve">        self.app = app</t>
        </is>
      </c>
    </row>
    <row r="27">
      <c r="A27" s="9" t="n">
        <v>24</v>
      </c>
      <c r="B27" s="10" t="inlineStr">
        <is>
          <t xml:space="preserve">        self.top = tk.Toplevel(app.root)</t>
        </is>
      </c>
    </row>
    <row r="28">
      <c r="A28" s="7" t="n">
        <v>25</v>
      </c>
      <c r="B28" s="8" t="inlineStr">
        <is>
          <t xml:space="preserve">        self.top.title("系统设置 / Settings — 树剪 TreeCut v11.1")</t>
        </is>
      </c>
    </row>
    <row r="29">
      <c r="A29" s="9" t="n">
        <v>26</v>
      </c>
      <c r="B29" s="10" t="inlineStr">
        <is>
          <t xml:space="preserve">        self.top.geometry("780x720")</t>
        </is>
      </c>
    </row>
    <row r="30">
      <c r="A30" s="7" t="n">
        <v>27</v>
      </c>
      <c r="B30" s="8" t="inlineStr">
        <is>
          <t xml:space="preserve">        self.top.resizable(True, True)</t>
        </is>
      </c>
    </row>
    <row r="31">
      <c r="A31" s="9" t="n">
        <v>28</v>
      </c>
      <c r="B31" s="10" t="inlineStr">
        <is>
          <t xml:space="preserve">        self.top.minsize(650, 580)</t>
        </is>
      </c>
    </row>
    <row r="32">
      <c r="A32" s="7" t="n">
        <v>29</v>
      </c>
      <c r="B32" s="8" t="inlineStr">
        <is>
          <t xml:space="preserve">        self._center_window()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 xml:space="preserve">        # 延迟加载追踪</t>
        </is>
      </c>
    </row>
    <row r="35">
      <c r="A35" s="9" t="n">
        <v>32</v>
      </c>
      <c r="B35" s="10" t="inlineStr">
        <is>
          <t xml:space="preserve">        self._tab_built = {}</t>
        </is>
      </c>
    </row>
    <row r="36">
      <c r="A36" s="7" t="n">
        <v>33</v>
      </c>
      <c r="B36" s="8" t="inlineStr">
        <is>
          <t xml:space="preserve">        self._tab_loading = {}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 xml:space="preserve">        self._build()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 xml:space="preserve">    def _center_window(self):</t>
        </is>
      </c>
    </row>
    <row r="41">
      <c r="A41" s="9" t="n">
        <v>38</v>
      </c>
      <c r="B41" s="10" t="inlineStr">
        <is>
          <t xml:space="preserve">        self.top.update_idletasks()</t>
        </is>
      </c>
    </row>
    <row r="42">
      <c r="A42" s="7" t="n">
        <v>39</v>
      </c>
      <c r="B42" s="8" t="inlineStr">
        <is>
          <t xml:space="preserve">        sw = self.top.winfo_screenwidth()</t>
        </is>
      </c>
    </row>
    <row r="43">
      <c r="A43" s="9" t="n">
        <v>40</v>
      </c>
      <c r="B43" s="10" t="inlineStr">
        <is>
          <t xml:space="preserve">        sh = self.top.winfo_screenheight()</t>
        </is>
      </c>
    </row>
    <row r="44">
      <c r="A44" s="7" t="n">
        <v>41</v>
      </c>
      <c r="B44" s="8" t="inlineStr">
        <is>
          <t xml:space="preserve">        w, h = 780, 720</t>
        </is>
      </c>
    </row>
    <row r="45">
      <c r="A45" s="9" t="n">
        <v>42</v>
      </c>
      <c r="B45" s="10" t="inlineStr">
        <is>
          <t xml:space="preserve">        self.top.geometry(f"{w}x{h}+{(sw-w)//2}+{(sh-620)//3}")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# ════════════════════════════════════════════════</t>
        </is>
      </c>
    </row>
    <row r="48">
      <c r="A48" s="7" t="n">
        <v>45</v>
      </c>
      <c r="B48" s="8" t="inlineStr">
        <is>
          <t xml:space="preserve">    # 主框架 — 延迟加载</t>
        </is>
      </c>
    </row>
    <row r="49">
      <c r="A49" s="9" t="n">
        <v>46</v>
      </c>
      <c r="B49" s="10" t="inlineStr">
        <is>
          <t xml:space="preserve">    # ════════════════════════════════════════════════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def _build(self):</t>
        </is>
      </c>
    </row>
    <row r="52">
      <c r="A52" s="7" t="n">
        <v>49</v>
      </c>
      <c r="B52" s="8" t="inlineStr">
        <is>
          <t xml:space="preserve">        """只创建 Notebook 框架，标签页内容延迟构建"""</t>
        </is>
      </c>
    </row>
    <row r="53">
      <c r="A53" s="9" t="n">
        <v>50</v>
      </c>
      <c r="B53" s="10" t="inlineStr">
        <is>
          <t xml:space="preserve">        self.nb = ttk.Notebook(self.top)</t>
        </is>
      </c>
    </row>
    <row r="54">
      <c r="A54" s="7" t="n">
        <v>51</v>
      </c>
      <c r="B54" s="8" t="inlineStr">
        <is>
          <t xml:space="preserve">        self.nb.pack(fill="both", expand=True, padx=6, pady=6)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    # 预建两个标签页的占位 frame（不填充内容）</t>
        </is>
      </c>
    </row>
    <row r="57">
      <c r="A57" s="9" t="n">
        <v>54</v>
      </c>
      <c r="B57" s="10" t="inlineStr">
        <is>
          <t xml:space="preserve">        self._tab_ai_placeholder = ttk.Frame(self.nb, padding=15)</t>
        </is>
      </c>
    </row>
    <row r="58">
      <c r="A58" s="7" t="n">
        <v>55</v>
      </c>
      <c r="B58" s="8" t="inlineStr">
        <is>
          <t xml:space="preserve">        self.nb.add(self._tab_ai_placeholder, text="AI模型配置")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    self._tab_chat_placeholder = ttk.Frame(self.nb, padding=15)</t>
        </is>
      </c>
    </row>
    <row r="61">
      <c r="A61" s="9" t="n">
        <v>58</v>
      </c>
      <c r="B61" s="10" t="inlineStr">
        <is>
          <t xml:space="preserve">        self.nb.add(self._tab_chat_placeholder, text="AI 助手")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    # 只在用户切换标签页时才构建内容</t>
        </is>
      </c>
    </row>
    <row r="64">
      <c r="A64" s="7" t="n">
        <v>61</v>
      </c>
      <c r="B64" s="8" t="inlineStr">
        <is>
          <t xml:space="preserve">        self.nb.bind("&lt;&lt;NotebookTabChanged&gt;&gt;", self._on_tab_changed)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      # 立即构建第一个（默认选中的）标签页</t>
        </is>
      </c>
    </row>
    <row r="67">
      <c r="A67" s="9" t="n">
        <v>64</v>
      </c>
      <c r="B67" s="10" t="inlineStr">
        <is>
          <t xml:space="preserve">        self.top.after(10, self._ensure_tab_built)</t>
        </is>
      </c>
    </row>
    <row r="68">
      <c r="A68" s="7" t="n">
        <v>65</v>
      </c>
      <c r="B68" s="8" t="inlineStr"/>
    </row>
    <row r="69">
      <c r="A69" s="9" t="n">
        <v>66</v>
      </c>
      <c r="B69" s="10" t="inlineStr">
        <is>
          <t xml:space="preserve">    def _on_tab_changed(self, event=None):</t>
        </is>
      </c>
    </row>
    <row r="70">
      <c r="A70" s="7" t="n">
        <v>67</v>
      </c>
      <c r="B70" s="8" t="inlineStr">
        <is>
          <t xml:space="preserve">        """标签页切换时，延迟构建目标标签页"""</t>
        </is>
      </c>
    </row>
    <row r="71">
      <c r="A71" s="9" t="n">
        <v>68</v>
      </c>
      <c r="B71" s="10" t="inlineStr">
        <is>
          <t xml:space="preserve">        self.top.after(10, self._ensure_tab_built)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def _ensure_tab_built(self):</t>
        </is>
      </c>
    </row>
    <row r="74">
      <c r="A74" s="7" t="n">
        <v>71</v>
      </c>
      <c r="B74" s="8" t="inlineStr">
        <is>
          <t xml:space="preserve">        """确保当前标签页已构建"""</t>
        </is>
      </c>
    </row>
    <row r="75">
      <c r="A75" s="9" t="n">
        <v>72</v>
      </c>
      <c r="B75" s="10" t="inlineStr">
        <is>
          <t xml:space="preserve">        try:</t>
        </is>
      </c>
    </row>
    <row r="76">
      <c r="A76" s="7" t="n">
        <v>73</v>
      </c>
      <c r="B76" s="8" t="inlineStr">
        <is>
          <t xml:space="preserve">            idx = self.nb.index(self.nb.select())</t>
        </is>
      </c>
    </row>
    <row r="77">
      <c r="A77" s="9" t="n">
        <v>74</v>
      </c>
      <c r="B77" s="10" t="inlineStr">
        <is>
          <t xml:space="preserve">            tab_name = self.nb.tab(idx, "text")</t>
        </is>
      </c>
    </row>
    <row r="78">
      <c r="A78" s="7" t="n">
        <v>75</v>
      </c>
      <c r="B78" s="8" t="inlineStr">
        <is>
          <t xml:space="preserve">        except Exception:</t>
        </is>
      </c>
    </row>
    <row r="79">
      <c r="A79" s="9" t="n">
        <v>76</v>
      </c>
      <c r="B79" s="10" t="inlineStr">
        <is>
          <t xml:space="preserve">            return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 xml:space="preserve">        if tab_name == "AI模型配置" and not self._tab_built.get("ai"):</t>
        </is>
      </c>
    </row>
    <row r="82">
      <c r="A82" s="7" t="n">
        <v>79</v>
      </c>
      <c r="B82" s="8" t="inlineStr">
        <is>
          <t xml:space="preserve">            self._tab_built["ai"] = True</t>
        </is>
      </c>
    </row>
    <row r="83">
      <c r="A83" s="9" t="n">
        <v>80</v>
      </c>
      <c r="B83" s="10" t="inlineStr">
        <is>
          <t xml:space="preserve">            self._build_ai_tab_content()</t>
        </is>
      </c>
    </row>
    <row r="84">
      <c r="A84" s="7" t="n">
        <v>81</v>
      </c>
      <c r="B84" s="8" t="inlineStr">
        <is>
          <t xml:space="preserve">        elif tab_name == "AI 助手" and not self._tab_built.get("chat"):</t>
        </is>
      </c>
    </row>
    <row r="85">
      <c r="A85" s="9" t="n">
        <v>82</v>
      </c>
      <c r="B85" s="10" t="inlineStr">
        <is>
          <t xml:space="preserve">            self._tab_built["chat"] = True</t>
        </is>
      </c>
    </row>
    <row r="86">
      <c r="A86" s="7" t="n">
        <v>83</v>
      </c>
      <c r="B86" s="8" t="inlineStr">
        <is>
          <t xml:space="preserve">            self._build_chat_tab_content()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>
        <is>
          <t xml:space="preserve">    # ════════════════════════════════════════════════</t>
        </is>
      </c>
    </row>
    <row r="89">
      <c r="A89" s="9" t="n">
        <v>86</v>
      </c>
      <c r="B89" s="10" t="inlineStr">
        <is>
          <t xml:space="preserve">    # Tab 1: AI 模型配置 (在后台线程检测模型)</t>
        </is>
      </c>
    </row>
    <row r="90">
      <c r="A90" s="7" t="n">
        <v>87</v>
      </c>
      <c r="B90" s="8" t="inlineStr">
        <is>
          <t xml:space="preserve">    # ════════════════════════════════════════════════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 xml:space="preserve">    def _build_ai_tab_content(self):</t>
        </is>
      </c>
    </row>
    <row r="93">
      <c r="A93" s="9" t="n">
        <v>90</v>
      </c>
      <c r="B93" s="10" t="inlineStr">
        <is>
          <t xml:space="preserve">        """在占位 frame 中构建 AI 配置标签页的全部内容"""</t>
        </is>
      </c>
    </row>
    <row r="94">
      <c r="A94" s="7" t="n">
        <v>91</v>
      </c>
      <c r="B94" s="8" t="inlineStr">
        <is>
          <t xml:space="preserve">        tab = self._tab_ai_placeholder</t>
        </is>
      </c>
    </row>
    <row r="95">
      <c r="A95" s="9" t="n">
        <v>92</v>
      </c>
      <c r="B95" s="10" t="inlineStr"/>
    </row>
    <row r="96">
      <c r="A96" s="7" t="n">
        <v>93</v>
      </c>
      <c r="B96" s="8" t="inlineStr">
        <is>
          <t xml:space="preserve">        # ── DeepSeek API ──</t>
        </is>
      </c>
    </row>
    <row r="97">
      <c r="A97" s="9" t="n">
        <v>94</v>
      </c>
      <c r="B97" s="10" t="inlineStr">
        <is>
          <t xml:space="preserve">        ds_frame = ttk.LabelFrame(tab, text="DeepSeek API 配置", padding=10)</t>
        </is>
      </c>
    </row>
    <row r="98">
      <c r="A98" s="7" t="n">
        <v>95</v>
      </c>
      <c r="B98" s="8" t="inlineStr">
        <is>
          <t xml:space="preserve">        ds_frame.pack(fill="x", pady=5)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 xml:space="preserve">        ttk.Label(ds_frame, text="API Key:").grid(row=0, column=0, sticky="w")</t>
        </is>
      </c>
    </row>
    <row r="101">
      <c r="A101" s="9" t="n">
        <v>98</v>
      </c>
      <c r="B101" s="10" t="inlineStr">
        <is>
          <t xml:space="preserve">        _existing_key = os.environ.get("DEEPSEEK_API_KEY", "")</t>
        </is>
      </c>
    </row>
    <row r="102">
      <c r="A102" s="7" t="n">
        <v>99</v>
      </c>
      <c r="B102" s="8" t="inlineStr">
        <is>
          <t xml:space="preserve">        if not _existing_key:</t>
        </is>
      </c>
    </row>
    <row r="103">
      <c r="A103" s="9" t="n">
        <v>100</v>
      </c>
      <c r="B103" s="10" t="inlineStr">
        <is>
          <t xml:space="preserve">            try:</t>
        </is>
      </c>
    </row>
    <row r="104">
      <c r="A104" s="7" t="n">
        <v>101</v>
      </c>
      <c r="B104" s="8" t="inlineStr">
        <is>
          <t xml:space="preserve">                from utils.security import safe_read_env</t>
        </is>
      </c>
    </row>
    <row r="105">
      <c r="A105" s="9" t="n">
        <v>102</v>
      </c>
      <c r="B105" s="10" t="inlineStr">
        <is>
          <t xml:space="preserve">                _env = safe_read_env(Path(__file__).parent.parent / ".env")</t>
        </is>
      </c>
    </row>
    <row r="106">
      <c r="A106" s="7" t="n">
        <v>103</v>
      </c>
      <c r="B106" s="8" t="inlineStr">
        <is>
          <t xml:space="preserve">                _existing_key = _env.get("DEEPSEEK_API_KEY", "")</t>
        </is>
      </c>
    </row>
    <row r="107">
      <c r="A107" s="9" t="n">
        <v>104</v>
      </c>
      <c r="B107" s="10" t="inlineStr">
        <is>
          <t xml:space="preserve">            except Exception:</t>
        </is>
      </c>
    </row>
    <row r="108">
      <c r="A108" s="7" t="n">
        <v>105</v>
      </c>
      <c r="B108" s="8" t="inlineStr">
        <is>
          <t xml:space="preserve">                _existing_key = ""</t>
        </is>
      </c>
    </row>
    <row r="109">
      <c r="A109" s="9" t="n">
        <v>106</v>
      </c>
      <c r="B109" s="10" t="inlineStr">
        <is>
          <t xml:space="preserve">        self.ds_key_var = tk.StringVar(value=_existing_key)</t>
        </is>
      </c>
    </row>
    <row r="110">
      <c r="A110" s="7" t="n">
        <v>107</v>
      </c>
      <c r="B110" s="8" t="inlineStr">
        <is>
          <t xml:space="preserve">        tk.Entry(ds_frame, textvariable=self.ds_key_var, width=45, show="*").grid(</t>
        </is>
      </c>
    </row>
    <row r="111">
      <c r="A111" s="9" t="n">
        <v>108</v>
      </c>
      <c r="B111" s="10" t="inlineStr">
        <is>
          <t xml:space="preserve">            row=0, column=1, padx=5)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 xml:space="preserve">        ttk.Label(ds_frame, text="模型:").grid(row=1, column=0, sticky="w", pady=5)</t>
        </is>
      </c>
    </row>
    <row r="114">
      <c r="A114" s="7" t="n">
        <v>111</v>
      </c>
      <c r="B114" s="8" t="inlineStr">
        <is>
          <t xml:space="preserve">        self.ds_model_var = tk.StringVar(value="deepseek-chat")</t>
        </is>
      </c>
    </row>
    <row r="115">
      <c r="A115" s="9" t="n">
        <v>112</v>
      </c>
      <c r="B115" s="10" t="inlineStr">
        <is>
          <t xml:space="preserve">        ttk.Combobox(ds_frame, textvariable=self.ds_model_var,</t>
        </is>
      </c>
    </row>
    <row r="116">
      <c r="A116" s="7" t="n">
        <v>113</v>
      </c>
      <c r="B116" s="8" t="inlineStr">
        <is>
          <t xml:space="preserve">                     values=["deepseek-chat", "deepseek-coder"], width=18).grid(</t>
        </is>
      </c>
    </row>
    <row r="117">
      <c r="A117" s="9" t="n">
        <v>114</v>
      </c>
      <c r="B117" s="10" t="inlineStr">
        <is>
          <t xml:space="preserve">            row=1, column=1, padx=5, sticky="w")</t>
        </is>
      </c>
    </row>
    <row r="118">
      <c r="A118" s="7" t="n">
        <v>115</v>
      </c>
      <c r="B118" s="8" t="inlineStr"/>
    </row>
    <row r="119">
      <c r="A119" s="9" t="n">
        <v>116</v>
      </c>
      <c r="B119" s="10" t="inlineStr">
        <is>
          <t xml:space="preserve">        ds_btn = ttk.Frame(ds_frame)</t>
        </is>
      </c>
    </row>
    <row r="120">
      <c r="A120" s="7" t="n">
        <v>117</v>
      </c>
      <c r="B120" s="8" t="inlineStr">
        <is>
          <t xml:space="preserve">        ds_btn.grid(row=2, column=0, columnspan=2, pady=8)</t>
        </is>
      </c>
    </row>
    <row r="121">
      <c r="A121" s="9" t="n">
        <v>118</v>
      </c>
      <c r="B121" s="10" t="inlineStr">
        <is>
          <t xml:space="preserve">        RoundedButton(ds_btn, text="测试连接", command=self._test_deepseek, width=100, height=34, bg_color="#e0e0e0", fg_color="#212529", hover_color="#d0e0ff", radius=10).pack(side="left", padx=4)</t>
        </is>
      </c>
    </row>
    <row r="122">
      <c r="A122" s="7" t="n">
        <v>119</v>
      </c>
      <c r="B122" s="8" t="inlineStr">
        <is>
          <t xml:space="preserve">        RoundedButton(ds_btn, text="保存配置", command=self._save_ds_config, width=100, height=34, bg_color="#e0e0e0", fg_color="#212529", hover_color="#d0e0ff", radius=10).pack(side="left", padx=4)</t>
        </is>
      </c>
    </row>
    <row r="123">
      <c r="A123" s="9" t="n">
        <v>120</v>
      </c>
      <c r="B123" s="10" t="inlineStr">
        <is>
          <t xml:space="preserve">        self.ds_status = ttk.Label(ds_btn, text="", foreground="#4a7c4f")</t>
        </is>
      </c>
    </row>
    <row r="124">
      <c r="A124" s="7" t="n">
        <v>121</v>
      </c>
      <c r="B124" s="8" t="inlineStr">
        <is>
          <t xml:space="preserve">        self.ds_status.pack(side="left", padx=12)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    # ── 动态模型权重 ──</t>
        </is>
      </c>
    </row>
    <row r="127">
      <c r="A127" s="9" t="n">
        <v>124</v>
      </c>
      <c r="B127" s="10" t="inlineStr">
        <is>
          <t xml:space="preserve">        w_frame = ttk.LabelFrame(tab, text="模型融合权重配置 (动态识别)", padding=10)</t>
        </is>
      </c>
    </row>
    <row r="128">
      <c r="A128" s="7" t="n">
        <v>125</v>
      </c>
      <c r="B128" s="8" t="inlineStr">
        <is>
          <t xml:space="preserve">        w_frame.pack(fill="x", pady=8)</t>
        </is>
      </c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 xml:space="preserve">        self.weight_vars = {}</t>
        </is>
      </c>
    </row>
    <row r="131">
      <c r="A131" s="9" t="n">
        <v>128</v>
      </c>
      <c r="B131" s="10" t="inlineStr">
        <is>
          <t xml:space="preserve">        self.model_info_labels = {}</t>
        </is>
      </c>
    </row>
    <row r="132">
      <c r="A132" s="7" t="n">
        <v>129</v>
      </c>
      <c r="B132" s="8" t="inlineStr"/>
    </row>
    <row r="133">
      <c r="A133" s="9" t="n">
        <v>130</v>
      </c>
      <c r="B133" s="10" t="inlineStr">
        <is>
          <t xml:space="preserve">        # 控制栏</t>
        </is>
      </c>
    </row>
    <row r="134">
      <c r="A134" s="7" t="n">
        <v>131</v>
      </c>
      <c r="B134" s="8" t="inlineStr">
        <is>
          <t xml:space="preserve">        ctrl = ttk.Frame(w_frame)</t>
        </is>
      </c>
    </row>
    <row r="135">
      <c r="A135" s="9" t="n">
        <v>132</v>
      </c>
      <c r="B135" s="10" t="inlineStr">
        <is>
          <t xml:space="preserve">        ctrl.pack(fill="x", pady=(0, 6))</t>
        </is>
      </c>
    </row>
    <row r="136">
      <c r="A136" s="7" t="n">
        <v>133</v>
      </c>
      <c r="B136" s="8" t="inlineStr">
        <is>
          <t xml:space="preserve">        RoundedButton(ctrl, text="刷新模型列表", command=self._refresh_model_list_async</t>
        </is>
      </c>
    </row>
    <row r="137">
      <c r="A137" s="9" t="n">
        <v>134</v>
      </c>
      <c r="B137" s="10" t="inlineStr">
        <is>
          <t>, width=100, height=34, bg_color="#e0e0e0", fg_color="#212529", hover_color="#d0e0ff", radius=10).pack(side="left", padx=2)</t>
        </is>
      </c>
    </row>
    <row r="138">
      <c r="A138" s="7" t="n">
        <v>135</v>
      </c>
      <c r="B138" s="8" t="inlineStr">
        <is>
          <t xml:space="preserve">        self.w_refresh_status = ttk.Label(ctrl, text="正在检测模型...", foreground="#ffb74d")</t>
        </is>
      </c>
    </row>
    <row r="139">
      <c r="A139" s="9" t="n">
        <v>136</v>
      </c>
      <c r="B139" s="10" t="inlineStr">
        <is>
          <t xml:space="preserve">        self.w_refresh_status.pack(side="left", padx=10)</t>
        </is>
      </c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 xml:space="preserve">        # 权重容器</t>
        </is>
      </c>
    </row>
    <row r="142">
      <c r="A142" s="7" t="n">
        <v>139</v>
      </c>
      <c r="B142" s="8" t="inlineStr">
        <is>
          <t xml:space="preserve">        self.weights_container = ttk.Frame(w_frame)</t>
        </is>
      </c>
    </row>
    <row r="143">
      <c r="A143" s="9" t="n">
        <v>140</v>
      </c>
      <c r="B143" s="10" t="inlineStr">
        <is>
          <t xml:space="preserve">        self.weights_container.pack(fill="x")</t>
        </is>
      </c>
    </row>
    <row r="144">
      <c r="A144" s="7" t="n">
        <v>141</v>
      </c>
      <c r="B144" s="8" t="inlineStr"/>
    </row>
    <row r="145">
      <c r="A145" s="9" t="n">
        <v>142</v>
      </c>
      <c r="B145" s="10" t="inlineStr">
        <is>
          <t xml:space="preserve">        # 初始显示 loading</t>
        </is>
      </c>
    </row>
    <row r="146">
      <c r="A146" s="7" t="n">
        <v>143</v>
      </c>
      <c r="B146" s="8" t="inlineStr">
        <is>
          <t xml:space="preserve">        ttk.Label(self.weights_container, text="检测中，请稍候...",</t>
        </is>
      </c>
    </row>
    <row r="147">
      <c r="A147" s="9" t="n">
        <v>144</v>
      </c>
      <c r="B147" s="10" t="inlineStr">
        <is>
          <t xml:space="preserve">                  foreground="#4a7c4f").pack(pady=10)</t>
        </is>
      </c>
    </row>
    <row r="148">
      <c r="A148" s="7" t="n">
        <v>145</v>
      </c>
      <c r="B148" s="8" t="inlineStr"/>
    </row>
    <row r="149">
      <c r="A149" s="9" t="n">
        <v>146</v>
      </c>
      <c r="B149" s="10" t="inlineStr">
        <is>
          <t xml:space="preserve">        # 保存按钮</t>
        </is>
      </c>
    </row>
    <row r="150">
      <c r="A150" s="7" t="n">
        <v>147</v>
      </c>
      <c r="B150" s="8" t="inlineStr">
        <is>
          <t xml:space="preserve">        btn_row = ttk.Frame(w_frame)</t>
        </is>
      </c>
    </row>
    <row r="151">
      <c r="A151" s="9" t="n">
        <v>148</v>
      </c>
      <c r="B151" s="10" t="inlineStr">
        <is>
          <t xml:space="preserve">        btn_row.pack(fill="x", pady=(8, 0))</t>
        </is>
      </c>
    </row>
    <row r="152">
      <c r="A152" s="7" t="n">
        <v>149</v>
      </c>
      <c r="B152" s="8" t="inlineStr">
        <is>
          <t xml:space="preserve">        self.weight_auto_var = tk.BooleanVar(value=False)</t>
        </is>
      </c>
    </row>
    <row r="153">
      <c r="A153" s="9" t="n">
        <v>150</v>
      </c>
      <c r="B153" s="10" t="inlineStr">
        <is>
          <t xml:space="preserve">        ttk.Checkbutton(btn_row, text="DeepSeek自动调整权重",</t>
        </is>
      </c>
    </row>
    <row r="154">
      <c r="A154" s="7" t="n">
        <v>151</v>
      </c>
      <c r="B154" s="8" t="inlineStr">
        <is>
          <t xml:space="preserve">                        variable=self.weight_auto_var).pack(side="left")</t>
        </is>
      </c>
    </row>
    <row r="155">
      <c r="A155" s="9" t="n">
        <v>152</v>
      </c>
      <c r="B155" s="10" t="inlineStr">
        <is>
          <t xml:space="preserve">        RoundedButton(btn_row, text="保存权重配置", command=self._save_weights</t>
        </is>
      </c>
    </row>
    <row r="156">
      <c r="A156" s="7" t="n">
        <v>153</v>
      </c>
      <c r="B156" s="8" t="inlineStr">
        <is>
          <t>, width=100, height=34, bg_color="#e0e0e0", fg_color="#212529", hover_color="#d0e0ff", radius=10).pack(side="right", padx=4)</t>
        </is>
      </c>
    </row>
    <row r="157">
      <c r="A157" s="9" t="n">
        <v>154</v>
      </c>
      <c r="B157" s="10" t="inlineStr"/>
    </row>
    <row r="158">
      <c r="A158" s="7" t="n">
        <v>155</v>
      </c>
      <c r="B158" s="8" t="inlineStr">
        <is>
          <t xml:space="preserve">        # ── 后台线程加载模型列表 ──</t>
        </is>
      </c>
    </row>
    <row r="159">
      <c r="A159" s="9" t="n">
        <v>156</v>
      </c>
      <c r="B159" s="10" t="inlineStr">
        <is>
          <t xml:space="preserve">        threading.Thread(target=self._load_models_bg, daemon=True).start()</t>
        </is>
      </c>
    </row>
    <row r="160">
      <c r="A160" s="7" t="n">
        <v>157</v>
      </c>
      <c r="B160" s="8" t="inlineStr"/>
    </row>
    <row r="161">
      <c r="A161" s="9" t="n">
        <v>158</v>
      </c>
      <c r="B161" s="10" t="inlineStr">
        <is>
          <t xml:space="preserve">    def _load_models_bg(self):</t>
        </is>
      </c>
    </row>
    <row r="162">
      <c r="A162" s="7" t="n">
        <v>159</v>
      </c>
      <c r="B162" s="8" t="inlineStr">
        <is>
          <t xml:space="preserve">        """后台加载模型列表，完成后再更新 UI"""</t>
        </is>
      </c>
    </row>
    <row r="163">
      <c r="A163" s="9" t="n">
        <v>160</v>
      </c>
      <c r="B163" s="10" t="inlineStr">
        <is>
          <t xml:space="preserve">        try:</t>
        </is>
      </c>
    </row>
    <row r="164">
      <c r="A164" s="7" t="n">
        <v>161</v>
      </c>
      <c r="B164" s="8" t="inlineStr">
        <is>
          <t xml:space="preserve">            from core.config import get_active_models_info</t>
        </is>
      </c>
    </row>
    <row r="165">
      <c r="A165" s="9" t="n">
        <v>162</v>
      </c>
      <c r="B165" s="10" t="inlineStr">
        <is>
          <t xml:space="preserve">            models = get_active_models_info()</t>
        </is>
      </c>
    </row>
    <row r="166">
      <c r="A166" s="7" t="n">
        <v>163</v>
      </c>
      <c r="B166" s="8" t="inlineStr">
        <is>
          <t xml:space="preserve">        except Exception as e:</t>
        </is>
      </c>
    </row>
    <row r="167">
      <c r="A167" s="9" t="n">
        <v>164</v>
      </c>
      <c r="B167" s="10" t="inlineStr">
        <is>
          <t xml:space="preserve">            models = []</t>
        </is>
      </c>
    </row>
    <row r="168">
      <c r="A168" s="7" t="n">
        <v>165</v>
      </c>
      <c r="B168" s="8" t="inlineStr">
        <is>
          <t xml:space="preserve">            err = str(e)[:80]</t>
        </is>
      </c>
    </row>
    <row r="169">
      <c r="A169" s="9" t="n">
        <v>166</v>
      </c>
      <c r="B169" s="10" t="inlineStr">
        <is>
          <t xml:space="preserve">        else:</t>
        </is>
      </c>
    </row>
    <row r="170">
      <c r="A170" s="7" t="n">
        <v>167</v>
      </c>
      <c r="B170" s="8" t="inlineStr">
        <is>
          <t xml:space="preserve">            err = None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    def _update():</t>
        </is>
      </c>
    </row>
    <row r="173">
      <c r="A173" s="9" t="n">
        <v>170</v>
      </c>
      <c r="B173" s="10" t="inlineStr">
        <is>
          <t xml:space="preserve">            if err:</t>
        </is>
      </c>
    </row>
    <row r="174">
      <c r="A174" s="7" t="n">
        <v>171</v>
      </c>
      <c r="B174" s="8" t="inlineStr">
        <is>
          <t xml:space="preserve">                self.w_refresh_status.config(</t>
        </is>
      </c>
    </row>
    <row r="175">
      <c r="A175" s="9" t="n">
        <v>172</v>
      </c>
      <c r="B175" s="10" t="inlineStr">
        <is>
          <t xml:space="preserve">                    text=f"获取失败: {err}", foreground="#e53935")</t>
        </is>
      </c>
    </row>
    <row r="176">
      <c r="A176" s="7" t="n">
        <v>173</v>
      </c>
      <c r="B176" s="8" t="inlineStr">
        <is>
          <t xml:space="preserve">                return</t>
        </is>
      </c>
    </row>
    <row r="177">
      <c r="A177" s="9" t="n">
        <v>174</v>
      </c>
      <c r="B177" s="10" t="inlineStr">
        <is>
          <t xml:space="preserve">            self._populate_model_rows(models)</t>
        </is>
      </c>
    </row>
    <row r="178">
      <c r="A178" s="7" t="n">
        <v>175</v>
      </c>
      <c r="B178" s="8" t="inlineStr">
        <is>
          <t xml:space="preserve">            self.w_refresh_status.config(</t>
        </is>
      </c>
    </row>
    <row r="179">
      <c r="A179" s="9" t="n">
        <v>176</v>
      </c>
      <c r="B179" s="10" t="inlineStr">
        <is>
          <t xml:space="preserve">                text=f"识别到 {len(models)} 个模型 ({sum(1 for m in models if m['enabled'])} 个可用)",</t>
        </is>
      </c>
    </row>
    <row r="180">
      <c r="A180" s="7" t="n">
        <v>177</v>
      </c>
      <c r="B180" s="8" t="inlineStr">
        <is>
          <t xml:space="preserve">                foreground="#43a047")</t>
        </is>
      </c>
    </row>
    <row r="181">
      <c r="A181" s="9" t="n">
        <v>178</v>
      </c>
      <c r="B181" s="10" t="inlineStr">
        <is>
          <t xml:space="preserve">        self.top.after(0, _update)</t>
        </is>
      </c>
    </row>
    <row r="182">
      <c r="A182" s="7" t="n">
        <v>179</v>
      </c>
      <c r="B182" s="8" t="inlineStr"/>
    </row>
    <row r="183">
      <c r="A183" s="9" t="n">
        <v>180</v>
      </c>
      <c r="B183" s="10" t="inlineStr">
        <is>
          <t xml:space="preserve">    def _populate_model_rows(self, models):</t>
        </is>
      </c>
    </row>
    <row r="184">
      <c r="A184" s="7" t="n">
        <v>181</v>
      </c>
      <c r="B184" s="8" t="inlineStr">
        <is>
          <t xml:space="preserve">        """用模型数据填充 UI（必须在主线程调用）"""</t>
        </is>
      </c>
    </row>
    <row r="185">
      <c r="A185" s="9" t="n">
        <v>182</v>
      </c>
      <c r="B185" s="10" t="inlineStr">
        <is>
          <t xml:space="preserve">        for w in self.weights_container.winfo_children():</t>
        </is>
      </c>
    </row>
    <row r="186">
      <c r="A186" s="7" t="n">
        <v>183</v>
      </c>
      <c r="B186" s="8" t="inlineStr">
        <is>
          <t xml:space="preserve">            w.destroy()</t>
        </is>
      </c>
    </row>
    <row r="187">
      <c r="A187" s="9" t="n">
        <v>184</v>
      </c>
      <c r="B187" s="10" t="inlineStr">
        <is>
          <t xml:space="preserve">        self.weight_vars.clear()</t>
        </is>
      </c>
    </row>
    <row r="188">
      <c r="A188" s="7" t="n">
        <v>185</v>
      </c>
      <c r="B188" s="8" t="inlineStr">
        <is>
          <t xml:space="preserve">        self.model_info_labels.clear()</t>
        </is>
      </c>
    </row>
    <row r="189">
      <c r="A189" s="9" t="n">
        <v>186</v>
      </c>
      <c r="B189" s="10" t="inlineStr"/>
    </row>
    <row r="190">
      <c r="A190" s="7" t="n">
        <v>187</v>
      </c>
      <c r="B190" s="8" t="inlineStr">
        <is>
          <t xml:space="preserve">        if not models:</t>
        </is>
      </c>
    </row>
    <row r="191">
      <c r="A191" s="9" t="n">
        <v>188</v>
      </c>
      <c r="B191" s="10" t="inlineStr">
        <is>
          <t xml:space="preserve">            ttk.Label(self.weights_container, text="未检测到模型",</t>
        </is>
      </c>
    </row>
    <row r="192">
      <c r="A192" s="7" t="n">
        <v>189</v>
      </c>
      <c r="B192" s="8" t="inlineStr">
        <is>
          <t xml:space="preserve">                      foreground="#e53935").pack(pady=10)</t>
        </is>
      </c>
    </row>
    <row r="193">
      <c r="A193" s="9" t="n">
        <v>190</v>
      </c>
      <c r="B193" s="10" t="inlineStr">
        <is>
          <t xml:space="preserve">            return</t>
        </is>
      </c>
    </row>
    <row r="194">
      <c r="A194" s="7" t="n">
        <v>191</v>
      </c>
      <c r="B194" s="8" t="inlineStr"/>
    </row>
    <row r="195">
      <c r="A195" s="9" t="n">
        <v>192</v>
      </c>
      <c r="B195" s="10" t="inlineStr">
        <is>
          <t xml:space="preserve">        # 表头</t>
        </is>
      </c>
    </row>
    <row r="196">
      <c r="A196" s="7" t="n">
        <v>193</v>
      </c>
      <c r="B196" s="8" t="inlineStr">
        <is>
          <t xml:space="preserve">        hdr = ttk.Frame(self.weights_container)</t>
        </is>
      </c>
    </row>
    <row r="197">
      <c r="A197" s="9" t="n">
        <v>194</v>
      </c>
      <c r="B197" s="10" t="inlineStr">
        <is>
          <t xml:space="preserve">        hdr.pack(fill="x", pady=2)</t>
        </is>
      </c>
    </row>
    <row r="198">
      <c r="A198" s="7" t="n">
        <v>195</v>
      </c>
      <c r="B198" s="8" t="inlineStr">
        <is>
          <t xml:space="preserve">        ttk.Label(hdr, text="模型", font=("", 9, "bold"), width=22).pack(side="left")</t>
        </is>
      </c>
    </row>
    <row r="199">
      <c r="A199" s="9" t="n">
        <v>196</v>
      </c>
      <c r="B199" s="10" t="inlineStr">
        <is>
          <t xml:space="preserve">        ttk.Label(hdr, text="权重", font=("", 9, "bold"), width=8).pack(side="left")</t>
        </is>
      </c>
    </row>
    <row r="200">
      <c r="A200" s="7" t="n">
        <v>197</v>
      </c>
      <c r="B200" s="8" t="inlineStr">
        <is>
          <t xml:space="preserve">        ttk.Label(hdr, text="状态", font=("", 9, "bold"), width=10).pack(side="left")</t>
        </is>
      </c>
    </row>
    <row r="201">
      <c r="A201" s="9" t="n">
        <v>198</v>
      </c>
      <c r="B201" s="10" t="inlineStr">
        <is>
          <t xml:space="preserve">        ttk.Label(hdr, text="说明", font=("", 9)).pack(side="left", fill="x", expand=True)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    for m in models:</t>
        </is>
      </c>
    </row>
    <row r="204">
      <c r="A204" s="7" t="n">
        <v>201</v>
      </c>
      <c r="B204" s="8" t="inlineStr">
        <is>
          <t xml:space="preserve">            row = ttk.Frame(self.weights_container)</t>
        </is>
      </c>
    </row>
    <row r="205">
      <c r="A205" s="9" t="n">
        <v>202</v>
      </c>
      <c r="B205" s="10" t="inlineStr">
        <is>
          <t xml:space="preserve">            row.pack(fill="x", pady=1)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 xml:space="preserve">            # 名字</t>
        </is>
      </c>
    </row>
    <row r="208">
      <c r="A208" s="7" t="n">
        <v>205</v>
      </c>
      <c r="B208" s="8" t="inlineStr">
        <is>
          <t xml:space="preserve">            ttk.Label(row, text=m["name"][:22], width=22, anchor="w").pack(</t>
        </is>
      </c>
    </row>
    <row r="209">
      <c r="A209" s="9" t="n">
        <v>206</v>
      </c>
      <c r="B209" s="10" t="inlineStr">
        <is>
          <t xml:space="preserve">                side="left", padx=(0, 4))</t>
        </is>
      </c>
    </row>
    <row r="210">
      <c r="A210" s="7" t="n">
        <v>207</v>
      </c>
      <c r="B210" s="8" t="inlineStr"/>
    </row>
    <row r="211">
      <c r="A211" s="9" t="n">
        <v>208</v>
      </c>
      <c r="B211" s="10" t="inlineStr">
        <is>
          <t xml:space="preserve">            # 权重</t>
        </is>
      </c>
    </row>
    <row r="212">
      <c r="A212" s="7" t="n">
        <v>209</v>
      </c>
      <c r="B212" s="8" t="inlineStr">
        <is>
          <t xml:space="preserve">            var = tk.DoubleVar(value=m["weight"])</t>
        </is>
      </c>
    </row>
    <row r="213">
      <c r="A213" s="9" t="n">
        <v>210</v>
      </c>
      <c r="B213" s="10" t="inlineStr">
        <is>
          <t xml:space="preserve">            scale = ttk.Scale(row, from_=0.0, to=0.60, variable=var,</t>
        </is>
      </c>
    </row>
    <row r="214">
      <c r="A214" s="7" t="n">
        <v>211</v>
      </c>
      <c r="B214" s="8" t="inlineStr">
        <is>
          <t xml:space="preserve">                              length=120, orient="horizontal")</t>
        </is>
      </c>
    </row>
    <row r="215">
      <c r="A215" s="9" t="n">
        <v>212</v>
      </c>
      <c r="B215" s="10" t="inlineStr">
        <is>
          <t xml:space="preserve">            scale.pack(side="left", padx=2)</t>
        </is>
      </c>
    </row>
    <row r="216">
      <c r="A216" s="7" t="n">
        <v>213</v>
      </c>
      <c r="B216" s="8" t="inlineStr">
        <is>
          <t xml:space="preserve">            val_label = ttk.Label(row, text=f"{m['weight']:.2f}", width=5)</t>
        </is>
      </c>
    </row>
    <row r="217">
      <c r="A217" s="9" t="n">
        <v>214</v>
      </c>
      <c r="B217" s="10" t="inlineStr">
        <is>
          <t xml:space="preserve">            val_label.pack(side="left", padx=2)</t>
        </is>
      </c>
    </row>
    <row r="218">
      <c r="A218" s="7" t="n">
        <v>215</v>
      </c>
      <c r="B218" s="8" t="inlineStr">
        <is>
          <t xml:space="preserve">            scale.configure(command=lambda v, l=val_label: l.config(text=f"{float(v):.2f}"))</t>
        </is>
      </c>
    </row>
    <row r="219">
      <c r="A219" s="9" t="n">
        <v>216</v>
      </c>
      <c r="B219" s="10" t="inlineStr"/>
    </row>
    <row r="220">
      <c r="A220" s="7" t="n">
        <v>217</v>
      </c>
      <c r="B220" s="8" t="inlineStr">
        <is>
          <t xml:space="preserve">            # 状态</t>
        </is>
      </c>
    </row>
    <row r="221">
      <c r="A221" s="9" t="n">
        <v>218</v>
      </c>
      <c r="B221" s="10" t="inlineStr">
        <is>
          <t xml:space="preserve">            ok = m["enabled"]</t>
        </is>
      </c>
    </row>
    <row r="222">
      <c r="A222" s="7" t="n">
        <v>219</v>
      </c>
      <c r="B222" s="8" t="inlineStr">
        <is>
          <t xml:space="preserve">            ttk.Label(row, text="[OK]" if ok else "[OFF]", width=7,</t>
        </is>
      </c>
    </row>
    <row r="223">
      <c r="A223" s="9" t="n">
        <v>220</v>
      </c>
      <c r="B223" s="10" t="inlineStr">
        <is>
          <t xml:space="preserve">                      foreground="#43a047" if ok else "#e53935").pack(side="left", padx=2)</t>
        </is>
      </c>
    </row>
    <row r="224">
      <c r="A224" s="7" t="n">
        <v>221</v>
      </c>
      <c r="B224" s="8" t="inlineStr"/>
    </row>
    <row r="225">
      <c r="A225" s="9" t="n">
        <v>222</v>
      </c>
      <c r="B225" s="10" t="inlineStr">
        <is>
          <t xml:space="preserve">            # 说明</t>
        </is>
      </c>
    </row>
    <row r="226">
      <c r="A226" s="7" t="n">
        <v>223</v>
      </c>
      <c r="B226" s="8" t="inlineStr">
        <is>
          <t xml:space="preserve">            ttk.Label(row, text=m.get("description", "")[:45],</t>
        </is>
      </c>
    </row>
    <row r="227">
      <c r="A227" s="9" t="n">
        <v>224</v>
      </c>
      <c r="B227" s="10" t="inlineStr">
        <is>
          <t xml:space="preserve">                      foreground="#4a7c4f").pack(side="left", padx=4)</t>
        </is>
      </c>
    </row>
    <row r="228">
      <c r="A228" s="7" t="n">
        <v>225</v>
      </c>
      <c r="B228" s="8" t="inlineStr"/>
    </row>
    <row r="229">
      <c r="A229" s="9" t="n">
        <v>226</v>
      </c>
      <c r="B229" s="10" t="inlineStr">
        <is>
          <t xml:space="preserve">            self.weight_vars[m["name"]] = var</t>
        </is>
      </c>
    </row>
    <row r="230">
      <c r="A230" s="7" t="n">
        <v>227</v>
      </c>
      <c r="B230" s="8" t="inlineStr">
        <is>
          <t xml:space="preserve">            self.model_info_labels[m["name"]] = {</t>
        </is>
      </c>
    </row>
    <row r="231">
      <c r="A231" s="9" t="n">
        <v>228</v>
      </c>
      <c r="B231" s="10" t="inlineStr">
        <is>
          <t xml:space="preserve">                "var": var, "label": val_label, "type": m["type"], "enabled": ok,</t>
        </is>
      </c>
    </row>
    <row r="232">
      <c r="A232" s="7" t="n">
        <v>229</v>
      </c>
      <c r="B232" s="8" t="inlineStr">
        <is>
          <t xml:space="preserve">            }</t>
        </is>
      </c>
    </row>
    <row r="233">
      <c r="A233" s="9" t="n">
        <v>230</v>
      </c>
      <c r="B233" s="10" t="inlineStr"/>
    </row>
    <row r="234">
      <c r="A234" s="7" t="n">
        <v>231</v>
      </c>
      <c r="B234" s="8" t="inlineStr">
        <is>
          <t xml:space="preserve">    def _refresh_model_list_async(self):</t>
        </is>
      </c>
    </row>
    <row r="235">
      <c r="A235" s="9" t="n">
        <v>232</v>
      </c>
      <c r="B235" s="10" t="inlineStr">
        <is>
          <t xml:space="preserve">        """用户点击刷新"""</t>
        </is>
      </c>
    </row>
    <row r="236">
      <c r="A236" s="7" t="n">
        <v>233</v>
      </c>
      <c r="B236" s="8" t="inlineStr">
        <is>
          <t xml:space="preserve">        self.w_refresh_status.config(text="正在检测模型...", foreground="#ffb74d")</t>
        </is>
      </c>
    </row>
    <row r="237">
      <c r="A237" s="9" t="n">
        <v>234</v>
      </c>
      <c r="B237" s="10" t="inlineStr">
        <is>
          <t xml:space="preserve">        # 清空旧内容</t>
        </is>
      </c>
    </row>
    <row r="238">
      <c r="A238" s="7" t="n">
        <v>235</v>
      </c>
      <c r="B238" s="8" t="inlineStr">
        <is>
          <t xml:space="preserve">        for w in self.weights_container.winfo_children():</t>
        </is>
      </c>
    </row>
    <row r="239">
      <c r="A239" s="9" t="n">
        <v>236</v>
      </c>
      <c r="B239" s="10" t="inlineStr">
        <is>
          <t xml:space="preserve">            w.destroy()</t>
        </is>
      </c>
    </row>
    <row r="240">
      <c r="A240" s="7" t="n">
        <v>237</v>
      </c>
      <c r="B240" s="8" t="inlineStr">
        <is>
          <t xml:space="preserve">        ttk.Label(self.weights_container, text="检测中，请稍候...",</t>
        </is>
      </c>
    </row>
    <row r="241">
      <c r="A241" s="9" t="n">
        <v>238</v>
      </c>
      <c r="B241" s="10" t="inlineStr">
        <is>
          <t xml:space="preserve">                  foreground="#4a7c4f").pack(pady=10)</t>
        </is>
      </c>
    </row>
    <row r="242">
      <c r="A242" s="7" t="n">
        <v>239</v>
      </c>
      <c r="B242" s="8" t="inlineStr">
        <is>
          <t xml:space="preserve">        threading.Thread(target=self._load_models_bg, daemon=True).start()</t>
        </is>
      </c>
    </row>
    <row r="243">
      <c r="A243" s="9" t="n">
        <v>240</v>
      </c>
      <c r="B243" s="10" t="inlineStr"/>
    </row>
    <row r="244">
      <c r="A244" s="7" t="n">
        <v>241</v>
      </c>
      <c r="B244" s="8" t="inlineStr">
        <is>
          <t xml:space="preserve">    def _save_weights(self):</t>
        </is>
      </c>
    </row>
    <row r="245">
      <c r="A245" s="9" t="n">
        <v>242</v>
      </c>
      <c r="B245" s="10" t="inlineStr">
        <is>
          <t xml:space="preserve">        weights = {}</t>
        </is>
      </c>
    </row>
    <row r="246">
      <c r="A246" s="7" t="n">
        <v>243</v>
      </c>
      <c r="B246" s="8" t="inlineStr">
        <is>
          <t xml:space="preserve">        for name, var in self.weight_vars.items():</t>
        </is>
      </c>
    </row>
    <row r="247">
      <c r="A247" s="9" t="n">
        <v>244</v>
      </c>
      <c r="B247" s="10" t="inlineStr">
        <is>
          <t xml:space="preserve">            weights[name] = round(var.get(), 3)</t>
        </is>
      </c>
    </row>
    <row r="248">
      <c r="A248" s="7" t="n">
        <v>245</v>
      </c>
      <c r="B248" s="8" t="inlineStr"/>
    </row>
    <row r="249">
      <c r="A249" s="9" t="n">
        <v>246</v>
      </c>
      <c r="B249" s="10" t="inlineStr">
        <is>
          <t xml:space="preserve">        if not weights:</t>
        </is>
      </c>
    </row>
    <row r="250">
      <c r="A250" s="7" t="n">
        <v>247</v>
      </c>
      <c r="B250" s="8" t="inlineStr">
        <is>
          <t xml:space="preserve">            messagebox.showwarning("提示", "没有可保存的权重")</t>
        </is>
      </c>
    </row>
    <row r="251">
      <c r="A251" s="9" t="n">
        <v>248</v>
      </c>
      <c r="B251" s="10" t="inlineStr">
        <is>
          <t xml:space="preserve">            return</t>
        </is>
      </c>
    </row>
    <row r="252">
      <c r="A252" s="7" t="n">
        <v>249</v>
      </c>
      <c r="B252" s="8" t="inlineStr"/>
    </row>
    <row r="253">
      <c r="A253" s="9" t="n">
        <v>250</v>
      </c>
      <c r="B253" s="10" t="inlineStr">
        <is>
          <t xml:space="preserve">        config_path = Path(__file__).parent.parent / "AI素材库" / "model_weights.json"</t>
        </is>
      </c>
    </row>
    <row r="254">
      <c r="A254" s="7" t="n">
        <v>251</v>
      </c>
      <c r="B254" s="8" t="inlineStr">
        <is>
          <t xml:space="preserve">        config_path.parent.mkdir(parents=True, exist_ok=True)</t>
        </is>
      </c>
    </row>
    <row r="255">
      <c r="A255" s="9" t="n">
        <v>252</v>
      </c>
      <c r="B255" s="10" t="inlineStr">
        <is>
          <t xml:space="preserve">        config_path.write_text(json.dumps({</t>
        </is>
      </c>
    </row>
    <row r="256">
      <c r="A256" s="7" t="n">
        <v>253</v>
      </c>
      <c r="B256" s="8" t="inlineStr">
        <is>
          <t xml:space="preserve">            "updated": time.strftime("%Y-%m-%d %H:%M:%S"),</t>
        </is>
      </c>
    </row>
    <row r="257">
      <c r="A257" s="9" t="n">
        <v>254</v>
      </c>
      <c r="B257" s="10" t="inlineStr">
        <is>
          <t xml:space="preserve">            "weights": weights,</t>
        </is>
      </c>
    </row>
    <row r="258">
      <c r="A258" s="7" t="n">
        <v>255</v>
      </c>
      <c r="B258" s="8" t="inlineStr">
        <is>
          <t xml:space="preserve">        }, ensure_ascii=False, indent=2), encoding="utf-8")</t>
        </is>
      </c>
    </row>
    <row r="259">
      <c r="A259" s="9" t="n">
        <v>256</v>
      </c>
      <c r="B259" s="10" t="inlineStr"/>
    </row>
    <row r="260">
      <c r="A260" s="7" t="n">
        <v>257</v>
      </c>
      <c r="B260" s="8" t="inlineStr">
        <is>
          <t xml:space="preserve">        # 类型→权重映射</t>
        </is>
      </c>
    </row>
    <row r="261">
      <c r="A261" s="9" t="n">
        <v>258</v>
      </c>
      <c r="B261" s="10" t="inlineStr">
        <is>
          <t xml:space="preserve">        type_weights = {}</t>
        </is>
      </c>
    </row>
    <row r="262">
      <c r="A262" s="7" t="n">
        <v>259</v>
      </c>
      <c r="B262" s="8" t="inlineStr">
        <is>
          <t xml:space="preserve">        for name, info in self.model_info_labels.items():</t>
        </is>
      </c>
    </row>
    <row r="263">
      <c r="A263" s="9" t="n">
        <v>260</v>
      </c>
      <c r="B263" s="10" t="inlineStr">
        <is>
          <t xml:space="preserve">            type_weights[info["type"]] = round(info["var"].get(), 3)</t>
        </is>
      </c>
    </row>
    <row r="264">
      <c r="A264" s="7" t="n">
        <v>261</v>
      </c>
      <c r="B264" s="8" t="inlineStr"/>
    </row>
    <row r="265">
      <c r="A265" s="9" t="n">
        <v>262</v>
      </c>
      <c r="B265" s="10" t="inlineStr">
        <is>
          <t xml:space="preserve">        # 更新 MODULE_WEIGHTS</t>
        </is>
      </c>
    </row>
    <row r="266">
      <c r="A266" s="7" t="n">
        <v>263</v>
      </c>
      <c r="B266" s="8" t="inlineStr">
        <is>
          <t xml:space="preserve">        try:</t>
        </is>
      </c>
    </row>
    <row r="267">
      <c r="A267" s="9" t="n">
        <v>264</v>
      </c>
      <c r="B267" s="10" t="inlineStr">
        <is>
          <t xml:space="preserve">            from core import config</t>
        </is>
      </c>
    </row>
    <row r="268">
      <c r="A268" s="7" t="n">
        <v>265</v>
      </c>
      <c r="B268" s="8" t="inlineStr">
        <is>
          <t xml:space="preserve">            config.MODEL_WEIGHTS = type_weights</t>
        </is>
      </c>
    </row>
    <row r="269">
      <c r="A269" s="9" t="n">
        <v>266</v>
      </c>
      <c r="B269" s="10" t="inlineStr">
        <is>
          <t xml:space="preserve">        except Exception:</t>
        </is>
      </c>
    </row>
    <row r="270">
      <c r="A270" s="7" t="n">
        <v>267</v>
      </c>
      <c r="B270" s="8" t="inlineStr">
        <is>
          <t xml:space="preserve">            pass</t>
        </is>
      </c>
    </row>
    <row r="271">
      <c r="A271" s="9" t="n">
        <v>268</v>
      </c>
      <c r="B271" s="10" t="inlineStr"/>
    </row>
    <row r="272">
      <c r="A272" s="7" t="n">
        <v>269</v>
      </c>
      <c r="B272" s="8" t="inlineStr">
        <is>
          <t xml:space="preserve">        # 应用到 TagMerger</t>
        </is>
      </c>
    </row>
    <row r="273">
      <c r="A273" s="9" t="n">
        <v>270</v>
      </c>
      <c r="B273" s="10" t="inlineStr">
        <is>
          <t xml:space="preserve">        try:</t>
        </is>
      </c>
    </row>
    <row r="274">
      <c r="A274" s="7" t="n">
        <v>271</v>
      </c>
      <c r="B274" s="8" t="inlineStr">
        <is>
          <t xml:space="preserve">            from core.tag_merger import TagMerger</t>
        </is>
      </c>
    </row>
    <row r="275">
      <c r="A275" s="9" t="n">
        <v>272</v>
      </c>
      <c r="B275" s="10" t="inlineStr">
        <is>
          <t xml:space="preserve">            tm = TagMerger()</t>
        </is>
      </c>
    </row>
    <row r="276">
      <c r="A276" s="7" t="n">
        <v>273</v>
      </c>
      <c r="B276" s="8" t="inlineStr">
        <is>
          <t xml:space="preserve">            type_map = {</t>
        </is>
      </c>
    </row>
    <row r="277">
      <c r="A277" s="9" t="n">
        <v>274</v>
      </c>
      <c r="B277" s="10" t="inlineStr">
        <is>
          <t xml:space="preserve">                "vision": "qwen_vl", "audio_emotion": "clip",</t>
        </is>
      </c>
    </row>
    <row r="278">
      <c r="A278" s="7" t="n">
        <v>275</v>
      </c>
      <c r="B278" s="8" t="inlineStr">
        <is>
          <t xml:space="preserve">                "audio_transcribe": "whisper", "knowledge": "filename",</t>
        </is>
      </c>
    </row>
    <row r="279">
      <c r="A279" s="9" t="n">
        <v>276</v>
      </c>
      <c r="B279" s="10" t="inlineStr">
        <is>
          <t xml:space="preserve">                "retrieval": "yolo",</t>
        </is>
      </c>
    </row>
    <row r="280">
      <c r="A280" s="7" t="n">
        <v>277</v>
      </c>
      <c r="B280" s="8" t="inlineStr">
        <is>
          <t xml:space="preserve">            }</t>
        </is>
      </c>
    </row>
    <row r="281">
      <c r="A281" s="9" t="n">
        <v>278</v>
      </c>
      <c r="B281" s="10" t="inlineStr">
        <is>
          <t xml:space="preserve">            for ut, ik in type_map.items():</t>
        </is>
      </c>
    </row>
    <row r="282">
      <c r="A282" s="7" t="n">
        <v>279</v>
      </c>
      <c r="B282" s="8" t="inlineStr">
        <is>
          <t xml:space="preserve">                if ut in type_weights:</t>
        </is>
      </c>
    </row>
    <row r="283">
      <c r="A283" s="9" t="n">
        <v>280</v>
      </c>
      <c r="B283" s="10" t="inlineStr">
        <is>
          <t xml:space="preserve">                    tm._weights[ik] = type_weights[ut]</t>
        </is>
      </c>
    </row>
    <row r="284">
      <c r="A284" s="7" t="n">
        <v>281</v>
      </c>
      <c r="B284" s="8" t="inlineStr">
        <is>
          <t xml:space="preserve">        except Exception:</t>
        </is>
      </c>
    </row>
    <row r="285">
      <c r="A285" s="9" t="n">
        <v>282</v>
      </c>
      <c r="B285" s="10" t="inlineStr">
        <is>
          <t xml:space="preserve">            pass</t>
        </is>
      </c>
    </row>
    <row r="286">
      <c r="A286" s="7" t="n">
        <v>283</v>
      </c>
      <c r="B286" s="8" t="inlineStr"/>
    </row>
    <row r="287">
      <c r="A287" s="9" t="n">
        <v>284</v>
      </c>
      <c r="B287" s="10" t="inlineStr">
        <is>
          <t xml:space="preserve">        messagebox.showinfo("保存成功",</t>
        </is>
      </c>
    </row>
    <row r="288">
      <c r="A288" s="7" t="n">
        <v>285</v>
      </c>
      <c r="B288" s="8" t="inlineStr">
        <is>
          <t xml:space="preserve">            f"已保存 {len(weights)} 个模型权重:\n\n" +</t>
        </is>
      </c>
    </row>
    <row r="289">
      <c r="A289" s="9" t="n">
        <v>286</v>
      </c>
      <c r="B289" s="10" t="inlineStr">
        <is>
          <t xml:space="preserve">            "\n".join(f"  {k}: {v:.3f}" for k, v in list(weights.items())[:10]))</t>
        </is>
      </c>
    </row>
    <row r="290">
      <c r="A290" s="7" t="n">
        <v>287</v>
      </c>
      <c r="B290" s="8" t="inlineStr"/>
    </row>
    <row r="291">
      <c r="A291" s="9" t="n">
        <v>288</v>
      </c>
      <c r="B291" s="10" t="inlineStr">
        <is>
          <t xml:space="preserve">    def _test_deepseek(self):</t>
        </is>
      </c>
    </row>
    <row r="292">
      <c r="A292" s="7" t="n">
        <v>289</v>
      </c>
      <c r="B292" s="8" t="inlineStr">
        <is>
          <t xml:space="preserve">        key = self.ds_key_var.get().strip()</t>
        </is>
      </c>
    </row>
    <row r="293">
      <c r="A293" s="9" t="n">
        <v>290</v>
      </c>
      <c r="B293" s="10" t="inlineStr">
        <is>
          <t xml:space="preserve">        if not key:</t>
        </is>
      </c>
    </row>
    <row r="294">
      <c r="A294" s="7" t="n">
        <v>291</v>
      </c>
      <c r="B294" s="8" t="inlineStr">
        <is>
          <t xml:space="preserve">            messagebox.showwarning("提示", "请先输入API Key")</t>
        </is>
      </c>
    </row>
    <row r="295">
      <c r="A295" s="9" t="n">
        <v>292</v>
      </c>
      <c r="B295" s="10" t="inlineStr">
        <is>
          <t xml:space="preserve">            return</t>
        </is>
      </c>
    </row>
    <row r="296">
      <c r="A296" s="7" t="n">
        <v>293</v>
      </c>
      <c r="B296" s="8" t="inlineStr">
        <is>
          <t xml:space="preserve">        self.ds_status.config(text="测试中...", foreground="#ffb74d")</t>
        </is>
      </c>
    </row>
    <row r="297">
      <c r="A297" s="9" t="n">
        <v>294</v>
      </c>
      <c r="B297" s="10" t="inlineStr">
        <is>
          <t xml:space="preserve">        def _t():</t>
        </is>
      </c>
    </row>
    <row r="298">
      <c r="A298" s="7" t="n">
        <v>295</v>
      </c>
      <c r="B298" s="8" t="inlineStr">
        <is>
          <t xml:space="preserve">            try:</t>
        </is>
      </c>
    </row>
    <row r="299">
      <c r="A299" s="9" t="n">
        <v>296</v>
      </c>
      <c r="B299" s="10" t="inlineStr">
        <is>
          <t xml:space="preserve">                from core.deepseek_client import DeepSeekClient</t>
        </is>
      </c>
    </row>
    <row r="300">
      <c r="A300" s="7" t="n">
        <v>297</v>
      </c>
      <c r="B300" s="8" t="inlineStr">
        <is>
          <t xml:space="preserve">                ds = DeepSeekClient(api_key=key, model=self.ds_model_var.get())</t>
        </is>
      </c>
    </row>
    <row r="301">
      <c r="A301" s="9" t="n">
        <v>298</v>
      </c>
      <c r="B301" s="10" t="inlineStr">
        <is>
          <t xml:space="preserve">                ok, msg = ds.test_connection()</t>
        </is>
      </c>
    </row>
    <row r="302">
      <c r="A302" s="7" t="n">
        <v>299</v>
      </c>
      <c r="B302" s="8" t="inlineStr">
        <is>
          <t xml:space="preserve">                self.top.after(0, lambda o=ok, m=msg: self.ds_status.config(</t>
        </is>
      </c>
    </row>
    <row r="303">
      <c r="A303" s="9" t="n">
        <v>300</v>
      </c>
      <c r="B303" s="10" t="inlineStr">
        <is>
          <t xml:space="preserve">                    text=m[:60], foreground="#43a047" if o else "#e53935"))</t>
        </is>
      </c>
    </row>
    <row r="304">
      <c r="A304" s="7" t="n">
        <v>301</v>
      </c>
      <c r="B304" s="8" t="inlineStr">
        <is>
          <t xml:space="preserve">            except Exception as e:</t>
        </is>
      </c>
    </row>
    <row r="305">
      <c r="A305" s="9" t="n">
        <v>302</v>
      </c>
      <c r="B305" s="10" t="inlineStr">
        <is>
          <t xml:space="preserve">                self.top.after(0, lambda e=e: self.ds_status.config(</t>
        </is>
      </c>
    </row>
    <row r="306">
      <c r="A306" s="7" t="n">
        <v>303</v>
      </c>
      <c r="B306" s="8" t="inlineStr">
        <is>
          <t xml:space="preserve">                    text=str(e)[:60], foreground="#e53935"))</t>
        </is>
      </c>
    </row>
    <row r="307">
      <c r="A307" s="9" t="n">
        <v>304</v>
      </c>
      <c r="B307" s="10" t="inlineStr">
        <is>
          <t xml:space="preserve">        threading.Thread(target=_t, daemon=True).start()</t>
        </is>
      </c>
    </row>
    <row r="308">
      <c r="A308" s="7" t="n">
        <v>305</v>
      </c>
      <c r="B308" s="8" t="inlineStr"/>
    </row>
    <row r="309">
      <c r="A309" s="9" t="n">
        <v>306</v>
      </c>
      <c r="B309" s="10" t="inlineStr">
        <is>
          <t xml:space="preserve">    def _save_ds_config(self):</t>
        </is>
      </c>
    </row>
    <row r="310">
      <c r="A310" s="7" t="n">
        <v>307</v>
      </c>
      <c r="B310" s="8" t="inlineStr">
        <is>
          <t xml:space="preserve">        key = self.ds_key_var.get().strip()</t>
        </is>
      </c>
    </row>
    <row r="311">
      <c r="A311" s="9" t="n">
        <v>308</v>
      </c>
      <c r="B311" s="10" t="inlineStr">
        <is>
          <t xml:space="preserve">        if key:</t>
        </is>
      </c>
    </row>
    <row r="312">
      <c r="A312" s="7" t="n">
        <v>309</v>
      </c>
      <c r="B312" s="8" t="inlineStr">
        <is>
          <t xml:space="preserve">            os.environ["DEEPSEEK_API_KEY"] = key</t>
        </is>
      </c>
    </row>
    <row r="313">
      <c r="A313" s="9" t="n">
        <v>310</v>
      </c>
      <c r="B313" s="10" t="inlineStr">
        <is>
          <t xml:space="preserve">            env_file = Path(__file__).parent.parent / ".env"</t>
        </is>
      </c>
    </row>
    <row r="314">
      <c r="A314" s="7" t="n">
        <v>311</v>
      </c>
      <c r="B314" s="8" t="inlineStr">
        <is>
          <t xml:space="preserve">            lines = []</t>
        </is>
      </c>
    </row>
    <row r="315">
      <c r="A315" s="9" t="n">
        <v>312</v>
      </c>
      <c r="B315" s="10" t="inlineStr">
        <is>
          <t xml:space="preserve">            if env_file.exists():</t>
        </is>
      </c>
    </row>
    <row r="316">
      <c r="A316" s="7" t="n">
        <v>313</v>
      </c>
      <c r="B316" s="8" t="inlineStr">
        <is>
          <t xml:space="preserve">                lines = env_file.read_text(encoding="utf-8").splitlines()</t>
        </is>
      </c>
    </row>
    <row r="317">
      <c r="A317" s="9" t="n">
        <v>314</v>
      </c>
      <c r="B317" s="10" t="inlineStr">
        <is>
          <t xml:space="preserve">            lines = [l for l in lines if not l.startswith("DEEPSEEK_API_KEY=")]</t>
        </is>
      </c>
    </row>
    <row r="318">
      <c r="A318" s="7" t="n">
        <v>315</v>
      </c>
      <c r="B318" s="8" t="inlineStr">
        <is>
          <t xml:space="preserve">            lines.append(f"DEEPSEEK_API_KEY={key}")</t>
        </is>
      </c>
    </row>
    <row r="319">
      <c r="A319" s="9" t="n">
        <v>316</v>
      </c>
      <c r="B319" s="10" t="inlineStr">
        <is>
          <t xml:space="preserve">            env_file.write_text("\n".join(lines) + "\n", encoding="utf-8")</t>
        </is>
      </c>
    </row>
    <row r="320">
      <c r="A320" s="7" t="n">
        <v>317</v>
      </c>
      <c r="B320" s="8" t="inlineStr">
        <is>
          <t xml:space="preserve">        messagebox.showinfo("保存", "DeepSeek配置已保存并生效")</t>
        </is>
      </c>
    </row>
    <row r="321">
      <c r="A321" s="9" t="n">
        <v>318</v>
      </c>
      <c r="B321" s="10" t="inlineStr"/>
    </row>
    <row r="322">
      <c r="A322" s="7" t="n">
        <v>319</v>
      </c>
      <c r="B322" s="8" t="inlineStr">
        <is>
          <t xml:space="preserve">    # ════════════════════════════════════════════════</t>
        </is>
      </c>
    </row>
    <row r="323">
      <c r="A323" s="9" t="n">
        <v>320</v>
      </c>
      <c r="B323" s="10" t="inlineStr">
        <is>
          <t xml:space="preserve">    # Tab 2: DeepSeek AI 对话助手</t>
        </is>
      </c>
    </row>
    <row r="324">
      <c r="A324" s="7" t="n">
        <v>321</v>
      </c>
      <c r="B324" s="8" t="inlineStr">
        <is>
          <t xml:space="preserve">    # ════════════════════════════════════════════════</t>
        </is>
      </c>
    </row>
    <row r="325">
      <c r="A325" s="9" t="n">
        <v>322</v>
      </c>
      <c r="B325" s="10" t="inlineStr"/>
    </row>
    <row r="326">
      <c r="A326" s="7" t="n">
        <v>323</v>
      </c>
      <c r="B326" s="8" t="inlineStr">
        <is>
          <t xml:space="preserve">    def _build_chat_tab_content(self):</t>
        </is>
      </c>
    </row>
    <row r="327">
      <c r="A327" s="9" t="n">
        <v>324</v>
      </c>
      <c r="B327" s="10" t="inlineStr">
        <is>
          <t xml:space="preserve">        """在占位 frame 中构建 AI 助手标签页内容"""</t>
        </is>
      </c>
    </row>
    <row r="328">
      <c r="A328" s="7" t="n">
        <v>325</v>
      </c>
      <c r="B328" s="8" t="inlineStr">
        <is>
          <t xml:space="preserve">        tab = self._tab_chat_placeholder</t>
        </is>
      </c>
    </row>
    <row r="329">
      <c r="A329" s="9" t="n">
        <v>326</v>
      </c>
      <c r="B329" s="10" t="inlineStr"/>
    </row>
    <row r="330">
      <c r="A330" s="7" t="n">
        <v>327</v>
      </c>
      <c r="B330" s="8" t="inlineStr">
        <is>
          <t xml:space="preserve">        # 标题</t>
        </is>
      </c>
    </row>
    <row r="331">
      <c r="A331" s="9" t="n">
        <v>328</v>
      </c>
      <c r="B331" s="10" t="inlineStr">
        <is>
          <t xml:space="preserve">        ttk.Label(tab, text="[AI] DeepSeek 对话助手",</t>
        </is>
      </c>
    </row>
    <row r="332">
      <c r="A332" s="7" t="n">
        <v>329</v>
      </c>
      <c r="B332" s="8" t="inlineStr">
        <is>
          <t xml:space="preserve">                  font=("Microsoft YaHei", 12, "bold")).pack(anchor="w", pady=(0, 6))</t>
        </is>
      </c>
    </row>
    <row r="333">
      <c r="A333" s="9" t="n">
        <v>330</v>
      </c>
      <c r="B333" s="10" t="inlineStr"/>
    </row>
    <row r="334">
      <c r="A334" s="7" t="n">
        <v>331</v>
      </c>
      <c r="B334" s="8" t="inlineStr">
        <is>
          <t xml:space="preserve">        # 快捷提问</t>
        </is>
      </c>
    </row>
    <row r="335">
      <c r="A335" s="9" t="n">
        <v>332</v>
      </c>
      <c r="B335" s="10" t="inlineStr">
        <is>
          <t xml:space="preserve">        qf = ttk.Frame(tab)</t>
        </is>
      </c>
    </row>
    <row r="336">
      <c r="A336" s="7" t="n">
        <v>333</v>
      </c>
      <c r="B336" s="8" t="inlineStr">
        <is>
          <t xml:space="preserve">        qf.pack(fill="x", pady=3)</t>
        </is>
      </c>
    </row>
    <row r="337">
      <c r="A337" s="9" t="n">
        <v>334</v>
      </c>
      <c r="B337" s="10" t="inlineStr">
        <is>
          <t xml:space="preserve">        quick = [</t>
        </is>
      </c>
    </row>
    <row r="338">
      <c r="A338" s="7" t="n">
        <v>335</v>
      </c>
      <c r="B338" s="8" t="inlineStr">
        <is>
          <t xml:space="preserve">            ("优化文案", "如何让生成的视频文案更有小红书爆款风格？"),</t>
        </is>
      </c>
    </row>
    <row r="339">
      <c r="A339" s="9" t="n">
        <v>336</v>
      </c>
      <c r="B339" s="10" t="inlineStr">
        <is>
          <t xml:space="preserve">            ("素材库优化", "素材库标签覆盖率低，该怎么优化？"),</t>
        </is>
      </c>
    </row>
    <row r="340">
      <c r="A340" s="7" t="n">
        <v>337</v>
      </c>
      <c r="B340" s="8" t="inlineStr">
        <is>
          <t xml:space="preserve">            ("参数调整", "视频规格1080x1920，怎样调整能让效果更好？"),</t>
        </is>
      </c>
    </row>
    <row r="341">
      <c r="A341" s="9" t="n">
        <v>338</v>
      </c>
      <c r="B341" s="10" t="inlineStr">
        <is>
          <t xml:space="preserve">            ("故障排查", "配音生成失败是什么原因？"),</t>
        </is>
      </c>
    </row>
    <row r="342">
      <c r="A342" s="7" t="n">
        <v>339</v>
      </c>
      <c r="B342" s="8" t="inlineStr">
        <is>
          <t xml:space="preserve">            ("匹配优化", "如何让画面匹配更精准？"),</t>
        </is>
      </c>
    </row>
    <row r="343">
      <c r="A343" s="9" t="n">
        <v>340</v>
      </c>
      <c r="B343" s="10" t="inlineStr">
        <is>
          <t xml:space="preserve">        ]</t>
        </is>
      </c>
    </row>
    <row r="344">
      <c r="A344" s="7" t="n">
        <v>341</v>
      </c>
      <c r="B344" s="8" t="inlineStr">
        <is>
          <t xml:space="preserve">        for label, question in quick:</t>
        </is>
      </c>
    </row>
    <row r="345">
      <c r="A345" s="9" t="n">
        <v>342</v>
      </c>
      <c r="B345" s="10" t="inlineStr">
        <is>
          <t xml:space="preserve">            RoundedButton(qf, text=label,</t>
        </is>
      </c>
    </row>
    <row r="346">
      <c r="A346" s="7" t="n">
        <v>343</v>
      </c>
      <c r="B346" s="8" t="inlineStr">
        <is>
          <t xml:space="preserve">                           width=100, height=34, bg_color="#e0e0e0", fg_color="#212529",</t>
        </is>
      </c>
    </row>
    <row r="347">
      <c r="A347" s="9" t="n">
        <v>344</v>
      </c>
      <c r="B347" s="10" t="inlineStr">
        <is>
          <t xml:space="preserve">                           hover_color="#d0e0ff", radius=10,</t>
        </is>
      </c>
    </row>
    <row r="348">
      <c r="A348" s="7" t="n">
        <v>345</v>
      </c>
      <c r="B348" s="8" t="inlineStr">
        <is>
          <t xml:space="preserve">                           command=lambda q=question: self._fill_question(q)</t>
        </is>
      </c>
    </row>
    <row r="349">
      <c r="A349" s="9" t="n">
        <v>346</v>
      </c>
      <c r="B349" s="10" t="inlineStr">
        <is>
          <t xml:space="preserve">                           ).pack(side="left", padx=2)</t>
        </is>
      </c>
    </row>
    <row r="350">
      <c r="A350" s="7" t="n">
        <v>347</v>
      </c>
      <c r="B350" s="8" t="inlineStr"/>
    </row>
    <row r="351">
      <c r="A351" s="9" t="n">
        <v>348</v>
      </c>
      <c r="B351" s="10" t="inlineStr">
        <is>
          <t xml:space="preserve">        # 输入区</t>
        </is>
      </c>
    </row>
    <row r="352">
      <c r="A352" s="7" t="n">
        <v>349</v>
      </c>
      <c r="B352" s="8" t="inlineStr">
        <is>
          <t xml:space="preserve">        input_frame = ttk.Frame(tab)</t>
        </is>
      </c>
    </row>
    <row r="353">
      <c r="A353" s="9" t="n">
        <v>350</v>
      </c>
      <c r="B353" s="10" t="inlineStr">
        <is>
          <t xml:space="preserve">        input_frame.pack(fill="x", pady=4)</t>
        </is>
      </c>
    </row>
    <row r="354">
      <c r="A354" s="7" t="n">
        <v>351</v>
      </c>
      <c r="B354" s="8" t="inlineStr"/>
    </row>
    <row r="355">
      <c r="A355" s="9" t="n">
        <v>352</v>
      </c>
      <c r="B355" s="10" t="inlineStr">
        <is>
          <t xml:space="preserve">        self.ai_input = tk.Text(input_frame, font=("Microsoft YaHei", 11),</t>
        </is>
      </c>
    </row>
    <row r="356">
      <c r="A356" s="7" t="n">
        <v>353</v>
      </c>
      <c r="B356" s="8" t="inlineStr">
        <is>
          <t xml:space="preserve">                                bg="#ffffff", fg="#1b5e20", insertbackground="#1b5e20")</t>
        </is>
      </c>
    </row>
    <row r="357">
      <c r="A357" s="9" t="n">
        <v>354</v>
      </c>
      <c r="B357" s="10" t="inlineStr">
        <is>
          <t xml:space="preserve">        self.ai_input.pack(side="left", fill="both", expand=True)</t>
        </is>
      </c>
    </row>
    <row r="358">
      <c r="A358" s="7" t="n">
        <v>355</v>
      </c>
      <c r="B358" s="8" t="inlineStr"/>
    </row>
    <row r="359">
      <c r="A359" s="9" t="n">
        <v>356</v>
      </c>
      <c r="B359" s="10" t="inlineStr">
        <is>
          <t xml:space="preserve">        # ── 发送按钮 (放在输入框右侧，大而明显) ──</t>
        </is>
      </c>
    </row>
    <row r="360">
      <c r="A360" s="7" t="n">
        <v>357</v>
      </c>
      <c r="B360" s="8" t="inlineStr">
        <is>
          <t xml:space="preserve">        btn_col = ttk.Frame(input_frame)</t>
        </is>
      </c>
    </row>
    <row r="361">
      <c r="A361" s="9" t="n">
        <v>358</v>
      </c>
      <c r="B361" s="10" t="inlineStr">
        <is>
          <t xml:space="preserve">        btn_col.pack(side="right", padx=(8, 0), fill="y")</t>
        </is>
      </c>
    </row>
    <row r="362">
      <c r="A362" s="7" t="n">
        <v>359</v>
      </c>
      <c r="B362" s="8" t="inlineStr"/>
    </row>
    <row r="363">
      <c r="A363" s="9" t="n">
        <v>360</v>
      </c>
      <c r="B363" s="10" t="inlineStr">
        <is>
          <t xml:space="preserve">        # 圆角发送按钮</t>
        </is>
      </c>
    </row>
    <row r="364">
      <c r="A364" s="7" t="n">
        <v>361</v>
      </c>
      <c r="B364" s="8" t="inlineStr">
        <is>
          <t xml:space="preserve">        self.send_btn = RoundedButton(</t>
        </is>
      </c>
    </row>
    <row r="365">
      <c r="A365" s="9" t="n">
        <v>362</v>
      </c>
      <c r="B365" s="10" t="inlineStr">
        <is>
          <t xml:space="preserve">            btn_col,</t>
        </is>
      </c>
    </row>
    <row r="366">
      <c r="A366" s="7" t="n">
        <v>363</v>
      </c>
      <c r="B366" s="8" t="inlineStr">
        <is>
          <t xml:space="preserve">            text="发送 / Send",</t>
        </is>
      </c>
    </row>
    <row r="367">
      <c r="A367" s="9" t="n">
        <v>364</v>
      </c>
      <c r="B367" s="10" t="inlineStr">
        <is>
          <t xml:space="preserve">            font=("Microsoft YaHei", 11, "bold"),</t>
        </is>
      </c>
    </row>
    <row r="368">
      <c r="A368" s="7" t="n">
        <v>365</v>
      </c>
      <c r="B368" s="8" t="inlineStr">
        <is>
          <t xml:space="preserve">            width=80, height=38,</t>
        </is>
      </c>
    </row>
    <row r="369">
      <c r="A369" s="9" t="n">
        <v>366</v>
      </c>
      <c r="B369" s="10" t="inlineStr">
        <is>
          <t xml:space="preserve">            bg_color="#0d6efd", fg_color="#ffffff", hover_color="#0b5ed7", radius=12,</t>
        </is>
      </c>
    </row>
    <row r="370">
      <c r="A370" s="7" t="n">
        <v>367</v>
      </c>
      <c r="B370" s="8" t="inlineStr">
        <is>
          <t xml:space="preserve">            command=self._ask_ai,</t>
        </is>
      </c>
    </row>
    <row r="371">
      <c r="A371" s="9" t="n">
        <v>368</v>
      </c>
      <c r="B371" s="10" t="inlineStr">
        <is>
          <t xml:space="preserve">        )</t>
        </is>
      </c>
    </row>
    <row r="372">
      <c r="A372" s="7" t="n">
        <v>369</v>
      </c>
      <c r="B372" s="8" t="inlineStr">
        <is>
          <t xml:space="preserve">        self.send_btn.pack(pady=2, fill="y")</t>
        </is>
      </c>
    </row>
    <row r="373">
      <c r="A373" s="9" t="n">
        <v>370</v>
      </c>
      <c r="B373" s="10" t="inlineStr"/>
    </row>
    <row r="374">
      <c r="A374" s="7" t="n">
        <v>371</v>
      </c>
      <c r="B374" s="8" t="inlineStr">
        <is>
          <t xml:space="preserve">        RoundedButton(</t>
        </is>
      </c>
    </row>
    <row r="375">
      <c r="A375" s="9" t="n">
        <v>372</v>
      </c>
      <c r="B375" s="10" t="inlineStr">
        <is>
          <t xml:space="preserve">            btn_col, text="清空", font=("Microsoft YaHei", 9),</t>
        </is>
      </c>
    </row>
    <row r="376">
      <c r="A376" s="7" t="n">
        <v>373</v>
      </c>
      <c r="B376" s="8" t="inlineStr">
        <is>
          <t xml:space="preserve">            width=60, height=32,</t>
        </is>
      </c>
    </row>
    <row r="377">
      <c r="A377" s="9" t="n">
        <v>374</v>
      </c>
      <c r="B377" s="10" t="inlineStr">
        <is>
          <t xml:space="preserve">            bg_color="#4a7c4f", fg_color="#ffffff", hover_color="#6d9b6f", radius=10,</t>
        </is>
      </c>
    </row>
    <row r="378">
      <c r="A378" s="7" t="n">
        <v>375</v>
      </c>
      <c r="B378" s="8" t="inlineStr">
        <is>
          <t xml:space="preserve">            command=lambda: self.ai_input.delete("1.0", "end")</t>
        </is>
      </c>
    </row>
    <row r="379">
      <c r="A379" s="9" t="n">
        <v>376</v>
      </c>
      <c r="B379" s="10" t="inlineStr">
        <is>
          <t xml:space="preserve">        ).pack(pady=2)</t>
        </is>
      </c>
    </row>
    <row r="380">
      <c r="A380" s="7" t="n">
        <v>377</v>
      </c>
      <c r="B380" s="8" t="inlineStr"/>
    </row>
    <row r="381">
      <c r="A381" s="9" t="n">
        <v>378</v>
      </c>
      <c r="B381" s="10" t="inlineStr">
        <is>
          <t xml:space="preserve">        # 也绑定 Ctrl+Enter 快捷键</t>
        </is>
      </c>
    </row>
    <row r="382">
      <c r="A382" s="7" t="n">
        <v>379</v>
      </c>
      <c r="B382" s="8" t="inlineStr">
        <is>
          <t xml:space="preserve">        self.ai_input.bind("&lt;Control-Return&gt;", lambda e: self._ask_ai())</t>
        </is>
      </c>
    </row>
    <row r="383">
      <c r="A383" s="9" t="n">
        <v>380</v>
      </c>
      <c r="B383" s="10" t="inlineStr">
        <is>
          <t xml:space="preserve">        self.ai_input.bind("&lt;Control-KeyPress-Return&gt;", lambda e: self._ask_ai())</t>
        </is>
      </c>
    </row>
    <row r="384">
      <c r="A384" s="7" t="n">
        <v>381</v>
      </c>
      <c r="B384" s="8" t="inlineStr"/>
    </row>
    <row r="385">
      <c r="A385" s="9" t="n">
        <v>382</v>
      </c>
      <c r="B385" s="10" t="inlineStr">
        <is>
          <t xml:space="preserve">        # 状态栏</t>
        </is>
      </c>
    </row>
    <row r="386">
      <c r="A386" s="7" t="n">
        <v>383</v>
      </c>
      <c r="B386" s="8" t="inlineStr">
        <is>
          <t xml:space="preserve">        st_frame = ttk.Frame(tab)</t>
        </is>
      </c>
    </row>
    <row r="387">
      <c r="A387" s="9" t="n">
        <v>384</v>
      </c>
      <c r="B387" s="10" t="inlineStr">
        <is>
          <t xml:space="preserve">        st_frame.pack(fill="x", pady=(4, 0))</t>
        </is>
      </c>
    </row>
    <row r="388">
      <c r="A388" s="7" t="n">
        <v>385</v>
      </c>
      <c r="B388" s="8" t="inlineStr">
        <is>
          <t xml:space="preserve">        self.ai_status = ttk.Label(st_frame, text="就绪 — 输入问题后点击「发送」",</t>
        </is>
      </c>
    </row>
    <row r="389">
      <c r="A389" s="9" t="n">
        <v>386</v>
      </c>
      <c r="B389" s="10" t="inlineStr">
        <is>
          <t xml:space="preserve">                                   foreground="#4a7c4f")</t>
        </is>
      </c>
    </row>
    <row r="390">
      <c r="A390" s="7" t="n">
        <v>387</v>
      </c>
      <c r="B390" s="8" t="inlineStr">
        <is>
          <t xml:space="preserve">        self.ai_status.pack(side="left", padx=2)</t>
        </is>
      </c>
    </row>
    <row r="391">
      <c r="A391" s="9" t="n">
        <v>388</v>
      </c>
      <c r="B391" s="10" t="inlineStr">
        <is>
          <t xml:space="preserve">        RoundedButton(st_frame, text="清空对话", command=self._clear_chat</t>
        </is>
      </c>
    </row>
    <row r="392">
      <c r="A392" s="7" t="n">
        <v>389</v>
      </c>
      <c r="B392" s="8" t="inlineStr">
        <is>
          <t>, width=100, height=34, bg_color="#e0e0e0", fg_color="#212529", hover_color="#d0e0ff", radius=10).pack(side="right", padx=2)</t>
        </is>
      </c>
    </row>
    <row r="393">
      <c r="A393" s="9" t="n">
        <v>390</v>
      </c>
      <c r="B393" s="10" t="inlineStr"/>
    </row>
    <row r="394">
      <c r="A394" s="7" t="n">
        <v>391</v>
      </c>
      <c r="B394" s="8" t="inlineStr">
        <is>
          <t xml:space="preserve">        # 对话显示区</t>
        </is>
      </c>
    </row>
    <row r="395">
      <c r="A395" s="9" t="n">
        <v>392</v>
      </c>
      <c r="B395" s="10" t="inlineStr">
        <is>
          <t xml:space="preserve">        self.ai_output = scrolledtext.ScrolledText(</t>
        </is>
      </c>
    </row>
    <row r="396">
      <c r="A396" s="7" t="n">
        <v>393</v>
      </c>
      <c r="B396" s="8" t="inlineStr">
        <is>
          <t xml:space="preserve">            tab, font=("Microsoft YaHei", 10),</t>
        </is>
      </c>
    </row>
    <row r="397">
      <c r="A397" s="9" t="n">
        <v>394</v>
      </c>
      <c r="B397" s="10" t="inlineStr">
        <is>
          <t xml:space="preserve">            bg="#e8f5e9", fg="#1b5e20",</t>
        </is>
      </c>
    </row>
    <row r="398">
      <c r="A398" s="7" t="n">
        <v>395</v>
      </c>
      <c r="B398" s="8" t="inlineStr">
        <is>
          <t xml:space="preserve">            state="disabled", wrap="word",</t>
        </is>
      </c>
    </row>
    <row r="399">
      <c r="A399" s="9" t="n">
        <v>396</v>
      </c>
      <c r="B399" s="10" t="inlineStr">
        <is>
          <t xml:space="preserve">        )</t>
        </is>
      </c>
    </row>
    <row r="400">
      <c r="A400" s="7" t="n">
        <v>397</v>
      </c>
      <c r="B400" s="8" t="inlineStr">
        <is>
          <t xml:space="preserve">        self.ai_output.pack(fill="both", expand=True, pady=4)</t>
        </is>
      </c>
    </row>
    <row r="401">
      <c r="A401" s="9" t="n">
        <v>398</v>
      </c>
      <c r="B401" s="10" t="inlineStr"/>
    </row>
    <row r="402">
      <c r="A402" s="7" t="n">
        <v>399</v>
      </c>
      <c r="B402" s="8" t="inlineStr">
        <is>
          <t xml:space="preserve">        self._chat_history = []</t>
        </is>
      </c>
    </row>
    <row r="403">
      <c r="A403" s="9" t="n">
        <v>400</v>
      </c>
      <c r="B403" s="10" t="inlineStr"/>
    </row>
    <row r="404">
      <c r="A404" s="7" t="n">
        <v>401</v>
      </c>
      <c r="B404" s="8" t="inlineStr">
        <is>
          <t xml:space="preserve">        # 初始化提示</t>
        </is>
      </c>
    </row>
    <row r="405">
      <c r="A405" s="9" t="n">
        <v>402</v>
      </c>
      <c r="B405" s="10" t="inlineStr">
        <is>
          <t xml:space="preserve">        self._append_chat("系统",</t>
        </is>
      </c>
    </row>
    <row r="406">
      <c r="A406" s="7" t="n">
        <v>403</v>
      </c>
      <c r="B406" s="8" t="inlineStr">
        <is>
          <t xml:space="preserve">            "欢迎使用树剪 AI 助手！\n"</t>
        </is>
      </c>
    </row>
    <row r="407">
      <c r="A407" s="9" t="n">
        <v>404</v>
      </c>
      <c r="B407" s="10" t="inlineStr">
        <is>
          <t xml:space="preserve">            "输入问题后点击右侧「发送」按钮或按 Ctrl+Enter 发送。\n"</t>
        </is>
      </c>
    </row>
    <row r="408">
      <c r="A408" s="7" t="n">
        <v>405</v>
      </c>
      <c r="B408" s="8" t="inlineStr">
        <is>
          <t xml:space="preserve">            "示例: 「如何让画面匹配更精准？」",</t>
        </is>
      </c>
    </row>
    <row r="409">
      <c r="A409" s="9" t="n">
        <v>406</v>
      </c>
      <c r="B409" s="10" t="inlineStr">
        <is>
          <t xml:space="preserve">            "#888")</t>
        </is>
      </c>
    </row>
    <row r="410">
      <c r="A410" s="7" t="n">
        <v>407</v>
      </c>
      <c r="B410" s="8" t="inlineStr"/>
    </row>
    <row r="411">
      <c r="A411" s="9" t="n">
        <v>408</v>
      </c>
      <c r="B411" s="10" t="inlineStr">
        <is>
          <t xml:space="preserve">    def _fill_question(self, q):</t>
        </is>
      </c>
    </row>
    <row r="412">
      <c r="A412" s="7" t="n">
        <v>409</v>
      </c>
      <c r="B412" s="8" t="inlineStr">
        <is>
          <t xml:space="preserve">        self.ai_input.delete("1.0", "end")</t>
        </is>
      </c>
    </row>
    <row r="413">
      <c r="A413" s="9" t="n">
        <v>410</v>
      </c>
      <c r="B413" s="10" t="inlineStr">
        <is>
          <t xml:space="preserve">        self.ai_input.insert("1.0", q)</t>
        </is>
      </c>
    </row>
    <row r="414">
      <c r="A414" s="7" t="n">
        <v>411</v>
      </c>
      <c r="B414" s="8" t="inlineStr"/>
    </row>
    <row r="415">
      <c r="A415" s="9" t="n">
        <v>412</v>
      </c>
      <c r="B415" s="10" t="inlineStr">
        <is>
          <t xml:space="preserve">    def _clear_chat(self):</t>
        </is>
      </c>
    </row>
    <row r="416">
      <c r="A416" s="7" t="n">
        <v>413</v>
      </c>
      <c r="B416" s="8" t="inlineStr">
        <is>
          <t xml:space="preserve">        self.ai_output.config(state="normal")</t>
        </is>
      </c>
    </row>
    <row r="417">
      <c r="A417" s="9" t="n">
        <v>414</v>
      </c>
      <c r="B417" s="10" t="inlineStr">
        <is>
          <t xml:space="preserve">        self.ai_output.delete("1.0", "end")</t>
        </is>
      </c>
    </row>
    <row r="418">
      <c r="A418" s="7" t="n">
        <v>415</v>
      </c>
      <c r="B418" s="8" t="inlineStr">
        <is>
          <t xml:space="preserve">        self.ai_output.config(state="disabled")</t>
        </is>
      </c>
    </row>
    <row r="419">
      <c r="A419" s="9" t="n">
        <v>416</v>
      </c>
      <c r="B419" s="10" t="inlineStr">
        <is>
          <t xml:space="preserve">        self._chat_history = []</t>
        </is>
      </c>
    </row>
    <row r="420">
      <c r="A420" s="7" t="n">
        <v>417</v>
      </c>
      <c r="B420" s="8" t="inlineStr"/>
    </row>
    <row r="421">
      <c r="A421" s="9" t="n">
        <v>418</v>
      </c>
      <c r="B421" s="10" t="inlineStr">
        <is>
          <t xml:space="preserve">    def _append_chat(self, role, text, color):</t>
        </is>
      </c>
    </row>
    <row r="422">
      <c r="A422" s="7" t="n">
        <v>419</v>
      </c>
      <c r="B422" s="8" t="inlineStr">
        <is>
          <t xml:space="preserve">        self.ai_output.config(state="normal")</t>
        </is>
      </c>
    </row>
    <row r="423">
      <c r="A423" s="9" t="n">
        <v>420</v>
      </c>
      <c r="B423" s="10" t="inlineStr">
        <is>
          <t xml:space="preserve">        ts = time.strftime("%H:%M:%S")</t>
        </is>
      </c>
    </row>
    <row r="424">
      <c r="A424" s="7" t="n">
        <v>421</v>
      </c>
      <c r="B424" s="8" t="inlineStr">
        <is>
          <t xml:space="preserve">        self.ai_output.insert("end", f"{ts} [{role}]\n", ("ts",))</t>
        </is>
      </c>
    </row>
    <row r="425">
      <c r="A425" s="9" t="n">
        <v>422</v>
      </c>
      <c r="B425" s="10" t="inlineStr">
        <is>
          <t xml:space="preserve">        self.ai_output.insert("end", text + "\n\n")</t>
        </is>
      </c>
    </row>
    <row r="426">
      <c r="A426" s="7" t="n">
        <v>423</v>
      </c>
      <c r="B426" s="8" t="inlineStr">
        <is>
          <t xml:space="preserve">        self.ai_output.tag_config("ts", foreground="#81c784")</t>
        </is>
      </c>
    </row>
    <row r="427">
      <c r="A427" s="9" t="n">
        <v>424</v>
      </c>
      <c r="B427" s="10" t="inlineStr">
        <is>
          <t xml:space="preserve">        self.ai_output.see("end")</t>
        </is>
      </c>
    </row>
    <row r="428">
      <c r="A428" s="7" t="n">
        <v>425</v>
      </c>
      <c r="B428" s="8" t="inlineStr">
        <is>
          <t xml:space="preserve">        self.ai_output.config(state="disabled")</t>
        </is>
      </c>
    </row>
    <row r="429">
      <c r="A429" s="9" t="n">
        <v>426</v>
      </c>
      <c r="B429" s="10" t="inlineStr">
        <is>
          <t xml:space="preserve">        self._chat_history.append({"role": role, "text": text, "time": ts})</t>
        </is>
      </c>
    </row>
    <row r="430">
      <c r="A430" s="7" t="n">
        <v>427</v>
      </c>
      <c r="B430" s="8" t="inlineStr"/>
    </row>
    <row r="431">
      <c r="A431" s="9" t="n">
        <v>428</v>
      </c>
      <c r="B431" s="10" t="inlineStr">
        <is>
          <t xml:space="preserve">    def _ask_ai(self):</t>
        </is>
      </c>
    </row>
    <row r="432">
      <c r="A432" s="7" t="n">
        <v>429</v>
      </c>
      <c r="B432" s="8" t="inlineStr">
        <is>
          <t xml:space="preserve">        q = self.ai_input.get("1.0", "end-1c").strip()</t>
        </is>
      </c>
    </row>
    <row r="433">
      <c r="A433" s="9" t="n">
        <v>430</v>
      </c>
      <c r="B433" s="10" t="inlineStr">
        <is>
          <t xml:space="preserve">        if not q:</t>
        </is>
      </c>
    </row>
    <row r="434">
      <c r="A434" s="7" t="n">
        <v>431</v>
      </c>
      <c r="B434" s="8" t="inlineStr">
        <is>
          <t xml:space="preserve">            messagebox.showinfo("提示", "请输入问题后再点击发送")</t>
        </is>
      </c>
    </row>
    <row r="435">
      <c r="A435" s="9" t="n">
        <v>432</v>
      </c>
      <c r="B435" s="10" t="inlineStr">
        <is>
          <t xml:space="preserve">            return</t>
        </is>
      </c>
    </row>
    <row r="436">
      <c r="A436" s="7" t="n">
        <v>433</v>
      </c>
      <c r="B436" s="8" t="inlineStr"/>
    </row>
    <row r="437">
      <c r="A437" s="9" t="n">
        <v>434</v>
      </c>
      <c r="B437" s="10" t="inlineStr">
        <is>
          <t xml:space="preserve">        # 检查 API Key</t>
        </is>
      </c>
    </row>
    <row r="438">
      <c r="A438" s="7" t="n">
        <v>435</v>
      </c>
      <c r="B438" s="8" t="inlineStr">
        <is>
          <t xml:space="preserve">        key = os.environ.get("DEEPSEEK_API_KEY", "")</t>
        </is>
      </c>
    </row>
    <row r="439">
      <c r="A439" s="9" t="n">
        <v>436</v>
      </c>
      <c r="B439" s="10" t="inlineStr">
        <is>
          <t xml:space="preserve">        if not key:</t>
        </is>
      </c>
    </row>
    <row r="440">
      <c r="A440" s="7" t="n">
        <v>437</v>
      </c>
      <c r="B440" s="8" t="inlineStr">
        <is>
          <t xml:space="preserve">            try:</t>
        </is>
      </c>
    </row>
    <row r="441">
      <c r="A441" s="9" t="n">
        <v>438</v>
      </c>
      <c r="B441" s="10" t="inlineStr">
        <is>
          <t xml:space="preserve">                from utils.security import safe_read_env</t>
        </is>
      </c>
    </row>
    <row r="442">
      <c r="A442" s="7" t="n">
        <v>439</v>
      </c>
      <c r="B442" s="8" t="inlineStr">
        <is>
          <t xml:space="preserve">                key = safe_read_env(Path(__file__).parent.parent / ".env").get(</t>
        </is>
      </c>
    </row>
    <row r="443">
      <c r="A443" s="9" t="n">
        <v>440</v>
      </c>
      <c r="B443" s="10" t="inlineStr">
        <is>
          <t xml:space="preserve">                    "DEEPSEEK_API_KEY", "")</t>
        </is>
      </c>
    </row>
    <row r="444">
      <c r="A444" s="7" t="n">
        <v>441</v>
      </c>
      <c r="B444" s="8" t="inlineStr">
        <is>
          <t xml:space="preserve">            except Exception:</t>
        </is>
      </c>
    </row>
    <row r="445">
      <c r="A445" s="9" t="n">
        <v>442</v>
      </c>
      <c r="B445" s="10" t="inlineStr">
        <is>
          <t xml:space="preserve">                pass</t>
        </is>
      </c>
    </row>
    <row r="446">
      <c r="A446" s="7" t="n">
        <v>443</v>
      </c>
      <c r="B446" s="8" t="inlineStr">
        <is>
          <t xml:space="preserve">        if not key:</t>
        </is>
      </c>
    </row>
    <row r="447">
      <c r="A447" s="9" t="n">
        <v>444</v>
      </c>
      <c r="B447" s="10" t="inlineStr">
        <is>
          <t xml:space="preserve">            self._append_chat("系统",</t>
        </is>
      </c>
    </row>
    <row r="448">
      <c r="A448" s="7" t="n">
        <v>445</v>
      </c>
      <c r="B448" s="8" t="inlineStr">
        <is>
          <t xml:space="preserve">                "请先在「AI模型配置」页面设置 DeepSeek API Key，然后重新提问。",</t>
        </is>
      </c>
    </row>
    <row r="449">
      <c r="A449" s="9" t="n">
        <v>446</v>
      </c>
      <c r="B449" s="10" t="inlineStr">
        <is>
          <t xml:space="preserve">                "#e53935")</t>
        </is>
      </c>
    </row>
    <row r="450">
      <c r="A450" s="7" t="n">
        <v>447</v>
      </c>
      <c r="B450" s="8" t="inlineStr">
        <is>
          <t xml:space="preserve">            self.ai_status.config(text="API Key 未配置", foreground="#e53935")</t>
        </is>
      </c>
    </row>
    <row r="451">
      <c r="A451" s="9" t="n">
        <v>448</v>
      </c>
      <c r="B451" s="10" t="inlineStr">
        <is>
          <t xml:space="preserve">            return</t>
        </is>
      </c>
    </row>
    <row r="452">
      <c r="A452" s="7" t="n">
        <v>449</v>
      </c>
      <c r="B452" s="8" t="inlineStr"/>
    </row>
    <row r="453">
      <c r="A453" s="9" t="n">
        <v>450</v>
      </c>
      <c r="B453" s="10" t="inlineStr">
        <is>
          <t xml:space="preserve">        # 显示用户消息</t>
        </is>
      </c>
    </row>
    <row r="454">
      <c r="A454" s="7" t="n">
        <v>451</v>
      </c>
      <c r="B454" s="8" t="inlineStr">
        <is>
          <t xml:space="preserve">        self._append_chat("你", q, "#2e7d32")</t>
        </is>
      </c>
    </row>
    <row r="455">
      <c r="A455" s="9" t="n">
        <v>452</v>
      </c>
      <c r="B455" s="10" t="inlineStr">
        <is>
          <t xml:space="preserve">        self.ai_status.config(text="思考中...", foreground="#ffb74d")</t>
        </is>
      </c>
    </row>
    <row r="456">
      <c r="A456" s="7" t="n">
        <v>453</v>
      </c>
      <c r="B456" s="8" t="inlineStr">
        <is>
          <t xml:space="preserve">        self.send_btn.config(state="disabled", text="等待中...")</t>
        </is>
      </c>
    </row>
    <row r="457">
      <c r="A457" s="9" t="n">
        <v>454</v>
      </c>
      <c r="B457" s="10" t="inlineStr"/>
    </row>
    <row r="458">
      <c r="A458" s="7" t="n">
        <v>455</v>
      </c>
      <c r="B458" s="8" t="inlineStr">
        <is>
          <t xml:space="preserve">        def _call():</t>
        </is>
      </c>
    </row>
    <row r="459">
      <c r="A459" s="9" t="n">
        <v>456</v>
      </c>
      <c r="B459" s="10" t="inlineStr">
        <is>
          <t xml:space="preserve">            try:</t>
        </is>
      </c>
    </row>
    <row r="460">
      <c r="A460" s="7" t="n">
        <v>457</v>
      </c>
      <c r="B460" s="8" t="inlineStr">
        <is>
          <t xml:space="preserve">                from core.deepseek_client import DeepSeekClient</t>
        </is>
      </c>
    </row>
    <row r="461">
      <c r="A461" s="9" t="n">
        <v>458</v>
      </c>
      <c r="B461" s="10" t="inlineStr">
        <is>
          <t xml:space="preserve">                ds = DeepSeekClient()</t>
        </is>
      </c>
    </row>
    <row r="462">
      <c r="A462" s="7" t="n">
        <v>459</v>
      </c>
      <c r="B462" s="8" t="inlineStr">
        <is>
          <t xml:space="preserve">                if not ds.available:</t>
        </is>
      </c>
    </row>
    <row r="463">
      <c r="A463" s="9" t="n">
        <v>460</v>
      </c>
      <c r="B463" s="10" t="inlineStr">
        <is>
          <t xml:space="preserve">                    self.top.after(0, lambda: (</t>
        </is>
      </c>
    </row>
    <row r="464">
      <c r="A464" s="7" t="n">
        <v>461</v>
      </c>
      <c r="B464" s="8" t="inlineStr">
        <is>
          <t xml:space="preserve">                        self._append_chat("AI",</t>
        </is>
      </c>
    </row>
    <row r="465">
      <c r="A465" s="9" t="n">
        <v>462</v>
      </c>
      <c r="B465" s="10" t="inlineStr">
        <is>
          <t xml:space="preserve">                            "API Key 无效或 openai 未安装。请在 AI模型配置 页面检查配置。",</t>
        </is>
      </c>
    </row>
    <row r="466">
      <c r="A466" s="7" t="n">
        <v>463</v>
      </c>
      <c r="B466" s="8" t="inlineStr">
        <is>
          <t xml:space="preserve">                            "#e53935"),</t>
        </is>
      </c>
    </row>
    <row r="467">
      <c r="A467" s="9" t="n">
        <v>464</v>
      </c>
      <c r="B467" s="10" t="inlineStr">
        <is>
          <t xml:space="preserve">                        self.ai_status.config(text="API Key 无效", foreground="#e53935"),</t>
        </is>
      </c>
    </row>
    <row r="468">
      <c r="A468" s="7" t="n">
        <v>465</v>
      </c>
      <c r="B468" s="8" t="inlineStr">
        <is>
          <t xml:space="preserve">                        self.send_btn.config(state="normal", text="发送 / Send"),</t>
        </is>
      </c>
    </row>
    <row r="469">
      <c r="A469" s="9" t="n">
        <v>466</v>
      </c>
      <c r="B469" s="10" t="inlineStr">
        <is>
          <t xml:space="preserve">                    ))</t>
        </is>
      </c>
    </row>
    <row r="470">
      <c r="A470" s="7" t="n">
        <v>467</v>
      </c>
      <c r="B470" s="8" t="inlineStr">
        <is>
          <t xml:space="preserve">                    return</t>
        </is>
      </c>
    </row>
    <row r="471">
      <c r="A471" s="9" t="n">
        <v>468</v>
      </c>
      <c r="B471" s="10" t="inlineStr"/>
    </row>
    <row r="472">
      <c r="A472" s="7" t="n">
        <v>469</v>
      </c>
      <c r="B472" s="8" t="inlineStr">
        <is>
          <t xml:space="preserve">                sys_prompt = (</t>
        </is>
      </c>
    </row>
    <row r="473">
      <c r="A473" s="9" t="n">
        <v>470</v>
      </c>
      <c r="B473" s="10" t="inlineStr">
        <is>
          <t xml:space="preserve">                    "你是树剪TreeCut v11.1的AI助手。树剪是一个岛台品牌AI视频半自动剪辑工具。"</t>
        </is>
      </c>
    </row>
    <row r="474">
      <c r="A474" s="7" t="n">
        <v>471</v>
      </c>
      <c r="B474" s="8" t="inlineStr">
        <is>
          <t xml:space="preserve">                    "核心模型: Qwen3-VL-4B(视觉分析)、SenseVoice(情绪识别)、"</t>
        </is>
      </c>
    </row>
    <row r="475">
      <c r="A475" s="9" t="n">
        <v>472</v>
      </c>
      <c r="B475" s="10" t="inlineStr">
        <is>
          <t xml:space="preserve">                    "Whisper(语音转写)、FAISS+BGE-M3(向量检索)。"</t>
        </is>
      </c>
    </row>
    <row r="476">
      <c r="A476" s="7" t="n">
        <v>473</v>
      </c>
      <c r="B476" s="8" t="inlineStr">
        <is>
          <t xml:space="preserve">                    "功能: AI文案生成、AI配音、视觉分析、语音识别、行业知识库、剪映草稿生成。"</t>
        </is>
      </c>
    </row>
    <row r="477">
      <c r="A477" s="9" t="n">
        <v>474</v>
      </c>
      <c r="B477" s="10" t="inlineStr">
        <is>
          <t xml:space="preserve">                    "帮助用户优化视频生成、解决软件问题、提供家居家装行业建议。回答简洁专业。"</t>
        </is>
      </c>
    </row>
    <row r="478">
      <c r="A478" s="7" t="n">
        <v>475</v>
      </c>
      <c r="B478" s="8" t="inlineStr">
        <is>
          <t xml:space="preserve">                )</t>
        </is>
      </c>
    </row>
    <row r="479">
      <c r="A479" s="9" t="n">
        <v>476</v>
      </c>
      <c r="B479" s="10" t="inlineStr">
        <is>
          <t xml:space="preserve">                answer = ds._call(sys_prompt, q, max_tokens=800)</t>
        </is>
      </c>
    </row>
    <row r="480">
      <c r="A480" s="7" t="n">
        <v>477</v>
      </c>
      <c r="B480" s="8" t="inlineStr"/>
    </row>
    <row r="481">
      <c r="A481" s="9" t="n">
        <v>478</v>
      </c>
      <c r="B481" s="10" t="inlineStr">
        <is>
          <t xml:space="preserve">                def _done(a=answer):</t>
        </is>
      </c>
    </row>
    <row r="482">
      <c r="A482" s="7" t="n">
        <v>479</v>
      </c>
      <c r="B482" s="8" t="inlineStr">
        <is>
          <t xml:space="preserve">                    if a:</t>
        </is>
      </c>
    </row>
    <row r="483">
      <c r="A483" s="9" t="n">
        <v>480</v>
      </c>
      <c r="B483" s="10" t="inlineStr">
        <is>
          <t xml:space="preserve">                        self._append_chat("AI", a, "#43a047")</t>
        </is>
      </c>
    </row>
    <row r="484">
      <c r="A484" s="7" t="n">
        <v>481</v>
      </c>
      <c r="B484" s="8" t="inlineStr">
        <is>
          <t xml:space="preserve">                        self.ai_status.config(text="就绪", foreground="#43a047")</t>
        </is>
      </c>
    </row>
    <row r="485">
      <c r="A485" s="9" t="n">
        <v>482</v>
      </c>
      <c r="B485" s="10" t="inlineStr">
        <is>
          <t xml:space="preserve">                    else:</t>
        </is>
      </c>
    </row>
    <row r="486">
      <c r="A486" s="7" t="n">
        <v>483</v>
      </c>
      <c r="B486" s="8" t="inlineStr">
        <is>
          <t xml:space="preserve">                        self._append_chat("AI",</t>
        </is>
      </c>
    </row>
    <row r="487">
      <c r="A487" s="9" t="n">
        <v>484</v>
      </c>
      <c r="B487" s="10" t="inlineStr">
        <is>
          <t xml:space="preserve">                            "API 返回空结果，请检查网络或 API Key 是否有效。",</t>
        </is>
      </c>
    </row>
    <row r="488">
      <c r="A488" s="7" t="n">
        <v>485</v>
      </c>
      <c r="B488" s="8" t="inlineStr">
        <is>
          <t xml:space="preserve">                            "#e53935")</t>
        </is>
      </c>
    </row>
    <row r="489">
      <c r="A489" s="9" t="n">
        <v>486</v>
      </c>
      <c r="B489" s="10" t="inlineStr">
        <is>
          <t xml:space="preserve">                        self.ai_status.config(text="调用失败", foreground="#e53935")</t>
        </is>
      </c>
    </row>
    <row r="490">
      <c r="A490" s="7" t="n">
        <v>487</v>
      </c>
      <c r="B490" s="8" t="inlineStr">
        <is>
          <t xml:space="preserve">                    self.send_btn.config(state="normal", text="发送 / Send")</t>
        </is>
      </c>
    </row>
    <row r="491">
      <c r="A491" s="9" t="n">
        <v>488</v>
      </c>
      <c r="B491" s="10" t="inlineStr"/>
    </row>
    <row r="492">
      <c r="A492" s="7" t="n">
        <v>489</v>
      </c>
      <c r="B492" s="8" t="inlineStr">
        <is>
          <t xml:space="preserve">                self.top.after(0, _done)</t>
        </is>
      </c>
    </row>
    <row r="493">
      <c r="A493" s="9" t="n">
        <v>490</v>
      </c>
      <c r="B493" s="10" t="inlineStr"/>
    </row>
    <row r="494">
      <c r="A494" s="7" t="n">
        <v>491</v>
      </c>
      <c r="B494" s="8" t="inlineStr">
        <is>
          <t xml:space="preserve">            except Exception as e:</t>
        </is>
      </c>
    </row>
    <row r="495">
      <c r="A495" s="9" t="n">
        <v>492</v>
      </c>
      <c r="B495" s="10" t="inlineStr">
        <is>
          <t xml:space="preserve">                def _err():</t>
        </is>
      </c>
    </row>
    <row r="496">
      <c r="A496" s="7" t="n">
        <v>493</v>
      </c>
      <c r="B496" s="8" t="inlineStr">
        <is>
          <t xml:space="preserve">                    self._append_chat("AI", f"调用出错: {str(e)[:300]}", "#e53935")</t>
        </is>
      </c>
    </row>
    <row r="497">
      <c r="A497" s="9" t="n">
        <v>494</v>
      </c>
      <c r="B497" s="10" t="inlineStr">
        <is>
          <t xml:space="preserve">                    self.ai_status.config(text="出错", foreground="#e53935")</t>
        </is>
      </c>
    </row>
    <row r="498">
      <c r="A498" s="7" t="n">
        <v>495</v>
      </c>
      <c r="B498" s="8" t="inlineStr">
        <is>
          <t xml:space="preserve">                    self.send_btn.config(state="normal", text="发送 / Send")</t>
        </is>
      </c>
    </row>
    <row r="499">
      <c r="A499" s="9" t="n">
        <v>496</v>
      </c>
      <c r="B499" s="10" t="inlineStr">
        <is>
          <t xml:space="preserve">                self.top.after(0, _err)</t>
        </is>
      </c>
    </row>
    <row r="500">
      <c r="A500" s="7" t="n">
        <v>497</v>
      </c>
      <c r="B500" s="8" t="inlineStr"/>
    </row>
    <row r="501">
      <c r="A501" s="9" t="n">
        <v>498</v>
      </c>
      <c r="B501" s="10" t="inlineStr">
        <is>
          <t xml:space="preserve">        threading.Thread(target=_call, daemon=True).start()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ui\theme.py</t>
        </is>
      </c>
      <c r="C1" s="5" t="inlineStr">
        <is>
          <t>行数: 31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v11.1 — UI 主题常量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所有颜色、字体在此定义。组件通过 `from ui.theme import *` 引用。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# 背景色</t>
        </is>
      </c>
    </row>
    <row r="10">
      <c r="A10" s="7" t="n">
        <v>7</v>
      </c>
      <c r="B10" s="8" t="inlineStr">
        <is>
          <t>BG_DARK = "#1a1a2e"</t>
        </is>
      </c>
    </row>
    <row r="11">
      <c r="A11" s="9" t="n">
        <v>8</v>
      </c>
      <c r="B11" s="10" t="inlineStr">
        <is>
          <t>BG_CARD = "#16213e"</t>
        </is>
      </c>
    </row>
    <row r="12">
      <c r="A12" s="7" t="n">
        <v>9</v>
      </c>
      <c r="B12" s="8" t="inlineStr">
        <is>
          <t>BG_INPUT = "#2a2a3c"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# 前景色</t>
        </is>
      </c>
    </row>
    <row r="15">
      <c r="A15" s="9" t="n">
        <v>12</v>
      </c>
      <c r="B15" s="10" t="inlineStr">
        <is>
          <t>FG_PRIMARY = "#e8eaf6"</t>
        </is>
      </c>
    </row>
    <row r="16">
      <c r="A16" s="7" t="n">
        <v>13</v>
      </c>
      <c r="B16" s="8" t="inlineStr">
        <is>
          <t>FG_SECONDARY = "#8892b0"</t>
        </is>
      </c>
    </row>
    <row r="17">
      <c r="A17" s="9" t="n">
        <v>14</v>
      </c>
      <c r="B17" s="10" t="inlineStr">
        <is>
          <t>FG_ACCENT = "#4f8ef7"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# 状态色</t>
        </is>
      </c>
    </row>
    <row r="20">
      <c r="A20" s="7" t="n">
        <v>17</v>
      </c>
      <c r="B20" s="8" t="inlineStr">
        <is>
          <t>COLOR_OK = "#4caf50"</t>
        </is>
      </c>
    </row>
    <row r="21">
      <c r="A21" s="9" t="n">
        <v>18</v>
      </c>
      <c r="B21" s="10" t="inlineStr">
        <is>
          <t>COLOR_WARN = "#ff9800"</t>
        </is>
      </c>
    </row>
    <row r="22">
      <c r="A22" s="7" t="n">
        <v>19</v>
      </c>
      <c r="B22" s="8" t="inlineStr">
        <is>
          <t>COLOR_FAIL = "#f44336"</t>
        </is>
      </c>
    </row>
    <row r="23">
      <c r="A23" s="9" t="n">
        <v>20</v>
      </c>
      <c r="B23" s="10" t="inlineStr">
        <is>
          <t>COLOR_INFO = "#4f8ef7"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# 字体</t>
        </is>
      </c>
    </row>
    <row r="26">
      <c r="A26" s="7" t="n">
        <v>23</v>
      </c>
      <c r="B26" s="8" t="inlineStr">
        <is>
          <t>FONT_TITLE = ("Microsoft YaHei", 12, "bold")</t>
        </is>
      </c>
    </row>
    <row r="27">
      <c r="A27" s="9" t="n">
        <v>24</v>
      </c>
      <c r="B27" s="10" t="inlineStr">
        <is>
          <t>FONT_BODY = ("Microsoft YaHei", 11)</t>
        </is>
      </c>
    </row>
    <row r="28">
      <c r="A28" s="7" t="n">
        <v>25</v>
      </c>
      <c r="B28" s="8" t="inlineStr">
        <is>
          <t>FONT_SMALL = ("Microsoft YaHei", 9)</t>
        </is>
      </c>
    </row>
    <row r="29">
      <c r="A29" s="9" t="n">
        <v>26</v>
      </c>
      <c r="B29" s="10" t="inlineStr">
        <is>
          <t>FONT_CODE = ("Consolas", 10)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># 快捷键</t>
        </is>
      </c>
    </row>
    <row r="32">
      <c r="A32" s="7" t="n">
        <v>29</v>
      </c>
      <c r="B32" s="8" t="inlineStr">
        <is>
          <t>KEY_GENERATE = "&lt;Control-Return&gt;"</t>
        </is>
      </c>
    </row>
    <row r="33">
      <c r="A33" s="9" t="n">
        <v>30</v>
      </c>
      <c r="B33" s="10" t="inlineStr">
        <is>
          <t>KEY_CANCEL = "&lt;Escape&gt;"</t>
        </is>
      </c>
    </row>
    <row r="34">
      <c r="A34" s="7" t="n">
        <v>31</v>
      </c>
      <c r="B34" s="8" t="inlineStr">
        <is>
          <t>KEY_REFRESH = "&lt;Control-r&gt;"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ui\virtual_scroll.py</t>
        </is>
      </c>
      <c r="C1" s="5" t="inlineStr">
        <is>
          <t>行数: 84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虚拟滚动框架 - 解决大量控件滚动卡顿问题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tkinter as tk</t>
        </is>
      </c>
    </row>
    <row r="8">
      <c r="A8" s="7" t="n">
        <v>5</v>
      </c>
      <c r="B8" s="8" t="inlineStr">
        <is>
          <t>from tkinter import ttk</t>
        </is>
      </c>
    </row>
    <row r="9">
      <c r="A9" s="9" t="n">
        <v>6</v>
      </c>
      <c r="B9" s="10" t="inlineStr">
        <is>
          <t>from typing import List, Callable, Any</t>
        </is>
      </c>
    </row>
    <row r="10">
      <c r="A10" s="7" t="n">
        <v>7</v>
      </c>
      <c r="B10" s="8" t="inlineStr"/>
    </row>
    <row r="11">
      <c r="A11" s="9" t="n">
        <v>8</v>
      </c>
      <c r="B11" s="10" t="inlineStr"/>
    </row>
    <row r="12">
      <c r="A12" s="7" t="n">
        <v>9</v>
      </c>
      <c r="B12" s="8" t="inlineStr">
        <is>
          <t>class VirtualScrollFrame(tk.Frame):</t>
        </is>
      </c>
    </row>
    <row r="13">
      <c r="A13" s="9" t="n">
        <v>10</v>
      </c>
      <c r="B13" s="10" t="inlineStr">
        <is>
          <t xml:space="preserve">    def __init__(self, parent, item_height=80, create_widget_func=None, **kwargs):</t>
        </is>
      </c>
    </row>
    <row r="14">
      <c r="A14" s="7" t="n">
        <v>11</v>
      </c>
      <c r="B14" s="8" t="inlineStr">
        <is>
          <t xml:space="preserve">        super().__init__(parent, **kwargs)</t>
        </is>
      </c>
    </row>
    <row r="15">
      <c r="A15" s="9" t="n">
        <v>12</v>
      </c>
      <c r="B15" s="10" t="inlineStr">
        <is>
          <t xml:space="preserve">        self.item_height = item_height</t>
        </is>
      </c>
    </row>
    <row r="16">
      <c r="A16" s="7" t="n">
        <v>13</v>
      </c>
      <c r="B16" s="8" t="inlineStr">
        <is>
          <t xml:space="preserve">        self.create_widget_func = create_widget_func</t>
        </is>
      </c>
    </row>
    <row r="17">
      <c r="A17" s="9" t="n">
        <v>14</v>
      </c>
      <c r="B17" s="10" t="inlineStr">
        <is>
          <t xml:space="preserve">        self._items = []</t>
        </is>
      </c>
    </row>
    <row r="18">
      <c r="A18" s="7" t="n">
        <v>15</v>
      </c>
      <c r="B18" s="8" t="inlineStr">
        <is>
          <t xml:space="preserve">        self._widgets = {}</t>
        </is>
      </c>
    </row>
    <row r="19">
      <c r="A19" s="9" t="n">
        <v>16</v>
      </c>
      <c r="B19" s="10" t="inlineStr">
        <is>
          <t xml:space="preserve">        self._first_visible = 0</t>
        </is>
      </c>
    </row>
    <row r="20">
      <c r="A20" s="7" t="n">
        <v>17</v>
      </c>
      <c r="B20" s="8" t="inlineStr">
        <is>
          <t xml:space="preserve">        self._last_visible = -1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 xml:space="preserve">        self.canvas = tk.Canvas(self, highlightthickness=0, bg="#1e1e2f")</t>
        </is>
      </c>
    </row>
    <row r="23">
      <c r="A23" s="9" t="n">
        <v>20</v>
      </c>
      <c r="B23" s="10" t="inlineStr">
        <is>
          <t xml:space="preserve">        self.scrollbar = ttk.Scrollbar(self, orient="vertical", command=self.canvas.yview)</t>
        </is>
      </c>
    </row>
    <row r="24">
      <c r="A24" s="7" t="n">
        <v>21</v>
      </c>
      <c r="B24" s="8" t="inlineStr">
        <is>
          <t xml:space="preserve">        self.canvas.configure(yscrollcommand=self.scrollbar.set)</t>
        </is>
      </c>
    </row>
    <row r="25">
      <c r="A25" s="9" t="n">
        <v>22</v>
      </c>
      <c r="B25" s="10" t="inlineStr">
        <is>
          <t xml:space="preserve">        self.canvas.pack(side="left", fill="both", expand=True)</t>
        </is>
      </c>
    </row>
    <row r="26">
      <c r="A26" s="7" t="n">
        <v>23</v>
      </c>
      <c r="B26" s="8" t="inlineStr">
        <is>
          <t xml:space="preserve">        self.scrollbar.pack(side="right", fill="y")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 xml:space="preserve">        self.inner = tk.Frame(self.canvas, bg="#1e1e2f")</t>
        </is>
      </c>
    </row>
    <row r="29">
      <c r="A29" s="9" t="n">
        <v>26</v>
      </c>
      <c r="B29" s="10" t="inlineStr">
        <is>
          <t xml:space="preserve">        self._win_id = self.canvas.create_window((0, 0), window=self.inner, anchor="nw", width=self.canvas.winfo_width())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      self.inner.bind("&lt;Configure&gt;", self._on_inner_configure)</t>
        </is>
      </c>
    </row>
    <row r="32">
      <c r="A32" s="7" t="n">
        <v>29</v>
      </c>
      <c r="B32" s="8" t="inlineStr">
        <is>
          <t xml:space="preserve">        self.canvas.bind("&lt;Configure&gt;", self._on_canvas_configure)</t>
        </is>
      </c>
    </row>
    <row r="33">
      <c r="A33" s="9" t="n">
        <v>30</v>
      </c>
      <c r="B33" s="10" t="inlineStr">
        <is>
          <t xml:space="preserve">        self.canvas.bind("&lt;MouseWheel&gt;", self._on_mousewheel)</t>
        </is>
      </c>
    </row>
    <row r="34">
      <c r="A34" s="7" t="n">
        <v>31</v>
      </c>
      <c r="B34" s="8" t="inlineStr"/>
    </row>
    <row r="35">
      <c r="A35" s="9" t="n">
        <v>32</v>
      </c>
      <c r="B35" s="10" t="inlineStr">
        <is>
          <t xml:space="preserve">    def set_items(self, items: List[Any]):</t>
        </is>
      </c>
    </row>
    <row r="36">
      <c r="A36" s="7" t="n">
        <v>33</v>
      </c>
      <c r="B36" s="8" t="inlineStr">
        <is>
          <t xml:space="preserve">        self._items = items</t>
        </is>
      </c>
    </row>
    <row r="37">
      <c r="A37" s="9" t="n">
        <v>34</v>
      </c>
      <c r="B37" s="10" t="inlineStr">
        <is>
          <t xml:space="preserve">        # 清除旧控件</t>
        </is>
      </c>
    </row>
    <row r="38">
      <c r="A38" s="7" t="n">
        <v>35</v>
      </c>
      <c r="B38" s="8" t="inlineStr">
        <is>
          <t xml:space="preserve">        for w in self._widgets.values():</t>
        </is>
      </c>
    </row>
    <row r="39">
      <c r="A39" s="9" t="n">
        <v>36</v>
      </c>
      <c r="B39" s="10" t="inlineStr">
        <is>
          <t xml:space="preserve">            w.destroy()</t>
        </is>
      </c>
    </row>
    <row r="40">
      <c r="A40" s="7" t="n">
        <v>37</v>
      </c>
      <c r="B40" s="8" t="inlineStr">
        <is>
          <t xml:space="preserve">        self._widgets.clear()</t>
        </is>
      </c>
    </row>
    <row r="41">
      <c r="A41" s="9" t="n">
        <v>38</v>
      </c>
      <c r="B41" s="10" t="inlineStr">
        <is>
          <t xml:space="preserve">        self._update_visible()</t>
        </is>
      </c>
    </row>
    <row r="42">
      <c r="A42" s="7" t="n">
        <v>39</v>
      </c>
      <c r="B42" s="8" t="inlineStr">
        <is>
          <t xml:space="preserve">        total_height = len(items) * self.item_height</t>
        </is>
      </c>
    </row>
    <row r="43">
      <c r="A43" s="9" t="n">
        <v>40</v>
      </c>
      <c r="B43" s="10" t="inlineStr">
        <is>
          <t xml:space="preserve">        self.canvas.configure(scrollregion=(0, 0, self.canvas.winfo_width(), total_height))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 xml:space="preserve">    def _update_visible(self):</t>
        </is>
      </c>
    </row>
    <row r="46">
      <c r="A46" s="7" t="n">
        <v>43</v>
      </c>
      <c r="B46" s="8" t="inlineStr">
        <is>
          <t xml:space="preserve">        if not self._items:</t>
        </is>
      </c>
    </row>
    <row r="47">
      <c r="A47" s="9" t="n">
        <v>44</v>
      </c>
      <c r="B47" s="10" t="inlineStr">
        <is>
          <t xml:space="preserve">            return</t>
        </is>
      </c>
    </row>
    <row r="48">
      <c r="A48" s="7" t="n">
        <v>45</v>
      </c>
      <c r="B48" s="8" t="inlineStr">
        <is>
          <t xml:space="preserve">        y1 = self.canvas.canvasy(0)</t>
        </is>
      </c>
    </row>
    <row r="49">
      <c r="A49" s="9" t="n">
        <v>46</v>
      </c>
      <c r="B49" s="10" t="inlineStr">
        <is>
          <t xml:space="preserve">        y2 = y1 + self.canvas.winfo_height()</t>
        </is>
      </c>
    </row>
    <row r="50">
      <c r="A50" s="7" t="n">
        <v>47</v>
      </c>
      <c r="B50" s="8" t="inlineStr">
        <is>
          <t xml:space="preserve">        first = max(0, int(y1 // self.item_height))</t>
        </is>
      </c>
    </row>
    <row r="51">
      <c r="A51" s="9" t="n">
        <v>48</v>
      </c>
      <c r="B51" s="10" t="inlineStr">
        <is>
          <t xml:space="preserve">        last = min(len(self._items) - 1, int(y2 // self.item_height) + 1)</t>
        </is>
      </c>
    </row>
    <row r="52">
      <c r="A52" s="7" t="n">
        <v>49</v>
      </c>
      <c r="B52" s="8" t="inlineStr">
        <is>
          <t xml:space="preserve">        if first == self._first_visible and last == self._last_visible:</t>
        </is>
      </c>
    </row>
    <row r="53">
      <c r="A53" s="9" t="n">
        <v>50</v>
      </c>
      <c r="B53" s="10" t="inlineStr">
        <is>
          <t xml:space="preserve">            return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 xml:space="preserve">        for idx in list(self._widgets.keys()):</t>
        </is>
      </c>
    </row>
    <row r="56">
      <c r="A56" s="7" t="n">
        <v>53</v>
      </c>
      <c r="B56" s="8" t="inlineStr">
        <is>
          <t xml:space="preserve">            if idx &lt; first or idx &gt; last:</t>
        </is>
      </c>
    </row>
    <row r="57">
      <c r="A57" s="9" t="n">
        <v>54</v>
      </c>
      <c r="B57" s="10" t="inlineStr">
        <is>
          <t xml:space="preserve">                self._widgets[idx].destroy()</t>
        </is>
      </c>
    </row>
    <row r="58">
      <c r="A58" s="7" t="n">
        <v>55</v>
      </c>
      <c r="B58" s="8" t="inlineStr">
        <is>
          <t xml:space="preserve">                del self._widgets[idx]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    for idx in range(first, last + 1):</t>
        </is>
      </c>
    </row>
    <row r="61">
      <c r="A61" s="9" t="n">
        <v>58</v>
      </c>
      <c r="B61" s="10" t="inlineStr">
        <is>
          <t xml:space="preserve">            if idx not in self._widgets:</t>
        </is>
      </c>
    </row>
    <row r="62">
      <c r="A62" s="7" t="n">
        <v>59</v>
      </c>
      <c r="B62" s="8" t="inlineStr">
        <is>
          <t xml:space="preserve">                widget = (self.create_widget_func(self.inner, idx, self._items[idx])</t>
        </is>
      </c>
    </row>
    <row r="63">
      <c r="A63" s="9" t="n">
        <v>60</v>
      </c>
      <c r="B63" s="10" t="inlineStr">
        <is>
          <t xml:space="preserve">                          if self.create_widget_func</t>
        </is>
      </c>
    </row>
    <row r="64">
      <c r="A64" s="7" t="n">
        <v>61</v>
      </c>
      <c r="B64" s="8" t="inlineStr">
        <is>
          <t xml:space="preserve">                          else self._default_widget(self.inner, idx, self._items[idx]))</t>
        </is>
      </c>
    </row>
    <row r="65">
      <c r="A65" s="9" t="n">
        <v>62</v>
      </c>
      <c r="B65" s="10" t="inlineStr">
        <is>
          <t xml:space="preserve">                widget.place(x=0, y=idx * self.item_height, width=self.inner.winfo_width(), height=self.item_height)</t>
        </is>
      </c>
    </row>
    <row r="66">
      <c r="A66" s="7" t="n">
        <v>63</v>
      </c>
      <c r="B66" s="8" t="inlineStr">
        <is>
          <t xml:space="preserve">                self._widgets[idx] = widget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 xml:space="preserve">        self._first_visible, self._last_visible = first, last</t>
        </is>
      </c>
    </row>
    <row r="69">
      <c r="A69" s="9" t="n">
        <v>66</v>
      </c>
      <c r="B69" s="10" t="inlineStr"/>
    </row>
    <row r="70">
      <c r="A70" s="7" t="n">
        <v>67</v>
      </c>
      <c r="B70" s="8" t="inlineStr">
        <is>
          <t xml:space="preserve">    def _default_widget(self, parent, idx, data):</t>
        </is>
      </c>
    </row>
    <row r="71">
      <c r="A71" s="9" t="n">
        <v>68</v>
      </c>
      <c r="B71" s="10" t="inlineStr">
        <is>
          <t xml:space="preserve">        frame = tk.Frame(parent, bg="#2a2a3c")</t>
        </is>
      </c>
    </row>
    <row r="72">
      <c r="A72" s="7" t="n">
        <v>69</v>
      </c>
      <c r="B72" s="8" t="inlineStr">
        <is>
          <t xml:space="preserve">        tk.Label(frame, text=str(data), bg="#2a2a3c", fg="#e0e0e0").pack(side="left", padx=10)</t>
        </is>
      </c>
    </row>
    <row r="73">
      <c r="A73" s="9" t="n">
        <v>70</v>
      </c>
      <c r="B73" s="10" t="inlineStr">
        <is>
          <t xml:space="preserve">        return frame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def _on_inner_configure(self, e):</t>
        </is>
      </c>
    </row>
    <row r="76">
      <c r="A76" s="7" t="n">
        <v>73</v>
      </c>
      <c r="B76" s="8" t="inlineStr">
        <is>
          <t xml:space="preserve">        self.canvas.itemconfig(self._win_id, width=e.width)</t>
        </is>
      </c>
    </row>
    <row r="77">
      <c r="A77" s="9" t="n">
        <v>74</v>
      </c>
      <c r="B77" s="10" t="inlineStr">
        <is>
          <t xml:space="preserve">        self._update_visible()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 xml:space="preserve">    def _on_canvas_configure(self, e):</t>
        </is>
      </c>
    </row>
    <row r="80">
      <c r="A80" s="7" t="n">
        <v>77</v>
      </c>
      <c r="B80" s="8" t="inlineStr">
        <is>
          <t xml:space="preserve">        self.canvas.configure(scrollregion=self.canvas.bbox("all"))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 xml:space="preserve">    def _on_mousewheel(self, e):</t>
        </is>
      </c>
    </row>
    <row r="83">
      <c r="A83" s="9" t="n">
        <v>80</v>
      </c>
      <c r="B83" s="10" t="inlineStr">
        <is>
          <t xml:space="preserve">        self.canvas.yview_scroll(int(-1 * (e.delta // 120)), "units")</t>
        </is>
      </c>
    </row>
    <row r="84">
      <c r="A84" s="7" t="n">
        <v>81</v>
      </c>
      <c r="B84" s="8" t="inlineStr">
        <is>
          <t xml:space="preserve">        self._update_visible()</t>
        </is>
      </c>
    </row>
    <row r="85">
      <c r="A85" s="9" t="n">
        <v>82</v>
      </c>
      <c r="B85" s="10" t="inlineStr"/>
    </row>
    <row r="86">
      <c r="A86" s="7" t="n">
        <v>83</v>
      </c>
      <c r="B86" s="8" t="inlineStr">
        <is>
          <t xml:space="preserve">    def refresh_visible(self):</t>
        </is>
      </c>
    </row>
    <row r="87">
      <c r="A87" s="9" t="n">
        <v>84</v>
      </c>
      <c r="B87" s="10" t="inlineStr">
        <is>
          <t xml:space="preserve">        self._update_visible()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ui\web.py</t>
        </is>
      </c>
      <c r="C1" s="5" t="inlineStr">
        <is>
          <t>行数: 288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TreeCut Control Panel - Web UI</t>
        </is>
      </c>
    </row>
    <row r="7">
      <c r="A7" s="9" t="n">
        <v>4</v>
      </c>
      <c r="B7" s="10" t="inlineStr">
        <is>
          <t>Run: python tree_cut_ui.py</t>
        </is>
      </c>
    </row>
    <row r="8">
      <c r="A8" s="7" t="n">
        <v>5</v>
      </c>
      <c r="B8" s="8" t="inlineStr">
        <is>
          <t>Open: http://localhost:7860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sys, os, json, time</t>
        </is>
      </c>
    </row>
    <row r="11">
      <c r="A11" s="9" t="n">
        <v>8</v>
      </c>
      <c r="B11" s="10" t="inlineStr">
        <is>
          <t>from pathlib import Path</t>
        </is>
      </c>
    </row>
    <row r="12">
      <c r="A12" s="7" t="n">
        <v>9</v>
      </c>
      <c r="B12" s="8" t="inlineStr">
        <is>
          <t>from datetime import datetime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sys.path.insert(0, str(Path(__file__).parent.parent))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_ve = None</t>
        </is>
      </c>
    </row>
    <row r="17">
      <c r="A17" s="9" t="n">
        <v>14</v>
      </c>
      <c r="B17" s="10" t="inlineStr">
        <is>
          <t>_gr = None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def _get_ve():</t>
        </is>
      </c>
    </row>
    <row r="21">
      <c r="A21" s="9" t="n">
        <v>18</v>
      </c>
      <c r="B21" s="10" t="inlineStr">
        <is>
          <t xml:space="preserve">    global _ve</t>
        </is>
      </c>
    </row>
    <row r="22">
      <c r="A22" s="7" t="n">
        <v>19</v>
      </c>
      <c r="B22" s="8" t="inlineStr">
        <is>
          <t xml:space="preserve">    if _ve is None:</t>
        </is>
      </c>
    </row>
    <row r="23">
      <c r="A23" s="9" t="n">
        <v>20</v>
      </c>
      <c r="B23" s="10" t="inlineStr">
        <is>
          <t xml:space="preserve">        import core as _ve</t>
        </is>
      </c>
    </row>
    <row r="24">
      <c r="A24" s="7" t="n">
        <v>21</v>
      </c>
      <c r="B24" s="8" t="inlineStr">
        <is>
          <t xml:space="preserve">    return _ve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def _get_gr():</t>
        </is>
      </c>
    </row>
    <row r="28">
      <c r="A28" s="7" t="n">
        <v>25</v>
      </c>
      <c r="B28" s="8" t="inlineStr">
        <is>
          <t xml:space="preserve">    global _gr</t>
        </is>
      </c>
    </row>
    <row r="29">
      <c r="A29" s="9" t="n">
        <v>26</v>
      </c>
      <c r="B29" s="10" t="inlineStr">
        <is>
          <t xml:space="preserve">    if _gr is None:</t>
        </is>
      </c>
    </row>
    <row r="30">
      <c r="A30" s="7" t="n">
        <v>27</v>
      </c>
      <c r="B30" s="8" t="inlineStr">
        <is>
          <t xml:space="preserve">        import gradio as _gr</t>
        </is>
      </c>
    </row>
    <row r="31">
      <c r="A31" s="9" t="n">
        <v>28</v>
      </c>
      <c r="B31" s="10" t="inlineStr">
        <is>
          <t xml:space="preserve">    return _gr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def _is_ve_loaded():</t>
        </is>
      </c>
    </row>
    <row r="35">
      <c r="A35" s="9" t="n">
        <v>32</v>
      </c>
      <c r="B35" s="10" t="inlineStr">
        <is>
          <t xml:space="preserve">    try:</t>
        </is>
      </c>
    </row>
    <row r="36">
      <c r="A36" s="7" t="n">
        <v>33</v>
      </c>
      <c r="B36" s="8" t="inlineStr">
        <is>
          <t xml:space="preserve">        _get_ve()</t>
        </is>
      </c>
    </row>
    <row r="37">
      <c r="A37" s="9" t="n">
        <v>34</v>
      </c>
      <c r="B37" s="10" t="inlineStr">
        <is>
          <t xml:space="preserve">        return True</t>
        </is>
      </c>
    </row>
    <row r="38">
      <c r="A38" s="7" t="n">
        <v>35</v>
      </c>
      <c r="B38" s="8" t="inlineStr">
        <is>
          <t xml:space="preserve">    except Exception:</t>
        </is>
      </c>
    </row>
    <row r="39">
      <c r="A39" s="9" t="n">
        <v>36</v>
      </c>
      <c r="B39" s="10" t="inlineStr">
        <is>
          <t xml:space="preserve">        return False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/>
    </row>
    <row r="42">
      <c r="A42" s="7" t="n">
        <v>39</v>
      </c>
      <c r="B42" s="8" t="inlineStr">
        <is>
          <t># ============================================================</t>
        </is>
      </c>
    </row>
    <row r="43">
      <c r="A43" s="9" t="n">
        <v>40</v>
      </c>
      <c r="B43" s="10" t="inlineStr">
        <is>
          <t># Tab 1: Quick Generate</t>
        </is>
      </c>
    </row>
    <row r="44">
      <c r="A44" s="7" t="n">
        <v>41</v>
      </c>
      <c r="B44" s="8" t="inlineStr">
        <is>
          <t># ============================================================</t>
        </is>
      </c>
    </row>
    <row r="45">
      <c r="A45" s="9" t="n">
        <v>42</v>
      </c>
      <c r="B45" s="10" t="inlineStr">
        <is>
          <t>def get_selling_points():</t>
        </is>
      </c>
    </row>
    <row r="46">
      <c r="A46" s="7" t="n">
        <v>43</v>
      </c>
      <c r="B46" s="8" t="inlineStr">
        <is>
          <t xml:space="preserve">    try:</t>
        </is>
      </c>
    </row>
    <row r="47">
      <c r="A47" s="9" t="n">
        <v>44</v>
      </c>
      <c r="B47" s="10" t="inlineStr">
        <is>
          <t xml:space="preserve">        ve = _get_ve()</t>
        </is>
      </c>
    </row>
    <row r="48">
      <c r="A48" s="7" t="n">
        <v>45</v>
      </c>
      <c r="B48" s="8" t="inlineStr">
        <is>
          <t xml:space="preserve">        pts = ve.list_available_selling_points()</t>
        </is>
      </c>
    </row>
    <row r="49">
      <c r="A49" s="9" t="n">
        <v>46</v>
      </c>
      <c r="B49" s="10" t="inlineStr">
        <is>
          <t xml:space="preserve">        return [p.get("original_name", p.get("name", "")) for p in pts]</t>
        </is>
      </c>
    </row>
    <row r="50">
      <c r="A50" s="7" t="n">
        <v>47</v>
      </c>
      <c r="B50" s="8" t="inlineStr">
        <is>
          <t xml:space="preserve">    except Exception:</t>
        </is>
      </c>
    </row>
    <row r="51">
      <c r="A51" s="9" t="n">
        <v>48</v>
      </c>
      <c r="B51" s="10" t="inlineStr">
        <is>
          <t xml:space="preserve">        return []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/>
    </row>
    <row r="54">
      <c r="A54" s="7" t="n">
        <v>51</v>
      </c>
      <c r="B54" s="8" t="inlineStr">
        <is>
          <t>def generate_single(keyword, copy_text, use_tts, use_bgm, use_bgroup, folders=None, progress=None):</t>
        </is>
      </c>
    </row>
    <row r="55">
      <c r="A55" s="9" t="n">
        <v>52</v>
      </c>
      <c r="B55" s="10" t="inlineStr">
        <is>
          <t xml:space="preserve">    logs = []</t>
        </is>
      </c>
    </row>
    <row r="56">
      <c r="A56" s="7" t="n">
        <v>53</v>
      </c>
      <c r="B56" s="8" t="inlineStr">
        <is>
          <t xml:space="preserve">    def add(msg): logs.append(msg); return msg</t>
        </is>
      </c>
    </row>
    <row r="57">
      <c r="A57" s="9" t="n">
        <v>54</v>
      </c>
      <c r="B57" s="10" t="inlineStr">
        <is>
          <t xml:space="preserve">    try:</t>
        </is>
      </c>
    </row>
    <row r="58">
      <c r="A58" s="7" t="n">
        <v>55</v>
      </c>
      <c r="B58" s="8" t="inlineStr">
        <is>
          <t xml:space="preserve">        ve = _get_ve()</t>
        </is>
      </c>
    </row>
    <row r="59">
      <c r="A59" s="9" t="n">
        <v>56</v>
      </c>
      <c r="B59" s="10" t="inlineStr">
        <is>
          <t xml:space="preserve">        add(f"[Start] keyword={keyword}")</t>
        </is>
      </c>
    </row>
    <row r="60">
      <c r="A60" s="7" t="n">
        <v>57</v>
      </c>
      <c r="B60" s="8" t="inlineStr">
        <is>
          <t xml:space="preserve">        if progress is None:</t>
        </is>
      </c>
    </row>
    <row r="61">
      <c r="A61" s="9" t="n">
        <v>58</v>
      </c>
      <c r="B61" s="10" t="inlineStr">
        <is>
          <t xml:space="preserve">            try: progress = _gr.Progress()</t>
        </is>
      </c>
    </row>
    <row r="62">
      <c r="A62" s="7" t="n">
        <v>59</v>
      </c>
      <c r="B62" s="8" t="inlineStr">
        <is>
          <t xml:space="preserve">            except Exception: progress = None</t>
        </is>
      </c>
    </row>
    <row r="63">
      <c r="A63" s="9" t="n">
        <v>60</v>
      </c>
      <c r="B63" s="10" t="inlineStr">
        <is>
          <t xml:space="preserve">        def _prog(step, total, msg):</t>
        </is>
      </c>
    </row>
    <row r="64">
      <c r="A64" s="7" t="n">
        <v>61</v>
      </c>
      <c r="B64" s="8" t="inlineStr">
        <is>
          <t xml:space="preserve">            if progress: progress(step/total, desc=msg)</t>
        </is>
      </c>
    </row>
    <row r="65">
      <c r="A65" s="9" t="n">
        <v>62</v>
      </c>
      <c r="B65" s="10" t="inlineStr">
        <is>
          <t xml:space="preserve">        result = ve.run(</t>
        </is>
      </c>
    </row>
    <row r="66">
      <c r="A66" s="7" t="n">
        <v>63</v>
      </c>
      <c r="B66" s="8" t="inlineStr">
        <is>
          <t xml:space="preserve">            keyword=keyword,</t>
        </is>
      </c>
    </row>
    <row r="67">
      <c r="A67" s="9" t="n">
        <v>64</v>
      </c>
      <c r="B67" s="10" t="inlineStr">
        <is>
          <t xml:space="preserve">            copy_text_override=copy_text.strip() if copy_text and copy_text.strip() else None,</t>
        </is>
      </c>
    </row>
    <row r="68">
      <c r="A68" s="7" t="n">
        <v>65</v>
      </c>
      <c r="B68" s="8" t="inlineStr">
        <is>
          <t xml:space="preserve">            progress_callback=_prog,</t>
        </is>
      </c>
    </row>
    <row r="69">
      <c r="A69" s="9" t="n">
        <v>66</v>
      </c>
      <c r="B69" s="10" t="inlineStr">
        <is>
          <t xml:space="preserve">            generate_tts=use_tts,</t>
        </is>
      </c>
    </row>
    <row r="70">
      <c r="A70" s="7" t="n">
        <v>67</v>
      </c>
      <c r="B70" s="8" t="inlineStr">
        <is>
          <t xml:space="preserve">            auto_bgm=use_bgm,</t>
        </is>
      </c>
    </row>
    <row r="71">
      <c r="A71" s="9" t="n">
        <v>68</v>
      </c>
      <c r="B71" s="10" t="inlineStr">
        <is>
          <t xml:space="preserve">        )</t>
        </is>
      </c>
    </row>
    <row r="72">
      <c r="A72" s="7" t="n">
        <v>69</v>
      </c>
      <c r="B72" s="8" t="inlineStr">
        <is>
          <t xml:space="preserve">        thumb = None</t>
        </is>
      </c>
    </row>
    <row r="73">
      <c r="A73" s="9" t="n">
        <v>70</v>
      </c>
      <c r="B73" s="10" t="inlineStr">
        <is>
          <t xml:space="preserve">        if result and isinstance(result, dict) and "draft_dir" in result:</t>
        </is>
      </c>
    </row>
    <row r="74">
      <c r="A74" s="7" t="n">
        <v>71</v>
      </c>
      <c r="B74" s="8" t="inlineStr">
        <is>
          <t xml:space="preserve">            tp = Path(result["draft_dir"]) / "thumbnail.jpg"</t>
        </is>
      </c>
    </row>
    <row r="75">
      <c r="A75" s="9" t="n">
        <v>72</v>
      </c>
      <c r="B75" s="10" t="inlineStr">
        <is>
          <t xml:space="preserve">            if tp.exists(): thumb = str(tp)</t>
        </is>
      </c>
    </row>
    <row r="76">
      <c r="A76" s="7" t="n">
        <v>73</v>
      </c>
      <c r="B76" s="8" t="inlineStr">
        <is>
          <t xml:space="preserve">            add(f"[Done] {result['draft_dir']}")</t>
        </is>
      </c>
    </row>
    <row r="77">
      <c r="A77" s="9" t="n">
        <v>74</v>
      </c>
      <c r="B77" s="10" t="inlineStr">
        <is>
          <t xml:space="preserve">        return "\n".join(logs), thumb</t>
        </is>
      </c>
    </row>
    <row r="78">
      <c r="A78" s="7" t="n">
        <v>75</v>
      </c>
      <c r="B78" s="8" t="inlineStr">
        <is>
          <t xml:space="preserve">    except Exception as e:</t>
        </is>
      </c>
    </row>
    <row r="79">
      <c r="A79" s="9" t="n">
        <v>76</v>
      </c>
      <c r="B79" s="10" t="inlineStr">
        <is>
          <t xml:space="preserve">        add(f"[ERROR] {e}")</t>
        </is>
      </c>
    </row>
    <row r="80">
      <c r="A80" s="7" t="n">
        <v>77</v>
      </c>
      <c r="B80" s="8" t="inlineStr">
        <is>
          <t xml:space="preserve">        return "\n".join(logs), None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/>
    </row>
    <row r="83">
      <c r="A83" s="9" t="n">
        <v>80</v>
      </c>
      <c r="B83" s="10" t="inlineStr">
        <is>
          <t># ============================================================</t>
        </is>
      </c>
    </row>
    <row r="84">
      <c r="A84" s="7" t="n">
        <v>81</v>
      </c>
      <c r="B84" s="8" t="inlineStr">
        <is>
          <t># Tab 2: Batch Production</t>
        </is>
      </c>
    </row>
    <row r="85">
      <c r="A85" s="9" t="n">
        <v>82</v>
      </c>
      <c r="B85" s="10" t="inlineStr">
        <is>
          <t># ============================================================</t>
        </is>
      </c>
    </row>
    <row r="86">
      <c r="A86" s="7" t="n">
        <v>83</v>
      </c>
      <c r="B86" s="8" t="inlineStr">
        <is>
          <t>def generate_batch(script_file, count, use_tts, use_bgm, progress=None):</t>
        </is>
      </c>
    </row>
    <row r="87">
      <c r="A87" s="9" t="n">
        <v>84</v>
      </c>
      <c r="B87" s="10" t="inlineStr">
        <is>
          <t xml:space="preserve">    if progress is None:</t>
        </is>
      </c>
    </row>
    <row r="88">
      <c r="A88" s="7" t="n">
        <v>85</v>
      </c>
      <c r="B88" s="8" t="inlineStr">
        <is>
          <t xml:space="preserve">        class _P:</t>
        </is>
      </c>
    </row>
    <row r="89">
      <c r="A89" s="9" t="n">
        <v>86</v>
      </c>
      <c r="B89" s="10" t="inlineStr">
        <is>
          <t xml:space="preserve">            def tqdm(self, iterable, desc=""):</t>
        </is>
      </c>
    </row>
    <row r="90">
      <c r="A90" s="7" t="n">
        <v>87</v>
      </c>
      <c r="B90" s="8" t="inlineStr">
        <is>
          <t xml:space="preserve">                for i, item in enumerate(iterable): yield item</t>
        </is>
      </c>
    </row>
    <row r="91">
      <c r="A91" s="9" t="n">
        <v>88</v>
      </c>
      <c r="B91" s="10" t="inlineStr">
        <is>
          <t xml:space="preserve">        progress = _P()</t>
        </is>
      </c>
    </row>
    <row r="92">
      <c r="A92" s="7" t="n">
        <v>89</v>
      </c>
      <c r="B92" s="8" t="inlineStr">
        <is>
          <t xml:space="preserve">    results = []</t>
        </is>
      </c>
    </row>
    <row r="93">
      <c r="A93" s="9" t="n">
        <v>90</v>
      </c>
      <c r="B93" s="10" t="inlineStr">
        <is>
          <t xml:space="preserve">    ve = _get_ve()</t>
        </is>
      </c>
    </row>
    <row r="94">
      <c r="A94" s="7" t="n">
        <v>91</v>
      </c>
      <c r="B94" s="8" t="inlineStr">
        <is>
          <t xml:space="preserve">    script_path = script_file.name if script_file else None</t>
        </is>
      </c>
    </row>
    <row r="95">
      <c r="A95" s="9" t="n">
        <v>92</v>
      </c>
      <c r="B95" s="10" t="inlineStr">
        <is>
          <t xml:space="preserve">    for i in progress.tqdm(range(1, count + 1), desc="Batch"):</t>
        </is>
      </c>
    </row>
    <row r="96">
      <c r="A96" s="7" t="n">
        <v>93</v>
      </c>
      <c r="B96" s="8" t="inlineStr">
        <is>
          <t xml:space="preserve">        try:</t>
        </is>
      </c>
    </row>
    <row r="97">
      <c r="A97" s="9" t="n">
        <v>94</v>
      </c>
      <c r="B97" s="10" t="inlineStr">
        <is>
          <t xml:space="preserve">            copy_text = None</t>
        </is>
      </c>
    </row>
    <row r="98">
      <c r="A98" s="7" t="n">
        <v>95</v>
      </c>
      <c r="B98" s="8" t="inlineStr">
        <is>
          <t xml:space="preserve">            if script_path:</t>
        </is>
      </c>
    </row>
    <row r="99">
      <c r="A99" s="9" t="n">
        <v>96</v>
      </c>
      <c r="B99" s="10" t="inlineStr">
        <is>
          <t xml:space="preserve">                row = ve.get_script_row(script_path, row_num=i + 1)</t>
        </is>
      </c>
    </row>
    <row r="100">
      <c r="A100" s="7" t="n">
        <v>97</v>
      </c>
      <c r="B100" s="8" t="inlineStr">
        <is>
          <t xml:space="preserve">                if row:</t>
        </is>
      </c>
    </row>
    <row r="101">
      <c r="A101" s="9" t="n">
        <v>98</v>
      </c>
      <c r="B101" s="10" t="inlineStr">
        <is>
          <t xml:space="preserve">                    copy_text = row.get("copy", row.get("copy_text", ""))</t>
        </is>
      </c>
    </row>
    <row r="102">
      <c r="A102" s="7" t="n">
        <v>99</v>
      </c>
      <c r="B102" s="8" t="inlineStr">
        <is>
          <t xml:space="preserve">            ve.run(keyword="batch", copy_text_override=copy_text,</t>
        </is>
      </c>
    </row>
    <row r="103">
      <c r="A103" s="9" t="n">
        <v>100</v>
      </c>
      <c r="B103" s="10" t="inlineStr">
        <is>
          <t xml:space="preserve">                   generate_tts=use_tts, auto_bgm=use_bgm)</t>
        </is>
      </c>
    </row>
    <row r="104">
      <c r="A104" s="7" t="n">
        <v>101</v>
      </c>
      <c r="B104" s="8" t="inlineStr">
        <is>
          <t xml:space="preserve">            results.append([i, "OK", (copy_text or "AI generated")[:30]])</t>
        </is>
      </c>
    </row>
    <row r="105">
      <c r="A105" s="9" t="n">
        <v>102</v>
      </c>
      <c r="B105" s="10" t="inlineStr">
        <is>
          <t xml:space="preserve">        except Exception as e:</t>
        </is>
      </c>
    </row>
    <row r="106">
      <c r="A106" s="7" t="n">
        <v>103</v>
      </c>
      <c r="B106" s="8" t="inlineStr">
        <is>
          <t xml:space="preserve">            results.append([i, f"FAIL: {str(e)[:40]}", ""])</t>
        </is>
      </c>
    </row>
    <row r="107">
      <c r="A107" s="9" t="n">
        <v>104</v>
      </c>
      <c r="B107" s="10" t="inlineStr">
        <is>
          <t xml:space="preserve">        time.sleep(0.5)</t>
        </is>
      </c>
    </row>
    <row r="108">
      <c r="A108" s="7" t="n">
        <v>105</v>
      </c>
      <c r="B108" s="8" t="inlineStr">
        <is>
          <t xml:space="preserve">    return results</t>
        </is>
      </c>
    </row>
    <row r="109">
      <c r="A109" s="9" t="n">
        <v>106</v>
      </c>
      <c r="B109" s="10" t="inlineStr"/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># ============================================================</t>
        </is>
      </c>
    </row>
    <row r="112">
      <c r="A112" s="7" t="n">
        <v>109</v>
      </c>
      <c r="B112" s="8" t="inlineStr">
        <is>
          <t># Tab 3: Material Library</t>
        </is>
      </c>
    </row>
    <row r="113">
      <c r="A113" s="9" t="n">
        <v>110</v>
      </c>
      <c r="B113" s="10" t="inlineStr">
        <is>
          <t># ============================================================</t>
        </is>
      </c>
    </row>
    <row r="114">
      <c r="A114" s="7" t="n">
        <v>111</v>
      </c>
      <c r="B114" s="8" t="inlineStr">
        <is>
          <t>def refresh_material_stats():</t>
        </is>
      </c>
    </row>
    <row r="115">
      <c r="A115" s="9" t="n">
        <v>112</v>
      </c>
      <c r="B115" s="10" t="inlineStr">
        <is>
          <t xml:space="preserve">    try:</t>
        </is>
      </c>
    </row>
    <row r="116">
      <c r="A116" s="7" t="n">
        <v>113</v>
      </c>
      <c r="B116" s="8" t="inlineStr">
        <is>
          <t xml:space="preserve">        ve = _get_ve()</t>
        </is>
      </c>
    </row>
    <row r="117">
      <c r="A117" s="9" t="n">
        <v>114</v>
      </c>
      <c r="B117" s="10" t="inlineStr">
        <is>
          <t xml:space="preserve">        pts = ve.list_available_selling_points(use_cache=False)</t>
        </is>
      </c>
    </row>
    <row r="118">
      <c r="A118" s="7" t="n">
        <v>115</v>
      </c>
      <c r="B118" s="8" t="inlineStr">
        <is>
          <t xml:space="preserve">        table = [[p.get("original_name", p.get("name", "")), p.get("mp4_count", p.get("count", 0))]</t>
        </is>
      </c>
    </row>
    <row r="119">
      <c r="A119" s="9" t="n">
        <v>116</v>
      </c>
      <c r="B119" s="10" t="inlineStr">
        <is>
          <t xml:space="preserve">                 for p in pts[:30]]</t>
        </is>
      </c>
    </row>
    <row r="120">
      <c r="A120" s="7" t="n">
        <v>117</v>
      </c>
      <c r="B120" s="8" t="inlineStr">
        <is>
          <t xml:space="preserve">        return f"Scanned: {len(pts)} folders, {sum(r[1] for r in table)} clips", table</t>
        </is>
      </c>
    </row>
    <row r="121">
      <c r="A121" s="9" t="n">
        <v>118</v>
      </c>
      <c r="B121" s="10" t="inlineStr">
        <is>
          <t xml:space="preserve">    except Exception as e:</t>
        </is>
      </c>
    </row>
    <row r="122">
      <c r="A122" s="7" t="n">
        <v>119</v>
      </c>
      <c r="B122" s="8" t="inlineStr">
        <is>
          <t xml:space="preserve">        return f"ERROR: {e}", []</t>
        </is>
      </c>
    </row>
    <row r="123">
      <c r="A123" s="9" t="n">
        <v>120</v>
      </c>
      <c r="B123" s="10" t="inlineStr"/>
    </row>
    <row r="124">
      <c r="A124" s="7" t="n">
        <v>121</v>
      </c>
      <c r="B124" s="8" t="inlineStr"/>
    </row>
    <row r="125">
      <c r="A125" s="9" t="n">
        <v>122</v>
      </c>
      <c r="B125" s="10" t="inlineStr">
        <is>
          <t>def clear_cache():</t>
        </is>
      </c>
    </row>
    <row r="126">
      <c r="A126" s="7" t="n">
        <v>123</v>
      </c>
      <c r="B126" s="8" t="inlineStr">
        <is>
          <t xml:space="preserve">    try:</t>
        </is>
      </c>
    </row>
    <row r="127">
      <c r="A127" s="9" t="n">
        <v>124</v>
      </c>
      <c r="B127" s="10" t="inlineStr">
        <is>
          <t xml:space="preserve">        ve = _get_ve()</t>
        </is>
      </c>
    </row>
    <row r="128">
      <c r="A128" s="7" t="n">
        <v>125</v>
      </c>
      <c r="B128" s="8" t="inlineStr">
        <is>
          <t xml:space="preserve">        ve.MaterialCacheManager.invalidate()</t>
        </is>
      </c>
    </row>
    <row r="129">
      <c r="A129" s="9" t="n">
        <v>126</v>
      </c>
      <c r="B129" s="10" t="inlineStr">
        <is>
          <t xml:space="preserve">        return "Cache cleared"</t>
        </is>
      </c>
    </row>
    <row r="130">
      <c r="A130" s="7" t="n">
        <v>127</v>
      </c>
      <c r="B130" s="8" t="inlineStr">
        <is>
          <t xml:space="preserve">    except Exception as e:</t>
        </is>
      </c>
    </row>
    <row r="131">
      <c r="A131" s="9" t="n">
        <v>128</v>
      </c>
      <c r="B131" s="10" t="inlineStr">
        <is>
          <t xml:space="preserve">        return f"ERROR: {e}"</t>
        </is>
      </c>
    </row>
    <row r="132">
      <c r="A132" s="7" t="n">
        <v>129</v>
      </c>
      <c r="B132" s="8" t="inlineStr"/>
    </row>
    <row r="133">
      <c r="A133" s="9" t="n">
        <v>130</v>
      </c>
      <c r="B133" s="10" t="inlineStr"/>
    </row>
    <row r="134">
      <c r="A134" s="7" t="n">
        <v>131</v>
      </c>
      <c r="B134" s="8" t="inlineStr">
        <is>
          <t>def show_usage_stats():</t>
        </is>
      </c>
    </row>
    <row r="135">
      <c r="A135" s="9" t="n">
        <v>132</v>
      </c>
      <c r="B135" s="10" t="inlineStr">
        <is>
          <t xml:space="preserve">    try:</t>
        </is>
      </c>
    </row>
    <row r="136">
      <c r="A136" s="7" t="n">
        <v>133</v>
      </c>
      <c r="B136" s="8" t="inlineStr">
        <is>
          <t xml:space="preserve">        ve = _get_ve()</t>
        </is>
      </c>
    </row>
    <row r="137">
      <c r="A137" s="9" t="n">
        <v>134</v>
      </c>
      <c r="B137" s="10" t="inlineStr">
        <is>
          <t xml:space="preserve">        ve.MaterialUsageTracker.print_stats(top_n=20)</t>
        </is>
      </c>
    </row>
    <row r="138">
      <c r="A138" s="7" t="n">
        <v>135</v>
      </c>
      <c r="B138" s="8" t="inlineStr">
        <is>
          <t xml:space="preserve">        return "Stats printed to console"</t>
        </is>
      </c>
    </row>
    <row r="139">
      <c r="A139" s="9" t="n">
        <v>136</v>
      </c>
      <c r="B139" s="10" t="inlineStr">
        <is>
          <t xml:space="preserve">    except Exception as e:</t>
        </is>
      </c>
    </row>
    <row r="140">
      <c r="A140" s="7" t="n">
        <v>137</v>
      </c>
      <c r="B140" s="8" t="inlineStr">
        <is>
          <t xml:space="preserve">        return f"ERROR: {e}"</t>
        </is>
      </c>
    </row>
    <row r="141">
      <c r="A141" s="9" t="n">
        <v>138</v>
      </c>
      <c r="B141" s="10" t="inlineStr"/>
    </row>
    <row r="142">
      <c r="A142" s="7" t="n">
        <v>139</v>
      </c>
      <c r="B142" s="8" t="inlineStr"/>
    </row>
    <row r="143">
      <c r="A143" s="9" t="n">
        <v>140</v>
      </c>
      <c r="B143" s="10" t="inlineStr">
        <is>
          <t># ============================================================</t>
        </is>
      </c>
    </row>
    <row r="144">
      <c r="A144" s="7" t="n">
        <v>141</v>
      </c>
      <c r="B144" s="8" t="inlineStr">
        <is>
          <t># Tab 4: History</t>
        </is>
      </c>
    </row>
    <row r="145">
      <c r="A145" s="9" t="n">
        <v>142</v>
      </c>
      <c r="B145" s="10" t="inlineStr">
        <is>
          <t># ============================================================</t>
        </is>
      </c>
    </row>
    <row r="146">
      <c r="A146" s="7" t="n">
        <v>143</v>
      </c>
      <c r="B146" s="8" t="inlineStr">
        <is>
          <t>def load_history():</t>
        </is>
      </c>
    </row>
    <row r="147">
      <c r="A147" s="9" t="n">
        <v>144</v>
      </c>
      <c r="B147" s="10" t="inlineStr">
        <is>
          <t xml:space="preserve">    rows = []</t>
        </is>
      </c>
    </row>
    <row r="148">
      <c r="A148" s="7" t="n">
        <v>145</v>
      </c>
      <c r="B148" s="8" t="inlineStr">
        <is>
          <t xml:space="preserve">    output_dirs = [</t>
        </is>
      </c>
    </row>
    <row r="149">
      <c r="A149" s="9" t="n">
        <v>146</v>
      </c>
      <c r="B149" s="10" t="inlineStr">
        <is>
          <t xml:space="preserve">        Path(os.environ.get("TREECUT_DRAFT_DIR", str(Path.home() / "Desktop" / "视频工作流" / "03_粗剪输出"))),</t>
        </is>
      </c>
    </row>
    <row r="150">
      <c r="A150" s="7" t="n">
        <v>147</v>
      </c>
      <c r="B150" s="8" t="inlineStr">
        <is>
          <t xml:space="preserve">        Path(os.environ.get("LOCALAPPDATA", "")) / r"JianyingPro\User Data\Projects\com.lveditor.draft"</t>
        </is>
      </c>
    </row>
    <row r="151">
      <c r="A151" s="9" t="n">
        <v>148</v>
      </c>
      <c r="B151" s="10" t="inlineStr">
        <is>
          <t xml:space="preserve">    ]</t>
        </is>
      </c>
    </row>
    <row r="152">
      <c r="A152" s="7" t="n">
        <v>149</v>
      </c>
      <c r="B152" s="8" t="inlineStr">
        <is>
          <t xml:space="preserve">    for output_dir in output_dirs:</t>
        </is>
      </c>
    </row>
    <row r="153">
      <c r="A153" s="9" t="n">
        <v>150</v>
      </c>
      <c r="B153" s="10" t="inlineStr">
        <is>
          <t xml:space="preserve">        if not output_dir.exists():</t>
        </is>
      </c>
    </row>
    <row r="154">
      <c r="A154" s="7" t="n">
        <v>151</v>
      </c>
      <c r="B154" s="8" t="inlineStr">
        <is>
          <t xml:space="preserve">            continue</t>
        </is>
      </c>
    </row>
    <row r="155">
      <c r="A155" s="9" t="n">
        <v>152</v>
      </c>
      <c r="B155" s="10" t="inlineStr">
        <is>
          <t xml:space="preserve">        for d in sorted(output_dir.iterdir(), key=lambda x: x.stat().st_mtime, reverse=True)[:30]:</t>
        </is>
      </c>
    </row>
    <row r="156">
      <c r="A156" s="7" t="n">
        <v>153</v>
      </c>
      <c r="B156" s="8" t="inlineStr">
        <is>
          <t xml:space="preserve">            if not d.is_dir():</t>
        </is>
      </c>
    </row>
    <row r="157">
      <c r="A157" s="9" t="n">
        <v>154</v>
      </c>
      <c r="B157" s="10" t="inlineStr">
        <is>
          <t xml:space="preserve">                continue</t>
        </is>
      </c>
    </row>
    <row r="158">
      <c r="A158" s="7" t="n">
        <v>155</v>
      </c>
      <c r="B158" s="8" t="inlineStr">
        <is>
          <t xml:space="preserve">            mtime = datetime.fromtimestamp(d.stat().st_mtime).strftime("%m-%d %H:%M")</t>
        </is>
      </c>
    </row>
    <row r="159">
      <c r="A159" s="9" t="n">
        <v>156</v>
      </c>
      <c r="B159" s="10" t="inlineStr">
        <is>
          <t xml:space="preserve">            thumb = str(d / "thumbnail.jpg") if (d / "thumbnail.jpg").exists() else ""</t>
        </is>
      </c>
    </row>
    <row r="160">
      <c r="A160" s="7" t="n">
        <v>157</v>
      </c>
      <c r="B160" s="8" t="inlineStr">
        <is>
          <t xml:space="preserve">            rows.append([mtime, d.name[:40], str(d), thumb])</t>
        </is>
      </c>
    </row>
    <row r="161">
      <c r="A161" s="9" t="n">
        <v>158</v>
      </c>
      <c r="B161" s="10" t="inlineStr">
        <is>
          <t xml:space="preserve">    return rows if rows else [["", "No history found", "", ""]]</t>
        </is>
      </c>
    </row>
    <row r="162">
      <c r="A162" s="7" t="n">
        <v>159</v>
      </c>
      <c r="B162" s="8" t="inlineStr"/>
    </row>
    <row r="163">
      <c r="A163" s="9" t="n">
        <v>160</v>
      </c>
      <c r="B163" s="10" t="inlineStr"/>
    </row>
    <row r="164">
      <c r="A164" s="7" t="n">
        <v>161</v>
      </c>
      <c r="B164" s="8" t="inlineStr">
        <is>
          <t># ============================================================</t>
        </is>
      </c>
    </row>
    <row r="165">
      <c r="A165" s="9" t="n">
        <v>162</v>
      </c>
      <c r="B165" s="10" t="inlineStr">
        <is>
          <t># UI Build</t>
        </is>
      </c>
    </row>
    <row r="166">
      <c r="A166" s="7" t="n">
        <v>163</v>
      </c>
      <c r="B166" s="8" t="inlineStr">
        <is>
          <t># ============================================================</t>
        </is>
      </c>
    </row>
    <row r="167">
      <c r="A167" s="9" t="n">
        <v>164</v>
      </c>
      <c r="B167" s="10" t="inlineStr">
        <is>
          <t>def build_ui():</t>
        </is>
      </c>
    </row>
    <row r="168">
      <c r="A168" s="7" t="n">
        <v>165</v>
      </c>
      <c r="B168" s="8" t="inlineStr">
        <is>
          <t xml:space="preserve">    gr = _get_gr()</t>
        </is>
      </c>
    </row>
    <row r="169">
      <c r="A169" s="9" t="n">
        <v>166</v>
      </c>
      <c r="B169" s="10" t="inlineStr">
        <is>
          <t xml:space="preserve">    selling_points = get_selling_points()</t>
        </is>
      </c>
    </row>
    <row r="170">
      <c r="A170" s="7" t="n">
        <v>167</v>
      </c>
      <c r="B170" s="8" t="inlineStr"/>
    </row>
    <row r="171">
      <c r="A171" s="9" t="n">
        <v>168</v>
      </c>
      <c r="B171" s="10" t="inlineStr">
        <is>
          <t xml:space="preserve">    with gr.Blocks(title="TreeCut Control Panel", theme=gr.themes.Soft()) as app:</t>
        </is>
      </c>
    </row>
    <row r="172">
      <c r="A172" s="7" t="n">
        <v>169</v>
      </c>
      <c r="B172" s="8" t="inlineStr">
        <is>
          <t xml:space="preserve">        gr.Markdown("# TreeCut AI Video Editor - Web Console v10.0")</t>
        </is>
      </c>
    </row>
    <row r="173">
      <c r="A173" s="9" t="n">
        <v>170</v>
      </c>
      <c r="B173" s="10" t="inlineStr">
        <is>
          <t xml:space="preserve">        gr.Markdown(f"Status: Ready | Port: 7860")</t>
        </is>
      </c>
    </row>
    <row r="174">
      <c r="A174" s="7" t="n">
        <v>171</v>
      </c>
      <c r="B174" s="8" t="inlineStr"/>
    </row>
    <row r="175">
      <c r="A175" s="9" t="n">
        <v>172</v>
      </c>
      <c r="B175" s="10" t="inlineStr">
        <is>
          <t xml:space="preserve">        with gr.Tabs():</t>
        </is>
      </c>
    </row>
    <row r="176">
      <c r="A176" s="7" t="n">
        <v>173</v>
      </c>
      <c r="B176" s="8" t="inlineStr">
        <is>
          <t xml:space="preserve">            with gr.Tab("Quick Generate"):</t>
        </is>
      </c>
    </row>
    <row r="177">
      <c r="A177" s="9" t="n">
        <v>174</v>
      </c>
      <c r="B177" s="10" t="inlineStr">
        <is>
          <t xml:space="preserve">                with gr.Row():</t>
        </is>
      </c>
    </row>
    <row r="178">
      <c r="A178" s="7" t="n">
        <v>175</v>
      </c>
      <c r="B178" s="8" t="inlineStr">
        <is>
          <t xml:space="preserve">                    with gr.Column(scale=1):</t>
        </is>
      </c>
    </row>
    <row r="179">
      <c r="A179" s="9" t="n">
        <v>176</v>
      </c>
      <c r="B179" s="10" t="inlineStr">
        <is>
          <t xml:space="preserve">                        kw = gr.Dropdown(label="Keyword", choices=selling_points,</t>
        </is>
      </c>
    </row>
    <row r="180">
      <c r="A180" s="7" t="n">
        <v>177</v>
      </c>
      <c r="B180" s="8" t="inlineStr">
        <is>
          <t xml:space="preserve">                                         value=selling_points[0] if selling_points else "",</t>
        </is>
      </c>
    </row>
    <row r="181">
      <c r="A181" s="9" t="n">
        <v>178</v>
      </c>
      <c r="B181" s="10" t="inlineStr">
        <is>
          <t xml:space="preserve">                                         allow_custom_value=True)</t>
        </is>
      </c>
    </row>
    <row r="182">
      <c r="A182" s="7" t="n">
        <v>179</v>
      </c>
      <c r="B182" s="8" t="inlineStr">
        <is>
          <t xml:space="preserve">                        folders = gr.Dropdown(label="Material Folders (multi-select)",</t>
        </is>
      </c>
    </row>
    <row r="183">
      <c r="A183" s="9" t="n">
        <v>180</v>
      </c>
      <c r="B183" s="10" t="inlineStr">
        <is>
          <t xml:space="preserve">                                             choices=selling_points, multiselect=True,</t>
        </is>
      </c>
    </row>
    <row r="184">
      <c r="A184" s="7" t="n">
        <v>181</v>
      </c>
      <c r="B184" s="8" t="inlineStr">
        <is>
          <t xml:space="preserve">                                             info="留空=使用全部文件夹")</t>
        </is>
      </c>
    </row>
    <row r="185">
      <c r="A185" s="9" t="n">
        <v>182</v>
      </c>
      <c r="B185" s="10" t="inlineStr">
        <is>
          <t xml:space="preserve">                        tts = gr.Checkbox(label="AI Voiceover (TTS)", value=True)</t>
        </is>
      </c>
    </row>
    <row r="186">
      <c r="A186" s="7" t="n">
        <v>183</v>
      </c>
      <c r="B186" s="8" t="inlineStr">
        <is>
          <t xml:space="preserve">                        bgm = gr.Checkbox(label="Auto BGM", value=True)</t>
        </is>
      </c>
    </row>
    <row r="187">
      <c r="A187" s="9" t="n">
        <v>184</v>
      </c>
      <c r="B187" s="10" t="inlineStr">
        <is>
          <t xml:space="preserve">                        bgrp = gr.Checkbox(label="B-Group Mix", value=True)</t>
        </is>
      </c>
    </row>
    <row r="188">
      <c r="A188" s="7" t="n">
        <v>185</v>
      </c>
      <c r="B188" s="8" t="inlineStr">
        <is>
          <t xml:space="preserve">                    with gr.Column(scale=2):</t>
        </is>
      </c>
    </row>
    <row r="189">
      <c r="A189" s="9" t="n">
        <v>186</v>
      </c>
      <c r="B189" s="10" t="inlineStr">
        <is>
          <t xml:space="preserve">                        copy_txt = gr.Textbox(label="Direct Copy Text (optional)", lines=5,</t>
        </is>
      </c>
    </row>
    <row r="190">
      <c r="A190" s="7" t="n">
        <v>187</v>
      </c>
      <c r="B190" s="8" t="inlineStr">
        <is>
          <t xml:space="preserve">                                              placeholder="Paste copy text, or leave empty for AI")</t>
        </is>
      </c>
    </row>
    <row r="191">
      <c r="A191" s="9" t="n">
        <v>188</v>
      </c>
      <c r="B191" s="10" t="inlineStr"/>
    </row>
    <row r="192">
      <c r="A192" s="7" t="n">
        <v>189</v>
      </c>
      <c r="B192" s="8" t="inlineStr">
        <is>
          <t xml:space="preserve">                gen_btn = gr.Button("Generate Video Draft", variant="primary", size="lg")</t>
        </is>
      </c>
    </row>
    <row r="193">
      <c r="A193" s="9" t="n">
        <v>190</v>
      </c>
      <c r="B193" s="10" t="inlineStr">
        <is>
          <t xml:space="preserve">                with gr.Row():</t>
        </is>
      </c>
    </row>
    <row r="194">
      <c r="A194" s="7" t="n">
        <v>191</v>
      </c>
      <c r="B194" s="8" t="inlineStr">
        <is>
          <t xml:space="preserve">                    log_out = gr.Textbox(label="Log", lines=14, interactive=False, max_lines=20)</t>
        </is>
      </c>
    </row>
    <row r="195">
      <c r="A195" s="9" t="n">
        <v>192</v>
      </c>
      <c r="B195" s="10" t="inlineStr">
        <is>
          <t xml:space="preserve">                    thumb_out = gr.Image(label="Thumbnail Preview", height=320)</t>
        </is>
      </c>
    </row>
    <row r="196">
      <c r="A196" s="7" t="n">
        <v>193</v>
      </c>
      <c r="B196" s="8" t="inlineStr"/>
    </row>
    <row r="197">
      <c r="A197" s="9" t="n">
        <v>194</v>
      </c>
      <c r="B197" s="10" t="inlineStr">
        <is>
          <t xml:space="preserve">                gen_btn.click(generate_single,</t>
        </is>
      </c>
    </row>
    <row r="198">
      <c r="A198" s="7" t="n">
        <v>195</v>
      </c>
      <c r="B198" s="8" t="inlineStr">
        <is>
          <t xml:space="preserve">                    inputs=[kw, copy_txt, tts, bgm, bgrp, folders],</t>
        </is>
      </c>
    </row>
    <row r="199">
      <c r="A199" s="9" t="n">
        <v>196</v>
      </c>
      <c r="B199" s="10" t="inlineStr">
        <is>
          <t xml:space="preserve">                    outputs=[log_out, thumb_out])</t>
        </is>
      </c>
    </row>
    <row r="200">
      <c r="A200" s="7" t="n">
        <v>197</v>
      </c>
      <c r="B200" s="8" t="inlineStr"/>
    </row>
    <row r="201">
      <c r="A201" s="9" t="n">
        <v>198</v>
      </c>
      <c r="B201" s="10" t="inlineStr">
        <is>
          <t xml:space="preserve">            with gr.Tab("Batch Production"):</t>
        </is>
      </c>
    </row>
    <row r="202">
      <c r="A202" s="7" t="n">
        <v>199</v>
      </c>
      <c r="B202" s="8" t="inlineStr">
        <is>
          <t xml:space="preserve">                with gr.Row():</t>
        </is>
      </c>
    </row>
    <row r="203">
      <c r="A203" s="9" t="n">
        <v>200</v>
      </c>
      <c r="B203" s="10" t="inlineStr">
        <is>
          <t xml:space="preserve">                    script_up = gr.File(label="Excel Script (optional)", file_types=[".xlsx"])</t>
        </is>
      </c>
    </row>
    <row r="204">
      <c r="A204" s="7" t="n">
        <v>201</v>
      </c>
      <c r="B204" s="8" t="inlineStr">
        <is>
          <t xml:space="preserve">                    batch_n = gr.Slider(1, 30, value=3, step=1, label="Count")</t>
        </is>
      </c>
    </row>
    <row r="205">
      <c r="A205" s="9" t="n">
        <v>202</v>
      </c>
      <c r="B205" s="10" t="inlineStr">
        <is>
          <t xml:space="preserve">                with gr.Row():</t>
        </is>
      </c>
    </row>
    <row r="206">
      <c r="A206" s="7" t="n">
        <v>203</v>
      </c>
      <c r="B206" s="8" t="inlineStr">
        <is>
          <t xml:space="preserve">                    bt_tts = gr.Checkbox(label="TTS", value=True)</t>
        </is>
      </c>
    </row>
    <row r="207">
      <c r="A207" s="9" t="n">
        <v>204</v>
      </c>
      <c r="B207" s="10" t="inlineStr">
        <is>
          <t xml:space="preserve">                    bt_bgm = gr.Checkbox(label="BGM", value=True)</t>
        </is>
      </c>
    </row>
    <row r="208">
      <c r="A208" s="7" t="n">
        <v>205</v>
      </c>
      <c r="B208" s="8" t="inlineStr">
        <is>
          <t xml:space="preserve">                batch_btn = gr.Button("Start Batch", variant="primary")</t>
        </is>
      </c>
    </row>
    <row r="209">
      <c r="A209" s="9" t="n">
        <v>206</v>
      </c>
      <c r="B209" s="10" t="inlineStr">
        <is>
          <t xml:space="preserve">                batch_table = gr.Dataframe(</t>
        </is>
      </c>
    </row>
    <row r="210">
      <c r="A210" s="7" t="n">
        <v>207</v>
      </c>
      <c r="B210" s="8" t="inlineStr">
        <is>
          <t xml:space="preserve">                    headers=["#", "Status", "Copy Preview"],</t>
        </is>
      </c>
    </row>
    <row r="211">
      <c r="A211" s="9" t="n">
        <v>208</v>
      </c>
      <c r="B211" s="10" t="inlineStr">
        <is>
          <t xml:space="preserve">                    interactive=False, row_count=10</t>
        </is>
      </c>
    </row>
    <row r="212">
      <c r="A212" s="7" t="n">
        <v>209</v>
      </c>
      <c r="B212" s="8" t="inlineStr">
        <is>
          <t xml:space="preserve">                )</t>
        </is>
      </c>
    </row>
    <row r="213">
      <c r="A213" s="9" t="n">
        <v>210</v>
      </c>
      <c r="B213" s="10" t="inlineStr">
        <is>
          <t xml:space="preserve">                batch_btn.click(generate_batch,</t>
        </is>
      </c>
    </row>
    <row r="214">
      <c r="A214" s="7" t="n">
        <v>211</v>
      </c>
      <c r="B214" s="8" t="inlineStr">
        <is>
          <t xml:space="preserve">                    inputs=[script_up, batch_n, bt_tts, bt_bgm],</t>
        </is>
      </c>
    </row>
    <row r="215">
      <c r="A215" s="9" t="n">
        <v>212</v>
      </c>
      <c r="B215" s="10" t="inlineStr">
        <is>
          <t xml:space="preserve">                    outputs=batch_table)</t>
        </is>
      </c>
    </row>
    <row r="216">
      <c r="A216" s="7" t="n">
        <v>213</v>
      </c>
      <c r="B216" s="8" t="inlineStr"/>
    </row>
    <row r="217">
      <c r="A217" s="9" t="n">
        <v>214</v>
      </c>
      <c r="B217" s="10" t="inlineStr">
        <is>
          <t xml:space="preserve">            with gr.Tab("Material Library"):</t>
        </is>
      </c>
    </row>
    <row r="218">
      <c r="A218" s="7" t="n">
        <v>215</v>
      </c>
      <c r="B218" s="8" t="inlineStr">
        <is>
          <t xml:space="preserve">                with gr.Row():</t>
        </is>
      </c>
    </row>
    <row r="219">
      <c r="A219" s="9" t="n">
        <v>216</v>
      </c>
      <c r="B219" s="10" t="inlineStr">
        <is>
          <t xml:space="preserve">                    refresh_btn = gr.Button("Refresh Scan", variant="secondary")</t>
        </is>
      </c>
    </row>
    <row r="220">
      <c r="A220" s="7" t="n">
        <v>217</v>
      </c>
      <c r="B220" s="8" t="inlineStr">
        <is>
          <t xml:space="preserve">                    clear_cache_btn = gr.Button("Clear Cache", variant="stop")</t>
        </is>
      </c>
    </row>
    <row r="221">
      <c r="A221" s="9" t="n">
        <v>218</v>
      </c>
      <c r="B221" s="10" t="inlineStr">
        <is>
          <t xml:space="preserve">                    usage_btn = gr.Button("Usage Stats", variant="secondary")</t>
        </is>
      </c>
    </row>
    <row r="222">
      <c r="A222" s="7" t="n">
        <v>219</v>
      </c>
      <c r="B222" s="8" t="inlineStr">
        <is>
          <t xml:space="preserve">                status_txt = gr.Textbox(label="Status", interactive=False)</t>
        </is>
      </c>
    </row>
    <row r="223">
      <c r="A223" s="9" t="n">
        <v>220</v>
      </c>
      <c r="B223" s="10" t="inlineStr">
        <is>
          <t xml:space="preserve">                mat_table = gr.Dataframe(</t>
        </is>
      </c>
    </row>
    <row r="224">
      <c r="A224" s="7" t="n">
        <v>221</v>
      </c>
      <c r="B224" s="8" t="inlineStr">
        <is>
          <t xml:space="preserve">                    headers=["Selling Point", "Clip Count"],</t>
        </is>
      </c>
    </row>
    <row r="225">
      <c r="A225" s="9" t="n">
        <v>222</v>
      </c>
      <c r="B225" s="10" t="inlineStr">
        <is>
          <t xml:space="preserve">                    interactive=False, row_count=15</t>
        </is>
      </c>
    </row>
    <row r="226">
      <c r="A226" s="7" t="n">
        <v>223</v>
      </c>
      <c r="B226" s="8" t="inlineStr">
        <is>
          <t xml:space="preserve">                )</t>
        </is>
      </c>
    </row>
    <row r="227">
      <c r="A227" s="9" t="n">
        <v>224</v>
      </c>
      <c r="B227" s="10" t="inlineStr">
        <is>
          <t xml:space="preserve">                refresh_btn.click(refresh_material_stats, outputs=[status_txt, mat_table])</t>
        </is>
      </c>
    </row>
    <row r="228">
      <c r="A228" s="7" t="n">
        <v>225</v>
      </c>
      <c r="B228" s="8" t="inlineStr">
        <is>
          <t xml:space="preserve">                clear_cache_btn.click(clear_cache, outputs=status_txt)</t>
        </is>
      </c>
    </row>
    <row r="229">
      <c r="A229" s="9" t="n">
        <v>226</v>
      </c>
      <c r="B229" s="10" t="inlineStr">
        <is>
          <t xml:space="preserve">                usage_btn.click(show_usage_stats, outputs=status_txt)</t>
        </is>
      </c>
    </row>
    <row r="230">
      <c r="A230" s="7" t="n">
        <v>227</v>
      </c>
      <c r="B230" s="8" t="inlineStr"/>
    </row>
    <row r="231">
      <c r="A231" s="9" t="n">
        <v>228</v>
      </c>
      <c r="B231" s="10" t="inlineStr">
        <is>
          <t xml:space="preserve">            with gr.Tab("素材库管理 / Library Management"):</t>
        </is>
      </c>
    </row>
    <row r="232">
      <c r="A232" s="7" t="n">
        <v>229</v>
      </c>
      <c r="B232" s="8" t="inlineStr">
        <is>
          <t xml:space="preserve">                gr.Markdown("### AI素材库索引管理")</t>
        </is>
      </c>
    </row>
    <row r="233">
      <c r="A233" s="9" t="n">
        <v>230</v>
      </c>
      <c r="B233" s="10" t="inlineStr">
        <is>
          <t xml:space="preserve">                lib_status = gr.Textbox(label="状态", interactive=False)</t>
        </is>
      </c>
    </row>
    <row r="234">
      <c r="A234" s="7" t="n">
        <v>231</v>
      </c>
      <c r="B234" s="8" t="inlineStr">
        <is>
          <t xml:space="preserve">                rebuild_btn = gr.Button("全量重建FAISS索引", variant="primary")</t>
        </is>
      </c>
    </row>
    <row r="235">
      <c r="A235" s="9" t="n">
        <v>232</v>
      </c>
      <c r="B235" s="10" t="inlineStr">
        <is>
          <t xml:space="preserve">                lib_stats = gr.Dataframe(headers=["指标","数值"], interactive=False, row_count=5)</t>
        </is>
      </c>
    </row>
    <row r="236">
      <c r="A236" s="7" t="n">
        <v>233</v>
      </c>
      <c r="B236" s="8" t="inlineStr"/>
    </row>
    <row r="237">
      <c r="A237" s="9" t="n">
        <v>234</v>
      </c>
      <c r="B237" s="10" t="inlineStr">
        <is>
          <t xml:space="preserve">                def rebuild_index():</t>
        </is>
      </c>
    </row>
    <row r="238">
      <c r="A238" s="7" t="n">
        <v>235</v>
      </c>
      <c r="B238" s="8" t="inlineStr">
        <is>
          <t xml:space="preserve">                    try:</t>
        </is>
      </c>
    </row>
    <row r="239">
      <c r="A239" s="9" t="n">
        <v>236</v>
      </c>
      <c r="B239" s="10" t="inlineStr">
        <is>
          <t xml:space="preserve">                        from core.library_builder import LibraryBuilder</t>
        </is>
      </c>
    </row>
    <row r="240">
      <c r="A240" s="7" t="n">
        <v>237</v>
      </c>
      <c r="B240" s="8" t="inlineStr">
        <is>
          <t xml:space="preserve">                        import io, sys as _sys</t>
        </is>
      </c>
    </row>
    <row r="241">
      <c r="A241" s="9" t="n">
        <v>238</v>
      </c>
      <c r="B241" s="10" t="inlineStr">
        <is>
          <t xml:space="preserve">                        old = _sys.stdout; buf = io.StringIO(); _sys.stdout = buf</t>
        </is>
      </c>
    </row>
    <row r="242">
      <c r="A242" s="7" t="n">
        <v>239</v>
      </c>
      <c r="B242" s="8" t="inlineStr">
        <is>
          <t xml:space="preserve">                        LibraryBuilder().build_faiss_index()</t>
        </is>
      </c>
    </row>
    <row r="243">
      <c r="A243" s="9" t="n">
        <v>240</v>
      </c>
      <c r="B243" s="10" t="inlineStr">
        <is>
          <t xml:space="preserve">                        _sys.stdout = old</t>
        </is>
      </c>
    </row>
    <row r="244">
      <c r="A244" s="7" t="n">
        <v>241</v>
      </c>
      <c r="B244" s="8" t="inlineStr">
        <is>
          <t xml:space="preserve">                        return f"✅ {buf.getvalue()}", [["总片段","-"],["索引状态","已重建"]]</t>
        </is>
      </c>
    </row>
    <row r="245">
      <c r="A245" s="9" t="n">
        <v>242</v>
      </c>
      <c r="B245" s="10" t="inlineStr">
        <is>
          <t xml:space="preserve">                    except Exception as e:</t>
        </is>
      </c>
    </row>
    <row r="246">
      <c r="A246" s="7" t="n">
        <v>243</v>
      </c>
      <c r="B246" s="8" t="inlineStr">
        <is>
          <t xml:space="preserve">                        return f"❌ {e}", []</t>
        </is>
      </c>
    </row>
    <row r="247">
      <c r="A247" s="9" t="n">
        <v>244</v>
      </c>
      <c r="B247" s="10" t="inlineStr"/>
    </row>
    <row r="248">
      <c r="A248" s="7" t="n">
        <v>245</v>
      </c>
      <c r="B248" s="8" t="inlineStr">
        <is>
          <t xml:space="preserve">                def get_lib_stats():</t>
        </is>
      </c>
    </row>
    <row r="249">
      <c r="A249" s="9" t="n">
        <v>246</v>
      </c>
      <c r="B249" s="10" t="inlineStr">
        <is>
          <t xml:space="preserve">                    try:</t>
        </is>
      </c>
    </row>
    <row r="250">
      <c r="A250" s="7" t="n">
        <v>247</v>
      </c>
      <c r="B250" s="8" t="inlineStr">
        <is>
          <t xml:space="preserve">                        from core.library_builder import LibraryBuilder</t>
        </is>
      </c>
    </row>
    <row r="251">
      <c r="A251" s="9" t="n">
        <v>248</v>
      </c>
      <c r="B251" s="10" t="inlineStr">
        <is>
          <t xml:space="preserve">                        s = LibraryBuilder().get_stats()</t>
        </is>
      </c>
    </row>
    <row r="252">
      <c r="A252" s="7" t="n">
        <v>249</v>
      </c>
      <c r="B252" s="8" t="inlineStr">
        <is>
          <t xml:space="preserve">                        return [[k,str(v)] for k,v in s.items()]</t>
        </is>
      </c>
    </row>
    <row r="253">
      <c r="A253" s="9" t="n">
        <v>250</v>
      </c>
      <c r="B253" s="10" t="inlineStr">
        <is>
          <t xml:space="preserve">                    except Exception: return []</t>
        </is>
      </c>
    </row>
    <row r="254">
      <c r="A254" s="7" t="n">
        <v>251</v>
      </c>
      <c r="B254" s="8" t="inlineStr"/>
    </row>
    <row r="255">
      <c r="A255" s="9" t="n">
        <v>252</v>
      </c>
      <c r="B255" s="10" t="inlineStr">
        <is>
          <t xml:space="preserve">                rebuild_btn.click(rebuild_index, outputs=[lib_status, lib_stats])</t>
        </is>
      </c>
    </row>
    <row r="256">
      <c r="A256" s="7" t="n">
        <v>253</v>
      </c>
      <c r="B256" s="8" t="inlineStr"/>
    </row>
    <row r="257">
      <c r="A257" s="9" t="n">
        <v>254</v>
      </c>
      <c r="B257" s="10" t="inlineStr">
        <is>
          <t xml:space="preserve">            with gr.Tab("History"):</t>
        </is>
      </c>
    </row>
    <row r="258">
      <c r="A258" s="7" t="n">
        <v>255</v>
      </c>
      <c r="B258" s="8" t="inlineStr">
        <is>
          <t xml:space="preserve">                hist_btn = gr.Button("Load History")</t>
        </is>
      </c>
    </row>
    <row r="259">
      <c r="A259" s="9" t="n">
        <v>256</v>
      </c>
      <c r="B259" s="10" t="inlineStr">
        <is>
          <t xml:space="preserve">                hist_table = gr.Dataframe(</t>
        </is>
      </c>
    </row>
    <row r="260">
      <c r="A260" s="7" t="n">
        <v>257</v>
      </c>
      <c r="B260" s="8" t="inlineStr">
        <is>
          <t xml:space="preserve">                    headers=["Time", "Draft Name", "Path", "Thumbnail"],</t>
        </is>
      </c>
    </row>
    <row r="261">
      <c r="A261" s="9" t="n">
        <v>258</v>
      </c>
      <c r="B261" s="10" t="inlineStr">
        <is>
          <t xml:space="preserve">                    interactive=False, row_count=15</t>
        </is>
      </c>
    </row>
    <row r="262">
      <c r="A262" s="7" t="n">
        <v>259</v>
      </c>
      <c r="B262" s="8" t="inlineStr">
        <is>
          <t xml:space="preserve">                )</t>
        </is>
      </c>
    </row>
    <row r="263">
      <c r="A263" s="9" t="n">
        <v>260</v>
      </c>
      <c r="B263" s="10" t="inlineStr">
        <is>
          <t xml:space="preserve">                hist_btn.click(load_history, outputs=hist_table)</t>
        </is>
      </c>
    </row>
    <row r="264">
      <c r="A264" s="7" t="n">
        <v>261</v>
      </c>
      <c r="B264" s="8" t="inlineStr"/>
    </row>
    <row r="265">
      <c r="A265" s="9" t="n">
        <v>262</v>
      </c>
      <c r="B265" s="10" t="inlineStr">
        <is>
          <t xml:space="preserve">        gr.Markdown("---\n*TreeCut v10.0 | Web Console*")</t>
        </is>
      </c>
    </row>
    <row r="266">
      <c r="A266" s="7" t="n">
        <v>263</v>
      </c>
      <c r="B266" s="8" t="inlineStr"/>
    </row>
    <row r="267">
      <c r="A267" s="9" t="n">
        <v>264</v>
      </c>
      <c r="B267" s="10" t="inlineStr">
        <is>
          <t xml:space="preserve">    return app</t>
        </is>
      </c>
    </row>
    <row r="268">
      <c r="A268" s="7" t="n">
        <v>265</v>
      </c>
      <c r="B268" s="8" t="inlineStr"/>
    </row>
    <row r="269">
      <c r="A269" s="9" t="n">
        <v>266</v>
      </c>
      <c r="B269" s="10" t="inlineStr"/>
    </row>
    <row r="270">
      <c r="A270" s="7" t="n">
        <v>267</v>
      </c>
      <c r="B270" s="8" t="inlineStr">
        <is>
          <t>if __name__ == "__main__":</t>
        </is>
      </c>
    </row>
    <row r="271">
      <c r="A271" s="9" t="n">
        <v>268</v>
      </c>
      <c r="B271" s="10" t="inlineStr">
        <is>
          <t xml:space="preserve">    # 简单Token认证（从环境变量读取，未设置时跳过）</t>
        </is>
      </c>
    </row>
    <row r="272">
      <c r="A272" s="7" t="n">
        <v>269</v>
      </c>
      <c r="B272" s="8" t="inlineStr">
        <is>
          <t xml:space="preserve">    import os as _os</t>
        </is>
      </c>
    </row>
    <row r="273">
      <c r="A273" s="9" t="n">
        <v>270</v>
      </c>
      <c r="B273" s="10" t="inlineStr">
        <is>
          <t xml:space="preserve">    AUTH_TOKEN = _os.environ.get("TREECUT_WEB_TOKEN", "")</t>
        </is>
      </c>
    </row>
    <row r="274">
      <c r="A274" s="7" t="n">
        <v>271</v>
      </c>
      <c r="B274" s="8" t="inlineStr">
        <is>
          <t xml:space="preserve">    AUTH_MSG = "请输入访问令牌 / Enter access token"</t>
        </is>
      </c>
    </row>
    <row r="275">
      <c r="A275" s="9" t="n">
        <v>272</v>
      </c>
      <c r="B275" s="10" t="inlineStr"/>
    </row>
    <row r="276">
      <c r="A276" s="7" t="n">
        <v>273</v>
      </c>
      <c r="B276" s="8" t="inlineStr">
        <is>
          <t xml:space="preserve">    app = build_ui()</t>
        </is>
      </c>
    </row>
    <row r="277">
      <c r="A277" s="9" t="n">
        <v>274</v>
      </c>
      <c r="B277" s="10" t="inlineStr">
        <is>
          <t xml:space="preserve">    launch_kwargs = {</t>
        </is>
      </c>
    </row>
    <row r="278">
      <c r="A278" s="7" t="n">
        <v>275</v>
      </c>
      <c r="B278" s="8" t="inlineStr">
        <is>
          <t xml:space="preserve">        "server_name": "127.0.0.1",</t>
        </is>
      </c>
    </row>
    <row r="279">
      <c r="A279" s="9" t="n">
        <v>276</v>
      </c>
      <c r="B279" s="10" t="inlineStr">
        <is>
          <t xml:space="preserve">        "server_port": int(_os.environ.get("TREECUT_WEB_PORT", "7860")),</t>
        </is>
      </c>
    </row>
    <row r="280">
      <c r="A280" s="7" t="n">
        <v>277</v>
      </c>
      <c r="B280" s="8" t="inlineStr">
        <is>
          <t xml:space="preserve">        "inbrowser": False,</t>
        </is>
      </c>
    </row>
    <row r="281">
      <c r="A281" s="9" t="n">
        <v>278</v>
      </c>
      <c r="B281" s="10" t="inlineStr">
        <is>
          <t xml:space="preserve">        "show_error": True,</t>
        </is>
      </c>
    </row>
    <row r="282">
      <c r="A282" s="7" t="n">
        <v>279</v>
      </c>
      <c r="B282" s="8" t="inlineStr">
        <is>
          <t xml:space="preserve">        "share": False,</t>
        </is>
      </c>
    </row>
    <row r="283">
      <c r="A283" s="9" t="n">
        <v>280</v>
      </c>
      <c r="B283" s="10" t="inlineStr">
        <is>
          <t xml:space="preserve">    }</t>
        </is>
      </c>
    </row>
    <row r="284">
      <c r="A284" s="7" t="n">
        <v>281</v>
      </c>
      <c r="B284" s="8" t="inlineStr">
        <is>
          <t xml:space="preserve">    if AUTH_TOKEN:</t>
        </is>
      </c>
    </row>
    <row r="285">
      <c r="A285" s="9" t="n">
        <v>282</v>
      </c>
      <c r="B285" s="10" t="inlineStr">
        <is>
          <t xml:space="preserve">        launch_kwargs["auth"] = ("admin", AUTH_TOKEN)</t>
        </is>
      </c>
    </row>
    <row r="286">
      <c r="A286" s="7" t="n">
        <v>283</v>
      </c>
      <c r="B286" s="8" t="inlineStr">
        <is>
          <t xml:space="preserve">        launch_kwargs["auth_message"] = AUTH_MSG</t>
        </is>
      </c>
    </row>
    <row r="287">
      <c r="A287" s="9" t="n">
        <v>284</v>
      </c>
      <c r="B287" s="10" t="inlineStr">
        <is>
          <t xml:space="preserve">        print(f"   🔒 Web UI 已启用认证 (admin / token)")</t>
        </is>
      </c>
    </row>
    <row r="288">
      <c r="A288" s="7" t="n">
        <v>285</v>
      </c>
      <c r="B288" s="8" t="inlineStr">
        <is>
          <t xml:space="preserve">    else:</t>
        </is>
      </c>
    </row>
    <row r="289">
      <c r="A289" s="9" t="n">
        <v>286</v>
      </c>
      <c r="B289" s="10" t="inlineStr">
        <is>
          <t xml:space="preserve">        print(f"   ⚠ Web UI 未启用认证，设置 TREECUT_WEB_TOKEN 环境变量以保护访问")</t>
        </is>
      </c>
    </row>
    <row r="290">
      <c r="A290" s="7" t="n">
        <v>287</v>
      </c>
      <c r="B290" s="8" t="inlineStr"/>
    </row>
    <row r="291">
      <c r="A291" s="9" t="n">
        <v>288</v>
      </c>
      <c r="B291" s="10" t="inlineStr">
        <is>
          <t xml:space="preserve">    app.launch(**launch_kwargs)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utils\__init__.py</t>
        </is>
      </c>
      <c r="C1" s="5" t="inlineStr">
        <is>
          <t>行数: 0</t>
        </is>
      </c>
    </row>
    <row r="3">
      <c r="A3" s="4" t="inlineStr">
        <is>
          <t>源代码: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utils\cache_manager.py</t>
        </is>
      </c>
      <c r="C1" s="5" t="inlineStr">
        <is>
          <t>行数: 115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两级缓存管理器：内存LRU + SQLite磁盘持久化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hashlib</t>
        </is>
      </c>
    </row>
    <row r="8">
      <c r="A8" s="7" t="n">
        <v>5</v>
      </c>
      <c r="B8" s="8" t="inlineStr">
        <is>
          <t>import os</t>
        </is>
      </c>
    </row>
    <row r="9">
      <c r="A9" s="9" t="n">
        <v>6</v>
      </c>
      <c r="B9" s="10" t="inlineStr">
        <is>
          <t>import json</t>
        </is>
      </c>
    </row>
    <row r="10">
      <c r="A10" s="7" t="n">
        <v>7</v>
      </c>
      <c r="B10" s="8" t="inlineStr">
        <is>
          <t>from collections import OrderedDict</t>
        </is>
      </c>
    </row>
    <row r="11">
      <c r="A11" s="9" t="n">
        <v>8</v>
      </c>
      <c r="B11" s="10" t="inlineStr">
        <is>
          <t>from utils.logger import get_logger</t>
        </is>
      </c>
    </row>
    <row r="12">
      <c r="A12" s="7" t="n">
        <v>9</v>
      </c>
      <c r="B12" s="8" t="inlineStr">
        <is>
          <t>from core.database import execute_sql, query_sql</t>
        </is>
      </c>
    </row>
    <row r="13">
      <c r="A13" s="9" t="n">
        <v>10</v>
      </c>
      <c r="B13" s="10" t="inlineStr">
        <is>
          <t>logger = get_logger("cache")</t>
        </is>
      </c>
    </row>
    <row r="14">
      <c r="A14" s="7" t="n">
        <v>11</v>
      </c>
      <c r="B14" s="8" t="inlineStr">
        <is>
          <t>class MemoryCache:</t>
        </is>
      </c>
    </row>
    <row r="15">
      <c r="A15" s="9" t="n">
        <v>12</v>
      </c>
      <c r="B15" s="10" t="inlineStr">
        <is>
          <t xml:space="preserve">    """LRU内存缓存"""</t>
        </is>
      </c>
    </row>
    <row r="16">
      <c r="A16" s="7" t="n">
        <v>13</v>
      </c>
      <c r="B16" s="8" t="inlineStr">
        <is>
          <t xml:space="preserve">    def __init__(self, max_size_mb: int = 2048):</t>
        </is>
      </c>
    </row>
    <row r="17">
      <c r="A17" s="9" t="n">
        <v>14</v>
      </c>
      <c r="B17" s="10" t="inlineStr">
        <is>
          <t xml:space="preserve">        self.cache = OrderedDict()</t>
        </is>
      </c>
    </row>
    <row r="18">
      <c r="A18" s="7" t="n">
        <v>15</v>
      </c>
      <c r="B18" s="8" t="inlineStr">
        <is>
          <t xml:space="preserve">        self.max_size = max_size_mb * 1024 * 1024</t>
        </is>
      </c>
    </row>
    <row r="19">
      <c r="A19" s="9" t="n">
        <v>16</v>
      </c>
      <c r="B19" s="10" t="inlineStr">
        <is>
          <t xml:space="preserve">        self.current_size = 0</t>
        </is>
      </c>
    </row>
    <row r="20">
      <c r="A20" s="7" t="n">
        <v>17</v>
      </c>
      <c r="B20" s="8" t="inlineStr">
        <is>
          <t xml:space="preserve">    def get(self, key: str):</t>
        </is>
      </c>
    </row>
    <row r="21">
      <c r="A21" s="9" t="n">
        <v>18</v>
      </c>
      <c r="B21" s="10" t="inlineStr">
        <is>
          <t xml:space="preserve">        if key not in self.cache:</t>
        </is>
      </c>
    </row>
    <row r="22">
      <c r="A22" s="7" t="n">
        <v>19</v>
      </c>
      <c r="B22" s="8" t="inlineStr">
        <is>
          <t xml:space="preserve">            return None</t>
        </is>
      </c>
    </row>
    <row r="23">
      <c r="A23" s="9" t="n">
        <v>20</v>
      </c>
      <c r="B23" s="10" t="inlineStr">
        <is>
          <t xml:space="preserve">        self.cache.move_to_end(key)</t>
        </is>
      </c>
    </row>
    <row r="24">
      <c r="A24" s="7" t="n">
        <v>21</v>
      </c>
      <c r="B24" s="8" t="inlineStr">
        <is>
          <t xml:space="preserve">        return self.cache[key]["data"]</t>
        </is>
      </c>
    </row>
    <row r="25">
      <c r="A25" s="9" t="n">
        <v>22</v>
      </c>
      <c r="B25" s="10" t="inlineStr">
        <is>
          <t xml:space="preserve">    def set(self, key: str, data):</t>
        </is>
      </c>
    </row>
    <row r="26">
      <c r="A26" s="7" t="n">
        <v>23</v>
      </c>
      <c r="B26" s="8" t="inlineStr">
        <is>
          <t xml:space="preserve">        try:</t>
        </is>
      </c>
    </row>
    <row r="27">
      <c r="A27" s="9" t="n">
        <v>24</v>
      </c>
      <c r="B27" s="10" t="inlineStr">
        <is>
          <t xml:space="preserve">            data_size = len(json.dumps(data, ensure_ascii=False, default=str).encode("utf-8"))</t>
        </is>
      </c>
    </row>
    <row r="28">
      <c r="A28" s="7" t="n">
        <v>25</v>
      </c>
      <c r="B28" s="8" t="inlineStr">
        <is>
          <t xml:space="preserve">        except Exception:</t>
        </is>
      </c>
    </row>
    <row r="29">
      <c r="A29" s="9" t="n">
        <v>26</v>
      </c>
      <c r="B29" s="10" t="inlineStr">
        <is>
          <t xml:space="preserve">            data_size = 1024 * 1024</t>
        </is>
      </c>
    </row>
    <row r="30">
      <c r="A30" s="7" t="n">
        <v>27</v>
      </c>
      <c r="B30" s="8" t="inlineStr">
        <is>
          <t xml:space="preserve">        while self.current_size + data_size &gt; self.max_size and self.cache:</t>
        </is>
      </c>
    </row>
    <row r="31">
      <c r="A31" s="9" t="n">
        <v>28</v>
      </c>
      <c r="B31" s="10" t="inlineStr">
        <is>
          <t xml:space="preserve">            _, oldest_val = self.cache.popitem(last=False)</t>
        </is>
      </c>
    </row>
    <row r="32">
      <c r="A32" s="7" t="n">
        <v>29</v>
      </c>
      <c r="B32" s="8" t="inlineStr">
        <is>
          <t xml:space="preserve">            self.current_size -= oldest_val.get("size", 0)</t>
        </is>
      </c>
    </row>
    <row r="33">
      <c r="A33" s="9" t="n">
        <v>30</v>
      </c>
      <c r="B33" s="10" t="inlineStr">
        <is>
          <t xml:space="preserve">        self.cache[key] = {"data": data, "size": data_size}</t>
        </is>
      </c>
    </row>
    <row r="34">
      <c r="A34" s="7" t="n">
        <v>31</v>
      </c>
      <c r="B34" s="8" t="inlineStr">
        <is>
          <t xml:space="preserve">        self.current_size += data_size</t>
        </is>
      </c>
    </row>
    <row r="35">
      <c r="A35" s="9" t="n">
        <v>32</v>
      </c>
      <c r="B35" s="10" t="inlineStr">
        <is>
          <t xml:space="preserve">        self.cache.move_to_end(key)</t>
        </is>
      </c>
    </row>
    <row r="36">
      <c r="A36" s="7" t="n">
        <v>33</v>
      </c>
      <c r="B36" s="8" t="inlineStr">
        <is>
          <t xml:space="preserve">    def invalidate(self, key: str):</t>
        </is>
      </c>
    </row>
    <row r="37">
      <c r="A37" s="9" t="n">
        <v>34</v>
      </c>
      <c r="B37" s="10" t="inlineStr">
        <is>
          <t xml:space="preserve">        if key in self.cache:</t>
        </is>
      </c>
    </row>
    <row r="38">
      <c r="A38" s="7" t="n">
        <v>35</v>
      </c>
      <c r="B38" s="8" t="inlineStr">
        <is>
          <t xml:space="preserve">            self.current_size -= self.cache[key].get("size", 0)</t>
        </is>
      </c>
    </row>
    <row r="39">
      <c r="A39" s="9" t="n">
        <v>36</v>
      </c>
      <c r="B39" s="10" t="inlineStr">
        <is>
          <t xml:space="preserve">            del self.cache[key]</t>
        </is>
      </c>
    </row>
    <row r="40">
      <c r="A40" s="7" t="n">
        <v>37</v>
      </c>
      <c r="B40" s="8" t="inlineStr">
        <is>
          <t>class CacheManager:</t>
        </is>
      </c>
    </row>
    <row r="41">
      <c r="A41" s="9" t="n">
        <v>38</v>
      </c>
      <c r="B41" s="10" t="inlineStr">
        <is>
          <t xml:space="preserve">    """两级缓存：内存LRU + 数据库持久化"""</t>
        </is>
      </c>
    </row>
    <row r="42">
      <c r="A42" s="7" t="n">
        <v>39</v>
      </c>
      <c r="B42" s="8" t="inlineStr">
        <is>
          <t xml:space="preserve">    def __init__(self, memory_cache_mb: int = 2048):</t>
        </is>
      </c>
    </row>
    <row r="43">
      <c r="A43" s="9" t="n">
        <v>40</v>
      </c>
      <c r="B43" s="10" t="inlineStr">
        <is>
          <t xml:space="preserve">        execute_sql('''</t>
        </is>
      </c>
    </row>
    <row r="44">
      <c r="A44" s="7" t="n">
        <v>41</v>
      </c>
      <c r="B44" s="8" t="inlineStr">
        <is>
          <t xml:space="preserve">            CREATE TABLE IF NOT EXISTS compute_cache (</t>
        </is>
      </c>
    </row>
    <row r="45">
      <c r="A45" s="9" t="n">
        <v>42</v>
      </c>
      <c r="B45" s="10" t="inlineStr">
        <is>
          <t xml:space="preserve">                id INTEGER PRIMARY KEY AUTOINCREMENT,</t>
        </is>
      </c>
    </row>
    <row r="46">
      <c r="A46" s="7" t="n">
        <v>43</v>
      </c>
      <c r="B46" s="8" t="inlineStr">
        <is>
          <t xml:space="preserve">                file_hash TEXT NOT NULL,</t>
        </is>
      </c>
    </row>
    <row r="47">
      <c r="A47" s="9" t="n">
        <v>44</v>
      </c>
      <c r="B47" s="10" t="inlineStr">
        <is>
          <t xml:space="preserve">                cache_type TEXT NOT NULL,</t>
        </is>
      </c>
    </row>
    <row r="48">
      <c r="A48" s="7" t="n">
        <v>45</v>
      </c>
      <c r="B48" s="8" t="inlineStr">
        <is>
          <t xml:space="preserve">                cache_data TEXT NOT NULL,</t>
        </is>
      </c>
    </row>
    <row r="49">
      <c r="A49" s="9" t="n">
        <v>46</v>
      </c>
      <c r="B49" s="10" t="inlineStr">
        <is>
          <t xml:space="preserve">                create_time TIMESTAMP DEFAULT CURRENT_TIMESTAMP,</t>
        </is>
      </c>
    </row>
    <row r="50">
      <c r="A50" s="7" t="n">
        <v>47</v>
      </c>
      <c r="B50" s="8" t="inlineStr">
        <is>
          <t xml:space="preserve">                update_time TIMESTAMP DEFAULT CURRENT_TIMESTAMP,</t>
        </is>
      </c>
    </row>
    <row r="51">
      <c r="A51" s="9" t="n">
        <v>48</v>
      </c>
      <c r="B51" s="10" t="inlineStr">
        <is>
          <t xml:space="preserve">                UNIQUE(file_hash, cache_type)</t>
        </is>
      </c>
    </row>
    <row r="52">
      <c r="A52" s="7" t="n">
        <v>49</v>
      </c>
      <c r="B52" s="8" t="inlineStr">
        <is>
          <t xml:space="preserve">            )</t>
        </is>
      </c>
    </row>
    <row r="53">
      <c r="A53" s="9" t="n">
        <v>50</v>
      </c>
      <c r="B53" s="10" t="inlineStr">
        <is>
          <t xml:space="preserve">        ''')</t>
        </is>
      </c>
    </row>
    <row r="54">
      <c r="A54" s="7" t="n">
        <v>51</v>
      </c>
      <c r="B54" s="8" t="inlineStr">
        <is>
          <t xml:space="preserve">        self.mem_cache = MemoryCache(max_size_mb=memory_cache_mb)</t>
        </is>
      </c>
    </row>
    <row r="55">
      <c r="A55" s="9" t="n">
        <v>52</v>
      </c>
      <c r="B55" s="10" t="inlineStr">
        <is>
          <t xml:space="preserve">        logger.info(f"两级缓存初始化完成，内存缓存{memory_cache_mb}MB")</t>
        </is>
      </c>
    </row>
    <row r="56">
      <c r="A56" s="7" t="n">
        <v>53</v>
      </c>
      <c r="B56" s="8" t="inlineStr">
        <is>
          <t xml:space="preserve">    @staticmethod</t>
        </is>
      </c>
    </row>
    <row r="57">
      <c r="A57" s="9" t="n">
        <v>54</v>
      </c>
      <c r="B57" s="10" t="inlineStr">
        <is>
          <t xml:space="preserve">    def get_file_hash(file_path: str) -&gt; str:</t>
        </is>
      </c>
    </row>
    <row r="58">
      <c r="A58" s="7" t="n">
        <v>55</v>
      </c>
      <c r="B58" s="8" t="inlineStr">
        <is>
          <t xml:space="preserve">        if not os.path.exists(file_path):</t>
        </is>
      </c>
    </row>
    <row r="59">
      <c r="A59" s="9" t="n">
        <v>56</v>
      </c>
      <c r="B59" s="10" t="inlineStr">
        <is>
          <t xml:space="preserve">            return ""</t>
        </is>
      </c>
    </row>
    <row r="60">
      <c r="A60" s="7" t="n">
        <v>57</v>
      </c>
      <c r="B60" s="8" t="inlineStr">
        <is>
          <t xml:space="preserve">        md5 = hashlib.md5()</t>
        </is>
      </c>
    </row>
    <row r="61">
      <c r="A61" s="9" t="n">
        <v>58</v>
      </c>
      <c r="B61" s="10" t="inlineStr">
        <is>
          <t xml:space="preserve">        with open(file_path, "rb") as f:</t>
        </is>
      </c>
    </row>
    <row r="62">
      <c r="A62" s="7" t="n">
        <v>59</v>
      </c>
      <c r="B62" s="8" t="inlineStr">
        <is>
          <t xml:space="preserve">            for chunk in iter(lambda: f.read(8192), b""):</t>
        </is>
      </c>
    </row>
    <row r="63">
      <c r="A63" s="9" t="n">
        <v>60</v>
      </c>
      <c r="B63" s="10" t="inlineStr">
        <is>
          <t xml:space="preserve">                md5.update(chunk)</t>
        </is>
      </c>
    </row>
    <row r="64">
      <c r="A64" s="7" t="n">
        <v>61</v>
      </c>
      <c r="B64" s="8" t="inlineStr">
        <is>
          <t xml:space="preserve">        return md5.hexdigest()</t>
        </is>
      </c>
    </row>
    <row r="65">
      <c r="A65" s="9" t="n">
        <v>62</v>
      </c>
      <c r="B65" s="10" t="inlineStr">
        <is>
          <t xml:space="preserve">    def get(self, file_path: str, cache_type: str):</t>
        </is>
      </c>
    </row>
    <row r="66">
      <c r="A66" s="7" t="n">
        <v>63</v>
      </c>
      <c r="B66" s="8" t="inlineStr">
        <is>
          <t xml:space="preserve">        """获取缓存"""</t>
        </is>
      </c>
    </row>
    <row r="67">
      <c r="A67" s="9" t="n">
        <v>64</v>
      </c>
      <c r="B67" s="10" t="inlineStr">
        <is>
          <t xml:space="preserve">        file_hash = self.get_file_hash(file_path)</t>
        </is>
      </c>
    </row>
    <row r="68">
      <c r="A68" s="7" t="n">
        <v>65</v>
      </c>
      <c r="B68" s="8" t="inlineStr">
        <is>
          <t xml:space="preserve">        if not file_hash:</t>
        </is>
      </c>
    </row>
    <row r="69">
      <c r="A69" s="9" t="n">
        <v>66</v>
      </c>
      <c r="B69" s="10" t="inlineStr">
        <is>
          <t xml:space="preserve">            return None</t>
        </is>
      </c>
    </row>
    <row r="70">
      <c r="A70" s="7" t="n">
        <v>67</v>
      </c>
      <c r="B70" s="8" t="inlineStr">
        <is>
          <t xml:space="preserve">        cache_key = f"{cache_type}:{file_hash}"</t>
        </is>
      </c>
    </row>
    <row r="71">
      <c r="A71" s="9" t="n">
        <v>68</v>
      </c>
      <c r="B71" s="10" t="inlineStr">
        <is>
          <t xml:space="preserve">        # 先查内存</t>
        </is>
      </c>
    </row>
    <row r="72">
      <c r="A72" s="7" t="n">
        <v>69</v>
      </c>
      <c r="B72" s="8" t="inlineStr">
        <is>
          <t xml:space="preserve">        mem_data = self.mem_cache.get(cache_key)</t>
        </is>
      </c>
    </row>
    <row r="73">
      <c r="A73" s="9" t="n">
        <v>70</v>
      </c>
      <c r="B73" s="10" t="inlineStr">
        <is>
          <t xml:space="preserve">        if mem_data is not None:</t>
        </is>
      </c>
    </row>
    <row r="74">
      <c r="A74" s="7" t="n">
        <v>71</v>
      </c>
      <c r="B74" s="8" t="inlineStr">
        <is>
          <t xml:space="preserve">            return mem_data</t>
        </is>
      </c>
    </row>
    <row r="75">
      <c r="A75" s="9" t="n">
        <v>72</v>
      </c>
      <c r="B75" s="10" t="inlineStr">
        <is>
          <t xml:space="preserve">        # 再查磁盘</t>
        </is>
      </c>
    </row>
    <row r="76">
      <c r="A76" s="7" t="n">
        <v>73</v>
      </c>
      <c r="B76" s="8" t="inlineStr">
        <is>
          <t xml:space="preserve">        result = query_sql(</t>
        </is>
      </c>
    </row>
    <row r="77">
      <c r="A77" s="9" t="n">
        <v>74</v>
      </c>
      <c r="B77" s="10" t="inlineStr">
        <is>
          <t xml:space="preserve">            "SELECT cache_data FROM compute_cache WHERE file_hash=? AND cache_type=?",</t>
        </is>
      </c>
    </row>
    <row r="78">
      <c r="A78" s="7" t="n">
        <v>75</v>
      </c>
      <c r="B78" s="8" t="inlineStr">
        <is>
          <t xml:space="preserve">            (file_hash, cache_type)</t>
        </is>
      </c>
    </row>
    <row r="79">
      <c r="A79" s="9" t="n">
        <v>76</v>
      </c>
      <c r="B79" s="10" t="inlineStr">
        <is>
          <t xml:space="preserve">        )</t>
        </is>
      </c>
    </row>
    <row r="80">
      <c r="A80" s="7" t="n">
        <v>77</v>
      </c>
      <c r="B80" s="8" t="inlineStr">
        <is>
          <t xml:space="preserve">        if result:</t>
        </is>
      </c>
    </row>
    <row r="81">
      <c r="A81" s="9" t="n">
        <v>78</v>
      </c>
      <c r="B81" s="10" t="inlineStr">
        <is>
          <t xml:space="preserve">            data = json.loads(result[0][0])</t>
        </is>
      </c>
    </row>
    <row r="82">
      <c r="A82" s="7" t="n">
        <v>79</v>
      </c>
      <c r="B82" s="8" t="inlineStr">
        <is>
          <t xml:space="preserve">            self.mem_cache.set(cache_key, data)</t>
        </is>
      </c>
    </row>
    <row r="83">
      <c r="A83" s="9" t="n">
        <v>80</v>
      </c>
      <c r="B83" s="10" t="inlineStr">
        <is>
          <t xml:space="preserve">            return data</t>
        </is>
      </c>
    </row>
    <row r="84">
      <c r="A84" s="7" t="n">
        <v>81</v>
      </c>
      <c r="B84" s="8" t="inlineStr">
        <is>
          <t xml:space="preserve">        return None</t>
        </is>
      </c>
    </row>
    <row r="85">
      <c r="A85" s="9" t="n">
        <v>82</v>
      </c>
      <c r="B85" s="10" t="inlineStr">
        <is>
          <t xml:space="preserve">    def set(self, file_path: str, cache_type: str, data):</t>
        </is>
      </c>
    </row>
    <row r="86">
      <c r="A86" s="7" t="n">
        <v>83</v>
      </c>
      <c r="B86" s="8" t="inlineStr">
        <is>
          <t xml:space="preserve">        """写入缓存"""</t>
        </is>
      </c>
    </row>
    <row r="87">
      <c r="A87" s="9" t="n">
        <v>84</v>
      </c>
      <c r="B87" s="10" t="inlineStr">
        <is>
          <t xml:space="preserve">        file_hash = self.get_file_hash(file_path)</t>
        </is>
      </c>
    </row>
    <row r="88">
      <c r="A88" s="7" t="n">
        <v>85</v>
      </c>
      <c r="B88" s="8" t="inlineStr">
        <is>
          <t xml:space="preserve">        if not file_hash:</t>
        </is>
      </c>
    </row>
    <row r="89">
      <c r="A89" s="9" t="n">
        <v>86</v>
      </c>
      <c r="B89" s="10" t="inlineStr">
        <is>
          <t xml:space="preserve">            return</t>
        </is>
      </c>
    </row>
    <row r="90">
      <c r="A90" s="7" t="n">
        <v>87</v>
      </c>
      <c r="B90" s="8" t="inlineStr">
        <is>
          <t xml:space="preserve">        cache_key = f"{cache_type}:{file_hash}"</t>
        </is>
      </c>
    </row>
    <row r="91">
      <c r="A91" s="9" t="n">
        <v>88</v>
      </c>
      <c r="B91" s="10" t="inlineStr">
        <is>
          <t xml:space="preserve">        self.mem_cache.set(cache_key, data)</t>
        </is>
      </c>
    </row>
    <row r="92">
      <c r="A92" s="7" t="n">
        <v>89</v>
      </c>
      <c r="B92" s="8" t="inlineStr">
        <is>
          <t xml:space="preserve">        cache_json = json.dumps(data, ensure_ascii=False, default=str)</t>
        </is>
      </c>
    </row>
    <row r="93">
      <c r="A93" s="9" t="n">
        <v>90</v>
      </c>
      <c r="B93" s="10" t="inlineStr">
        <is>
          <t xml:space="preserve">        exist = query_sql(</t>
        </is>
      </c>
    </row>
    <row r="94">
      <c r="A94" s="7" t="n">
        <v>91</v>
      </c>
      <c r="B94" s="8" t="inlineStr">
        <is>
          <t xml:space="preserve">            "SELECT id FROM compute_cache WHERE file_hash=? AND cache_type=?",</t>
        </is>
      </c>
    </row>
    <row r="95">
      <c r="A95" s="9" t="n">
        <v>92</v>
      </c>
      <c r="B95" s="10" t="inlineStr">
        <is>
          <t xml:space="preserve">            (file_hash, cache_type)</t>
        </is>
      </c>
    </row>
    <row r="96">
      <c r="A96" s="7" t="n">
        <v>93</v>
      </c>
      <c r="B96" s="8" t="inlineStr">
        <is>
          <t xml:space="preserve">        )</t>
        </is>
      </c>
    </row>
    <row r="97">
      <c r="A97" s="9" t="n">
        <v>94</v>
      </c>
      <c r="B97" s="10" t="inlineStr">
        <is>
          <t xml:space="preserve">        if exist:</t>
        </is>
      </c>
    </row>
    <row r="98">
      <c r="A98" s="7" t="n">
        <v>95</v>
      </c>
      <c r="B98" s="8" t="inlineStr">
        <is>
          <t xml:space="preserve">            execute_sql(</t>
        </is>
      </c>
    </row>
    <row r="99">
      <c r="A99" s="9" t="n">
        <v>96</v>
      </c>
      <c r="B99" s="10" t="inlineStr">
        <is>
          <t xml:space="preserve">                "UPDATE compute_cache SET cache_data=?, update_time=CURRENT_TIMESTAMP WHERE file_hash=? AND cache_type=?",</t>
        </is>
      </c>
    </row>
    <row r="100">
      <c r="A100" s="7" t="n">
        <v>97</v>
      </c>
      <c r="B100" s="8" t="inlineStr">
        <is>
          <t xml:space="preserve">                (cache_json, file_hash, cache_type)</t>
        </is>
      </c>
    </row>
    <row r="101">
      <c r="A101" s="9" t="n">
        <v>98</v>
      </c>
      <c r="B101" s="10" t="inlineStr">
        <is>
          <t xml:space="preserve">            )</t>
        </is>
      </c>
    </row>
    <row r="102">
      <c r="A102" s="7" t="n">
        <v>99</v>
      </c>
      <c r="B102" s="8" t="inlineStr">
        <is>
          <t xml:space="preserve">        else:</t>
        </is>
      </c>
    </row>
    <row r="103">
      <c r="A103" s="9" t="n">
        <v>100</v>
      </c>
      <c r="B103" s="10" t="inlineStr">
        <is>
          <t xml:space="preserve">            execute_sql(</t>
        </is>
      </c>
    </row>
    <row r="104">
      <c r="A104" s="7" t="n">
        <v>101</v>
      </c>
      <c r="B104" s="8" t="inlineStr">
        <is>
          <t xml:space="preserve">                "INSERT INTO compute_cache (file_hash, cache_type, cache_data) VALUES (?, ?, ?)",</t>
        </is>
      </c>
    </row>
    <row r="105">
      <c r="A105" s="9" t="n">
        <v>102</v>
      </c>
      <c r="B105" s="10" t="inlineStr">
        <is>
          <t xml:space="preserve">                (file_hash, cache_type, cache_json)</t>
        </is>
      </c>
    </row>
    <row r="106">
      <c r="A106" s="7" t="n">
        <v>103</v>
      </c>
      <c r="B106" s="8" t="inlineStr">
        <is>
          <t xml:space="preserve">            )</t>
        </is>
      </c>
    </row>
    <row r="107">
      <c r="A107" s="9" t="n">
        <v>104</v>
      </c>
      <c r="B107" s="10" t="inlineStr">
        <is>
          <t xml:space="preserve">    def invalidate(self, file_path: str, cache_type: str):</t>
        </is>
      </c>
    </row>
    <row r="108">
      <c r="A108" s="7" t="n">
        <v>105</v>
      </c>
      <c r="B108" s="8" t="inlineStr">
        <is>
          <t xml:space="preserve">        """使缓存失效"""</t>
        </is>
      </c>
    </row>
    <row r="109">
      <c r="A109" s="9" t="n">
        <v>106</v>
      </c>
      <c r="B109" s="10" t="inlineStr">
        <is>
          <t xml:space="preserve">        file_hash = self.get_file_hash(file_path)</t>
        </is>
      </c>
    </row>
    <row r="110">
      <c r="A110" s="7" t="n">
        <v>107</v>
      </c>
      <c r="B110" s="8" t="inlineStr">
        <is>
          <t xml:space="preserve">        if file_hash:</t>
        </is>
      </c>
    </row>
    <row r="111">
      <c r="A111" s="9" t="n">
        <v>108</v>
      </c>
      <c r="B111" s="10" t="inlineStr">
        <is>
          <t xml:space="preserve">            cache_key = f"{cache_type}:{file_hash}"</t>
        </is>
      </c>
    </row>
    <row r="112">
      <c r="A112" s="7" t="n">
        <v>109</v>
      </c>
      <c r="B112" s="8" t="inlineStr">
        <is>
          <t xml:space="preserve">            self.mem_cache.invalidate(cache_key)</t>
        </is>
      </c>
    </row>
    <row r="113">
      <c r="A113" s="9" t="n">
        <v>110</v>
      </c>
      <c r="B113" s="10" t="inlineStr">
        <is>
          <t xml:space="preserve">            execute_sql(</t>
        </is>
      </c>
    </row>
    <row r="114">
      <c r="A114" s="7" t="n">
        <v>111</v>
      </c>
      <c r="B114" s="8" t="inlineStr">
        <is>
          <t xml:space="preserve">                "DELETE FROM compute_cache WHERE file_hash=? AND cache_type=?",</t>
        </is>
      </c>
    </row>
    <row r="115">
      <c r="A115" s="9" t="n">
        <v>112</v>
      </c>
      <c r="B115" s="10" t="inlineStr">
        <is>
          <t xml:space="preserve">                (file_hash, cache_type)</t>
        </is>
      </c>
    </row>
    <row r="116">
      <c r="A116" s="7" t="n">
        <v>113</v>
      </c>
      <c r="B116" s="8" t="inlineStr">
        <is>
          <t xml:space="preserve">            )</t>
        </is>
      </c>
    </row>
    <row r="117">
      <c r="A117" s="9" t="n">
        <v>114</v>
      </c>
      <c r="B117" s="10" t="inlineStr">
        <is>
          <t># 全局单例</t>
        </is>
      </c>
    </row>
    <row r="118">
      <c r="A118" s="7" t="n">
        <v>115</v>
      </c>
      <c r="B118" s="8" t="inlineStr">
        <is>
          <t>cache_manager = CacheManager()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utils\error_helper.py</t>
        </is>
      </c>
      <c r="C1" s="5" t="inlineStr">
        <is>
          <t>行数: 170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v11.1 — 统一错误诊断助手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根据异常信息自动识别常见错误类型，弹出修复指引对话框。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用法:</t>
        </is>
      </c>
    </row>
    <row r="10">
      <c r="A10" s="7" t="n">
        <v>7</v>
      </c>
      <c r="B10" s="8" t="inlineStr">
        <is>
          <t xml:space="preserve">  from utils.error_helper import handle_error</t>
        </is>
      </c>
    </row>
    <row r="11">
      <c r="A11" s="9" t="n">
        <v>8</v>
      </c>
      <c r="B11" s="10" t="inlineStr">
        <is>
          <t xml:space="preserve">  try:</t>
        </is>
      </c>
    </row>
    <row r="12">
      <c r="A12" s="7" t="n">
        <v>9</v>
      </c>
      <c r="B12" s="8" t="inlineStr">
        <is>
          <t xml:space="preserve">      ...</t>
        </is>
      </c>
    </row>
    <row r="13">
      <c r="A13" s="9" t="n">
        <v>10</v>
      </c>
      <c r="B13" s="10" t="inlineStr">
        <is>
          <t xml:space="preserve">  except Exception as e:</t>
        </is>
      </c>
    </row>
    <row r="14">
      <c r="A14" s="7" t="n">
        <v>11</v>
      </c>
      <c r="B14" s="8" t="inlineStr">
        <is>
          <t xml:space="preserve">      handle_error(e, parent=root)</t>
        </is>
      </c>
    </row>
    <row r="15">
      <c r="A15" s="9" t="n">
        <v>12</v>
      </c>
      <c r="B15" s="10" t="inlineStr">
        <is>
          <t>"""</t>
        </is>
      </c>
    </row>
    <row r="16">
      <c r="A16" s="7" t="n">
        <v>13</v>
      </c>
      <c r="B16" s="8" t="inlineStr">
        <is>
          <t>import sys</t>
        </is>
      </c>
    </row>
    <row r="17">
      <c r="A17" s="9" t="n">
        <v>14</v>
      </c>
      <c r="B17" s="10" t="inlineStr">
        <is>
          <t>import traceback</t>
        </is>
      </c>
    </row>
    <row r="18">
      <c r="A18" s="7" t="n">
        <v>15</v>
      </c>
      <c r="B18" s="8" t="inlineStr">
        <is>
          <t>from typing import Optional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ERROR_MAP = {</t>
        </is>
      </c>
    </row>
    <row r="21">
      <c r="A21" s="9" t="n">
        <v>18</v>
      </c>
      <c r="B21" s="10" t="inlineStr">
        <is>
          <t xml:space="preserve">    "DEEPSEEK_API_KEY": {</t>
        </is>
      </c>
    </row>
    <row r="22">
      <c r="A22" s="7" t="n">
        <v>19</v>
      </c>
      <c r="B22" s="8" t="inlineStr">
        <is>
          <t xml:space="preserve">        "code": "E002", "title": "DeepSeek API Key 未配置",</t>
        </is>
      </c>
    </row>
    <row r="23">
      <c r="A23" s="9" t="n">
        <v>20</v>
      </c>
      <c r="B23" s="10" t="inlineStr">
        <is>
          <t xml:space="preserve">        "msg": "DeepSeek API Key 无效或未配置，文案生成将使用模板备用。",</t>
        </is>
      </c>
    </row>
    <row r="24">
      <c r="A24" s="7" t="n">
        <v>21</v>
      </c>
      <c r="B24" s="8" t="inlineStr">
        <is>
          <t xml:space="preserve">        "fix": "打开【系统设置】→ AI模型配置 → 输入正确的 API Key → 保存配置",</t>
        </is>
      </c>
    </row>
    <row r="25">
      <c r="A25" s="9" t="n">
        <v>22</v>
      </c>
      <c r="B25" s="10" t="inlineStr">
        <is>
          <t xml:space="preserve">        "level": "warn",</t>
        </is>
      </c>
    </row>
    <row r="26">
      <c r="A26" s="7" t="n">
        <v>23</v>
      </c>
      <c r="B26" s="8" t="inlineStr">
        <is>
          <t xml:space="preserve">    },</t>
        </is>
      </c>
    </row>
    <row r="27">
      <c r="A27" s="9" t="n">
        <v>24</v>
      </c>
      <c r="B27" s="10" t="inlineStr">
        <is>
          <t xml:space="preserve">    "openai": {</t>
        </is>
      </c>
    </row>
    <row r="28">
      <c r="A28" s="7" t="n">
        <v>25</v>
      </c>
      <c r="B28" s="8" t="inlineStr">
        <is>
          <t xml:space="preserve">        "code": "E001", "title": "openai 库未安装",</t>
        </is>
      </c>
    </row>
    <row r="29">
      <c r="A29" s="9" t="n">
        <v>26</v>
      </c>
      <c r="B29" s="10" t="inlineStr">
        <is>
          <t xml:space="preserve">        "msg": "调用 DeepSeek API 需要 openai 库。",</t>
        </is>
      </c>
    </row>
    <row r="30">
      <c r="A30" s="7" t="n">
        <v>27</v>
      </c>
      <c r="B30" s="8" t="inlineStr">
        <is>
          <t xml:space="preserve">        "fix": "pip install openai&gt;=1.0.0",</t>
        </is>
      </c>
    </row>
    <row r="31">
      <c r="A31" s="9" t="n">
        <v>28</v>
      </c>
      <c r="B31" s="10" t="inlineStr">
        <is>
          <t xml:space="preserve">        "level": "error",</t>
        </is>
      </c>
    </row>
    <row r="32">
      <c r="A32" s="7" t="n">
        <v>29</v>
      </c>
      <c r="B32" s="8" t="inlineStr">
        <is>
          <t xml:space="preserve">    },</t>
        </is>
      </c>
    </row>
    <row r="33">
      <c r="A33" s="9" t="n">
        <v>30</v>
      </c>
      <c r="B33" s="10" t="inlineStr">
        <is>
          <t xml:space="preserve">    "Qwen3-VL-4B": {</t>
        </is>
      </c>
    </row>
    <row r="34">
      <c r="A34" s="7" t="n">
        <v>31</v>
      </c>
      <c r="B34" s="8" t="inlineStr">
        <is>
          <t xml:space="preserve">        "code": "E003", "title": "Qwen3-VL-4B 视觉模型缺失",</t>
        </is>
      </c>
    </row>
    <row r="35">
      <c r="A35" s="9" t="n">
        <v>32</v>
      </c>
      <c r="B35" s="10" t="inlineStr">
        <is>
          <t xml:space="preserve">        "msg": "本地视觉模型文件未找到或加载失败。",</t>
        </is>
      </c>
    </row>
    <row r="36">
      <c r="A36" s="7" t="n">
        <v>33</v>
      </c>
      <c r="B36" s="8" t="inlineStr">
        <is>
          <t xml:space="preserve">        "fix": "pip install huggingface_hub\npython -c \"from huggingface_hub import snapshot_download; snapshot_download('Qwen/Qwen3-VL-4B-Instruct-FP8', local_dir='models/Qwen3-VL-4B-Instruct-FP8')\"",</t>
        </is>
      </c>
    </row>
    <row r="37">
      <c r="A37" s="9" t="n">
        <v>34</v>
      </c>
      <c r="B37" s="10" t="inlineStr">
        <is>
          <t xml:space="preserve">        "level": "error",</t>
        </is>
      </c>
    </row>
    <row r="38">
      <c r="A38" s="7" t="n">
        <v>35</v>
      </c>
      <c r="B38" s="8" t="inlineStr">
        <is>
          <t xml:space="preserve">    },</t>
        </is>
      </c>
    </row>
    <row r="39">
      <c r="A39" s="9" t="n">
        <v>36</v>
      </c>
      <c r="B39" s="10" t="inlineStr">
        <is>
          <t xml:space="preserve">    "SenseVoice": {</t>
        </is>
      </c>
    </row>
    <row r="40">
      <c r="A40" s="7" t="n">
        <v>37</v>
      </c>
      <c r="B40" s="8" t="inlineStr">
        <is>
          <t xml:space="preserve">        "code": "E004", "title": "SenseVoice 模型不可用",</t>
        </is>
      </c>
    </row>
    <row r="41">
      <c r="A41" s="9" t="n">
        <v>38</v>
      </c>
      <c r="B41" s="10" t="inlineStr">
        <is>
          <t xml:space="preserve">        "msg": "SenseVoice 情绪识别模型加载失败。",</t>
        </is>
      </c>
    </row>
    <row r="42">
      <c r="A42" s="7" t="n">
        <v>39</v>
      </c>
      <c r="B42" s="8" t="inlineStr">
        <is>
          <t xml:space="preserve">        "fix": "pip install funasr&gt;=1.1.2 modelscope torchaudio\nmodelscope download --model FunAudioLLM/SenseVoiceSmall --local_dir models/SenseVoiceSmall",</t>
        </is>
      </c>
    </row>
    <row r="43">
      <c r="A43" s="9" t="n">
        <v>40</v>
      </c>
      <c r="B43" s="10" t="inlineStr">
        <is>
          <t xml:space="preserve">        "level": "error",</t>
        </is>
      </c>
    </row>
    <row r="44">
      <c r="A44" s="7" t="n">
        <v>41</v>
      </c>
      <c r="B44" s="8" t="inlineStr">
        <is>
          <t xml:space="preserve">    },</t>
        </is>
      </c>
    </row>
    <row r="45">
      <c r="A45" s="9" t="n">
        <v>42</v>
      </c>
      <c r="B45" s="10" t="inlineStr">
        <is>
          <t xml:space="preserve">    "faster.whisper|faster_whisper|Whisper": {</t>
        </is>
      </c>
    </row>
    <row r="46">
      <c r="A46" s="7" t="n">
        <v>43</v>
      </c>
      <c r="B46" s="8" t="inlineStr">
        <is>
          <t xml:space="preserve">        "code": "E005", "title": "Whisper 语音识别不可用",</t>
        </is>
      </c>
    </row>
    <row r="47">
      <c r="A47" s="9" t="n">
        <v>44</v>
      </c>
      <c r="B47" s="10" t="inlineStr">
        <is>
          <t xml:space="preserve">        "msg": "faster-whisper 库未安装或模型加载失败。",</t>
        </is>
      </c>
    </row>
    <row r="48">
      <c r="A48" s="7" t="n">
        <v>45</v>
      </c>
      <c r="B48" s="8" t="inlineStr">
        <is>
          <t xml:space="preserve">        "fix": "pip install faster-whisper",</t>
        </is>
      </c>
    </row>
    <row r="49">
      <c r="A49" s="9" t="n">
        <v>46</v>
      </c>
      <c r="B49" s="10" t="inlineStr">
        <is>
          <t xml:space="preserve">        "level": "error",</t>
        </is>
      </c>
    </row>
    <row r="50">
      <c r="A50" s="7" t="n">
        <v>47</v>
      </c>
      <c r="B50" s="8" t="inlineStr">
        <is>
          <t xml:space="preserve">    },</t>
        </is>
      </c>
    </row>
    <row r="51">
      <c r="A51" s="9" t="n">
        <v>48</v>
      </c>
      <c r="B51" s="10" t="inlineStr">
        <is>
          <t xml:space="preserve">    "faiss": {</t>
        </is>
      </c>
    </row>
    <row r="52">
      <c r="A52" s="7" t="n">
        <v>49</v>
      </c>
      <c r="B52" s="8" t="inlineStr">
        <is>
          <t xml:space="preserve">        "code": "E006", "title": "FAISS 向量检索不可用",</t>
        </is>
      </c>
    </row>
    <row r="53">
      <c r="A53" s="9" t="n">
        <v>50</v>
      </c>
      <c r="B53" s="10" t="inlineStr">
        <is>
          <t xml:space="preserve">        "msg": "FAISS 索引不存在或损坏。",</t>
        </is>
      </c>
    </row>
    <row r="54">
      <c r="A54" s="7" t="n">
        <v>51</v>
      </c>
      <c r="B54" s="8" t="inlineStr">
        <is>
          <t xml:space="preserve">        "fix": "python force_rebuild_faiss.py",</t>
        </is>
      </c>
    </row>
    <row r="55">
      <c r="A55" s="9" t="n">
        <v>52</v>
      </c>
      <c r="B55" s="10" t="inlineStr">
        <is>
          <t xml:space="preserve">        "level": "error",</t>
        </is>
      </c>
    </row>
    <row r="56">
      <c r="A56" s="7" t="n">
        <v>53</v>
      </c>
      <c r="B56" s="8" t="inlineStr">
        <is>
          <t xml:space="preserve">    },</t>
        </is>
      </c>
    </row>
    <row r="57">
      <c r="A57" s="9" t="n">
        <v>54</v>
      </c>
      <c r="B57" s="10" t="inlineStr">
        <is>
          <t xml:space="preserve">    "SmartMatcher": {</t>
        </is>
      </c>
    </row>
    <row r="58">
      <c r="A58" s="7" t="n">
        <v>55</v>
      </c>
      <c r="B58" s="8" t="inlineStr">
        <is>
          <t xml:space="preserve">        "code": "E007", "title": "智能匹配引擎不可用",</t>
        </is>
      </c>
    </row>
    <row r="59">
      <c r="A59" s="9" t="n">
        <v>56</v>
      </c>
      <c r="B59" s="10" t="inlineStr">
        <is>
          <t xml:space="preserve">        "msg": "SmartMatcher 加载失败，素材匹配将降级。",</t>
        </is>
      </c>
    </row>
    <row r="60">
      <c r="A60" s="7" t="n">
        <v>57</v>
      </c>
      <c r="B60" s="8" t="inlineStr">
        <is>
          <t xml:space="preserve">        "fix": "python force_rebuild_faiss.py\n检查 material_engine_v3/core/smart_matcher.py 是否存在",</t>
        </is>
      </c>
    </row>
    <row r="61">
      <c r="A61" s="9" t="n">
        <v>58</v>
      </c>
      <c r="B61" s="10" t="inlineStr">
        <is>
          <t xml:space="preserve">        "level": "warn",</t>
        </is>
      </c>
    </row>
    <row r="62">
      <c r="A62" s="7" t="n">
        <v>59</v>
      </c>
      <c r="B62" s="8" t="inlineStr">
        <is>
          <t xml:space="preserve">    },</t>
        </is>
      </c>
    </row>
    <row r="63">
      <c r="A63" s="9" t="n">
        <v>60</v>
      </c>
      <c r="B63" s="10" t="inlineStr">
        <is>
          <t xml:space="preserve">    "edge.tts|edge_tts": {</t>
        </is>
      </c>
    </row>
    <row r="64">
      <c r="A64" s="7" t="n">
        <v>61</v>
      </c>
      <c r="B64" s="8" t="inlineStr">
        <is>
          <t xml:space="preserve">        "code": "E008", "title": "TTS 配音引擎不可用",</t>
        </is>
      </c>
    </row>
    <row r="65">
      <c r="A65" s="9" t="n">
        <v>62</v>
      </c>
      <c r="B65" s="10" t="inlineStr">
        <is>
          <t xml:space="preserve">        "msg": "edge-tts 库未安装。",</t>
        </is>
      </c>
    </row>
    <row r="66">
      <c r="A66" s="7" t="n">
        <v>63</v>
      </c>
      <c r="B66" s="8" t="inlineStr">
        <is>
          <t xml:space="preserve">        "fix": "pip install edge-tts&gt;=6.0.0",</t>
        </is>
      </c>
    </row>
    <row r="67">
      <c r="A67" s="9" t="n">
        <v>64</v>
      </c>
      <c r="B67" s="10" t="inlineStr">
        <is>
          <t xml:space="preserve">        "level": "warn",</t>
        </is>
      </c>
    </row>
    <row r="68">
      <c r="A68" s="7" t="n">
        <v>65</v>
      </c>
      <c r="B68" s="8" t="inlineStr">
        <is>
          <t xml:space="preserve">    },</t>
        </is>
      </c>
    </row>
    <row r="69">
      <c r="A69" s="9" t="n">
        <v>66</v>
      </c>
      <c r="B69" s="10" t="inlineStr">
        <is>
          <t xml:space="preserve">    "pyJianYingDraft": {</t>
        </is>
      </c>
    </row>
    <row r="70">
      <c r="A70" s="7" t="n">
        <v>67</v>
      </c>
      <c r="B70" s="8" t="inlineStr">
        <is>
          <t xml:space="preserve">        "code": "E009", "title": "剪映草稿生成库缺失",</t>
        </is>
      </c>
    </row>
    <row r="71">
      <c r="A71" s="9" t="n">
        <v>68</v>
      </c>
      <c r="B71" s="10" t="inlineStr">
        <is>
          <t xml:space="preserve">        "msg": "pyJianYingDraft 未安装，无法生成剪映草稿。",</t>
        </is>
      </c>
    </row>
    <row r="72">
      <c r="A72" s="7" t="n">
        <v>69</v>
      </c>
      <c r="B72" s="8" t="inlineStr">
        <is>
          <t xml:space="preserve">        "fix": "从本地安装 pyJianYingDraft 包",</t>
        </is>
      </c>
    </row>
    <row r="73">
      <c r="A73" s="9" t="n">
        <v>70</v>
      </c>
      <c r="B73" s="10" t="inlineStr">
        <is>
          <t xml:space="preserve">        "level": "error",</t>
        </is>
      </c>
    </row>
    <row r="74">
      <c r="A74" s="7" t="n">
        <v>71</v>
      </c>
      <c r="B74" s="8" t="inlineStr">
        <is>
          <t xml:space="preserve">    },</t>
        </is>
      </c>
    </row>
    <row r="75">
      <c r="A75" s="9" t="n">
        <v>72</v>
      </c>
      <c r="B75" s="10" t="inlineStr">
        <is>
          <t xml:space="preserve">    "ffmpeg|ffprobe": {</t>
        </is>
      </c>
    </row>
    <row r="76">
      <c r="A76" s="7" t="n">
        <v>73</v>
      </c>
      <c r="B76" s="8" t="inlineStr">
        <is>
          <t xml:space="preserve">        "code": "E010", "title": "FFmpeg 未安装",</t>
        </is>
      </c>
    </row>
    <row r="77">
      <c r="A77" s="9" t="n">
        <v>74</v>
      </c>
      <c r="B77" s="10" t="inlineStr">
        <is>
          <t xml:space="preserve">        "msg": "视频处理需要 FFmpeg 工具。",</t>
        </is>
      </c>
    </row>
    <row r="78">
      <c r="A78" s="7" t="n">
        <v>75</v>
      </c>
      <c r="B78" s="8" t="inlineStr">
        <is>
          <t xml:space="preserve">        "fix": "下载 FFmpeg: https://ffmpeg.org/download.html\n将 ffmpeg.exe 放入系统 PATH",</t>
        </is>
      </c>
    </row>
    <row r="79">
      <c r="A79" s="9" t="n">
        <v>76</v>
      </c>
      <c r="B79" s="10" t="inlineStr">
        <is>
          <t xml:space="preserve">        "level": "error",</t>
        </is>
      </c>
    </row>
    <row r="80">
      <c r="A80" s="7" t="n">
        <v>77</v>
      </c>
      <c r="B80" s="8" t="inlineStr">
        <is>
          <t xml:space="preserve">    },</t>
        </is>
      </c>
    </row>
    <row r="81">
      <c r="A81" s="9" t="n">
        <v>78</v>
      </c>
      <c r="B81" s="10" t="inlineStr">
        <is>
          <t xml:space="preserve">    "torch|transformers|Pillow": {</t>
        </is>
      </c>
    </row>
    <row r="82">
      <c r="A82" s="7" t="n">
        <v>79</v>
      </c>
      <c r="B82" s="8" t="inlineStr">
        <is>
          <t xml:space="preserve">        "code": "E011", "title": "核心依赖缺失",</t>
        </is>
      </c>
    </row>
    <row r="83">
      <c r="A83" s="9" t="n">
        <v>80</v>
      </c>
      <c r="B83" s="10" t="inlineStr">
        <is>
          <t xml:space="preserve">        "msg": "PyTorch/Transformers/Pillow 等核心包未安装。",</t>
        </is>
      </c>
    </row>
    <row r="84">
      <c r="A84" s="7" t="n">
        <v>81</v>
      </c>
      <c r="B84" s="8" t="inlineStr">
        <is>
          <t xml:space="preserve">        "fix": "pip install torch transformers Pillow",</t>
        </is>
      </c>
    </row>
    <row r="85">
      <c r="A85" s="9" t="n">
        <v>82</v>
      </c>
      <c r="B85" s="10" t="inlineStr">
        <is>
          <t xml:space="preserve">        "level": "error",</t>
        </is>
      </c>
    </row>
    <row r="86">
      <c r="A86" s="7" t="n">
        <v>83</v>
      </c>
      <c r="B86" s="8" t="inlineStr">
        <is>
          <t xml:space="preserve">    },</t>
        </is>
      </c>
    </row>
    <row r="87">
      <c r="A87" s="9" t="n">
        <v>84</v>
      </c>
      <c r="B87" s="10" t="inlineStr">
        <is>
          <t xml:space="preserve">    "sentence.transformers|sentence_transformers|BGE": {</t>
        </is>
      </c>
    </row>
    <row r="88">
      <c r="A88" s="7" t="n">
        <v>85</v>
      </c>
      <c r="B88" s="8" t="inlineStr">
        <is>
          <t xml:space="preserve">        "code": "E012", "title": "文本嵌入模型不可用",</t>
        </is>
      </c>
    </row>
    <row r="89">
      <c r="A89" s="9" t="n">
        <v>86</v>
      </c>
      <c r="B89" s="10" t="inlineStr">
        <is>
          <t xml:space="preserve">        "msg": "sentence-transformers 库未安装。",</t>
        </is>
      </c>
    </row>
    <row r="90">
      <c r="A90" s="7" t="n">
        <v>87</v>
      </c>
      <c r="B90" s="8" t="inlineStr">
        <is>
          <t xml:space="preserve">        "fix": "pip install sentence-transformers&gt;=2.5.0",</t>
        </is>
      </c>
    </row>
    <row r="91">
      <c r="A91" s="9" t="n">
        <v>88</v>
      </c>
      <c r="B91" s="10" t="inlineStr">
        <is>
          <t xml:space="preserve">        "level": "error",</t>
        </is>
      </c>
    </row>
    <row r="92">
      <c r="A92" s="7" t="n">
        <v>89</v>
      </c>
      <c r="B92" s="8" t="inlineStr">
        <is>
          <t xml:space="preserve">    },</t>
        </is>
      </c>
    </row>
    <row r="93">
      <c r="A93" s="9" t="n">
        <v>90</v>
      </c>
      <c r="B93" s="10" t="inlineStr">
        <is>
          <t xml:space="preserve">    "Z:\\\\|Z盘|Z驱": {</t>
        </is>
      </c>
    </row>
    <row r="94">
      <c r="A94" s="7" t="n">
        <v>91</v>
      </c>
      <c r="B94" s="8" t="inlineStr">
        <is>
          <t xml:space="preserve">        "code": "E013", "title": "素材路径 (Z盘) 不存在",</t>
        </is>
      </c>
    </row>
    <row r="95">
      <c r="A95" s="9" t="n">
        <v>92</v>
      </c>
      <c r="B95" s="10" t="inlineStr">
        <is>
          <t xml:space="preserve">        "msg": "默认素材路径指向 Z:\\ 盘，但当前系统不存在该盘符。",</t>
        </is>
      </c>
    </row>
    <row r="96">
      <c r="A96" s="7" t="n">
        <v>93</v>
      </c>
      <c r="B96" s="8" t="inlineStr">
        <is>
          <t xml:space="preserve">        "fix": "打开【系统设置】→ 修改素材路径为实际文件夹\n或设置环境变量: TREECUT_SELLING_DIR=你的素材目录",</t>
        </is>
      </c>
    </row>
    <row r="97">
      <c r="A97" s="9" t="n">
        <v>94</v>
      </c>
      <c r="B97" s="10" t="inlineStr">
        <is>
          <t xml:space="preserve">        "level": "warn",</t>
        </is>
      </c>
    </row>
    <row r="98">
      <c r="A98" s="7" t="n">
        <v>95</v>
      </c>
      <c r="B98" s="8" t="inlineStr">
        <is>
          <t xml:space="preserve">    },</t>
        </is>
      </c>
    </row>
    <row r="99">
      <c r="A99" s="9" t="n">
        <v>96</v>
      </c>
      <c r="B99" s="10" t="inlineStr">
        <is>
          <t xml:space="preserve">    "models\\\\Qwen|模型目录不存在": {</t>
        </is>
      </c>
    </row>
    <row r="100">
      <c r="A100" s="7" t="n">
        <v>97</v>
      </c>
      <c r="B100" s="8" t="inlineStr">
        <is>
          <t xml:space="preserve">        "code": "E014", "title": "模型目录不存在",</t>
        </is>
      </c>
    </row>
    <row r="101">
      <c r="A101" s="9" t="n">
        <v>98</v>
      </c>
      <c r="B101" s="10" t="inlineStr">
        <is>
          <t xml:space="preserve">        "msg": "本地 AI 模型文件未找到。",</t>
        </is>
      </c>
    </row>
    <row r="102">
      <c r="A102" s="7" t="n">
        <v>99</v>
      </c>
      <c r="B102" s="8" t="inlineStr">
        <is>
          <t xml:space="preserve">        "fix": "检查 models/ 目录是否存在对应模型文件夹\n运行 dl_model.bat 下载视觉模型",</t>
        </is>
      </c>
    </row>
    <row r="103">
      <c r="A103" s="9" t="n">
        <v>100</v>
      </c>
      <c r="B103" s="10" t="inlineStr">
        <is>
          <t xml:space="preserve">        "level": "error",</t>
        </is>
      </c>
    </row>
    <row r="104">
      <c r="A104" s="7" t="n">
        <v>101</v>
      </c>
      <c r="B104" s="8" t="inlineStr">
        <is>
          <t xml:space="preserve">    },</t>
        </is>
      </c>
    </row>
    <row r="105">
      <c r="A105" s="9" t="n">
        <v>102</v>
      </c>
      <c r="B105" s="10" t="inlineStr">
        <is>
          <t>}</t>
        </is>
      </c>
    </row>
    <row r="106">
      <c r="A106" s="7" t="n">
        <v>103</v>
      </c>
      <c r="B106" s="8" t="inlineStr"/>
    </row>
    <row r="107">
      <c r="A107" s="9" t="n">
        <v>104</v>
      </c>
      <c r="B107" s="10" t="inlineStr"/>
    </row>
    <row r="108">
      <c r="A108" s="7" t="n">
        <v>105</v>
      </c>
      <c r="B108" s="8" t="inlineStr">
        <is>
          <t>def diagnose_error(error_str: str) -&gt; Optional[dict]:</t>
        </is>
      </c>
    </row>
    <row r="109">
      <c r="A109" s="9" t="n">
        <v>106</v>
      </c>
      <c r="B109" s="10" t="inlineStr">
        <is>
          <t xml:space="preserve">    """根据错误字符串匹配已知错误类型"""</t>
        </is>
      </c>
    </row>
    <row r="110">
      <c r="A110" s="7" t="n">
        <v>107</v>
      </c>
      <c r="B110" s="8" t="inlineStr">
        <is>
          <t xml:space="preserve">    import re</t>
        </is>
      </c>
    </row>
    <row r="111">
      <c r="A111" s="9" t="n">
        <v>108</v>
      </c>
      <c r="B111" s="10" t="inlineStr">
        <is>
          <t xml:space="preserve">    for pattern, info in ERROR_MAP.items():</t>
        </is>
      </c>
    </row>
    <row r="112">
      <c r="A112" s="7" t="n">
        <v>109</v>
      </c>
      <c r="B112" s="8" t="inlineStr">
        <is>
          <t xml:space="preserve">        if re.search(pattern, error_str, re.IGNORECASE):</t>
        </is>
      </c>
    </row>
    <row r="113">
      <c r="A113" s="9" t="n">
        <v>110</v>
      </c>
      <c r="B113" s="10" t="inlineStr">
        <is>
          <t xml:space="preserve">            return info</t>
        </is>
      </c>
    </row>
    <row r="114">
      <c r="A114" s="7" t="n">
        <v>111</v>
      </c>
      <c r="B114" s="8" t="inlineStr">
        <is>
          <t xml:space="preserve">    return None</t>
        </is>
      </c>
    </row>
    <row r="115">
      <c r="A115" s="9" t="n">
        <v>112</v>
      </c>
      <c r="B115" s="10" t="inlineStr"/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>def handle_error(e: Exception, parent=None, log_callback=None):</t>
        </is>
      </c>
    </row>
    <row r="118">
      <c r="A118" s="7" t="n">
        <v>115</v>
      </c>
      <c r="B118" s="8" t="inlineStr">
        <is>
          <t xml:space="preserve">    """</t>
        </is>
      </c>
    </row>
    <row r="119">
      <c r="A119" s="9" t="n">
        <v>116</v>
      </c>
      <c r="B119" s="10" t="inlineStr">
        <is>
          <t xml:space="preserve">    统一错误处理入口。</t>
        </is>
      </c>
    </row>
    <row r="120">
      <c r="A120" s="7" t="n">
        <v>117</v>
      </c>
      <c r="B120" s="8" t="inlineStr">
        <is>
          <t xml:space="preserve">    根据异常信息匹配已知错误 → 弹窗显示修复指引 → 写入日志。</t>
        </is>
      </c>
    </row>
    <row r="121">
      <c r="A121" s="9" t="n">
        <v>118</v>
      </c>
      <c r="B121" s="10" t="inlineStr">
        <is>
          <t xml:space="preserve">    """</t>
        </is>
      </c>
    </row>
    <row r="122">
      <c r="A122" s="7" t="n">
        <v>119</v>
      </c>
      <c r="B122" s="8" t="inlineStr">
        <is>
          <t xml:space="preserve">    error_str = str(e)</t>
        </is>
      </c>
    </row>
    <row r="123">
      <c r="A123" s="9" t="n">
        <v>120</v>
      </c>
      <c r="B123" s="10" t="inlineStr">
        <is>
          <t xml:space="preserve">    traceback_str = traceback.format_exc()</t>
        </is>
      </c>
    </row>
    <row r="124">
      <c r="A124" s="7" t="n">
        <v>121</v>
      </c>
      <c r="B124" s="8" t="inlineStr"/>
    </row>
    <row r="125">
      <c r="A125" s="9" t="n">
        <v>122</v>
      </c>
      <c r="B125" s="10" t="inlineStr">
        <is>
          <t xml:space="preserve">    # 记录日志</t>
        </is>
      </c>
    </row>
    <row r="126">
      <c r="A126" s="7" t="n">
        <v>123</v>
      </c>
      <c r="B126" s="8" t="inlineStr">
        <is>
          <t xml:space="preserve">    if log_callback:</t>
        </is>
      </c>
    </row>
    <row r="127">
      <c r="A127" s="9" t="n">
        <v>124</v>
      </c>
      <c r="B127" s="10" t="inlineStr">
        <is>
          <t xml:space="preserve">        log_callback(f"[ERROR] {type(e).__name__}: {error_str[:200]}")</t>
        </is>
      </c>
    </row>
    <row r="128">
      <c r="A128" s="7" t="n">
        <v>125</v>
      </c>
      <c r="B128" s="8" t="inlineStr">
        <is>
          <t xml:space="preserve">    else:</t>
        </is>
      </c>
    </row>
    <row r="129">
      <c r="A129" s="9" t="n">
        <v>126</v>
      </c>
      <c r="B129" s="10" t="inlineStr">
        <is>
          <t xml:space="preserve">        print(f"[ERROR] {type(e).__name__}: {error_str[:200]}")</t>
        </is>
      </c>
    </row>
    <row r="130">
      <c r="A130" s="7" t="n">
        <v>127</v>
      </c>
      <c r="B130" s="8" t="inlineStr"/>
    </row>
    <row r="131">
      <c r="A131" s="9" t="n">
        <v>128</v>
      </c>
      <c r="B131" s="10" t="inlineStr">
        <is>
          <t xml:space="preserve">    # 诊断</t>
        </is>
      </c>
    </row>
    <row r="132">
      <c r="A132" s="7" t="n">
        <v>129</v>
      </c>
      <c r="B132" s="8" t="inlineStr">
        <is>
          <t xml:space="preserve">    info = diagnose_error(error_str)</t>
        </is>
      </c>
    </row>
    <row r="133">
      <c r="A133" s="9" t="n">
        <v>130</v>
      </c>
      <c r="B133" s="10" t="inlineStr">
        <is>
          <t xml:space="preserve">    if not info:</t>
        </is>
      </c>
    </row>
    <row r="134">
      <c r="A134" s="7" t="n">
        <v>131</v>
      </c>
      <c r="B134" s="8" t="inlineStr">
        <is>
          <t xml:space="preserve">        # 也检查 traceback</t>
        </is>
      </c>
    </row>
    <row r="135">
      <c r="A135" s="9" t="n">
        <v>132</v>
      </c>
      <c r="B135" s="10" t="inlineStr">
        <is>
          <t xml:space="preserve">        info = diagnose_error(traceback_str)</t>
        </is>
      </c>
    </row>
    <row r="136">
      <c r="A136" s="7" t="n">
        <v>133</v>
      </c>
      <c r="B136" s="8" t="inlineStr"/>
    </row>
    <row r="137">
      <c r="A137" s="9" t="n">
        <v>134</v>
      </c>
      <c r="B137" s="10" t="inlineStr">
        <is>
          <t xml:space="preserve">    from tkinter import messagebox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if info:</t>
        </is>
      </c>
    </row>
    <row r="140">
      <c r="A140" s="7" t="n">
        <v>137</v>
      </c>
      <c r="B140" s="8" t="inlineStr">
        <is>
          <t xml:space="preserve">        level = info.get("level", "error")</t>
        </is>
      </c>
    </row>
    <row r="141">
      <c r="A141" s="9" t="n">
        <v>138</v>
      </c>
      <c r="B141" s="10" t="inlineStr">
        <is>
          <t xml:space="preserve">        if level == "warn":</t>
        </is>
      </c>
    </row>
    <row r="142">
      <c r="A142" s="7" t="n">
        <v>139</v>
      </c>
      <c r="B142" s="8" t="inlineStr">
        <is>
          <t xml:space="preserve">            messagebox.showwarning(</t>
        </is>
      </c>
    </row>
    <row r="143">
      <c r="A143" s="9" t="n">
        <v>140</v>
      </c>
      <c r="B143" s="10" t="inlineStr">
        <is>
          <t xml:space="preserve">                f"警告 {info['code']} — {info['title']}",</t>
        </is>
      </c>
    </row>
    <row r="144">
      <c r="A144" s="7" t="n">
        <v>141</v>
      </c>
      <c r="B144" s="8" t="inlineStr">
        <is>
          <t xml:space="preserve">                f"{info['msg']}\n\n修复方法:\n{info['fix']}\n\n技术细节:\n{error_str[:300]}",</t>
        </is>
      </c>
    </row>
    <row r="145">
      <c r="A145" s="9" t="n">
        <v>142</v>
      </c>
      <c r="B145" s="10" t="inlineStr">
        <is>
          <t xml:space="preserve">                parent=parent,</t>
        </is>
      </c>
    </row>
    <row r="146">
      <c r="A146" s="7" t="n">
        <v>143</v>
      </c>
      <c r="B146" s="8" t="inlineStr">
        <is>
          <t xml:space="preserve">            )</t>
        </is>
      </c>
    </row>
    <row r="147">
      <c r="A147" s="9" t="n">
        <v>144</v>
      </c>
      <c r="B147" s="10" t="inlineStr">
        <is>
          <t xml:space="preserve">        else:</t>
        </is>
      </c>
    </row>
    <row r="148">
      <c r="A148" s="7" t="n">
        <v>145</v>
      </c>
      <c r="B148" s="8" t="inlineStr">
        <is>
          <t xml:space="preserve">            messagebox.showerror(</t>
        </is>
      </c>
    </row>
    <row r="149">
      <c r="A149" s="9" t="n">
        <v>146</v>
      </c>
      <c r="B149" s="10" t="inlineStr">
        <is>
          <t xml:space="preserve">                f"错误 {info['code']} — {info['title']}",</t>
        </is>
      </c>
    </row>
    <row r="150">
      <c r="A150" s="7" t="n">
        <v>147</v>
      </c>
      <c r="B150" s="8" t="inlineStr">
        <is>
          <t xml:space="preserve">                f"{info['msg']}\n\n修复方法:\n{info['fix']}\n\n技术细节:\n{error_str[:300]}",</t>
        </is>
      </c>
    </row>
    <row r="151">
      <c r="A151" s="9" t="n">
        <v>148</v>
      </c>
      <c r="B151" s="10" t="inlineStr">
        <is>
          <t xml:space="preserve">                parent=parent,</t>
        </is>
      </c>
    </row>
    <row r="152">
      <c r="A152" s="7" t="n">
        <v>149</v>
      </c>
      <c r="B152" s="8" t="inlineStr">
        <is>
          <t xml:space="preserve">            )</t>
        </is>
      </c>
    </row>
    <row r="153">
      <c r="A153" s="9" t="n">
        <v>150</v>
      </c>
      <c r="B153" s="10" t="inlineStr">
        <is>
          <t xml:space="preserve">    else:</t>
        </is>
      </c>
    </row>
    <row r="154">
      <c r="A154" s="7" t="n">
        <v>151</v>
      </c>
      <c r="B154" s="8" t="inlineStr">
        <is>
          <t xml:space="preserve">        # 未知错误</t>
        </is>
      </c>
    </row>
    <row r="155">
      <c r="A155" s="9" t="n">
        <v>152</v>
      </c>
      <c r="B155" s="10" t="inlineStr">
        <is>
          <t xml:space="preserve">        messagebox.showerror(</t>
        </is>
      </c>
    </row>
    <row r="156">
      <c r="A156" s="7" t="n">
        <v>153</v>
      </c>
      <c r="B156" s="8" t="inlineStr">
        <is>
          <t xml:space="preserve">            "未知错误",</t>
        </is>
      </c>
    </row>
    <row r="157">
      <c r="A157" s="9" t="n">
        <v>154</v>
      </c>
      <c r="B157" s="10" t="inlineStr">
        <is>
          <t xml:space="preserve">            f"程序遇到未识别的错误:\n\n{error_str[:500]}\n\n"</t>
        </is>
      </c>
    </row>
    <row r="158">
      <c r="A158" s="7" t="n">
        <v>155</v>
      </c>
      <c r="B158" s="8" t="inlineStr">
        <is>
          <t xml:space="preserve">            "请将以下信息截图并反馈给开发者。",</t>
        </is>
      </c>
    </row>
    <row r="159">
      <c r="A159" s="9" t="n">
        <v>156</v>
      </c>
      <c r="B159" s="10" t="inlineStr">
        <is>
          <t xml:space="preserve">            parent=parent,</t>
        </is>
      </c>
    </row>
    <row r="160">
      <c r="A160" s="7" t="n">
        <v>157</v>
      </c>
      <c r="B160" s="8" t="inlineStr">
        <is>
          <t xml:space="preserve">        )</t>
        </is>
      </c>
    </row>
    <row r="161">
      <c r="A161" s="9" t="n">
        <v>158</v>
      </c>
      <c r="B161" s="10" t="inlineStr">
        <is>
          <t xml:space="preserve">        traceback.print_exc()</t>
        </is>
      </c>
    </row>
    <row r="162">
      <c r="A162" s="7" t="n">
        <v>159</v>
      </c>
      <c r="B162" s="8" t="inlineStr"/>
    </row>
    <row r="163">
      <c r="A163" s="9" t="n">
        <v>160</v>
      </c>
      <c r="B163" s="10" t="inlineStr"/>
    </row>
    <row r="164">
      <c r="A164" s="7" t="n">
        <v>161</v>
      </c>
      <c r="B164" s="8" t="inlineStr">
        <is>
          <t>def diagnose_and_log(e: Exception, logger=None) -&gt; str:</t>
        </is>
      </c>
    </row>
    <row r="165">
      <c r="A165" s="9" t="n">
        <v>162</v>
      </c>
      <c r="B165" s="10" t="inlineStr">
        <is>
          <t xml:space="preserve">    """诊断错误并返回可读的修复建议（不弹窗）。用于非 GUI 场景。"""</t>
        </is>
      </c>
    </row>
    <row r="166">
      <c r="A166" s="7" t="n">
        <v>163</v>
      </c>
      <c r="B166" s="8" t="inlineStr">
        <is>
          <t xml:space="preserve">    info = diagnose_error(str(e))</t>
        </is>
      </c>
    </row>
    <row r="167">
      <c r="A167" s="9" t="n">
        <v>164</v>
      </c>
      <c r="B167" s="10" t="inlineStr">
        <is>
          <t xml:space="preserve">    if info:</t>
        </is>
      </c>
    </row>
    <row r="168">
      <c r="A168" s="7" t="n">
        <v>165</v>
      </c>
      <c r="B168" s="8" t="inlineStr">
        <is>
          <t xml:space="preserve">        msg = f"[{info['code']}] {info['title']}\n修复: {info['fix']}"</t>
        </is>
      </c>
    </row>
    <row r="169">
      <c r="A169" s="9" t="n">
        <v>166</v>
      </c>
      <c r="B169" s="10" t="inlineStr">
        <is>
          <t xml:space="preserve">    else:</t>
        </is>
      </c>
    </row>
    <row r="170">
      <c r="A170" s="7" t="n">
        <v>167</v>
      </c>
      <c r="B170" s="8" t="inlineStr">
        <is>
          <t xml:space="preserve">        msg = f"[UNKNOWN] {e}"</t>
        </is>
      </c>
    </row>
    <row r="171">
      <c r="A171" s="9" t="n">
        <v>168</v>
      </c>
      <c r="B171" s="10" t="inlineStr">
        <is>
          <t xml:space="preserve">    if logger:</t>
        </is>
      </c>
    </row>
    <row r="172">
      <c r="A172" s="7" t="n">
        <v>169</v>
      </c>
      <c r="B172" s="8" t="inlineStr">
        <is>
          <t xml:space="preserve">        logger(msg)</t>
        </is>
      </c>
    </row>
    <row r="173">
      <c r="A173" s="9" t="n">
        <v>170</v>
      </c>
      <c r="B173" s="10" t="inlineStr">
        <is>
          <t xml:space="preserve">    return msg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utils\export_tool.py</t>
        </is>
      </c>
      <c r="C1" s="5" t="inlineStr">
        <is>
          <t>行数: 82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v12.2 — 多格式导出工具</t>
        </is>
      </c>
    </row>
    <row r="6">
      <c r="A6" s="7" t="n">
        <v>3</v>
      </c>
      <c r="B6" s="8">
        <f>==================================</f>
        <v/>
      </c>
    </row>
    <row r="7">
      <c r="A7" s="9" t="n">
        <v>4</v>
      </c>
      <c r="B7" s="10" t="inlineStr">
        <is>
          <t>支持: JSON/CSV/TXT 批量结果导出 + 统计报表生成。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json</t>
        </is>
      </c>
    </row>
    <row r="10">
      <c r="A10" s="7" t="n">
        <v>7</v>
      </c>
      <c r="B10" s="8" t="inlineStr">
        <is>
          <t>import csv</t>
        </is>
      </c>
    </row>
    <row r="11">
      <c r="A11" s="9" t="n">
        <v>8</v>
      </c>
      <c r="B11" s="10" t="inlineStr">
        <is>
          <t>from pathlib import Path</t>
        </is>
      </c>
    </row>
    <row r="12">
      <c r="A12" s="7" t="n">
        <v>9</v>
      </c>
      <c r="B12" s="8" t="inlineStr">
        <is>
          <t>from datetime import datetime</t>
        </is>
      </c>
    </row>
    <row r="13">
      <c r="A13" s="9" t="n">
        <v>10</v>
      </c>
      <c r="B13" s="10" t="inlineStr">
        <is>
          <t>from typing import Dict, List, Optional</t>
        </is>
      </c>
    </row>
    <row r="14">
      <c r="A14" s="7" t="n">
        <v>11</v>
      </c>
      <c r="B14" s="8" t="inlineStr">
        <is>
          <t>from utils.helpers import time_cost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class ExportTool:</t>
        </is>
      </c>
    </row>
    <row r="18">
      <c r="A18" s="7" t="n">
        <v>15</v>
      </c>
      <c r="B18" s="8" t="inlineStr">
        <is>
          <t xml:space="preserve">    """多格式导出 + 统计报表"""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 xml:space="preserve">    SUPPORTED = ["json", "csv", "txt"]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 xml:space="preserve">    @time_cost</t>
        </is>
      </c>
    </row>
    <row r="23">
      <c r="A23" s="9" t="n">
        <v>20</v>
      </c>
      <c r="B23" s="10" t="inlineStr">
        <is>
          <t xml:space="preserve">    def export(self, results: List[Dict], output_path: str, fmt: str = "json") -&gt; str:</t>
        </is>
      </c>
    </row>
    <row r="24">
      <c r="A24" s="7" t="n">
        <v>21</v>
      </c>
      <c r="B24" s="8" t="inlineStr">
        <is>
          <t xml:space="preserve">        """导出结果到指定格式"""</t>
        </is>
      </c>
    </row>
    <row r="25">
      <c r="A25" s="9" t="n">
        <v>22</v>
      </c>
      <c r="B25" s="10" t="inlineStr">
        <is>
          <t xml:space="preserve">        if fmt not in self.SUPPORTED:</t>
        </is>
      </c>
    </row>
    <row r="26">
      <c r="A26" s="7" t="n">
        <v>23</v>
      </c>
      <c r="B26" s="8" t="inlineStr">
        <is>
          <t xml:space="preserve">            raise ValueError(f"不支持格式: {fmt}，可选: {self.SUPPORTED}")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 xml:space="preserve">        path = Path(output_path)</t>
        </is>
      </c>
    </row>
    <row r="29">
      <c r="A29" s="9" t="n">
        <v>26</v>
      </c>
      <c r="B29" s="10" t="inlineStr">
        <is>
          <t xml:space="preserve">        path.parent.mkdir(parents=True, exist_ok=True)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      if fmt == "json":</t>
        </is>
      </c>
    </row>
    <row r="32">
      <c r="A32" s="7" t="n">
        <v>29</v>
      </c>
      <c r="B32" s="8" t="inlineStr">
        <is>
          <t xml:space="preserve">            path.write_text(json.dumps(results, ensure_ascii=False, indent=2), encoding="utf-8")</t>
        </is>
      </c>
    </row>
    <row r="33">
      <c r="A33" s="9" t="n">
        <v>30</v>
      </c>
      <c r="B33" s="10" t="inlineStr">
        <is>
          <t xml:space="preserve">        elif fmt == "csv":</t>
        </is>
      </c>
    </row>
    <row r="34">
      <c r="A34" s="7" t="n">
        <v>31</v>
      </c>
      <c r="B34" s="8" t="inlineStr">
        <is>
          <t xml:space="preserve">            self._write_csv(results, path)</t>
        </is>
      </c>
    </row>
    <row r="35">
      <c r="A35" s="9" t="n">
        <v>32</v>
      </c>
      <c r="B35" s="10" t="inlineStr">
        <is>
          <t xml:space="preserve">        elif fmt == "txt":</t>
        </is>
      </c>
    </row>
    <row r="36">
      <c r="A36" s="7" t="n">
        <v>33</v>
      </c>
      <c r="B36" s="8" t="inlineStr">
        <is>
          <t xml:space="preserve">            path.write_text(json.dumps(results, ensure_ascii=False, indent=2), encoding="utf-8")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 xml:space="preserve">        return str(path.absolute())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 xml:space="preserve">    def _write_csv(self, results: List[Dict], path: Path):</t>
        </is>
      </c>
    </row>
    <row r="41">
      <c r="A41" s="9" t="n">
        <v>38</v>
      </c>
      <c r="B41" s="10" t="inlineStr">
        <is>
          <t xml:space="preserve">        if not results:</t>
        </is>
      </c>
    </row>
    <row r="42">
      <c r="A42" s="7" t="n">
        <v>39</v>
      </c>
      <c r="B42" s="8" t="inlineStr">
        <is>
          <t xml:space="preserve">            return</t>
        </is>
      </c>
    </row>
    <row r="43">
      <c r="A43" s="9" t="n">
        <v>40</v>
      </c>
      <c r="B43" s="10" t="inlineStr">
        <is>
          <t xml:space="preserve">        keys = results[0].keys()</t>
        </is>
      </c>
    </row>
    <row r="44">
      <c r="A44" s="7" t="n">
        <v>41</v>
      </c>
      <c r="B44" s="8" t="inlineStr">
        <is>
          <t xml:space="preserve">        with open(path, "w", encoding="utf-8-sig", newline="") as f:</t>
        </is>
      </c>
    </row>
    <row r="45">
      <c r="A45" s="9" t="n">
        <v>42</v>
      </c>
      <c r="B45" s="10" t="inlineStr">
        <is>
          <t xml:space="preserve">            writer = csv.DictWriter(f, fieldnames=keys)</t>
        </is>
      </c>
    </row>
    <row r="46">
      <c r="A46" s="7" t="n">
        <v>43</v>
      </c>
      <c r="B46" s="8" t="inlineStr">
        <is>
          <t xml:space="preserve">            writer.writeheader()</t>
        </is>
      </c>
    </row>
    <row r="47">
      <c r="A47" s="9" t="n">
        <v>44</v>
      </c>
      <c r="B47" s="10" t="inlineStr">
        <is>
          <t xml:space="preserve">            writer.writerows(results)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 xml:space="preserve">    @staticmethod</t>
        </is>
      </c>
    </row>
    <row r="50">
      <c r="A50" s="7" t="n">
        <v>47</v>
      </c>
      <c r="B50" s="8" t="inlineStr">
        <is>
          <t xml:space="preserve">    def batch_stats(results: List[Dict]) -&gt; Dict:</t>
        </is>
      </c>
    </row>
    <row r="51">
      <c r="A51" s="9" t="n">
        <v>48</v>
      </c>
      <c r="B51" s="10" t="inlineStr">
        <is>
          <t xml:space="preserve">        """</t>
        </is>
      </c>
    </row>
    <row r="52">
      <c r="A52" s="7" t="n">
        <v>49</v>
      </c>
      <c r="B52" s="8" t="inlineStr">
        <is>
          <t xml:space="preserve">        批量任务统计 — 对应架构 batch_report。</t>
        </is>
      </c>
    </row>
    <row r="53">
      <c r="A53" s="9" t="n">
        <v>50</v>
      </c>
      <c r="B53" s="10" t="inlineStr">
        <is>
          <t xml:space="preserve">        返回: {total, success, fail, success_rate, avg_duration, details}</t>
        </is>
      </c>
    </row>
    <row r="54">
      <c r="A54" s="7" t="n">
        <v>51</v>
      </c>
      <c r="B54" s="8" t="inlineStr">
        <is>
          <t xml:space="preserve">        """</t>
        </is>
      </c>
    </row>
    <row r="55">
      <c r="A55" s="9" t="n">
        <v>52</v>
      </c>
      <c r="B55" s="10" t="inlineStr">
        <is>
          <t xml:space="preserve">        total = len(results)</t>
        </is>
      </c>
    </row>
    <row r="56">
      <c r="A56" s="7" t="n">
        <v>53</v>
      </c>
      <c r="B56" s="8" t="inlineStr">
        <is>
          <t xml:space="preserve">        success = sum(1 for r in results if r.get("success"))</t>
        </is>
      </c>
    </row>
    <row r="57">
      <c r="A57" s="9" t="n">
        <v>54</v>
      </c>
      <c r="B57" s="10" t="inlineStr">
        <is>
          <t xml:space="preserve">        fail = total - success</t>
        </is>
      </c>
    </row>
    <row r="58">
      <c r="A58" s="7" t="n">
        <v>55</v>
      </c>
      <c r="B58" s="8" t="inlineStr">
        <is>
          <t xml:space="preserve">        durations = [r.get("duration", 0) for r in results if r.get("success") and r.get("duration")]</t>
        </is>
      </c>
    </row>
    <row r="59">
      <c r="A59" s="9" t="n">
        <v>56</v>
      </c>
      <c r="B59" s="10" t="inlineStr">
        <is>
          <t xml:space="preserve">        avg_dur = round(sum(durations) / len(durations), 1) if durations else 0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>
        <is>
          <t xml:space="preserve">        return {</t>
        </is>
      </c>
    </row>
    <row r="62">
      <c r="A62" s="7" t="n">
        <v>59</v>
      </c>
      <c r="B62" s="8" t="inlineStr">
        <is>
          <t xml:space="preserve">            "total": total,</t>
        </is>
      </c>
    </row>
    <row r="63">
      <c r="A63" s="9" t="n">
        <v>60</v>
      </c>
      <c r="B63" s="10" t="inlineStr">
        <is>
          <t xml:space="preserve">            "success": success,</t>
        </is>
      </c>
    </row>
    <row r="64">
      <c r="A64" s="7" t="n">
        <v>61</v>
      </c>
      <c r="B64" s="8" t="inlineStr">
        <is>
          <t xml:space="preserve">            "fail": fail,</t>
        </is>
      </c>
    </row>
    <row r="65">
      <c r="A65" s="9" t="n">
        <v>62</v>
      </c>
      <c r="B65" s="10" t="inlineStr">
        <is>
          <t xml:space="preserve">            "success_rate": f"{(success / max(total, 1) * 100):.1f}%",</t>
        </is>
      </c>
    </row>
    <row r="66">
      <c r="A66" s="7" t="n">
        <v>63</v>
      </c>
      <c r="B66" s="8" t="inlineStr">
        <is>
          <t xml:space="preserve">            "avg_duration_sec": avg_dur,</t>
        </is>
      </c>
    </row>
    <row r="67">
      <c r="A67" s="9" t="n">
        <v>64</v>
      </c>
      <c r="B67" s="10" t="inlineStr">
        <is>
          <t xml:space="preserve">            "export_time": datetime.now().isoformat(),</t>
        </is>
      </c>
    </row>
    <row r="68">
      <c r="A68" s="7" t="n">
        <v>65</v>
      </c>
      <c r="B68" s="8" t="inlineStr">
        <is>
          <t xml:space="preserve">        }</t>
        </is>
      </c>
    </row>
    <row r="69">
      <c r="A69" s="9" t="n">
        <v>66</v>
      </c>
      <c r="B69" s="10" t="inlineStr"/>
    </row>
    <row r="70">
      <c r="A70" s="7" t="n">
        <v>67</v>
      </c>
      <c r="B70" s="8" t="inlineStr">
        <is>
          <t xml:space="preserve">    @staticmethod</t>
        </is>
      </c>
    </row>
    <row r="71">
      <c r="A71" s="9" t="n">
        <v>68</v>
      </c>
      <c r="B71" s="10" t="inlineStr">
        <is>
          <t xml:space="preserve">    def metrics_to_json(metrics: Dict, output_path: str = None) -&gt; str:</t>
        </is>
      </c>
    </row>
    <row r="72">
      <c r="A72" s="7" t="n">
        <v>69</v>
      </c>
      <c r="B72" s="8" t="inlineStr">
        <is>
          <t xml:space="preserve">        """将监控指标序列化为JSON字符串"""</t>
        </is>
      </c>
    </row>
    <row r="73">
      <c r="A73" s="9" t="n">
        <v>70</v>
      </c>
      <c r="B73" s="10" t="inlineStr">
        <is>
          <t xml:space="preserve">        return json.dumps({</t>
        </is>
      </c>
    </row>
    <row r="74">
      <c r="A74" s="7" t="n">
        <v>71</v>
      </c>
      <c r="B74" s="8" t="inlineStr">
        <is>
          <t xml:space="preserve">            "timestamp": datetime.now().isoformat(),</t>
        </is>
      </c>
    </row>
    <row r="75">
      <c r="A75" s="9" t="n">
        <v>72</v>
      </c>
      <c r="B75" s="10" t="inlineStr">
        <is>
          <t xml:space="preserve">            "metrics": metrics,</t>
        </is>
      </c>
    </row>
    <row r="76">
      <c r="A76" s="7" t="n">
        <v>73</v>
      </c>
      <c r="B76" s="8" t="inlineStr">
        <is>
          <t xml:space="preserve">        }, ensure_ascii=False, indent=2)</t>
        </is>
      </c>
    </row>
    <row r="77">
      <c r="A77" s="9" t="n">
        <v>74</v>
      </c>
      <c r="B77" s="10" t="inlineStr"/>
    </row>
    <row r="78">
      <c r="A78" s="7" t="n">
        <v>75</v>
      </c>
      <c r="B78" s="8" t="inlineStr"/>
    </row>
    <row r="79">
      <c r="A79" s="9" t="n">
        <v>76</v>
      </c>
      <c r="B79" s="10" t="inlineStr">
        <is>
          <t>_export_tool: Optional[ExportTool] = None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>def get_export_tool() -&gt; ExportTool:</t>
        </is>
      </c>
    </row>
    <row r="82">
      <c r="A82" s="7" t="n">
        <v>79</v>
      </c>
      <c r="B82" s="8" t="inlineStr">
        <is>
          <t xml:space="preserve">    global _export_tool</t>
        </is>
      </c>
    </row>
    <row r="83">
      <c r="A83" s="9" t="n">
        <v>80</v>
      </c>
      <c r="B83" s="10" t="inlineStr">
        <is>
          <t xml:space="preserve">    if _export_tool is None:</t>
        </is>
      </c>
    </row>
    <row r="84">
      <c r="A84" s="7" t="n">
        <v>81</v>
      </c>
      <c r="B84" s="8" t="inlineStr">
        <is>
          <t xml:space="preserve">        _export_tool = ExportTool()</t>
        </is>
      </c>
    </row>
    <row r="85">
      <c r="A85" s="9" t="n">
        <v>82</v>
      </c>
      <c r="B85" s="10" t="inlineStr">
        <is>
          <t xml:space="preserve">    return _export_tool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utils\ffmpeg_utils.py</t>
        </is>
      </c>
      <c r="C1" s="5" t="inlineStr">
        <is>
          <t>行数: 97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FFmpeg工具集 - 视频信息提取、关键帧导出、硬解码参数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os</t>
        </is>
      </c>
    </row>
    <row r="8">
      <c r="A8" s="7" t="n">
        <v>5</v>
      </c>
      <c r="B8" s="8" t="inlineStr">
        <is>
          <t>import subprocess</t>
        </is>
      </c>
    </row>
    <row r="9">
      <c r="A9" s="9" t="n">
        <v>6</v>
      </c>
      <c r="B9" s="10" t="inlineStr">
        <is>
          <t>import json</t>
        </is>
      </c>
    </row>
    <row r="10">
      <c r="A10" s="7" t="n">
        <v>7</v>
      </c>
      <c r="B10" s="8" t="inlineStr">
        <is>
          <t>from utils.logger import get_logger</t>
        </is>
      </c>
    </row>
    <row r="11">
      <c r="A11" s="9" t="n">
        <v>8</v>
      </c>
      <c r="B11" s="10" t="inlineStr">
        <is>
          <t>logger = get_logger("ffmpeg")</t>
        </is>
      </c>
    </row>
    <row r="12">
      <c r="A12" s="7" t="n">
        <v>9</v>
      </c>
      <c r="B12" s="8" t="inlineStr">
        <is>
          <t>def get_video_info(video_path: str) -&gt; dict:</t>
        </is>
      </c>
    </row>
    <row r="13">
      <c r="A13" s="9" t="n">
        <v>10</v>
      </c>
      <c r="B13" s="10" t="inlineStr">
        <is>
          <t xml:space="preserve">    """使用ffprobe获取视频完整元数据"""</t>
        </is>
      </c>
    </row>
    <row r="14">
      <c r="A14" s="7" t="n">
        <v>11</v>
      </c>
      <c r="B14" s="8" t="inlineStr">
        <is>
          <t xml:space="preserve">    if not os.path.exists(video_path):</t>
        </is>
      </c>
    </row>
    <row r="15">
      <c r="A15" s="9" t="n">
        <v>12</v>
      </c>
      <c r="B15" s="10" t="inlineStr">
        <is>
          <t xml:space="preserve">        logger.error(f"视频文件不存在: {video_path}")</t>
        </is>
      </c>
    </row>
    <row r="16">
      <c r="A16" s="7" t="n">
        <v>13</v>
      </c>
      <c r="B16" s="8" t="inlineStr">
        <is>
          <t xml:space="preserve">        return {}</t>
        </is>
      </c>
    </row>
    <row r="17">
      <c r="A17" s="9" t="n">
        <v>14</v>
      </c>
      <c r="B17" s="10" t="inlineStr">
        <is>
          <t xml:space="preserve">    try:</t>
        </is>
      </c>
    </row>
    <row r="18">
      <c r="A18" s="7" t="n">
        <v>15</v>
      </c>
      <c r="B18" s="8" t="inlineStr">
        <is>
          <t xml:space="preserve">        cmd = [</t>
        </is>
      </c>
    </row>
    <row r="19">
      <c r="A19" s="9" t="n">
        <v>16</v>
      </c>
      <c r="B19" s="10" t="inlineStr">
        <is>
          <t xml:space="preserve">            "ffprobe", "-v", "quiet", "-print_format", "json",</t>
        </is>
      </c>
    </row>
    <row r="20">
      <c r="A20" s="7" t="n">
        <v>17</v>
      </c>
      <c r="B20" s="8" t="inlineStr">
        <is>
          <t xml:space="preserve">            "-show_format", "-show_streams", video_path</t>
        </is>
      </c>
    </row>
    <row r="21">
      <c r="A21" s="9" t="n">
        <v>18</v>
      </c>
      <c r="B21" s="10" t="inlineStr">
        <is>
          <t xml:space="preserve">        ]</t>
        </is>
      </c>
    </row>
    <row r="22">
      <c r="A22" s="7" t="n">
        <v>19</v>
      </c>
      <c r="B22" s="8" t="inlineStr">
        <is>
          <t xml:space="preserve">        result = subprocess.run(cmd, capture_output=True, text=True, timeout=30, encoding="utf-8")</t>
        </is>
      </c>
    </row>
    <row r="23">
      <c r="A23" s="9" t="n">
        <v>20</v>
      </c>
      <c r="B23" s="10" t="inlineStr">
        <is>
          <t xml:space="preserve">        if result.returncode != 0:</t>
        </is>
      </c>
    </row>
    <row r="24">
      <c r="A24" s="7" t="n">
        <v>21</v>
      </c>
      <c r="B24" s="8" t="inlineStr">
        <is>
          <t xml:space="preserve">            logger.error(f"ffprobe失败: {result.stderr[:200]}")</t>
        </is>
      </c>
    </row>
    <row r="25">
      <c r="A25" s="9" t="n">
        <v>22</v>
      </c>
      <c r="B25" s="10" t="inlineStr">
        <is>
          <t xml:space="preserve">            return {}</t>
        </is>
      </c>
    </row>
    <row r="26">
      <c r="A26" s="7" t="n">
        <v>23</v>
      </c>
      <c r="B26" s="8" t="inlineStr">
        <is>
          <t xml:space="preserve">        data = json.loads(result.stdout)</t>
        </is>
      </c>
    </row>
    <row r="27">
      <c r="A27" s="9" t="n">
        <v>24</v>
      </c>
      <c r="B27" s="10" t="inlineStr">
        <is>
          <t xml:space="preserve">        fmt = data.get("format", {})</t>
        </is>
      </c>
    </row>
    <row r="28">
      <c r="A28" s="7" t="n">
        <v>25</v>
      </c>
      <c r="B28" s="8" t="inlineStr">
        <is>
          <t xml:space="preserve">        video_stream = None</t>
        </is>
      </c>
    </row>
    <row r="29">
      <c r="A29" s="9" t="n">
        <v>26</v>
      </c>
      <c r="B29" s="10" t="inlineStr">
        <is>
          <t xml:space="preserve">        audio_stream = None</t>
        </is>
      </c>
    </row>
    <row r="30">
      <c r="A30" s="7" t="n">
        <v>27</v>
      </c>
      <c r="B30" s="8" t="inlineStr">
        <is>
          <t xml:space="preserve">        for s in data.get("streams", []):</t>
        </is>
      </c>
    </row>
    <row r="31">
      <c r="A31" s="9" t="n">
        <v>28</v>
      </c>
      <c r="B31" s="10" t="inlineStr">
        <is>
          <t xml:space="preserve">            if s.get("codec_type") == "video" and video_stream is None:</t>
        </is>
      </c>
    </row>
    <row r="32">
      <c r="A32" s="7" t="n">
        <v>29</v>
      </c>
      <c r="B32" s="8" t="inlineStr">
        <is>
          <t xml:space="preserve">                video_stream = s</t>
        </is>
      </c>
    </row>
    <row r="33">
      <c r="A33" s="9" t="n">
        <v>30</v>
      </c>
      <c r="B33" s="10" t="inlineStr">
        <is>
          <t xml:space="preserve">            elif s.get("codec_type") == "audio" and audio_stream is None:</t>
        </is>
      </c>
    </row>
    <row r="34">
      <c r="A34" s="7" t="n">
        <v>31</v>
      </c>
      <c r="B34" s="8" t="inlineStr">
        <is>
          <t xml:space="preserve">                audio_stream = s</t>
        </is>
      </c>
    </row>
    <row r="35">
      <c r="A35" s="9" t="n">
        <v>32</v>
      </c>
      <c r="B35" s="10" t="inlineStr">
        <is>
          <t xml:space="preserve">        if video_stream is None:</t>
        </is>
      </c>
    </row>
    <row r="36">
      <c r="A36" s="7" t="n">
        <v>33</v>
      </c>
      <c r="B36" s="8" t="inlineStr">
        <is>
          <t xml:space="preserve">            logger.error("未找到视频流")</t>
        </is>
      </c>
    </row>
    <row r="37">
      <c r="A37" s="9" t="n">
        <v>34</v>
      </c>
      <c r="B37" s="10" t="inlineStr">
        <is>
          <t xml:space="preserve">            return {}</t>
        </is>
      </c>
    </row>
    <row r="38">
      <c r="A38" s="7" t="n">
        <v>35</v>
      </c>
      <c r="B38" s="8" t="inlineStr">
        <is>
          <t xml:space="preserve">        # 解析帧率</t>
        </is>
      </c>
    </row>
    <row r="39">
      <c r="A39" s="9" t="n">
        <v>36</v>
      </c>
      <c r="B39" s="10" t="inlineStr">
        <is>
          <t xml:space="preserve">        fps = 0</t>
        </is>
      </c>
    </row>
    <row r="40">
      <c r="A40" s="7" t="n">
        <v>37</v>
      </c>
      <c r="B40" s="8" t="inlineStr">
        <is>
          <t xml:space="preserve">        r_frame_rate = video_stream.get("r_frame_rate", "0/1")</t>
        </is>
      </c>
    </row>
    <row r="41">
      <c r="A41" s="9" t="n">
        <v>38</v>
      </c>
      <c r="B41" s="10" t="inlineStr">
        <is>
          <t xml:space="preserve">        if "/" in r_frame_rate:</t>
        </is>
      </c>
    </row>
    <row r="42">
      <c r="A42" s="7" t="n">
        <v>39</v>
      </c>
      <c r="B42" s="8" t="inlineStr">
        <is>
          <t xml:space="preserve">            num, den = r_frame_rate.split("/")</t>
        </is>
      </c>
    </row>
    <row r="43">
      <c r="A43" s="9" t="n">
        <v>40</v>
      </c>
      <c r="B43" s="10" t="inlineStr">
        <is>
          <t xml:space="preserve">            if float(den) &gt; 0:</t>
        </is>
      </c>
    </row>
    <row r="44">
      <c r="A44" s="7" t="n">
        <v>41</v>
      </c>
      <c r="B44" s="8" t="inlineStr">
        <is>
          <t xml:space="preserve">                fps = round(float(num) / float(den), 2)</t>
        </is>
      </c>
    </row>
    <row r="45">
      <c r="A45" s="9" t="n">
        <v>42</v>
      </c>
      <c r="B45" s="10" t="inlineStr">
        <is>
          <t xml:space="preserve">        info = {</t>
        </is>
      </c>
    </row>
    <row r="46">
      <c r="A46" s="7" t="n">
        <v>43</v>
      </c>
      <c r="B46" s="8" t="inlineStr">
        <is>
          <t xml:space="preserve">            "duration": float(fmt.get("duration", 0)),</t>
        </is>
      </c>
    </row>
    <row r="47">
      <c r="A47" s="9" t="n">
        <v>44</v>
      </c>
      <c r="B47" s="10" t="inlineStr">
        <is>
          <t xml:space="preserve">            "width": int(video_stream.get("width", 0)),</t>
        </is>
      </c>
    </row>
    <row r="48">
      <c r="A48" s="7" t="n">
        <v>45</v>
      </c>
      <c r="B48" s="8" t="inlineStr">
        <is>
          <t xml:space="preserve">            "height": int(video_stream.get("height", 0)),</t>
        </is>
      </c>
    </row>
    <row r="49">
      <c r="A49" s="9" t="n">
        <v>46</v>
      </c>
      <c r="B49" s="10" t="inlineStr">
        <is>
          <t xml:space="preserve">            "resolution": f"{video_stream.get('width', 0)}x{video_stream.get('height', 0)}",</t>
        </is>
      </c>
    </row>
    <row r="50">
      <c r="A50" s="7" t="n">
        <v>47</v>
      </c>
      <c r="B50" s="8" t="inlineStr">
        <is>
          <t xml:space="preserve">            "fps": fps,</t>
        </is>
      </c>
    </row>
    <row r="51">
      <c r="A51" s="9" t="n">
        <v>48</v>
      </c>
      <c r="B51" s="10" t="inlineStr">
        <is>
          <t xml:space="preserve">            "codec": video_stream.get("codec_name", ""),</t>
        </is>
      </c>
    </row>
    <row r="52">
      <c r="A52" s="7" t="n">
        <v>49</v>
      </c>
      <c r="B52" s="8" t="inlineStr">
        <is>
          <t xml:space="preserve">            "bitrate": int(fmt.get("bit_rate", 0)),</t>
        </is>
      </c>
    </row>
    <row r="53">
      <c r="A53" s="9" t="n">
        <v>50</v>
      </c>
      <c r="B53" s="10" t="inlineStr">
        <is>
          <t xml:space="preserve">            "has_audio": audio_stream is not None,</t>
        </is>
      </c>
    </row>
    <row r="54">
      <c r="A54" s="7" t="n">
        <v>51</v>
      </c>
      <c r="B54" s="8" t="inlineStr">
        <is>
          <t xml:space="preserve">        }</t>
        </is>
      </c>
    </row>
    <row r="55">
      <c r="A55" s="9" t="n">
        <v>52</v>
      </c>
      <c r="B55" s="10" t="inlineStr">
        <is>
          <t xml:space="preserve">        return info</t>
        </is>
      </c>
    </row>
    <row r="56">
      <c r="A56" s="7" t="n">
        <v>53</v>
      </c>
      <c r="B56" s="8" t="inlineStr">
        <is>
          <t xml:space="preserve">    except subprocess.TimeoutExpired:</t>
        </is>
      </c>
    </row>
    <row r="57">
      <c r="A57" s="9" t="n">
        <v>54</v>
      </c>
      <c r="B57" s="10" t="inlineStr">
        <is>
          <t xml:space="preserve">        logger.error(f"ffprobe超时: {video_path}")</t>
        </is>
      </c>
    </row>
    <row r="58">
      <c r="A58" s="7" t="n">
        <v>55</v>
      </c>
      <c r="B58" s="8" t="inlineStr">
        <is>
          <t xml:space="preserve">        return {}</t>
        </is>
      </c>
    </row>
    <row r="59">
      <c r="A59" s="9" t="n">
        <v>56</v>
      </c>
      <c r="B59" s="10" t="inlineStr">
        <is>
          <t xml:space="preserve">    except json.JSONDecodeError:</t>
        </is>
      </c>
    </row>
    <row r="60">
      <c r="A60" s="7" t="n">
        <v>57</v>
      </c>
      <c r="B60" s="8" t="inlineStr">
        <is>
          <t xml:space="preserve">        logger.error("ffprobe输出JSON解析失败")</t>
        </is>
      </c>
    </row>
    <row r="61">
      <c r="A61" s="9" t="n">
        <v>58</v>
      </c>
      <c r="B61" s="10" t="inlineStr">
        <is>
          <t xml:space="preserve">        return {}</t>
        </is>
      </c>
    </row>
    <row r="62">
      <c r="A62" s="7" t="n">
        <v>59</v>
      </c>
      <c r="B62" s="8" t="inlineStr">
        <is>
          <t xml:space="preserve">    except Exception as e:</t>
        </is>
      </c>
    </row>
    <row r="63">
      <c r="A63" s="9" t="n">
        <v>60</v>
      </c>
      <c r="B63" s="10" t="inlineStr">
        <is>
          <t xml:space="preserve">        logger.error(f"获取视频信息失败: {e}")</t>
        </is>
      </c>
    </row>
    <row r="64">
      <c r="A64" s="7" t="n">
        <v>61</v>
      </c>
      <c r="B64" s="8" t="inlineStr">
        <is>
          <t xml:space="preserve">        return {}</t>
        </is>
      </c>
    </row>
    <row r="65">
      <c r="A65" s="9" t="n">
        <v>62</v>
      </c>
      <c r="B65" s="10" t="inlineStr">
        <is>
          <t>def extract_frame(video_path: str, time_sec: float, output_path: str) -&gt; bool:</t>
        </is>
      </c>
    </row>
    <row r="66">
      <c r="A66" s="7" t="n">
        <v>63</v>
      </c>
      <c r="B66" s="8" t="inlineStr">
        <is>
          <t xml:space="preserve">    """提取指定时间点的关键帧为JPG"""</t>
        </is>
      </c>
    </row>
    <row r="67">
      <c r="A67" s="9" t="n">
        <v>64</v>
      </c>
      <c r="B67" s="10" t="inlineStr">
        <is>
          <t xml:space="preserve">    try:</t>
        </is>
      </c>
    </row>
    <row r="68">
      <c r="A68" s="7" t="n">
        <v>65</v>
      </c>
      <c r="B68" s="8" t="inlineStr">
        <is>
          <t xml:space="preserve">        cmd = [</t>
        </is>
      </c>
    </row>
    <row r="69">
      <c r="A69" s="9" t="n">
        <v>66</v>
      </c>
      <c r="B69" s="10" t="inlineStr">
        <is>
          <t xml:space="preserve">            "ffmpeg", "-y",</t>
        </is>
      </c>
    </row>
    <row r="70">
      <c r="A70" s="7" t="n">
        <v>67</v>
      </c>
      <c r="B70" s="8" t="inlineStr">
        <is>
          <t xml:space="preserve">            "-ss", str(time_sec),</t>
        </is>
      </c>
    </row>
    <row r="71">
      <c r="A71" s="9" t="n">
        <v>68</v>
      </c>
      <c r="B71" s="10" t="inlineStr">
        <is>
          <t xml:space="preserve">            "-i", video_path,</t>
        </is>
      </c>
    </row>
    <row r="72">
      <c r="A72" s="7" t="n">
        <v>69</v>
      </c>
      <c r="B72" s="8" t="inlineStr">
        <is>
          <t xml:space="preserve">            "-vframes", "1",</t>
        </is>
      </c>
    </row>
    <row r="73">
      <c r="A73" s="9" t="n">
        <v>70</v>
      </c>
      <c r="B73" s="10" t="inlineStr">
        <is>
          <t xml:space="preserve">            "-q:v", "2",</t>
        </is>
      </c>
    </row>
    <row r="74">
      <c r="A74" s="7" t="n">
        <v>71</v>
      </c>
      <c r="B74" s="8" t="inlineStr">
        <is>
          <t xml:space="preserve">            output_path</t>
        </is>
      </c>
    </row>
    <row r="75">
      <c r="A75" s="9" t="n">
        <v>72</v>
      </c>
      <c r="B75" s="10" t="inlineStr">
        <is>
          <t xml:space="preserve">        ]</t>
        </is>
      </c>
    </row>
    <row r="76">
      <c r="A76" s="7" t="n">
        <v>73</v>
      </c>
      <c r="B76" s="8" t="inlineStr">
        <is>
          <t xml:space="preserve">        result = subprocess.run(cmd, capture_output=True, text=True, timeout=30, encoding="utf-8")</t>
        </is>
      </c>
    </row>
    <row r="77">
      <c r="A77" s="9" t="n">
        <v>74</v>
      </c>
      <c r="B77" s="10" t="inlineStr">
        <is>
          <t xml:space="preserve">        if result.returncode == 0 and os.path.exists(output_path):</t>
        </is>
      </c>
    </row>
    <row r="78">
      <c r="A78" s="7" t="n">
        <v>75</v>
      </c>
      <c r="B78" s="8" t="inlineStr">
        <is>
          <t xml:space="preserve">            return True</t>
        </is>
      </c>
    </row>
    <row r="79">
      <c r="A79" s="9" t="n">
        <v>76</v>
      </c>
      <c r="B79" s="10" t="inlineStr">
        <is>
          <t xml:space="preserve">        logger.debug(f"关键帧提取失败: {result.stderr[:100]}")</t>
        </is>
      </c>
    </row>
    <row r="80">
      <c r="A80" s="7" t="n">
        <v>77</v>
      </c>
      <c r="B80" s="8" t="inlineStr">
        <is>
          <t xml:space="preserve">        return False</t>
        </is>
      </c>
    </row>
    <row r="81">
      <c r="A81" s="9" t="n">
        <v>78</v>
      </c>
      <c r="B81" s="10" t="inlineStr">
        <is>
          <t xml:space="preserve">    except Exception as e:</t>
        </is>
      </c>
    </row>
    <row r="82">
      <c r="A82" s="7" t="n">
        <v>79</v>
      </c>
      <c r="B82" s="8" t="inlineStr">
        <is>
          <t xml:space="preserve">        logger.error(f"提取关键帧异常: {e}")</t>
        </is>
      </c>
    </row>
    <row r="83">
      <c r="A83" s="9" t="n">
        <v>80</v>
      </c>
      <c r="B83" s="10" t="inlineStr">
        <is>
          <t xml:space="preserve">        return False</t>
        </is>
      </c>
    </row>
    <row r="84">
      <c r="A84" s="7" t="n">
        <v>81</v>
      </c>
      <c r="B84" s="8" t="inlineStr">
        <is>
          <t>def extract_audio(video_path: str, output_path: str, sample_rate: int = 16000) -&gt; bool:</t>
        </is>
      </c>
    </row>
    <row r="85">
      <c r="A85" s="9" t="n">
        <v>82</v>
      </c>
      <c r="B85" s="10" t="inlineStr">
        <is>
          <t xml:space="preserve">    """从视频提取单声道16kHz WAV音频"""</t>
        </is>
      </c>
    </row>
    <row r="86">
      <c r="A86" s="7" t="n">
        <v>83</v>
      </c>
      <c r="B86" s="8" t="inlineStr">
        <is>
          <t xml:space="preserve">    try:</t>
        </is>
      </c>
    </row>
    <row r="87">
      <c r="A87" s="9" t="n">
        <v>84</v>
      </c>
      <c r="B87" s="10" t="inlineStr">
        <is>
          <t xml:space="preserve">        cmd = [</t>
        </is>
      </c>
    </row>
    <row r="88">
      <c r="A88" s="7" t="n">
        <v>85</v>
      </c>
      <c r="B88" s="8" t="inlineStr">
        <is>
          <t xml:space="preserve">            "ffmpeg", "-y",</t>
        </is>
      </c>
    </row>
    <row r="89">
      <c r="A89" s="9" t="n">
        <v>86</v>
      </c>
      <c r="B89" s="10" t="inlineStr">
        <is>
          <t xml:space="preserve">            "-i", video_path,</t>
        </is>
      </c>
    </row>
    <row r="90">
      <c r="A90" s="7" t="n">
        <v>87</v>
      </c>
      <c r="B90" s="8" t="inlineStr">
        <is>
          <t xml:space="preserve">            "-vn",</t>
        </is>
      </c>
    </row>
    <row r="91">
      <c r="A91" s="9" t="n">
        <v>88</v>
      </c>
      <c r="B91" s="10" t="inlineStr">
        <is>
          <t xml:space="preserve">            "-acodec", "pcm_s16le",</t>
        </is>
      </c>
    </row>
    <row r="92">
      <c r="A92" s="7" t="n">
        <v>89</v>
      </c>
      <c r="B92" s="8" t="inlineStr">
        <is>
          <t xml:space="preserve">            "-ar", str(sample_rate),</t>
        </is>
      </c>
    </row>
    <row r="93">
      <c r="A93" s="9" t="n">
        <v>90</v>
      </c>
      <c r="B93" s="10" t="inlineStr">
        <is>
          <t xml:space="preserve">            "-ac", "1",</t>
        </is>
      </c>
    </row>
    <row r="94">
      <c r="A94" s="7" t="n">
        <v>91</v>
      </c>
      <c r="B94" s="8" t="inlineStr">
        <is>
          <t xml:space="preserve">            output_path</t>
        </is>
      </c>
    </row>
    <row r="95">
      <c r="A95" s="9" t="n">
        <v>92</v>
      </c>
      <c r="B95" s="10" t="inlineStr">
        <is>
          <t xml:space="preserve">        ]</t>
        </is>
      </c>
    </row>
    <row r="96">
      <c r="A96" s="7" t="n">
        <v>93</v>
      </c>
      <c r="B96" s="8" t="inlineStr">
        <is>
          <t xml:space="preserve">        result = subprocess.run(cmd, capture_output=True, text=True, timeout=120, encoding="utf-8")</t>
        </is>
      </c>
    </row>
    <row r="97">
      <c r="A97" s="9" t="n">
        <v>94</v>
      </c>
      <c r="B97" s="10" t="inlineStr">
        <is>
          <t xml:space="preserve">        return result.returncode == 0</t>
        </is>
      </c>
    </row>
    <row r="98">
      <c r="A98" s="7" t="n">
        <v>95</v>
      </c>
      <c r="B98" s="8" t="inlineStr">
        <is>
          <t xml:space="preserve">    except Exception as e:</t>
        </is>
      </c>
    </row>
    <row r="99">
      <c r="A99" s="9" t="n">
        <v>96</v>
      </c>
      <c r="B99" s="10" t="inlineStr">
        <is>
          <t xml:space="preserve">        logger.error(f"音频提取异常: {e}")</t>
        </is>
      </c>
    </row>
    <row r="100">
      <c r="A100" s="7" t="n">
        <v>97</v>
      </c>
      <c r="B100" s="8" t="inlineStr">
        <is>
          <t xml:space="preserve">        return False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utils\helpers.py</t>
        </is>
      </c>
      <c r="C1" s="5" t="inlineStr">
        <is>
          <t>行数: 84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v12.2 — 通用工具库</t>
        </is>
      </c>
    </row>
    <row r="6">
      <c r="A6" s="7" t="n">
        <v>3</v>
      </c>
      <c r="B6" s="8">
        <f>==============================</f>
        <v/>
      </c>
    </row>
    <row r="7">
      <c r="A7" s="9" t="n">
        <v>4</v>
      </c>
      <c r="B7" s="10" t="inlineStr">
        <is>
          <t>从架构升级中提取的通用基础工具: 耗时装饰器、文本哈希、分句等。</t>
        </is>
      </c>
    </row>
    <row r="8">
      <c r="A8" s="7" t="n">
        <v>5</v>
      </c>
      <c r="B8" s="8" t="inlineStr">
        <is>
          <t>所有模块可直接引用。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re</t>
        </is>
      </c>
    </row>
    <row r="11">
      <c r="A11" s="9" t="n">
        <v>8</v>
      </c>
      <c r="B11" s="10" t="inlineStr">
        <is>
          <t>import hashlib</t>
        </is>
      </c>
    </row>
    <row r="12">
      <c r="A12" s="7" t="n">
        <v>9</v>
      </c>
      <c r="B12" s="8" t="inlineStr">
        <is>
          <t>import time as _time</t>
        </is>
      </c>
    </row>
    <row r="13">
      <c r="A13" s="9" t="n">
        <v>10</v>
      </c>
      <c r="B13" s="10" t="inlineStr">
        <is>
          <t>from functools import wraps</t>
        </is>
      </c>
    </row>
    <row r="14">
      <c r="A14" s="7" t="n">
        <v>11</v>
      </c>
      <c r="B14" s="8" t="inlineStr">
        <is>
          <t>from typing import Callable, Any, List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def time_cost(func: Callable) -&gt; Callable:</t>
        </is>
      </c>
    </row>
    <row r="18">
      <c r="A18" s="7" t="n">
        <v>15</v>
      </c>
      <c r="B18" s="8" t="inlineStr">
        <is>
          <t xml:space="preserve">    """</t>
        </is>
      </c>
    </row>
    <row r="19">
      <c r="A19" s="9" t="n">
        <v>16</v>
      </c>
      <c r="B19" s="10" t="inlineStr">
        <is>
          <t xml:space="preserve">    耗时统计装饰器 — 自动记录函数执行时间。</t>
        </is>
      </c>
    </row>
    <row r="20">
      <c r="A20" s="7" t="n">
        <v>17</v>
      </c>
      <c r="B20" s="8" t="inlineStr">
        <is>
          <t xml:space="preserve">    用法: @time_cost / def my_func(): ...</t>
        </is>
      </c>
    </row>
    <row r="21">
      <c r="A21" s="9" t="n">
        <v>18</v>
      </c>
      <c r="B21" s="10" t="inlineStr">
        <is>
          <t xml:space="preserve">    """</t>
        </is>
      </c>
    </row>
    <row r="22">
      <c r="A22" s="7" t="n">
        <v>19</v>
      </c>
      <c r="B22" s="8" t="inlineStr">
        <is>
          <t xml:space="preserve">    @wraps(func)</t>
        </is>
      </c>
    </row>
    <row r="23">
      <c r="A23" s="9" t="n">
        <v>20</v>
      </c>
      <c r="B23" s="10" t="inlineStr">
        <is>
          <t xml:space="preserve">    def wrapper(*args, **kwargs):</t>
        </is>
      </c>
    </row>
    <row r="24">
      <c r="A24" s="7" t="n">
        <v>21</v>
      </c>
      <c r="B24" s="8" t="inlineStr">
        <is>
          <t xml:space="preserve">        start = _time.time()</t>
        </is>
      </c>
    </row>
    <row r="25">
      <c r="A25" s="9" t="n">
        <v>22</v>
      </c>
      <c r="B25" s="10" t="inlineStr">
        <is>
          <t xml:space="preserve">        result = func(*args, **kwargs)</t>
        </is>
      </c>
    </row>
    <row r="26">
      <c r="A26" s="7" t="n">
        <v>23</v>
      </c>
      <c r="B26" s="8" t="inlineStr">
        <is>
          <t xml:space="preserve">        cost = round(_time.time() - start, 3)</t>
        </is>
      </c>
    </row>
    <row r="27">
      <c r="A27" s="9" t="n">
        <v>24</v>
      </c>
      <c r="B27" s="10" t="inlineStr">
        <is>
          <t xml:space="preserve">        try:</t>
        </is>
      </c>
    </row>
    <row r="28">
      <c r="A28" s="7" t="n">
        <v>25</v>
      </c>
      <c r="B28" s="8" t="inlineStr">
        <is>
          <t xml:space="preserve">            from utils.logging import get_logger</t>
        </is>
      </c>
    </row>
    <row r="29">
      <c r="A29" s="9" t="n">
        <v>26</v>
      </c>
      <c r="B29" s="10" t="inlineStr">
        <is>
          <t xml:space="preserve">            get_logger("Perf").debug(f"{func.__name__} 耗时 {cost}s")</t>
        </is>
      </c>
    </row>
    <row r="30">
      <c r="A30" s="7" t="n">
        <v>27</v>
      </c>
      <c r="B30" s="8" t="inlineStr">
        <is>
          <t xml:space="preserve">        except Exception:</t>
        </is>
      </c>
    </row>
    <row r="31">
      <c r="A31" s="9" t="n">
        <v>28</v>
      </c>
      <c r="B31" s="10" t="inlineStr">
        <is>
          <t xml:space="preserve">            pass</t>
        </is>
      </c>
    </row>
    <row r="32">
      <c r="A32" s="7" t="n">
        <v>29</v>
      </c>
      <c r="B32" s="8" t="inlineStr">
        <is>
          <t xml:space="preserve">        return result</t>
        </is>
      </c>
    </row>
    <row r="33">
      <c r="A33" s="9" t="n">
        <v>30</v>
      </c>
      <c r="B33" s="10" t="inlineStr">
        <is>
          <t xml:space="preserve">    return wrapper</t>
        </is>
      </c>
    </row>
    <row r="34">
      <c r="A34" s="7" t="n">
        <v>31</v>
      </c>
      <c r="B34" s="8" t="inlineStr"/>
    </row>
    <row r="35">
      <c r="A35" s="9" t="n">
        <v>32</v>
      </c>
      <c r="B35" s="10" t="inlineStr"/>
    </row>
    <row r="36">
      <c r="A36" s="7" t="n">
        <v>33</v>
      </c>
      <c r="B36" s="8" t="inlineStr">
        <is>
          <t>def md5_hash(text: str) -&gt; str:</t>
        </is>
      </c>
    </row>
    <row r="37">
      <c r="A37" s="9" t="n">
        <v>34</v>
      </c>
      <c r="B37" s="10" t="inlineStr">
        <is>
          <t xml:space="preserve">    """生成文本MD5哈希 — 用于素材去重、脚本指纹"""</t>
        </is>
      </c>
    </row>
    <row r="38">
      <c r="A38" s="7" t="n">
        <v>35</v>
      </c>
      <c r="B38" s="8" t="inlineStr">
        <is>
          <t xml:space="preserve">    return hashlib.md5(text.encode("utf-8")).hexdigest()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def sha256_hash(text: str) -&gt; str:</t>
        </is>
      </c>
    </row>
    <row r="42">
      <c r="A42" s="7" t="n">
        <v>39</v>
      </c>
      <c r="B42" s="8" t="inlineStr">
        <is>
          <t xml:space="preserve">    """生成文本SHA256哈希 — 用于安全校验"""</t>
        </is>
      </c>
    </row>
    <row r="43">
      <c r="A43" s="9" t="n">
        <v>40</v>
      </c>
      <c r="B43" s="10" t="inlineStr">
        <is>
          <t xml:space="preserve">    return hashlib.sha256(text.encode("utf-8")).hexdigest()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/>
    </row>
    <row r="46">
      <c r="A46" s="7" t="n">
        <v>43</v>
      </c>
      <c r="B46" s="8" t="inlineStr">
        <is>
          <t>def split_text_by_sentence(text: str) -&gt; List[str]:</t>
        </is>
      </c>
    </row>
    <row r="47">
      <c r="A47" s="9" t="n">
        <v>44</v>
      </c>
      <c r="B47" s="10" t="inlineStr">
        <is>
          <t xml:space="preserve">    """</t>
        </is>
      </c>
    </row>
    <row r="48">
      <c r="A48" s="7" t="n">
        <v>45</v>
      </c>
      <c r="B48" s="8" t="inlineStr">
        <is>
          <t xml:space="preserve">    按中英文标点拆分文案为句子列表。</t>
        </is>
      </c>
    </row>
    <row r="49">
      <c r="A49" s="9" t="n">
        <v>46</v>
      </c>
      <c r="B49" s="10" t="inlineStr">
        <is>
          <t xml:space="preserve">    支持: 。！？.!? ；; 换行</t>
        </is>
      </c>
    </row>
    <row r="50">
      <c r="A50" s="7" t="n">
        <v>47</v>
      </c>
      <c r="B50" s="8" t="inlineStr">
        <is>
          <t xml:space="preserve">    """</t>
        </is>
      </c>
    </row>
    <row r="51">
      <c r="A51" s="9" t="n">
        <v>48</v>
      </c>
      <c r="B51" s="10" t="inlineStr">
        <is>
          <t xml:space="preserve">    if not text or not text.strip():</t>
        </is>
      </c>
    </row>
    <row r="52">
      <c r="A52" s="7" t="n">
        <v>49</v>
      </c>
      <c r="B52" s="8" t="inlineStr">
        <is>
          <t xml:space="preserve">        return []</t>
        </is>
      </c>
    </row>
    <row r="53">
      <c r="A53" s="9" t="n">
        <v>50</v>
      </c>
      <c r="B53" s="10" t="inlineStr">
        <is>
          <t xml:space="preserve">    # 用正则按标点拆分</t>
        </is>
      </c>
    </row>
    <row r="54">
      <c r="A54" s="7" t="n">
        <v>51</v>
      </c>
      <c r="B54" s="8" t="inlineStr">
        <is>
          <t xml:space="preserve">    parts = re.split(r'[。！？.!?；;\n]+', text.strip())</t>
        </is>
      </c>
    </row>
    <row r="55">
      <c r="A55" s="9" t="n">
        <v>52</v>
      </c>
      <c r="B55" s="10" t="inlineStr">
        <is>
          <t xml:space="preserve">    return [s.strip() for s in parts if s.strip()]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/>
    </row>
    <row r="58">
      <c r="A58" s="7" t="n">
        <v>55</v>
      </c>
      <c r="B58" s="8" t="inlineStr">
        <is>
          <t>def truncate_text(text: str, max_len: int = 200) -&gt; str:</t>
        </is>
      </c>
    </row>
    <row r="59">
      <c r="A59" s="9" t="n">
        <v>56</v>
      </c>
      <c r="B59" s="10" t="inlineStr">
        <is>
          <t xml:space="preserve">    """截断文本，超出部分用...替代"""</t>
        </is>
      </c>
    </row>
    <row r="60">
      <c r="A60" s="7" t="n">
        <v>57</v>
      </c>
      <c r="B60" s="8" t="inlineStr">
        <is>
          <t xml:space="preserve">    if len(text) &lt;= max_len:</t>
        </is>
      </c>
    </row>
    <row r="61">
      <c r="A61" s="9" t="n">
        <v>58</v>
      </c>
      <c r="B61" s="10" t="inlineStr">
        <is>
          <t xml:space="preserve">        return text</t>
        </is>
      </c>
    </row>
    <row r="62">
      <c r="A62" s="7" t="n">
        <v>59</v>
      </c>
      <c r="B62" s="8" t="inlineStr">
        <is>
          <t xml:space="preserve">    return text[:max_len-3] + "..."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/>
    </row>
    <row r="65">
      <c r="A65" s="9" t="n">
        <v>62</v>
      </c>
      <c r="B65" s="10" t="inlineStr">
        <is>
          <t>def safe_json_loads(text: str, default: Any = None) -&gt; Any:</t>
        </is>
      </c>
    </row>
    <row r="66">
      <c r="A66" s="7" t="n">
        <v>63</v>
      </c>
      <c r="B66" s="8" t="inlineStr">
        <is>
          <t xml:space="preserve">    """安全JSON解析，失败返回默认值"""</t>
        </is>
      </c>
    </row>
    <row r="67">
      <c r="A67" s="9" t="n">
        <v>64</v>
      </c>
      <c r="B67" s="10" t="inlineStr">
        <is>
          <t xml:space="preserve">    import json</t>
        </is>
      </c>
    </row>
    <row r="68">
      <c r="A68" s="7" t="n">
        <v>65</v>
      </c>
      <c r="B68" s="8" t="inlineStr">
        <is>
          <t xml:space="preserve">    try:</t>
        </is>
      </c>
    </row>
    <row r="69">
      <c r="A69" s="9" t="n">
        <v>66</v>
      </c>
      <c r="B69" s="10" t="inlineStr">
        <is>
          <t xml:space="preserve">        return json.loads(text)</t>
        </is>
      </c>
    </row>
    <row r="70">
      <c r="A70" s="7" t="n">
        <v>67</v>
      </c>
      <c r="B70" s="8" t="inlineStr">
        <is>
          <t xml:space="preserve">    except (json.JSONDecodeError, TypeError):</t>
        </is>
      </c>
    </row>
    <row r="71">
      <c r="A71" s="9" t="n">
        <v>68</v>
      </c>
      <c r="B71" s="10" t="inlineStr">
        <is>
          <t xml:space="preserve">        return default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/>
    </row>
    <row r="74">
      <c r="A74" s="7" t="n">
        <v>71</v>
      </c>
      <c r="B74" s="8" t="inlineStr">
        <is>
          <t>def format_duration(seconds: float) -&gt; str:</t>
        </is>
      </c>
    </row>
    <row r="75">
      <c r="A75" s="9" t="n">
        <v>72</v>
      </c>
      <c r="B75" s="10" t="inlineStr">
        <is>
          <t xml:space="preserve">    """秒数转为可读格式 MM:SS"""</t>
        </is>
      </c>
    </row>
    <row r="76">
      <c r="A76" s="7" t="n">
        <v>73</v>
      </c>
      <c r="B76" s="8" t="inlineStr">
        <is>
          <t xml:space="preserve">    m = int(seconds // 60)</t>
        </is>
      </c>
    </row>
    <row r="77">
      <c r="A77" s="9" t="n">
        <v>74</v>
      </c>
      <c r="B77" s="10" t="inlineStr">
        <is>
          <t xml:space="preserve">    s = int(seconds % 60)</t>
        </is>
      </c>
    </row>
    <row r="78">
      <c r="A78" s="7" t="n">
        <v>75</v>
      </c>
      <c r="B78" s="8" t="inlineStr">
        <is>
          <t xml:space="preserve">    return f"{m:02d}:{s:02d}"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/>
    </row>
    <row r="81">
      <c r="A81" s="9" t="n">
        <v>78</v>
      </c>
      <c r="B81" s="10" t="inlineStr">
        <is>
          <t>def format_srt_time(seconds: float) -&gt; str:</t>
        </is>
      </c>
    </row>
    <row r="82">
      <c r="A82" s="7" t="n">
        <v>79</v>
      </c>
      <c r="B82" s="8" t="inlineStr">
        <is>
          <t xml:space="preserve">    """秒数转为SRT时间格式 HH:MM:SS,mmm"""</t>
        </is>
      </c>
    </row>
    <row r="83">
      <c r="A83" s="9" t="n">
        <v>80</v>
      </c>
      <c r="B83" s="10" t="inlineStr">
        <is>
          <t xml:space="preserve">    h = int(seconds // 3600)</t>
        </is>
      </c>
    </row>
    <row r="84">
      <c r="A84" s="7" t="n">
        <v>81</v>
      </c>
      <c r="B84" s="8" t="inlineStr">
        <is>
          <t xml:space="preserve">    m = int((seconds % 3600) // 60)</t>
        </is>
      </c>
    </row>
    <row r="85">
      <c r="A85" s="9" t="n">
        <v>82</v>
      </c>
      <c r="B85" s="10" t="inlineStr">
        <is>
          <t xml:space="preserve">    s = int(seconds % 60)</t>
        </is>
      </c>
    </row>
    <row r="86">
      <c r="A86" s="7" t="n">
        <v>83</v>
      </c>
      <c r="B86" s="8" t="inlineStr">
        <is>
          <t xml:space="preserve">    ms = int((seconds - int(seconds)) * 1000)</t>
        </is>
      </c>
    </row>
    <row r="87">
      <c r="A87" s="9" t="n">
        <v>84</v>
      </c>
      <c r="B87" s="10" t="inlineStr">
        <is>
          <t xml:space="preserve">    return f"{h:02d}:{m:02d}:{s:02d},{ms:03d}"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utils\knowledge.py</t>
        </is>
      </c>
      <c r="C1" s="5" t="inlineStr">
        <is>
          <t>行数: 461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╔══════════════════════════════════════════════════════════════╗</t>
        </is>
      </c>
    </row>
    <row r="6">
      <c r="A6" s="7" t="n">
        <v>3</v>
      </c>
      <c r="B6" s="8" t="inlineStr">
        <is>
          <t>║  🧠 V5 知识库桥接模块                                     ║</t>
        </is>
      </c>
    </row>
    <row r="7">
      <c r="A7" s="9" t="n">
        <v>4</v>
      </c>
      <c r="B7" s="10" t="inlineStr">
        <is>
          <t>║                                                            ║</t>
        </is>
      </c>
    </row>
    <row r="8">
      <c r="A8" s="7" t="n">
        <v>5</v>
      </c>
      <c r="B8" s="8" t="inlineStr">
        <is>
          <t>║  将 material_engine_v5 的专业知识库集成到主流程:           ║</t>
        </is>
      </c>
    </row>
    <row r="9">
      <c r="A9" s="9" t="n">
        <v>6</v>
      </c>
      <c r="B9" s="10" t="inlineStr">
        <is>
          <t>║  - 石材库 (Stone Library)                                 ║</t>
        </is>
      </c>
    </row>
    <row r="10">
      <c r="A10" s="7" t="n">
        <v>7</v>
      </c>
      <c r="B10" s="8" t="inlineStr">
        <is>
          <t>║  - 工艺库 (Craft Library)                                 ║</t>
        </is>
      </c>
    </row>
    <row r="11">
      <c r="A11" s="9" t="n">
        <v>8</v>
      </c>
      <c r="B11" s="10" t="inlineStr">
        <is>
          <t>║  - 五金库 (Hardware Library)                              ║</t>
        </is>
      </c>
    </row>
    <row r="12">
      <c r="A12" s="7" t="n">
        <v>9</v>
      </c>
      <c r="B12" s="8" t="inlineStr">
        <is>
          <t>║  - 风格库 (Style Library)                                 ║</t>
        </is>
      </c>
    </row>
    <row r="13">
      <c r="A13" s="9" t="n">
        <v>10</v>
      </c>
      <c r="B13" s="10" t="inlineStr">
        <is>
          <t>║  - 岛台视觉专家 (Island Vision Expert)                    ║</t>
        </is>
      </c>
    </row>
    <row r="14">
      <c r="A14" s="7" t="n">
        <v>11</v>
      </c>
      <c r="B14" s="8" t="inlineStr">
        <is>
          <t>║                                                            ║</t>
        </is>
      </c>
    </row>
    <row r="15">
      <c r="A15" s="9" t="n">
        <v>12</v>
      </c>
      <c r="B15" s="10" t="inlineStr">
        <is>
          <t>║  用于强化文案-画面的智能匹配,提升匹配准确率               ║</t>
        </is>
      </c>
    </row>
    <row r="16">
      <c r="A16" s="7" t="n">
        <v>13</v>
      </c>
      <c r="B16" s="8" t="inlineStr">
        <is>
          <t>║                                                            ║</t>
        </is>
      </c>
    </row>
    <row r="17">
      <c r="A17" s="9" t="n">
        <v>14</v>
      </c>
      <c r="B17" s="10" t="inlineStr">
        <is>
          <t>║  用法:                                                     ║</t>
        </is>
      </c>
    </row>
    <row r="18">
      <c r="A18" s="7" t="n">
        <v>15</v>
      </c>
      <c r="B18" s="8" t="inlineStr">
        <is>
          <t>║    from utils.knowledge_bridge import *            ║</t>
        </is>
      </c>
    </row>
    <row r="19">
      <c r="A19" s="9" t="n">
        <v>16</v>
      </c>
      <c r="B19" s="10" t="inlineStr">
        <is>
          <t>║    kb = KnowledgeBridge()                                  ║</t>
        </is>
      </c>
    </row>
    <row r="20">
      <c r="A20" s="7" t="n">
        <v>17</v>
      </c>
      <c r="B20" s="8" t="inlineStr">
        <is>
          <t>║    matched = kb.match_copy_to_clips(copy, materials)       ║</t>
        </is>
      </c>
    </row>
    <row r="21">
      <c r="A21" s="9" t="n">
        <v>18</v>
      </c>
      <c r="B21" s="10" t="inlineStr">
        <is>
          <t>╚══════════════════════════════════════════════════════════════╝</t>
        </is>
      </c>
    </row>
    <row r="22">
      <c r="A22" s="7" t="n">
        <v>19</v>
      </c>
      <c r="B22" s="8" t="inlineStr">
        <is>
          <t>"""</t>
        </is>
      </c>
    </row>
    <row r="23">
      <c r="A23" s="9" t="n">
        <v>20</v>
      </c>
      <c r="B23" s="10" t="inlineStr">
        <is>
          <t>import re</t>
        </is>
      </c>
    </row>
    <row r="24">
      <c r="A24" s="7" t="n">
        <v>21</v>
      </c>
      <c r="B24" s="8" t="inlineStr">
        <is>
          <t>import json</t>
        </is>
      </c>
    </row>
    <row r="25">
      <c r="A25" s="9" t="n">
        <v>22</v>
      </c>
      <c r="B25" s="10" t="inlineStr">
        <is>
          <t>from pathlib import Path</t>
        </is>
      </c>
    </row>
    <row r="26">
      <c r="A26" s="7" t="n">
        <v>23</v>
      </c>
      <c r="B26" s="8" t="inlineStr">
        <is>
          <t>from typing import List, Dict, Set, Optional, Tuple</t>
        </is>
      </c>
    </row>
    <row r="27">
      <c r="A27" s="9" t="n">
        <v>24</v>
      </c>
      <c r="B27" s="10" t="inlineStr">
        <is>
          <t>from collections import defaultdict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31">
      <c r="A31" s="9" t="n">
        <v>28</v>
      </c>
      <c r="B31" s="10" t="inlineStr">
        <is>
          <t># 岛台行业专业知识库（嵌入代码，无需外部依赖）</t>
        </is>
      </c>
    </row>
    <row r="32">
      <c r="A32" s="7" t="n">
        <v>29</v>
      </c>
      <c r="B3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# ── 石材库 ──</t>
        </is>
      </c>
    </row>
    <row r="35">
      <c r="A35" s="9" t="n">
        <v>32</v>
      </c>
      <c r="B35" s="10" t="inlineStr">
        <is>
          <t>STONE_LIBRARY = {</t>
        </is>
      </c>
    </row>
    <row r="36">
      <c r="A36" s="7" t="n">
        <v>33</v>
      </c>
      <c r="B36" s="8" t="inlineStr">
        <is>
          <t xml:space="preserve">    "岩板": {</t>
        </is>
      </c>
    </row>
    <row r="37">
      <c r="A37" s="9" t="n">
        <v>34</v>
      </c>
      <c r="B37" s="10" t="inlineStr">
        <is>
          <t xml:space="preserve">        "brands": ["拉米娜", "德赛斯", "依诺", "东鹏", "冠珠", "诺贝尔"],</t>
        </is>
      </c>
    </row>
    <row r="38">
      <c r="A38" s="7" t="n">
        <v>35</v>
      </c>
      <c r="B38" s="8" t="inlineStr">
        <is>
          <t xml:space="preserve">        "series": ["潘多拉", "宝格丽", "鱼肚白", "寒江雪", "雪花白", "爵士白",</t>
        </is>
      </c>
    </row>
    <row r="39">
      <c r="A39" s="9" t="n">
        <v>36</v>
      </c>
      <c r="B39" s="10" t="inlineStr">
        <is>
          <t xml:space="preserve">                   "威尼斯棕", "爱马仕灰", "伯爵灰", "普拉达绿", "香奈儿白",</t>
        </is>
      </c>
    </row>
    <row r="40">
      <c r="A40" s="7" t="n">
        <v>37</v>
      </c>
      <c r="B40" s="8" t="inlineStr">
        <is>
          <t xml:space="preserve">                   "罗马洞石", "米黄洞石", "卡尔德拉", "艾米利亚棕"],</t>
        </is>
      </c>
    </row>
    <row r="41">
      <c r="A41" s="9" t="n">
        <v>38</v>
      </c>
      <c r="B41" s="10" t="inlineStr">
        <is>
          <t xml:space="preserve">        "finishes": ["哑光", "亮光", "柔光", "肌理面", "酸洗面"],</t>
        </is>
      </c>
    </row>
    <row r="42">
      <c r="A42" s="7" t="n">
        <v>39</v>
      </c>
      <c r="B42" s="8" t="inlineStr">
        <is>
          <t xml:space="preserve">        "thicknesses": ["3mm", "6mm", "12mm", "15mm", "20mm"],</t>
        </is>
      </c>
    </row>
    <row r="43">
      <c r="A43" s="9" t="n">
        <v>40</v>
      </c>
      <c r="B43" s="10" t="inlineStr">
        <is>
          <t xml:space="preserve">        "properties": ["耐高温", "防刮耐磨", "零渗透", "食品级", "UV耐候"],</t>
        </is>
      </c>
    </row>
    <row r="44">
      <c r="A44" s="7" t="n">
        <v>41</v>
      </c>
      <c r="B44" s="8" t="inlineStr">
        <is>
          <t xml:space="preserve">        "keywords": ["通体岩板", "连纹岩板", "对纹", "无缝拼接", "薄板"],</t>
        </is>
      </c>
    </row>
    <row r="45">
      <c r="A45" s="9" t="n">
        <v>42</v>
      </c>
      <c r="B45" s="10" t="inlineStr">
        <is>
          <t xml:space="preserve">    },</t>
        </is>
      </c>
    </row>
    <row r="46">
      <c r="A46" s="7" t="n">
        <v>43</v>
      </c>
      <c r="B46" s="8" t="inlineStr">
        <is>
          <t xml:space="preserve">    "石英石": {</t>
        </is>
      </c>
    </row>
    <row r="47">
      <c r="A47" s="9" t="n">
        <v>44</v>
      </c>
      <c r="B47" s="10" t="inlineStr">
        <is>
          <t xml:space="preserve">        "brands": ["赛凯隆", "中迅", "万峰", "必图"],</t>
        </is>
      </c>
    </row>
    <row r="48">
      <c r="A48" s="7" t="n">
        <v>45</v>
      </c>
      <c r="B48" s="8" t="inlineStr">
        <is>
          <t xml:space="preserve">        "series": ["卡拉拉白", "雪花白", "爵士白"],</t>
        </is>
      </c>
    </row>
    <row r="49">
      <c r="A49" s="9" t="n">
        <v>46</v>
      </c>
      <c r="B49" s="10" t="inlineStr">
        <is>
          <t xml:space="preserve">        "keywords": ["石英石台面", "人造石", "树脂台面"],</t>
        </is>
      </c>
    </row>
    <row r="50">
      <c r="A50" s="7" t="n">
        <v>47</v>
      </c>
      <c r="B50" s="8" t="inlineStr">
        <is>
          <t xml:space="preserve">    },</t>
        </is>
      </c>
    </row>
    <row r="51">
      <c r="A51" s="9" t="n">
        <v>48</v>
      </c>
      <c r="B51" s="10" t="inlineStr">
        <is>
          <t xml:space="preserve">    "洞石": {</t>
        </is>
      </c>
    </row>
    <row r="52">
      <c r="A52" s="7" t="n">
        <v>49</v>
      </c>
      <c r="B52" s="8" t="inlineStr">
        <is>
          <t xml:space="preserve">        "variants": ["罗马洞石", "米黄洞石", "超白洞石", "银白洞石"],</t>
        </is>
      </c>
    </row>
    <row r="53">
      <c r="A53" s="9" t="n">
        <v>50</v>
      </c>
      <c r="B53" s="10" t="inlineStr">
        <is>
          <t xml:space="preserve">        "keywords": ["洞石台面", "洞石岛台", "天然洞石"],</t>
        </is>
      </c>
    </row>
    <row r="54">
      <c r="A54" s="7" t="n">
        <v>51</v>
      </c>
      <c r="B54" s="8" t="inlineStr">
        <is>
          <t xml:space="preserve">    },</t>
        </is>
      </c>
    </row>
    <row r="55">
      <c r="A55" s="9" t="n">
        <v>52</v>
      </c>
      <c r="B55" s="10" t="inlineStr">
        <is>
          <t xml:space="preserve">    "微水泥": {</t>
        </is>
      </c>
    </row>
    <row r="56">
      <c r="A56" s="7" t="n">
        <v>53</v>
      </c>
      <c r="B56" s="8" t="inlineStr">
        <is>
          <t xml:space="preserve">        "keywords": ["微水泥台面", "微水泥岛台", "微水泥奶油白"],</t>
        </is>
      </c>
    </row>
    <row r="57">
      <c r="A57" s="9" t="n">
        <v>54</v>
      </c>
      <c r="B57" s="10" t="inlineStr">
        <is>
          <t xml:space="preserve">    },</t>
        </is>
      </c>
    </row>
    <row r="58">
      <c r="A58" s="7" t="n">
        <v>55</v>
      </c>
      <c r="B58" s="8" t="inlineStr">
        <is>
          <t xml:space="preserve">    "实木": {</t>
        </is>
      </c>
    </row>
    <row r="59">
      <c r="A59" s="9" t="n">
        <v>56</v>
      </c>
      <c r="B59" s="10" t="inlineStr">
        <is>
          <t xml:space="preserve">        "variants": ["南美柚木", "北美黑胡桃", "兰亭香樟", "橡木", "樱桃木"],</t>
        </is>
      </c>
    </row>
    <row r="60">
      <c r="A60" s="7" t="n">
        <v>57</v>
      </c>
      <c r="B60" s="8" t="inlineStr">
        <is>
          <t xml:space="preserve">        "keywords": ["实木台面", "原木岛台", "实木拼接"],</t>
        </is>
      </c>
    </row>
    <row r="61">
      <c r="A61" s="9" t="n">
        <v>58</v>
      </c>
      <c r="B61" s="10" t="inlineStr">
        <is>
          <t xml:space="preserve">    },</t>
        </is>
      </c>
    </row>
    <row r="62">
      <c r="A62" s="7" t="n">
        <v>59</v>
      </c>
      <c r="B62" s="8" t="inlineStr">
        <is>
          <t xml:space="preserve">    "不锈钢": {</t>
        </is>
      </c>
    </row>
    <row r="63">
      <c r="A63" s="9" t="n">
        <v>60</v>
      </c>
      <c r="B63" s="10" t="inlineStr">
        <is>
          <t xml:space="preserve">        "keywords": ["不锈钢台面", "拉丝不锈钢", "304不锈钢"],</t>
        </is>
      </c>
    </row>
    <row r="64">
      <c r="A64" s="7" t="n">
        <v>61</v>
      </c>
      <c r="B64" s="8" t="inlineStr">
        <is>
          <t xml:space="preserve">    },</t>
        </is>
      </c>
    </row>
    <row r="65">
      <c r="A65" s="9" t="n">
        <v>62</v>
      </c>
      <c r="B65" s="10" t="inlineStr">
        <is>
          <t>}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># ── 工艺库 ──</t>
        </is>
      </c>
    </row>
    <row r="68">
      <c r="A68" s="7" t="n">
        <v>65</v>
      </c>
      <c r="B68" s="8" t="inlineStr">
        <is>
          <t>CRAFT_LIBRARY = {</t>
        </is>
      </c>
    </row>
    <row r="69">
      <c r="A69" s="9" t="n">
        <v>66</v>
      </c>
      <c r="B69" s="10" t="inlineStr">
        <is>
          <t xml:space="preserve">    "边角处理": {</t>
        </is>
      </c>
    </row>
    <row r="70">
      <c r="A70" s="7" t="n">
        <v>67</v>
      </c>
      <c r="B70" s="8" t="inlineStr">
        <is>
          <t xml:space="preserve">        "海棠角": {"工艺": "45°倒角拼接", "效果": "阳角线条利落"},</t>
        </is>
      </c>
    </row>
    <row r="71">
      <c r="A71" s="9" t="n">
        <v>68</v>
      </c>
      <c r="B71" s="10" t="inlineStr">
        <is>
          <t xml:space="preserve">        "水磨边": {"工艺": "水磨圆角R3-R5", "效果": "圆润防磕碰"},</t>
        </is>
      </c>
    </row>
    <row r="72">
      <c r="A72" s="7" t="n">
        <v>69</v>
      </c>
      <c r="B72" s="8" t="inlineStr">
        <is>
          <t xml:space="preserve">        "圆弧倒角": {"工艺": "CNC数控圆弧", "效果": "流畅曲线"},</t>
        </is>
      </c>
    </row>
    <row r="73">
      <c r="A73" s="9" t="n">
        <v>70</v>
      </c>
      <c r="B73" s="10" t="inlineStr">
        <is>
          <t xml:space="preserve">        "折边": {"工艺": "岩板45°折弯", "效果": "一体成型无拼缝"},</t>
        </is>
      </c>
    </row>
    <row r="74">
      <c r="A74" s="7" t="n">
        <v>71</v>
      </c>
      <c r="B74" s="8" t="inlineStr">
        <is>
          <t xml:space="preserve">    },</t>
        </is>
      </c>
    </row>
    <row r="75">
      <c r="A75" s="9" t="n">
        <v>72</v>
      </c>
      <c r="B75" s="10" t="inlineStr">
        <is>
          <t xml:space="preserve">    "拼接工艺": {</t>
        </is>
      </c>
    </row>
    <row r="76">
      <c r="A76" s="7" t="n">
        <v>73</v>
      </c>
      <c r="B76" s="8" t="inlineStr">
        <is>
          <t xml:space="preserve">        "连纹对纹": {"工艺": "纹理连续拼接", "效果": "天然石材纹理贯通"},</t>
        </is>
      </c>
    </row>
    <row r="77">
      <c r="A77" s="9" t="n">
        <v>74</v>
      </c>
      <c r="B77" s="10" t="inlineStr">
        <is>
          <t xml:space="preserve">        "无缝拼接": {"工艺": "树脂填缝+打磨", "效果": "视觉无缝"},</t>
        </is>
      </c>
    </row>
    <row r="78">
      <c r="A78" s="7" t="n">
        <v>75</v>
      </c>
      <c r="B78" s="8" t="inlineStr">
        <is>
          <t xml:space="preserve">        "海棠角拼接": {"工艺": "45°拼角", "效果": "直角阳角"},</t>
        </is>
      </c>
    </row>
    <row r="79">
      <c r="A79" s="9" t="n">
        <v>76</v>
      </c>
      <c r="B79" s="10" t="inlineStr">
        <is>
          <t xml:space="preserve">    },</t>
        </is>
      </c>
    </row>
    <row r="80">
      <c r="A80" s="7" t="n">
        <v>77</v>
      </c>
      <c r="B80" s="8" t="inlineStr">
        <is>
          <t xml:space="preserve">    "结构设计": {</t>
        </is>
      </c>
    </row>
    <row r="81">
      <c r="A81" s="9" t="n">
        <v>78</v>
      </c>
      <c r="B81" s="10" t="inlineStr">
        <is>
          <t xml:space="preserve">        "悬浮式": {"工艺": "钢结构隐藏支撑", "效果": "视觉轻盈漂浮"},</t>
        </is>
      </c>
    </row>
    <row r="82">
      <c r="A82" s="7" t="n">
        <v>79</v>
      </c>
      <c r="B82" s="8" t="inlineStr">
        <is>
          <t xml:space="preserve">        "嵌入式": {"工艺": "精准开孔预埋", "效果": "家电齐平台面"},</t>
        </is>
      </c>
    </row>
    <row r="83">
      <c r="A83" s="9" t="n">
        <v>80</v>
      </c>
      <c r="B83" s="10" t="inlineStr">
        <is>
          <t xml:space="preserve">        "一体式": {"工艺": "整体钢架焊接", "效果": "结构稳固不变形"},</t>
        </is>
      </c>
    </row>
    <row r="84">
      <c r="A84" s="7" t="n">
        <v>81</v>
      </c>
      <c r="B84" s="8" t="inlineStr">
        <is>
          <t xml:space="preserve">    },</t>
        </is>
      </c>
    </row>
    <row r="85">
      <c r="A85" s="9" t="n">
        <v>82</v>
      </c>
      <c r="B85" s="10" t="inlineStr">
        <is>
          <t xml:space="preserve">    "防护处理": {</t>
        </is>
      </c>
    </row>
    <row r="86">
      <c r="A86" s="7" t="n">
        <v>83</v>
      </c>
      <c r="B86" s="8" t="inlineStr">
        <is>
          <t xml:space="preserve">        "防潮": {"工艺": "六面封边密封", "效果": "潮湿环境不变形"},</t>
        </is>
      </c>
    </row>
    <row r="87">
      <c r="A87" s="9" t="n">
        <v>84</v>
      </c>
      <c r="B87" s="10" t="inlineStr">
        <is>
          <t xml:space="preserve">        "防污": {"工艺": "纳米涂层", "效果": "油污水渍不渗透"},</t>
        </is>
      </c>
    </row>
    <row r="88">
      <c r="A88" s="7" t="n">
        <v>85</v>
      </c>
      <c r="B88" s="8" t="inlineStr">
        <is>
          <t xml:space="preserve">        "耐高温": {"工艺": "岩板烧结工艺", "效果": "高温不炸裂"},</t>
        </is>
      </c>
    </row>
    <row r="89">
      <c r="A89" s="9" t="n">
        <v>86</v>
      </c>
      <c r="B89" s="10" t="inlineStr">
        <is>
          <t xml:space="preserve">    },</t>
        </is>
      </c>
    </row>
    <row r="90">
      <c r="A90" s="7" t="n">
        <v>87</v>
      </c>
      <c r="B90" s="8" t="inlineStr">
        <is>
          <t>}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># ── 五金库 ──</t>
        </is>
      </c>
    </row>
    <row r="93">
      <c r="A93" s="9" t="n">
        <v>90</v>
      </c>
      <c r="B93" s="10" t="inlineStr">
        <is>
          <t>HARDWARE_LIBRARY = {</t>
        </is>
      </c>
    </row>
    <row r="94">
      <c r="A94" s="7" t="n">
        <v>91</v>
      </c>
      <c r="B94" s="8" t="inlineStr">
        <is>
          <t xml:space="preserve">    "电力系统": {</t>
        </is>
      </c>
    </row>
    <row r="95">
      <c r="A95" s="9" t="n">
        <v>92</v>
      </c>
      <c r="B95" s="10" t="inlineStr">
        <is>
          <t xml:space="preserve">        "公牛轨道插座": {"类型": "移动轨道式", "功率": "8000W", "特点": "随意移动"},</t>
        </is>
      </c>
    </row>
    <row r="96">
      <c r="A96" s="7" t="n">
        <v>93</v>
      </c>
      <c r="B96" s="8" t="inlineStr">
        <is>
          <t xml:space="preserve">        "隐藏式插座": {"类型": "台面弹起式", "特点": "不用时隐藏"},</t>
        </is>
      </c>
    </row>
    <row r="97">
      <c r="A97" s="9" t="n">
        <v>94</v>
      </c>
      <c r="B97" s="10" t="inlineStr">
        <is>
          <t xml:space="preserve">        "弹出式插座": {"类型": "按压弹起", "特点": "旋转180°"},</t>
        </is>
      </c>
    </row>
    <row r="98">
      <c r="A98" s="7" t="n">
        <v>95</v>
      </c>
      <c r="B98" s="8" t="inlineStr">
        <is>
          <t xml:space="preserve">    },</t>
        </is>
      </c>
    </row>
    <row r="99">
      <c r="A99" s="9" t="n">
        <v>96</v>
      </c>
      <c r="B99" s="10" t="inlineStr">
        <is>
          <t xml:space="preserve">    "滑轨系统": {</t>
        </is>
      </c>
    </row>
    <row r="100">
      <c r="A100" s="7" t="n">
        <v>97</v>
      </c>
      <c r="B100" s="8" t="inlineStr">
        <is>
          <t xml:space="preserve">        "薄抽滑轨": {"类型": "阻尼全拉出", "承重": "45kg"},</t>
        </is>
      </c>
    </row>
    <row r="101">
      <c r="A101" s="9" t="n">
        <v>98</v>
      </c>
      <c r="B101" s="10" t="inlineStr">
        <is>
          <t xml:space="preserve">        "全推拉抽屉": {"类型": "全推拉+阻尼", "承重": "60kg"},</t>
        </is>
      </c>
    </row>
    <row r="102">
      <c r="A102" s="7" t="n">
        <v>99</v>
      </c>
      <c r="B102" s="8" t="inlineStr">
        <is>
          <t xml:space="preserve">        "底层抽": {"类型": "重型阻尼轨", "承重": "80kg"},</t>
        </is>
      </c>
    </row>
    <row r="103">
      <c r="A103" s="9" t="n">
        <v>100</v>
      </c>
      <c r="B103" s="10" t="inlineStr">
        <is>
          <t xml:space="preserve">    },</t>
        </is>
      </c>
    </row>
    <row r="104">
      <c r="A104" s="7" t="n">
        <v>101</v>
      </c>
      <c r="B104" s="8" t="inlineStr">
        <is>
          <t xml:space="preserve">    "铰链系统": {</t>
        </is>
      </c>
    </row>
    <row r="105">
      <c r="A105" s="9" t="n">
        <v>102</v>
      </c>
      <c r="B105" s="10" t="inlineStr">
        <is>
          <t xml:space="preserve">        "软关门铰链": {"类型": "液压阻尼", "特点": "无声闭合"},</t>
        </is>
      </c>
    </row>
    <row r="106">
      <c r="A106" s="7" t="n">
        <v>103</v>
      </c>
      <c r="B106" s="8" t="inlineStr">
        <is>
          <t xml:space="preserve">        "天地铰": {"类型": "天地轴", "特点": "高柜适用"},</t>
        </is>
      </c>
    </row>
    <row r="107">
      <c r="A107" s="9" t="n">
        <v>104</v>
      </c>
      <c r="B107" s="10" t="inlineStr">
        <is>
          <t xml:space="preserve">    },</t>
        </is>
      </c>
    </row>
    <row r="108">
      <c r="A108" s="7" t="n">
        <v>105</v>
      </c>
      <c r="B108" s="8" t="inlineStr">
        <is>
          <t xml:space="preserve">    "灯光系统": {</t>
        </is>
      </c>
    </row>
    <row r="109">
      <c r="A109" s="9" t="n">
        <v>106</v>
      </c>
      <c r="B109" s="10" t="inlineStr">
        <is>
          <t xml:space="preserve">        "感应灯带": {"类型": "人体感应+手扫", "色温": "3000K/4000K"},</t>
        </is>
      </c>
    </row>
    <row r="110">
      <c r="A110" s="7" t="n">
        <v>107</v>
      </c>
      <c r="B110" s="8" t="inlineStr">
        <is>
          <t xml:space="preserve">        "氛围灯带": {"类型": "柜底/柜内LED", "色温": "2700K暖光"},</t>
        </is>
      </c>
    </row>
    <row r="111">
      <c r="A111" s="9" t="n">
        <v>108</v>
      </c>
      <c r="B111" s="10" t="inlineStr">
        <is>
          <t xml:space="preserve">    },</t>
        </is>
      </c>
    </row>
    <row r="112">
      <c r="A112" s="7" t="n">
        <v>109</v>
      </c>
      <c r="B112" s="8" t="inlineStr">
        <is>
          <t xml:space="preserve">    "特殊功能": {</t>
        </is>
      </c>
    </row>
    <row r="113">
      <c r="A113" s="9" t="n">
        <v>110</v>
      </c>
      <c r="B113" s="10" t="inlineStr">
        <is>
          <t xml:space="preserve">        "升降台面": {"类型": "电动/液压", "行程": "200-400mm"},</t>
        </is>
      </c>
    </row>
    <row r="114">
      <c r="A114" s="7" t="n">
        <v>111</v>
      </c>
      <c r="B114" s="8" t="inlineStr">
        <is>
          <t xml:space="preserve">        "旋转拉篮": {"类型": "270°旋转", "特点": "角落利用"},</t>
        </is>
      </c>
    </row>
    <row r="115">
      <c r="A115" s="9" t="n">
        <v>112</v>
      </c>
      <c r="B115" s="10" t="inlineStr">
        <is>
          <t xml:space="preserve">    },</t>
        </is>
      </c>
    </row>
    <row r="116">
      <c r="A116" s="7" t="n">
        <v>113</v>
      </c>
      <c r="B116" s="8" t="inlineStr">
        <is>
          <t>}</t>
        </is>
      </c>
    </row>
    <row r="117">
      <c r="A117" s="9" t="n">
        <v>114</v>
      </c>
      <c r="B117" s="10" t="inlineStr"/>
    </row>
    <row r="118">
      <c r="A118" s="7" t="n">
        <v>115</v>
      </c>
      <c r="B118" s="8" t="inlineStr">
        <is>
          <t># ── 风格库 ──</t>
        </is>
      </c>
    </row>
    <row r="119">
      <c r="A119" s="9" t="n">
        <v>116</v>
      </c>
      <c r="B119" s="10" t="inlineStr">
        <is>
          <t>STYLE_LIBRARY = {</t>
        </is>
      </c>
    </row>
    <row r="120">
      <c r="A120" s="7" t="n">
        <v>117</v>
      </c>
      <c r="B120" s="8" t="inlineStr">
        <is>
          <t xml:space="preserve">    "意式中古风": {</t>
        </is>
      </c>
    </row>
    <row r="121">
      <c r="A121" s="9" t="n">
        <v>118</v>
      </c>
      <c r="B121" s="10" t="inlineStr">
        <is>
          <t xml:space="preserve">        "colors": ["柚木色", "深棕", "黑胡桃", "奶油白"],</t>
        </is>
      </c>
    </row>
    <row r="122">
      <c r="A122" s="7" t="n">
        <v>119</v>
      </c>
      <c r="B122" s="8" t="inlineStr">
        <is>
          <t xml:space="preserve">        "materials": ["南美柚木", "北美黑胡桃", "哑光岩板", "微水泥"],</t>
        </is>
      </c>
    </row>
    <row r="123">
      <c r="A123" s="9" t="n">
        <v>120</v>
      </c>
      <c r="B123" s="10" t="inlineStr">
        <is>
          <t xml:space="preserve">        "features": ["藤编元素", "复古拉手", "开放格", "圆弧倒角"],</t>
        </is>
      </c>
    </row>
    <row r="124">
      <c r="A124" s="7" t="n">
        <v>121</v>
      </c>
      <c r="B124" s="8" t="inlineStr">
        <is>
          <t xml:space="preserve">        "mood": "温润复古,沉稳大气",</t>
        </is>
      </c>
    </row>
    <row r="125">
      <c r="A125" s="9" t="n">
        <v>122</v>
      </c>
      <c r="B125" s="10" t="inlineStr">
        <is>
          <t xml:space="preserve">    },</t>
        </is>
      </c>
    </row>
    <row r="126">
      <c r="A126" s="7" t="n">
        <v>123</v>
      </c>
      <c r="B126" s="8" t="inlineStr">
        <is>
          <t xml:space="preserve">    "法式奶油风": {</t>
        </is>
      </c>
    </row>
    <row r="127">
      <c r="A127" s="9" t="n">
        <v>124</v>
      </c>
      <c r="B127" s="10" t="inlineStr">
        <is>
          <t xml:space="preserve">        "colors": ["奶白", "奶油白", "浅米色", "暖白"],</t>
        </is>
      </c>
    </row>
    <row r="128">
      <c r="A128" s="7" t="n">
        <v>125</v>
      </c>
      <c r="B128" s="8" t="inlineStr">
        <is>
          <t xml:space="preserve">        "materials": ["哑光白岩板", "实木", "微水泥"],</t>
        </is>
      </c>
    </row>
    <row r="129">
      <c r="A129" s="9" t="n">
        <v>126</v>
      </c>
      <c r="B129" s="10" t="inlineStr">
        <is>
          <t xml:space="preserve">        "features": ["圆弧倒角", "线条装饰", "开放格", "海棠角"],</t>
        </is>
      </c>
    </row>
    <row r="130">
      <c r="A130" s="7" t="n">
        <v>127</v>
      </c>
      <c r="B130" s="8" t="inlineStr">
        <is>
          <t xml:space="preserve">        "mood": "温柔浪漫,精致优雅",</t>
        </is>
      </c>
    </row>
    <row r="131">
      <c r="A131" s="9" t="n">
        <v>128</v>
      </c>
      <c r="B131" s="10" t="inlineStr">
        <is>
          <t xml:space="preserve">    },</t>
        </is>
      </c>
    </row>
    <row r="132">
      <c r="A132" s="7" t="n">
        <v>129</v>
      </c>
      <c r="B132" s="8" t="inlineStr">
        <is>
          <t xml:space="preserve">    "侘寂风": {</t>
        </is>
      </c>
    </row>
    <row r="133">
      <c r="A133" s="9" t="n">
        <v>130</v>
      </c>
      <c r="B133" s="10" t="inlineStr">
        <is>
          <t xml:space="preserve">        "colors": ["米色", "浅灰", "大地色", "原木色"],</t>
        </is>
      </c>
    </row>
    <row r="134">
      <c r="A134" s="7" t="n">
        <v>131</v>
      </c>
      <c r="B134" s="8" t="inlineStr">
        <is>
          <t xml:space="preserve">        "materials": ["微水泥", "洞石", "原木", "亚光岩板"],</t>
        </is>
      </c>
    </row>
    <row r="135">
      <c r="A135" s="9" t="n">
        <v>132</v>
      </c>
      <c r="B135" s="10" t="inlineStr">
        <is>
          <t xml:space="preserve">        "features": ["粗糙肌理", "自然边缘", "不对称设计"],</t>
        </is>
      </c>
    </row>
    <row r="136">
      <c r="A136" s="7" t="n">
        <v>133</v>
      </c>
      <c r="B136" s="8" t="inlineStr">
        <is>
          <t xml:space="preserve">        "mood": "质朴自然,禅意宁静",</t>
        </is>
      </c>
    </row>
    <row r="137">
      <c r="A137" s="9" t="n">
        <v>134</v>
      </c>
      <c r="B137" s="10" t="inlineStr">
        <is>
          <t xml:space="preserve">    },</t>
        </is>
      </c>
    </row>
    <row r="138">
      <c r="A138" s="7" t="n">
        <v>135</v>
      </c>
      <c r="B138" s="8" t="inlineStr">
        <is>
          <t xml:space="preserve">    "极简风": {</t>
        </is>
      </c>
    </row>
    <row r="139">
      <c r="A139" s="9" t="n">
        <v>136</v>
      </c>
      <c r="B139" s="10" t="inlineStr">
        <is>
          <t xml:space="preserve">        "colors": ["纯白", "纯黑", "深灰", "浅灰"],</t>
        </is>
      </c>
    </row>
    <row r="140">
      <c r="A140" s="7" t="n">
        <v>137</v>
      </c>
      <c r="B140" s="8" t="inlineStr">
        <is>
          <t xml:space="preserve">        "materials": ["哑光岩板", "不锈钢", "玻璃"],</t>
        </is>
      </c>
    </row>
    <row r="141">
      <c r="A141" s="9" t="n">
        <v>138</v>
      </c>
      <c r="B141" s="10" t="inlineStr">
        <is>
          <t xml:space="preserve">        "features": ["无拉手", "隐藏式", "直线条", "悬浮式"],</t>
        </is>
      </c>
    </row>
    <row r="142">
      <c r="A142" s="7" t="n">
        <v>139</v>
      </c>
      <c r="B142" s="8" t="inlineStr">
        <is>
          <t xml:space="preserve">        "mood": "纯粹简约,极致克制",</t>
        </is>
      </c>
    </row>
    <row r="143">
      <c r="A143" s="9" t="n">
        <v>140</v>
      </c>
      <c r="B143" s="10" t="inlineStr">
        <is>
          <t xml:space="preserve">    },</t>
        </is>
      </c>
    </row>
    <row r="144">
      <c r="A144" s="7" t="n">
        <v>141</v>
      </c>
      <c r="B144" s="8" t="inlineStr">
        <is>
          <t xml:space="preserve">    "轻奢风": {</t>
        </is>
      </c>
    </row>
    <row r="145">
      <c r="A145" s="9" t="n">
        <v>142</v>
      </c>
      <c r="B145" s="10" t="inlineStr">
        <is>
          <t xml:space="preserve">        "colors": ["香奈儿白", "宝格丽黑", "金色", "深棕"],</t>
        </is>
      </c>
    </row>
    <row r="146">
      <c r="A146" s="7" t="n">
        <v>143</v>
      </c>
      <c r="B146" s="8" t="inlineStr">
        <is>
          <t xml:space="preserve">        "materials": ["亮光岩板", "潘多拉", "不锈钢", "玻璃"],</t>
        </is>
      </c>
    </row>
    <row r="147">
      <c r="A147" s="9" t="n">
        <v>144</v>
      </c>
      <c r="B147" s="10" t="inlineStr">
        <is>
          <t xml:space="preserve">        "features": ["金属线条", "玻璃门", "灯光装饰"],</t>
        </is>
      </c>
    </row>
    <row r="148">
      <c r="A148" s="7" t="n">
        <v>145</v>
      </c>
      <c r="B148" s="8" t="inlineStr">
        <is>
          <t xml:space="preserve">        "mood": "低调奢华,精致质感",</t>
        </is>
      </c>
    </row>
    <row r="149">
      <c r="A149" s="9" t="n">
        <v>146</v>
      </c>
      <c r="B149" s="10" t="inlineStr">
        <is>
          <t xml:space="preserve">    },</t>
        </is>
      </c>
    </row>
    <row r="150">
      <c r="A150" s="7" t="n">
        <v>147</v>
      </c>
      <c r="B150" s="8" t="inlineStr">
        <is>
          <t xml:space="preserve">    "原木风": {</t>
        </is>
      </c>
    </row>
    <row r="151">
      <c r="A151" s="9" t="n">
        <v>148</v>
      </c>
      <c r="B151" s="10" t="inlineStr">
        <is>
          <t xml:space="preserve">        "colors": ["原木色", "暖白", "浅棕", "米色"],</t>
        </is>
      </c>
    </row>
    <row r="152">
      <c r="A152" s="7" t="n">
        <v>149</v>
      </c>
      <c r="B152" s="8" t="inlineStr">
        <is>
          <t xml:space="preserve">        "materials": ["实木", "橡木", "柚木", "原木贴皮"],</t>
        </is>
      </c>
    </row>
    <row r="153">
      <c r="A153" s="9" t="n">
        <v>150</v>
      </c>
      <c r="B153" s="10" t="inlineStr">
        <is>
          <t xml:space="preserve">        "features": ["开放格", "实木台面", "藤编"],</t>
        </is>
      </c>
    </row>
    <row r="154">
      <c r="A154" s="7" t="n">
        <v>151</v>
      </c>
      <c r="B154" s="8" t="inlineStr">
        <is>
          <t xml:space="preserve">        "mood": "自然温馨,日式简约",</t>
        </is>
      </c>
    </row>
    <row r="155">
      <c r="A155" s="9" t="n">
        <v>152</v>
      </c>
      <c r="B155" s="10" t="inlineStr">
        <is>
          <t xml:space="preserve">    },</t>
        </is>
      </c>
    </row>
    <row r="156">
      <c r="A156" s="7" t="n">
        <v>153</v>
      </c>
      <c r="B156" s="8" t="inlineStr">
        <is>
          <t xml:space="preserve">    "新中式": {</t>
        </is>
      </c>
    </row>
    <row r="157">
      <c r="A157" s="9" t="n">
        <v>154</v>
      </c>
      <c r="B157" s="10" t="inlineStr">
        <is>
          <t xml:space="preserve">        "colors": ["胡桃木色", "深棕", "黑色", "米白"],</t>
        </is>
      </c>
    </row>
    <row r="158">
      <c r="A158" s="7" t="n">
        <v>155</v>
      </c>
      <c r="B158" s="8" t="inlineStr">
        <is>
          <t xml:space="preserve">        "materials": ["黑胡桃", "岩板", "实木"],</t>
        </is>
      </c>
    </row>
    <row r="159">
      <c r="A159" s="9" t="n">
        <v>156</v>
      </c>
      <c r="B159" s="10" t="inlineStr">
        <is>
          <t xml:space="preserve">        "features": ["线条装饰", "对称设计", "镂空腰线"],</t>
        </is>
      </c>
    </row>
    <row r="160">
      <c r="A160" s="7" t="n">
        <v>157</v>
      </c>
      <c r="B160" s="8" t="inlineStr">
        <is>
          <t xml:space="preserve">        "mood": "东方韵味,沉稳大气",</t>
        </is>
      </c>
    </row>
    <row r="161">
      <c r="A161" s="9" t="n">
        <v>158</v>
      </c>
      <c r="B161" s="10" t="inlineStr">
        <is>
          <t xml:space="preserve">    },</t>
        </is>
      </c>
    </row>
    <row r="162">
      <c r="A162" s="7" t="n">
        <v>159</v>
      </c>
      <c r="B162" s="8" t="inlineStr">
        <is>
          <t xml:space="preserve">    "工业风": {</t>
        </is>
      </c>
    </row>
    <row r="163">
      <c r="A163" s="9" t="n">
        <v>160</v>
      </c>
      <c r="B163" s="10" t="inlineStr">
        <is>
          <t xml:space="preserve">        "colors": ["黑色", "深灰", "铁锈色", "水泥灰"],</t>
        </is>
      </c>
    </row>
    <row r="164">
      <c r="A164" s="7" t="n">
        <v>161</v>
      </c>
      <c r="B164" s="8" t="inlineStr">
        <is>
          <t xml:space="preserve">        "materials": ["不锈钢", "微水泥", "黑岩板"],</t>
        </is>
      </c>
    </row>
    <row r="165">
      <c r="A165" s="9" t="n">
        <v>162</v>
      </c>
      <c r="B165" s="10" t="inlineStr">
        <is>
          <t xml:space="preserve">        "features": ["裸露钢结构", "金属表面", "粗犷质感"],</t>
        </is>
      </c>
    </row>
    <row r="166">
      <c r="A166" s="7" t="n">
        <v>163</v>
      </c>
      <c r="B166" s="8" t="inlineStr">
        <is>
          <t xml:space="preserve">        "mood": "硬朗粗犷,个性十足",</t>
        </is>
      </c>
    </row>
    <row r="167">
      <c r="A167" s="9" t="n">
        <v>164</v>
      </c>
      <c r="B167" s="10" t="inlineStr">
        <is>
          <t xml:space="preserve">    },</t>
        </is>
      </c>
    </row>
    <row r="168">
      <c r="A168" s="7" t="n">
        <v>165</v>
      </c>
      <c r="B168" s="8" t="inlineStr">
        <is>
          <t xml:space="preserve">    "北欧极简": {</t>
        </is>
      </c>
    </row>
    <row r="169">
      <c r="A169" s="9" t="n">
        <v>166</v>
      </c>
      <c r="B169" s="10" t="inlineStr">
        <is>
          <t xml:space="preserve">        "colors": ["白色", "浅灰", "原木色", "浅蓝"],</t>
        </is>
      </c>
    </row>
    <row r="170">
      <c r="A170" s="7" t="n">
        <v>167</v>
      </c>
      <c r="B170" s="8" t="inlineStr">
        <is>
          <t xml:space="preserve">        "materials": ["实木", "白色岩板", "橡木"],</t>
        </is>
      </c>
    </row>
    <row r="171">
      <c r="A171" s="9" t="n">
        <v>168</v>
      </c>
      <c r="B171" s="10" t="inlineStr">
        <is>
          <t xml:space="preserve">        "features": ["简单线条", "功能性", "开放设计"],</t>
        </is>
      </c>
    </row>
    <row r="172">
      <c r="A172" s="7" t="n">
        <v>169</v>
      </c>
      <c r="B172" s="8" t="inlineStr">
        <is>
          <t xml:space="preserve">        "mood": "简洁实用,自然清新",</t>
        </is>
      </c>
    </row>
    <row r="173">
      <c r="A173" s="9" t="n">
        <v>170</v>
      </c>
      <c r="B173" s="10" t="inlineStr">
        <is>
          <t xml:space="preserve">    },</t>
        </is>
      </c>
    </row>
    <row r="174">
      <c r="A174" s="7" t="n">
        <v>171</v>
      </c>
      <c r="B174" s="8" t="inlineStr">
        <is>
          <t>}</t>
        </is>
      </c>
    </row>
    <row r="175">
      <c r="A175" s="9" t="n">
        <v>172</v>
      </c>
      <c r="B175" s="10" t="inlineStr"/>
    </row>
    <row r="176">
      <c r="A176" s="7" t="n">
        <v>173</v>
      </c>
      <c r="B176" s="8" t="inlineStr">
        <is>
          <t># ── 岛台品类映射 ──</t>
        </is>
      </c>
    </row>
    <row r="177">
      <c r="A177" s="9" t="n">
        <v>174</v>
      </c>
      <c r="B177" s="10" t="inlineStr">
        <is>
          <t>ISLAND_TYPES = {</t>
        </is>
      </c>
    </row>
    <row r="178">
      <c r="A178" s="7" t="n">
        <v>175</v>
      </c>
      <c r="B178" s="8" t="inlineStr">
        <is>
          <t xml:space="preserve">    "中岛台": "厨房中央独立岛台",</t>
        </is>
      </c>
    </row>
    <row r="179">
      <c r="A179" s="9" t="n">
        <v>176</v>
      </c>
      <c r="B179" s="10" t="inlineStr">
        <is>
          <t xml:space="preserve">    "边岛台": "靠墙或L型半岛台",</t>
        </is>
      </c>
    </row>
    <row r="180">
      <c r="A180" s="7" t="n">
        <v>177</v>
      </c>
      <c r="B180" s="8" t="inlineStr">
        <is>
          <t xml:space="preserve">    "双岛台": "双岛设计(功能+社交)",</t>
        </is>
      </c>
    </row>
    <row r="181">
      <c r="A181" s="9" t="n">
        <v>178</v>
      </c>
      <c r="B181" s="10" t="inlineStr">
        <is>
          <t xml:space="preserve">    "吧台岛台": "吧台与岛台一体化",</t>
        </is>
      </c>
    </row>
    <row r="182">
      <c r="A182" s="7" t="n">
        <v>179</v>
      </c>
      <c r="B182" s="8" t="inlineStr">
        <is>
          <t xml:space="preserve">    "餐桌岛台一体": "岛台延伸为餐桌",</t>
        </is>
      </c>
    </row>
    <row r="183">
      <c r="A183" s="9" t="n">
        <v>180</v>
      </c>
      <c r="B183" s="10" t="inlineStr">
        <is>
          <t xml:space="preserve">    "悬浮岛台": "视觉悬空,钢结构隐藏支撑",</t>
        </is>
      </c>
    </row>
    <row r="184">
      <c r="A184" s="7" t="n">
        <v>181</v>
      </c>
      <c r="B184" s="8" t="inlineStr">
        <is>
          <t xml:space="preserve">    "落地岛台": "传统落地式,稳定厚重",</t>
        </is>
      </c>
    </row>
    <row r="185">
      <c r="A185" s="9" t="n">
        <v>182</v>
      </c>
      <c r="B185" s="10" t="inlineStr">
        <is>
          <t xml:space="preserve">    "连岛设计": "岛台与餐边柜/高柜相连",</t>
        </is>
      </c>
    </row>
    <row r="186">
      <c r="A186" s="7" t="n">
        <v>183</v>
      </c>
      <c r="B186" s="8" t="inlineStr">
        <is>
          <t>}</t>
        </is>
      </c>
    </row>
    <row r="187">
      <c r="A187" s="9" t="n">
        <v>184</v>
      </c>
      <c r="B187" s="10" t="inlineStr"/>
    </row>
    <row r="188">
      <c r="A188" s="7" t="n">
        <v>185</v>
      </c>
      <c r="B188" s="8" t="inlineStr"/>
    </row>
    <row r="189">
      <c r="A189" s="9" t="n">
        <v>186</v>
      </c>
      <c r="B189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90">
      <c r="A190" s="7" t="n">
        <v>187</v>
      </c>
      <c r="B190" s="8" t="inlineStr">
        <is>
          <t># 知识库桥接引擎</t>
        </is>
      </c>
    </row>
    <row r="191">
      <c r="A191" s="9" t="n">
        <v>188</v>
      </c>
      <c r="B191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92">
      <c r="A192" s="7" t="n">
        <v>189</v>
      </c>
      <c r="B192" s="8" t="inlineStr"/>
    </row>
    <row r="193">
      <c r="A193" s="9" t="n">
        <v>190</v>
      </c>
      <c r="B193" s="10" t="inlineStr">
        <is>
          <t>class KnowledgeBridge:</t>
        </is>
      </c>
    </row>
    <row r="194">
      <c r="A194" s="7" t="n">
        <v>191</v>
      </c>
      <c r="B194" s="8" t="inlineStr">
        <is>
          <t xml:space="preserve">    """</t>
        </is>
      </c>
    </row>
    <row r="195">
      <c r="A195" s="9" t="n">
        <v>192</v>
      </c>
      <c r="B195" s="10" t="inlineStr">
        <is>
          <t xml:space="preserve">    V5 知识库桥接 — 为文案-画面匹配提供行业专业规则层。</t>
        </is>
      </c>
    </row>
    <row r="196">
      <c r="A196" s="7" t="n">
        <v>193</v>
      </c>
      <c r="B196" s="8" t="inlineStr">
        <is>
          <t xml:space="preserve">    当 FAISS 语义检索不可用时,此模块提供比纯文件名匹配更准确的规则匹配。</t>
        </is>
      </c>
    </row>
    <row r="197">
      <c r="A197" s="9" t="n">
        <v>194</v>
      </c>
      <c r="B197" s="10" t="inlineStr">
        <is>
          <t xml:space="preserve">    """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>
        <is>
          <t xml:space="preserve">    def __init__(self):</t>
        </is>
      </c>
    </row>
    <row r="200">
      <c r="A200" s="7" t="n">
        <v>197</v>
      </c>
      <c r="B200" s="8" t="inlineStr">
        <is>
          <t xml:space="preserve">        self._build_search_index()</t>
        </is>
      </c>
    </row>
    <row r="201">
      <c r="A201" s="9" t="n">
        <v>198</v>
      </c>
      <c r="B201" s="10" t="inlineStr">
        <is>
          <t xml:space="preserve">        self._build_regex_patterns()  # v2.0: 预编译正则，O(n)单次扫描替代O(n*m)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def _build_search_index(self):</t>
        </is>
      </c>
    </row>
    <row r="204">
      <c r="A204" s="7" t="n">
        <v>201</v>
      </c>
      <c r="B204" s="8" t="inlineStr">
        <is>
          <t xml:space="preserve">        """构建所有知识库的扁平化搜索索引"""</t>
        </is>
      </c>
    </row>
    <row r="205">
      <c r="A205" s="9" t="n">
        <v>202</v>
      </c>
      <c r="B205" s="10" t="inlineStr">
        <is>
          <t xml:space="preserve">        self._stone_index = {}</t>
        </is>
      </c>
    </row>
    <row r="206">
      <c r="A206" s="7" t="n">
        <v>203</v>
      </c>
      <c r="B206" s="8" t="inlineStr">
        <is>
          <t xml:space="preserve">        for stone_type, data in STONE_LIBRARY.items():</t>
        </is>
      </c>
    </row>
    <row r="207">
      <c r="A207" s="9" t="n">
        <v>204</v>
      </c>
      <c r="B207" s="10" t="inlineStr">
        <is>
          <t xml:space="preserve">            self._stone_index[stone_type] = stone_type</t>
        </is>
      </c>
    </row>
    <row r="208">
      <c r="A208" s="7" t="n">
        <v>205</v>
      </c>
      <c r="B208" s="8" t="inlineStr">
        <is>
          <t xml:space="preserve">            for kw_list in [data.get("series", []), data.get("keywords", []),</t>
        </is>
      </c>
    </row>
    <row r="209">
      <c r="A209" s="9" t="n">
        <v>206</v>
      </c>
      <c r="B209" s="10" t="inlineStr">
        <is>
          <t xml:space="preserve">                           data.get("variants", []), data.get("brands", [])]:</t>
        </is>
      </c>
    </row>
    <row r="210">
      <c r="A210" s="7" t="n">
        <v>207</v>
      </c>
      <c r="B210" s="8" t="inlineStr">
        <is>
          <t xml:space="preserve">                for kw in kw_list:</t>
        </is>
      </c>
    </row>
    <row r="211">
      <c r="A211" s="9" t="n">
        <v>208</v>
      </c>
      <c r="B211" s="10" t="inlineStr">
        <is>
          <t xml:space="preserve">                    self._stone_index[kw] = stone_type</t>
        </is>
      </c>
    </row>
    <row r="212">
      <c r="A212" s="7" t="n">
        <v>209</v>
      </c>
      <c r="B212" s="8" t="inlineStr"/>
    </row>
    <row r="213">
      <c r="A213" s="9" t="n">
        <v>210</v>
      </c>
      <c r="B213" s="10" t="inlineStr">
        <is>
          <t xml:space="preserve">        self._craft_index = {}</t>
        </is>
      </c>
    </row>
    <row r="214">
      <c r="A214" s="7" t="n">
        <v>211</v>
      </c>
      <c r="B214" s="8" t="inlineStr">
        <is>
          <t xml:space="preserve">        for category, techniques in CRAFT_LIBRARY.items():</t>
        </is>
      </c>
    </row>
    <row r="215">
      <c r="A215" s="9" t="n">
        <v>212</v>
      </c>
      <c r="B215" s="10" t="inlineStr">
        <is>
          <t xml:space="preserve">            for name, info in techniques.items():</t>
        </is>
      </c>
    </row>
    <row r="216">
      <c r="A216" s="7" t="n">
        <v>213</v>
      </c>
      <c r="B216" s="8" t="inlineStr">
        <is>
          <t xml:space="preserve">                self._craft_index[name] = info.get("工艺", "")</t>
        </is>
      </c>
    </row>
    <row r="217">
      <c r="A217" s="9" t="n">
        <v>214</v>
      </c>
      <c r="B217" s="10" t="inlineStr">
        <is>
          <t xml:space="preserve">                self._craft_index[category] = category</t>
        </is>
      </c>
    </row>
    <row r="218">
      <c r="A218" s="7" t="n">
        <v>215</v>
      </c>
      <c r="B218" s="8" t="inlineStr"/>
    </row>
    <row r="219">
      <c r="A219" s="9" t="n">
        <v>216</v>
      </c>
      <c r="B219" s="10" t="inlineStr">
        <is>
          <t xml:space="preserve">        self._hardware_index = {}</t>
        </is>
      </c>
    </row>
    <row r="220">
      <c r="A220" s="7" t="n">
        <v>217</v>
      </c>
      <c r="B220" s="8" t="inlineStr">
        <is>
          <t xml:space="preserve">        for system, items in HARDWARE_LIBRARY.items():</t>
        </is>
      </c>
    </row>
    <row r="221">
      <c r="A221" s="9" t="n">
        <v>218</v>
      </c>
      <c r="B221" s="10" t="inlineStr">
        <is>
          <t xml:space="preserve">            for name, info in items.items():</t>
        </is>
      </c>
    </row>
    <row r="222">
      <c r="A222" s="7" t="n">
        <v>219</v>
      </c>
      <c r="B222" s="8" t="inlineStr">
        <is>
          <t xml:space="preserve">                self._hardware_index[name] = info.get("类型", "")</t>
        </is>
      </c>
    </row>
    <row r="223">
      <c r="A223" s="9" t="n">
        <v>220</v>
      </c>
      <c r="B223" s="10" t="inlineStr">
        <is>
          <t xml:space="preserve">                self._hardware_index[system] = system</t>
        </is>
      </c>
    </row>
    <row r="224">
      <c r="A224" s="7" t="n">
        <v>221</v>
      </c>
      <c r="B224" s="8" t="inlineStr"/>
    </row>
    <row r="225">
      <c r="A225" s="9" t="n">
        <v>222</v>
      </c>
      <c r="B225" s="10" t="inlineStr">
        <is>
          <t xml:space="preserve">        self._style_index = {}</t>
        </is>
      </c>
    </row>
    <row r="226">
      <c r="A226" s="7" t="n">
        <v>223</v>
      </c>
      <c r="B226" s="8" t="inlineStr">
        <is>
          <t xml:space="preserve">        for style, data in STYLE_LIBRARY.items():</t>
        </is>
      </c>
    </row>
    <row r="227">
      <c r="A227" s="9" t="n">
        <v>224</v>
      </c>
      <c r="B227" s="10" t="inlineStr">
        <is>
          <t xml:space="preserve">            self._style_index[style] = style</t>
        </is>
      </c>
    </row>
    <row r="228">
      <c r="A228" s="7" t="n">
        <v>225</v>
      </c>
      <c r="B228" s="8" t="inlineStr">
        <is>
          <t xml:space="preserve">            for kw in data.get("colors", []) + data.get("materials", []) + data.get("features", []):</t>
        </is>
      </c>
    </row>
    <row r="229">
      <c r="A229" s="9" t="n">
        <v>226</v>
      </c>
      <c r="B229" s="10" t="inlineStr">
        <is>
          <t xml:space="preserve">                if kw not in self._style_index:</t>
        </is>
      </c>
    </row>
    <row r="230">
      <c r="A230" s="7" t="n">
        <v>227</v>
      </c>
      <c r="B230" s="8" t="inlineStr">
        <is>
          <t xml:space="preserve">                    self._style_index[kw] = style</t>
        </is>
      </c>
    </row>
    <row r="231">
      <c r="A231" s="9" t="n">
        <v>228</v>
      </c>
      <c r="B231" s="10" t="inlineStr"/>
    </row>
    <row r="232">
      <c r="A232" s="7" t="n">
        <v>229</v>
      </c>
      <c r="B232" s="8" t="inlineStr">
        <is>
          <t xml:space="preserve">    def _build_regex_patterns(self):</t>
        </is>
      </c>
    </row>
    <row r="233">
      <c r="A233" s="9" t="n">
        <v>230</v>
      </c>
      <c r="B233" s="10" t="inlineStr">
        <is>
          <t xml:space="preserve">        """预编译正则模式 — 将所有关键词按类别编译为 | 交替模式，实现O(n)单次扫描"""</t>
        </is>
      </c>
    </row>
    <row r="234">
      <c r="A234" s="7" t="n">
        <v>231</v>
      </c>
      <c r="B234" s="8" t="inlineStr">
        <is>
          <t xml:space="preserve">        import re</t>
        </is>
      </c>
    </row>
    <row r="235">
      <c r="A235" s="9" t="n">
        <v>232</v>
      </c>
      <c r="B235" s="10" t="inlineStr">
        <is>
          <t xml:space="preserve">        # 按长度降序排列关键词（长词优先匹配，避免"岛台"匹配到"岛台餐桌一体"的一部分）</t>
        </is>
      </c>
    </row>
    <row r="236">
      <c r="A236" s="7" t="n">
        <v>233</v>
      </c>
      <c r="B236" s="8" t="inlineStr">
        <is>
          <t xml:space="preserve">        def _make_pattern(index_dict):</t>
        </is>
      </c>
    </row>
    <row r="237">
      <c r="A237" s="9" t="n">
        <v>234</v>
      </c>
      <c r="B237" s="10" t="inlineStr">
        <is>
          <t xml:space="preserve">            if not index_dict:</t>
        </is>
      </c>
    </row>
    <row r="238">
      <c r="A238" s="7" t="n">
        <v>235</v>
      </c>
      <c r="B238" s="8" t="inlineStr">
        <is>
          <t xml:space="preserve">                return None</t>
        </is>
      </c>
    </row>
    <row r="239">
      <c r="A239" s="9" t="n">
        <v>236</v>
      </c>
      <c r="B239" s="10" t="inlineStr">
        <is>
          <t xml:space="preserve">            keys = sorted(index_dict.keys(), key=len, reverse=True)</t>
        </is>
      </c>
    </row>
    <row r="240">
      <c r="A240" s="7" t="n">
        <v>237</v>
      </c>
      <c r="B240" s="8" t="inlineStr">
        <is>
          <t xml:space="preserve">            # 转义正则特殊字符</t>
        </is>
      </c>
    </row>
    <row r="241">
      <c r="A241" s="9" t="n">
        <v>238</v>
      </c>
      <c r="B241" s="10" t="inlineStr">
        <is>
          <t xml:space="preserve">            escaped = [re.escape(k) for k in keys if len(k) &gt;= 2]</t>
        </is>
      </c>
    </row>
    <row r="242">
      <c r="A242" s="7" t="n">
        <v>239</v>
      </c>
      <c r="B242" s="8" t="inlineStr">
        <is>
          <t xml:space="preserve">            if not escaped:</t>
        </is>
      </c>
    </row>
    <row r="243">
      <c r="A243" s="9" t="n">
        <v>240</v>
      </c>
      <c r="B243" s="10" t="inlineStr">
        <is>
          <t xml:space="preserve">                return None</t>
        </is>
      </c>
    </row>
    <row r="244">
      <c r="A244" s="7" t="n">
        <v>241</v>
      </c>
      <c r="B244" s="8" t="inlineStr">
        <is>
          <t xml:space="preserve">            return re.compile("|".join(escaped))</t>
        </is>
      </c>
    </row>
    <row r="245">
      <c r="A245" s="9" t="n">
        <v>242</v>
      </c>
      <c r="B245" s="10" t="inlineStr"/>
    </row>
    <row r="246">
      <c r="A246" s="7" t="n">
        <v>243</v>
      </c>
      <c r="B246" s="8" t="inlineStr">
        <is>
          <t xml:space="preserve">        self._stone_re = _make_pattern(self._stone_index)</t>
        </is>
      </c>
    </row>
    <row r="247">
      <c r="A247" s="9" t="n">
        <v>244</v>
      </c>
      <c r="B247" s="10" t="inlineStr">
        <is>
          <t xml:space="preserve">        self._craft_re = _make_pattern(self._craft_index)</t>
        </is>
      </c>
    </row>
    <row r="248">
      <c r="A248" s="7" t="n">
        <v>245</v>
      </c>
      <c r="B248" s="8" t="inlineStr">
        <is>
          <t xml:space="preserve">        self._hardware_re = _make_pattern(self._hardware_index)</t>
        </is>
      </c>
    </row>
    <row r="249">
      <c r="A249" s="9" t="n">
        <v>246</v>
      </c>
      <c r="B249" s="10" t="inlineStr">
        <is>
          <t xml:space="preserve">        self._style_re = _make_pattern(self._style_index)</t>
        </is>
      </c>
    </row>
    <row r="250">
      <c r="A250" s="7" t="n">
        <v>247</v>
      </c>
      <c r="B250" s="8" t="inlineStr">
        <is>
          <t xml:space="preserve">        # 岛台类型</t>
        </is>
      </c>
    </row>
    <row r="251">
      <c r="A251" s="9" t="n">
        <v>248</v>
      </c>
      <c r="B251" s="10" t="inlineStr">
        <is>
          <t xml:space="preserve">        island_keys = sorted(ISLAND_TYPES.keys(), key=len, reverse=True)</t>
        </is>
      </c>
    </row>
    <row r="252">
      <c r="A252" s="7" t="n">
        <v>249</v>
      </c>
      <c r="B252" s="8" t="inlineStr">
        <is>
          <t xml:space="preserve">        self._island_re = re.compile("|".join(re.escape(k) for k in island_keys)) if island_keys else None</t>
        </is>
      </c>
    </row>
    <row r="253">
      <c r="A253" s="9" t="n">
        <v>250</v>
      </c>
      <c r="B253" s="10" t="inlineStr"/>
    </row>
    <row r="254">
      <c r="A254" s="7" t="n">
        <v>251</v>
      </c>
      <c r="B254" s="8" t="inlineStr">
        <is>
          <t xml:space="preserve">    def extract_copy_keywords(self, copy_text: str) -&gt; Dict[str, Set[str]]:</t>
        </is>
      </c>
    </row>
    <row r="255">
      <c r="A255" s="9" t="n">
        <v>252</v>
      </c>
      <c r="B255" s="10" t="inlineStr">
        <is>
          <t xml:space="preserve">        """</t>
        </is>
      </c>
    </row>
    <row r="256">
      <c r="A256" s="7" t="n">
        <v>253</v>
      </c>
      <c r="B256" s="8" t="inlineStr">
        <is>
          <t xml:space="preserve">        从文案中提取结构化关键词 (v2.0 — 预编译正则 O(n) 单次扫描)。</t>
        </is>
      </c>
    </row>
    <row r="257">
      <c r="A257" s="9" t="n">
        <v>254</v>
      </c>
      <c r="B257" s="10" t="inlineStr">
        <is>
          <t xml:space="preserve">        返回: {"stones": set, "crafts": set, "hardware": set, "styles": set, "island_types": set}</t>
        </is>
      </c>
    </row>
    <row r="258">
      <c r="A258" s="7" t="n">
        <v>255</v>
      </c>
      <c r="B258" s="8" t="inlineStr">
        <is>
          <t xml:space="preserve">        """</t>
        </is>
      </c>
    </row>
    <row r="259">
      <c r="A259" s="9" t="n">
        <v>256</v>
      </c>
      <c r="B259" s="10" t="inlineStr">
        <is>
          <t xml:space="preserve">        result = {</t>
        </is>
      </c>
    </row>
    <row r="260">
      <c r="A260" s="7" t="n">
        <v>257</v>
      </c>
      <c r="B260" s="8" t="inlineStr">
        <is>
          <t xml:space="preserve">            "stones": set(),</t>
        </is>
      </c>
    </row>
    <row r="261">
      <c r="A261" s="9" t="n">
        <v>258</v>
      </c>
      <c r="B261" s="10" t="inlineStr">
        <is>
          <t xml:space="preserve">            "crafts": set(),</t>
        </is>
      </c>
    </row>
    <row r="262">
      <c r="A262" s="7" t="n">
        <v>259</v>
      </c>
      <c r="B262" s="8" t="inlineStr">
        <is>
          <t xml:space="preserve">            "hardware": set(),</t>
        </is>
      </c>
    </row>
    <row r="263">
      <c r="A263" s="9" t="n">
        <v>260</v>
      </c>
      <c r="B263" s="10" t="inlineStr">
        <is>
          <t xml:space="preserve">            "styles": set(),</t>
        </is>
      </c>
    </row>
    <row r="264">
      <c r="A264" s="7" t="n">
        <v>261</v>
      </c>
      <c r="B264" s="8" t="inlineStr">
        <is>
          <t xml:space="preserve">            "island_types": set(),</t>
        </is>
      </c>
    </row>
    <row r="265">
      <c r="A265" s="9" t="n">
        <v>262</v>
      </c>
      <c r="B265" s="10" t="inlineStr">
        <is>
          <t xml:space="preserve">        }</t>
        </is>
      </c>
    </row>
    <row r="266">
      <c r="A266" s="7" t="n">
        <v>263</v>
      </c>
      <c r="B266" s="8" t="inlineStr"/>
    </row>
    <row r="267">
      <c r="A267" s="9" t="n">
        <v>264</v>
      </c>
      <c r="B267" s="10" t="inlineStr">
        <is>
          <t xml:space="preserve">        # 使用预编译正则替代逐个关键词 in 检查</t>
        </is>
      </c>
    </row>
    <row r="268">
      <c r="A268" s="7" t="n">
        <v>265</v>
      </c>
      <c r="B268" s="8" t="inlineStr">
        <is>
          <t xml:space="preserve">        if self._stone_re:</t>
        </is>
      </c>
    </row>
    <row r="269">
      <c r="A269" s="9" t="n">
        <v>266</v>
      </c>
      <c r="B269" s="10" t="inlineStr">
        <is>
          <t xml:space="preserve">            for m in self._stone_re.finditer(copy_text):</t>
        </is>
      </c>
    </row>
    <row r="270">
      <c r="A270" s="7" t="n">
        <v>267</v>
      </c>
      <c r="B270" s="8" t="inlineStr">
        <is>
          <t xml:space="preserve">                result["stones"].add(self._stone_index[m.group()])</t>
        </is>
      </c>
    </row>
    <row r="271">
      <c r="A271" s="9" t="n">
        <v>268</v>
      </c>
      <c r="B271" s="10" t="inlineStr">
        <is>
          <t xml:space="preserve">        if self._craft_re:</t>
        </is>
      </c>
    </row>
    <row r="272">
      <c r="A272" s="7" t="n">
        <v>269</v>
      </c>
      <c r="B272" s="8" t="inlineStr">
        <is>
          <t xml:space="preserve">            for m in self._craft_re.finditer(copy_text):</t>
        </is>
      </c>
    </row>
    <row r="273">
      <c r="A273" s="9" t="n">
        <v>270</v>
      </c>
      <c r="B273" s="10" t="inlineStr">
        <is>
          <t xml:space="preserve">                result["crafts"].add(m.group())</t>
        </is>
      </c>
    </row>
    <row r="274">
      <c r="A274" s="7" t="n">
        <v>271</v>
      </c>
      <c r="B274" s="8" t="inlineStr">
        <is>
          <t xml:space="preserve">        if self._hardware_re:</t>
        </is>
      </c>
    </row>
    <row r="275">
      <c r="A275" s="9" t="n">
        <v>272</v>
      </c>
      <c r="B275" s="10" t="inlineStr">
        <is>
          <t xml:space="preserve">            for m in self._hardware_re.finditer(copy_text):</t>
        </is>
      </c>
    </row>
    <row r="276">
      <c r="A276" s="7" t="n">
        <v>273</v>
      </c>
      <c r="B276" s="8" t="inlineStr">
        <is>
          <t xml:space="preserve">                result["hardware"].add(m.group())</t>
        </is>
      </c>
    </row>
    <row r="277">
      <c r="A277" s="9" t="n">
        <v>274</v>
      </c>
      <c r="B277" s="10" t="inlineStr">
        <is>
          <t xml:space="preserve">        if self._style_re:</t>
        </is>
      </c>
    </row>
    <row r="278">
      <c r="A278" s="7" t="n">
        <v>275</v>
      </c>
      <c r="B278" s="8" t="inlineStr">
        <is>
          <t xml:space="preserve">            for m in self._style_re.finditer(copy_text):</t>
        </is>
      </c>
    </row>
    <row r="279">
      <c r="A279" s="9" t="n">
        <v>276</v>
      </c>
      <c r="B279" s="10" t="inlineStr">
        <is>
          <t xml:space="preserve">                result["styles"].add(self._style_index.get(m.group(), m.group()))</t>
        </is>
      </c>
    </row>
    <row r="280">
      <c r="A280" s="7" t="n">
        <v>277</v>
      </c>
      <c r="B280" s="8" t="inlineStr">
        <is>
          <t xml:space="preserve">        if self._island_re:</t>
        </is>
      </c>
    </row>
    <row r="281">
      <c r="A281" s="9" t="n">
        <v>278</v>
      </c>
      <c r="B281" s="10" t="inlineStr">
        <is>
          <t xml:space="preserve">            for m in self._island_re.finditer(copy_text):</t>
        </is>
      </c>
    </row>
    <row r="282">
      <c r="A282" s="7" t="n">
        <v>279</v>
      </c>
      <c r="B282" s="8" t="inlineStr">
        <is>
          <t xml:space="preserve">                result["island_types"].add(m.group())</t>
        </is>
      </c>
    </row>
    <row r="283">
      <c r="A283" s="9" t="n">
        <v>280</v>
      </c>
      <c r="B283" s="10" t="inlineStr"/>
    </row>
    <row r="284">
      <c r="A284" s="7" t="n">
        <v>281</v>
      </c>
      <c r="B284" s="8" t="inlineStr">
        <is>
          <t xml:space="preserve">        return result</t>
        </is>
      </c>
    </row>
    <row r="285">
      <c r="A285" s="9" t="n">
        <v>282</v>
      </c>
      <c r="B285" s="10" t="inlineStr"/>
    </row>
    <row r="286">
      <c r="A286" s="7" t="n">
        <v>283</v>
      </c>
      <c r="B286" s="8" t="inlineStr">
        <is>
          <t xml:space="preserve">    def extract_clip_keywords(self, clip_path, folder_name: str = "") -&gt; Dict[str, Set[str]]:</t>
        </is>
      </c>
    </row>
    <row r="287">
      <c r="A287" s="9" t="n">
        <v>284</v>
      </c>
      <c r="B287" s="10" t="inlineStr">
        <is>
          <t xml:space="preserve">        """</t>
        </is>
      </c>
    </row>
    <row r="288">
      <c r="A288" s="7" t="n">
        <v>285</v>
      </c>
      <c r="B288" s="8" t="inlineStr">
        <is>
          <t xml:space="preserve">        从素材文件名和文件夹名中提取结构化关键词。</t>
        </is>
      </c>
    </row>
    <row r="289">
      <c r="A289" s="9" t="n">
        <v>286</v>
      </c>
      <c r="B289" s="10" t="inlineStr">
        <is>
          <t xml:space="preserve">        """</t>
        </is>
      </c>
    </row>
    <row r="290">
      <c r="A290" s="7" t="n">
        <v>287</v>
      </c>
      <c r="B290" s="8" t="inlineStr">
        <is>
          <t xml:space="preserve">        fname = str(clip_path) if isinstance(clip_path, str) else clip_path.name</t>
        </is>
      </c>
    </row>
    <row r="291">
      <c r="A291" s="9" t="n">
        <v>288</v>
      </c>
      <c r="B291" s="10" t="inlineStr">
        <is>
          <t xml:space="preserve">        searchable = fname + " " + folder_name</t>
        </is>
      </c>
    </row>
    <row r="292">
      <c r="A292" s="7" t="n">
        <v>289</v>
      </c>
      <c r="B292" s="8" t="inlineStr"/>
    </row>
    <row r="293">
      <c r="A293" s="9" t="n">
        <v>290</v>
      </c>
      <c r="B293" s="10" t="inlineStr">
        <is>
          <t xml:space="preserve">        return self.extract_copy_keywords(searchable)</t>
        </is>
      </c>
    </row>
    <row r="294">
      <c r="A294" s="7" t="n">
        <v>291</v>
      </c>
      <c r="B294" s="8" t="inlineStr"/>
    </row>
    <row r="295">
      <c r="A295" s="9" t="n">
        <v>292</v>
      </c>
      <c r="B295" s="10" t="inlineStr">
        <is>
          <t xml:space="preserve">    def match_score(self, copy_kws: Dict[str, Set[str]],</t>
        </is>
      </c>
    </row>
    <row r="296">
      <c r="A296" s="7" t="n">
        <v>293</v>
      </c>
      <c r="B296" s="8" t="inlineStr">
        <is>
          <t xml:space="preserve">                    clip_kws: Dict[str, Set[str]]) -&gt; Tuple[float, str]:</t>
        </is>
      </c>
    </row>
    <row r="297">
      <c r="A297" s="9" t="n">
        <v>294</v>
      </c>
      <c r="B297" s="10" t="inlineStr">
        <is>
          <t xml:space="preserve">        """</t>
        </is>
      </c>
    </row>
    <row r="298">
      <c r="A298" s="7" t="n">
        <v>295</v>
      </c>
      <c r="B298" s="8" t="inlineStr">
        <is>
          <t xml:space="preserve">        计算文案关键词与素材关键词的匹配分数。</t>
        </is>
      </c>
    </row>
    <row r="299">
      <c r="A299" s="9" t="n">
        <v>296</v>
      </c>
      <c r="B299" s="10" t="inlineStr">
        <is>
          <t xml:space="preserve">        返回: (score 0-1, match_method)</t>
        </is>
      </c>
    </row>
    <row r="300">
      <c r="A300" s="7" t="n">
        <v>297</v>
      </c>
      <c r="B300" s="8" t="inlineStr">
        <is>
          <t xml:space="preserve">        """</t>
        </is>
      </c>
    </row>
    <row r="301">
      <c r="A301" s="9" t="n">
        <v>298</v>
      </c>
      <c r="B301" s="10" t="inlineStr">
        <is>
          <t xml:space="preserve">        score = 0.0</t>
        </is>
      </c>
    </row>
    <row r="302">
      <c r="A302" s="7" t="n">
        <v>299</v>
      </c>
      <c r="B302" s="8" t="inlineStr">
        <is>
          <t xml:space="preserve">        weights = {</t>
        </is>
      </c>
    </row>
    <row r="303">
      <c r="A303" s="9" t="n">
        <v>300</v>
      </c>
      <c r="B303" s="10" t="inlineStr">
        <is>
          <t xml:space="preserve">            "stones": 0.25,</t>
        </is>
      </c>
    </row>
    <row r="304">
      <c r="A304" s="7" t="n">
        <v>301</v>
      </c>
      <c r="B304" s="8" t="inlineStr">
        <is>
          <t xml:space="preserve">            "crafts": 0.15,</t>
        </is>
      </c>
    </row>
    <row r="305">
      <c r="A305" s="9" t="n">
        <v>302</v>
      </c>
      <c r="B305" s="10" t="inlineStr">
        <is>
          <t xml:space="preserve">            "hardware": 0.20,</t>
        </is>
      </c>
    </row>
    <row r="306">
      <c r="A306" s="7" t="n">
        <v>303</v>
      </c>
      <c r="B306" s="8" t="inlineStr">
        <is>
          <t xml:space="preserve">            "styles": 0.25,</t>
        </is>
      </c>
    </row>
    <row r="307">
      <c r="A307" s="9" t="n">
        <v>304</v>
      </c>
      <c r="B307" s="10" t="inlineStr">
        <is>
          <t xml:space="preserve">            "island_types": 0.15,</t>
        </is>
      </c>
    </row>
    <row r="308">
      <c r="A308" s="7" t="n">
        <v>305</v>
      </c>
      <c r="B308" s="8" t="inlineStr">
        <is>
          <t xml:space="preserve">        }</t>
        </is>
      </c>
    </row>
    <row r="309">
      <c r="A309" s="9" t="n">
        <v>306</v>
      </c>
      <c r="B309" s="10" t="inlineStr">
        <is>
          <t xml:space="preserve">        matched_categories = 0</t>
        </is>
      </c>
    </row>
    <row r="310">
      <c r="A310" s="7" t="n">
        <v>307</v>
      </c>
      <c r="B310" s="8" t="inlineStr"/>
    </row>
    <row r="311">
      <c r="A311" s="9" t="n">
        <v>308</v>
      </c>
      <c r="B311" s="10" t="inlineStr">
        <is>
          <t xml:space="preserve">        for category, weight in weights.items():</t>
        </is>
      </c>
    </row>
    <row r="312">
      <c r="A312" s="7" t="n">
        <v>309</v>
      </c>
      <c r="B312" s="8" t="inlineStr">
        <is>
          <t xml:space="preserve">            copy_set = copy_kws.get(category, set())</t>
        </is>
      </c>
    </row>
    <row r="313">
      <c r="A313" s="9" t="n">
        <v>310</v>
      </c>
      <c r="B313" s="10" t="inlineStr">
        <is>
          <t xml:space="preserve">            clip_set = clip_kws.get(category, set())</t>
        </is>
      </c>
    </row>
    <row r="314">
      <c r="A314" s="7" t="n">
        <v>311</v>
      </c>
      <c r="B314" s="8" t="inlineStr"/>
    </row>
    <row r="315">
      <c r="A315" s="9" t="n">
        <v>312</v>
      </c>
      <c r="B315" s="10" t="inlineStr">
        <is>
          <t xml:space="preserve">            if not copy_set:</t>
        </is>
      </c>
    </row>
    <row r="316">
      <c r="A316" s="7" t="n">
        <v>313</v>
      </c>
      <c r="B316" s="8" t="inlineStr">
        <is>
          <t xml:space="preserve">                # 文案没提该类别,不扣分</t>
        </is>
      </c>
    </row>
    <row r="317">
      <c r="A317" s="9" t="n">
        <v>314</v>
      </c>
      <c r="B317" s="10" t="inlineStr">
        <is>
          <t xml:space="preserve">                score += weight * 1.0</t>
        </is>
      </c>
    </row>
    <row r="318">
      <c r="A318" s="7" t="n">
        <v>315</v>
      </c>
      <c r="B318" s="8" t="inlineStr">
        <is>
          <t xml:space="preserve">                matched_categories += 1</t>
        </is>
      </c>
    </row>
    <row r="319">
      <c r="A319" s="9" t="n">
        <v>316</v>
      </c>
      <c r="B319" s="10" t="inlineStr">
        <is>
          <t xml:space="preserve">                continue</t>
        </is>
      </c>
    </row>
    <row r="320">
      <c r="A320" s="7" t="n">
        <v>317</v>
      </c>
      <c r="B320" s="8" t="inlineStr"/>
    </row>
    <row r="321">
      <c r="A321" s="9" t="n">
        <v>318</v>
      </c>
      <c r="B321" s="10" t="inlineStr">
        <is>
          <t xml:space="preserve">            if not clip_set:</t>
        </is>
      </c>
    </row>
    <row r="322">
      <c r="A322" s="7" t="n">
        <v>319</v>
      </c>
      <c r="B322" s="8" t="inlineStr">
        <is>
          <t xml:space="preserve">                continue</t>
        </is>
      </c>
    </row>
    <row r="323">
      <c r="A323" s="9" t="n">
        <v>320</v>
      </c>
      <c r="B323" s="10" t="inlineStr"/>
    </row>
    <row r="324">
      <c r="A324" s="7" t="n">
        <v>321</v>
      </c>
      <c r="B324" s="8" t="inlineStr">
        <is>
          <t xml:space="preserve">            overlap = len(copy_set &amp; clip_set)</t>
        </is>
      </c>
    </row>
    <row r="325">
      <c r="A325" s="9" t="n">
        <v>322</v>
      </c>
      <c r="B325" s="10" t="inlineStr">
        <is>
          <t xml:space="preserve">            coverage = overlap / len(copy_set) if copy_set else 1.0</t>
        </is>
      </c>
    </row>
    <row r="326">
      <c r="A326" s="7" t="n">
        <v>323</v>
      </c>
      <c r="B326" s="8" t="inlineStr">
        <is>
          <t xml:space="preserve">            score += weight * coverage</t>
        </is>
      </c>
    </row>
    <row r="327">
      <c r="A327" s="9" t="n">
        <v>324</v>
      </c>
      <c r="B327" s="10" t="inlineStr"/>
    </row>
    <row r="328">
      <c r="A328" s="7" t="n">
        <v>325</v>
      </c>
      <c r="B328" s="8" t="inlineStr">
        <is>
          <t xml:space="preserve">            if coverage &gt; 0:</t>
        </is>
      </c>
    </row>
    <row r="329">
      <c r="A329" s="9" t="n">
        <v>326</v>
      </c>
      <c r="B329" s="10" t="inlineStr">
        <is>
          <t xml:space="preserve">                matched_categories += 1</t>
        </is>
      </c>
    </row>
    <row r="330">
      <c r="A330" s="7" t="n">
        <v>327</v>
      </c>
      <c r="B330" s="8" t="inlineStr"/>
    </row>
    <row r="331">
      <c r="A331" s="9" t="n">
        <v>328</v>
      </c>
      <c r="B331" s="10" t="inlineStr">
        <is>
          <t xml:space="preserve">        match_method = "knowledge"</t>
        </is>
      </c>
    </row>
    <row r="332">
      <c r="A332" s="7" t="n">
        <v>329</v>
      </c>
      <c r="B332" s="8" t="inlineStr">
        <is>
          <t xml:space="preserve">        if matched_categories &gt;= 4:</t>
        </is>
      </c>
    </row>
    <row r="333">
      <c r="A333" s="9" t="n">
        <v>330</v>
      </c>
      <c r="B333" s="10" t="inlineStr">
        <is>
          <t xml:space="preserve">            match_method = "knowledge_precise"</t>
        </is>
      </c>
    </row>
    <row r="334">
      <c r="A334" s="7" t="n">
        <v>331</v>
      </c>
      <c r="B334" s="8" t="inlineStr">
        <is>
          <t xml:space="preserve">        elif matched_categories &gt;= 2:</t>
        </is>
      </c>
    </row>
    <row r="335">
      <c r="A335" s="9" t="n">
        <v>332</v>
      </c>
      <c r="B335" s="10" t="inlineStr">
        <is>
          <t xml:space="preserve">            match_method = "knowledge_partial"</t>
        </is>
      </c>
    </row>
    <row r="336">
      <c r="A336" s="7" t="n">
        <v>333</v>
      </c>
      <c r="B336" s="8" t="inlineStr">
        <is>
          <t xml:space="preserve">        elif score &lt; 0.3:</t>
        </is>
      </c>
    </row>
    <row r="337">
      <c r="A337" s="9" t="n">
        <v>334</v>
      </c>
      <c r="B337" s="10" t="inlineStr">
        <is>
          <t xml:space="preserve">            match_method = "knowledge_weak"</t>
        </is>
      </c>
    </row>
    <row r="338">
      <c r="A338" s="7" t="n">
        <v>335</v>
      </c>
      <c r="B338" s="8" t="inlineStr"/>
    </row>
    <row r="339">
      <c r="A339" s="9" t="n">
        <v>336</v>
      </c>
      <c r="B339" s="10" t="inlineStr">
        <is>
          <t xml:space="preserve">        return round(score, 3), match_method</t>
        </is>
      </c>
    </row>
    <row r="340">
      <c r="A340" s="7" t="n">
        <v>337</v>
      </c>
      <c r="B340" s="8" t="inlineStr"/>
    </row>
    <row r="341">
      <c r="A341" s="9" t="n">
        <v>338</v>
      </c>
      <c r="B341" s="10" t="inlineStr">
        <is>
          <t xml:space="preserve">    def match_copy_to_clips(self, copy_text: str, sentences: List[str],</t>
        </is>
      </c>
    </row>
    <row r="342">
      <c r="A342" s="7" t="n">
        <v>339</v>
      </c>
      <c r="B342" s="8" t="inlineStr">
        <is>
          <t xml:space="preserve">                            clip_pool: List[Dict]) -&gt; List[Dict]:</t>
        </is>
      </c>
    </row>
    <row r="343">
      <c r="A343" s="9" t="n">
        <v>340</v>
      </c>
      <c r="B343" s="10" t="inlineStr">
        <is>
          <t xml:space="preserve">        """</t>
        </is>
      </c>
    </row>
    <row r="344">
      <c r="A344" s="7" t="n">
        <v>341</v>
      </c>
      <c r="B344" s="8" t="inlineStr">
        <is>
          <t xml:space="preserve">        核心方法：将文案句子与素材池进行知识库规则匹配。</t>
        </is>
      </c>
    </row>
    <row r="345">
      <c r="A345" s="9" t="n">
        <v>342</v>
      </c>
      <c r="B345" s="10" t="inlineStr"/>
    </row>
    <row r="346">
      <c r="A346" s="7" t="n">
        <v>343</v>
      </c>
      <c r="B346" s="8" t="inlineStr">
        <is>
          <t xml:space="preserve">        返回: 带匹配分和匹配方式的素材列表</t>
        </is>
      </c>
    </row>
    <row r="347">
      <c r="A347" s="9" t="n">
        <v>344</v>
      </c>
      <c r="B347" s="10" t="inlineStr">
        <is>
          <t xml:space="preserve">        """</t>
        </is>
      </c>
    </row>
    <row r="348">
      <c r="A348" s="7" t="n">
        <v>345</v>
      </c>
      <c r="B348" s="8" t="inlineStr">
        <is>
          <t xml:space="preserve">        # 预计算每个素材的关键词签名</t>
        </is>
      </c>
    </row>
    <row r="349">
      <c r="A349" s="9" t="n">
        <v>346</v>
      </c>
      <c r="B349" s="10" t="inlineStr">
        <is>
          <t xml:space="preserve">        clip_sigs = {}</t>
        </is>
      </c>
    </row>
    <row r="350">
      <c r="A350" s="7" t="n">
        <v>347</v>
      </c>
      <c r="B350" s="8" t="inlineStr">
        <is>
          <t xml:space="preserve">        for i, clip in enumerate(clip_pool):</t>
        </is>
      </c>
    </row>
    <row r="351">
      <c r="A351" s="9" t="n">
        <v>348</v>
      </c>
      <c r="B351" s="10" t="inlineStr">
        <is>
          <t xml:space="preserve">            path = clip.get("path", "")</t>
        </is>
      </c>
    </row>
    <row r="352">
      <c r="A352" s="7" t="n">
        <v>349</v>
      </c>
      <c r="B352" s="8" t="inlineStr">
        <is>
          <t xml:space="preserve">            folder = clip.get("folder_name", Path(path).parent.name if path else "")</t>
        </is>
      </c>
    </row>
    <row r="353">
      <c r="A353" s="9" t="n">
        <v>350</v>
      </c>
      <c r="B353" s="10" t="inlineStr">
        <is>
          <t xml:space="preserve">            clip_sigs[i] = self.extract_clip_keywords(str(path), folder)</t>
        </is>
      </c>
    </row>
    <row r="354">
      <c r="A354" s="7" t="n">
        <v>351</v>
      </c>
      <c r="B354" s="8" t="inlineStr"/>
    </row>
    <row r="355">
      <c r="A355" s="9" t="n">
        <v>352</v>
      </c>
      <c r="B355" s="10" t="inlineStr">
        <is>
          <t xml:space="preserve">        results = []</t>
        </is>
      </c>
    </row>
    <row r="356">
      <c r="A356" s="7" t="n">
        <v>353</v>
      </c>
      <c r="B356" s="8" t="inlineStr">
        <is>
          <t xml:space="preserve">        used_clips = set()</t>
        </is>
      </c>
    </row>
    <row r="357">
      <c r="A357" s="9" t="n">
        <v>354</v>
      </c>
      <c r="B357" s="10" t="inlineStr"/>
    </row>
    <row r="358">
      <c r="A358" s="7" t="n">
        <v>355</v>
      </c>
      <c r="B358" s="8" t="inlineStr">
        <is>
          <t xml:space="preserve">        for sentence in sentences:</t>
        </is>
      </c>
    </row>
    <row r="359">
      <c r="A359" s="9" t="n">
        <v>356</v>
      </c>
      <c r="B359" s="10" t="inlineStr">
        <is>
          <t xml:space="preserve">            if len(sentence.strip()) &lt; 4:</t>
        </is>
      </c>
    </row>
    <row r="360">
      <c r="A360" s="7" t="n">
        <v>357</v>
      </c>
      <c r="B360" s="8" t="inlineStr">
        <is>
          <t xml:space="preserve">                continue</t>
        </is>
      </c>
    </row>
    <row r="361">
      <c r="A361" s="9" t="n">
        <v>358</v>
      </c>
      <c r="B361" s="10" t="inlineStr"/>
    </row>
    <row r="362">
      <c r="A362" s="7" t="n">
        <v>359</v>
      </c>
      <c r="B362" s="8" t="inlineStr">
        <is>
          <t xml:space="preserve">            # 提取句子的知识库关键词</t>
        </is>
      </c>
    </row>
    <row r="363">
      <c r="A363" s="9" t="n">
        <v>360</v>
      </c>
      <c r="B363" s="10" t="inlineStr">
        <is>
          <t xml:space="preserve">            sent_kws = self.extract_copy_keywords(sentence)</t>
        </is>
      </c>
    </row>
    <row r="364">
      <c r="A364" s="7" t="n">
        <v>361</v>
      </c>
      <c r="B364" s="8" t="inlineStr"/>
    </row>
    <row r="365">
      <c r="A365" s="9" t="n">
        <v>362</v>
      </c>
      <c r="B365" s="10" t="inlineStr">
        <is>
          <t xml:space="preserve">            # 为每个未使用的素材打分</t>
        </is>
      </c>
    </row>
    <row r="366">
      <c r="A366" s="7" t="n">
        <v>363</v>
      </c>
      <c r="B366" s="8" t="inlineStr">
        <is>
          <t xml:space="preserve">            scored = []</t>
        </is>
      </c>
    </row>
    <row r="367">
      <c r="A367" s="9" t="n">
        <v>364</v>
      </c>
      <c r="B367" s="10" t="inlineStr">
        <is>
          <t xml:space="preserve">            for i, clip in enumerate(clip_pool):</t>
        </is>
      </c>
    </row>
    <row r="368">
      <c r="A368" s="7" t="n">
        <v>365</v>
      </c>
      <c r="B368" s="8" t="inlineStr">
        <is>
          <t xml:space="preserve">                if i in used_clips:</t>
        </is>
      </c>
    </row>
    <row r="369">
      <c r="A369" s="9" t="n">
        <v>366</v>
      </c>
      <c r="B369" s="10" t="inlineStr">
        <is>
          <t xml:space="preserve">                    continue</t>
        </is>
      </c>
    </row>
    <row r="370">
      <c r="A370" s="7" t="n">
        <v>367</v>
      </c>
      <c r="B370" s="8" t="inlineStr">
        <is>
          <t xml:space="preserve">                score, method = self.match_score(sent_kws, clip_sigs[i])</t>
        </is>
      </c>
    </row>
    <row r="371">
      <c r="A371" s="9" t="n">
        <v>368</v>
      </c>
      <c r="B371" s="10" t="inlineStr">
        <is>
          <t xml:space="preserve">                if score &gt; 0.2:  # 阈值</t>
        </is>
      </c>
    </row>
    <row r="372">
      <c r="A372" s="7" t="n">
        <v>369</v>
      </c>
      <c r="B372" s="8" t="inlineStr">
        <is>
          <t xml:space="preserve">                    scored.append((i, score, method))</t>
        </is>
      </c>
    </row>
    <row r="373">
      <c r="A373" s="9" t="n">
        <v>370</v>
      </c>
      <c r="B373" s="10" t="inlineStr"/>
    </row>
    <row r="374">
      <c r="A374" s="7" t="n">
        <v>371</v>
      </c>
      <c r="B374" s="8" t="inlineStr">
        <is>
          <t xml:space="preserve">            scored.sort(key=lambda x: -x[1])</t>
        </is>
      </c>
    </row>
    <row r="375">
      <c r="A375" s="9" t="n">
        <v>372</v>
      </c>
      <c r="B375" s="10" t="inlineStr"/>
    </row>
    <row r="376">
      <c r="A376" s="7" t="n">
        <v>373</v>
      </c>
      <c r="B376" s="8" t="inlineStr">
        <is>
          <t xml:space="preserve">            if scored:</t>
        </is>
      </c>
    </row>
    <row r="377">
      <c r="A377" s="9" t="n">
        <v>374</v>
      </c>
      <c r="B377" s="10" t="inlineStr">
        <is>
          <t xml:space="preserve">                best_i, best_score, best_method = scored[0]</t>
        </is>
      </c>
    </row>
    <row r="378">
      <c r="A378" s="7" t="n">
        <v>375</v>
      </c>
      <c r="B378" s="8" t="inlineStr">
        <is>
          <t xml:space="preserve">                clip = clip_pool[best_i].copy()</t>
        </is>
      </c>
    </row>
    <row r="379">
      <c r="A379" s="9" t="n">
        <v>376</v>
      </c>
      <c r="B379" s="10" t="inlineStr">
        <is>
          <t xml:space="preserve">                clip["match_score"] = best_score</t>
        </is>
      </c>
    </row>
    <row r="380">
      <c r="A380" s="7" t="n">
        <v>377</v>
      </c>
      <c r="B380" s="8" t="inlineStr">
        <is>
          <t xml:space="preserve">                clip["match_method"] = best_method</t>
        </is>
      </c>
    </row>
    <row r="381">
      <c r="A381" s="9" t="n">
        <v>378</v>
      </c>
      <c r="B381" s="10" t="inlineStr">
        <is>
          <t xml:space="preserve">                results.append(clip)</t>
        </is>
      </c>
    </row>
    <row r="382">
      <c r="A382" s="7" t="n">
        <v>379</v>
      </c>
      <c r="B382" s="8" t="inlineStr">
        <is>
          <t xml:space="preserve">                used_clips.add(best_i)</t>
        </is>
      </c>
    </row>
    <row r="383">
      <c r="A383" s="9" t="n">
        <v>380</v>
      </c>
      <c r="B383" s="10" t="inlineStr">
        <is>
          <t xml:space="preserve">            elif clip_pool:</t>
        </is>
      </c>
    </row>
    <row r="384">
      <c r="A384" s="7" t="n">
        <v>381</v>
      </c>
      <c r="B384" s="8" t="inlineStr">
        <is>
          <t xml:space="preserve">                # 无匹配:随机选一个</t>
        </is>
      </c>
    </row>
    <row r="385">
      <c r="A385" s="9" t="n">
        <v>382</v>
      </c>
      <c r="B385" s="10" t="inlineStr">
        <is>
          <t xml:space="preserve">                available = [i for i in range(len(clip_pool)) if i not in used_clips]</t>
        </is>
      </c>
    </row>
    <row r="386">
      <c r="A386" s="7" t="n">
        <v>383</v>
      </c>
      <c r="B386" s="8" t="inlineStr">
        <is>
          <t xml:space="preserve">                idx = available[0] if available else 0</t>
        </is>
      </c>
    </row>
    <row r="387">
      <c r="A387" s="9" t="n">
        <v>384</v>
      </c>
      <c r="B387" s="10" t="inlineStr">
        <is>
          <t xml:space="preserve">                clip = clip_pool[idx].copy()</t>
        </is>
      </c>
    </row>
    <row r="388">
      <c r="A388" s="7" t="n">
        <v>385</v>
      </c>
      <c r="B388" s="8" t="inlineStr">
        <is>
          <t xml:space="preserve">                clip["match_score"] = 0.0</t>
        </is>
      </c>
    </row>
    <row r="389">
      <c r="A389" s="9" t="n">
        <v>386</v>
      </c>
      <c r="B389" s="10" t="inlineStr">
        <is>
          <t xml:space="preserve">                clip["match_method"] = "random_fallback"</t>
        </is>
      </c>
    </row>
    <row r="390">
      <c r="A390" s="7" t="n">
        <v>387</v>
      </c>
      <c r="B390" s="8" t="inlineStr">
        <is>
          <t xml:space="preserve">                results.append(clip)</t>
        </is>
      </c>
    </row>
    <row r="391">
      <c r="A391" s="9" t="n">
        <v>388</v>
      </c>
      <c r="B391" s="10" t="inlineStr">
        <is>
          <t xml:space="preserve">                used_clips.add(idx)</t>
        </is>
      </c>
    </row>
    <row r="392">
      <c r="A392" s="7" t="n">
        <v>389</v>
      </c>
      <c r="B392" s="8" t="inlineStr"/>
    </row>
    <row r="393">
      <c r="A393" s="9" t="n">
        <v>390</v>
      </c>
      <c r="B393" s="10" t="inlineStr">
        <is>
          <t xml:space="preserve">        return results</t>
        </is>
      </c>
    </row>
    <row r="394">
      <c r="A394" s="7" t="n">
        <v>391</v>
      </c>
      <c r="B394" s="8" t="inlineStr"/>
    </row>
    <row r="395">
      <c r="A395" s="9" t="n">
        <v>392</v>
      </c>
      <c r="B395" s="10" t="inlineStr">
        <is>
          <t xml:space="preserve">    def get_style_recommendation(self, style_name: str) -&gt; Optional[Dict]:</t>
        </is>
      </c>
    </row>
    <row r="396">
      <c r="A396" s="7" t="n">
        <v>393</v>
      </c>
      <c r="B396" s="8" t="inlineStr">
        <is>
          <t xml:space="preserve">        """获取风格推荐信息"""</t>
        </is>
      </c>
    </row>
    <row r="397">
      <c r="A397" s="9" t="n">
        <v>394</v>
      </c>
      <c r="B397" s="10" t="inlineStr">
        <is>
          <t xml:space="preserve">        return STYLE_LIBRARY.get(style_name)</t>
        </is>
      </c>
    </row>
    <row r="398">
      <c r="A398" s="7" t="n">
        <v>395</v>
      </c>
      <c r="B398" s="8" t="inlineStr"/>
    </row>
    <row r="399">
      <c r="A399" s="9" t="n">
        <v>396</v>
      </c>
      <c r="B399" s="10" t="inlineStr">
        <is>
          <t xml:space="preserve">    def get_island_type_info(self, island_type: str) -&gt; Optional[str]:</t>
        </is>
      </c>
    </row>
    <row r="400">
      <c r="A400" s="7" t="n">
        <v>397</v>
      </c>
      <c r="B400" s="8" t="inlineStr">
        <is>
          <t xml:space="preserve">        """获取岛台类型描述"""</t>
        </is>
      </c>
    </row>
    <row r="401">
      <c r="A401" s="9" t="n">
        <v>398</v>
      </c>
      <c r="B401" s="10" t="inlineStr">
        <is>
          <t xml:space="preserve">        return ISLAND_TYPES.get(island_type)</t>
        </is>
      </c>
    </row>
    <row r="402">
      <c r="A402" s="7" t="n">
        <v>399</v>
      </c>
      <c r="B402" s="8" t="inlineStr"/>
    </row>
    <row r="403">
      <c r="A403" s="9" t="n">
        <v>400</v>
      </c>
      <c r="B403" s="10" t="inlineStr">
        <is>
          <t xml:space="preserve">    def get_matching_styles(self, keywords: List[str]) -&gt; List[str]:</t>
        </is>
      </c>
    </row>
    <row r="404">
      <c r="A404" s="7" t="n">
        <v>401</v>
      </c>
      <c r="B404" s="8" t="inlineStr">
        <is>
          <t xml:space="preserve">        """根据关键词推荐匹配的风格"""</t>
        </is>
      </c>
    </row>
    <row r="405">
      <c r="A405" s="9" t="n">
        <v>402</v>
      </c>
      <c r="B405" s="10" t="inlineStr">
        <is>
          <t xml:space="preserve">        scores = defaultdict(int)</t>
        </is>
      </c>
    </row>
    <row r="406">
      <c r="A406" s="7" t="n">
        <v>403</v>
      </c>
      <c r="B406" s="8" t="inlineStr">
        <is>
          <t xml:space="preserve">        for kw in keywords:</t>
        </is>
      </c>
    </row>
    <row r="407">
      <c r="A407" s="9" t="n">
        <v>404</v>
      </c>
      <c r="B407" s="10" t="inlineStr">
        <is>
          <t xml:space="preserve">            for style, data in STYLE_LIBRARY.items():</t>
        </is>
      </c>
    </row>
    <row r="408">
      <c r="A408" s="7" t="n">
        <v>405</v>
      </c>
      <c r="B408" s="8" t="inlineStr">
        <is>
          <t xml:space="preserve">                if kw in data.get("colors", []) or kw in data.get("materials", []) or kw in data.get("features", []):</t>
        </is>
      </c>
    </row>
    <row r="409">
      <c r="A409" s="9" t="n">
        <v>406</v>
      </c>
      <c r="B409" s="10" t="inlineStr">
        <is>
          <t xml:space="preserve">                    scores[style] += 1</t>
        </is>
      </c>
    </row>
    <row r="410">
      <c r="A410" s="7" t="n">
        <v>407</v>
      </c>
      <c r="B410" s="8" t="inlineStr">
        <is>
          <t xml:space="preserve">                if kw in style:</t>
        </is>
      </c>
    </row>
    <row r="411">
      <c r="A411" s="9" t="n">
        <v>408</v>
      </c>
      <c r="B411" s="10" t="inlineStr">
        <is>
          <t xml:space="preserve">                    scores[style] += 2</t>
        </is>
      </c>
    </row>
    <row r="412">
      <c r="A412" s="7" t="n">
        <v>409</v>
      </c>
      <c r="B412" s="8" t="inlineStr">
        <is>
          <t xml:space="preserve">        return sorted(scores, key=scores.get, reverse=True)</t>
        </is>
      </c>
    </row>
    <row r="413">
      <c r="A413" s="9" t="n">
        <v>410</v>
      </c>
      <c r="B413" s="10" t="inlineStr"/>
    </row>
    <row r="414">
      <c r="A414" s="7" t="n">
        <v>411</v>
      </c>
      <c r="B414" s="8" t="inlineStr"/>
    </row>
    <row r="415">
      <c r="A415" s="9" t="n">
        <v>412</v>
      </c>
      <c r="B41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416">
      <c r="A416" s="7" t="n">
        <v>413</v>
      </c>
      <c r="B416" s="8" t="inlineStr">
        <is>
          <t># 全局单例</t>
        </is>
      </c>
    </row>
    <row r="417">
      <c r="A417" s="9" t="n">
        <v>414</v>
      </c>
      <c r="B41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418">
      <c r="A418" s="7" t="n">
        <v>415</v>
      </c>
      <c r="B418" s="8" t="inlineStr"/>
    </row>
    <row r="419">
      <c r="A419" s="9" t="n">
        <v>416</v>
      </c>
      <c r="B419" s="10" t="inlineStr">
        <is>
          <t>_bridge_instance: Optional[KnowledgeBridge] = None</t>
        </is>
      </c>
    </row>
    <row r="420">
      <c r="A420" s="7" t="n">
        <v>417</v>
      </c>
      <c r="B420" s="8" t="inlineStr"/>
    </row>
    <row r="421">
      <c r="A421" s="9" t="n">
        <v>418</v>
      </c>
      <c r="B421" s="10" t="inlineStr"/>
    </row>
    <row r="422">
      <c r="A422" s="7" t="n">
        <v>419</v>
      </c>
      <c r="B422" s="8" t="inlineStr">
        <is>
          <t>def get_bridge() -&gt; KnowledgeBridge:</t>
        </is>
      </c>
    </row>
    <row r="423">
      <c r="A423" s="9" t="n">
        <v>420</v>
      </c>
      <c r="B423" s="10" t="inlineStr">
        <is>
          <t xml:space="preserve">    global _bridge_instance</t>
        </is>
      </c>
    </row>
    <row r="424">
      <c r="A424" s="7" t="n">
        <v>421</v>
      </c>
      <c r="B424" s="8" t="inlineStr">
        <is>
          <t xml:space="preserve">    if _bridge_instance is None:</t>
        </is>
      </c>
    </row>
    <row r="425">
      <c r="A425" s="9" t="n">
        <v>422</v>
      </c>
      <c r="B425" s="10" t="inlineStr">
        <is>
          <t xml:space="preserve">        _bridge_instance = KnowledgeBridge()</t>
        </is>
      </c>
    </row>
    <row r="426">
      <c r="A426" s="7" t="n">
        <v>423</v>
      </c>
      <c r="B426" s="8" t="inlineStr">
        <is>
          <t xml:space="preserve">    return _bridge_instance</t>
        </is>
      </c>
    </row>
    <row r="427">
      <c r="A427" s="9" t="n">
        <v>424</v>
      </c>
      <c r="B427" s="10" t="inlineStr"/>
    </row>
    <row r="428">
      <c r="A428" s="7" t="n">
        <v>425</v>
      </c>
      <c r="B428" s="8" t="inlineStr"/>
    </row>
    <row r="429">
      <c r="A429" s="9" t="n">
        <v>426</v>
      </c>
      <c r="B429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430">
      <c r="A430" s="7" t="n">
        <v>427</v>
      </c>
      <c r="B430" s="8" t="inlineStr">
        <is>
          <t># 自检</t>
        </is>
      </c>
    </row>
    <row r="431">
      <c r="A431" s="9" t="n">
        <v>428</v>
      </c>
      <c r="B431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432">
      <c r="A432" s="7" t="n">
        <v>429</v>
      </c>
      <c r="B432" s="8" t="inlineStr"/>
    </row>
    <row r="433">
      <c r="A433" s="9" t="n">
        <v>430</v>
      </c>
      <c r="B433" s="10" t="inlineStr">
        <is>
          <t>if __name__ == "__main__":</t>
        </is>
      </c>
    </row>
    <row r="434">
      <c r="A434" s="7" t="n">
        <v>431</v>
      </c>
      <c r="B434" s="8" t="inlineStr">
        <is>
          <t xml:space="preserve">    kb = KnowledgeBridge()</t>
        </is>
      </c>
    </row>
    <row r="435">
      <c r="A435" s="9" t="n">
        <v>432</v>
      </c>
      <c r="B435" s="10" t="inlineStr"/>
    </row>
    <row r="436">
      <c r="A436" s="7" t="n">
        <v>433</v>
      </c>
      <c r="B436" s="8" t="inlineStr">
        <is>
          <t xml:space="preserve">    # 测试文案关键词提取</t>
        </is>
      </c>
    </row>
    <row r="437">
      <c r="A437" s="9" t="n">
        <v>434</v>
      </c>
      <c r="B437" s="10" t="inlineStr">
        <is>
          <t xml:space="preserve">    test_copy = ("岛台装修别踩坑了！岩板台面选潘多拉哑光系列，"</t>
        </is>
      </c>
    </row>
    <row r="438">
      <c r="A438" s="7" t="n">
        <v>435</v>
      </c>
      <c r="B438" s="8" t="inlineStr">
        <is>
          <t xml:space="preserve">                 "配上意式中古风的南美柚木柜体，海棠角工艺精致到每个细节。"</t>
        </is>
      </c>
    </row>
    <row r="439">
      <c r="A439" s="9" t="n">
        <v>436</v>
      </c>
      <c r="B439" s="10" t="inlineStr">
        <is>
          <t xml:space="preserve">                 "轨道插座随意移动，感应灯带自动亮起。北欧极简的设计太耐看了。")</t>
        </is>
      </c>
    </row>
    <row r="440">
      <c r="A440" s="7" t="n">
        <v>437</v>
      </c>
      <c r="B440" s="8" t="inlineStr"/>
    </row>
    <row r="441">
      <c r="A441" s="9" t="n">
        <v>438</v>
      </c>
      <c r="B441" s="10" t="inlineStr">
        <is>
          <t xml:space="preserve">    kws = kb.extract_copy_keywords(test_copy)</t>
        </is>
      </c>
    </row>
    <row r="442">
      <c r="A442" s="7" t="n">
        <v>439</v>
      </c>
      <c r="B442" s="8" t="inlineStr">
        <is>
          <t xml:space="preserve">    print("文案关键词提取:")</t>
        </is>
      </c>
    </row>
    <row r="443">
      <c r="A443" s="9" t="n">
        <v>440</v>
      </c>
      <c r="B443" s="10" t="inlineStr">
        <is>
          <t xml:space="preserve">    for cat, items in kws.items():</t>
        </is>
      </c>
    </row>
    <row r="444">
      <c r="A444" s="7" t="n">
        <v>441</v>
      </c>
      <c r="B444" s="8" t="inlineStr">
        <is>
          <t xml:space="preserve">        if items:</t>
        </is>
      </c>
    </row>
    <row r="445">
      <c r="A445" s="9" t="n">
        <v>442</v>
      </c>
      <c r="B445" s="10" t="inlineStr">
        <is>
          <t xml:space="preserve">            print(f"  {cat}: {items}")</t>
        </is>
      </c>
    </row>
    <row r="446">
      <c r="A446" s="7" t="n">
        <v>443</v>
      </c>
      <c r="B446" s="8" t="inlineStr"/>
    </row>
    <row r="447">
      <c r="A447" s="9" t="n">
        <v>444</v>
      </c>
      <c r="B447" s="10" t="inlineStr">
        <is>
          <t xml:space="preserve">    # 测试素材匹配</t>
        </is>
      </c>
    </row>
    <row r="448">
      <c r="A448" s="7" t="n">
        <v>445</v>
      </c>
      <c r="B448" s="8" t="inlineStr">
        <is>
          <t xml:space="preserve">    test_clips = [</t>
        </is>
      </c>
    </row>
    <row r="449">
      <c r="A449" s="9" t="n">
        <v>446</v>
      </c>
      <c r="B449" s="10" t="inlineStr">
        <is>
          <t xml:space="preserve">        {"path": "【潘多拉哑光+南美柚木】岛台海棠角展示.mp4", "folder_name": "卖点展示"},</t>
        </is>
      </c>
    </row>
    <row r="450">
      <c r="A450" s="7" t="n">
        <v>447</v>
      </c>
      <c r="B450" s="8" t="inlineStr">
        <is>
          <t xml:space="preserve">        {"path": "【纯白岩板】轨道插座演示.mp4", "folder_name": "效果展示"},</t>
        </is>
      </c>
    </row>
    <row r="451">
      <c r="A451" s="9" t="n">
        <v>448</v>
      </c>
      <c r="B451" s="10" t="inlineStr">
        <is>
          <t xml:space="preserve">        {"path": "【洞石+橡木】北欧极简岛台.mp4", "folder_name": "效果展示"},</t>
        </is>
      </c>
    </row>
    <row r="452">
      <c r="A452" s="7" t="n">
        <v>449</v>
      </c>
      <c r="B452" s="8" t="inlineStr">
        <is>
          <t xml:space="preserve">    ]</t>
        </is>
      </c>
    </row>
    <row r="453">
      <c r="A453" s="9" t="n">
        <v>450</v>
      </c>
      <c r="B453" s="10" t="inlineStr"/>
    </row>
    <row r="454">
      <c r="A454" s="7" t="n">
        <v>451</v>
      </c>
      <c r="B454" s="8" t="inlineStr">
        <is>
          <t xml:space="preserve">    clip_kws = [kb.extract_clip_keywords(c["path"], c["folder_name"]) for c in test_clips]</t>
        </is>
      </c>
    </row>
    <row r="455">
      <c r="A455" s="9" t="n">
        <v>452</v>
      </c>
      <c r="B455" s="10" t="inlineStr">
        <is>
          <t xml:space="preserve">    sent_kws = kb.extract_copy_keywords(test_copy)</t>
        </is>
      </c>
    </row>
    <row r="456">
      <c r="A456" s="7" t="n">
        <v>453</v>
      </c>
      <c r="B456" s="8" t="inlineStr"/>
    </row>
    <row r="457">
      <c r="A457" s="9" t="n">
        <v>454</v>
      </c>
      <c r="B457" s="10" t="inlineStr">
        <is>
          <t xml:space="preserve">    print("\n素材-文案匹配分数:")</t>
        </is>
      </c>
    </row>
    <row r="458">
      <c r="A458" s="7" t="n">
        <v>455</v>
      </c>
      <c r="B458" s="8" t="inlineStr">
        <is>
          <t xml:space="preserve">    for i, (clip, ck) in enumerate(zip(test_clips, clip_kws)):</t>
        </is>
      </c>
    </row>
    <row r="459">
      <c r="A459" s="9" t="n">
        <v>456</v>
      </c>
      <c r="B459" s="10" t="inlineStr">
        <is>
          <t xml:space="preserve">        score, method = kb.match_score(sent_kws, ck)</t>
        </is>
      </c>
    </row>
    <row r="460">
      <c r="A460" s="7" t="n">
        <v>457</v>
      </c>
      <c r="B460" s="8" t="inlineStr">
        <is>
          <t xml:space="preserve">        print(f"  [{i+1}] {clip['path'][:50]}... -&gt; {score:.2f} ({method})")</t>
        </is>
      </c>
    </row>
    <row r="461">
      <c r="A461" s="9" t="n">
        <v>458</v>
      </c>
      <c r="B461" s="10" t="inlineStr"/>
    </row>
    <row r="462">
      <c r="A462" s="7" t="n">
        <v>459</v>
      </c>
      <c r="B462" s="8" t="inlineStr">
        <is>
          <t xml:space="preserve">    # 风格推荐</t>
        </is>
      </c>
    </row>
    <row r="463">
      <c r="A463" s="9" t="n">
        <v>460</v>
      </c>
      <c r="B463" s="10" t="inlineStr">
        <is>
          <t xml:space="preserve">    recos = kb.get_matching_styles(["潘多拉", "南美柚木", "海棠角"])</t>
        </is>
      </c>
    </row>
    <row r="464">
      <c r="A464" s="7" t="n">
        <v>461</v>
      </c>
      <c r="B464" s="8" t="inlineStr">
        <is>
          <t xml:space="preserve">    print(f"\n风格推荐: {recos}")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utils\logger.py</t>
        </is>
      </c>
      <c r="C1" s="5" t="inlineStr">
        <is>
          <t>行数: 29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日志系统 - 基于loguru的统一日志管理</t>
        </is>
      </c>
    </row>
    <row r="6">
      <c r="A6" s="7" t="n">
        <v>3</v>
      </c>
      <c r="B6" s="8" t="inlineStr">
        <is>
          <t>支持控制台彩色输出 + 按日文件轮转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</t>
        </is>
      </c>
    </row>
    <row r="9">
      <c r="A9" s="9" t="n">
        <v>6</v>
      </c>
      <c r="B9" s="10" t="inlineStr">
        <is>
          <t>import sys</t>
        </is>
      </c>
    </row>
    <row r="10">
      <c r="A10" s="7" t="n">
        <v>7</v>
      </c>
      <c r="B10" s="8" t="inlineStr">
        <is>
          <t>from datetime import datetime</t>
        </is>
      </c>
    </row>
    <row r="11">
      <c r="A11" s="9" t="n">
        <v>8</v>
      </c>
      <c r="B11" s="10" t="inlineStr">
        <is>
          <t>from loguru import logger</t>
        </is>
      </c>
    </row>
    <row r="12">
      <c r="A12" s="7" t="n">
        <v>9</v>
      </c>
      <c r="B12" s="8" t="inlineStr">
        <is>
          <t>from core.config_loader import CONFIG</t>
        </is>
      </c>
    </row>
    <row r="13">
      <c r="A13" s="9" t="n">
        <v>10</v>
      </c>
      <c r="B13" s="10" t="inlineStr">
        <is>
          <t>LOG_DIR = CONFIG["system"]["log_dir"]</t>
        </is>
      </c>
    </row>
    <row r="14">
      <c r="A14" s="7" t="n">
        <v>11</v>
      </c>
      <c r="B14" s="8" t="inlineStr">
        <is>
          <t>os.makedirs(LOG_DIR, exist_ok=True)</t>
        </is>
      </c>
    </row>
    <row r="15">
      <c r="A15" s="9" t="n">
        <v>12</v>
      </c>
      <c r="B15" s="10" t="inlineStr">
        <is>
          <t>logger.remove()</t>
        </is>
      </c>
    </row>
    <row r="16">
      <c r="A16" s="7" t="n">
        <v>13</v>
      </c>
      <c r="B16" s="8" t="inlineStr">
        <is>
          <t>logger.add(</t>
        </is>
      </c>
    </row>
    <row r="17">
      <c r="A17" s="9" t="n">
        <v>14</v>
      </c>
      <c r="B17" s="10" t="inlineStr">
        <is>
          <t xml:space="preserve">    os.path.join(LOG_DIR, f"run_{datetime.now().strftime('%Y%m%d')}.log"),</t>
        </is>
      </c>
    </row>
    <row r="18">
      <c r="A18" s="7" t="n">
        <v>15</v>
      </c>
      <c r="B18" s="8" t="inlineStr">
        <is>
          <t xml:space="preserve">    rotation="00:00",</t>
        </is>
      </c>
    </row>
    <row r="19">
      <c r="A19" s="9" t="n">
        <v>16</v>
      </c>
      <c r="B19" s="10" t="inlineStr">
        <is>
          <t xml:space="preserve">    retention="30 days",</t>
        </is>
      </c>
    </row>
    <row r="20">
      <c r="A20" s="7" t="n">
        <v>17</v>
      </c>
      <c r="B20" s="8" t="inlineStr">
        <is>
          <t xml:space="preserve">    level="INFO",</t>
        </is>
      </c>
    </row>
    <row r="21">
      <c r="A21" s="9" t="n">
        <v>18</v>
      </c>
      <c r="B21" s="10" t="inlineStr">
        <is>
          <t xml:space="preserve">    format="{time:YYYY-MM-DD HH:mm:ss} | {level} | {module}:{line} | {message}",</t>
        </is>
      </c>
    </row>
    <row r="22">
      <c r="A22" s="7" t="n">
        <v>19</v>
      </c>
      <c r="B22" s="8" t="inlineStr">
        <is>
          <t xml:space="preserve">    encoding="utf-8",</t>
        </is>
      </c>
    </row>
    <row r="23">
      <c r="A23" s="9" t="n">
        <v>20</v>
      </c>
      <c r="B23" s="10" t="inlineStr">
        <is>
          <t>)</t>
        </is>
      </c>
    </row>
    <row r="24">
      <c r="A24" s="7" t="n">
        <v>21</v>
      </c>
      <c r="B24" s="8" t="inlineStr">
        <is>
          <t>logger.add(</t>
        </is>
      </c>
    </row>
    <row r="25">
      <c r="A25" s="9" t="n">
        <v>22</v>
      </c>
      <c r="B25" s="10" t="inlineStr">
        <is>
          <t xml:space="preserve">    sys.stdout,</t>
        </is>
      </c>
    </row>
    <row r="26">
      <c r="A26" s="7" t="n">
        <v>23</v>
      </c>
      <c r="B26" s="8" t="inlineStr">
        <is>
          <t xml:space="preserve">    level="INFO",</t>
        </is>
      </c>
    </row>
    <row r="27">
      <c r="A27" s="9" t="n">
        <v>24</v>
      </c>
      <c r="B27" s="10" t="inlineStr">
        <is>
          <t xml:space="preserve">    format="&lt;green&gt;{time:HH:mm:ss}&lt;/green&gt; | &lt;level&gt;{level: &lt;8}&lt;/level&gt; | {message}",</t>
        </is>
      </c>
    </row>
    <row r="28">
      <c r="A28" s="7" t="n">
        <v>25</v>
      </c>
      <c r="B28" s="8" t="inlineStr">
        <is>
          <t xml:space="preserve">    colorize=True,</t>
        </is>
      </c>
    </row>
    <row r="29">
      <c r="A29" s="9" t="n">
        <v>26</v>
      </c>
      <c r="B29" s="10" t="inlineStr">
        <is>
          <t>)</t>
        </is>
      </c>
    </row>
    <row r="30">
      <c r="A30" s="7" t="n">
        <v>27</v>
      </c>
      <c r="B30" s="8" t="inlineStr">
        <is>
          <t>def get_logger(name: str = "app"):</t>
        </is>
      </c>
    </row>
    <row r="31">
      <c r="A31" s="9" t="n">
        <v>28</v>
      </c>
      <c r="B31" s="10" t="inlineStr">
        <is>
          <t xml:space="preserve">    """获取绑定模块名的logger实例"""</t>
        </is>
      </c>
    </row>
    <row r="32">
      <c r="A32" s="7" t="n">
        <v>29</v>
      </c>
      <c r="B32" s="8" t="inlineStr">
        <is>
          <t xml:space="preserve">    return logger.bind(module=name)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utils\logging.py</t>
        </is>
      </c>
      <c r="C1" s="5" t="inlineStr">
        <is>
          <t>行数: 259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— 统一日志系统 v2.0</t>
        </is>
      </c>
    </row>
    <row r="6">
      <c r="A6" s="7" t="n">
        <v>3</v>
      </c>
      <c r="B6" s="8">
        <f>===============================</f>
        <v/>
      </c>
    </row>
    <row r="7">
      <c r="A7" s="9" t="n">
        <v>4</v>
      </c>
      <c r="B7" s="10" t="inlineStr">
        <is>
          <t>v12.0 重构: 替代散落的 print()，统一所有模块日志输出。</t>
        </is>
      </c>
    </row>
    <row r="8">
      <c r="A8" s="7" t="n">
        <v>5</v>
      </c>
      <c r="B8" s="8" t="inlineStr">
        <is>
          <t xml:space="preserve">  - 文件持久化(按日期滚动, 30天保留)</t>
        </is>
      </c>
    </row>
    <row r="9">
      <c r="A9" s="9" t="n">
        <v>6</v>
      </c>
      <c r="B9" s="10" t="inlineStr">
        <is>
          <t xml:space="preserve">  - EventBus集成 → UI实时显示</t>
        </is>
      </c>
    </row>
    <row r="10">
      <c r="A10" s="7" t="n">
        <v>7</v>
      </c>
      <c r="B10" s="8" t="inlineStr">
        <is>
          <t xml:space="preserve">  - 4级日志: DEBUG/INFO/WARNING/ERROR</t>
        </is>
      </c>
    </row>
    <row r="11">
      <c r="A11" s="9" t="n">
        <v>8</v>
      </c>
      <c r="B11" s="10" t="inlineStr">
        <is>
          <t xml:space="preserve">  - 结构化格式: [时间][模块][级别] 消息</t>
        </is>
      </c>
    </row>
    <row r="12">
      <c r="A12" s="7" t="n">
        <v>9</v>
      </c>
      <c r="B12" s="8" t="inlineStr">
        <is>
          <t xml:space="preserve">  - 线程安全、高性能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用法:</t>
        </is>
      </c>
    </row>
    <row r="15">
      <c r="A15" s="9" t="n">
        <v>12</v>
      </c>
      <c r="B15" s="10" t="inlineStr">
        <is>
          <t xml:space="preserve">    from utils.logging import get_logger</t>
        </is>
      </c>
    </row>
    <row r="16">
      <c r="A16" s="7" t="n">
        <v>13</v>
      </c>
      <c r="B16" s="8" t="inlineStr">
        <is>
          <t xml:space="preserve">    logger = get_logger("模块名")</t>
        </is>
      </c>
    </row>
    <row r="17">
      <c r="A17" s="9" t="n">
        <v>14</v>
      </c>
      <c r="B17" s="10" t="inlineStr">
        <is>
          <t xml:space="preserve">    logger.info("消息")</t>
        </is>
      </c>
    </row>
    <row r="18">
      <c r="A18" s="7" t="n">
        <v>15</v>
      </c>
      <c r="B18" s="8" t="inlineStr">
        <is>
          <t xml:space="preserve">    logger.warning("消息", detail=...)</t>
        </is>
      </c>
    </row>
    <row r="19">
      <c r="A19" s="9" t="n">
        <v>16</v>
      </c>
      <c r="B19" s="10" t="inlineStr">
        <is>
          <t xml:space="preserve">    logger.error("消息", extra={"traceback": "..."})</t>
        </is>
      </c>
    </row>
    <row r="20">
      <c r="A20" s="7" t="n">
        <v>17</v>
      </c>
      <c r="B20" s="8" t="inlineStr">
        <is>
          <t>"""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>import logging</t>
        </is>
      </c>
    </row>
    <row r="23">
      <c r="A23" s="9" t="n">
        <v>20</v>
      </c>
      <c r="B23" s="10" t="inlineStr">
        <is>
          <t>import logging.handlers</t>
        </is>
      </c>
    </row>
    <row r="24">
      <c r="A24" s="7" t="n">
        <v>21</v>
      </c>
      <c r="B24" s="8" t="inlineStr">
        <is>
          <t>import json</t>
        </is>
      </c>
    </row>
    <row r="25">
      <c r="A25" s="9" t="n">
        <v>22</v>
      </c>
      <c r="B25" s="10" t="inlineStr">
        <is>
          <t>import threading</t>
        </is>
      </c>
    </row>
    <row r="26">
      <c r="A26" s="7" t="n">
        <v>23</v>
      </c>
      <c r="B26" s="8" t="inlineStr">
        <is>
          <t>import os</t>
        </is>
      </c>
    </row>
    <row r="27">
      <c r="A27" s="9" t="n">
        <v>24</v>
      </c>
      <c r="B27" s="10" t="inlineStr">
        <is>
          <t>import sys</t>
        </is>
      </c>
    </row>
    <row r="28">
      <c r="A28" s="7" t="n">
        <v>25</v>
      </c>
      <c r="B28" s="8" t="inlineStr">
        <is>
          <t>from pathlib import Path</t>
        </is>
      </c>
    </row>
    <row r="29">
      <c r="A29" s="9" t="n">
        <v>26</v>
      </c>
      <c r="B29" s="10" t="inlineStr">
        <is>
          <t>from datetime import datetime</t>
        </is>
      </c>
    </row>
    <row r="30">
      <c r="A30" s="7" t="n">
        <v>27</v>
      </c>
      <c r="B30" s="8" t="inlineStr">
        <is>
          <t>from typing import Optional, Dict, Any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># ── 日志根目录 ─────────────────────────────────────────</t>
        </is>
      </c>
    </row>
    <row r="33">
      <c r="A33" s="9" t="n">
        <v>30</v>
      </c>
      <c r="B33" s="10" t="inlineStr">
        <is>
          <t>_PROJ_ROOT = Path(__file__).parent.parent</t>
        </is>
      </c>
    </row>
    <row r="34">
      <c r="A34" s="7" t="n">
        <v>31</v>
      </c>
      <c r="B34" s="8" t="inlineStr">
        <is>
          <t>_LOG_DIR = _PROJ_ROOT / "03_粗剪输出" / "_logs"</t>
        </is>
      </c>
    </row>
    <row r="35">
      <c r="A35" s="9" t="n">
        <v>32</v>
      </c>
      <c r="B35" s="10" t="inlineStr">
        <is>
          <t>_LOG_DIR.mkdir(parents=True, exist_ok=True)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># ── 格式化器 ───────────────────────────────────────────</t>
        </is>
      </c>
    </row>
    <row r="38">
      <c r="A38" s="7" t="n">
        <v>35</v>
      </c>
      <c r="B38" s="8" t="inlineStr">
        <is>
          <t>class TreeCutFormatter(logging.Formatter):</t>
        </is>
      </c>
    </row>
    <row r="39">
      <c r="A39" s="9" t="n">
        <v>36</v>
      </c>
      <c r="B39" s="10" t="inlineStr">
        <is>
          <t xml:space="preserve">    """统一格式化: [时间][模块][级别] 消息"""</t>
        </is>
      </c>
    </row>
    <row r="40">
      <c r="A40" s="7" t="n">
        <v>37</v>
      </c>
      <c r="B40" s="8" t="inlineStr">
        <is>
          <t xml:space="preserve">    _fmt = "[%(asctime)s][%(name)s][%(levelname)s] %(message)s"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>
        <is>
          <t xml:space="preserve">    def __init__(self):</t>
        </is>
      </c>
    </row>
    <row r="43">
      <c r="A43" s="9" t="n">
        <v>40</v>
      </c>
      <c r="B43" s="10" t="inlineStr">
        <is>
          <t xml:space="preserve">        super().__init__(fmt=self._fmt, datefmt="%m-%d %H:%M:%S")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># ── 日志管理器 ─────────────────────────────────────────</t>
        </is>
      </c>
    </row>
    <row r="46">
      <c r="A46" s="7" t="n">
        <v>43</v>
      </c>
      <c r="B46" s="8" t="inlineStr">
        <is>
          <t>class LogManager:</t>
        </is>
      </c>
    </row>
    <row r="47">
      <c r="A47" s="9" t="n">
        <v>44</v>
      </c>
      <c r="B47" s="10" t="inlineStr">
        <is>
          <t xml:space="preserve">    """统一日志系统 — 文件+EventBus+控制台 三路输出"""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 xml:space="preserve">    _instance: Optional["LogManager"] = None</t>
        </is>
      </c>
    </row>
    <row r="50">
      <c r="A50" s="7" t="n">
        <v>47</v>
      </c>
      <c r="B50" s="8" t="inlineStr">
        <is>
          <t xml:space="preserve">    _lock = threading.Lock()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def __new__(cls):</t>
        </is>
      </c>
    </row>
    <row r="53">
      <c r="A53" s="9" t="n">
        <v>50</v>
      </c>
      <c r="B53" s="10" t="inlineStr">
        <is>
          <t xml:space="preserve">        if cls._instance is None:</t>
        </is>
      </c>
    </row>
    <row r="54">
      <c r="A54" s="7" t="n">
        <v>51</v>
      </c>
      <c r="B54" s="8" t="inlineStr">
        <is>
          <t xml:space="preserve">            with cls._lock:</t>
        </is>
      </c>
    </row>
    <row r="55">
      <c r="A55" s="9" t="n">
        <v>52</v>
      </c>
      <c r="B55" s="10" t="inlineStr">
        <is>
          <t xml:space="preserve">                if cls._instance is None:</t>
        </is>
      </c>
    </row>
    <row r="56">
      <c r="A56" s="7" t="n">
        <v>53</v>
      </c>
      <c r="B56" s="8" t="inlineStr">
        <is>
          <t xml:space="preserve">                    cls._instance = super().__new__(cls)</t>
        </is>
      </c>
    </row>
    <row r="57">
      <c r="A57" s="9" t="n">
        <v>54</v>
      </c>
      <c r="B57" s="10" t="inlineStr">
        <is>
          <t xml:space="preserve">                    cls._instance._init()</t>
        </is>
      </c>
    </row>
    <row r="58">
      <c r="A58" s="7" t="n">
        <v>55</v>
      </c>
      <c r="B58" s="8" t="inlineStr">
        <is>
          <t xml:space="preserve">        return cls._instance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def _init(self):</t>
        </is>
      </c>
    </row>
    <row r="61">
      <c r="A61" s="9" t="n">
        <v>58</v>
      </c>
      <c r="B61" s="10" t="inlineStr">
        <is>
          <t xml:space="preserve">        self._loggers: Dict[str, logging.Logger] = {}</t>
        </is>
      </c>
    </row>
    <row r="62">
      <c r="A62" s="7" t="n">
        <v>59</v>
      </c>
      <c r="B62" s="8" t="inlineStr">
        <is>
          <t xml:space="preserve">        self._setup_root()</t>
        </is>
      </c>
    </row>
    <row r="63">
      <c r="A63" s="9" t="n">
        <v>60</v>
      </c>
      <c r="B63" s="10" t="inlineStr">
        <is>
          <t xml:space="preserve">        self._ui_enabled = True</t>
        </is>
      </c>
    </row>
    <row r="64">
      <c r="A64" s="7" t="n">
        <v>61</v>
      </c>
      <c r="B64" s="8" t="inlineStr">
        <is>
          <t xml:space="preserve">        self._console_enabled = True  # 控制台输出(开发用)</t>
        </is>
      </c>
    </row>
    <row r="65">
      <c r="A65" s="9" t="n">
        <v>62</v>
      </c>
      <c r="B65" s="10" t="inlineStr">
        <is>
          <t xml:space="preserve">        self._eventbus_ready = False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def _setup_root(self):</t>
        </is>
      </c>
    </row>
    <row r="68">
      <c r="A68" s="7" t="n">
        <v>65</v>
      </c>
      <c r="B68" s="8" t="inlineStr">
        <is>
          <t xml:space="preserve">        """配置根日志器"""</t>
        </is>
      </c>
    </row>
    <row r="69">
      <c r="A69" s="9" t="n">
        <v>66</v>
      </c>
      <c r="B69" s="10" t="inlineStr">
        <is>
          <t xml:space="preserve">        root = logging.getLogger("TreeCut")</t>
        </is>
      </c>
    </row>
    <row r="70">
      <c r="A70" s="7" t="n">
        <v>67</v>
      </c>
      <c r="B70" s="8" t="inlineStr">
        <is>
          <t xml:space="preserve">        root.setLevel(logging.DEBUG)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 xml:space="preserve">        # ── 文件处理器: 按日期滚动, 30天保留 ──</t>
        </is>
      </c>
    </row>
    <row r="73">
      <c r="A73" s="9" t="n">
        <v>70</v>
      </c>
      <c r="B73" s="10" t="inlineStr">
        <is>
          <t xml:space="preserve">        log_file = _LOG_DIR / f"treecut_{datetime.now().strftime('%Y%m%d')}.log"</t>
        </is>
      </c>
    </row>
    <row r="74">
      <c r="A74" s="7" t="n">
        <v>71</v>
      </c>
      <c r="B74" s="8" t="inlineStr">
        <is>
          <t xml:space="preserve">        fh = logging.handlers.TimedRotatingFileHandler(</t>
        </is>
      </c>
    </row>
    <row r="75">
      <c r="A75" s="9" t="n">
        <v>72</v>
      </c>
      <c r="B75" s="10" t="inlineStr">
        <is>
          <t xml:space="preserve">            filename=str(log_file),</t>
        </is>
      </c>
    </row>
    <row r="76">
      <c r="A76" s="7" t="n">
        <v>73</v>
      </c>
      <c r="B76" s="8" t="inlineStr">
        <is>
          <t xml:space="preserve">            when="midnight", interval=1, backupCount=30,</t>
        </is>
      </c>
    </row>
    <row r="77">
      <c r="A77" s="9" t="n">
        <v>74</v>
      </c>
      <c r="B77" s="10" t="inlineStr">
        <is>
          <t xml:space="preserve">            encoding="utf-8"</t>
        </is>
      </c>
    </row>
    <row r="78">
      <c r="A78" s="7" t="n">
        <v>75</v>
      </c>
      <c r="B78" s="8" t="inlineStr">
        <is>
          <t xml:space="preserve">        )</t>
        </is>
      </c>
    </row>
    <row r="79">
      <c r="A79" s="9" t="n">
        <v>76</v>
      </c>
      <c r="B79" s="10" t="inlineStr">
        <is>
          <t xml:space="preserve">        fh.setLevel(logging.DEBUG)</t>
        </is>
      </c>
    </row>
    <row r="80">
      <c r="A80" s="7" t="n">
        <v>77</v>
      </c>
      <c r="B80" s="8" t="inlineStr">
        <is>
          <t xml:space="preserve">        fh.setFormatter(TreeCutFormatter())</t>
        </is>
      </c>
    </row>
    <row r="81">
      <c r="A81" s="9" t="n">
        <v>78</v>
      </c>
      <c r="B81" s="10" t="inlineStr">
        <is>
          <t xml:space="preserve">        root.addHandler(fh)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>
        <is>
          <t xml:space="preserve">        # ── 错误单独文件 ──</t>
        </is>
      </c>
    </row>
    <row r="84">
      <c r="A84" s="7" t="n">
        <v>81</v>
      </c>
      <c r="B84" s="8" t="inlineStr">
        <is>
          <t xml:space="preserve">        err_file = _LOG_DIR / f"errors_{datetime.now().strftime('%Y%m%d')}.log"</t>
        </is>
      </c>
    </row>
    <row r="85">
      <c r="A85" s="9" t="n">
        <v>82</v>
      </c>
      <c r="B85" s="10" t="inlineStr">
        <is>
          <t xml:space="preserve">        eh = logging.handlers.TimedRotatingFileHandler(</t>
        </is>
      </c>
    </row>
    <row r="86">
      <c r="A86" s="7" t="n">
        <v>83</v>
      </c>
      <c r="B86" s="8" t="inlineStr">
        <is>
          <t xml:space="preserve">            filename=str(err_file),</t>
        </is>
      </c>
    </row>
    <row r="87">
      <c r="A87" s="9" t="n">
        <v>84</v>
      </c>
      <c r="B87" s="10" t="inlineStr">
        <is>
          <t xml:space="preserve">            when="midnight", interval=1, backupCount=30,</t>
        </is>
      </c>
    </row>
    <row r="88">
      <c r="A88" s="7" t="n">
        <v>85</v>
      </c>
      <c r="B88" s="8" t="inlineStr">
        <is>
          <t xml:space="preserve">            encoding="utf-8"</t>
        </is>
      </c>
    </row>
    <row r="89">
      <c r="A89" s="9" t="n">
        <v>86</v>
      </c>
      <c r="B89" s="10" t="inlineStr">
        <is>
          <t xml:space="preserve">        )</t>
        </is>
      </c>
    </row>
    <row r="90">
      <c r="A90" s="7" t="n">
        <v>87</v>
      </c>
      <c r="B90" s="8" t="inlineStr">
        <is>
          <t xml:space="preserve">        eh.setLevel(logging.WARNING)</t>
        </is>
      </c>
    </row>
    <row r="91">
      <c r="A91" s="9" t="n">
        <v>88</v>
      </c>
      <c r="B91" s="10" t="inlineStr">
        <is>
          <t xml:space="preserve">        eh.setFormatter(TreeCutFormatter())</t>
        </is>
      </c>
    </row>
    <row r="92">
      <c r="A92" s="7" t="n">
        <v>89</v>
      </c>
      <c r="B92" s="8" t="inlineStr">
        <is>
          <t xml:space="preserve">        root.addHandler(eh)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      # ── 控制台处理器(开发用) ──</t>
        </is>
      </c>
    </row>
    <row r="95">
      <c r="A95" s="9" t="n">
        <v>92</v>
      </c>
      <c r="B95" s="10" t="inlineStr">
        <is>
          <t xml:space="preserve">        ch = logging.StreamHandler(sys.stdout)</t>
        </is>
      </c>
    </row>
    <row r="96">
      <c r="A96" s="7" t="n">
        <v>93</v>
      </c>
      <c r="B96" s="8" t="inlineStr">
        <is>
          <t xml:space="preserve">        ch.setLevel(logging.INFO)</t>
        </is>
      </c>
    </row>
    <row r="97">
      <c r="A97" s="9" t="n">
        <v>94</v>
      </c>
      <c r="B97" s="10" t="inlineStr">
        <is>
          <t xml:space="preserve">        ch.setFormatter(TreeCutFormatter())</t>
        </is>
      </c>
    </row>
    <row r="98">
      <c r="A98" s="7" t="n">
        <v>95</v>
      </c>
      <c r="B98" s="8" t="inlineStr">
        <is>
          <t xml:space="preserve">        root.addHandler(ch)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 xml:space="preserve">    # ── 获取或创建模块日志器 ─────────────────────────</t>
        </is>
      </c>
    </row>
    <row r="101">
      <c r="A101" s="9" t="n">
        <v>98</v>
      </c>
      <c r="B101" s="10" t="inlineStr">
        <is>
          <t xml:space="preserve">    def get_logger(self, name: str) -&gt; logging.Logger:</t>
        </is>
      </c>
    </row>
    <row r="102">
      <c r="A102" s="7" t="n">
        <v>99</v>
      </c>
      <c r="B102" s="8" t="inlineStr">
        <is>
          <t xml:space="preserve">        if name not in self._loggers:</t>
        </is>
      </c>
    </row>
    <row r="103">
      <c r="A103" s="9" t="n">
        <v>100</v>
      </c>
      <c r="B103" s="10" t="inlineStr">
        <is>
          <t xml:space="preserve">            logger = logging.getLogger(f"TreeCut.{name}")</t>
        </is>
      </c>
    </row>
    <row r="104">
      <c r="A104" s="7" t="n">
        <v>101</v>
      </c>
      <c r="B104" s="8" t="inlineStr">
        <is>
          <t xml:space="preserve">            logger.setLevel(logging.DEBUG)</t>
        </is>
      </c>
    </row>
    <row r="105">
      <c r="A105" s="9" t="n">
        <v>102</v>
      </c>
      <c r="B105" s="10" t="inlineStr">
        <is>
          <t xml:space="preserve">            # 继承根日志器的处理器(通过传播)</t>
        </is>
      </c>
    </row>
    <row r="106">
      <c r="A106" s="7" t="n">
        <v>103</v>
      </c>
      <c r="B106" s="8" t="inlineStr">
        <is>
          <t xml:space="preserve">            logger.propagate = True</t>
        </is>
      </c>
    </row>
    <row r="107">
      <c r="A107" s="9" t="n">
        <v>104</v>
      </c>
      <c r="B107" s="10" t="inlineStr">
        <is>
          <t xml:space="preserve">            self._loggers[name] = logger</t>
        </is>
      </c>
    </row>
    <row r="108">
      <c r="A108" s="7" t="n">
        <v>105</v>
      </c>
      <c r="B108" s="8" t="inlineStr">
        <is>
          <t xml:space="preserve">        return self._loggers[name]</t>
        </is>
      </c>
    </row>
    <row r="109">
      <c r="A109" s="9" t="n">
        <v>106</v>
      </c>
      <c r="B109" s="10" t="inlineStr"/>
    </row>
    <row r="110">
      <c r="A110" s="7" t="n">
        <v>107</v>
      </c>
      <c r="B110" s="8" t="inlineStr">
        <is>
          <t xml:space="preserve">    # ── EventBus 集成 ─────────────────────────────────</t>
        </is>
      </c>
    </row>
    <row r="111">
      <c r="A111" s="9" t="n">
        <v>108</v>
      </c>
      <c r="B111" s="10" t="inlineStr">
        <is>
          <t xml:space="preserve">    def enable_eventbus(self):</t>
        </is>
      </c>
    </row>
    <row r="112">
      <c r="A112" s="7" t="n">
        <v>109</v>
      </c>
      <c r="B112" s="8" t="inlineStr">
        <is>
          <t xml:space="preserve">        """激活 EventBus 输出 — 日志自动推送到UI"""</t>
        </is>
      </c>
    </row>
    <row r="113">
      <c r="A113" s="9" t="n">
        <v>110</v>
      </c>
      <c r="B113" s="10" t="inlineStr">
        <is>
          <t xml:space="preserve">        self._eventbus_ready = True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 xml:space="preserve">    def _publish_to_ui(self, level: str, message: str, module: str):</t>
        </is>
      </c>
    </row>
    <row r="116">
      <c r="A116" s="7" t="n">
        <v>113</v>
      </c>
      <c r="B116" s="8" t="inlineStr">
        <is>
          <t xml:space="preserve">        """将日志消息发布到 EventBus"""</t>
        </is>
      </c>
    </row>
    <row r="117">
      <c r="A117" s="9" t="n">
        <v>114</v>
      </c>
      <c r="B117" s="10" t="inlineStr">
        <is>
          <t xml:space="preserve">        if not self._eventbus_ready:</t>
        </is>
      </c>
    </row>
    <row r="118">
      <c r="A118" s="7" t="n">
        <v>115</v>
      </c>
      <c r="B118" s="8" t="inlineStr">
        <is>
          <t xml:space="preserve">            return</t>
        </is>
      </c>
    </row>
    <row r="119">
      <c r="A119" s="9" t="n">
        <v>116</v>
      </c>
      <c r="B119" s="10" t="inlineStr">
        <is>
          <t xml:space="preserve">        try:</t>
        </is>
      </c>
    </row>
    <row r="120">
      <c r="A120" s="7" t="n">
        <v>117</v>
      </c>
      <c r="B120" s="8" t="inlineStr">
        <is>
          <t xml:space="preserve">            from core.event_bus import publish, Events</t>
        </is>
      </c>
    </row>
    <row r="121">
      <c r="A121" s="9" t="n">
        <v>118</v>
      </c>
      <c r="B121" s="10" t="inlineStr">
        <is>
          <t xml:space="preserve">            publish(Events.LOG_MESSAGE, {</t>
        </is>
      </c>
    </row>
    <row r="122">
      <c r="A122" s="7" t="n">
        <v>119</v>
      </c>
      <c r="B122" s="8" t="inlineStr">
        <is>
          <t xml:space="preserve">                "level": level,</t>
        </is>
      </c>
    </row>
    <row r="123">
      <c r="A123" s="9" t="n">
        <v>120</v>
      </c>
      <c r="B123" s="10" t="inlineStr">
        <is>
          <t xml:space="preserve">                "message": message,</t>
        </is>
      </c>
    </row>
    <row r="124">
      <c r="A124" s="7" t="n">
        <v>121</v>
      </c>
      <c r="B124" s="8" t="inlineStr">
        <is>
          <t xml:space="preserve">                "module": module,</t>
        </is>
      </c>
    </row>
    <row r="125">
      <c r="A125" s="9" t="n">
        <v>122</v>
      </c>
      <c r="B125" s="10" t="inlineStr">
        <is>
          <t xml:space="preserve">                "timestamp": datetime.now().isoformat(),</t>
        </is>
      </c>
    </row>
    <row r="126">
      <c r="A126" s="7" t="n">
        <v>123</v>
      </c>
      <c r="B126" s="8" t="inlineStr">
        <is>
          <t xml:space="preserve">            })</t>
        </is>
      </c>
    </row>
    <row r="127">
      <c r="A127" s="9" t="n">
        <v>124</v>
      </c>
      <c r="B127" s="10" t="inlineStr">
        <is>
          <t xml:space="preserve">        except ImportError:</t>
        </is>
      </c>
    </row>
    <row r="128">
      <c r="A128" s="7" t="n">
        <v>125</v>
      </c>
      <c r="B128" s="8" t="inlineStr">
        <is>
          <t xml:space="preserve">            pass</t>
        </is>
      </c>
    </row>
    <row r="129">
      <c r="A129" s="9" t="n">
        <v>126</v>
      </c>
      <c r="B129" s="10" t="inlineStr">
        <is>
          <t xml:space="preserve">        except Exception:</t>
        </is>
      </c>
    </row>
    <row r="130">
      <c r="A130" s="7" t="n">
        <v>127</v>
      </c>
      <c r="B130" s="8" t="inlineStr">
        <is>
          <t xml:space="preserve">            pass</t>
        </is>
      </c>
    </row>
    <row r="131">
      <c r="A131" s="9" t="n">
        <v>128</v>
      </c>
      <c r="B131" s="10" t="inlineStr"/>
    </row>
    <row r="132">
      <c r="A132" s="7" t="n">
        <v>129</v>
      </c>
      <c r="B132" s="8" t="inlineStr">
        <is>
          <t xml:space="preserve">    def set_ui_enabled(self, enabled: bool):</t>
        </is>
      </c>
    </row>
    <row r="133">
      <c r="A133" s="9" t="n">
        <v>130</v>
      </c>
      <c r="B133" s="10" t="inlineStr">
        <is>
          <t xml:space="preserve">        self._ui_enabled = enabled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>
        <is>
          <t xml:space="preserve">    def set_console_enabled(self, enabled: bool):</t>
        </is>
      </c>
    </row>
    <row r="136">
      <c r="A136" s="7" t="n">
        <v>133</v>
      </c>
      <c r="B136" s="8" t="inlineStr">
        <is>
          <t xml:space="preserve">        self._console_enabled = enabled</t>
        </is>
      </c>
    </row>
    <row r="137">
      <c r="A137" s="9" t="n">
        <v>134</v>
      </c>
      <c r="B137" s="10" t="inlineStr"/>
    </row>
    <row r="138">
      <c r="A138" s="7" t="n">
        <v>135</v>
      </c>
      <c r="B138" s="8" t="inlineStr">
        <is>
          <t xml:space="preserve">    # ═══════════════ ★ v12.1: 日志查询 ═══════════════</t>
        </is>
      </c>
    </row>
    <row r="139">
      <c r="A139" s="9" t="n">
        <v>136</v>
      </c>
      <c r="B139" s="10" t="inlineStr">
        <is>
          <t xml:space="preserve">    def get_recent_logs(self, count: int = 50) -&gt; str:</t>
        </is>
      </c>
    </row>
    <row r="140">
      <c r="A140" s="7" t="n">
        <v>137</v>
      </c>
      <c r="B140" s="8" t="inlineStr">
        <is>
          <t xml:space="preserve">        """获取最近N条日志文本 — 对应导图 LogWindow.get_recent_logs()"""</t>
        </is>
      </c>
    </row>
    <row r="141">
      <c r="A141" s="9" t="n">
        <v>138</v>
      </c>
      <c r="B141" s="10" t="inlineStr">
        <is>
          <t xml:space="preserve">        logs = self.get_all_logs_today()</t>
        </is>
      </c>
    </row>
    <row r="142">
      <c r="A142" s="7" t="n">
        <v>139</v>
      </c>
      <c r="B142" s="8" t="inlineStr">
        <is>
          <t xml:space="preserve">        return "\n".join(logs[-count:]) if logs else "暂无日志"</t>
        </is>
      </c>
    </row>
    <row r="143">
      <c r="A143" s="9" t="n">
        <v>140</v>
      </c>
      <c r="B143" s="10" t="inlineStr"/>
    </row>
    <row r="144">
      <c r="A144" s="7" t="n">
        <v>141</v>
      </c>
      <c r="B144" s="8" t="inlineStr">
        <is>
          <t xml:space="preserve">    def get_error_history(self) -&gt; list:</t>
        </is>
      </c>
    </row>
    <row r="145">
      <c r="A145" s="9" t="n">
        <v>142</v>
      </c>
      <c r="B145" s="10" t="inlineStr">
        <is>
          <t xml:space="preserve">        """获取错误日志历史"""</t>
        </is>
      </c>
    </row>
    <row r="146">
      <c r="A146" s="7" t="n">
        <v>143</v>
      </c>
      <c r="B146" s="8" t="inlineStr">
        <is>
          <t xml:space="preserve">        return self.get_recent_errors(n=50)</t>
        </is>
      </c>
    </row>
    <row r="147">
      <c r="A147" s="9" t="n">
        <v>144</v>
      </c>
      <c r="B147" s="10" t="inlineStr">
        <is>
          <t xml:space="preserve">        self._console_enabled = enabled</t>
        </is>
      </c>
    </row>
    <row r="148">
      <c r="A148" s="7" t="n">
        <v>145</v>
      </c>
      <c r="B148" s="8" t="inlineStr"/>
    </row>
    <row r="149">
      <c r="A149" s="9" t="n">
        <v>146</v>
      </c>
      <c r="B149" s="10" t="inlineStr">
        <is>
          <t xml:space="preserve">    # ── 日志查询 ─────────────────────────────────────</t>
        </is>
      </c>
    </row>
    <row r="150">
      <c r="A150" s="7" t="n">
        <v>147</v>
      </c>
      <c r="B150" s="8" t="inlineStr">
        <is>
          <t xml:space="preserve">    def get_recent_errors(self, n: int = 20) -&gt; list:</t>
        </is>
      </c>
    </row>
    <row r="151">
      <c r="A151" s="9" t="n">
        <v>148</v>
      </c>
      <c r="B151" s="10" t="inlineStr">
        <is>
          <t xml:space="preserve">        """获取最近错误(从文件读取)"""</t>
        </is>
      </c>
    </row>
    <row r="152">
      <c r="A152" s="7" t="n">
        <v>149</v>
      </c>
      <c r="B152" s="8" t="inlineStr">
        <is>
          <t xml:space="preserve">        errors = []</t>
        </is>
      </c>
    </row>
    <row r="153">
      <c r="A153" s="9" t="n">
        <v>150</v>
      </c>
      <c r="B153" s="10" t="inlineStr">
        <is>
          <t xml:space="preserve">        for f in sorted(_LOG_DIR.glob("errors_*.log"), reverse=True)[:5]:</t>
        </is>
      </c>
    </row>
    <row r="154">
      <c r="A154" s="7" t="n">
        <v>151</v>
      </c>
      <c r="B154" s="8" t="inlineStr">
        <is>
          <t xml:space="preserve">            try:</t>
        </is>
      </c>
    </row>
    <row r="155">
      <c r="A155" s="9" t="n">
        <v>152</v>
      </c>
      <c r="B155" s="10" t="inlineStr">
        <is>
          <t xml:space="preserve">                lines = f.read_text(encoding="utf-8").strip().split("\n")</t>
        </is>
      </c>
    </row>
    <row r="156">
      <c r="A156" s="7" t="n">
        <v>153</v>
      </c>
      <c r="B156" s="8" t="inlineStr">
        <is>
          <t xml:space="preserve">                for line in reversed(lines):</t>
        </is>
      </c>
    </row>
    <row r="157">
      <c r="A157" s="9" t="n">
        <v>154</v>
      </c>
      <c r="B157" s="10" t="inlineStr">
        <is>
          <t xml:space="preserve">                    if "WARNING" in line or "ERROR" in line or "CRITICAL" in line:</t>
        </is>
      </c>
    </row>
    <row r="158">
      <c r="A158" s="7" t="n">
        <v>155</v>
      </c>
      <c r="B158" s="8" t="inlineStr">
        <is>
          <t xml:space="preserve">                        errors.append(line)</t>
        </is>
      </c>
    </row>
    <row r="159">
      <c r="A159" s="9" t="n">
        <v>156</v>
      </c>
      <c r="B159" s="10" t="inlineStr">
        <is>
          <t xml:space="preserve">                        if len(errors) &gt;= n:</t>
        </is>
      </c>
    </row>
    <row r="160">
      <c r="A160" s="7" t="n">
        <v>157</v>
      </c>
      <c r="B160" s="8" t="inlineStr">
        <is>
          <t xml:space="preserve">                            return errors</t>
        </is>
      </c>
    </row>
    <row r="161">
      <c r="A161" s="9" t="n">
        <v>158</v>
      </c>
      <c r="B161" s="10" t="inlineStr">
        <is>
          <t xml:space="preserve">            except Exception:</t>
        </is>
      </c>
    </row>
    <row r="162">
      <c r="A162" s="7" t="n">
        <v>159</v>
      </c>
      <c r="B162" s="8" t="inlineStr">
        <is>
          <t xml:space="preserve">                pass</t>
        </is>
      </c>
    </row>
    <row r="163">
      <c r="A163" s="9" t="n">
        <v>160</v>
      </c>
      <c r="B163" s="10" t="inlineStr">
        <is>
          <t xml:space="preserve">        return errors</t>
        </is>
      </c>
    </row>
    <row r="164">
      <c r="A164" s="7" t="n">
        <v>161</v>
      </c>
      <c r="B164" s="8" t="inlineStr"/>
    </row>
    <row r="165">
      <c r="A165" s="9" t="n">
        <v>162</v>
      </c>
      <c r="B165" s="10" t="inlineStr">
        <is>
          <t xml:space="preserve">    def get_all_logs_today(self) -&gt; list:</t>
        </is>
      </c>
    </row>
    <row r="166">
      <c r="A166" s="7" t="n">
        <v>163</v>
      </c>
      <c r="B166" s="8" t="inlineStr">
        <is>
          <t xml:space="preserve">        """获取今天的全部日志"""</t>
        </is>
      </c>
    </row>
    <row r="167">
      <c r="A167" s="9" t="n">
        <v>164</v>
      </c>
      <c r="B167" s="10" t="inlineStr">
        <is>
          <t xml:space="preserve">        today_file = _LOG_DIR / f"treecut_{datetime.now().strftime('%Y%m%d')}.log"</t>
        </is>
      </c>
    </row>
    <row r="168">
      <c r="A168" s="7" t="n">
        <v>165</v>
      </c>
      <c r="B168" s="8" t="inlineStr">
        <is>
          <t xml:space="preserve">        if today_file.exists():</t>
        </is>
      </c>
    </row>
    <row r="169">
      <c r="A169" s="9" t="n">
        <v>166</v>
      </c>
      <c r="B169" s="10" t="inlineStr">
        <is>
          <t xml:space="preserve">            return today_file.read_text(encoding="utf-8").strip().split("\n")</t>
        </is>
      </c>
    </row>
    <row r="170">
      <c r="A170" s="7" t="n">
        <v>167</v>
      </c>
      <c r="B170" s="8" t="inlineStr">
        <is>
          <t xml:space="preserve">        return []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def get_stats(self) -&gt; dict:</t>
        </is>
      </c>
    </row>
    <row r="173">
      <c r="A173" s="9" t="n">
        <v>170</v>
      </c>
      <c r="B173" s="10" t="inlineStr">
        <is>
          <t xml:space="preserve">        """获取日志统计"""</t>
        </is>
      </c>
    </row>
    <row r="174">
      <c r="A174" s="7" t="n">
        <v>171</v>
      </c>
      <c r="B174" s="8" t="inlineStr">
        <is>
          <t xml:space="preserve">        stats = {"ERROR": 0, "WARNING": 0, "INFO": 0, "DEBUG": 0}</t>
        </is>
      </c>
    </row>
    <row r="175">
      <c r="A175" s="9" t="n">
        <v>172</v>
      </c>
      <c r="B175" s="10" t="inlineStr">
        <is>
          <t xml:space="preserve">        for f in _LOG_DIR.glob("treecut_*.log"):</t>
        </is>
      </c>
    </row>
    <row r="176">
      <c r="A176" s="7" t="n">
        <v>173</v>
      </c>
      <c r="B176" s="8" t="inlineStr">
        <is>
          <t xml:space="preserve">            try:</t>
        </is>
      </c>
    </row>
    <row r="177">
      <c r="A177" s="9" t="n">
        <v>174</v>
      </c>
      <c r="B177" s="10" t="inlineStr">
        <is>
          <t xml:space="preserve">                for line in f.read_text(encoding="utf-8").split("\n"):</t>
        </is>
      </c>
    </row>
    <row r="178">
      <c r="A178" s="7" t="n">
        <v>175</v>
      </c>
      <c r="B178" s="8" t="inlineStr">
        <is>
          <t xml:space="preserve">                    for level in stats:</t>
        </is>
      </c>
    </row>
    <row r="179">
      <c r="A179" s="9" t="n">
        <v>176</v>
      </c>
      <c r="B179" s="10" t="inlineStr">
        <is>
          <t xml:space="preserve">                        if f"[{level}]" in line:</t>
        </is>
      </c>
    </row>
    <row r="180">
      <c r="A180" s="7" t="n">
        <v>177</v>
      </c>
      <c r="B180" s="8" t="inlineStr">
        <is>
          <t xml:space="preserve">                            stats[level] += 1</t>
        </is>
      </c>
    </row>
    <row r="181">
      <c r="A181" s="9" t="n">
        <v>178</v>
      </c>
      <c r="B181" s="10" t="inlineStr">
        <is>
          <t xml:space="preserve">            except Exception:</t>
        </is>
      </c>
    </row>
    <row r="182">
      <c r="A182" s="7" t="n">
        <v>179</v>
      </c>
      <c r="B182" s="8" t="inlineStr">
        <is>
          <t xml:space="preserve">                pass</t>
        </is>
      </c>
    </row>
    <row r="183">
      <c r="A183" s="9" t="n">
        <v>180</v>
      </c>
      <c r="B183" s="10" t="inlineStr">
        <is>
          <t xml:space="preserve">        return stats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def cleanup_old_logs(self, keep_days: int = 30):</t>
        </is>
      </c>
    </row>
    <row r="186">
      <c r="A186" s="7" t="n">
        <v>183</v>
      </c>
      <c r="B186" s="8" t="inlineStr">
        <is>
          <t xml:space="preserve">        """清理过期日志"""</t>
        </is>
      </c>
    </row>
    <row r="187">
      <c r="A187" s="9" t="n">
        <v>184</v>
      </c>
      <c r="B187" s="10" t="inlineStr">
        <is>
          <t xml:space="preserve">        import time</t>
        </is>
      </c>
    </row>
    <row r="188">
      <c r="A188" s="7" t="n">
        <v>185</v>
      </c>
      <c r="B188" s="8" t="inlineStr">
        <is>
          <t xml:space="preserve">        cutoff = time.time() - keep_days * 86400</t>
        </is>
      </c>
    </row>
    <row r="189">
      <c r="A189" s="9" t="n">
        <v>186</v>
      </c>
      <c r="B189" s="10" t="inlineStr">
        <is>
          <t xml:space="preserve">        for f in _LOG_DIR.glob("treecut_*.log"):</t>
        </is>
      </c>
    </row>
    <row r="190">
      <c r="A190" s="7" t="n">
        <v>187</v>
      </c>
      <c r="B190" s="8" t="inlineStr">
        <is>
          <t xml:space="preserve">            if f.stat().st_mtime &lt; cutoff:</t>
        </is>
      </c>
    </row>
    <row r="191">
      <c r="A191" s="9" t="n">
        <v>188</v>
      </c>
      <c r="B191" s="10" t="inlineStr">
        <is>
          <t xml:space="preserve">                f.unlink(missing_ok=True)</t>
        </is>
      </c>
    </row>
    <row r="192">
      <c r="A192" s="7" t="n">
        <v>189</v>
      </c>
      <c r="B192" s="8" t="inlineStr">
        <is>
          <t xml:space="preserve">        for f in _LOG_DIR.glob("errors_*.log"):</t>
        </is>
      </c>
    </row>
    <row r="193">
      <c r="A193" s="9" t="n">
        <v>190</v>
      </c>
      <c r="B193" s="10" t="inlineStr">
        <is>
          <t xml:space="preserve">            if f.stat().st_mtime &lt; cutoff:</t>
        </is>
      </c>
    </row>
    <row r="194">
      <c r="A194" s="7" t="n">
        <v>191</v>
      </c>
      <c r="B194" s="8" t="inlineStr">
        <is>
          <t xml:space="preserve">                f.unlink(missing_ok=True)</t>
        </is>
      </c>
    </row>
    <row r="195">
      <c r="A195" s="9" t="n">
        <v>192</v>
      </c>
      <c r="B195" s="10" t="inlineStr"/>
    </row>
    <row r="196">
      <c r="A196" s="7" t="n">
        <v>193</v>
      </c>
      <c r="B196" s="8" t="inlineStr"/>
    </row>
    <row r="197">
      <c r="A197" s="9" t="n">
        <v>194</v>
      </c>
      <c r="B197" s="10" t="inlineStr">
        <is>
          <t># ── 全局单例 ──────────────────────────────────────────</t>
        </is>
      </c>
    </row>
    <row r="198">
      <c r="A198" s="7" t="n">
        <v>195</v>
      </c>
      <c r="B198" s="8" t="inlineStr">
        <is>
          <t>_log_manager = LogManager()</t>
        </is>
      </c>
    </row>
    <row r="199">
      <c r="A199" s="9" t="n">
        <v>196</v>
      </c>
      <c r="B199" s="10" t="inlineStr"/>
    </row>
    <row r="200">
      <c r="A200" s="7" t="n">
        <v>197</v>
      </c>
      <c r="B200" s="8" t="inlineStr"/>
    </row>
    <row r="201">
      <c r="A201" s="9" t="n">
        <v>198</v>
      </c>
      <c r="B201" s="10" t="inlineStr">
        <is>
          <t>def get_logger(name: str) -&gt; logging.Logger:</t>
        </is>
      </c>
    </row>
    <row r="202">
      <c r="A202" s="7" t="n">
        <v>199</v>
      </c>
      <c r="B202" s="8" t="inlineStr">
        <is>
          <t xml:space="preserve">    """获取模块日志器 — 推荐用法"""</t>
        </is>
      </c>
    </row>
    <row r="203">
      <c r="A203" s="9" t="n">
        <v>200</v>
      </c>
      <c r="B203" s="10" t="inlineStr">
        <is>
          <t xml:space="preserve">    return _log_manager.get_logger(name)</t>
        </is>
      </c>
    </row>
    <row r="204">
      <c r="A204" s="7" t="n">
        <v>201</v>
      </c>
      <c r="B204" s="8" t="inlineStr"/>
    </row>
    <row r="205">
      <c r="A205" s="9" t="n">
        <v>202</v>
      </c>
      <c r="B205" s="10" t="inlineStr"/>
    </row>
    <row r="206">
      <c r="A206" s="7" t="n">
        <v>203</v>
      </c>
      <c r="B206" s="8" t="inlineStr">
        <is>
          <t># ── 便捷函数(向后兼容) ────────────────────────────────</t>
        </is>
      </c>
    </row>
    <row r="207">
      <c r="A207" s="9" t="n">
        <v>204</v>
      </c>
      <c r="B207" s="10" t="inlineStr">
        <is>
          <t>def setup_eventbus():</t>
        </is>
      </c>
    </row>
    <row r="208">
      <c r="A208" s="7" t="n">
        <v>205</v>
      </c>
      <c r="B208" s="8" t="inlineStr">
        <is>
          <t xml:space="preserve">    """激活EventBus日志输出 — 在树剪.py初始化时调用"""</t>
        </is>
      </c>
    </row>
    <row r="209">
      <c r="A209" s="9" t="n">
        <v>206</v>
      </c>
      <c r="B209" s="10" t="inlineStr">
        <is>
          <t xml:space="preserve">    _log_manager.enable_eventbus()</t>
        </is>
      </c>
    </row>
    <row r="210">
      <c r="A210" s="7" t="n">
        <v>207</v>
      </c>
      <c r="B210" s="8" t="inlineStr"/>
    </row>
    <row r="211">
      <c r="A211" s="9" t="n">
        <v>208</v>
      </c>
      <c r="B211" s="10" t="inlineStr"/>
    </row>
    <row r="212">
      <c r="A212" s="7" t="n">
        <v>209</v>
      </c>
      <c r="B212" s="8" t="inlineStr">
        <is>
          <t>def log_error(source: str, message: str, detail: Any = None):</t>
        </is>
      </c>
    </row>
    <row r="213">
      <c r="A213" s="9" t="n">
        <v>210</v>
      </c>
      <c r="B213" s="10" t="inlineStr">
        <is>
          <t xml:space="preserve">    logger = get_logger(source)</t>
        </is>
      </c>
    </row>
    <row r="214">
      <c r="A214" s="7" t="n">
        <v>211</v>
      </c>
      <c r="B214" s="8" t="inlineStr">
        <is>
          <t xml:space="preserve">    logger.error(f"{message}" + (f" | {detail}" if detail else ""))</t>
        </is>
      </c>
    </row>
    <row r="215">
      <c r="A215" s="9" t="n">
        <v>212</v>
      </c>
      <c r="B215" s="10" t="inlineStr"/>
    </row>
    <row r="216">
      <c r="A216" s="7" t="n">
        <v>213</v>
      </c>
      <c r="B216" s="8" t="inlineStr">
        <is>
          <t>def log_warning(source: str, message: str, detail: Any = None):</t>
        </is>
      </c>
    </row>
    <row r="217">
      <c r="A217" s="9" t="n">
        <v>214</v>
      </c>
      <c r="B217" s="10" t="inlineStr">
        <is>
          <t xml:space="preserve">    logger = get_logger(source)</t>
        </is>
      </c>
    </row>
    <row r="218">
      <c r="A218" s="7" t="n">
        <v>215</v>
      </c>
      <c r="B218" s="8" t="inlineStr">
        <is>
          <t xml:space="preserve">    logger.warning(f"{message}" + (f" | {detail}" if detail else ""))</t>
        </is>
      </c>
    </row>
    <row r="219">
      <c r="A219" s="9" t="n">
        <v>216</v>
      </c>
      <c r="B219" s="10" t="inlineStr"/>
    </row>
    <row r="220">
      <c r="A220" s="7" t="n">
        <v>217</v>
      </c>
      <c r="B220" s="8" t="inlineStr">
        <is>
          <t>def log_info(source: str, message: str, detail: Any = None):</t>
        </is>
      </c>
    </row>
    <row r="221">
      <c r="A221" s="9" t="n">
        <v>218</v>
      </c>
      <c r="B221" s="10" t="inlineStr">
        <is>
          <t xml:space="preserve">    logger = get_logger(source)</t>
        </is>
      </c>
    </row>
    <row r="222">
      <c r="A222" s="7" t="n">
        <v>219</v>
      </c>
      <c r="B222" s="8" t="inlineStr">
        <is>
          <t xml:space="preserve">    logger.info(f"{message}" + (f" | {detail}" if detail else ""))</t>
        </is>
      </c>
    </row>
    <row r="223">
      <c r="A223" s="9" t="n">
        <v>220</v>
      </c>
      <c r="B223" s="10" t="inlineStr"/>
    </row>
    <row r="224">
      <c r="A224" s="7" t="n">
        <v>221</v>
      </c>
      <c r="B224" s="8" t="inlineStr">
        <is>
          <t>def log_debug(source: str, message: str, detail: Any = None):</t>
        </is>
      </c>
    </row>
    <row r="225">
      <c r="A225" s="9" t="n">
        <v>222</v>
      </c>
      <c r="B225" s="10" t="inlineStr">
        <is>
          <t xml:space="preserve">    logger = get_logger(source)</t>
        </is>
      </c>
    </row>
    <row r="226">
      <c r="A226" s="7" t="n">
        <v>223</v>
      </c>
      <c r="B226" s="8" t="inlineStr">
        <is>
          <t xml:space="preserve">    logger.debug(f"{message}" + (f" | {detail}" if detail else ""))</t>
        </is>
      </c>
    </row>
    <row r="227">
      <c r="A227" s="9" t="n">
        <v>224</v>
      </c>
      <c r="B227" s="10" t="inlineStr"/>
    </row>
    <row r="228">
      <c r="A228" s="7" t="n">
        <v>225</v>
      </c>
      <c r="B228" s="8" t="inlineStr"/>
    </row>
    <row r="229">
      <c r="A229" s="9" t="n">
        <v>226</v>
      </c>
      <c r="B229" s="10" t="inlineStr">
        <is>
          <t># ── 兼容旧API ─────────────────────────────────────────</t>
        </is>
      </c>
    </row>
    <row r="230">
      <c r="A230" s="7" t="n">
        <v>227</v>
      </c>
      <c r="B230" s="8" t="inlineStr">
        <is>
          <t>class ErrorLogger:</t>
        </is>
      </c>
    </row>
    <row r="231">
      <c r="A231" s="9" t="n">
        <v>228</v>
      </c>
      <c r="B231" s="10" t="inlineStr">
        <is>
          <t xml:space="preserve">    """兼容旧版 ErrorLogger 接口"""</t>
        </is>
      </c>
    </row>
    <row r="232">
      <c r="A232" s="7" t="n">
        <v>229</v>
      </c>
      <c r="B232" s="8" t="inlineStr">
        <is>
          <t xml:space="preserve">    _instance = None</t>
        </is>
      </c>
    </row>
    <row r="233">
      <c r="A233" s="9" t="n">
        <v>230</v>
      </c>
      <c r="B233" s="10" t="inlineStr">
        <is>
          <t xml:space="preserve">    _lock = threading.Lock()</t>
        </is>
      </c>
    </row>
    <row r="234">
      <c r="A234" s="7" t="n">
        <v>231</v>
      </c>
      <c r="B234" s="8" t="inlineStr"/>
    </row>
    <row r="235">
      <c r="A235" s="9" t="n">
        <v>232</v>
      </c>
      <c r="B235" s="10" t="inlineStr">
        <is>
          <t xml:space="preserve">    def __new__(cls):</t>
        </is>
      </c>
    </row>
    <row r="236">
      <c r="A236" s="7" t="n">
        <v>233</v>
      </c>
      <c r="B236" s="8" t="inlineStr">
        <is>
          <t xml:space="preserve">        if cls._instance is None:</t>
        </is>
      </c>
    </row>
    <row r="237">
      <c r="A237" s="9" t="n">
        <v>234</v>
      </c>
      <c r="B237" s="10" t="inlineStr">
        <is>
          <t xml:space="preserve">            with cls._lock:</t>
        </is>
      </c>
    </row>
    <row r="238">
      <c r="A238" s="7" t="n">
        <v>235</v>
      </c>
      <c r="B238" s="8" t="inlineStr">
        <is>
          <t xml:space="preserve">                if cls._instance is None:</t>
        </is>
      </c>
    </row>
    <row r="239">
      <c r="A239" s="9" t="n">
        <v>236</v>
      </c>
      <c r="B239" s="10" t="inlineStr">
        <is>
          <t xml:space="preserve">                    cls._instance = super().__new__(cls)</t>
        </is>
      </c>
    </row>
    <row r="240">
      <c r="A240" s="7" t="n">
        <v>237</v>
      </c>
      <c r="B240" s="8" t="inlineStr">
        <is>
          <t xml:space="preserve">        return cls._instance</t>
        </is>
      </c>
    </row>
    <row r="241">
      <c r="A241" s="9" t="n">
        <v>238</v>
      </c>
      <c r="B241" s="10" t="inlineStr"/>
    </row>
    <row r="242">
      <c r="A242" s="7" t="n">
        <v>239</v>
      </c>
      <c r="B242" s="8" t="inlineStr">
        <is>
          <t xml:space="preserve">    def log(self, source: str, level: str, message: str, detail: Any = None):</t>
        </is>
      </c>
    </row>
    <row r="243">
      <c r="A243" s="9" t="n">
        <v>240</v>
      </c>
      <c r="B243" s="10" t="inlineStr">
        <is>
          <t xml:space="preserve">        logger = get_logger(source)</t>
        </is>
      </c>
    </row>
    <row r="244">
      <c r="A244" s="7" t="n">
        <v>241</v>
      </c>
      <c r="B244" s="8" t="inlineStr">
        <is>
          <t xml:space="preserve">        log_func = getattr(logger, level.lower(), logger.info)</t>
        </is>
      </c>
    </row>
    <row r="245">
      <c r="A245" s="9" t="n">
        <v>242</v>
      </c>
      <c r="B245" s="10" t="inlineStr">
        <is>
          <t xml:space="preserve">        log_func(f"{message}" + (f" | {detail}" if detail else ""))</t>
        </is>
      </c>
    </row>
    <row r="246">
      <c r="A246" s="7" t="n">
        <v>243</v>
      </c>
      <c r="B246" s="8" t="inlineStr"/>
    </row>
    <row r="247">
      <c r="A247" s="9" t="n">
        <v>244</v>
      </c>
      <c r="B247" s="10" t="inlineStr">
        <is>
          <t xml:space="preserve">    def critical(self, source: str, message: str, detail: Any = None):</t>
        </is>
      </c>
    </row>
    <row r="248">
      <c r="A248" s="7" t="n">
        <v>245</v>
      </c>
      <c r="B248" s="8" t="inlineStr">
        <is>
          <t xml:space="preserve">        self.log(source, "critical", message, detail)</t>
        </is>
      </c>
    </row>
    <row r="249">
      <c r="A249" s="9" t="n">
        <v>246</v>
      </c>
      <c r="B249" s="10" t="inlineStr">
        <is>
          <t xml:space="preserve">    def error(self, source: str, message: str, detail: Any = None):</t>
        </is>
      </c>
    </row>
    <row r="250">
      <c r="A250" s="7" t="n">
        <v>247</v>
      </c>
      <c r="B250" s="8" t="inlineStr">
        <is>
          <t xml:space="preserve">        self.log(source, "error", message, detail)</t>
        </is>
      </c>
    </row>
    <row r="251">
      <c r="A251" s="9" t="n">
        <v>248</v>
      </c>
      <c r="B251" s="10" t="inlineStr">
        <is>
          <t xml:space="preserve">    def warning(self, source: str, message: str, detail: Any = None):</t>
        </is>
      </c>
    </row>
    <row r="252">
      <c r="A252" s="7" t="n">
        <v>249</v>
      </c>
      <c r="B252" s="8" t="inlineStr">
        <is>
          <t xml:space="preserve">        self.log(source, "warning", message, detail)</t>
        </is>
      </c>
    </row>
    <row r="253">
      <c r="A253" s="9" t="n">
        <v>250</v>
      </c>
      <c r="B253" s="10" t="inlineStr">
        <is>
          <t xml:space="preserve">    def info(self, source: str, message: str, detail: Any = None):</t>
        </is>
      </c>
    </row>
    <row r="254">
      <c r="A254" s="7" t="n">
        <v>251</v>
      </c>
      <c r="B254" s="8" t="inlineStr">
        <is>
          <t xml:space="preserve">        self.log(source, "info", message, detail)</t>
        </is>
      </c>
    </row>
    <row r="255">
      <c r="A255" s="9" t="n">
        <v>252</v>
      </c>
      <c r="B255" s="10" t="inlineStr">
        <is>
          <t xml:space="preserve">    def set_log_path(self, path): pass</t>
        </is>
      </c>
    </row>
    <row r="256">
      <c r="A256" s="7" t="n">
        <v>253</v>
      </c>
      <c r="B256" s="8" t="inlineStr">
        <is>
          <t xml:space="preserve">    def get_recent(self, n=20, level=None): return []</t>
        </is>
      </c>
    </row>
    <row r="257">
      <c r="A257" s="9" t="n">
        <v>254</v>
      </c>
      <c r="B257" s="10" t="inlineStr">
        <is>
          <t xml:space="preserve">    def get_stats(self): return _log_manager.get_stats()</t>
        </is>
      </c>
    </row>
    <row r="258">
      <c r="A258" s="7" t="n">
        <v>255</v>
      </c>
      <c r="B258" s="8" t="inlineStr">
        <is>
          <t xml:space="preserve">    def print_stats(self): pass</t>
        </is>
      </c>
    </row>
    <row r="259">
      <c r="A259" s="9" t="n">
        <v>256</v>
      </c>
      <c r="B259" s="10" t="inlineStr"/>
    </row>
    <row r="260">
      <c r="A260" s="7" t="n">
        <v>257</v>
      </c>
      <c r="B260" s="8" t="inlineStr">
        <is>
          <t>_error_logger = ErrorLogger()</t>
        </is>
      </c>
    </row>
    <row r="261">
      <c r="A261" s="9" t="n">
        <v>258</v>
      </c>
      <c r="B261" s="10" t="inlineStr">
        <is>
          <t>def get_error_logger() -&gt; ErrorLogger:</t>
        </is>
      </c>
    </row>
    <row r="262">
      <c r="A262" s="7" t="n">
        <v>259</v>
      </c>
      <c r="B262" s="8" t="inlineStr">
        <is>
          <t xml:space="preserve">    return _error_logger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utils\model_downloader.py</t>
        </is>
      </c>
      <c r="C1" s="5" t="inlineStr">
        <is>
          <t>行数: 44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"""模型下载器 — download_model + ensure_model_available"""</t>
        </is>
      </c>
    </row>
    <row r="5">
      <c r="A5" s="9" t="n">
        <v>2</v>
      </c>
      <c r="B5" s="10" t="inlineStr">
        <is>
          <t>import os, sys, subprocess</t>
        </is>
      </c>
    </row>
    <row r="6">
      <c r="A6" s="7" t="n">
        <v>3</v>
      </c>
      <c r="B6" s="8" t="inlineStr">
        <is>
          <t>from pathlib import Path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MODEL_HF = {"qwen3-7b":"Qwen/Qwen3-VL-7B","qwen3-3b":"Qwen/Qwen3-VL-3B","kimi-vl":"moonshotai/Kimi-VL-A3B-Instruct","tarsier2":"Tarsier2-7B","florence2":"microsoft/Florence-2-base"}</t>
        </is>
      </c>
    </row>
    <row r="9">
      <c r="A9" s="9" t="n">
        <v>6</v>
      </c>
      <c r="B9" s="10" t="inlineStr">
        <is>
          <t>MODEL_SIZE = {"qwen3-7b":"14GB","qwen3-3b":"6GB","kimi-vl":"6GB","tarsier2":"14GB","florence2":"0.5GB"}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def ensure_model_available(model_key="qwen2.5-ollama") -&gt; bool:</t>
        </is>
      </c>
    </row>
    <row r="12">
      <c r="A12" s="7" t="n">
        <v>9</v>
      </c>
      <c r="B12" s="8" t="inlineStr">
        <is>
          <t xml:space="preserve">    """确保模型可用 — ollama直接检测, transformers检查缓存"""</t>
        </is>
      </c>
    </row>
    <row r="13">
      <c r="A13" s="9" t="n">
        <v>10</v>
      </c>
      <c r="B13" s="10" t="inlineStr">
        <is>
          <t xml:space="preserve">    if model_key == "qwen2.5-ollama" or "ollama" in model_key:</t>
        </is>
      </c>
    </row>
    <row r="14">
      <c r="A14" s="7" t="n">
        <v>11</v>
      </c>
      <c r="B14" s="8" t="inlineStr">
        <is>
          <t xml:space="preserve">        try:</t>
        </is>
      </c>
    </row>
    <row r="15">
      <c r="A15" s="9" t="n">
        <v>12</v>
      </c>
      <c r="B15" s="10" t="inlineStr">
        <is>
          <t xml:space="preserve">            import urllib.request, json</t>
        </is>
      </c>
    </row>
    <row r="16">
      <c r="A16" s="7" t="n">
        <v>13</v>
      </c>
      <c r="B16" s="8" t="inlineStr">
        <is>
          <t xml:space="preserve">            req = urllib.request.Request("http://localhost:11434/api/tags")</t>
        </is>
      </c>
    </row>
    <row r="17">
      <c r="A17" s="9" t="n">
        <v>14</v>
      </c>
      <c r="B17" s="10" t="inlineStr">
        <is>
          <t xml:space="preserve">            with urllib.request.urlopen(req, timeout=3) as resp:</t>
        </is>
      </c>
    </row>
    <row r="18">
      <c r="A18" s="7" t="n">
        <v>15</v>
      </c>
      <c r="B18" s="8" t="inlineStr">
        <is>
          <t xml:space="preserve">                r = json.loads(resp.read())</t>
        </is>
      </c>
    </row>
    <row r="19">
      <c r="A19" s="9" t="n">
        <v>16</v>
      </c>
      <c r="B19" s="10" t="inlineStr">
        <is>
          <t xml:space="preserve">            installed = [m["name"] for m in r.get("models",[])]</t>
        </is>
      </c>
    </row>
    <row r="20">
      <c r="A20" s="7" t="n">
        <v>17</v>
      </c>
      <c r="B20" s="8" t="inlineStr">
        <is>
          <t xml:space="preserve">            return any("qwen2.5vl" in m or "qwen3-vl" in m for m in installed)</t>
        </is>
      </c>
    </row>
    <row r="21">
      <c r="A21" s="9" t="n">
        <v>18</v>
      </c>
      <c r="B21" s="10" t="inlineStr">
        <is>
          <t xml:space="preserve">        except Exception: return False</t>
        </is>
      </c>
    </row>
    <row r="22">
      <c r="A22" s="7" t="n">
        <v>19</v>
      </c>
      <c r="B22" s="8" t="inlineStr">
        <is>
          <t xml:space="preserve">    hf_name = MODEL_HF.get(model_key,"")</t>
        </is>
      </c>
    </row>
    <row r="23">
      <c r="A23" s="9" t="n">
        <v>20</v>
      </c>
      <c r="B23" s="10" t="inlineStr">
        <is>
          <t xml:space="preserve">    if not hf_name: return False</t>
        </is>
      </c>
    </row>
    <row r="24">
      <c r="A24" s="7" t="n">
        <v>21</v>
      </c>
      <c r="B24" s="8" t="inlineStr">
        <is>
          <t xml:space="preserve">    cache = Path.home()/".cache"/"huggingface"/"hub"/f"models--{hf_name.replace('/','--')}"</t>
        </is>
      </c>
    </row>
    <row r="25">
      <c r="A25" s="9" t="n">
        <v>22</v>
      </c>
      <c r="B25" s="10" t="inlineStr">
        <is>
          <t xml:space="preserve">    return cache.exists()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def download_model(model_key, progress_callback=None):</t>
        </is>
      </c>
    </row>
    <row r="28">
      <c r="A28" s="7" t="n">
        <v>25</v>
      </c>
      <c r="B28" s="8" t="inlineStr">
        <is>
          <t xml:space="preserve">    """下载指定模型到本地缓存, 带进度"""</t>
        </is>
      </c>
    </row>
    <row r="29">
      <c r="A29" s="9" t="n">
        <v>26</v>
      </c>
      <c r="B29" s="10" t="inlineStr">
        <is>
          <t xml:space="preserve">    if model_key == "qwen2.5-ollama":</t>
        </is>
      </c>
    </row>
    <row r="30">
      <c r="A30" s="7" t="n">
        <v>27</v>
      </c>
      <c r="B30" s="8" t="inlineStr">
        <is>
          <t xml:space="preserve">        print(f"📥 下载Qwen2.5-VL via Ollama...")</t>
        </is>
      </c>
    </row>
    <row r="31">
      <c r="A31" s="9" t="n">
        <v>28</v>
      </c>
      <c r="B31" s="10" t="inlineStr">
        <is>
          <t xml:space="preserve">        return subprocess.run(["ollama","pull","qwen2.5vl:7b"]).returncode == 0</t>
        </is>
      </c>
    </row>
    <row r="32">
      <c r="A32" s="7" t="n">
        <v>29</v>
      </c>
      <c r="B32" s="8" t="inlineStr">
        <is>
          <t xml:space="preserve">    hf_name = MODEL_HF.get(model_key,"")</t>
        </is>
      </c>
    </row>
    <row r="33">
      <c r="A33" s="9" t="n">
        <v>30</v>
      </c>
      <c r="B33" s="10" t="inlineStr">
        <is>
          <t xml:space="preserve">    if not hf_name: return False</t>
        </is>
      </c>
    </row>
    <row r="34">
      <c r="A34" s="7" t="n">
        <v>31</v>
      </c>
      <c r="B34" s="8" t="inlineStr">
        <is>
          <t xml:space="preserve">    print(f"📥 下载 {model_key} ({MODEL_SIZE.get(model_key,'?')}): {hf_name}")</t>
        </is>
      </c>
    </row>
    <row r="35">
      <c r="A35" s="9" t="n">
        <v>32</v>
      </c>
      <c r="B35" s="10" t="inlineStr">
        <is>
          <t xml:space="preserve">    try:</t>
        </is>
      </c>
    </row>
    <row r="36">
      <c r="A36" s="7" t="n">
        <v>33</v>
      </c>
      <c r="B36" s="8" t="inlineStr">
        <is>
          <t xml:space="preserve">        from huggingface_hub import snapshot_download</t>
        </is>
      </c>
    </row>
    <row r="37">
      <c r="A37" s="9" t="n">
        <v>34</v>
      </c>
      <c r="B37" s="10" t="inlineStr">
        <is>
          <t xml:space="preserve">        snapshot_download(hf_name, resume_download=True, max_workers=4)</t>
        </is>
      </c>
    </row>
    <row r="38">
      <c r="A38" s="7" t="n">
        <v>35</v>
      </c>
      <c r="B38" s="8" t="inlineStr">
        <is>
          <t xml:space="preserve">        return True</t>
        </is>
      </c>
    </row>
    <row r="39">
      <c r="A39" s="9" t="n">
        <v>36</v>
      </c>
      <c r="B39" s="10" t="inlineStr">
        <is>
          <t xml:space="preserve">    except ImportError:</t>
        </is>
      </c>
    </row>
    <row r="40">
      <c r="A40" s="7" t="n">
        <v>37</v>
      </c>
      <c r="B40" s="8" t="inlineStr">
        <is>
          <t xml:space="preserve">        print("请先: pip install huggingface_hub"); return False</t>
        </is>
      </c>
    </row>
    <row r="41">
      <c r="A41" s="9" t="n">
        <v>38</v>
      </c>
      <c r="B41" s="10" t="inlineStr">
        <is>
          <t xml:space="preserve">    except Exception as e: print(f"失败: {e}"); return False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def list_available():</t>
        </is>
      </c>
    </row>
    <row r="44">
      <c r="A44" s="7" t="n">
        <v>41</v>
      </c>
      <c r="B44" s="8" t="inlineStr">
        <is>
          <t xml:space="preserve">    """列出可用模型状态"""</t>
        </is>
      </c>
    </row>
    <row r="45">
      <c r="A45" s="9" t="n">
        <v>42</v>
      </c>
      <c r="B45" s="10" t="inlineStr">
        <is>
          <t xml:space="preserve">    print("\n模型状态:")</t>
        </is>
      </c>
    </row>
    <row r="46">
      <c r="A46" s="7" t="n">
        <v>43</v>
      </c>
      <c r="B46" s="8" t="inlineStr">
        <is>
          <t xml:space="preserve">    for k in MODEL_HF: print(f"  {k:12s} {MODEL_SIZE[k]:&gt;6s} {'✅已缓存' if ensure_model_available(k) else '❌需下载'}")</t>
        </is>
      </c>
    </row>
    <row r="47">
      <c r="A47" s="9" t="n">
        <v>44</v>
      </c>
      <c r="B47" s="10" t="inlineStr">
        <is>
          <t xml:space="preserve">    print(f"  {'qwen2.5-ollama':12s} {'5GB':&gt;6s} {'✅可用' if ensure_model_available('qwen2.5-ollama') else '❌未安装'}")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utils\quality_scorer.py</t>
        </is>
      </c>
      <c r="C1" s="5" t="inlineStr">
        <is>
          <t>行数: 200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素材质量评估与过滤模块 v2.0</t>
        </is>
      </c>
    </row>
    <row r="6">
      <c r="A6" s="7" t="n">
        <v>3</v>
      </c>
      <c r="B6" s="8" t="inlineStr">
        <is>
          <t>功能：清晰度、稳定性、构图、时长适配、标签完整度、感知哈希去重、批量并发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re, subprocess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from typing import List, Dict, Tuple, Optional</t>
        </is>
      </c>
    </row>
    <row r="11">
      <c r="A11" s="9" t="n">
        <v>8</v>
      </c>
      <c r="B11" s="10" t="inlineStr">
        <is>
          <t>from dataclasses import dataclass, field</t>
        </is>
      </c>
    </row>
    <row r="12">
      <c r="A12" s="7" t="n">
        <v>9</v>
      </c>
      <c r="B12" s="8" t="inlineStr">
        <is>
          <t>from concurrent.futures import ThreadPoolExecutor, as_completed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try:</t>
        </is>
      </c>
    </row>
    <row r="15">
      <c r="A15" s="9" t="n">
        <v>12</v>
      </c>
      <c r="B15" s="10" t="inlineStr">
        <is>
          <t xml:space="preserve">    import cv2, numpy as np</t>
        </is>
      </c>
    </row>
    <row r="16">
      <c r="A16" s="7" t="n">
        <v>13</v>
      </c>
      <c r="B16" s="8" t="inlineStr">
        <is>
          <t xml:space="preserve">    _HAS_CV = True</t>
        </is>
      </c>
    </row>
    <row r="17">
      <c r="A17" s="9" t="n">
        <v>14</v>
      </c>
      <c r="B17" s="10" t="inlineStr">
        <is>
          <t>except ImportError:</t>
        </is>
      </c>
    </row>
    <row r="18">
      <c r="A18" s="7" t="n">
        <v>15</v>
      </c>
      <c r="B18" s="8" t="inlineStr">
        <is>
          <t xml:space="preserve">    _HAS_CV = False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TAG_KEYWORDS = {</t>
        </is>
      </c>
    </row>
    <row r="21">
      <c r="A21" s="9" t="n">
        <v>18</v>
      </c>
      <c r="B21" s="10" t="inlineStr">
        <is>
          <t xml:space="preserve">    "materials": ["岩板","实木","石英石","大理石","不锈钢","亚克力","微水泥","洞石","奢石","潘多拉","宝格丽","胡桃","柚木","橡木","玻璃","多层板"],</t>
        </is>
      </c>
    </row>
    <row r="22">
      <c r="A22" s="7" t="n">
        <v>19</v>
      </c>
      <c r="B22" s="8" t="inlineStr">
        <is>
          <t xml:space="preserve">    "colors": ["纯黑","纯白","奶油白","奶白","深灰","浅灰","深棕","浅棕","原木色","米色","哑光白","哑光黑","香奈白","奶油色"],</t>
        </is>
      </c>
    </row>
    <row r="23">
      <c r="A23" s="9" t="n">
        <v>20</v>
      </c>
      <c r="B23" s="10" t="inlineStr">
        <is>
          <t xml:space="preserve">    "features": ["抽屉","烤箱","水槽","灯带","插座","酒柜","拉篮","吧台","薄抽","电磁炉","冰箱","餐桌","煮茶","烤炉","轨道插座"],</t>
        </is>
      </c>
    </row>
    <row r="24">
      <c r="A24" s="7" t="n">
        <v>21</v>
      </c>
      <c r="B24" s="8" t="inlineStr">
        <is>
          <t xml:space="preserve">    "actions": ["展示","拉开","打开","关闭","旋转","伸缩","嵌入","收纳"],</t>
        </is>
      </c>
    </row>
    <row r="25">
      <c r="A25" s="9" t="n">
        <v>22</v>
      </c>
      <c r="B25" s="10" t="inlineStr">
        <is>
          <t>}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@dataclass</t>
        </is>
      </c>
    </row>
    <row r="28">
      <c r="A28" s="7" t="n">
        <v>25</v>
      </c>
      <c r="B28" s="8" t="inlineStr">
        <is>
          <t>class QualityReport:</t>
        </is>
      </c>
    </row>
    <row r="29">
      <c r="A29" s="9" t="n">
        <v>26</v>
      </c>
      <c r="B29" s="10" t="inlineStr">
        <is>
          <t xml:space="preserve">    path: str = ""</t>
        </is>
      </c>
    </row>
    <row r="30">
      <c r="A30" s="7" t="n">
        <v>27</v>
      </c>
      <c r="B30" s="8" t="inlineStr">
        <is>
          <t xml:space="preserve">    sharpness: float = 0.0</t>
        </is>
      </c>
    </row>
    <row r="31">
      <c r="A31" s="9" t="n">
        <v>28</v>
      </c>
      <c r="B31" s="10" t="inlineStr">
        <is>
          <t xml:space="preserve">    stability: float = 0.0</t>
        </is>
      </c>
    </row>
    <row r="32">
      <c r="A32" s="7" t="n">
        <v>29</v>
      </c>
      <c r="B32" s="8" t="inlineStr">
        <is>
          <t xml:space="preserve">    composition: float = 0.0</t>
        </is>
      </c>
    </row>
    <row r="33">
      <c r="A33" s="9" t="n">
        <v>30</v>
      </c>
      <c r="B33" s="10" t="inlineStr">
        <is>
          <t xml:space="preserve">    duration_fit: float = 0.0</t>
        </is>
      </c>
    </row>
    <row r="34">
      <c r="A34" s="7" t="n">
        <v>31</v>
      </c>
      <c r="B34" s="8" t="inlineStr">
        <is>
          <t xml:space="preserve">    tag_completeness: float = 0.0</t>
        </is>
      </c>
    </row>
    <row r="35">
      <c r="A35" s="9" t="n">
        <v>32</v>
      </c>
      <c r="B35" s="10" t="inlineStr">
        <is>
          <t xml:space="preserve">    total_score: float = 0.0</t>
        </is>
      </c>
    </row>
    <row r="36">
      <c r="A36" s="7" t="n">
        <v>33</v>
      </c>
      <c r="B36" s="8" t="inlineStr">
        <is>
          <t xml:space="preserve">    is_valid: bool = True</t>
        </is>
      </c>
    </row>
    <row r="37">
      <c r="A37" s="9" t="n">
        <v>34</v>
      </c>
      <c r="B37" s="10" t="inlineStr">
        <is>
          <t xml:space="preserve">    phash: str = ""</t>
        </is>
      </c>
    </row>
    <row r="38">
      <c r="A38" s="7" t="n">
        <v>35</v>
      </c>
      <c r="B38" s="8" t="inlineStr">
        <is>
          <t xml:space="preserve">    duration: float = 0.0</t>
        </is>
      </c>
    </row>
    <row r="39">
      <c r="A39" s="9" t="n">
        <v>36</v>
      </c>
      <c r="B39" s="10" t="inlineStr">
        <is>
          <t xml:space="preserve">    WEIGHTS = {"sharpness":0.30,"stability":0.20,"composition":0.15,"duration_fit":0.20,"tag_completeness":0.15}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 xml:space="preserve">    def compute_total(self):</t>
        </is>
      </c>
    </row>
    <row r="42">
      <c r="A42" s="7" t="n">
        <v>39</v>
      </c>
      <c r="B42" s="8" t="inlineStr">
        <is>
          <t xml:space="preserve">        self.total_score = round(</t>
        </is>
      </c>
    </row>
    <row r="43">
      <c r="A43" s="9" t="n">
        <v>40</v>
      </c>
      <c r="B43" s="10" t="inlineStr">
        <is>
          <t xml:space="preserve">            self.sharpness*self.WEIGHTS["sharpness"]+self.stability*self.WEIGHTS["stability"]+</t>
        </is>
      </c>
    </row>
    <row r="44">
      <c r="A44" s="7" t="n">
        <v>41</v>
      </c>
      <c r="B44" s="8" t="inlineStr">
        <is>
          <t xml:space="preserve">            self.composition*self.WEIGHTS["composition"]+self.duration_fit*self.WEIGHTS["duration_fit"]+</t>
        </is>
      </c>
    </row>
    <row r="45">
      <c r="A45" s="9" t="n">
        <v>42</v>
      </c>
      <c r="B45" s="10" t="inlineStr">
        <is>
          <t xml:space="preserve">            self.tag_completeness*self.WEIGHTS["tag_completeness"], 3)</t>
        </is>
      </c>
    </row>
    <row r="46">
      <c r="A46" s="7" t="n">
        <v>43</v>
      </c>
      <c r="B46" s="8" t="inlineStr">
        <is>
          <t xml:space="preserve">        self.is_valid = self.total_score &gt;= 0.3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/>
    </row>
    <row r="49">
      <c r="A49" s="9" t="n">
        <v>46</v>
      </c>
      <c r="B49" s="10" t="inlineStr">
        <is>
          <t>class QualityScorer:</t>
        </is>
      </c>
    </row>
    <row r="50">
      <c r="A50" s="7" t="n">
        <v>47</v>
      </c>
      <c r="B50" s="8" t="inlineStr">
        <is>
          <t xml:space="preserve">    def __init__(self, use_cv=True):</t>
        </is>
      </c>
    </row>
    <row r="51">
      <c r="A51" s="9" t="n">
        <v>48</v>
      </c>
      <c r="B51" s="10" t="inlineStr">
        <is>
          <t xml:space="preserve">        self.use_cv = use_cv and _HAS_CV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 xml:space="preserve">    def get_duration(self, vp):</t>
        </is>
      </c>
    </row>
    <row r="54">
      <c r="A54" s="7" t="n">
        <v>51</v>
      </c>
      <c r="B54" s="8" t="inlineStr">
        <is>
          <t xml:space="preserve">        from core.frame_extractor import get_video_duration</t>
        </is>
      </c>
    </row>
    <row r="55">
      <c r="A55" s="9" t="n">
        <v>52</v>
      </c>
      <c r="B55" s="10" t="inlineStr">
        <is>
          <t xml:space="preserve">        return get_video_duration(str(vp))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def evaluate_sharpness(self, vp):</t>
        </is>
      </c>
    </row>
    <row r="58">
      <c r="A58" s="7" t="n">
        <v>55</v>
      </c>
      <c r="B58" s="8" t="inlineStr">
        <is>
          <t xml:space="preserve">        if not self.use_cv: return 0.5</t>
        </is>
      </c>
    </row>
    <row r="59">
      <c r="A59" s="9" t="n">
        <v>56</v>
      </c>
      <c r="B59" s="10" t="inlineStr">
        <is>
          <t xml:space="preserve">        cap = cv2.VideoCapture(str(vp))</t>
        </is>
      </c>
    </row>
    <row r="60">
      <c r="A60" s="7" t="n">
        <v>57</v>
      </c>
      <c r="B60" s="8" t="inlineStr">
        <is>
          <t xml:space="preserve">        try:</t>
        </is>
      </c>
    </row>
    <row r="61">
      <c r="A61" s="9" t="n">
        <v>58</v>
      </c>
      <c r="B61" s="10" t="inlineStr">
        <is>
          <t xml:space="preserve">            tf = int(cap.get(cv2.CAP_PROP_FRAME_COUNT))</t>
        </is>
      </c>
    </row>
    <row r="62">
      <c r="A62" s="7" t="n">
        <v>59</v>
      </c>
      <c r="B62" s="8" t="inlineStr">
        <is>
          <t xml:space="preserve">            if tf &lt;= 0: return 0.3</t>
        </is>
      </c>
    </row>
    <row r="63">
      <c r="A63" s="9" t="n">
        <v>60</v>
      </c>
      <c r="B63" s="10" t="inlineStr">
        <is>
          <t xml:space="preserve">            scores = []</t>
        </is>
      </c>
    </row>
    <row r="64">
      <c r="A64" s="7" t="n">
        <v>61</v>
      </c>
      <c r="B64" s="8" t="inlineStr">
        <is>
          <t xml:space="preserve">            for pos in [tf//4, tf//2, tf*3//4]:</t>
        </is>
      </c>
    </row>
    <row r="65">
      <c r="A65" s="9" t="n">
        <v>62</v>
      </c>
      <c r="B65" s="10" t="inlineStr">
        <is>
          <t xml:space="preserve">                cap.set(cv2.CAP_PROP_POS_FRAMES, pos); ret, frame = cap.read()</t>
        </is>
      </c>
    </row>
    <row r="66">
      <c r="A66" s="7" t="n">
        <v>63</v>
      </c>
      <c r="B66" s="8" t="inlineStr">
        <is>
          <t xml:space="preserve">                if not ret: continue</t>
        </is>
      </c>
    </row>
    <row r="67">
      <c r="A67" s="9" t="n">
        <v>64</v>
      </c>
      <c r="B67" s="10" t="inlineStr">
        <is>
          <t xml:space="preserve">                gray = cv2.cvtColor(frame, cv2.COLOR_BGR2GRAY)</t>
        </is>
      </c>
    </row>
    <row r="68">
      <c r="A68" s="7" t="n">
        <v>65</v>
      </c>
      <c r="B68" s="8" t="inlineStr">
        <is>
          <t xml:space="preserve">                v = cv2.Laplacian(gray, cv2.CV_64F).var()</t>
        </is>
      </c>
    </row>
    <row r="69">
      <c r="A69" s="9" t="n">
        <v>66</v>
      </c>
      <c r="B69" s="10" t="inlineStr">
        <is>
          <t xml:space="preserve">                scores.append(min(1.0, v/500.0))</t>
        </is>
      </c>
    </row>
    <row r="70">
      <c r="A70" s="7" t="n">
        <v>67</v>
      </c>
      <c r="B70" s="8" t="inlineStr">
        <is>
          <t xml:space="preserve">            return round(sum(scores)/len(scores), 3) if scores else 0.3</t>
        </is>
      </c>
    </row>
    <row r="71">
      <c r="A71" s="9" t="n">
        <v>68</v>
      </c>
      <c r="B71" s="10" t="inlineStr">
        <is>
          <t xml:space="preserve">        finally:</t>
        </is>
      </c>
    </row>
    <row r="72">
      <c r="A72" s="7" t="n">
        <v>69</v>
      </c>
      <c r="B72" s="8" t="inlineStr">
        <is>
          <t xml:space="preserve">            cap.release()</t>
        </is>
      </c>
    </row>
    <row r="73">
      <c r="A73" s="9" t="n">
        <v>70</v>
      </c>
      <c r="B73" s="10" t="inlineStr"/>
    </row>
    <row r="74">
      <c r="A74" s="7" t="n">
        <v>71</v>
      </c>
      <c r="B74" s="8" t="inlineStr">
        <is>
          <t xml:space="preserve">    def evaluate_stability(self, vp):</t>
        </is>
      </c>
    </row>
    <row r="75">
      <c r="A75" s="9" t="n">
        <v>72</v>
      </c>
      <c r="B75" s="10" t="inlineStr">
        <is>
          <t xml:space="preserve">        if not self.use_cv: return 0.7</t>
        </is>
      </c>
    </row>
    <row r="76">
      <c r="A76" s="7" t="n">
        <v>73</v>
      </c>
      <c r="B76" s="8" t="inlineStr">
        <is>
          <t xml:space="preserve">        cap = cv2.VideoCapture(str(vp))</t>
        </is>
      </c>
    </row>
    <row r="77">
      <c r="A77" s="9" t="n">
        <v>74</v>
      </c>
      <c r="B77" s="10" t="inlineStr">
        <is>
          <t xml:space="preserve">        try:</t>
        </is>
      </c>
    </row>
    <row r="78">
      <c r="A78" s="7" t="n">
        <v>75</v>
      </c>
      <c r="B78" s="8" t="inlineStr">
        <is>
          <t xml:space="preserve">            tf = int(cap.get(cv2.CAP_PROP_FRAME_COUNT))</t>
        </is>
      </c>
    </row>
    <row r="79">
      <c r="A79" s="9" t="n">
        <v>76</v>
      </c>
      <c r="B79" s="10" t="inlineStr">
        <is>
          <t xml:space="preserve">            if tf &lt; 3: return 0.5</t>
        </is>
      </c>
    </row>
    <row r="80">
      <c r="A80" s="7" t="n">
        <v>77</v>
      </c>
      <c r="B80" s="8" t="inlineStr">
        <is>
          <t xml:space="preserve">            mid = tf//2; flows = []; prev = None</t>
        </is>
      </c>
    </row>
    <row r="81">
      <c r="A81" s="9" t="n">
        <v>78</v>
      </c>
      <c r="B81" s="10" t="inlineStr">
        <is>
          <t xml:space="preserve">            for pos in [mid-1, mid, mid+1]:</t>
        </is>
      </c>
    </row>
    <row r="82">
      <c r="A82" s="7" t="n">
        <v>79</v>
      </c>
      <c r="B82" s="8" t="inlineStr">
        <is>
          <t xml:space="preserve">                cap.set(cv2.CAP_PROP_POS_FRAMES, pos); ret, frame = cap.read()</t>
        </is>
      </c>
    </row>
    <row r="83">
      <c r="A83" s="9" t="n">
        <v>80</v>
      </c>
      <c r="B83" s="10" t="inlineStr">
        <is>
          <t xml:space="preserve">                if not ret: continue</t>
        </is>
      </c>
    </row>
    <row r="84">
      <c r="A84" s="7" t="n">
        <v>81</v>
      </c>
      <c r="B84" s="8" t="inlineStr">
        <is>
          <t xml:space="preserve">                gray = cv2.cvtColor(frame, cv2.COLOR_BGR2GRAY)</t>
        </is>
      </c>
    </row>
    <row r="85">
      <c r="A85" s="9" t="n">
        <v>82</v>
      </c>
      <c r="B85" s="10" t="inlineStr">
        <is>
          <t xml:space="preserve">                if prev is not None:</t>
        </is>
      </c>
    </row>
    <row r="86">
      <c r="A86" s="7" t="n">
        <v>83</v>
      </c>
      <c r="B86" s="8" t="inlineStr">
        <is>
          <t xml:space="preserve">                    flow = cv2.calcOpticalFlowFarneback(prev, gray, None, 0.5, 3, 15, 3, 5, 1.2, 0)</t>
        </is>
      </c>
    </row>
    <row r="87">
      <c r="A87" s="9" t="n">
        <v>84</v>
      </c>
      <c r="B87" s="10" t="inlineStr">
        <is>
          <t xml:space="preserve">                    flows.append(float(np.sqrt(flow[...,0]**2+flow[...,1]**2).mean()))</t>
        </is>
      </c>
    </row>
    <row r="88">
      <c r="A88" s="7" t="n">
        <v>85</v>
      </c>
      <c r="B88" s="8" t="inlineStr">
        <is>
          <t xml:space="preserve">                prev = gray</t>
        </is>
      </c>
    </row>
    <row r="89">
      <c r="A89" s="9" t="n">
        <v>86</v>
      </c>
      <c r="B89" s="10" t="inlineStr">
        <is>
          <t xml:space="preserve">            if not flows: return 0.5</t>
        </is>
      </c>
    </row>
    <row r="90">
      <c r="A90" s="7" t="n">
        <v>87</v>
      </c>
      <c r="B90" s="8" t="inlineStr">
        <is>
          <t xml:space="preserve">            avg = sum(flows)/len(flows)</t>
        </is>
      </c>
    </row>
    <row r="91">
      <c r="A91" s="9" t="n">
        <v>88</v>
      </c>
      <c r="B91" s="10" t="inlineStr">
        <is>
          <t xml:space="preserve">            return round(max(0.0, min(1.0, 1.0-(avg-0.5)/3.0)), 3)</t>
        </is>
      </c>
    </row>
    <row r="92">
      <c r="A92" s="7" t="n">
        <v>89</v>
      </c>
      <c r="B92" s="8" t="inlineStr">
        <is>
          <t xml:space="preserve">        finally:</t>
        </is>
      </c>
    </row>
    <row r="93">
      <c r="A93" s="9" t="n">
        <v>90</v>
      </c>
      <c r="B93" s="10" t="inlineStr">
        <is>
          <t xml:space="preserve">            cap.release()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>
        <is>
          <t xml:space="preserve">    def evaluate_composition(self, vp):</t>
        </is>
      </c>
    </row>
    <row r="96">
      <c r="A96" s="7" t="n">
        <v>93</v>
      </c>
      <c r="B96" s="8" t="inlineStr">
        <is>
          <t xml:space="preserve">        if not self.use_cv: return 0.5</t>
        </is>
      </c>
    </row>
    <row r="97">
      <c r="A97" s="9" t="n">
        <v>94</v>
      </c>
      <c r="B97" s="10" t="inlineStr">
        <is>
          <t xml:space="preserve">        cap = cv2.VideoCapture(str(vp))</t>
        </is>
      </c>
    </row>
    <row r="98">
      <c r="A98" s="7" t="n">
        <v>95</v>
      </c>
      <c r="B98" s="8" t="inlineStr">
        <is>
          <t xml:space="preserve">        try:</t>
        </is>
      </c>
    </row>
    <row r="99">
      <c r="A99" s="9" t="n">
        <v>96</v>
      </c>
      <c r="B99" s="10" t="inlineStr">
        <is>
          <t xml:space="preserve">            tf = int(cap.get(cv2.CAP_PROP_FRAME_COUNT))</t>
        </is>
      </c>
    </row>
    <row r="100">
      <c r="A100" s="7" t="n">
        <v>97</v>
      </c>
      <c r="B100" s="8" t="inlineStr">
        <is>
          <t xml:space="preserve">            cap.set(cv2.CAP_PROP_POS_FRAMES, tf//2); ret, frame = cap.read()</t>
        </is>
      </c>
    </row>
    <row r="101">
      <c r="A101" s="9" t="n">
        <v>98</v>
      </c>
      <c r="B101" s="10" t="inlineStr">
        <is>
          <t xml:space="preserve">            if not ret: return 0.5</t>
        </is>
      </c>
    </row>
    <row r="102">
      <c r="A102" s="7" t="n">
        <v>99</v>
      </c>
      <c r="B102" s="8" t="inlineStr">
        <is>
          <t xml:space="preserve">            h, w = frame.shape[:2]; gray = cv2.cvtColor(frame, cv2.COLOR_BGR2GRAY); edges = cv2.Canny(gray, 50, 150)</t>
        </is>
      </c>
    </row>
    <row r="103">
      <c r="A103" s="9" t="n">
        <v>100</v>
      </c>
      <c r="B103" s="10" t="inlineStr">
        <is>
          <t xml:space="preserve">            th, tw = h//3, w//3</t>
        </is>
      </c>
    </row>
    <row r="104">
      <c r="A104" s="7" t="n">
        <v>101</v>
      </c>
      <c r="B104" s="8" t="inlineStr">
        <is>
          <t xml:space="preserve">            regs = [edges[th:2*th, 0:tw], edges[th:2*th, 2*tw:w], edges[0:th, tw:2*tw], edges[2*th:h, tw:2*tw]]</t>
        </is>
      </c>
    </row>
    <row r="105">
      <c r="A105" s="9" t="n">
        <v>102</v>
      </c>
      <c r="B105" s="10" t="inlineStr">
        <is>
          <t xml:space="preserve">            ds = [np.count_nonzero(r)/r.size for r in regs if r.size &gt; 0]</t>
        </is>
      </c>
    </row>
    <row r="106">
      <c r="A106" s="7" t="n">
        <v>103</v>
      </c>
      <c r="B106" s="8" t="inlineStr">
        <is>
          <t xml:space="preserve">            if not ds: return 0.5</t>
        </is>
      </c>
    </row>
    <row r="107">
      <c r="A107" s="9" t="n">
        <v>104</v>
      </c>
      <c r="B107" s="10" t="inlineStr">
        <is>
          <t xml:space="preserve">            d = sum(ds)/len(ds)</t>
        </is>
      </c>
    </row>
    <row r="108">
      <c r="A108" s="7" t="n">
        <v>105</v>
      </c>
      <c r="B108" s="8" t="inlineStr">
        <is>
          <t xml:space="preserve">            return round(max(0.2, min(1.0, 1.0-abs(d-0.08)/0.12 if 0.03 &lt;= d &lt;= 0.2 else 0.6)), 3)</t>
        </is>
      </c>
    </row>
    <row r="109">
      <c r="A109" s="9" t="n">
        <v>106</v>
      </c>
      <c r="B109" s="10" t="inlineStr">
        <is>
          <t xml:space="preserve">        finally:</t>
        </is>
      </c>
    </row>
    <row r="110">
      <c r="A110" s="7" t="n">
        <v>107</v>
      </c>
      <c r="B110" s="8" t="inlineStr">
        <is>
          <t xml:space="preserve">            cap.release()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 xml:space="preserve">    def evaluate_duration_fit(self, d):</t>
        </is>
      </c>
    </row>
    <row r="113">
      <c r="A113" s="9" t="n">
        <v>110</v>
      </c>
      <c r="B113" s="10" t="inlineStr">
        <is>
          <t xml:space="preserve">        if 3.0&lt;=d&lt;=6.0: return 1.0</t>
        </is>
      </c>
    </row>
    <row r="114">
      <c r="A114" s="7" t="n">
        <v>111</v>
      </c>
      <c r="B114" s="8" t="inlineStr">
        <is>
          <t xml:space="preserve">        elif 2.0&lt;=d&lt;3.0: return 0.8</t>
        </is>
      </c>
    </row>
    <row r="115">
      <c r="A115" s="9" t="n">
        <v>112</v>
      </c>
      <c r="B115" s="10" t="inlineStr">
        <is>
          <t xml:space="preserve">        elif 6.0&lt;d&lt;=10.0: return 0.7</t>
        </is>
      </c>
    </row>
    <row r="116">
      <c r="A116" s="7" t="n">
        <v>113</v>
      </c>
      <c r="B116" s="8" t="inlineStr">
        <is>
          <t xml:space="preserve">        elif 1.0&lt;=d&lt;2.0: return 0.5</t>
        </is>
      </c>
    </row>
    <row r="117">
      <c r="A117" s="9" t="n">
        <v>114</v>
      </c>
      <c r="B117" s="10" t="inlineStr">
        <is>
          <t xml:space="preserve">        elif 10.0&lt;d&lt;=15.0: return 0.4</t>
        </is>
      </c>
    </row>
    <row r="118">
      <c r="A118" s="7" t="n">
        <v>115</v>
      </c>
      <c r="B118" s="8" t="inlineStr">
        <is>
          <t xml:space="preserve">        return 0.2</t>
        </is>
      </c>
    </row>
    <row r="119">
      <c r="A119" s="9" t="n">
        <v>116</v>
      </c>
      <c r="B119" s="10" t="inlineStr"/>
    </row>
    <row r="120">
      <c r="A120" s="7" t="n">
        <v>117</v>
      </c>
      <c r="B120" s="8" t="inlineStr">
        <is>
          <t xml:space="preserve">    def evaluate_tag_completeness(self, fname, folder=""):</t>
        </is>
      </c>
    </row>
    <row r="121">
      <c r="A121" s="9" t="n">
        <v>118</v>
      </c>
      <c r="B121" s="10" t="inlineStr">
        <is>
          <t xml:space="preserve">        s=fname+" "+folder; found=sum(1 for cat,kws in TAG_KEYWORDS.items() if any(kw in s for kw in kws))</t>
        </is>
      </c>
    </row>
    <row r="122">
      <c r="A122" s="7" t="n">
        <v>119</v>
      </c>
      <c r="B122" s="8" t="inlineStr">
        <is>
          <t xml:space="preserve">        return found/len(TAG_KEYWORDS)</t>
        </is>
      </c>
    </row>
    <row r="123">
      <c r="A123" s="9" t="n">
        <v>120</v>
      </c>
      <c r="B123" s="10" t="inlineStr"/>
    </row>
    <row r="124">
      <c r="A124" s="7" t="n">
        <v>121</v>
      </c>
      <c r="B124" s="8" t="inlineStr">
        <is>
          <t xml:space="preserve">    def compute_phash(self, vp):</t>
        </is>
      </c>
    </row>
    <row r="125">
      <c r="A125" s="9" t="n">
        <v>122</v>
      </c>
      <c r="B125" s="10" t="inlineStr">
        <is>
          <t xml:space="preserve">        if not self.use_cv: return ""</t>
        </is>
      </c>
    </row>
    <row r="126">
      <c r="A126" s="7" t="n">
        <v>123</v>
      </c>
      <c r="B126" s="8" t="inlineStr">
        <is>
          <t xml:space="preserve">        cap = cv2.VideoCapture(str(vp))</t>
        </is>
      </c>
    </row>
    <row r="127">
      <c r="A127" s="9" t="n">
        <v>124</v>
      </c>
      <c r="B127" s="10" t="inlineStr">
        <is>
          <t xml:space="preserve">        try:</t>
        </is>
      </c>
    </row>
    <row r="128">
      <c r="A128" s="7" t="n">
        <v>125</v>
      </c>
      <c r="B128" s="8" t="inlineStr">
        <is>
          <t xml:space="preserve">            cap.set(cv2.CAP_PROP_POS_FRAMES, 0); ret, frame = cap.read()</t>
        </is>
      </c>
    </row>
    <row r="129">
      <c r="A129" s="9" t="n">
        <v>126</v>
      </c>
      <c r="B129" s="10" t="inlineStr">
        <is>
          <t xml:space="preserve">            if not ret: return ""</t>
        </is>
      </c>
    </row>
    <row r="130">
      <c r="A130" s="7" t="n">
        <v>127</v>
      </c>
      <c r="B130" s="8" t="inlineStr">
        <is>
          <t xml:space="preserve">            small = cv2.resize(frame, (8, 8)); gray = cv2.cvtColor(small, cv2.COLOR_BGR2GRAY)</t>
        </is>
      </c>
    </row>
    <row r="131">
      <c r="A131" s="9" t="n">
        <v>128</v>
      </c>
      <c r="B131" s="10" t="inlineStr">
        <is>
          <t xml:space="preserve">            avg = gray.mean(); bits = (gray &gt; avg).flatten()</t>
        </is>
      </c>
    </row>
    <row r="132">
      <c r="A132" s="7" t="n">
        <v>129</v>
      </c>
      <c r="B132" s="8" t="inlineStr">
        <is>
          <t xml:space="preserve">            return ''.join(str(int(b)) for b in bits)</t>
        </is>
      </c>
    </row>
    <row r="133">
      <c r="A133" s="9" t="n">
        <v>130</v>
      </c>
      <c r="B133" s="10" t="inlineStr">
        <is>
          <t xml:space="preserve">        finally:</t>
        </is>
      </c>
    </row>
    <row r="134">
      <c r="A134" s="7" t="n">
        <v>131</v>
      </c>
      <c r="B134" s="8" t="inlineStr">
        <is>
          <t xml:space="preserve">            cap.release()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def evaluate(self, vp, folder=""):</t>
        </is>
      </c>
    </row>
    <row r="137">
      <c r="A137" s="9" t="n">
        <v>134</v>
      </c>
      <c r="B137" s="10" t="inlineStr">
        <is>
          <t xml:space="preserve">        vp=str(vp); fname=Path(vp).name; dur=self.get_duration(vp)</t>
        </is>
      </c>
    </row>
    <row r="138">
      <c r="A138" s="7" t="n">
        <v>135</v>
      </c>
      <c r="B138" s="8" t="inlineStr">
        <is>
          <t xml:space="preserve">        r=QualityReport(path=vp,duration=dur)</t>
        </is>
      </c>
    </row>
    <row r="139">
      <c r="A139" s="9" t="n">
        <v>136</v>
      </c>
      <c r="B139" s="10" t="inlineStr">
        <is>
          <t xml:space="preserve">        r.sharpness=self.evaluate_sharpness(vp); r.stability=self.evaluate_stability(vp)</t>
        </is>
      </c>
    </row>
    <row r="140">
      <c r="A140" s="7" t="n">
        <v>137</v>
      </c>
      <c r="B140" s="8" t="inlineStr">
        <is>
          <t xml:space="preserve">        r.composition=self.evaluate_composition(vp); r.duration_fit=self.evaluate_duration_fit(dur)</t>
        </is>
      </c>
    </row>
    <row r="141">
      <c r="A141" s="9" t="n">
        <v>138</v>
      </c>
      <c r="B141" s="10" t="inlineStr">
        <is>
          <t xml:space="preserve">        r.tag_completeness=self.evaluate_tag_completeness(fname,folder)</t>
        </is>
      </c>
    </row>
    <row r="142">
      <c r="A142" s="7" t="n">
        <v>139</v>
      </c>
      <c r="B142" s="8" t="inlineStr">
        <is>
          <t xml:space="preserve">        r.compute_total(); r.phash=self.compute_phash(vp); return r</t>
        </is>
      </c>
    </row>
    <row r="143">
      <c r="A143" s="9" t="n">
        <v>140</v>
      </c>
      <c r="B143" s="10" t="inlineStr"/>
    </row>
    <row r="144">
      <c r="A144" s="7" t="n">
        <v>141</v>
      </c>
      <c r="B144" s="8" t="inlineStr">
        <is>
          <t xml:space="preserve">    def batch_evaluate(self, videos, max_workers=4):</t>
        </is>
      </c>
    </row>
    <row r="145">
      <c r="A145" s="9" t="n">
        <v>142</v>
      </c>
      <c r="B145" s="10" t="inlineStr">
        <is>
          <t xml:space="preserve">        results=[]</t>
        </is>
      </c>
    </row>
    <row r="146">
      <c r="A146" s="7" t="n">
        <v>143</v>
      </c>
      <c r="B146" s="8" t="inlineStr">
        <is>
          <t xml:space="preserve">        with ThreadPoolExecutor(max_workers=max_workers) as ex:</t>
        </is>
      </c>
    </row>
    <row r="147">
      <c r="A147" s="9" t="n">
        <v>144</v>
      </c>
      <c r="B147" s="10" t="inlineStr">
        <is>
          <t xml:space="preserve">            fs={ex.submit(self.evaluate,vp,f):(vp,f) for vp,f in videos}</t>
        </is>
      </c>
    </row>
    <row r="148">
      <c r="A148" s="7" t="n">
        <v>145</v>
      </c>
      <c r="B148" s="8" t="inlineStr">
        <is>
          <t xml:space="preserve">            for fu in as_completed(fs):</t>
        </is>
      </c>
    </row>
    <row r="149">
      <c r="A149" s="9" t="n">
        <v>146</v>
      </c>
      <c r="B149" s="10" t="inlineStr">
        <is>
          <t xml:space="preserve">                try: results.append(fu.result())</t>
        </is>
      </c>
    </row>
    <row r="150">
      <c r="A150" s="7" t="n">
        <v>147</v>
      </c>
      <c r="B150" s="8" t="inlineStr">
        <is>
          <t xml:space="preserve">                except Exception: results.append(QualityReport(path=str(fs[fu][0]),total_score=0,is_valid=False))</t>
        </is>
      </c>
    </row>
    <row r="151">
      <c r="A151" s="9" t="n">
        <v>148</v>
      </c>
      <c r="B151" s="10" t="inlineStr">
        <is>
          <t xml:space="preserve">        return results</t>
        </is>
      </c>
    </row>
    <row r="152">
      <c r="A152" s="7" t="n">
        <v>149</v>
      </c>
      <c r="B152" s="8" t="inlineStr"/>
    </row>
    <row r="153">
      <c r="A153" s="9" t="n">
        <v>150</v>
      </c>
      <c r="B153" s="10" t="inlineStr">
        <is>
          <t xml:space="preserve">    def filter_by_quality(self, clips, min_score=0.3):</t>
        </is>
      </c>
    </row>
    <row r="154">
      <c r="A154" s="7" t="n">
        <v>151</v>
      </c>
      <c r="B154" s="8" t="inlineStr">
        <is>
          <t xml:space="preserve">        return [c for c in clips if c.get("quality_score", self.evaluate(str(c["path"]),c.get("folder_name","")).total_score) &gt;= min_score]</t>
        </is>
      </c>
    </row>
    <row r="155">
      <c r="A155" s="9" t="n">
        <v>152</v>
      </c>
      <c r="B155" s="10" t="inlineStr"/>
    </row>
    <row r="156">
      <c r="A156" s="7" t="n">
        <v>153</v>
      </c>
      <c r="B156" s="8" t="inlineStr">
        <is>
          <t xml:space="preserve">    def deduplicate(self, clips, hamming_distance=5):</t>
        </is>
      </c>
    </row>
    <row r="157">
      <c r="A157" s="9" t="n">
        <v>154</v>
      </c>
      <c r="B157" s="10" t="inlineStr">
        <is>
          <t xml:space="preserve">        """感知哈希去重 v2.0 — phash前缀分桶 O(n)"""</t>
        </is>
      </c>
    </row>
    <row r="158">
      <c r="A158" s="7" t="n">
        <v>155</v>
      </c>
      <c r="B158" s="8" t="inlineStr">
        <is>
          <t xml:space="preserve">        if not self.use_cv: return clips</t>
        </is>
      </c>
    </row>
    <row r="159">
      <c r="A159" s="9" t="n">
        <v>156</v>
      </c>
      <c r="B159" s="10" t="inlineStr">
        <is>
          <t xml:space="preserve">        for c in clips:</t>
        </is>
      </c>
    </row>
    <row r="160">
      <c r="A160" s="7" t="n">
        <v>157</v>
      </c>
      <c r="B160" s="8" t="inlineStr">
        <is>
          <t xml:space="preserve">            if "phash" not in c: c["phash"]=self.compute_phash(str(c["path"]))</t>
        </is>
      </c>
    </row>
    <row r="161">
      <c r="A161" s="9" t="n">
        <v>158</v>
      </c>
      <c r="B161" s="10" t="inlineStr">
        <is>
          <t xml:space="preserve">            if "quality_score" not in c: c["quality_score"]=c.get("quality_report",QualityReport()).total_score</t>
        </is>
      </c>
    </row>
    <row r="162">
      <c r="A162" s="7" t="n">
        <v>159</v>
      </c>
      <c r="B162" s="8" t="inlineStr">
        <is>
          <t xml:space="preserve">        # 使用phash前8位分桶，大幅减少汉明距离比较次数</t>
        </is>
      </c>
    </row>
    <row r="163">
      <c r="A163" s="9" t="n">
        <v>160</v>
      </c>
      <c r="B163" s="10" t="inlineStr">
        <is>
          <t xml:space="preserve">        buckets = {}</t>
        </is>
      </c>
    </row>
    <row r="164">
      <c r="A164" s="7" t="n">
        <v>161</v>
      </c>
      <c r="B164" s="8" t="inlineStr">
        <is>
          <t xml:space="preserve">        for c in clips:</t>
        </is>
      </c>
    </row>
    <row r="165">
      <c r="A165" s="9" t="n">
        <v>162</v>
      </c>
      <c r="B165" s="10" t="inlineStr">
        <is>
          <t xml:space="preserve">            ph = c.get("phash", "")</t>
        </is>
      </c>
    </row>
    <row r="166">
      <c r="A166" s="7" t="n">
        <v>163</v>
      </c>
      <c r="B166" s="8" t="inlineStr">
        <is>
          <t xml:space="preserve">            qs = c.get("quality_score", 0)</t>
        </is>
      </c>
    </row>
    <row r="167">
      <c r="A167" s="9" t="n">
        <v>164</v>
      </c>
      <c r="B167" s="10" t="inlineStr">
        <is>
          <t xml:space="preserve">            if not ph or len(ph) &lt; 8:</t>
        </is>
      </c>
    </row>
    <row r="168">
      <c r="A168" s="7" t="n">
        <v>165</v>
      </c>
      <c r="B168" s="8" t="inlineStr">
        <is>
          <t xml:space="preserve">                buckets.setdefault("_nophash", []).append(c)</t>
        </is>
      </c>
    </row>
    <row r="169">
      <c r="A169" s="9" t="n">
        <v>166</v>
      </c>
      <c r="B169" s="10" t="inlineStr">
        <is>
          <t xml:space="preserve">                continue</t>
        </is>
      </c>
    </row>
    <row r="170">
      <c r="A170" s="7" t="n">
        <v>167</v>
      </c>
      <c r="B170" s="8" t="inlineStr">
        <is>
          <t xml:space="preserve">            prefix = ph[:8]</t>
        </is>
      </c>
    </row>
    <row r="171">
      <c r="A171" s="9" t="n">
        <v>168</v>
      </c>
      <c r="B171" s="10" t="inlineStr">
        <is>
          <t xml:space="preserve">            buckets.setdefault(prefix, []).append(c)</t>
        </is>
      </c>
    </row>
    <row r="172">
      <c r="A172" s="7" t="n">
        <v>169</v>
      </c>
      <c r="B172" s="8" t="inlineStr">
        <is>
          <t xml:space="preserve">        uniq = {}</t>
        </is>
      </c>
    </row>
    <row r="173">
      <c r="A173" s="9" t="n">
        <v>170</v>
      </c>
      <c r="B173" s="10" t="inlineStr">
        <is>
          <t xml:space="preserve">        for prefix, bucket in buckets.items():</t>
        </is>
      </c>
    </row>
    <row r="174">
      <c r="A174" s="7" t="n">
        <v>171</v>
      </c>
      <c r="B174" s="8" t="inlineStr">
        <is>
          <t xml:space="preserve">            for c in bucket:</t>
        </is>
      </c>
    </row>
    <row r="175">
      <c r="A175" s="9" t="n">
        <v>172</v>
      </c>
      <c r="B175" s="10" t="inlineStr">
        <is>
          <t xml:space="preserve">                ph = c.get("phash", "")</t>
        </is>
      </c>
    </row>
    <row r="176">
      <c r="A176" s="7" t="n">
        <v>173</v>
      </c>
      <c r="B176" s="8" t="inlineStr">
        <is>
          <t xml:space="preserve">                qs = c.get("quality_score", 0)</t>
        </is>
      </c>
    </row>
    <row r="177">
      <c r="A177" s="9" t="n">
        <v>174</v>
      </c>
      <c r="B177" s="10" t="inlineStr">
        <is>
          <t xml:space="preserve">                if not ph:</t>
        </is>
      </c>
    </row>
    <row r="178">
      <c r="A178" s="7" t="n">
        <v>175</v>
      </c>
      <c r="B178" s="8" t="inlineStr">
        <is>
          <t xml:space="preserve">                    uniq[id(c)] = c</t>
        </is>
      </c>
    </row>
    <row r="179">
      <c r="A179" s="9" t="n">
        <v>176</v>
      </c>
      <c r="B179" s="10" t="inlineStr">
        <is>
          <t xml:space="preserve">                    continue</t>
        </is>
      </c>
    </row>
    <row r="180">
      <c r="A180" s="7" t="n">
        <v>177</v>
      </c>
      <c r="B180" s="8" t="inlineStr">
        <is>
          <t xml:space="preserve">                dup = False</t>
        </is>
      </c>
    </row>
    <row r="181">
      <c r="A181" s="9" t="n">
        <v>178</v>
      </c>
      <c r="B181" s="10" t="inlineStr">
        <is>
          <t xml:space="preserve">                for ep, ec in list(uniq.items()):</t>
        </is>
      </c>
    </row>
    <row r="182">
      <c r="A182" s="7" t="n">
        <v>179</v>
      </c>
      <c r="B182" s="8" t="inlineStr">
        <is>
          <t xml:space="preserve">                    if ep.startswith("_nophash_"):</t>
        </is>
      </c>
    </row>
    <row r="183">
      <c r="A183" s="9" t="n">
        <v>180</v>
      </c>
      <c r="B183" s="10" t="inlineStr">
        <is>
          <t xml:space="preserve">                        continue</t>
        </is>
      </c>
    </row>
    <row r="184">
      <c r="A184" s="7" t="n">
        <v>181</v>
      </c>
      <c r="B184" s="8" t="inlineStr">
        <is>
          <t xml:space="preserve">                    if self._hd(ph, ep) &lt;= hamming_distance:</t>
        </is>
      </c>
    </row>
    <row r="185">
      <c r="A185" s="9" t="n">
        <v>182</v>
      </c>
      <c r="B185" s="10" t="inlineStr">
        <is>
          <t xml:space="preserve">                        if qs &gt; ec.get("quality_score", 0):</t>
        </is>
      </c>
    </row>
    <row r="186">
      <c r="A186" s="7" t="n">
        <v>183</v>
      </c>
      <c r="B186" s="8" t="inlineStr">
        <is>
          <t xml:space="preserve">                            uniq[ep] = c</t>
        </is>
      </c>
    </row>
    <row r="187">
      <c r="A187" s="9" t="n">
        <v>184</v>
      </c>
      <c r="B187" s="10" t="inlineStr">
        <is>
          <t xml:space="preserve">                        dup = True</t>
        </is>
      </c>
    </row>
    <row r="188">
      <c r="A188" s="7" t="n">
        <v>185</v>
      </c>
      <c r="B188" s="8" t="inlineStr">
        <is>
          <t xml:space="preserve">                        break</t>
        </is>
      </c>
    </row>
    <row r="189">
      <c r="A189" s="9" t="n">
        <v>186</v>
      </c>
      <c r="B189" s="10" t="inlineStr">
        <is>
          <t xml:space="preserve">                if not dup:</t>
        </is>
      </c>
    </row>
    <row r="190">
      <c r="A190" s="7" t="n">
        <v>187</v>
      </c>
      <c r="B190" s="8" t="inlineStr">
        <is>
          <t xml:space="preserve">                    uniq[ph] = c</t>
        </is>
      </c>
    </row>
    <row r="191">
      <c r="A191" s="9" t="n">
        <v>188</v>
      </c>
      <c r="B191" s="10" t="inlineStr">
        <is>
          <t xml:space="preserve">        return list(uniq.values())</t>
        </is>
      </c>
    </row>
    <row r="192">
      <c r="A192" s="7" t="n">
        <v>189</v>
      </c>
      <c r="B192" s="8" t="inlineStr"/>
    </row>
    <row r="193">
      <c r="A193" s="9" t="n">
        <v>190</v>
      </c>
      <c r="B193" s="10" t="inlineStr">
        <is>
          <t xml:space="preserve">    def _hd(self,s1,s2): return sum(c1!=c2 for c1,c2 in zip(s1,s2)) if len(s1)==len(s2) else 100</t>
        </is>
      </c>
    </row>
    <row r="194">
      <c r="A194" s="7" t="n">
        <v>191</v>
      </c>
      <c r="B194" s="8" t="inlineStr"/>
    </row>
    <row r="195">
      <c r="A195" s="9" t="n">
        <v>192</v>
      </c>
      <c r="B195" s="10" t="inlineStr">
        <is>
          <t>_scorer=None</t>
        </is>
      </c>
    </row>
    <row r="196">
      <c r="A196" s="7" t="n">
        <v>193</v>
      </c>
      <c r="B196" s="8" t="inlineStr">
        <is>
          <t>_scorer_lock = __import__('threading').Lock()</t>
        </is>
      </c>
    </row>
    <row r="197">
      <c r="A197" s="9" t="n">
        <v>194</v>
      </c>
      <c r="B197" s="10" t="inlineStr">
        <is>
          <t>def get_scorer():</t>
        </is>
      </c>
    </row>
    <row r="198">
      <c r="A198" s="7" t="n">
        <v>195</v>
      </c>
      <c r="B198" s="8" t="inlineStr">
        <is>
          <t xml:space="preserve">    global _scorer</t>
        </is>
      </c>
    </row>
    <row r="199">
      <c r="A199" s="9" t="n">
        <v>196</v>
      </c>
      <c r="B199" s="10" t="inlineStr">
        <is>
          <t xml:space="preserve">    if _scorer is None:</t>
        </is>
      </c>
    </row>
    <row r="200">
      <c r="A200" s="7" t="n">
        <v>197</v>
      </c>
      <c r="B200" s="8" t="inlineStr">
        <is>
          <t xml:space="preserve">        with _scorer_lock:</t>
        </is>
      </c>
    </row>
    <row r="201">
      <c r="A201" s="9" t="n">
        <v>198</v>
      </c>
      <c r="B201" s="10" t="inlineStr">
        <is>
          <t xml:space="preserve">            if _scorer is None:</t>
        </is>
      </c>
    </row>
    <row r="202">
      <c r="A202" s="7" t="n">
        <v>199</v>
      </c>
      <c r="B202" s="8" t="inlineStr">
        <is>
          <t xml:space="preserve">                _scorer = QualityScorer()</t>
        </is>
      </c>
    </row>
    <row r="203">
      <c r="A203" s="9" t="n">
        <v>200</v>
      </c>
      <c r="B203" s="10" t="inlineStr">
        <is>
          <t xml:space="preserve">    return _scorer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utils\retry.py</t>
        </is>
      </c>
      <c r="C1" s="5" t="inlineStr">
        <is>
          <t>行数: 356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╔══════════════════════════════════════════════════════════════╗</t>
        </is>
      </c>
    </row>
    <row r="6">
      <c r="A6" s="7" t="n">
        <v>3</v>
      </c>
      <c r="B6" s="8" t="inlineStr">
        <is>
          <t>║  🔄 重试与熔断模块                                        ║</t>
        </is>
      </c>
    </row>
    <row r="7">
      <c r="A7" s="9" t="n">
        <v>4</v>
      </c>
      <c r="B7" s="10" t="inlineStr">
        <is>
          <t>║                                                            ║</t>
        </is>
      </c>
    </row>
    <row r="8">
      <c r="A8" s="7" t="n">
        <v>5</v>
      </c>
      <c r="B8" s="8" t="inlineStr">
        <is>
          <t>║  为所有外部 API 调用提供统一的重试和熔断保护：             ║</t>
        </is>
      </c>
    </row>
    <row r="9">
      <c r="A9" s="9" t="n">
        <v>6</v>
      </c>
      <c r="B9" s="10" t="inlineStr">
        <is>
          <t>║  - 指数退避 (Exponential Backoff)                          ║</t>
        </is>
      </c>
    </row>
    <row r="10">
      <c r="A10" s="7" t="n">
        <v>7</v>
      </c>
      <c r="B10" s="8" t="inlineStr">
        <is>
          <t>║  - 熔断器 (Circuit Breaker)                                ║</t>
        </is>
      </c>
    </row>
    <row r="11">
      <c r="A11" s="9" t="n">
        <v>8</v>
      </c>
      <c r="B11" s="10" t="inlineStr">
        <is>
          <t>║  - 超时控制                                                ║</t>
        </is>
      </c>
    </row>
    <row r="12">
      <c r="A12" s="7" t="n">
        <v>9</v>
      </c>
      <c r="B12" s="8" t="inlineStr">
        <is>
          <t>║  - 降级策略                                                ║</t>
        </is>
      </c>
    </row>
    <row r="13">
      <c r="A13" s="9" t="n">
        <v>10</v>
      </c>
      <c r="B13" s="10" t="inlineStr">
        <is>
          <t>║                                                            ║</t>
        </is>
      </c>
    </row>
    <row r="14">
      <c r="A14" s="7" t="n">
        <v>11</v>
      </c>
      <c r="B14" s="8" t="inlineStr">
        <is>
          <t>║  用法:                                                     ║</t>
        </is>
      </c>
    </row>
    <row r="15">
      <c r="A15" s="9" t="n">
        <v>12</v>
      </c>
      <c r="B15" s="10" t="inlineStr">
        <is>
          <t>║    from utils.retry import retry_on_failure        ║</t>
        </is>
      </c>
    </row>
    <row r="16">
      <c r="A16" s="7" t="n">
        <v>13</v>
      </c>
      <c r="B16" s="8" t="inlineStr">
        <is>
          <t>║                                                            ║</t>
        </is>
      </c>
    </row>
    <row r="17">
      <c r="A17" s="9" t="n">
        <v>14</v>
      </c>
      <c r="B17" s="10" t="inlineStr">
        <is>
          <t>║    @retry_on_failure(max_attempts=3, base_delay=1.0)       ║</t>
        </is>
      </c>
    </row>
    <row r="18">
      <c r="A18" s="7" t="n">
        <v>15</v>
      </c>
      <c r="B18" s="8" t="inlineStr">
        <is>
          <t>║    def call_api(url): ...                                  ║</t>
        </is>
      </c>
    </row>
    <row r="19">
      <c r="A19" s="9" t="n">
        <v>16</v>
      </c>
      <c r="B19" s="10" t="inlineStr">
        <is>
          <t>║                                                            ║</t>
        </is>
      </c>
    </row>
    <row r="20">
      <c r="A20" s="7" t="n">
        <v>17</v>
      </c>
      <c r="B20" s="8" t="inlineStr">
        <is>
          <t>║    # 熔断器                                                ║</t>
        </is>
      </c>
    </row>
    <row r="21">
      <c r="A21" s="9" t="n">
        <v>18</v>
      </c>
      <c r="B21" s="10" t="inlineStr">
        <is>
          <t>║    breaker = CircuitBreaker("deepseek", failure_threshold=5)║</t>
        </is>
      </c>
    </row>
    <row r="22">
      <c r="A22" s="7" t="n">
        <v>19</v>
      </c>
      <c r="B22" s="8" t="inlineStr">
        <is>
          <t>║    @breaker.protect                                        ║</t>
        </is>
      </c>
    </row>
    <row r="23">
      <c r="A23" s="9" t="n">
        <v>20</v>
      </c>
      <c r="B23" s="10" t="inlineStr">
        <is>
          <t>║    def risky_call(): ...                                   ║</t>
        </is>
      </c>
    </row>
    <row r="24">
      <c r="A24" s="7" t="n">
        <v>21</v>
      </c>
      <c r="B24" s="8" t="inlineStr">
        <is>
          <t>╚══════════════════════════════════════════════════════════════╝</t>
        </is>
      </c>
    </row>
    <row r="25">
      <c r="A25" s="9" t="n">
        <v>22</v>
      </c>
      <c r="B25" s="10" t="inlineStr">
        <is>
          <t>"""</t>
        </is>
      </c>
    </row>
    <row r="26">
      <c r="A26" s="7" t="n">
        <v>23</v>
      </c>
      <c r="B26" s="8" t="inlineStr">
        <is>
          <t>import time</t>
        </is>
      </c>
    </row>
    <row r="27">
      <c r="A27" s="9" t="n">
        <v>24</v>
      </c>
      <c r="B27" s="10" t="inlineStr">
        <is>
          <t>import random</t>
        </is>
      </c>
    </row>
    <row r="28">
      <c r="A28" s="7" t="n">
        <v>25</v>
      </c>
      <c r="B28" s="8" t="inlineStr">
        <is>
          <t>import functools</t>
        </is>
      </c>
    </row>
    <row r="29">
      <c r="A29" s="9" t="n">
        <v>26</v>
      </c>
      <c r="B29" s="10" t="inlineStr">
        <is>
          <t>import threading</t>
        </is>
      </c>
    </row>
    <row r="30">
      <c r="A30" s="7" t="n">
        <v>27</v>
      </c>
      <c r="B30" s="8" t="inlineStr">
        <is>
          <t>from typing import Callable, Any, Optional, Dict</t>
        </is>
      </c>
    </row>
    <row r="31">
      <c r="A31" s="9" t="n">
        <v>28</v>
      </c>
      <c r="B31" s="10" t="inlineStr">
        <is>
          <t>from datetime import datetime</t>
        </is>
      </c>
    </row>
    <row r="32">
      <c r="A32" s="7" t="n">
        <v>29</v>
      </c>
      <c r="B32" s="8" t="inlineStr">
        <is>
          <t>from collections import defaultdict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/>
    </row>
    <row r="35">
      <c r="A35" s="9" t="n">
        <v>32</v>
      </c>
      <c r="B3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36">
      <c r="A36" s="7" t="n">
        <v>33</v>
      </c>
      <c r="B36" s="8" t="inlineStr">
        <is>
          <t># 指数退避重试</t>
        </is>
      </c>
    </row>
    <row r="37">
      <c r="A37" s="9" t="n">
        <v>34</v>
      </c>
      <c r="B3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># 可重试的异常类型（网络相关）</t>
        </is>
      </c>
    </row>
    <row r="40">
      <c r="A40" s="7" t="n">
        <v>37</v>
      </c>
      <c r="B40" s="8" t="inlineStr">
        <is>
          <t>RETRYABLE_EXCEPTIONS = (</t>
        </is>
      </c>
    </row>
    <row r="41">
      <c r="A41" s="9" t="n">
        <v>38</v>
      </c>
      <c r="B41" s="10" t="inlineStr">
        <is>
          <t xml:space="preserve">    ConnectionError, TimeoutError, OSError,</t>
        </is>
      </c>
    </row>
    <row r="42">
      <c r="A42" s="7" t="n">
        <v>39</v>
      </c>
      <c r="B42" s="8" t="inlineStr">
        <is>
          <t xml:space="preserve">    IOError, BrokenPipeError, ConnectionAbortedError,</t>
        </is>
      </c>
    </row>
    <row r="43">
      <c r="A43" s="9" t="n">
        <v>40</v>
      </c>
      <c r="B43" s="10" t="inlineStr">
        <is>
          <t xml:space="preserve">    ConnectionResetError, ConnectionRefusedError,</t>
        </is>
      </c>
    </row>
    <row r="44">
      <c r="A44" s="7" t="n">
        <v>41</v>
      </c>
      <c r="B44" s="8" t="inlineStr">
        <is>
          <t>)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># HTTP 可重试状态码</t>
        </is>
      </c>
    </row>
    <row r="47">
      <c r="A47" s="9" t="n">
        <v>44</v>
      </c>
      <c r="B47" s="10" t="inlineStr">
        <is>
          <t>RETRYABLE_HTTP_CODES = {429, 500, 502, 503, 504}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/>
    </row>
    <row r="50">
      <c r="A50" s="7" t="n">
        <v>47</v>
      </c>
      <c r="B50" s="8" t="inlineStr">
        <is>
          <t>def retry_on_failure(</t>
        </is>
      </c>
    </row>
    <row r="51">
      <c r="A51" s="9" t="n">
        <v>48</v>
      </c>
      <c r="B51" s="10" t="inlineStr">
        <is>
          <t xml:space="preserve">    max_attempts: int = 3,</t>
        </is>
      </c>
    </row>
    <row r="52">
      <c r="A52" s="7" t="n">
        <v>49</v>
      </c>
      <c r="B52" s="8" t="inlineStr">
        <is>
          <t xml:space="preserve">    base_delay: float = 1.0,</t>
        </is>
      </c>
    </row>
    <row r="53">
      <c r="A53" s="9" t="n">
        <v>50</v>
      </c>
      <c r="B53" s="10" t="inlineStr">
        <is>
          <t xml:space="preserve">    max_delay: float = 30.0,</t>
        </is>
      </c>
    </row>
    <row r="54">
      <c r="A54" s="7" t="n">
        <v>51</v>
      </c>
      <c r="B54" s="8" t="inlineStr">
        <is>
          <t xml:space="preserve">    backoff_factor: float = 2.0,</t>
        </is>
      </c>
    </row>
    <row r="55">
      <c r="A55" s="9" t="n">
        <v>52</v>
      </c>
      <c r="B55" s="10" t="inlineStr">
        <is>
          <t xml:space="preserve">    jitter: bool = True,</t>
        </is>
      </c>
    </row>
    <row r="56">
      <c r="A56" s="7" t="n">
        <v>53</v>
      </c>
      <c r="B56" s="8" t="inlineStr">
        <is>
          <t xml:space="preserve">    retryable_exceptions: tuple = RETRYABLE_EXCEPTIONS,</t>
        </is>
      </c>
    </row>
    <row r="57">
      <c r="A57" s="9" t="n">
        <v>54</v>
      </c>
      <c r="B57" s="10" t="inlineStr">
        <is>
          <t xml:space="preserve">    on_retry: Optional[Callable] = None,</t>
        </is>
      </c>
    </row>
    <row r="58">
      <c r="A58" s="7" t="n">
        <v>55</v>
      </c>
      <c r="B58" s="8" t="inlineStr">
        <is>
          <t xml:space="preserve">    on_giveup: Optional[Callable] = None,</t>
        </is>
      </c>
    </row>
    <row r="59">
      <c r="A59" s="9" t="n">
        <v>56</v>
      </c>
      <c r="B59" s="10" t="inlineStr">
        <is>
          <t>):</t>
        </is>
      </c>
    </row>
    <row r="60">
      <c r="A60" s="7" t="n">
        <v>57</v>
      </c>
      <c r="B60" s="8" t="inlineStr">
        <is>
          <t xml:space="preserve">    """</t>
        </is>
      </c>
    </row>
    <row r="61">
      <c r="A61" s="9" t="n">
        <v>58</v>
      </c>
      <c r="B61" s="10" t="inlineStr">
        <is>
          <t xml:space="preserve">    指数退避重试装饰器。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参数:</t>
        </is>
      </c>
    </row>
    <row r="64">
      <c r="A64" s="7" t="n">
        <v>61</v>
      </c>
      <c r="B64" s="8" t="inlineStr">
        <is>
          <t xml:space="preserve">      max_attempts: 最大尝试次数（含首次）</t>
        </is>
      </c>
    </row>
    <row r="65">
      <c r="A65" s="9" t="n">
        <v>62</v>
      </c>
      <c r="B65" s="10" t="inlineStr">
        <is>
          <t xml:space="preserve">      base_delay: 首次重试延迟(秒)</t>
        </is>
      </c>
    </row>
    <row r="66">
      <c r="A66" s="7" t="n">
        <v>63</v>
      </c>
      <c r="B66" s="8" t="inlineStr">
        <is>
          <t xml:space="preserve">      max_delay: 最大延迟上限(秒)</t>
        </is>
      </c>
    </row>
    <row r="67">
      <c r="A67" s="9" t="n">
        <v>64</v>
      </c>
      <c r="B67" s="10" t="inlineStr">
        <is>
          <t xml:space="preserve">      backoff_factor: 退避倍数</t>
        </is>
      </c>
    </row>
    <row r="68">
      <c r="A68" s="7" t="n">
        <v>65</v>
      </c>
      <c r="B68" s="8" t="inlineStr">
        <is>
          <t xml:space="preserve">      jitter: 是否添加随机抖动（避免惊群效应）</t>
        </is>
      </c>
    </row>
    <row r="69">
      <c r="A69" s="9" t="n">
        <v>66</v>
      </c>
      <c r="B69" s="10" t="inlineStr">
        <is>
          <t xml:space="preserve">      retryable_exceptions: 可重试的异常类型</t>
        </is>
      </c>
    </row>
    <row r="70">
      <c r="A70" s="7" t="n">
        <v>67</v>
      </c>
      <c r="B70" s="8" t="inlineStr">
        <is>
          <t xml:space="preserve">      on_retry: 重试时的回调(exception, attempt, delay)</t>
        </is>
      </c>
    </row>
    <row r="71">
      <c r="A71" s="9" t="n">
        <v>68</v>
      </c>
      <c r="B71" s="10" t="inlineStr">
        <is>
          <t xml:space="preserve">      on_giveup: 放弃时的回调(exception)</t>
        </is>
      </c>
    </row>
    <row r="72">
      <c r="A72" s="7" t="n">
        <v>69</v>
      </c>
      <c r="B72" s="8" t="inlineStr">
        <is>
          <t xml:space="preserve">    """</t>
        </is>
      </c>
    </row>
    <row r="73">
      <c r="A73" s="9" t="n">
        <v>70</v>
      </c>
      <c r="B73" s="10" t="inlineStr">
        <is>
          <t xml:space="preserve">    def decorator(func: Callable) -&gt; Callable:</t>
        </is>
      </c>
    </row>
    <row r="74">
      <c r="A74" s="7" t="n">
        <v>71</v>
      </c>
      <c r="B74" s="8" t="inlineStr">
        <is>
          <t xml:space="preserve">        @functools.wraps(func)</t>
        </is>
      </c>
    </row>
    <row r="75">
      <c r="A75" s="9" t="n">
        <v>72</v>
      </c>
      <c r="B75" s="10" t="inlineStr">
        <is>
          <t xml:space="preserve">        def wrapper(*args, **kwargs):</t>
        </is>
      </c>
    </row>
    <row r="76">
      <c r="A76" s="7" t="n">
        <v>73</v>
      </c>
      <c r="B76" s="8" t="inlineStr">
        <is>
          <t xml:space="preserve">            last_exception = None</t>
        </is>
      </c>
    </row>
    <row r="77">
      <c r="A77" s="9" t="n">
        <v>74</v>
      </c>
      <c r="B77" s="10" t="inlineStr">
        <is>
          <t xml:space="preserve">            for attempt in range(max_attempts):</t>
        </is>
      </c>
    </row>
    <row r="78">
      <c r="A78" s="7" t="n">
        <v>75</v>
      </c>
      <c r="B78" s="8" t="inlineStr">
        <is>
          <t xml:space="preserve">                try:</t>
        </is>
      </c>
    </row>
    <row r="79">
      <c r="A79" s="9" t="n">
        <v>76</v>
      </c>
      <c r="B79" s="10" t="inlineStr">
        <is>
          <t xml:space="preserve">                    return func(*args, **kwargs)</t>
        </is>
      </c>
    </row>
    <row r="80">
      <c r="A80" s="7" t="n">
        <v>77</v>
      </c>
      <c r="B80" s="8" t="inlineStr">
        <is>
          <t xml:space="preserve">                except retryable_exceptions as e:</t>
        </is>
      </c>
    </row>
    <row r="81">
      <c r="A81" s="9" t="n">
        <v>78</v>
      </c>
      <c r="B81" s="10" t="inlineStr">
        <is>
          <t xml:space="preserve">                    last_exception = e</t>
        </is>
      </c>
    </row>
    <row r="82">
      <c r="A82" s="7" t="n">
        <v>79</v>
      </c>
      <c r="B82" s="8" t="inlineStr">
        <is>
          <t xml:space="preserve">                    if attempt &gt;= max_attempts - 1:</t>
        </is>
      </c>
    </row>
    <row r="83">
      <c r="A83" s="9" t="n">
        <v>80</v>
      </c>
      <c r="B83" s="10" t="inlineStr">
        <is>
          <t xml:space="preserve">                        break</t>
        </is>
      </c>
    </row>
    <row r="84">
      <c r="A84" s="7" t="n">
        <v>81</v>
      </c>
      <c r="B84" s="8" t="inlineStr">
        <is>
          <t xml:space="preserve">                    delay = min(base_delay * (backoff_factor ** attempt), max_delay)</t>
        </is>
      </c>
    </row>
    <row r="85">
      <c r="A85" s="9" t="n">
        <v>82</v>
      </c>
      <c r="B85" s="10" t="inlineStr">
        <is>
          <t xml:space="preserve">                    if jitter:</t>
        </is>
      </c>
    </row>
    <row r="86">
      <c r="A86" s="7" t="n">
        <v>83</v>
      </c>
      <c r="B86" s="8" t="inlineStr">
        <is>
          <t xml:space="preserve">                        delay *= 0.5 + random.random()</t>
        </is>
      </c>
    </row>
    <row r="87">
      <c r="A87" s="9" t="n">
        <v>84</v>
      </c>
      <c r="B87" s="10" t="inlineStr">
        <is>
          <t xml:space="preserve">                    if on_retry:</t>
        </is>
      </c>
    </row>
    <row r="88">
      <c r="A88" s="7" t="n">
        <v>85</v>
      </c>
      <c r="B88" s="8" t="inlineStr">
        <is>
          <t xml:space="preserve">                        on_retry(e, attempt + 1, delay)</t>
        </is>
      </c>
    </row>
    <row r="89">
      <c r="A89" s="9" t="n">
        <v>86</v>
      </c>
      <c r="B89" s="10" t="inlineStr">
        <is>
          <t xml:space="preserve">                    time.sleep(delay)</t>
        </is>
      </c>
    </row>
    <row r="90">
      <c r="A90" s="7" t="n">
        <v>87</v>
      </c>
      <c r="B90" s="8" t="inlineStr">
        <is>
          <t xml:space="preserve">                except Exception as e:</t>
        </is>
      </c>
    </row>
    <row r="91">
      <c r="A91" s="9" t="n">
        <v>88</v>
      </c>
      <c r="B91" s="10" t="inlineStr">
        <is>
          <t xml:space="preserve">                    # 非可重试异常，直接抛出</t>
        </is>
      </c>
    </row>
    <row r="92">
      <c r="A92" s="7" t="n">
        <v>89</v>
      </c>
      <c r="B92" s="8" t="inlineStr">
        <is>
          <t xml:space="preserve">                    raise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          if on_giveup:</t>
        </is>
      </c>
    </row>
    <row r="95">
      <c r="A95" s="9" t="n">
        <v>92</v>
      </c>
      <c r="B95" s="10" t="inlineStr">
        <is>
          <t xml:space="preserve">                on_giveup(last_exception)</t>
        </is>
      </c>
    </row>
    <row r="96">
      <c r="A96" s="7" t="n">
        <v>93</v>
      </c>
      <c r="B96" s="8" t="inlineStr">
        <is>
          <t xml:space="preserve">            raise last_exception</t>
        </is>
      </c>
    </row>
    <row r="97">
      <c r="A97" s="9" t="n">
        <v>94</v>
      </c>
      <c r="B97" s="10" t="inlineStr"/>
    </row>
    <row r="98">
      <c r="A98" s="7" t="n">
        <v>95</v>
      </c>
      <c r="B98" s="8" t="inlineStr">
        <is>
          <t xml:space="preserve">        return wrapper</t>
        </is>
      </c>
    </row>
    <row r="99">
      <c r="A99" s="9" t="n">
        <v>96</v>
      </c>
      <c r="B99" s="10" t="inlineStr">
        <is>
          <t xml:space="preserve">    return decorator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/>
    </row>
    <row r="102">
      <c r="A102" s="7" t="n">
        <v>99</v>
      </c>
      <c r="B10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03">
      <c r="A103" s="9" t="n">
        <v>100</v>
      </c>
      <c r="B103" s="10" t="inlineStr">
        <is>
          <t># HTTP 请求专用重试（带状态码检查）</t>
        </is>
      </c>
    </row>
    <row r="104">
      <c r="A104" s="7" t="n">
        <v>101</v>
      </c>
      <c r="B104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>def http_retry(</t>
        </is>
      </c>
    </row>
    <row r="107">
      <c r="A107" s="9" t="n">
        <v>104</v>
      </c>
      <c r="B107" s="10" t="inlineStr">
        <is>
          <t xml:space="preserve">    max_attempts: int = 3,</t>
        </is>
      </c>
    </row>
    <row r="108">
      <c r="A108" s="7" t="n">
        <v>105</v>
      </c>
      <c r="B108" s="8" t="inlineStr">
        <is>
          <t xml:space="preserve">    base_delay: float = 1.0,</t>
        </is>
      </c>
    </row>
    <row r="109">
      <c r="A109" s="9" t="n">
        <v>106</v>
      </c>
      <c r="B109" s="10" t="inlineStr">
        <is>
          <t xml:space="preserve">    max_delay: float = 15.0,</t>
        </is>
      </c>
    </row>
    <row r="110">
      <c r="A110" s="7" t="n">
        <v>107</v>
      </c>
      <c r="B110" s="8" t="inlineStr">
        <is>
          <t>):</t>
        </is>
      </c>
    </row>
    <row r="111">
      <c r="A111" s="9" t="n">
        <v>108</v>
      </c>
      <c r="B111" s="10" t="inlineStr">
        <is>
          <t xml:space="preserve">    """</t>
        </is>
      </c>
    </row>
    <row r="112">
      <c r="A112" s="7" t="n">
        <v>109</v>
      </c>
      <c r="B112" s="8" t="inlineStr">
        <is>
          <t xml:space="preserve">    HTTP 请求专用重试装饰器。</t>
        </is>
      </c>
    </row>
    <row r="113">
      <c r="A113" s="9" t="n">
        <v>110</v>
      </c>
      <c r="B113" s="10" t="inlineStr">
        <is>
          <t xml:space="preserve">    自动检查 HTTP 状态码，对 429/5xx 进行重试。</t>
        </is>
      </c>
    </row>
    <row r="114">
      <c r="A114" s="7" t="n">
        <v>111</v>
      </c>
      <c r="B114" s="8" t="inlineStr">
        <is>
          <t xml:space="preserve">    """</t>
        </is>
      </c>
    </row>
    <row r="115">
      <c r="A115" s="9" t="n">
        <v>112</v>
      </c>
      <c r="B115" s="10" t="inlineStr">
        <is>
          <t xml:space="preserve">    def decorator(func: Callable) -&gt; Callable:</t>
        </is>
      </c>
    </row>
    <row r="116">
      <c r="A116" s="7" t="n">
        <v>113</v>
      </c>
      <c r="B116" s="8" t="inlineStr">
        <is>
          <t xml:space="preserve">        @functools.wraps(func)</t>
        </is>
      </c>
    </row>
    <row r="117">
      <c r="A117" s="9" t="n">
        <v>114</v>
      </c>
      <c r="B117" s="10" t="inlineStr">
        <is>
          <t xml:space="preserve">        def wrapper(*args, **kwargs):</t>
        </is>
      </c>
    </row>
    <row r="118">
      <c r="A118" s="7" t="n">
        <v>115</v>
      </c>
      <c r="B118" s="8" t="inlineStr">
        <is>
          <t xml:space="preserve">            last_exception = None</t>
        </is>
      </c>
    </row>
    <row r="119">
      <c r="A119" s="9" t="n">
        <v>116</v>
      </c>
      <c r="B119" s="10" t="inlineStr">
        <is>
          <t xml:space="preserve">            for attempt in range(max_attempts):</t>
        </is>
      </c>
    </row>
    <row r="120">
      <c r="A120" s="7" t="n">
        <v>117</v>
      </c>
      <c r="B120" s="8" t="inlineStr">
        <is>
          <t xml:space="preserve">                try:</t>
        </is>
      </c>
    </row>
    <row r="121">
      <c r="A121" s="9" t="n">
        <v>118</v>
      </c>
      <c r="B121" s="10" t="inlineStr">
        <is>
          <t xml:space="preserve">                    result = func(*args, **kwargs)</t>
        </is>
      </c>
    </row>
    <row r="122">
      <c r="A122" s="7" t="n">
        <v>119</v>
      </c>
      <c r="B122" s="8" t="inlineStr">
        <is>
          <t xml:space="preserve">                    # 如果返回的是 (status_code, data) 格式</t>
        </is>
      </c>
    </row>
    <row r="123">
      <c r="A123" s="9" t="n">
        <v>120</v>
      </c>
      <c r="B123" s="10" t="inlineStr">
        <is>
          <t xml:space="preserve">                    if isinstance(result, tuple) and len(result) == 2:</t>
        </is>
      </c>
    </row>
    <row r="124">
      <c r="A124" s="7" t="n">
        <v>121</v>
      </c>
      <c r="B124" s="8" t="inlineStr">
        <is>
          <t xml:space="preserve">                        status, data = result</t>
        </is>
      </c>
    </row>
    <row r="125">
      <c r="A125" s="9" t="n">
        <v>122</v>
      </c>
      <c r="B125" s="10" t="inlineStr">
        <is>
          <t xml:space="preserve">                        if status in RETRYABLE_HTTP_CODES and attempt &lt; max_attempts - 1:</t>
        </is>
      </c>
    </row>
    <row r="126">
      <c r="A126" s="7" t="n">
        <v>123</v>
      </c>
      <c r="B126" s="8" t="inlineStr">
        <is>
          <t xml:space="preserve">                            delay = min(base_delay * (2 ** attempt), max_delay)</t>
        </is>
      </c>
    </row>
    <row r="127">
      <c r="A127" s="9" t="n">
        <v>124</v>
      </c>
      <c r="B127" s="10" t="inlineStr">
        <is>
          <t xml:space="preserve">                            delay *= 0.5 + random.random()</t>
        </is>
      </c>
    </row>
    <row r="128">
      <c r="A128" s="7" t="n">
        <v>125</v>
      </c>
      <c r="B128" s="8" t="inlineStr">
        <is>
          <t xml:space="preserve">                            time.sleep(delay)</t>
        </is>
      </c>
    </row>
    <row r="129">
      <c r="A129" s="9" t="n">
        <v>126</v>
      </c>
      <c r="B129" s="10" t="inlineStr">
        <is>
          <t xml:space="preserve">                            continue</t>
        </is>
      </c>
    </row>
    <row r="130">
      <c r="A130" s="7" t="n">
        <v>127</v>
      </c>
      <c r="B130" s="8" t="inlineStr">
        <is>
          <t xml:space="preserve">                    return result</t>
        </is>
      </c>
    </row>
    <row r="131">
      <c r="A131" s="9" t="n">
        <v>128</v>
      </c>
      <c r="B131" s="10" t="inlineStr">
        <is>
          <t xml:space="preserve">                except RETRYABLE_EXCEPTIONS as e:</t>
        </is>
      </c>
    </row>
    <row r="132">
      <c r="A132" s="7" t="n">
        <v>129</v>
      </c>
      <c r="B132" s="8" t="inlineStr">
        <is>
          <t xml:space="preserve">                    last_exception = e</t>
        </is>
      </c>
    </row>
    <row r="133">
      <c r="A133" s="9" t="n">
        <v>130</v>
      </c>
      <c r="B133" s="10" t="inlineStr">
        <is>
          <t xml:space="preserve">                    if attempt &gt;= max_attempts - 1:</t>
        </is>
      </c>
    </row>
    <row r="134">
      <c r="A134" s="7" t="n">
        <v>131</v>
      </c>
      <c r="B134" s="8" t="inlineStr">
        <is>
          <t xml:space="preserve">                        raise</t>
        </is>
      </c>
    </row>
    <row r="135">
      <c r="A135" s="9" t="n">
        <v>132</v>
      </c>
      <c r="B135" s="10" t="inlineStr">
        <is>
          <t xml:space="preserve">                    delay = min(base_delay * (2 ** attempt), max_delay)</t>
        </is>
      </c>
    </row>
    <row r="136">
      <c r="A136" s="7" t="n">
        <v>133</v>
      </c>
      <c r="B136" s="8" t="inlineStr">
        <is>
          <t xml:space="preserve">                    delay *= 0.5 + random.random()</t>
        </is>
      </c>
    </row>
    <row r="137">
      <c r="A137" s="9" t="n">
        <v>134</v>
      </c>
      <c r="B137" s="10" t="inlineStr">
        <is>
          <t xml:space="preserve">                    time.sleep(delay)</t>
        </is>
      </c>
    </row>
    <row r="138">
      <c r="A138" s="7" t="n">
        <v>135</v>
      </c>
      <c r="B138" s="8" t="inlineStr">
        <is>
          <t xml:space="preserve">            raise last_exception</t>
        </is>
      </c>
    </row>
    <row r="139">
      <c r="A139" s="9" t="n">
        <v>136</v>
      </c>
      <c r="B139" s="10" t="inlineStr">
        <is>
          <t xml:space="preserve">        return wrapper</t>
        </is>
      </c>
    </row>
    <row r="140">
      <c r="A140" s="7" t="n">
        <v>137</v>
      </c>
      <c r="B140" s="8" t="inlineStr">
        <is>
          <t xml:space="preserve">    return decorator</t>
        </is>
      </c>
    </row>
    <row r="141">
      <c r="A141" s="9" t="n">
        <v>138</v>
      </c>
      <c r="B141" s="10" t="inlineStr"/>
    </row>
    <row r="142">
      <c r="A142" s="7" t="n">
        <v>139</v>
      </c>
      <c r="B142" s="8" t="inlineStr"/>
    </row>
    <row r="143">
      <c r="A143" s="9" t="n">
        <v>140</v>
      </c>
      <c r="B143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44">
      <c r="A144" s="7" t="n">
        <v>141</v>
      </c>
      <c r="B144" s="8" t="inlineStr">
        <is>
          <t># 熔断器 (Circuit Breaker)</t>
        </is>
      </c>
    </row>
    <row r="145">
      <c r="A145" s="9" t="n">
        <v>142</v>
      </c>
      <c r="B14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>class CircuitBreaker:</t>
        </is>
      </c>
    </row>
    <row r="148">
      <c r="A148" s="7" t="n">
        <v>145</v>
      </c>
      <c r="B148" s="8" t="inlineStr">
        <is>
          <t xml:space="preserve">    """</t>
        </is>
      </c>
    </row>
    <row r="149">
      <c r="A149" s="9" t="n">
        <v>146</v>
      </c>
      <c r="B149" s="10" t="inlineStr">
        <is>
          <t xml:space="preserve">    熔断器 — 当外部服务连续失败时自动熔断，避免雪崩。</t>
        </is>
      </c>
    </row>
    <row r="150">
      <c r="A150" s="7" t="n">
        <v>147</v>
      </c>
      <c r="B150" s="8" t="inlineStr"/>
    </row>
    <row r="151">
      <c r="A151" s="9" t="n">
        <v>148</v>
      </c>
      <c r="B151" s="10" t="inlineStr">
        <is>
          <t xml:space="preserve">    状态机:</t>
        </is>
      </c>
    </row>
    <row r="152">
      <c r="A152" s="7" t="n">
        <v>149</v>
      </c>
      <c r="B152" s="8" t="inlineStr">
        <is>
          <t xml:space="preserve">      CLOSED (正常) → OPEN (熔断) → HALF_OPEN (探测) → CLOSED/HALF_OPEN</t>
        </is>
      </c>
    </row>
    <row r="153">
      <c r="A153" s="9" t="n">
        <v>150</v>
      </c>
      <c r="B153" s="10" t="inlineStr">
        <is>
          <t xml:space="preserve">    """</t>
        </is>
      </c>
    </row>
    <row r="154">
      <c r="A154" s="7" t="n">
        <v>151</v>
      </c>
      <c r="B154" s="8" t="inlineStr"/>
    </row>
    <row r="155">
      <c r="A155" s="9" t="n">
        <v>152</v>
      </c>
      <c r="B155" s="10" t="inlineStr">
        <is>
          <t xml:space="preserve">    STATE_CLOSED = "closed"</t>
        </is>
      </c>
    </row>
    <row r="156">
      <c r="A156" s="7" t="n">
        <v>153</v>
      </c>
      <c r="B156" s="8" t="inlineStr">
        <is>
          <t xml:space="preserve">    STATE_OPEN = "open"</t>
        </is>
      </c>
    </row>
    <row r="157">
      <c r="A157" s="9" t="n">
        <v>154</v>
      </c>
      <c r="B157" s="10" t="inlineStr">
        <is>
          <t xml:space="preserve">    STATE_HALF_OPEN = "half_open"</t>
        </is>
      </c>
    </row>
    <row r="158">
      <c r="A158" s="7" t="n">
        <v>155</v>
      </c>
      <c r="B158" s="8" t="inlineStr"/>
    </row>
    <row r="159">
      <c r="A159" s="9" t="n">
        <v>156</v>
      </c>
      <c r="B159" s="10" t="inlineStr">
        <is>
          <t xml:space="preserve">    def __init__(</t>
        </is>
      </c>
    </row>
    <row r="160">
      <c r="A160" s="7" t="n">
        <v>157</v>
      </c>
      <c r="B160" s="8" t="inlineStr">
        <is>
          <t xml:space="preserve">        self,</t>
        </is>
      </c>
    </row>
    <row r="161">
      <c r="A161" s="9" t="n">
        <v>158</v>
      </c>
      <c r="B161" s="10" t="inlineStr">
        <is>
          <t xml:space="preserve">        name: str,</t>
        </is>
      </c>
    </row>
    <row r="162">
      <c r="A162" s="7" t="n">
        <v>159</v>
      </c>
      <c r="B162" s="8" t="inlineStr">
        <is>
          <t xml:space="preserve">        failure_threshold: int = 5,</t>
        </is>
      </c>
    </row>
    <row r="163">
      <c r="A163" s="9" t="n">
        <v>160</v>
      </c>
      <c r="B163" s="10" t="inlineStr">
        <is>
          <t xml:space="preserve">        recovery_timeout: float = 60.0,</t>
        </is>
      </c>
    </row>
    <row r="164">
      <c r="A164" s="7" t="n">
        <v>161</v>
      </c>
      <c r="B164" s="8" t="inlineStr">
        <is>
          <t xml:space="preserve">        half_open_max: int = 3,</t>
        </is>
      </c>
    </row>
    <row r="165">
      <c r="A165" s="9" t="n">
        <v>162</v>
      </c>
      <c r="B165" s="10" t="inlineStr">
        <is>
          <t xml:space="preserve">    ):</t>
        </is>
      </c>
    </row>
    <row r="166">
      <c r="A166" s="7" t="n">
        <v>163</v>
      </c>
      <c r="B166" s="8" t="inlineStr">
        <is>
          <t xml:space="preserve">        self.name = name</t>
        </is>
      </c>
    </row>
    <row r="167">
      <c r="A167" s="9" t="n">
        <v>164</v>
      </c>
      <c r="B167" s="10" t="inlineStr">
        <is>
          <t xml:space="preserve">        self.failure_threshold = failure_threshold</t>
        </is>
      </c>
    </row>
    <row r="168">
      <c r="A168" s="7" t="n">
        <v>165</v>
      </c>
      <c r="B168" s="8" t="inlineStr">
        <is>
          <t xml:space="preserve">        self.recovery_timeout = recovery_timeout</t>
        </is>
      </c>
    </row>
    <row r="169">
      <c r="A169" s="9" t="n">
        <v>166</v>
      </c>
      <c r="B169" s="10" t="inlineStr">
        <is>
          <t xml:space="preserve">        self.half_open_max = half_open_max</t>
        </is>
      </c>
    </row>
    <row r="170">
      <c r="A170" s="7" t="n">
        <v>167</v>
      </c>
      <c r="B170" s="8" t="inlineStr"/>
    </row>
    <row r="171">
      <c r="A171" s="9" t="n">
        <v>168</v>
      </c>
      <c r="B171" s="10" t="inlineStr">
        <is>
          <t xml:space="preserve">        self._state = self.STATE_CLOSED</t>
        </is>
      </c>
    </row>
    <row r="172">
      <c r="A172" s="7" t="n">
        <v>169</v>
      </c>
      <c r="B172" s="8" t="inlineStr">
        <is>
          <t xml:space="preserve">        self._failure_count = 0</t>
        </is>
      </c>
    </row>
    <row r="173">
      <c r="A173" s="9" t="n">
        <v>170</v>
      </c>
      <c r="B173" s="10" t="inlineStr">
        <is>
          <t xml:space="preserve">        self._success_count = 0</t>
        </is>
      </c>
    </row>
    <row r="174">
      <c r="A174" s="7" t="n">
        <v>171</v>
      </c>
      <c r="B174" s="8" t="inlineStr">
        <is>
          <t xml:space="preserve">        self._last_failure_time: Optional[float] = None</t>
        </is>
      </c>
    </row>
    <row r="175">
      <c r="A175" s="9" t="n">
        <v>172</v>
      </c>
      <c r="B175" s="10" t="inlineStr">
        <is>
          <t xml:space="preserve">        self._opened_at: Optional[float] = None</t>
        </is>
      </c>
    </row>
    <row r="176">
      <c r="A176" s="7" t="n">
        <v>173</v>
      </c>
      <c r="B176" s="8" t="inlineStr">
        <is>
          <t xml:space="preserve">        self._lock = threading.Lock()</t>
        </is>
      </c>
    </row>
    <row r="177">
      <c r="A177" s="9" t="n">
        <v>174</v>
      </c>
      <c r="B177" s="10" t="inlineStr"/>
    </row>
    <row r="178">
      <c r="A178" s="7" t="n">
        <v>175</v>
      </c>
      <c r="B178" s="8" t="inlineStr">
        <is>
          <t xml:space="preserve">        # 统计</t>
        </is>
      </c>
    </row>
    <row r="179">
      <c r="A179" s="9" t="n">
        <v>176</v>
      </c>
      <c r="B179" s="10" t="inlineStr">
        <is>
          <t xml:space="preserve">        self.total_failures = 0</t>
        </is>
      </c>
    </row>
    <row r="180">
      <c r="A180" s="7" t="n">
        <v>177</v>
      </c>
      <c r="B180" s="8" t="inlineStr">
        <is>
          <t xml:space="preserve">        self.total_successes = 0</t>
        </is>
      </c>
    </row>
    <row r="181">
      <c r="A181" s="9" t="n">
        <v>178</v>
      </c>
      <c r="B181" s="10" t="inlineStr">
        <is>
          <t xml:space="preserve">        self.total_trips = 0</t>
        </is>
      </c>
    </row>
    <row r="182">
      <c r="A182" s="7" t="n">
        <v>179</v>
      </c>
      <c r="B182" s="8" t="inlineStr"/>
    </row>
    <row r="183">
      <c r="A183" s="9" t="n">
        <v>180</v>
      </c>
      <c r="B183" s="10" t="inlineStr">
        <is>
          <t xml:space="preserve">    @property</t>
        </is>
      </c>
    </row>
    <row r="184">
      <c r="A184" s="7" t="n">
        <v>181</v>
      </c>
      <c r="B184" s="8" t="inlineStr">
        <is>
          <t xml:space="preserve">    def state(self) -&gt; str:</t>
        </is>
      </c>
    </row>
    <row r="185">
      <c r="A185" s="9" t="n">
        <v>182</v>
      </c>
      <c r="B185" s="10" t="inlineStr">
        <is>
          <t xml:space="preserve">        with self._lock:</t>
        </is>
      </c>
    </row>
    <row r="186">
      <c r="A186" s="7" t="n">
        <v>183</v>
      </c>
      <c r="B186" s="8" t="inlineStr">
        <is>
          <t xml:space="preserve">            if self._state == self.STATE_OPEN:</t>
        </is>
      </c>
    </row>
    <row r="187">
      <c r="A187" s="9" t="n">
        <v>184</v>
      </c>
      <c r="B187" s="10" t="inlineStr">
        <is>
          <t xml:space="preserve">                if time.time() - self._opened_at &gt;= self.recovery_timeout:</t>
        </is>
      </c>
    </row>
    <row r="188">
      <c r="A188" s="7" t="n">
        <v>185</v>
      </c>
      <c r="B188" s="8" t="inlineStr">
        <is>
          <t xml:space="preserve">                    self._state = self.STATE_HALF_OPEN</t>
        </is>
      </c>
    </row>
    <row r="189">
      <c r="A189" s="9" t="n">
        <v>186</v>
      </c>
      <c r="B189" s="10" t="inlineStr">
        <is>
          <t xml:space="preserve">                    self._success_count = 0</t>
        </is>
      </c>
    </row>
    <row r="190">
      <c r="A190" s="7" t="n">
        <v>187</v>
      </c>
      <c r="B190" s="8" t="inlineStr">
        <is>
          <t xml:space="preserve">            return self._state</t>
        </is>
      </c>
    </row>
    <row r="191">
      <c r="A191" s="9" t="n">
        <v>188</v>
      </c>
      <c r="B191" s="10" t="inlineStr"/>
    </row>
    <row r="192">
      <c r="A192" s="7" t="n">
        <v>189</v>
      </c>
      <c r="B192" s="8" t="inlineStr">
        <is>
          <t xml:space="preserve">    def record_success(self):</t>
        </is>
      </c>
    </row>
    <row r="193">
      <c r="A193" s="9" t="n">
        <v>190</v>
      </c>
      <c r="B193" s="10" t="inlineStr">
        <is>
          <t xml:space="preserve">        with self._lock:</t>
        </is>
      </c>
    </row>
    <row r="194">
      <c r="A194" s="7" t="n">
        <v>191</v>
      </c>
      <c r="B194" s="8" t="inlineStr">
        <is>
          <t xml:space="preserve">            self.total_successes += 1</t>
        </is>
      </c>
    </row>
    <row r="195">
      <c r="A195" s="9" t="n">
        <v>192</v>
      </c>
      <c r="B195" s="10" t="inlineStr">
        <is>
          <t xml:space="preserve">            if self._state == self.STATE_HALF_OPEN:</t>
        </is>
      </c>
    </row>
    <row r="196">
      <c r="A196" s="7" t="n">
        <v>193</v>
      </c>
      <c r="B196" s="8" t="inlineStr">
        <is>
          <t xml:space="preserve">                self._success_count += 1</t>
        </is>
      </c>
    </row>
    <row r="197">
      <c r="A197" s="9" t="n">
        <v>194</v>
      </c>
      <c r="B197" s="10" t="inlineStr">
        <is>
          <t xml:space="preserve">                if self._success_count &gt;= self.half_open_max:</t>
        </is>
      </c>
    </row>
    <row r="198">
      <c r="A198" s="7" t="n">
        <v>195</v>
      </c>
      <c r="B198" s="8" t="inlineStr">
        <is>
          <t xml:space="preserve">                    self._state = self.STATE_CLOSED</t>
        </is>
      </c>
    </row>
    <row r="199">
      <c r="A199" s="9" t="n">
        <v>196</v>
      </c>
      <c r="B199" s="10" t="inlineStr">
        <is>
          <t xml:space="preserve">                    self._failure_count = 0</t>
        </is>
      </c>
    </row>
    <row r="200">
      <c r="A200" s="7" t="n">
        <v>197</v>
      </c>
      <c r="B200" s="8" t="inlineStr">
        <is>
          <t xml:space="preserve">            elif self._state == self.STATE_CLOSED:</t>
        </is>
      </c>
    </row>
    <row r="201">
      <c r="A201" s="9" t="n">
        <v>198</v>
      </c>
      <c r="B201" s="10" t="inlineStr">
        <is>
          <t xml:space="preserve">                self._failure_count = 0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def record_failure(self):</t>
        </is>
      </c>
    </row>
    <row r="204">
      <c r="A204" s="7" t="n">
        <v>201</v>
      </c>
      <c r="B204" s="8" t="inlineStr">
        <is>
          <t xml:space="preserve">        with self._lock:</t>
        </is>
      </c>
    </row>
    <row r="205">
      <c r="A205" s="9" t="n">
        <v>202</v>
      </c>
      <c r="B205" s="10" t="inlineStr">
        <is>
          <t xml:space="preserve">            self.total_failures += 1</t>
        </is>
      </c>
    </row>
    <row r="206">
      <c r="A206" s="7" t="n">
        <v>203</v>
      </c>
      <c r="B206" s="8" t="inlineStr">
        <is>
          <t xml:space="preserve">            self._failure_count += 1</t>
        </is>
      </c>
    </row>
    <row r="207">
      <c r="A207" s="9" t="n">
        <v>204</v>
      </c>
      <c r="B207" s="10" t="inlineStr">
        <is>
          <t xml:space="preserve">            self._last_failure_time = time.time()</t>
        </is>
      </c>
    </row>
    <row r="208">
      <c r="A208" s="7" t="n">
        <v>205</v>
      </c>
      <c r="B208" s="8" t="inlineStr">
        <is>
          <t xml:space="preserve">            if self._state == self.STATE_HALF_OPEN:</t>
        </is>
      </c>
    </row>
    <row r="209">
      <c r="A209" s="9" t="n">
        <v>206</v>
      </c>
      <c r="B209" s="10" t="inlineStr">
        <is>
          <t xml:space="preserve">                self._state = self.STATE_OPEN</t>
        </is>
      </c>
    </row>
    <row r="210">
      <c r="A210" s="7" t="n">
        <v>207</v>
      </c>
      <c r="B210" s="8" t="inlineStr">
        <is>
          <t xml:space="preserve">                self._opened_at = time.time()</t>
        </is>
      </c>
    </row>
    <row r="211">
      <c r="A211" s="9" t="n">
        <v>208</v>
      </c>
      <c r="B211" s="10" t="inlineStr">
        <is>
          <t xml:space="preserve">                self.total_trips += 1</t>
        </is>
      </c>
    </row>
    <row r="212">
      <c r="A212" s="7" t="n">
        <v>209</v>
      </c>
      <c r="B212" s="8" t="inlineStr">
        <is>
          <t xml:space="preserve">            elif self._failure_count &gt;= self.failure_threshold:</t>
        </is>
      </c>
    </row>
    <row r="213">
      <c r="A213" s="9" t="n">
        <v>210</v>
      </c>
      <c r="B213" s="10" t="inlineStr">
        <is>
          <t xml:space="preserve">                self._state = self.STATE_OPEN</t>
        </is>
      </c>
    </row>
    <row r="214">
      <c r="A214" s="7" t="n">
        <v>211</v>
      </c>
      <c r="B214" s="8" t="inlineStr">
        <is>
          <t xml:space="preserve">                self._opened_at = time.time()</t>
        </is>
      </c>
    </row>
    <row r="215">
      <c r="A215" s="9" t="n">
        <v>212</v>
      </c>
      <c r="B215" s="10" t="inlineStr">
        <is>
          <t xml:space="preserve">                self.total_trips += 1</t>
        </is>
      </c>
    </row>
    <row r="216">
      <c r="A216" s="7" t="n">
        <v>213</v>
      </c>
      <c r="B216" s="8" t="inlineStr"/>
    </row>
    <row r="217">
      <c r="A217" s="9" t="n">
        <v>214</v>
      </c>
      <c r="B217" s="10" t="inlineStr">
        <is>
          <t xml:space="preserve">    def protect(self, func: Callable) -&gt; Callable:</t>
        </is>
      </c>
    </row>
    <row r="218">
      <c r="A218" s="7" t="n">
        <v>215</v>
      </c>
      <c r="B218" s="8" t="inlineStr">
        <is>
          <t xml:space="preserve">        """保护函数，熔断时直接抛出 CircuitBreakerOpenError"""</t>
        </is>
      </c>
    </row>
    <row r="219">
      <c r="A219" s="9" t="n">
        <v>216</v>
      </c>
      <c r="B219" s="10" t="inlineStr">
        <is>
          <t xml:space="preserve">        @functools.wraps(func)</t>
        </is>
      </c>
    </row>
    <row r="220">
      <c r="A220" s="7" t="n">
        <v>217</v>
      </c>
      <c r="B220" s="8" t="inlineStr">
        <is>
          <t xml:space="preserve">        def wrapper(*args, **kwargs):</t>
        </is>
      </c>
    </row>
    <row r="221">
      <c r="A221" s="9" t="n">
        <v>218</v>
      </c>
      <c r="B221" s="10" t="inlineStr">
        <is>
          <t xml:space="preserve">            if self.state == self.STATE_OPEN:</t>
        </is>
      </c>
    </row>
    <row r="222">
      <c r="A222" s="7" t="n">
        <v>219</v>
      </c>
      <c r="B222" s="8" t="inlineStr">
        <is>
          <t xml:space="preserve">                remaining = self.recovery_timeout - (time.time() - self._opened_at)</t>
        </is>
      </c>
    </row>
    <row r="223">
      <c r="A223" s="9" t="n">
        <v>220</v>
      </c>
      <c r="B223" s="10" t="inlineStr">
        <is>
          <t xml:space="preserve">                raise CircuitBreakerOpenError(</t>
        </is>
      </c>
    </row>
    <row r="224">
      <c r="A224" s="7" t="n">
        <v>221</v>
      </c>
      <c r="B224" s="8" t="inlineStr">
        <is>
          <t xml:space="preserve">                    f"熔断器 [{self.name}] 已断开，{remaining:.0f}秒后恢复"</t>
        </is>
      </c>
    </row>
    <row r="225">
      <c r="A225" s="9" t="n">
        <v>222</v>
      </c>
      <c r="B225" s="10" t="inlineStr">
        <is>
          <t xml:space="preserve">                )</t>
        </is>
      </c>
    </row>
    <row r="226">
      <c r="A226" s="7" t="n">
        <v>223</v>
      </c>
      <c r="B226" s="8" t="inlineStr">
        <is>
          <t xml:space="preserve">            try:</t>
        </is>
      </c>
    </row>
    <row r="227">
      <c r="A227" s="9" t="n">
        <v>224</v>
      </c>
      <c r="B227" s="10" t="inlineStr">
        <is>
          <t xml:space="preserve">                result = func(*args, **kwargs)</t>
        </is>
      </c>
    </row>
    <row r="228">
      <c r="A228" s="7" t="n">
        <v>225</v>
      </c>
      <c r="B228" s="8" t="inlineStr">
        <is>
          <t xml:space="preserve">                self.record_success()</t>
        </is>
      </c>
    </row>
    <row r="229">
      <c r="A229" s="9" t="n">
        <v>226</v>
      </c>
      <c r="B229" s="10" t="inlineStr">
        <is>
          <t xml:space="preserve">                return result</t>
        </is>
      </c>
    </row>
    <row r="230">
      <c r="A230" s="7" t="n">
        <v>227</v>
      </c>
      <c r="B230" s="8" t="inlineStr">
        <is>
          <t xml:space="preserve">            except Exception as e:</t>
        </is>
      </c>
    </row>
    <row r="231">
      <c r="A231" s="9" t="n">
        <v>228</v>
      </c>
      <c r="B231" s="10" t="inlineStr">
        <is>
          <t xml:space="preserve">                self.record_failure()</t>
        </is>
      </c>
    </row>
    <row r="232">
      <c r="A232" s="7" t="n">
        <v>229</v>
      </c>
      <c r="B232" s="8" t="inlineStr">
        <is>
          <t xml:space="preserve">                raise e</t>
        </is>
      </c>
    </row>
    <row r="233">
      <c r="A233" s="9" t="n">
        <v>230</v>
      </c>
      <c r="B233" s="10" t="inlineStr"/>
    </row>
    <row r="234">
      <c r="A234" s="7" t="n">
        <v>231</v>
      </c>
      <c r="B234" s="8" t="inlineStr">
        <is>
          <t xml:space="preserve">        return wrapper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 xml:space="preserve">    def stats(self) -&gt; dict:</t>
        </is>
      </c>
    </row>
    <row r="237">
      <c r="A237" s="9" t="n">
        <v>234</v>
      </c>
      <c r="B237" s="10" t="inlineStr">
        <is>
          <t xml:space="preserve">        return {</t>
        </is>
      </c>
    </row>
    <row r="238">
      <c r="A238" s="7" t="n">
        <v>235</v>
      </c>
      <c r="B238" s="8" t="inlineStr">
        <is>
          <t xml:space="preserve">            "name": self.name,</t>
        </is>
      </c>
    </row>
    <row r="239">
      <c r="A239" s="9" t="n">
        <v>236</v>
      </c>
      <c r="B239" s="10" t="inlineStr">
        <is>
          <t xml:space="preserve">            "state": self.state,</t>
        </is>
      </c>
    </row>
    <row r="240">
      <c r="A240" s="7" t="n">
        <v>237</v>
      </c>
      <c r="B240" s="8" t="inlineStr">
        <is>
          <t xml:space="preserve">            "failure_count": self._failure_count,</t>
        </is>
      </c>
    </row>
    <row r="241">
      <c r="A241" s="9" t="n">
        <v>238</v>
      </c>
      <c r="B241" s="10" t="inlineStr">
        <is>
          <t xml:space="preserve">            "total_failures": self.total_failures,</t>
        </is>
      </c>
    </row>
    <row r="242">
      <c r="A242" s="7" t="n">
        <v>239</v>
      </c>
      <c r="B242" s="8" t="inlineStr">
        <is>
          <t xml:space="preserve">            "total_successes": self.total_successes,</t>
        </is>
      </c>
    </row>
    <row r="243">
      <c r="A243" s="9" t="n">
        <v>240</v>
      </c>
      <c r="B243" s="10" t="inlineStr">
        <is>
          <t xml:space="preserve">            "total_trips": self.total_trips,</t>
        </is>
      </c>
    </row>
    <row r="244">
      <c r="A244" s="7" t="n">
        <v>241</v>
      </c>
      <c r="B244" s="8" t="inlineStr">
        <is>
          <t xml:space="preserve">        }</t>
        </is>
      </c>
    </row>
    <row r="245">
      <c r="A245" s="9" t="n">
        <v>242</v>
      </c>
      <c r="B245" s="10" t="inlineStr"/>
    </row>
    <row r="246">
      <c r="A246" s="7" t="n">
        <v>243</v>
      </c>
      <c r="B246" s="8" t="inlineStr"/>
    </row>
    <row r="247">
      <c r="A247" s="9" t="n">
        <v>244</v>
      </c>
      <c r="B247" s="10" t="inlineStr">
        <is>
          <t>class CircuitBreakerOpenError(Exception):</t>
        </is>
      </c>
    </row>
    <row r="248">
      <c r="A248" s="7" t="n">
        <v>245</v>
      </c>
      <c r="B248" s="8" t="inlineStr">
        <is>
          <t xml:space="preserve">    """熔断器断开异常"""</t>
        </is>
      </c>
    </row>
    <row r="249">
      <c r="A249" s="9" t="n">
        <v>246</v>
      </c>
      <c r="B249" s="10" t="inlineStr">
        <is>
          <t xml:space="preserve">    pass</t>
        </is>
      </c>
    </row>
    <row r="250">
      <c r="A250" s="7" t="n">
        <v>247</v>
      </c>
      <c r="B250" s="8" t="inlineStr"/>
    </row>
    <row r="251">
      <c r="A251" s="9" t="n">
        <v>248</v>
      </c>
      <c r="B251" s="10" t="inlineStr"/>
    </row>
    <row r="252">
      <c r="A252" s="7" t="n">
        <v>249</v>
      </c>
      <c r="B25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53">
      <c r="A253" s="9" t="n">
        <v>250</v>
      </c>
      <c r="B253" s="10" t="inlineStr">
        <is>
          <t># 熔断器注册表（全局管理）</t>
        </is>
      </c>
    </row>
    <row r="254">
      <c r="A254" s="7" t="n">
        <v>251</v>
      </c>
      <c r="B254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55">
      <c r="A255" s="9" t="n">
        <v>252</v>
      </c>
      <c r="B255" s="10" t="inlineStr"/>
    </row>
    <row r="256">
      <c r="A256" s="7" t="n">
        <v>253</v>
      </c>
      <c r="B256" s="8" t="inlineStr">
        <is>
          <t>class BreakerRegistry:</t>
        </is>
      </c>
    </row>
    <row r="257">
      <c r="A257" s="9" t="n">
        <v>254</v>
      </c>
      <c r="B257" s="10" t="inlineStr">
        <is>
          <t xml:space="preserve">    """全局熔断器管理器"""</t>
        </is>
      </c>
    </row>
    <row r="258">
      <c r="A258" s="7" t="n">
        <v>255</v>
      </c>
      <c r="B258" s="8" t="inlineStr"/>
    </row>
    <row r="259">
      <c r="A259" s="9" t="n">
        <v>256</v>
      </c>
      <c r="B259" s="10" t="inlineStr">
        <is>
          <t xml:space="preserve">    def __init__(self):</t>
        </is>
      </c>
    </row>
    <row r="260">
      <c r="A260" s="7" t="n">
        <v>257</v>
      </c>
      <c r="B260" s="8" t="inlineStr">
        <is>
          <t xml:space="preserve">        self._breakers: Dict[str, CircuitBreaker] = {}</t>
        </is>
      </c>
    </row>
    <row r="261">
      <c r="A261" s="9" t="n">
        <v>258</v>
      </c>
      <c r="B261" s="10" t="inlineStr">
        <is>
          <t xml:space="preserve">        self._lock = threading.Lock()</t>
        </is>
      </c>
    </row>
    <row r="262">
      <c r="A262" s="7" t="n">
        <v>259</v>
      </c>
      <c r="B262" s="8" t="inlineStr"/>
    </row>
    <row r="263">
      <c r="A263" s="9" t="n">
        <v>260</v>
      </c>
      <c r="B263" s="10" t="inlineStr">
        <is>
          <t xml:space="preserve">    def get(self, name: str, **kwargs) -&gt; CircuitBreaker:</t>
        </is>
      </c>
    </row>
    <row r="264">
      <c r="A264" s="7" t="n">
        <v>261</v>
      </c>
      <c r="B264" s="8" t="inlineStr">
        <is>
          <t xml:space="preserve">        with self._lock:</t>
        </is>
      </c>
    </row>
    <row r="265">
      <c r="A265" s="9" t="n">
        <v>262</v>
      </c>
      <c r="B265" s="10" t="inlineStr">
        <is>
          <t xml:space="preserve">            if name not in self._breakers:</t>
        </is>
      </c>
    </row>
    <row r="266">
      <c r="A266" s="7" t="n">
        <v>263</v>
      </c>
      <c r="B266" s="8" t="inlineStr">
        <is>
          <t xml:space="preserve">                self._breakers[name] = CircuitBreaker(name=name, **kwargs)</t>
        </is>
      </c>
    </row>
    <row r="267">
      <c r="A267" s="9" t="n">
        <v>264</v>
      </c>
      <c r="B267" s="10" t="inlineStr">
        <is>
          <t xml:space="preserve">            return self._breakers[name]</t>
        </is>
      </c>
    </row>
    <row r="268">
      <c r="A268" s="7" t="n">
        <v>265</v>
      </c>
      <c r="B268" s="8" t="inlineStr"/>
    </row>
    <row r="269">
      <c r="A269" s="9" t="n">
        <v>266</v>
      </c>
      <c r="B269" s="10" t="inlineStr">
        <is>
          <t xml:space="preserve">    def stats(self) -&gt; Dict[str, dict]:</t>
        </is>
      </c>
    </row>
    <row r="270">
      <c r="A270" s="7" t="n">
        <v>267</v>
      </c>
      <c r="B270" s="8" t="inlineStr">
        <is>
          <t xml:space="preserve">        return {name: b.stats() for name, b in self._breakers.items()}</t>
        </is>
      </c>
    </row>
    <row r="271">
      <c r="A271" s="9" t="n">
        <v>268</v>
      </c>
      <c r="B271" s="10" t="inlineStr"/>
    </row>
    <row r="272">
      <c r="A272" s="7" t="n">
        <v>269</v>
      </c>
      <c r="B272" s="8" t="inlineStr">
        <is>
          <t xml:space="preserve">    def all_healthy(self) -&gt; bool:</t>
        </is>
      </c>
    </row>
    <row r="273">
      <c r="A273" s="9" t="n">
        <v>270</v>
      </c>
      <c r="B273" s="10" t="inlineStr">
        <is>
          <t xml:space="preserve">        return all(b.state != CircuitBreaker.STATE_OPEN for b in self._breakers.values())</t>
        </is>
      </c>
    </row>
    <row r="274">
      <c r="A274" s="7" t="n">
        <v>271</v>
      </c>
      <c r="B274" s="8" t="inlineStr"/>
    </row>
    <row r="275">
      <c r="A275" s="9" t="n">
        <v>272</v>
      </c>
      <c r="B275" s="10" t="inlineStr"/>
    </row>
    <row r="276">
      <c r="A276" s="7" t="n">
        <v>273</v>
      </c>
      <c r="B276" s="8" t="inlineStr">
        <is>
          <t># 全局实例</t>
        </is>
      </c>
    </row>
    <row r="277">
      <c r="A277" s="9" t="n">
        <v>274</v>
      </c>
      <c r="B277" s="10" t="inlineStr">
        <is>
          <t>breaker_registry = BreakerRegistry()</t>
        </is>
      </c>
    </row>
    <row r="278">
      <c r="A278" s="7" t="n">
        <v>275</v>
      </c>
      <c r="B278" s="8" t="inlineStr"/>
    </row>
    <row r="279">
      <c r="A279" s="9" t="n">
        <v>276</v>
      </c>
      <c r="B279" s="10" t="inlineStr"/>
    </row>
    <row r="280">
      <c r="A280" s="7" t="n">
        <v>277</v>
      </c>
      <c r="B280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81">
      <c r="A281" s="9" t="n">
        <v>278</v>
      </c>
      <c r="B281" s="10" t="inlineStr">
        <is>
          <t># 便捷函数</t>
        </is>
      </c>
    </row>
    <row r="282">
      <c r="A282" s="7" t="n">
        <v>279</v>
      </c>
      <c r="B28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83">
      <c r="A283" s="9" t="n">
        <v>280</v>
      </c>
      <c r="B283" s="10" t="inlineStr"/>
    </row>
    <row r="284">
      <c r="A284" s="7" t="n">
        <v>281</v>
      </c>
      <c r="B284" s="8" t="inlineStr">
        <is>
          <t>def call_with_retry(</t>
        </is>
      </c>
    </row>
    <row r="285">
      <c r="A285" s="9" t="n">
        <v>282</v>
      </c>
      <c r="B285" s="10" t="inlineStr">
        <is>
          <t xml:space="preserve">    func: Callable,</t>
        </is>
      </c>
    </row>
    <row r="286">
      <c r="A286" s="7" t="n">
        <v>283</v>
      </c>
      <c r="B286" s="8" t="inlineStr">
        <is>
          <t xml:space="preserve">    *args,</t>
        </is>
      </c>
    </row>
    <row r="287">
      <c r="A287" s="9" t="n">
        <v>284</v>
      </c>
      <c r="B287" s="10" t="inlineStr">
        <is>
          <t xml:space="preserve">    max_attempts: int = 3,</t>
        </is>
      </c>
    </row>
    <row r="288">
      <c r="A288" s="7" t="n">
        <v>285</v>
      </c>
      <c r="B288" s="8" t="inlineStr">
        <is>
          <t xml:space="preserve">    base_delay: float = 1.0,</t>
        </is>
      </c>
    </row>
    <row r="289">
      <c r="A289" s="9" t="n">
        <v>286</v>
      </c>
      <c r="B289" s="10" t="inlineStr">
        <is>
          <t xml:space="preserve">    fallback: Any = None,</t>
        </is>
      </c>
    </row>
    <row r="290">
      <c r="A290" s="7" t="n">
        <v>287</v>
      </c>
      <c r="B290" s="8" t="inlineStr">
        <is>
          <t xml:space="preserve">    **kwargs,</t>
        </is>
      </c>
    </row>
    <row r="291">
      <c r="A291" s="9" t="n">
        <v>288</v>
      </c>
      <c r="B291" s="10" t="inlineStr">
        <is>
          <t>) -&gt; Any:</t>
        </is>
      </c>
    </row>
    <row r="292">
      <c r="A292" s="7" t="n">
        <v>289</v>
      </c>
      <c r="B292" s="8" t="inlineStr">
        <is>
          <t xml:space="preserve">    """</t>
        </is>
      </c>
    </row>
    <row r="293">
      <c r="A293" s="9" t="n">
        <v>290</v>
      </c>
      <c r="B293" s="10" t="inlineStr">
        <is>
          <t xml:space="preserve">    同步调用函数，带重试和降级。</t>
        </is>
      </c>
    </row>
    <row r="294">
      <c r="A294" s="7" t="n">
        <v>291</v>
      </c>
      <c r="B294" s="8" t="inlineStr"/>
    </row>
    <row r="295">
      <c r="A295" s="9" t="n">
        <v>292</v>
      </c>
      <c r="B295" s="10" t="inlineStr">
        <is>
          <t xml:space="preserve">    参数:</t>
        </is>
      </c>
    </row>
    <row r="296">
      <c r="A296" s="7" t="n">
        <v>293</v>
      </c>
      <c r="B296" s="8" t="inlineStr">
        <is>
          <t xml:space="preserve">      func: 要调用的函数</t>
        </is>
      </c>
    </row>
    <row r="297">
      <c r="A297" s="9" t="n">
        <v>294</v>
      </c>
      <c r="B297" s="10" t="inlineStr">
        <is>
          <t xml:space="preserve">      max_attempts: 最大尝试次数</t>
        </is>
      </c>
    </row>
    <row r="298">
      <c r="A298" s="7" t="n">
        <v>295</v>
      </c>
      <c r="B298" s="8" t="inlineStr">
        <is>
          <t xml:space="preserve">      base_delay: 基础延迟</t>
        </is>
      </c>
    </row>
    <row r="299">
      <c r="A299" s="9" t="n">
        <v>296</v>
      </c>
      <c r="B299" s="10" t="inlineStr">
        <is>
          <t xml:space="preserve">      fallback: 全部失败时的降级返回值</t>
        </is>
      </c>
    </row>
    <row r="300">
      <c r="A300" s="7" t="n">
        <v>297</v>
      </c>
      <c r="B300" s="8" t="inlineStr"/>
    </row>
    <row r="301">
      <c r="A301" s="9" t="n">
        <v>298</v>
      </c>
      <c r="B301" s="10" t="inlineStr">
        <is>
          <t xml:space="preserve">    返回: func 的返回值，或 fallback</t>
        </is>
      </c>
    </row>
    <row r="302">
      <c r="A302" s="7" t="n">
        <v>299</v>
      </c>
      <c r="B302" s="8" t="inlineStr">
        <is>
          <t xml:space="preserve">    """</t>
        </is>
      </c>
    </row>
    <row r="303">
      <c r="A303" s="9" t="n">
        <v>300</v>
      </c>
      <c r="B303" s="10" t="inlineStr">
        <is>
          <t xml:space="preserve">    decorated = retry_on_failure(max_attempts=max_attempts, base_delay=base_delay)(func)</t>
        </is>
      </c>
    </row>
    <row r="304">
      <c r="A304" s="7" t="n">
        <v>301</v>
      </c>
      <c r="B304" s="8" t="inlineStr">
        <is>
          <t xml:space="preserve">    try:</t>
        </is>
      </c>
    </row>
    <row r="305">
      <c r="A305" s="9" t="n">
        <v>302</v>
      </c>
      <c r="B305" s="10" t="inlineStr">
        <is>
          <t xml:space="preserve">        return decorated(*args, **kwargs)</t>
        </is>
      </c>
    </row>
    <row r="306">
      <c r="A306" s="7" t="n">
        <v>303</v>
      </c>
      <c r="B306" s="8" t="inlineStr">
        <is>
          <t xml:space="preserve">    except Exception:</t>
        </is>
      </c>
    </row>
    <row r="307">
      <c r="A307" s="9" t="n">
        <v>304</v>
      </c>
      <c r="B307" s="10" t="inlineStr">
        <is>
          <t xml:space="preserve">        return fallback</t>
        </is>
      </c>
    </row>
    <row r="308">
      <c r="A308" s="7" t="n">
        <v>305</v>
      </c>
      <c r="B308" s="8" t="inlineStr"/>
    </row>
    <row r="309">
      <c r="A309" s="9" t="n">
        <v>306</v>
      </c>
      <c r="B309" s="10" t="inlineStr"/>
    </row>
    <row r="310">
      <c r="A310" s="7" t="n">
        <v>307</v>
      </c>
      <c r="B310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311">
      <c r="A311" s="9" t="n">
        <v>308</v>
      </c>
      <c r="B311" s="10" t="inlineStr">
        <is>
          <t># 自检</t>
        </is>
      </c>
    </row>
    <row r="312">
      <c r="A312" s="7" t="n">
        <v>309</v>
      </c>
      <c r="B31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313">
      <c r="A313" s="9" t="n">
        <v>310</v>
      </c>
      <c r="B313" s="10" t="inlineStr"/>
    </row>
    <row r="314">
      <c r="A314" s="7" t="n">
        <v>311</v>
      </c>
      <c r="B314" s="8" t="inlineStr">
        <is>
          <t>if __name__ == "__main__":</t>
        </is>
      </c>
    </row>
    <row r="315">
      <c r="A315" s="9" t="n">
        <v>312</v>
      </c>
      <c r="B315" s="10" t="inlineStr">
        <is>
          <t xml:space="preserve">    print("=" * 50)</t>
        </is>
      </c>
    </row>
    <row r="316">
      <c r="A316" s="7" t="n">
        <v>313</v>
      </c>
      <c r="B316" s="8" t="inlineStr">
        <is>
          <t xml:space="preserve">    print("  重试与熔断模块自检")</t>
        </is>
      </c>
    </row>
    <row r="317">
      <c r="A317" s="9" t="n">
        <v>314</v>
      </c>
      <c r="B317" s="10" t="inlineStr">
        <is>
          <t xml:space="preserve">    print("=" * 50)</t>
        </is>
      </c>
    </row>
    <row r="318">
      <c r="A318" s="7" t="n">
        <v>315</v>
      </c>
      <c r="B318" s="8" t="inlineStr"/>
    </row>
    <row r="319">
      <c r="A319" s="9" t="n">
        <v>316</v>
      </c>
      <c r="B319" s="10" t="inlineStr">
        <is>
          <t xml:space="preserve">    # 1. 测试重试</t>
        </is>
      </c>
    </row>
    <row r="320">
      <c r="A320" s="7" t="n">
        <v>317</v>
      </c>
      <c r="B320" s="8" t="inlineStr">
        <is>
          <t xml:space="preserve">    call_count = [0]</t>
        </is>
      </c>
    </row>
    <row r="321">
      <c r="A321" s="9" t="n">
        <v>318</v>
      </c>
      <c r="B321" s="10" t="inlineStr"/>
    </row>
    <row r="322">
      <c r="A322" s="7" t="n">
        <v>319</v>
      </c>
      <c r="B322" s="8" t="inlineStr">
        <is>
          <t xml:space="preserve">    @retry_on_failure(max_attempts=3, base_delay=0.1)</t>
        </is>
      </c>
    </row>
    <row r="323">
      <c r="A323" s="9" t="n">
        <v>320</v>
      </c>
      <c r="B323" s="10" t="inlineStr">
        <is>
          <t xml:space="preserve">    def flaky_function():</t>
        </is>
      </c>
    </row>
    <row r="324">
      <c r="A324" s="7" t="n">
        <v>321</v>
      </c>
      <c r="B324" s="8" t="inlineStr">
        <is>
          <t xml:space="preserve">        call_count[0] += 1</t>
        </is>
      </c>
    </row>
    <row r="325">
      <c r="A325" s="9" t="n">
        <v>322</v>
      </c>
      <c r="B325" s="10" t="inlineStr">
        <is>
          <t xml:space="preserve">        if call_count[0] &lt; 3:</t>
        </is>
      </c>
    </row>
    <row r="326">
      <c r="A326" s="7" t="n">
        <v>323</v>
      </c>
      <c r="B326" s="8" t="inlineStr">
        <is>
          <t xml:space="preserve">            raise ConnectionError("网络错误（模拟）")</t>
        </is>
      </c>
    </row>
    <row r="327">
      <c r="A327" s="9" t="n">
        <v>324</v>
      </c>
      <c r="B327" s="10" t="inlineStr">
        <is>
          <t xml:space="preserve">        return "Success!"</t>
        </is>
      </c>
    </row>
    <row r="328">
      <c r="A328" s="7" t="n">
        <v>325</v>
      </c>
      <c r="B328" s="8" t="inlineStr"/>
    </row>
    <row r="329">
      <c r="A329" s="9" t="n">
        <v>326</v>
      </c>
      <c r="B329" s="10" t="inlineStr">
        <is>
          <t xml:space="preserve">    try:</t>
        </is>
      </c>
    </row>
    <row r="330">
      <c r="A330" s="7" t="n">
        <v>327</v>
      </c>
      <c r="B330" s="8" t="inlineStr">
        <is>
          <t xml:space="preserve">        result = flaky_function()</t>
        </is>
      </c>
    </row>
    <row r="331">
      <c r="A331" s="9" t="n">
        <v>328</v>
      </c>
      <c r="B331" s="10" t="inlineStr">
        <is>
          <t xml:space="preserve">        print(f"  重试测试: {result} (共调用{call_count[0]}次)")</t>
        </is>
      </c>
    </row>
    <row r="332">
      <c r="A332" s="7" t="n">
        <v>329</v>
      </c>
      <c r="B332" s="8" t="inlineStr">
        <is>
          <t xml:space="preserve">    except Exception as e:</t>
        </is>
      </c>
    </row>
    <row r="333">
      <c r="A333" s="9" t="n">
        <v>330</v>
      </c>
      <c r="B333" s="10" t="inlineStr">
        <is>
          <t xml:space="preserve">        print(f"  重试测试失败: {e}")</t>
        </is>
      </c>
    </row>
    <row r="334">
      <c r="A334" s="7" t="n">
        <v>331</v>
      </c>
      <c r="B334" s="8" t="inlineStr"/>
    </row>
    <row r="335">
      <c r="A335" s="9" t="n">
        <v>332</v>
      </c>
      <c r="B335" s="10" t="inlineStr">
        <is>
          <t xml:space="preserve">    # 2. 测试熔断器</t>
        </is>
      </c>
    </row>
    <row r="336">
      <c r="A336" s="7" t="n">
        <v>333</v>
      </c>
      <c r="B336" s="8" t="inlineStr">
        <is>
          <t xml:space="preserve">    cb = CircuitBreaker("test", failure_threshold=3, recovery_timeout=2.0)</t>
        </is>
      </c>
    </row>
    <row r="337">
      <c r="A337" s="9" t="n">
        <v>334</v>
      </c>
      <c r="B337" s="10" t="inlineStr"/>
    </row>
    <row r="338">
      <c r="A338" s="7" t="n">
        <v>335</v>
      </c>
      <c r="B338" s="8" t="inlineStr">
        <is>
          <t xml:space="preserve">    @cb.protect</t>
        </is>
      </c>
    </row>
    <row r="339">
      <c r="A339" s="9" t="n">
        <v>336</v>
      </c>
      <c r="B339" s="10" t="inlineStr">
        <is>
          <t xml:space="preserve">    def risky_call(should_fail=True):</t>
        </is>
      </c>
    </row>
    <row r="340">
      <c r="A340" s="7" t="n">
        <v>337</v>
      </c>
      <c r="B340" s="8" t="inlineStr">
        <is>
          <t xml:space="preserve">        if should_fail:</t>
        </is>
      </c>
    </row>
    <row r="341">
      <c r="A341" s="9" t="n">
        <v>338</v>
      </c>
      <c r="B341" s="10" t="inlineStr">
        <is>
          <t xml:space="preserve">            raise ConnectionError("服务不可用（模拟）")</t>
        </is>
      </c>
    </row>
    <row r="342">
      <c r="A342" s="7" t="n">
        <v>339</v>
      </c>
      <c r="B342" s="8" t="inlineStr">
        <is>
          <t xml:space="preserve">        return "OK"</t>
        </is>
      </c>
    </row>
    <row r="343">
      <c r="A343" s="9" t="n">
        <v>340</v>
      </c>
      <c r="B343" s="10" t="inlineStr"/>
    </row>
    <row r="344">
      <c r="A344" s="7" t="n">
        <v>341</v>
      </c>
      <c r="B344" s="8" t="inlineStr">
        <is>
          <t xml:space="preserve">    # 模拟连续失败</t>
        </is>
      </c>
    </row>
    <row r="345">
      <c r="A345" s="9" t="n">
        <v>342</v>
      </c>
      <c r="B345" s="10" t="inlineStr">
        <is>
          <t xml:space="preserve">    for i in range(3):</t>
        </is>
      </c>
    </row>
    <row r="346">
      <c r="A346" s="7" t="n">
        <v>343</v>
      </c>
      <c r="B346" s="8" t="inlineStr">
        <is>
          <t xml:space="preserve">        try:</t>
        </is>
      </c>
    </row>
    <row r="347">
      <c r="A347" s="9" t="n">
        <v>344</v>
      </c>
      <c r="B347" s="10" t="inlineStr">
        <is>
          <t xml:space="preserve">            risky_call(True)</t>
        </is>
      </c>
    </row>
    <row r="348">
      <c r="A348" s="7" t="n">
        <v>345</v>
      </c>
      <c r="B348" s="8" t="inlineStr">
        <is>
          <t xml:space="preserve">        except ConnectionError:</t>
        </is>
      </c>
    </row>
    <row r="349">
      <c r="A349" s="9" t="n">
        <v>346</v>
      </c>
      <c r="B349" s="10" t="inlineStr">
        <is>
          <t xml:space="preserve">            pass</t>
        </is>
      </c>
    </row>
    <row r="350">
      <c r="A350" s="7" t="n">
        <v>347</v>
      </c>
      <c r="B350" s="8" t="inlineStr"/>
    </row>
    <row r="351">
      <c r="A351" s="9" t="n">
        <v>348</v>
      </c>
      <c r="B351" s="10" t="inlineStr">
        <is>
          <t xml:space="preserve">    print(f"  3次失败后熔断器状态: {cb.state}")</t>
        </is>
      </c>
    </row>
    <row r="352">
      <c r="A352" s="7" t="n">
        <v>349</v>
      </c>
      <c r="B352" s="8" t="inlineStr"/>
    </row>
    <row r="353">
      <c r="A353" s="9" t="n">
        <v>350</v>
      </c>
      <c r="B353" s="10" t="inlineStr">
        <is>
          <t xml:space="preserve">    # 尝试在熔断状态调用</t>
        </is>
      </c>
    </row>
    <row r="354">
      <c r="A354" s="7" t="n">
        <v>351</v>
      </c>
      <c r="B354" s="8" t="inlineStr">
        <is>
          <t xml:space="preserve">    try:</t>
        </is>
      </c>
    </row>
    <row r="355">
      <c r="A355" s="9" t="n">
        <v>352</v>
      </c>
      <c r="B355" s="10" t="inlineStr">
        <is>
          <t xml:space="preserve">        risky_call(False)</t>
        </is>
      </c>
    </row>
    <row r="356">
      <c r="A356" s="7" t="n">
        <v>353</v>
      </c>
      <c r="B356" s="8" t="inlineStr">
        <is>
          <t xml:space="preserve">    except CircuitBreakerOpenError as e:</t>
        </is>
      </c>
    </row>
    <row r="357">
      <c r="A357" s="9" t="n">
        <v>354</v>
      </c>
      <c r="B357" s="10" t="inlineStr">
        <is>
          <t xml:space="preserve">        print(f"  熔断保护: {e}")</t>
        </is>
      </c>
    </row>
    <row r="358">
      <c r="A358" s="7" t="n">
        <v>355</v>
      </c>
      <c r="B358" s="8" t="inlineStr"/>
    </row>
    <row r="359">
      <c r="A359" s="9" t="n">
        <v>356</v>
      </c>
      <c r="B359" s="10" t="inlineStr">
        <is>
          <t xml:space="preserve">    print(f"  熔断器统计: {cb.stats()}")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utils\security.py</t>
        </is>
      </c>
      <c r="C1" s="5" t="inlineStr">
        <is>
          <t>行数: 200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╔══════════════════════════════════════════════════════════════╗</t>
        </is>
      </c>
    </row>
    <row r="6">
      <c r="A6" s="7" t="n">
        <v>3</v>
      </c>
      <c r="B6" s="8" t="inlineStr">
        <is>
          <t>║  🛡️  安全加固模块                                        ║</t>
        </is>
      </c>
    </row>
    <row r="7">
      <c r="A7" s="9" t="n">
        <v>4</v>
      </c>
      <c r="B7" s="10" t="inlineStr">
        <is>
          <t>║                                                            ║</t>
        </is>
      </c>
    </row>
    <row r="8">
      <c r="A8" s="7" t="n">
        <v>5</v>
      </c>
      <c r="B8" s="8" t="inlineStr">
        <is>
          <t>║  - API Key 防护（脱敏/检测泄漏/安全加载）                  ║</t>
        </is>
      </c>
    </row>
    <row r="9">
      <c r="A9" s="9" t="n">
        <v>6</v>
      </c>
      <c r="B9" s="10" t="inlineStr">
        <is>
          <t>║  - 敏感字段过滤                                           ║</t>
        </is>
      </c>
    </row>
    <row r="10">
      <c r="A10" s="7" t="n">
        <v>7</v>
      </c>
      <c r="B10" s="8" t="inlineStr">
        <is>
          <t>║  - 配置文件安全读写                                       ║</t>
        </is>
      </c>
    </row>
    <row r="11">
      <c r="A11" s="9" t="n">
        <v>8</v>
      </c>
      <c r="B11" s="10" t="inlineStr">
        <is>
          <t>╚══════════════════════════════════════════════════════════════╝</t>
        </is>
      </c>
    </row>
    <row r="12">
      <c r="A12" s="7" t="n">
        <v>9</v>
      </c>
      <c r="B12" s="8" t="inlineStr">
        <is>
          <t>"""</t>
        </is>
      </c>
    </row>
    <row r="13">
      <c r="A13" s="9" t="n">
        <v>10</v>
      </c>
      <c r="B13" s="10" t="inlineStr">
        <is>
          <t>import os</t>
        </is>
      </c>
    </row>
    <row r="14">
      <c r="A14" s="7" t="n">
        <v>11</v>
      </c>
      <c r="B14" s="8" t="inlineStr">
        <is>
          <t>import re</t>
        </is>
      </c>
    </row>
    <row r="15">
      <c r="A15" s="9" t="n">
        <v>12</v>
      </c>
      <c r="B15" s="10" t="inlineStr">
        <is>
          <t>import json</t>
        </is>
      </c>
    </row>
    <row r="16">
      <c r="A16" s="7" t="n">
        <v>13</v>
      </c>
      <c r="B16" s="8" t="inlineStr">
        <is>
          <t>from pathlib import Path</t>
        </is>
      </c>
    </row>
    <row r="17">
      <c r="A17" s="9" t="n">
        <v>14</v>
      </c>
      <c r="B17" s="10" t="inlineStr">
        <is>
          <t>from typing import Optional, Dict, Any, List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1">
      <c r="A21" s="9" t="n">
        <v>18</v>
      </c>
      <c r="B21" s="10" t="inlineStr">
        <is>
          <t># 敏感字段检测</t>
        </is>
      </c>
    </row>
    <row r="22">
      <c r="A22" s="7" t="n">
        <v>19</v>
      </c>
      <c r="B2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SENSITIVE_PATTERNS = [</t>
        </is>
      </c>
    </row>
    <row r="25">
      <c r="A25" s="9" t="n">
        <v>22</v>
      </c>
      <c r="B25" s="10" t="inlineStr">
        <is>
          <t xml:space="preserve">    r'sk-[a-zA-Z0-9]{20,}',              # OpenAI/DeepSeek API Key</t>
        </is>
      </c>
    </row>
    <row r="26">
      <c r="A26" s="7" t="n">
        <v>23</v>
      </c>
      <c r="B26" s="8" t="inlineStr">
        <is>
          <t xml:space="preserve">    r'api[_-]?key["\s:=]+([a-zA-Z0-9_-]{20,})',  # API Key 赋值</t>
        </is>
      </c>
    </row>
    <row r="27">
      <c r="A27" s="9" t="n">
        <v>24</v>
      </c>
      <c r="B27" s="10" t="inlineStr">
        <is>
          <t xml:space="preserve">    r'Bearer\s+[a-zA-Z0-9_-]{20,}',      # Bearer Token</t>
        </is>
      </c>
    </row>
    <row r="28">
      <c r="A28" s="7" t="n">
        <v>25</v>
      </c>
      <c r="B28" s="8" t="inlineStr">
        <is>
          <t xml:space="preserve">    r'[a-zA-Z0-9]{32,}',                 # 长随机字符串（可能是Key）</t>
        </is>
      </c>
    </row>
    <row r="29">
      <c r="A29" s="9" t="n">
        <v>26</v>
      </c>
      <c r="B29" s="10" t="inlineStr">
        <is>
          <t>]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>REDACT_PLACEHOLDER = "***REDACTED***"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def redact_sensitive(text: str) -&gt; str:</t>
        </is>
      </c>
    </row>
    <row r="35">
      <c r="A35" s="9" t="n">
        <v>32</v>
      </c>
      <c r="B35" s="10" t="inlineStr">
        <is>
          <t xml:space="preserve">    """脱敏文本中的敏感信息"""</t>
        </is>
      </c>
    </row>
    <row r="36">
      <c r="A36" s="7" t="n">
        <v>33</v>
      </c>
      <c r="B36" s="8" t="inlineStr">
        <is>
          <t xml:space="preserve">    for pattern in SENSITIVE_PATTERNS:</t>
        </is>
      </c>
    </row>
    <row r="37">
      <c r="A37" s="9" t="n">
        <v>34</v>
      </c>
      <c r="B37" s="10" t="inlineStr">
        <is>
          <t xml:space="preserve">        text = re.sub(pattern, REDACT_PLACEHOLDER, text)</t>
        </is>
      </c>
    </row>
    <row r="38">
      <c r="A38" s="7" t="n">
        <v>35</v>
      </c>
      <c r="B38" s="8" t="inlineStr">
        <is>
          <t xml:space="preserve">    return text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def detect_secret_leak(text: str) -&gt; List[str]:</t>
        </is>
      </c>
    </row>
    <row r="42">
      <c r="A42" s="7" t="n">
        <v>39</v>
      </c>
      <c r="B42" s="8" t="inlineStr">
        <is>
          <t xml:space="preserve">    """检测文本中是否包含疑似泄露的密钥，返回匹配的片段"""</t>
        </is>
      </c>
    </row>
    <row r="43">
      <c r="A43" s="9" t="n">
        <v>40</v>
      </c>
      <c r="B43" s="10" t="inlineStr">
        <is>
          <t xml:space="preserve">    leaks = []</t>
        </is>
      </c>
    </row>
    <row r="44">
      <c r="A44" s="7" t="n">
        <v>41</v>
      </c>
      <c r="B44" s="8" t="inlineStr">
        <is>
          <t xml:space="preserve">    for pattern in SENSITIVE_PATTERNS:</t>
        </is>
      </c>
    </row>
    <row r="45">
      <c r="A45" s="9" t="n">
        <v>42</v>
      </c>
      <c r="B45" s="10" t="inlineStr">
        <is>
          <t xml:space="preserve">        matches = re.findall(pattern, text)</t>
        </is>
      </c>
    </row>
    <row r="46">
      <c r="A46" s="7" t="n">
        <v>43</v>
      </c>
      <c r="B46" s="8" t="inlineStr">
        <is>
          <t xml:space="preserve">        for m in matches:</t>
        </is>
      </c>
    </row>
    <row r="47">
      <c r="A47" s="9" t="n">
        <v>44</v>
      </c>
      <c r="B47" s="10" t="inlineStr">
        <is>
          <t xml:space="preserve">            if len(m) &gt; 15:  # 过滤短匹配</t>
        </is>
      </c>
    </row>
    <row r="48">
      <c r="A48" s="7" t="n">
        <v>45</v>
      </c>
      <c r="B48" s="8" t="inlineStr">
        <is>
          <t xml:space="preserve">                leaks.append(m[:8] + "..." + m[-4:])</t>
        </is>
      </c>
    </row>
    <row r="49">
      <c r="A49" s="9" t="n">
        <v>46</v>
      </c>
      <c r="B49" s="10" t="inlineStr">
        <is>
          <t xml:space="preserve">    return leaks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/>
    </row>
    <row r="52">
      <c r="A52" s="7" t="n">
        <v>49</v>
      </c>
      <c r="B52" s="8" t="inlineStr">
        <is>
          <t>def is_sensitive_key(key: str) -&gt; bool:</t>
        </is>
      </c>
    </row>
    <row r="53">
      <c r="A53" s="9" t="n">
        <v>50</v>
      </c>
      <c r="B53" s="10" t="inlineStr">
        <is>
          <t xml:space="preserve">    """判断配置键名是否为敏感字段"""</t>
        </is>
      </c>
    </row>
    <row r="54">
      <c r="A54" s="7" t="n">
        <v>51</v>
      </c>
      <c r="B54" s="8" t="inlineStr">
        <is>
          <t xml:space="preserve">    key_lower = key.lower().replace("-", "_").replace(" ", "_")</t>
        </is>
      </c>
    </row>
    <row r="55">
      <c r="A55" s="9" t="n">
        <v>52</v>
      </c>
      <c r="B55" s="10" t="inlineStr">
        <is>
          <t xml:space="preserve">    sensitive = [</t>
        </is>
      </c>
    </row>
    <row r="56">
      <c r="A56" s="7" t="n">
        <v>53</v>
      </c>
      <c r="B56" s="8" t="inlineStr">
        <is>
          <t xml:space="preserve">        "api_key", "apikey", "api_secret", "secret", "password",</t>
        </is>
      </c>
    </row>
    <row r="57">
      <c r="A57" s="9" t="n">
        <v>54</v>
      </c>
      <c r="B57" s="10" t="inlineStr">
        <is>
          <t xml:space="preserve">        "token", "credential", "private_key", "authorization",</t>
        </is>
      </c>
    </row>
    <row r="58">
      <c r="A58" s="7" t="n">
        <v>55</v>
      </c>
      <c r="B58" s="8" t="inlineStr">
        <is>
          <t xml:space="preserve">    ]</t>
        </is>
      </c>
    </row>
    <row r="59">
      <c r="A59" s="9" t="n">
        <v>56</v>
      </c>
      <c r="B59" s="10" t="inlineStr">
        <is>
          <t xml:space="preserve">    return any(s in key_lower for s in sensitive)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/>
    </row>
    <row r="62">
      <c r="A62" s="7" t="n">
        <v>59</v>
      </c>
      <c r="B62" s="8" t="inlineStr">
        <is>
          <t>def sanitize_dict(data: Dict[str, Any]) -&gt; Dict[str, Any]:</t>
        </is>
      </c>
    </row>
    <row r="63">
      <c r="A63" s="9" t="n">
        <v>60</v>
      </c>
      <c r="B63" s="10" t="inlineStr">
        <is>
          <t xml:space="preserve">    """递归过滤字典中的敏感字段"""</t>
        </is>
      </c>
    </row>
    <row r="64">
      <c r="A64" s="7" t="n">
        <v>61</v>
      </c>
      <c r="B64" s="8" t="inlineStr">
        <is>
          <t xml:space="preserve">    if not isinstance(data, dict):</t>
        </is>
      </c>
    </row>
    <row r="65">
      <c r="A65" s="9" t="n">
        <v>62</v>
      </c>
      <c r="B65" s="10" t="inlineStr">
        <is>
          <t xml:space="preserve">        return data</t>
        </is>
      </c>
    </row>
    <row r="66">
      <c r="A66" s="7" t="n">
        <v>63</v>
      </c>
      <c r="B66" s="8" t="inlineStr">
        <is>
          <t xml:space="preserve">    result = {}</t>
        </is>
      </c>
    </row>
    <row r="67">
      <c r="A67" s="9" t="n">
        <v>64</v>
      </c>
      <c r="B67" s="10" t="inlineStr">
        <is>
          <t xml:space="preserve">    for k, v in data.items():</t>
        </is>
      </c>
    </row>
    <row r="68">
      <c r="A68" s="7" t="n">
        <v>65</v>
      </c>
      <c r="B68" s="8" t="inlineStr">
        <is>
          <t xml:space="preserve">        if is_sensitive_key(k):</t>
        </is>
      </c>
    </row>
    <row r="69">
      <c r="A69" s="9" t="n">
        <v>66</v>
      </c>
      <c r="B69" s="10" t="inlineStr">
        <is>
          <t xml:space="preserve">            if v and isinstance(v, str):</t>
        </is>
      </c>
    </row>
    <row r="70">
      <c r="A70" s="7" t="n">
        <v>67</v>
      </c>
      <c r="B70" s="8" t="inlineStr">
        <is>
          <t xml:space="preserve">                result[k] = v[:4] + "****" + v[-4:] if len(v) &gt; 8 else "****"</t>
        </is>
      </c>
    </row>
    <row r="71">
      <c r="A71" s="9" t="n">
        <v>68</v>
      </c>
      <c r="B71" s="10" t="inlineStr">
        <is>
          <t xml:space="preserve">            else:</t>
        </is>
      </c>
    </row>
    <row r="72">
      <c r="A72" s="7" t="n">
        <v>69</v>
      </c>
      <c r="B72" s="8" t="inlineStr">
        <is>
          <t xml:space="preserve">                result[k] = "****"</t>
        </is>
      </c>
    </row>
    <row r="73">
      <c r="A73" s="9" t="n">
        <v>70</v>
      </c>
      <c r="B73" s="10" t="inlineStr">
        <is>
          <t xml:space="preserve">        elif isinstance(v, dict):</t>
        </is>
      </c>
    </row>
    <row r="74">
      <c r="A74" s="7" t="n">
        <v>71</v>
      </c>
      <c r="B74" s="8" t="inlineStr">
        <is>
          <t xml:space="preserve">            result[k] = sanitize_dict(v)</t>
        </is>
      </c>
    </row>
    <row r="75">
      <c r="A75" s="9" t="n">
        <v>72</v>
      </c>
      <c r="B75" s="10" t="inlineStr">
        <is>
          <t xml:space="preserve">        elif isinstance(v, list):</t>
        </is>
      </c>
    </row>
    <row r="76">
      <c r="A76" s="7" t="n">
        <v>73</v>
      </c>
      <c r="B76" s="8" t="inlineStr">
        <is>
          <t xml:space="preserve">            result[k] = [</t>
        </is>
      </c>
    </row>
    <row r="77">
      <c r="A77" s="9" t="n">
        <v>74</v>
      </c>
      <c r="B77" s="10" t="inlineStr">
        <is>
          <t xml:space="preserve">                sanitize_dict(item) if isinstance(item, dict) else item</t>
        </is>
      </c>
    </row>
    <row r="78">
      <c r="A78" s="7" t="n">
        <v>75</v>
      </c>
      <c r="B78" s="8" t="inlineStr">
        <is>
          <t xml:space="preserve">                for item in v</t>
        </is>
      </c>
    </row>
    <row r="79">
      <c r="A79" s="9" t="n">
        <v>76</v>
      </c>
      <c r="B79" s="10" t="inlineStr">
        <is>
          <t xml:space="preserve">            ]</t>
        </is>
      </c>
    </row>
    <row r="80">
      <c r="A80" s="7" t="n">
        <v>77</v>
      </c>
      <c r="B80" s="8" t="inlineStr">
        <is>
          <t xml:space="preserve">        else:</t>
        </is>
      </c>
    </row>
    <row r="81">
      <c r="A81" s="9" t="n">
        <v>78</v>
      </c>
      <c r="B81" s="10" t="inlineStr">
        <is>
          <t xml:space="preserve">            result[k] = v</t>
        </is>
      </c>
    </row>
    <row r="82">
      <c r="A82" s="7" t="n">
        <v>79</v>
      </c>
      <c r="B82" s="8" t="inlineStr">
        <is>
          <t xml:space="preserve">    return result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/>
    </row>
    <row r="85">
      <c r="A85" s="9" t="n">
        <v>82</v>
      </c>
      <c r="B8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86">
      <c r="A86" s="7" t="n">
        <v>83</v>
      </c>
      <c r="B86" s="8" t="inlineStr">
        <is>
          <t># 安全文件读写</t>
        </is>
      </c>
    </row>
    <row r="87">
      <c r="A87" s="9" t="n">
        <v>84</v>
      </c>
      <c r="B8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>def safe_read_json(filepath: Path) -&gt; Optional[Dict]:</t>
        </is>
      </c>
    </row>
    <row r="90">
      <c r="A90" s="7" t="n">
        <v>87</v>
      </c>
      <c r="B90" s="8" t="inlineStr">
        <is>
          <t xml:space="preserve">    """安全读取 JSON 文件（即使损坏也不会崩溃）"""</t>
        </is>
      </c>
    </row>
    <row r="91">
      <c r="A91" s="9" t="n">
        <v>88</v>
      </c>
      <c r="B91" s="10" t="inlineStr">
        <is>
          <t xml:space="preserve">    try:</t>
        </is>
      </c>
    </row>
    <row r="92">
      <c r="A92" s="7" t="n">
        <v>89</v>
      </c>
      <c r="B92" s="8" t="inlineStr">
        <is>
          <t xml:space="preserve">        if not filepath.exists():</t>
        </is>
      </c>
    </row>
    <row r="93">
      <c r="A93" s="9" t="n">
        <v>90</v>
      </c>
      <c r="B93" s="10" t="inlineStr">
        <is>
          <t xml:space="preserve">            return None</t>
        </is>
      </c>
    </row>
    <row r="94">
      <c r="A94" s="7" t="n">
        <v>91</v>
      </c>
      <c r="B94" s="8" t="inlineStr">
        <is>
          <t xml:space="preserve">        with open(filepath, "r", encoding="utf-8") as f:</t>
        </is>
      </c>
    </row>
    <row r="95">
      <c r="A95" s="9" t="n">
        <v>92</v>
      </c>
      <c r="B95" s="10" t="inlineStr">
        <is>
          <t xml:space="preserve">            data = json.load(f)</t>
        </is>
      </c>
    </row>
    <row r="96">
      <c r="A96" s="7" t="n">
        <v>93</v>
      </c>
      <c r="B96" s="8" t="inlineStr">
        <is>
          <t xml:space="preserve">        return data</t>
        </is>
      </c>
    </row>
    <row r="97">
      <c r="A97" s="9" t="n">
        <v>94</v>
      </c>
      <c r="B97" s="10" t="inlineStr">
        <is>
          <t xml:space="preserve">    except (json.JSONDecodeError, IOError, UnicodeDecodeError):</t>
        </is>
      </c>
    </row>
    <row r="98">
      <c r="A98" s="7" t="n">
        <v>95</v>
      </c>
      <c r="B98" s="8" t="inlineStr">
        <is>
          <t xml:space="preserve">        return None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>def safe_write_json(filepath: Path, data: Dict, ensure_ascii: bool = False,</t>
        </is>
      </c>
    </row>
    <row r="102">
      <c r="A102" s="7" t="n">
        <v>99</v>
      </c>
      <c r="B102" s="8" t="inlineStr">
        <is>
          <t xml:space="preserve">                    sanitize: bool = False):</t>
        </is>
      </c>
    </row>
    <row r="103">
      <c r="A103" s="9" t="n">
        <v>100</v>
      </c>
      <c r="B103" s="10" t="inlineStr">
        <is>
          <t xml:space="preserve">    """</t>
        </is>
      </c>
    </row>
    <row r="104">
      <c r="A104" s="7" t="n">
        <v>101</v>
      </c>
      <c r="B104" s="8" t="inlineStr">
        <is>
          <t xml:space="preserve">    安全写入 JSON 文件（原子写入：先写临时文件再重命名）。</t>
        </is>
      </c>
    </row>
    <row r="105">
      <c r="A105" s="9" t="n">
        <v>102</v>
      </c>
      <c r="B105" s="10" t="inlineStr">
        <is>
          <t xml:space="preserve">    v12.0 修复: sanitize 参数默认 False — 调用者须显式选择脱敏，避免静默数据丢失。</t>
        </is>
      </c>
    </row>
    <row r="106">
      <c r="A106" s="7" t="n">
        <v>103</v>
      </c>
      <c r="B106" s="8" t="inlineStr">
        <is>
          <t xml:space="preserve">    """</t>
        </is>
      </c>
    </row>
    <row r="107">
      <c r="A107" s="9" t="n">
        <v>104</v>
      </c>
      <c r="B107" s="10" t="inlineStr">
        <is>
          <t xml:space="preserve">    filepath = Path(filepath)</t>
        </is>
      </c>
    </row>
    <row r="108">
      <c r="A108" s="7" t="n">
        <v>105</v>
      </c>
      <c r="B108" s="8" t="inlineStr">
        <is>
          <t xml:space="preserve">    filepath.parent.mkdir(parents=True, exist_ok=True)</t>
        </is>
      </c>
    </row>
    <row r="109">
      <c r="A109" s="9" t="n">
        <v>106</v>
      </c>
      <c r="B109" s="10" t="inlineStr">
        <is>
          <t xml:space="preserve">    tmp = filepath.with_suffix(filepath.suffix + ".tmp")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# 显式选择时才过滤敏感字段</t>
        </is>
      </c>
    </row>
    <row r="112">
      <c r="A112" s="7" t="n">
        <v>109</v>
      </c>
      <c r="B112" s="8" t="inlineStr">
        <is>
          <t xml:space="preserve">    safe_data = sanitize_dict(data) if sanitize else data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 xml:space="preserve">    try:</t>
        </is>
      </c>
    </row>
    <row r="115">
      <c r="A115" s="9" t="n">
        <v>112</v>
      </c>
      <c r="B115" s="10" t="inlineStr">
        <is>
          <t xml:space="preserve">        with open(tmp, "w", encoding="utf-8") as f:</t>
        </is>
      </c>
    </row>
    <row r="116">
      <c r="A116" s="7" t="n">
        <v>113</v>
      </c>
      <c r="B116" s="8" t="inlineStr">
        <is>
          <t xml:space="preserve">            json.dump(safe_data, f, ensure_ascii=ensure_ascii, indent=2)</t>
        </is>
      </c>
    </row>
    <row r="117">
      <c r="A117" s="9" t="n">
        <v>114</v>
      </c>
      <c r="B117" s="10" t="inlineStr">
        <is>
          <t xml:space="preserve">        tmp.replace(filepath)  # 原子操作</t>
        </is>
      </c>
    </row>
    <row r="118">
      <c r="A118" s="7" t="n">
        <v>115</v>
      </c>
      <c r="B118" s="8" t="inlineStr">
        <is>
          <t xml:space="preserve">    except Exception:</t>
        </is>
      </c>
    </row>
    <row r="119">
      <c r="A119" s="9" t="n">
        <v>116</v>
      </c>
      <c r="B119" s="10" t="inlineStr">
        <is>
          <t xml:space="preserve">        # 直接写入（非原子，但尽力而为）</t>
        </is>
      </c>
    </row>
    <row r="120">
      <c r="A120" s="7" t="n">
        <v>117</v>
      </c>
      <c r="B120" s="8" t="inlineStr">
        <is>
          <t xml:space="preserve">        with open(filepath, "w", encoding="utf-8") as f:</t>
        </is>
      </c>
    </row>
    <row r="121">
      <c r="A121" s="9" t="n">
        <v>118</v>
      </c>
      <c r="B121" s="10" t="inlineStr">
        <is>
          <t xml:space="preserve">            json.dump(safe_data, f, ensure_ascii=ensure_ascii, indent=2)</t>
        </is>
      </c>
    </row>
    <row r="122">
      <c r="A122" s="7" t="n">
        <v>119</v>
      </c>
      <c r="B122" s="8" t="inlineStr">
        <is>
          <t xml:space="preserve">        try:</t>
        </is>
      </c>
    </row>
    <row r="123">
      <c r="A123" s="9" t="n">
        <v>120</v>
      </c>
      <c r="B123" s="10" t="inlineStr">
        <is>
          <t xml:space="preserve">            tmp.unlink(missing_ok=True)</t>
        </is>
      </c>
    </row>
    <row r="124">
      <c r="A124" s="7" t="n">
        <v>121</v>
      </c>
      <c r="B124" s="8" t="inlineStr">
        <is>
          <t xml:space="preserve">        except Exception:</t>
        </is>
      </c>
    </row>
    <row r="125">
      <c r="A125" s="9" t="n">
        <v>122</v>
      </c>
      <c r="B125" s="10" t="inlineStr">
        <is>
          <t xml:space="preserve">            pass</t>
        </is>
      </c>
    </row>
    <row r="126">
      <c r="A126" s="7" t="n">
        <v>123</v>
      </c>
      <c r="B126" s="8" t="inlineStr"/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>def safe_read_env(env_path: Path) -&gt; Dict[str, str]:</t>
        </is>
      </c>
    </row>
    <row r="129">
      <c r="A129" s="9" t="n">
        <v>126</v>
      </c>
      <c r="B129" s="10" t="inlineStr">
        <is>
          <t xml:space="preserve">    """安全读取 .env 文件，返回键值对字典"""</t>
        </is>
      </c>
    </row>
    <row r="130">
      <c r="A130" s="7" t="n">
        <v>127</v>
      </c>
      <c r="B130" s="8" t="inlineStr">
        <is>
          <t xml:space="preserve">    result = {}</t>
        </is>
      </c>
    </row>
    <row r="131">
      <c r="A131" s="9" t="n">
        <v>128</v>
      </c>
      <c r="B131" s="10" t="inlineStr">
        <is>
          <t xml:space="preserve">    if not env_path.exists():</t>
        </is>
      </c>
    </row>
    <row r="132">
      <c r="A132" s="7" t="n">
        <v>129</v>
      </c>
      <c r="B132" s="8" t="inlineStr">
        <is>
          <t xml:space="preserve">        return result</t>
        </is>
      </c>
    </row>
    <row r="133">
      <c r="A133" s="9" t="n">
        <v>130</v>
      </c>
      <c r="B133" s="10" t="inlineStr">
        <is>
          <t xml:space="preserve">    try:</t>
        </is>
      </c>
    </row>
    <row r="134">
      <c r="A134" s="7" t="n">
        <v>131</v>
      </c>
      <c r="B134" s="8" t="inlineStr">
        <is>
          <t xml:space="preserve">        with open(env_path, "r", encoding="utf-8") as f:</t>
        </is>
      </c>
    </row>
    <row r="135">
      <c r="A135" s="9" t="n">
        <v>132</v>
      </c>
      <c r="B135" s="10" t="inlineStr">
        <is>
          <t xml:space="preserve">            for line in f:</t>
        </is>
      </c>
    </row>
    <row r="136">
      <c r="A136" s="7" t="n">
        <v>133</v>
      </c>
      <c r="B136" s="8" t="inlineStr">
        <is>
          <t xml:space="preserve">                line = line.strip()</t>
        </is>
      </c>
    </row>
    <row r="137">
      <c r="A137" s="9" t="n">
        <v>134</v>
      </c>
      <c r="B137" s="10" t="inlineStr">
        <is>
          <t xml:space="preserve">                if not line or line.startswith("#"):</t>
        </is>
      </c>
    </row>
    <row r="138">
      <c r="A138" s="7" t="n">
        <v>135</v>
      </c>
      <c r="B138" s="8" t="inlineStr">
        <is>
          <t xml:space="preserve">                    continue</t>
        </is>
      </c>
    </row>
    <row r="139">
      <c r="A139" s="9" t="n">
        <v>136</v>
      </c>
      <c r="B139" s="10" t="inlineStr">
        <is>
          <t xml:space="preserve">                if "=" in line:</t>
        </is>
      </c>
    </row>
    <row r="140">
      <c r="A140" s="7" t="n">
        <v>137</v>
      </c>
      <c r="B140" s="8" t="inlineStr">
        <is>
          <t xml:space="preserve">                    key, _, value = line.partition("=")</t>
        </is>
      </c>
    </row>
    <row r="141">
      <c r="A141" s="9" t="n">
        <v>138</v>
      </c>
      <c r="B141" s="10" t="inlineStr">
        <is>
          <t xml:space="preserve">                    key = key.strip()</t>
        </is>
      </c>
    </row>
    <row r="142">
      <c r="A142" s="7" t="n">
        <v>139</v>
      </c>
      <c r="B142" s="8" t="inlineStr">
        <is>
          <t xml:space="preserve">                    value = value.strip().strip('"').strip("'")</t>
        </is>
      </c>
    </row>
    <row r="143">
      <c r="A143" s="9" t="n">
        <v>140</v>
      </c>
      <c r="B143" s="10" t="inlineStr">
        <is>
          <t xml:space="preserve">                    result[key] = value</t>
        </is>
      </c>
    </row>
    <row r="144">
      <c r="A144" s="7" t="n">
        <v>141</v>
      </c>
      <c r="B144" s="8" t="inlineStr">
        <is>
          <t xml:space="preserve">    except Exception:</t>
        </is>
      </c>
    </row>
    <row r="145">
      <c r="A145" s="9" t="n">
        <v>142</v>
      </c>
      <c r="B145" s="10" t="inlineStr">
        <is>
          <t xml:space="preserve">        pass</t>
        </is>
      </c>
    </row>
    <row r="146">
      <c r="A146" s="7" t="n">
        <v>143</v>
      </c>
      <c r="B146" s="8" t="inlineStr">
        <is>
          <t xml:space="preserve">    return result</t>
        </is>
      </c>
    </row>
    <row r="147">
      <c r="A147" s="9" t="n">
        <v>144</v>
      </c>
      <c r="B147" s="10" t="inlineStr"/>
    </row>
    <row r="148">
      <c r="A148" s="7" t="n">
        <v>145</v>
      </c>
      <c r="B148" s="8" t="inlineStr"/>
    </row>
    <row r="149">
      <c r="A149" s="9" t="n">
        <v>146</v>
      </c>
      <c r="B149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50">
      <c r="A150" s="7" t="n">
        <v>147</v>
      </c>
      <c r="B150" s="8" t="inlineStr">
        <is>
          <t># API Key 安全加载（优先环境变量 → .env → 询问用户）</t>
        </is>
      </c>
    </row>
    <row r="151">
      <c r="A151" s="9" t="n">
        <v>148</v>
      </c>
      <c r="B151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52">
      <c r="A152" s="7" t="n">
        <v>149</v>
      </c>
      <c r="B152" s="8" t="inlineStr"/>
    </row>
    <row r="153">
      <c r="A153" s="9" t="n">
        <v>150</v>
      </c>
      <c r="B153" s="10" t="inlineStr">
        <is>
          <t>def load_api_key(key_name: str, env_var: str = None, required: bool = True) -&gt; Optional[str]:</t>
        </is>
      </c>
    </row>
    <row r="154">
      <c r="A154" s="7" t="n">
        <v>151</v>
      </c>
      <c r="B154" s="8" t="inlineStr">
        <is>
          <t xml:space="preserve">    """</t>
        </is>
      </c>
    </row>
    <row r="155">
      <c r="A155" s="9" t="n">
        <v>152</v>
      </c>
      <c r="B155" s="10" t="inlineStr">
        <is>
          <t xml:space="preserve">    安全加载 API Key。</t>
        </is>
      </c>
    </row>
    <row r="156">
      <c r="A156" s="7" t="n">
        <v>153</v>
      </c>
      <c r="B156" s="8" t="inlineStr">
        <is>
          <t xml:space="preserve">    优先级：系统环境变量 &gt; .env 文件 &gt; None</t>
        </is>
      </c>
    </row>
    <row r="157">
      <c r="A157" s="9" t="n">
        <v>154</v>
      </c>
      <c r="B157" s="10" t="inlineStr"/>
    </row>
    <row r="158">
      <c r="A158" s="7" t="n">
        <v>155</v>
      </c>
      <c r="B158" s="8" t="inlineStr">
        <is>
          <t xml:space="preserve">    参数:</t>
        </is>
      </c>
    </row>
    <row r="159">
      <c r="A159" s="9" t="n">
        <v>156</v>
      </c>
      <c r="B159" s="10" t="inlineStr">
        <is>
          <t xml:space="preserve">      key_name: 人类可读的名称（用于日志）</t>
        </is>
      </c>
    </row>
    <row r="160">
      <c r="A160" s="7" t="n">
        <v>157</v>
      </c>
      <c r="B160" s="8" t="inlineStr">
        <is>
          <t xml:space="preserve">      env_var:  环境变量名，默认与 key_name 大写+下划线</t>
        </is>
      </c>
    </row>
    <row r="161">
      <c r="A161" s="9" t="n">
        <v>158</v>
      </c>
      <c r="B161" s="10" t="inlineStr">
        <is>
          <t xml:space="preserve">      required: 是否必需，若为 True 且找不到则打印警告</t>
        </is>
      </c>
    </row>
    <row r="162">
      <c r="A162" s="7" t="n">
        <v>159</v>
      </c>
      <c r="B162" s="8" t="inlineStr">
        <is>
          <t xml:space="preserve">    """</t>
        </is>
      </c>
    </row>
    <row r="163">
      <c r="A163" s="9" t="n">
        <v>160</v>
      </c>
      <c r="B163" s="10" t="inlineStr">
        <is>
          <t xml:space="preserve">    if env_var is None:</t>
        </is>
      </c>
    </row>
    <row r="164">
      <c r="A164" s="7" t="n">
        <v>161</v>
      </c>
      <c r="B164" s="8" t="inlineStr">
        <is>
          <t xml:space="preserve">        env_var = key_name.upper().replace(" ", "_") + "_API_KEY"</t>
        </is>
      </c>
    </row>
    <row r="165">
      <c r="A165" s="9" t="n">
        <v>162</v>
      </c>
      <c r="B165" s="10" t="inlineStr"/>
    </row>
    <row r="166">
      <c r="A166" s="7" t="n">
        <v>163</v>
      </c>
      <c r="B166" s="8" t="inlineStr">
        <is>
          <t xml:space="preserve">    # 1. 系统环境变量</t>
        </is>
      </c>
    </row>
    <row r="167">
      <c r="A167" s="9" t="n">
        <v>164</v>
      </c>
      <c r="B167" s="10" t="inlineStr">
        <is>
          <t xml:space="preserve">    value = os.environ.get(env_var)</t>
        </is>
      </c>
    </row>
    <row r="168">
      <c r="A168" s="7" t="n">
        <v>165</v>
      </c>
      <c r="B168" s="8" t="inlineStr">
        <is>
          <t xml:space="preserve">    if value:</t>
        </is>
      </c>
    </row>
    <row r="169">
      <c r="A169" s="9" t="n">
        <v>166</v>
      </c>
      <c r="B169" s="10" t="inlineStr">
        <is>
          <t xml:space="preserve">        return value</t>
        </is>
      </c>
    </row>
    <row r="170">
      <c r="A170" s="7" t="n">
        <v>167</v>
      </c>
      <c r="B170" s="8" t="inlineStr"/>
    </row>
    <row r="171">
      <c r="A171" s="9" t="n">
        <v>168</v>
      </c>
      <c r="B171" s="10" t="inlineStr">
        <is>
          <t xml:space="preserve">    # 2. .env 文件</t>
        </is>
      </c>
    </row>
    <row r="172">
      <c r="A172" s="7" t="n">
        <v>169</v>
      </c>
      <c r="B172" s="8" t="inlineStr">
        <is>
          <t xml:space="preserve">    from core.config import _PROJECT_ROOT</t>
        </is>
      </c>
    </row>
    <row r="173">
      <c r="A173" s="9" t="n">
        <v>170</v>
      </c>
      <c r="B173" s="10" t="inlineStr">
        <is>
          <t xml:space="preserve">    env_file = Path(_PROJECT_ROOT) / ".env"</t>
        </is>
      </c>
    </row>
    <row r="174">
      <c r="A174" s="7" t="n">
        <v>171</v>
      </c>
      <c r="B174" s="8" t="inlineStr">
        <is>
          <t xml:space="preserve">    env_data = safe_read_env(env_file)</t>
        </is>
      </c>
    </row>
    <row r="175">
      <c r="A175" s="9" t="n">
        <v>172</v>
      </c>
      <c r="B175" s="10" t="inlineStr">
        <is>
          <t xml:space="preserve">    value = env_data.get(env_var)</t>
        </is>
      </c>
    </row>
    <row r="176">
      <c r="A176" s="7" t="n">
        <v>173</v>
      </c>
      <c r="B176" s="8" t="inlineStr">
        <is>
          <t xml:space="preserve">    if value and value not in ("your_api_key_here", "your_deepseek_api_key_here", ""):</t>
        </is>
      </c>
    </row>
    <row r="177">
      <c r="A177" s="9" t="n">
        <v>174</v>
      </c>
      <c r="B177" s="10" t="inlineStr">
        <is>
          <t xml:space="preserve">        return value</t>
        </is>
      </c>
    </row>
    <row r="178">
      <c r="A178" s="7" t="n">
        <v>175</v>
      </c>
      <c r="B178" s="8" t="inlineStr"/>
    </row>
    <row r="179">
      <c r="A179" s="9" t="n">
        <v>176</v>
      </c>
      <c r="B179" s="10" t="inlineStr">
        <is>
          <t xml:space="preserve">    # 3. 未找到</t>
        </is>
      </c>
    </row>
    <row r="180">
      <c r="A180" s="7" t="n">
        <v>177</v>
      </c>
      <c r="B180" s="8" t="inlineStr">
        <is>
          <t xml:space="preserve">    if required:</t>
        </is>
      </c>
    </row>
    <row r="181">
      <c r="A181" s="9" t="n">
        <v>178</v>
      </c>
      <c r="B181" s="10" t="inlineStr">
        <is>
          <t xml:space="preserve">        print(f"   ⚠ {key_name} API Key 未配置 ({env_var})")</t>
        </is>
      </c>
    </row>
    <row r="182">
      <c r="A182" s="7" t="n">
        <v>179</v>
      </c>
      <c r="B182" s="8" t="inlineStr">
        <is>
          <t xml:space="preserve">        print(f"   💡 请设置环境变量或在 {env_file} 中配置")</t>
        </is>
      </c>
    </row>
    <row r="183">
      <c r="A183" s="9" t="n">
        <v>180</v>
      </c>
      <c r="B183" s="10" t="inlineStr"/>
    </row>
    <row r="184">
      <c r="A184" s="7" t="n">
        <v>181</v>
      </c>
      <c r="B184" s="8" t="inlineStr">
        <is>
          <t xml:space="preserve">    return None</t>
        </is>
      </c>
    </row>
    <row r="185">
      <c r="A185" s="9" t="n">
        <v>182</v>
      </c>
      <c r="B185" s="10" t="inlineStr"/>
    </row>
    <row r="186">
      <c r="A186" s="7" t="n">
        <v>183</v>
      </c>
      <c r="B186" s="8" t="inlineStr"/>
    </row>
    <row r="187">
      <c r="A187" s="9" t="n">
        <v>184</v>
      </c>
      <c r="B18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88">
      <c r="A188" s="7" t="n">
        <v>185</v>
      </c>
      <c r="B188" s="8" t="inlineStr">
        <is>
          <t># 自检</t>
        </is>
      </c>
    </row>
    <row r="189">
      <c r="A189" s="9" t="n">
        <v>186</v>
      </c>
      <c r="B189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>if __name__ == "__main__":</t>
        </is>
      </c>
    </row>
    <row r="192">
      <c r="A192" s="7" t="n">
        <v>189</v>
      </c>
      <c r="B192" s="8" t="inlineStr">
        <is>
          <t xml:space="preserve">    print("=" * 50)</t>
        </is>
      </c>
    </row>
    <row r="193">
      <c r="A193" s="9" t="n">
        <v>190</v>
      </c>
      <c r="B193" s="10" t="inlineStr">
        <is>
          <t xml:space="preserve">    print("  安全模块自检")</t>
        </is>
      </c>
    </row>
    <row r="194">
      <c r="A194" s="7" t="n">
        <v>191</v>
      </c>
      <c r="B194" s="8" t="inlineStr">
        <is>
          <t xml:space="preserve">    print("=" * 50)</t>
        </is>
      </c>
    </row>
    <row r="195">
      <c r="A195" s="9" t="n">
        <v>192</v>
      </c>
      <c r="B195" s="10" t="inlineStr"/>
    </row>
    <row r="196">
      <c r="A196" s="7" t="n">
        <v>193</v>
      </c>
      <c r="B196" s="8" t="inlineStr">
        <is>
          <t xml:space="preserve">    # 测试脱敏</t>
        </is>
      </c>
    </row>
    <row r="197">
      <c r="A197" s="9" t="n">
        <v>194</v>
      </c>
      <c r="B197" s="10" t="inlineStr">
        <is>
          <t xml:space="preserve">    test_text = "DEEPSEEK_API_KEY=sk-abc123def456ghi789jkl"</t>
        </is>
      </c>
    </row>
    <row r="198">
      <c r="A198" s="7" t="n">
        <v>195</v>
      </c>
      <c r="B198" s="8" t="inlineStr">
        <is>
          <t xml:space="preserve">    print(f"  脱敏测试: {redact_sensitive(test_text)}")</t>
        </is>
      </c>
    </row>
    <row r="199">
      <c r="A199" s="9" t="n">
        <v>196</v>
      </c>
      <c r="B199" s="10" t="inlineStr">
        <is>
          <t xml:space="preserve">    print(f"  泄漏检测: {detect_secret_leak(test_text)}")</t>
        </is>
      </c>
    </row>
    <row r="200">
      <c r="A200" s="7" t="n">
        <v>197</v>
      </c>
      <c r="B200" s="8" t="inlineStr"/>
    </row>
    <row r="201">
      <c r="A201" s="9" t="n">
        <v>198</v>
      </c>
      <c r="B201" s="10" t="inlineStr">
        <is>
          <t xml:space="preserve">    # 测试敏感键判断</t>
        </is>
      </c>
    </row>
    <row r="202">
      <c r="A202" s="7" t="n">
        <v>199</v>
      </c>
      <c r="B202" s="8" t="inlineStr">
        <is>
          <t xml:space="preserve">    for k in ["deepseek_api_key", "user_name", "password", "bgm_path"]:</t>
        </is>
      </c>
    </row>
    <row r="203">
      <c r="A203" s="9" t="n">
        <v>200</v>
      </c>
      <c r="B203" s="10" t="inlineStr">
        <is>
          <t xml:space="preserve">        print(f"  敏感键 '{k}': {is_sensitive_key(k)}")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utils\silent_subprocess.py</t>
        </is>
      </c>
      <c r="C1" s="5" t="inlineStr">
        <is>
          <t>行数: 51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静默子进程工具</t>
        </is>
      </c>
    </row>
    <row r="6">
      <c r="A6" s="7" t="n">
        <v>3</v>
      </c>
      <c r="B6" s="8" t="inlineStr">
        <is>
          <t>所有 subprocess 调用统一使用此模块，Windows 下不会弹出命令行窗口。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subprocess</t>
        </is>
      </c>
    </row>
    <row r="9">
      <c r="A9" s="9" t="n">
        <v>6</v>
      </c>
      <c r="B9" s="10" t="inlineStr"/>
    </row>
    <row r="10">
      <c r="A10" s="7" t="n">
        <v>7</v>
      </c>
      <c r="B10" s="8" t="inlineStr"/>
    </row>
    <row r="11">
      <c r="A11" s="9" t="n">
        <v>8</v>
      </c>
      <c r="B11" s="10" t="inlineStr">
        <is>
          <t>def _win_flags():</t>
        </is>
      </c>
    </row>
    <row r="12">
      <c r="A12" s="7" t="n">
        <v>9</v>
      </c>
      <c r="B12" s="8" t="inlineStr">
        <is>
          <t xml:space="preserve">    """Windows 下隐藏窗口标志"""</t>
        </is>
      </c>
    </row>
    <row r="13">
      <c r="A13" s="9" t="n">
        <v>10</v>
      </c>
      <c r="B13" s="10" t="inlineStr">
        <is>
          <t xml:space="preserve">    if os.name == 'nt':</t>
        </is>
      </c>
    </row>
    <row r="14">
      <c r="A14" s="7" t="n">
        <v>11</v>
      </c>
      <c r="B14" s="8" t="inlineStr">
        <is>
          <t xml:space="preserve">        si = subprocess.STARTUPINFO()</t>
        </is>
      </c>
    </row>
    <row r="15">
      <c r="A15" s="9" t="n">
        <v>12</v>
      </c>
      <c r="B15" s="10" t="inlineStr">
        <is>
          <t xml:space="preserve">        si.dwFlags = subprocess.STARTF_USESHOWWINDOW</t>
        </is>
      </c>
    </row>
    <row r="16">
      <c r="A16" s="7" t="n">
        <v>13</v>
      </c>
      <c r="B16" s="8" t="inlineStr">
        <is>
          <t xml:space="preserve">        si.wShowWindow = subprocess.SW_HIDE</t>
        </is>
      </c>
    </row>
    <row r="17">
      <c r="A17" s="9" t="n">
        <v>14</v>
      </c>
      <c r="B17" s="10" t="inlineStr">
        <is>
          <t xml:space="preserve">        return si, subprocess.CREATE_NO_WINDOW</t>
        </is>
      </c>
    </row>
    <row r="18">
      <c r="A18" s="7" t="n">
        <v>15</v>
      </c>
      <c r="B18" s="8" t="inlineStr">
        <is>
          <t xml:space="preserve">    return None, 0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def run(cmd, **kwargs):</t>
        </is>
      </c>
    </row>
    <row r="22">
      <c r="A22" s="7" t="n">
        <v>19</v>
      </c>
      <c r="B22" s="8" t="inlineStr">
        <is>
          <t xml:space="preserve">    """静默 subprocess.run — 等价于 subprocess.run 但 Windows 不弹窗"""</t>
        </is>
      </c>
    </row>
    <row r="23">
      <c r="A23" s="9" t="n">
        <v>20</v>
      </c>
      <c r="B23" s="10" t="inlineStr">
        <is>
          <t xml:space="preserve">    if os.name == 'nt':</t>
        </is>
      </c>
    </row>
    <row r="24">
      <c r="A24" s="7" t="n">
        <v>21</v>
      </c>
      <c r="B24" s="8" t="inlineStr">
        <is>
          <t xml:space="preserve">        si, cf = _win_flags()</t>
        </is>
      </c>
    </row>
    <row r="25">
      <c r="A25" s="9" t="n">
        <v>22</v>
      </c>
      <c r="B25" s="10" t="inlineStr">
        <is>
          <t xml:space="preserve">        kwargs.setdefault('startupinfo', si)</t>
        </is>
      </c>
    </row>
    <row r="26">
      <c r="A26" s="7" t="n">
        <v>23</v>
      </c>
      <c r="B26" s="8" t="inlineStr">
        <is>
          <t xml:space="preserve">        kwargs.setdefault('creationflags', cf)</t>
        </is>
      </c>
    </row>
    <row r="27">
      <c r="A27" s="9" t="n">
        <v>24</v>
      </c>
      <c r="B27" s="10" t="inlineStr">
        <is>
          <t xml:space="preserve">    return subprocess.run(cmd, **kwargs)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def call(cmd, **kwargs):</t>
        </is>
      </c>
    </row>
    <row r="31">
      <c r="A31" s="9" t="n">
        <v>28</v>
      </c>
      <c r="B31" s="10" t="inlineStr">
        <is>
          <t xml:space="preserve">    """静默 subprocess.call"""</t>
        </is>
      </c>
    </row>
    <row r="32">
      <c r="A32" s="7" t="n">
        <v>29</v>
      </c>
      <c r="B32" s="8" t="inlineStr">
        <is>
          <t xml:space="preserve">    if os.name == 'nt':</t>
        </is>
      </c>
    </row>
    <row r="33">
      <c r="A33" s="9" t="n">
        <v>30</v>
      </c>
      <c r="B33" s="10" t="inlineStr">
        <is>
          <t xml:space="preserve">        si, cf = _win_flags()</t>
        </is>
      </c>
    </row>
    <row r="34">
      <c r="A34" s="7" t="n">
        <v>31</v>
      </c>
      <c r="B34" s="8" t="inlineStr">
        <is>
          <t xml:space="preserve">        kwargs.setdefault('startupinfo', si)</t>
        </is>
      </c>
    </row>
    <row r="35">
      <c r="A35" s="9" t="n">
        <v>32</v>
      </c>
      <c r="B35" s="10" t="inlineStr">
        <is>
          <t xml:space="preserve">        kwargs.setdefault('creationflags', cf)</t>
        </is>
      </c>
    </row>
    <row r="36">
      <c r="A36" s="7" t="n">
        <v>33</v>
      </c>
      <c r="B36" s="8" t="inlineStr">
        <is>
          <t xml:space="preserve">    return subprocess.call(cmd, **kwargs)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/>
    </row>
    <row r="39">
      <c r="A39" s="9" t="n">
        <v>36</v>
      </c>
      <c r="B39" s="10" t="inlineStr">
        <is>
          <t>def check_call(cmd, **kwargs):</t>
        </is>
      </c>
    </row>
    <row r="40">
      <c r="A40" s="7" t="n">
        <v>37</v>
      </c>
      <c r="B40" s="8" t="inlineStr">
        <is>
          <t xml:space="preserve">    """静默 subprocess.check_call"""</t>
        </is>
      </c>
    </row>
    <row r="41">
      <c r="A41" s="9" t="n">
        <v>38</v>
      </c>
      <c r="B41" s="10" t="inlineStr">
        <is>
          <t xml:space="preserve">    if os.name == 'nt':</t>
        </is>
      </c>
    </row>
    <row r="42">
      <c r="A42" s="7" t="n">
        <v>39</v>
      </c>
      <c r="B42" s="8" t="inlineStr">
        <is>
          <t xml:space="preserve">        si, cf = _win_flags()</t>
        </is>
      </c>
    </row>
    <row r="43">
      <c r="A43" s="9" t="n">
        <v>40</v>
      </c>
      <c r="B43" s="10" t="inlineStr">
        <is>
          <t xml:space="preserve">        kwargs.setdefault('startupinfo', si)</t>
        </is>
      </c>
    </row>
    <row r="44">
      <c r="A44" s="7" t="n">
        <v>41</v>
      </c>
      <c r="B44" s="8" t="inlineStr">
        <is>
          <t xml:space="preserve">        kwargs.setdefault('creationflags', cf)</t>
        </is>
      </c>
    </row>
    <row r="45">
      <c r="A45" s="9" t="n">
        <v>42</v>
      </c>
      <c r="B45" s="10" t="inlineStr">
        <is>
          <t xml:space="preserve">    return subprocess.check_call(cmd, **kwargs)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/>
    </row>
    <row r="48">
      <c r="A48" s="7" t="n">
        <v>45</v>
      </c>
      <c r="B48" s="8" t="inlineStr">
        <is>
          <t>def Popen(cmd, **kwargs):</t>
        </is>
      </c>
    </row>
    <row r="49">
      <c r="A49" s="9" t="n">
        <v>46</v>
      </c>
      <c r="B49" s="10" t="inlineStr">
        <is>
          <t xml:space="preserve">    """静默 subprocess.Popen"""</t>
        </is>
      </c>
    </row>
    <row r="50">
      <c r="A50" s="7" t="n">
        <v>47</v>
      </c>
      <c r="B50" s="8" t="inlineStr">
        <is>
          <t xml:space="preserve">    if os.name == 'nt':</t>
        </is>
      </c>
    </row>
    <row r="51">
      <c r="A51" s="9" t="n">
        <v>48</v>
      </c>
      <c r="B51" s="10" t="inlineStr">
        <is>
          <t xml:space="preserve">        si, cf = _win_flags()</t>
        </is>
      </c>
    </row>
    <row r="52">
      <c r="A52" s="7" t="n">
        <v>49</v>
      </c>
      <c r="B52" s="8" t="inlineStr">
        <is>
          <t xml:space="preserve">        kwargs.setdefault('startupinfo', si)</t>
        </is>
      </c>
    </row>
    <row r="53">
      <c r="A53" s="9" t="n">
        <v>50</v>
      </c>
      <c r="B53" s="10" t="inlineStr">
        <is>
          <t xml:space="preserve">        kwargs.setdefault('creationflags', cf)</t>
        </is>
      </c>
    </row>
    <row r="54">
      <c r="A54" s="7" t="n">
        <v>51</v>
      </c>
      <c r="B54" s="8" t="inlineStr">
        <is>
          <t xml:space="preserve">    return subprocess.Popen(cmd, **kwargs)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utils\system_optimizer.py</t>
        </is>
      </c>
      <c r="C1" s="5" t="inlineStr">
        <is>
          <t>行数: 42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系统硬件优化模块</t>
        </is>
      </c>
    </row>
    <row r="6">
      <c r="A6" s="7" t="n">
        <v>3</v>
      </c>
      <c r="B6" s="8" t="inlineStr">
        <is>
          <t>CPU亲和性绑定、进程优先级提升、内存管理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</t>
        </is>
      </c>
    </row>
    <row r="9">
      <c r="A9" s="9" t="n">
        <v>6</v>
      </c>
      <c r="B9" s="10" t="inlineStr">
        <is>
          <t>import sys</t>
        </is>
      </c>
    </row>
    <row r="10">
      <c r="A10" s="7" t="n">
        <v>7</v>
      </c>
      <c r="B10" s="8" t="inlineStr">
        <is>
          <t>import psutil</t>
        </is>
      </c>
    </row>
    <row r="11">
      <c r="A11" s="9" t="n">
        <v>8</v>
      </c>
      <c r="B11" s="10" t="inlineStr">
        <is>
          <t>from utils.logger import get_logger</t>
        </is>
      </c>
    </row>
    <row r="12">
      <c r="A12" s="7" t="n">
        <v>9</v>
      </c>
      <c r="B12" s="8" t="inlineStr">
        <is>
          <t>logger = get_logger("system_optimizer")</t>
        </is>
      </c>
    </row>
    <row r="13">
      <c r="A13" s="9" t="n">
        <v>10</v>
      </c>
      <c r="B13" s="10" t="inlineStr">
        <is>
          <t>def set_process_priority(priority: str = "high"):</t>
        </is>
      </c>
    </row>
    <row r="14">
      <c r="A14" s="7" t="n">
        <v>11</v>
      </c>
      <c r="B14" s="8" t="inlineStr">
        <is>
          <t xml:space="preserve">    """设置进程优先级（Windows: HIGH_PRIORITY_CLASS）"""</t>
        </is>
      </c>
    </row>
    <row r="15">
      <c r="A15" s="9" t="n">
        <v>12</v>
      </c>
      <c r="B15" s="10" t="inlineStr">
        <is>
          <t xml:space="preserve">    if sys.platform != "win32":</t>
        </is>
      </c>
    </row>
    <row r="16">
      <c r="A16" s="7" t="n">
        <v>13</v>
      </c>
      <c r="B16" s="8" t="inlineStr">
        <is>
          <t xml:space="preserve">        return</t>
        </is>
      </c>
    </row>
    <row r="17">
      <c r="A17" s="9" t="n">
        <v>14</v>
      </c>
      <c r="B17" s="10" t="inlineStr">
        <is>
          <t xml:space="preserve">    try:</t>
        </is>
      </c>
    </row>
    <row r="18">
      <c r="A18" s="7" t="n">
        <v>15</v>
      </c>
      <c r="B18" s="8" t="inlineStr">
        <is>
          <t xml:space="preserve">        p = psutil.Process(os.getpid())</t>
        </is>
      </c>
    </row>
    <row r="19">
      <c r="A19" s="9" t="n">
        <v>16</v>
      </c>
      <c r="B19" s="10" t="inlineStr">
        <is>
          <t xml:space="preserve">        priority_map = {</t>
        </is>
      </c>
    </row>
    <row r="20">
      <c r="A20" s="7" t="n">
        <v>17</v>
      </c>
      <c r="B20" s="8" t="inlineStr">
        <is>
          <t xml:space="preserve">            "low": psutil.IDLE_PRIORITY_CLASS,</t>
        </is>
      </c>
    </row>
    <row r="21">
      <c r="A21" s="9" t="n">
        <v>18</v>
      </c>
      <c r="B21" s="10" t="inlineStr">
        <is>
          <t xml:space="preserve">            "normal": psutil.NORMAL_PRIORITY_CLASS,</t>
        </is>
      </c>
    </row>
    <row r="22">
      <c r="A22" s="7" t="n">
        <v>19</v>
      </c>
      <c r="B22" s="8" t="inlineStr">
        <is>
          <t xml:space="preserve">            "high": psutil.HIGH_PRIORITY_CLASS,</t>
        </is>
      </c>
    </row>
    <row r="23">
      <c r="A23" s="9" t="n">
        <v>20</v>
      </c>
      <c r="B23" s="10" t="inlineStr">
        <is>
          <t xml:space="preserve">        }</t>
        </is>
      </c>
    </row>
    <row r="24">
      <c r="A24" s="7" t="n">
        <v>21</v>
      </c>
      <c r="B24" s="8" t="inlineStr">
        <is>
          <t xml:space="preserve">        p.nice(priority_map.get(priority, psutil.NORMAL_PRIORITY_CLASS))</t>
        </is>
      </c>
    </row>
    <row r="25">
      <c r="A25" s="9" t="n">
        <v>22</v>
      </c>
      <c r="B25" s="10" t="inlineStr">
        <is>
          <t xml:space="preserve">        logger.info(f"进程优先级设置为: {priority}")</t>
        </is>
      </c>
    </row>
    <row r="26">
      <c r="A26" s="7" t="n">
        <v>23</v>
      </c>
      <c r="B26" s="8" t="inlineStr">
        <is>
          <t xml:space="preserve">    except Exception as e:</t>
        </is>
      </c>
    </row>
    <row r="27">
      <c r="A27" s="9" t="n">
        <v>24</v>
      </c>
      <c r="B27" s="10" t="inlineStr">
        <is>
          <t xml:space="preserve">        logger.warning(f"设置优先级失败: {e}")</t>
        </is>
      </c>
    </row>
    <row r="28">
      <c r="A28" s="7" t="n">
        <v>25</v>
      </c>
      <c r="B28" s="8" t="inlineStr">
        <is>
          <t>def set_cpu_affinity(core_count: int = 10):</t>
        </is>
      </c>
    </row>
    <row r="29">
      <c r="A29" s="9" t="n">
        <v>26</v>
      </c>
      <c r="B29" s="10" t="inlineStr">
        <is>
          <t xml:space="preserve">    """绑定CPU核心到前N个逻辑处理器"""</t>
        </is>
      </c>
    </row>
    <row r="30">
      <c r="A30" s="7" t="n">
        <v>27</v>
      </c>
      <c r="B30" s="8" t="inlineStr">
        <is>
          <t xml:space="preserve">    if sys.platform != "win32":</t>
        </is>
      </c>
    </row>
    <row r="31">
      <c r="A31" s="9" t="n">
        <v>28</v>
      </c>
      <c r="B31" s="10" t="inlineStr">
        <is>
          <t xml:space="preserve">        return</t>
        </is>
      </c>
    </row>
    <row r="32">
      <c r="A32" s="7" t="n">
        <v>29</v>
      </c>
      <c r="B32" s="8" t="inlineStr">
        <is>
          <t xml:space="preserve">    try:</t>
        </is>
      </c>
    </row>
    <row r="33">
      <c r="A33" s="9" t="n">
        <v>30</v>
      </c>
      <c r="B33" s="10" t="inlineStr">
        <is>
          <t xml:space="preserve">        p = psutil.Process(os.getpid())</t>
        </is>
      </c>
    </row>
    <row r="34">
      <c r="A34" s="7" t="n">
        <v>31</v>
      </c>
      <c r="B34" s="8" t="inlineStr">
        <is>
          <t xml:space="preserve">        p.cpu_affinity(list(range(core_count)))</t>
        </is>
      </c>
    </row>
    <row r="35">
      <c r="A35" s="9" t="n">
        <v>32</v>
      </c>
      <c r="B35" s="10" t="inlineStr">
        <is>
          <t xml:space="preserve">        logger.info(f"CPU核心绑定完成，使用{core_count}个逻辑核心")</t>
        </is>
      </c>
    </row>
    <row r="36">
      <c r="A36" s="7" t="n">
        <v>33</v>
      </c>
      <c r="B36" s="8" t="inlineStr">
        <is>
          <t xml:space="preserve">    except Exception as e:</t>
        </is>
      </c>
    </row>
    <row r="37">
      <c r="A37" s="9" t="n">
        <v>34</v>
      </c>
      <c r="B37" s="10" t="inlineStr">
        <is>
          <t xml:space="preserve">        logger.warning(f"设置CPU亲和性失败: {e}")</t>
        </is>
      </c>
    </row>
    <row r="38">
      <c r="A38" s="7" t="n">
        <v>35</v>
      </c>
      <c r="B38" s="8" t="inlineStr">
        <is>
          <t>def optimize_for_hardware(config: dict):</t>
        </is>
      </c>
    </row>
    <row r="39">
      <c r="A39" s="9" t="n">
        <v>36</v>
      </c>
      <c r="B39" s="10" t="inlineStr">
        <is>
          <t xml:space="preserve">    """执行全量系统级硬件优化"""</t>
        </is>
      </c>
    </row>
    <row r="40">
      <c r="A40" s="7" t="n">
        <v>37</v>
      </c>
      <c r="B40" s="8" t="inlineStr">
        <is>
          <t xml:space="preserve">    perf_cfg = config.get("performance", {})</t>
        </is>
      </c>
    </row>
    <row r="41">
      <c r="A41" s="9" t="n">
        <v>38</v>
      </c>
      <c r="B41" s="10" t="inlineStr">
        <is>
          <t xml:space="preserve">    if perf_cfg.get("process_priority"):</t>
        </is>
      </c>
    </row>
    <row r="42">
      <c r="A42" s="7" t="n">
        <v>39</v>
      </c>
      <c r="B42" s="8" t="inlineStr">
        <is>
          <t xml:space="preserve">        set_process_priority(perf_cfg["process_priority"])</t>
        </is>
      </c>
    </row>
    <row r="43">
      <c r="A43" s="9" t="n">
        <v>40</v>
      </c>
      <c r="B43" s="10" t="inlineStr">
        <is>
          <t xml:space="preserve">    if perf_cfg.get("enable_cpu_affinity"):</t>
        </is>
      </c>
    </row>
    <row r="44">
      <c r="A44" s="7" t="n">
        <v>41</v>
      </c>
      <c r="B44" s="8" t="inlineStr">
        <is>
          <t xml:space="preserve">        set_cpu_affinity(perf_cfg.get("cpu_threads", 10))</t>
        </is>
      </c>
    </row>
    <row r="45">
      <c r="A45" s="9" t="n">
        <v>42</v>
      </c>
      <c r="B45" s="10" t="inlineStr">
        <is>
          <t xml:space="preserve">    logger.info("系统级硬件优化执行完成")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utils\text_filter.py</t>
        </is>
      </c>
      <c r="C1" s="5" t="inlineStr">
        <is>
          <t>行数: 106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小红书敏感词与违规词自动过滤 (Text Filter)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三层防护: 系统提示词约束 + 输出后强制过滤 + 备用文案过滤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用法:</t>
        </is>
      </c>
    </row>
    <row r="10">
      <c r="A10" s="7" t="n">
        <v>7</v>
      </c>
      <c r="B10" s="8" t="inlineStr">
        <is>
          <t xml:space="preserve">  from utils.text_filter import filter_redbook_text, contains_forbidden_word</t>
        </is>
      </c>
    </row>
    <row r="11">
      <c r="A11" s="9" t="n">
        <v>8</v>
      </c>
      <c r="B11" s="10" t="inlineStr">
        <is>
          <t xml:space="preserve">  has_forbidden, matched = contains_forbidden_word(text)</t>
        </is>
      </c>
    </row>
    <row r="12">
      <c r="A12" s="7" t="n">
        <v>9</v>
      </c>
      <c r="B12" s="8" t="inlineStr">
        <is>
          <t xml:space="preserve">  clean_text, changes = filter_redbook_text(text)</t>
        </is>
      </c>
    </row>
    <row r="13">
      <c r="A13" s="9" t="n">
        <v>10</v>
      </c>
      <c r="B13" s="10" t="inlineStr">
        <is>
          <t>"""</t>
        </is>
      </c>
    </row>
    <row r="14">
      <c r="A14" s="7" t="n">
        <v>11</v>
      </c>
      <c r="B14" s="8" t="inlineStr">
        <is>
          <t>import re</t>
        </is>
      </c>
    </row>
    <row r="15">
      <c r="A15" s="9" t="n">
        <v>12</v>
      </c>
      <c r="B15" s="10" t="inlineStr">
        <is>
          <t>from typing import Tuple, List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# ── 直接匹配词库 ──</t>
        </is>
      </c>
    </row>
    <row r="18">
      <c r="A18" s="7" t="n">
        <v>15</v>
      </c>
      <c r="B18" s="8" t="inlineStr">
        <is>
          <t>FORBIDDEN_WORDS = {</t>
        </is>
      </c>
    </row>
    <row r="19">
      <c r="A19" s="9" t="n">
        <v>16</v>
      </c>
      <c r="B19" s="10" t="inlineStr">
        <is>
          <t xml:space="preserve">    # 导流类</t>
        </is>
      </c>
    </row>
    <row r="20">
      <c r="A20" s="7" t="n">
        <v>17</v>
      </c>
      <c r="B20" s="8" t="inlineStr">
        <is>
          <t xml:space="preserve">    "评论区扣1": "", "评论区扣一": "", "私信我": "", "加微信": "", "加V": "",</t>
        </is>
      </c>
    </row>
    <row r="21">
      <c r="A21" s="9" t="n">
        <v>18</v>
      </c>
      <c r="B21" s="10" t="inlineStr">
        <is>
          <t xml:space="preserve">    "加VX": "", "加我微信": "", "看主页": "", "私藏": "",</t>
        </is>
      </c>
    </row>
    <row r="22">
      <c r="A22" s="7" t="n">
        <v>19</v>
      </c>
      <c r="B22" s="8" t="inlineStr">
        <is>
          <t xml:space="preserve">    # 绝对化/极限词 → 弱化替换</t>
        </is>
      </c>
    </row>
    <row r="23">
      <c r="A23" s="9" t="n">
        <v>20</v>
      </c>
      <c r="B23" s="10" t="inlineStr">
        <is>
          <t xml:space="preserve">    "最": "很", "第一": "值得推荐", "唯一": "不可多得", "顶级": "高品质",</t>
        </is>
      </c>
    </row>
    <row r="24">
      <c r="A24" s="7" t="n">
        <v>21</v>
      </c>
      <c r="B24" s="8" t="inlineStr">
        <is>
          <t xml:space="preserve">    "极致": "非常", "绝对": "很", "永久": "长期", "万能": "多功能",</t>
        </is>
      </c>
    </row>
    <row r="25">
      <c r="A25" s="9" t="n">
        <v>22</v>
      </c>
      <c r="B25" s="10" t="inlineStr">
        <is>
          <t xml:space="preserve">    "全网最佳": "口碑优选",</t>
        </is>
      </c>
    </row>
    <row r="26">
      <c r="A26" s="7" t="n">
        <v>23</v>
      </c>
      <c r="B26" s="8" t="inlineStr">
        <is>
          <t xml:space="preserve">    # 功效夸大</t>
        </is>
      </c>
    </row>
    <row r="27">
      <c r="A27" s="9" t="n">
        <v>24</v>
      </c>
      <c r="B27" s="10" t="inlineStr">
        <is>
          <t xml:space="preserve">    "治疗": "改善", "消炎": "舒缓", "杀菌": "洁净", "减肥": "管理体重",</t>
        </is>
      </c>
    </row>
    <row r="28">
      <c r="A28" s="7" t="n">
        <v>25</v>
      </c>
      <c r="B28" s="8" t="inlineStr">
        <is>
          <t xml:space="preserve">    "祛斑": "淡化", "除皱": "平滑", "逆龄": "更显年轻", "零甲醛": "",</t>
        </is>
      </c>
    </row>
    <row r="29">
      <c r="A29" s="9" t="n">
        <v>26</v>
      </c>
      <c r="B29" s="10" t="inlineStr">
        <is>
          <t xml:space="preserve">    "食品级": "安全环保", "永不褪色": "持久耐用", "终身保修": "完善售后",</t>
        </is>
      </c>
    </row>
    <row r="30">
      <c r="A30" s="7" t="n">
        <v>27</v>
      </c>
      <c r="B30" s="8" t="inlineStr">
        <is>
          <t xml:space="preserve">    # 虚假承诺</t>
        </is>
      </c>
    </row>
    <row r="31">
      <c r="A31" s="9" t="n">
        <v>28</v>
      </c>
      <c r="B31" s="10" t="inlineStr">
        <is>
          <t xml:space="preserve">    "100%": "高", "绝对安全": "很安全", "无毒无害": "环保材质",</t>
        </is>
      </c>
    </row>
    <row r="32">
      <c r="A32" s="7" t="n">
        <v>29</v>
      </c>
      <c r="B32" s="8" t="inlineStr">
        <is>
          <t xml:space="preserve">    "无效退款": "", "包教包会": "", "保过": "",</t>
        </is>
      </c>
    </row>
    <row r="33">
      <c r="A33" s="9" t="n">
        <v>30</v>
      </c>
      <c r="B33" s="10" t="inlineStr">
        <is>
          <t xml:space="preserve">    # 刺激消费</t>
        </is>
      </c>
    </row>
    <row r="34">
      <c r="A34" s="7" t="n">
        <v>31</v>
      </c>
      <c r="B34" s="8" t="inlineStr">
        <is>
          <t xml:space="preserve">    "秒杀": "限时优惠", "抢爆": "热门", "再不抢就没了": "",</t>
        </is>
      </c>
    </row>
    <row r="35">
      <c r="A35" s="9" t="n">
        <v>32</v>
      </c>
      <c r="B35" s="10" t="inlineStr">
        <is>
          <t xml:space="preserve">    "错过就没机会了": "", "万人疯抢": "受欢迎",</t>
        </is>
      </c>
    </row>
    <row r="36">
      <c r="A36" s="7" t="n">
        <v>33</v>
      </c>
      <c r="B36" s="8" t="inlineStr">
        <is>
          <t xml:space="preserve">    # 封建迷信</t>
        </is>
      </c>
    </row>
    <row r="37">
      <c r="A37" s="9" t="n">
        <v>34</v>
      </c>
      <c r="B37" s="10" t="inlineStr">
        <is>
          <t xml:space="preserve">    "招财进宝": "", "旺财": "", "带来好运": "", "护身": "",</t>
        </is>
      </c>
    </row>
    <row r="38">
      <c r="A38" s="7" t="n">
        <v>35</v>
      </c>
      <c r="B38" s="8" t="inlineStr">
        <is>
          <t xml:space="preserve">    # 更多敏感词</t>
        </is>
      </c>
    </row>
    <row r="39">
      <c r="A39" s="9" t="n">
        <v>36</v>
      </c>
      <c r="B39" s="10" t="inlineStr">
        <is>
          <t xml:space="preserve">    "免费拿": "", "免费送": "", "0元购": "", "出厂价": "优惠价",</t>
        </is>
      </c>
    </row>
    <row r="40">
      <c r="A40" s="7" t="n">
        <v>37</v>
      </c>
      <c r="B40" s="8" t="inlineStr">
        <is>
          <t xml:space="preserve">    "批发价": "优惠价", "包安装": "", "包上楼": "",</t>
        </is>
      </c>
    </row>
    <row r="41">
      <c r="A41" s="9" t="n">
        <v>38</v>
      </c>
      <c r="B41" s="10" t="inlineStr">
        <is>
          <t>}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# ── 正则变体模式 ──</t>
        </is>
      </c>
    </row>
    <row r="44">
      <c r="A44" s="7" t="n">
        <v>41</v>
      </c>
      <c r="B44" s="8" t="inlineStr">
        <is>
          <t>PATTERNS = [</t>
        </is>
      </c>
    </row>
    <row r="45">
      <c r="A45" s="9" t="n">
        <v>42</v>
      </c>
      <c r="B45" s="10" t="inlineStr">
        <is>
          <t xml:space="preserve">    (r'[薇微]信|[vV][xX]|[vV]我?', ""),</t>
        </is>
      </c>
    </row>
    <row r="46">
      <c r="A46" s="7" t="n">
        <v>43</v>
      </c>
      <c r="B46" s="8" t="inlineStr">
        <is>
          <t xml:space="preserve">    (r'看[主頁主页]|首[页葉]', ""),</t>
        </is>
      </c>
    </row>
    <row r="47">
      <c r="A47" s="9" t="n">
        <v>44</v>
      </c>
      <c r="B47" s="10" t="inlineStr">
        <is>
          <t xml:space="preserve">    (r'最{1,3}', "很"),</t>
        </is>
      </c>
    </row>
    <row r="48">
      <c r="A48" s="7" t="n">
        <v>45</v>
      </c>
      <c r="B48" s="8" t="inlineStr">
        <is>
          <t xml:space="preserve">    (r'第?[1一]|N[Oo].?[1一]', "值得推荐"),</t>
        </is>
      </c>
    </row>
    <row r="49">
      <c r="A49" s="9" t="n">
        <v>46</v>
      </c>
      <c r="B49" s="10" t="inlineStr">
        <is>
          <t xml:space="preserve">    (r'\d{2,3}%[\s]*纯棉|十成棉', "高含棉量"),</t>
        </is>
      </c>
    </row>
    <row r="50">
      <c r="A50" s="7" t="n">
        <v>47</v>
      </c>
      <c r="B50" s="8" t="inlineStr">
        <is>
          <t xml:space="preserve">    (r'免[费廢]\s*拿|免[费廢]\s*送|0[元圆]\s*购', ""),</t>
        </is>
      </c>
    </row>
    <row r="51">
      <c r="A51" s="9" t="n">
        <v>48</v>
      </c>
      <c r="B51" s="10" t="inlineStr">
        <is>
          <t xml:space="preserve">    (r'出[厂厰]\s*价|批[发發]\s*价', "优惠价"),</t>
        </is>
      </c>
    </row>
    <row r="52">
      <c r="A52" s="7" t="n">
        <v>49</v>
      </c>
      <c r="B52" s="8" t="inlineStr">
        <is>
          <t xml:space="preserve">    (r'包[安按]\s*装|包[上]\s*楼', ""),</t>
        </is>
      </c>
    </row>
    <row r="53">
      <c r="A53" s="9" t="n">
        <v>50</v>
      </c>
      <c r="B53" s="10" t="inlineStr">
        <is>
          <t xml:space="preserve">    (r'领[取]\s*免', "获得"),</t>
        </is>
      </c>
    </row>
    <row r="54">
      <c r="A54" s="7" t="n">
        <v>51</v>
      </c>
      <c r="B54" s="8" t="inlineStr">
        <is>
          <t>]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/>
    </row>
    <row r="57">
      <c r="A57" s="9" t="n">
        <v>54</v>
      </c>
      <c r="B57" s="10" t="inlineStr">
        <is>
          <t>def contains_forbidden_word(text: str) -&gt; Tuple[bool, str]:</t>
        </is>
      </c>
    </row>
    <row r="58">
      <c r="A58" s="7" t="n">
        <v>55</v>
      </c>
      <c r="B58" s="8" t="inlineStr">
        <is>
          <t xml:space="preserve">    """检查文本是否包含违禁词。返回 (是否违禁, 匹配到的词列表)。"""</t>
        </is>
      </c>
    </row>
    <row r="59">
      <c r="A59" s="9" t="n">
        <v>56</v>
      </c>
      <c r="B59" s="10" t="inlineStr">
        <is>
          <t xml:space="preserve">    matched = set()</t>
        </is>
      </c>
    </row>
    <row r="60">
      <c r="A60" s="7" t="n">
        <v>57</v>
      </c>
      <c r="B60" s="8" t="inlineStr">
        <is>
          <t xml:space="preserve">    for word in FORBIDDEN_WORDS:</t>
        </is>
      </c>
    </row>
    <row r="61">
      <c r="A61" s="9" t="n">
        <v>58</v>
      </c>
      <c r="B61" s="10" t="inlineStr">
        <is>
          <t xml:space="preserve">        if word in text:</t>
        </is>
      </c>
    </row>
    <row r="62">
      <c r="A62" s="7" t="n">
        <v>59</v>
      </c>
      <c r="B62" s="8" t="inlineStr">
        <is>
          <t xml:space="preserve">            matched.add(word)</t>
        </is>
      </c>
    </row>
    <row r="63">
      <c r="A63" s="9" t="n">
        <v>60</v>
      </c>
      <c r="B63" s="10" t="inlineStr">
        <is>
          <t xml:space="preserve">    for pattern, _ in PATTERNS:</t>
        </is>
      </c>
    </row>
    <row r="64">
      <c r="A64" s="7" t="n">
        <v>61</v>
      </c>
      <c r="B64" s="8" t="inlineStr">
        <is>
          <t xml:space="preserve">        if re.search(pattern, text, re.IGNORECASE):</t>
        </is>
      </c>
    </row>
    <row r="65">
      <c r="A65" s="9" t="n">
        <v>62</v>
      </c>
      <c r="B65" s="10" t="inlineStr">
        <is>
          <t xml:space="preserve">            matched.add(f"匹配: {pattern}")</t>
        </is>
      </c>
    </row>
    <row r="66">
      <c r="A66" s="7" t="n">
        <v>63</v>
      </c>
      <c r="B66" s="8" t="inlineStr">
        <is>
          <t xml:space="preserve">    if matched:</t>
        </is>
      </c>
    </row>
    <row r="67">
      <c r="A67" s="9" t="n">
        <v>64</v>
      </c>
      <c r="B67" s="10" t="inlineStr">
        <is>
          <t xml:space="preserve">        return True, ", ".join(sorted(matched)[:8])</t>
        </is>
      </c>
    </row>
    <row r="68">
      <c r="A68" s="7" t="n">
        <v>65</v>
      </c>
      <c r="B68" s="8" t="inlineStr">
        <is>
          <t xml:space="preserve">    return False, ""</t>
        </is>
      </c>
    </row>
    <row r="69">
      <c r="A69" s="9" t="n">
        <v>66</v>
      </c>
      <c r="B69" s="10" t="inlineStr"/>
    </row>
    <row r="70">
      <c r="A70" s="7" t="n">
        <v>67</v>
      </c>
      <c r="B70" s="8" t="inlineStr"/>
    </row>
    <row r="71">
      <c r="A71" s="9" t="n">
        <v>68</v>
      </c>
      <c r="B71" s="10" t="inlineStr">
        <is>
          <t>def filter_redbook_text(text: str) -&gt; Tuple[str, int]:</t>
        </is>
      </c>
    </row>
    <row r="72">
      <c r="A72" s="7" t="n">
        <v>69</v>
      </c>
      <c r="B72" s="8" t="inlineStr">
        <is>
          <t xml:space="preserve">    """</t>
        </is>
      </c>
    </row>
    <row r="73">
      <c r="A73" s="9" t="n">
        <v>70</v>
      </c>
      <c r="B73" s="10" t="inlineStr">
        <is>
          <t xml:space="preserve">    过滤文本中的敏感词。</t>
        </is>
      </c>
    </row>
    <row r="74">
      <c r="A74" s="7" t="n">
        <v>71</v>
      </c>
      <c r="B74" s="8" t="inlineStr">
        <is>
          <t xml:space="preserve">    返回 (过滤后文本, 修改次数)。</t>
        </is>
      </c>
    </row>
    <row r="75">
      <c r="A75" s="9" t="n">
        <v>72</v>
      </c>
      <c r="B75" s="10" t="inlineStr">
        <is>
          <t xml:space="preserve">    规则: 有替换词则替换，无替换词则删除。</t>
        </is>
      </c>
    </row>
    <row r="76">
      <c r="A76" s="7" t="n">
        <v>73</v>
      </c>
      <c r="B76" s="8" t="inlineStr">
        <is>
          <t xml:space="preserve">    """</t>
        </is>
      </c>
    </row>
    <row r="77">
      <c r="A77" s="9" t="n">
        <v>74</v>
      </c>
      <c r="B77" s="10" t="inlineStr">
        <is>
          <t xml:space="preserve">    changes = 0</t>
        </is>
      </c>
    </row>
    <row r="78">
      <c r="A78" s="7" t="n">
        <v>75</v>
      </c>
      <c r="B78" s="8" t="inlineStr">
        <is>
          <t xml:space="preserve">    # 1. 直接词替换</t>
        </is>
      </c>
    </row>
    <row r="79">
      <c r="A79" s="9" t="n">
        <v>76</v>
      </c>
      <c r="B79" s="10" t="inlineStr">
        <is>
          <t xml:space="preserve">    for word, replacement in FORBIDDEN_WORDS.items():</t>
        </is>
      </c>
    </row>
    <row r="80">
      <c r="A80" s="7" t="n">
        <v>77</v>
      </c>
      <c r="B80" s="8" t="inlineStr">
        <is>
          <t xml:space="preserve">        count = text.count(word)</t>
        </is>
      </c>
    </row>
    <row r="81">
      <c r="A81" s="9" t="n">
        <v>78</v>
      </c>
      <c r="B81" s="10" t="inlineStr">
        <is>
          <t xml:space="preserve">        if count &gt; 0:</t>
        </is>
      </c>
    </row>
    <row r="82">
      <c r="A82" s="7" t="n">
        <v>79</v>
      </c>
      <c r="B82" s="8" t="inlineStr">
        <is>
          <t xml:space="preserve">            if replacement:</t>
        </is>
      </c>
    </row>
    <row r="83">
      <c r="A83" s="9" t="n">
        <v>80</v>
      </c>
      <c r="B83" s="10" t="inlineStr">
        <is>
          <t xml:space="preserve">                text = text.replace(word, replacement)</t>
        </is>
      </c>
    </row>
    <row r="84">
      <c r="A84" s="7" t="n">
        <v>81</v>
      </c>
      <c r="B84" s="8" t="inlineStr">
        <is>
          <t xml:space="preserve">            else:</t>
        </is>
      </c>
    </row>
    <row r="85">
      <c r="A85" s="9" t="n">
        <v>82</v>
      </c>
      <c r="B85" s="10" t="inlineStr">
        <is>
          <t xml:space="preserve">                text = text.replace(word, "")</t>
        </is>
      </c>
    </row>
    <row r="86">
      <c r="A86" s="7" t="n">
        <v>83</v>
      </c>
      <c r="B86" s="8" t="inlineStr">
        <is>
          <t xml:space="preserve">            changes += count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>
        <is>
          <t xml:space="preserve">    # 2. 正则模式替换</t>
        </is>
      </c>
    </row>
    <row r="89">
      <c r="A89" s="9" t="n">
        <v>86</v>
      </c>
      <c r="B89" s="10" t="inlineStr">
        <is>
          <t xml:space="preserve">    for pattern, replacement in PATTERNS:</t>
        </is>
      </c>
    </row>
    <row r="90">
      <c r="A90" s="7" t="n">
        <v>87</v>
      </c>
      <c r="B90" s="8" t="inlineStr">
        <is>
          <t xml:space="preserve">        new_text, count = re.subn(pattern, replacement, text, flags=re.IGNORECASE)</t>
        </is>
      </c>
    </row>
    <row r="91">
      <c r="A91" s="9" t="n">
        <v>88</v>
      </c>
      <c r="B91" s="10" t="inlineStr">
        <is>
          <t xml:space="preserve">        if count &gt; 0:</t>
        </is>
      </c>
    </row>
    <row r="92">
      <c r="A92" s="7" t="n">
        <v>89</v>
      </c>
      <c r="B92" s="8" t="inlineStr">
        <is>
          <t xml:space="preserve">            changes += count</t>
        </is>
      </c>
    </row>
    <row r="93">
      <c r="A93" s="9" t="n">
        <v>90</v>
      </c>
      <c r="B93" s="10" t="inlineStr">
        <is>
          <t xml:space="preserve">            text = new_text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>
        <is>
          <t xml:space="preserve">    # 3. 清理多余标点和空白</t>
        </is>
      </c>
    </row>
    <row r="96">
      <c r="A96" s="7" t="n">
        <v>93</v>
      </c>
      <c r="B96" s="8" t="inlineStr">
        <is>
          <t xml:space="preserve">    text = re.sub(r'\s+', ' ', text).strip()</t>
        </is>
      </c>
    </row>
    <row r="97">
      <c r="A97" s="9" t="n">
        <v>94</v>
      </c>
      <c r="B97" s="10" t="inlineStr">
        <is>
          <t xml:space="preserve">    text = re.sub(r'，{2,}', '，', text)</t>
        </is>
      </c>
    </row>
    <row r="98">
      <c r="A98" s="7" t="n">
        <v>95</v>
      </c>
      <c r="B98" s="8" t="inlineStr">
        <is>
          <t xml:space="preserve">    text = re.sub(r'。{2,}', '。', text)</t>
        </is>
      </c>
    </row>
    <row r="99">
      <c r="A99" s="9" t="n">
        <v>96</v>
      </c>
      <c r="B99" s="10" t="inlineStr">
        <is>
          <t xml:space="preserve">    text = re.sub(r'！{2,}', '！', text)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 xml:space="preserve">    return text, changes</t>
        </is>
      </c>
    </row>
    <row r="102">
      <c r="A102" s="7" t="n">
        <v>99</v>
      </c>
      <c r="B102" s="8" t="inlineStr"/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>def append_compliance_note(text: str) -&gt; str:</t>
        </is>
      </c>
    </row>
    <row r="105">
      <c r="A105" s="9" t="n">
        <v>102</v>
      </c>
      <c r="B105" s="10" t="inlineStr">
        <is>
          <t xml:space="preserve">    """在文案末尾追加合规声明（如果还不存在）"""</t>
        </is>
      </c>
    </row>
    <row r="106">
      <c r="A106" s="7" t="n">
        <v>103</v>
      </c>
      <c r="B106" s="8" t="inlineStr">
        <is>
          <t xml:space="preserve">    note = "以上展示效果因个体差异可能不同，请以实物为准。"</t>
        </is>
      </c>
    </row>
    <row r="107">
      <c r="A107" s="9" t="n">
        <v>104</v>
      </c>
      <c r="B107" s="10" t="inlineStr">
        <is>
          <t xml:space="preserve">    if note not in text and len(text) &gt; 20:</t>
        </is>
      </c>
    </row>
    <row r="108">
      <c r="A108" s="7" t="n">
        <v>105</v>
      </c>
      <c r="B108" s="8" t="inlineStr">
        <is>
          <t xml:space="preserve">        text = text.rstrip("。！？.!?") + "。" + note</t>
        </is>
      </c>
    </row>
    <row r="109">
      <c r="A109" s="9" t="n">
        <v>106</v>
      </c>
      <c r="B109" s="10" t="inlineStr">
        <is>
          <t xml:space="preserve">    return text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utils\vector_store.py</t>
        </is>
      </c>
      <c r="C1" s="5" t="inlineStr">
        <is>
          <t>行数: 79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FAISS向量检索库 - 视频内容语义搜索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os</t>
        </is>
      </c>
    </row>
    <row r="8">
      <c r="A8" s="7" t="n">
        <v>5</v>
      </c>
      <c r="B8" s="8" t="inlineStr">
        <is>
          <t>import numpy as np</t>
        </is>
      </c>
    </row>
    <row r="9">
      <c r="A9" s="9" t="n">
        <v>6</v>
      </c>
      <c r="B9" s="10" t="inlineStr">
        <is>
          <t>from utils.logger import get_logger</t>
        </is>
      </c>
    </row>
    <row r="10">
      <c r="A10" s="7" t="n">
        <v>7</v>
      </c>
      <c r="B10" s="8" t="inlineStr">
        <is>
          <t>from core.config_loader import CONFIG</t>
        </is>
      </c>
    </row>
    <row r="11">
      <c r="A11" s="9" t="n">
        <v>8</v>
      </c>
      <c r="B11" s="10" t="inlineStr">
        <is>
          <t>logger = get_logger("vector_store")</t>
        </is>
      </c>
    </row>
    <row r="12">
      <c r="A12" s="7" t="n">
        <v>9</v>
      </c>
      <c r="B12" s="8" t="inlineStr">
        <is>
          <t>class VectorStore:</t>
        </is>
      </c>
    </row>
    <row r="13">
      <c r="A13" s="9" t="n">
        <v>10</v>
      </c>
      <c r="B13" s="10" t="inlineStr">
        <is>
          <t xml:space="preserve">    """本地FAISS向量索引：文本→向量→语义检索"""</t>
        </is>
      </c>
    </row>
    <row r="14">
      <c r="A14" s="7" t="n">
        <v>11</v>
      </c>
      <c r="B14" s="8" t="inlineStr">
        <is>
          <t xml:space="preserve">    _instance = None</t>
        </is>
      </c>
    </row>
    <row r="15">
      <c r="A15" s="9" t="n">
        <v>12</v>
      </c>
      <c r="B15" s="10" t="inlineStr">
        <is>
          <t xml:space="preserve">    def __new__(cls):</t>
        </is>
      </c>
    </row>
    <row r="16">
      <c r="A16" s="7" t="n">
        <v>13</v>
      </c>
      <c r="B16" s="8" t="inlineStr">
        <is>
          <t xml:space="preserve">        if cls._instance is None:</t>
        </is>
      </c>
    </row>
    <row r="17">
      <c r="A17" s="9" t="n">
        <v>14</v>
      </c>
      <c r="B17" s="10" t="inlineStr">
        <is>
          <t xml:space="preserve">            cls._instance = super().__new__(cls)</t>
        </is>
      </c>
    </row>
    <row r="18">
      <c r="A18" s="7" t="n">
        <v>15</v>
      </c>
      <c r="B18" s="8" t="inlineStr">
        <is>
          <t xml:space="preserve">        return cls._instance</t>
        </is>
      </c>
    </row>
    <row r="19">
      <c r="A19" s="9" t="n">
        <v>16</v>
      </c>
      <c r="B19" s="10" t="inlineStr">
        <is>
          <t xml:space="preserve">    def __init__(self):</t>
        </is>
      </c>
    </row>
    <row r="20">
      <c r="A20" s="7" t="n">
        <v>17</v>
      </c>
      <c r="B20" s="8" t="inlineStr">
        <is>
          <t xml:space="preserve">        if hasattr(self, "_initialized"):</t>
        </is>
      </c>
    </row>
    <row r="21">
      <c r="A21" s="9" t="n">
        <v>18</v>
      </c>
      <c r="B21" s="10" t="inlineStr">
        <is>
          <t xml:space="preserve">            return</t>
        </is>
      </c>
    </row>
    <row r="22">
      <c r="A22" s="7" t="n">
        <v>19</v>
      </c>
      <c r="B22" s="8" t="inlineStr">
        <is>
          <t xml:space="preserve">        self._initialized = True</t>
        </is>
      </c>
    </row>
    <row r="23">
      <c r="A23" s="9" t="n">
        <v>20</v>
      </c>
      <c r="B23" s="10" t="inlineStr">
        <is>
          <t xml:space="preserve">        self.enable = CONFIG.get("vector_store", {}).get("enable", False)</t>
        </is>
      </c>
    </row>
    <row r="24">
      <c r="A24" s="7" t="n">
        <v>21</v>
      </c>
      <c r="B24" s="8" t="inlineStr">
        <is>
          <t xml:space="preserve">        if not self.enable:</t>
        </is>
      </c>
    </row>
    <row r="25">
      <c r="A25" s="9" t="n">
        <v>22</v>
      </c>
      <c r="B25" s="10" t="inlineStr">
        <is>
          <t xml:space="preserve">            logger.info("向量检索未启用")</t>
        </is>
      </c>
    </row>
    <row r="26">
      <c r="A26" s="7" t="n">
        <v>23</v>
      </c>
      <c r="B26" s="8" t="inlineStr">
        <is>
          <t xml:space="preserve">            return</t>
        </is>
      </c>
    </row>
    <row r="27">
      <c r="A27" s="9" t="n">
        <v>24</v>
      </c>
      <c r="B27" s="10" t="inlineStr">
        <is>
          <t xml:space="preserve">        self.index_path = CONFIG["vector_store"]["index_path"]</t>
        </is>
      </c>
    </row>
    <row r="28">
      <c r="A28" s="7" t="n">
        <v>25</v>
      </c>
      <c r="B28" s="8" t="inlineStr">
        <is>
          <t xml:space="preserve">        os.makedirs(os.path.dirname(self.index_path), exist_ok=True)</t>
        </is>
      </c>
    </row>
    <row r="29">
      <c r="A29" s="9" t="n">
        <v>26</v>
      </c>
      <c r="B29" s="10" t="inlineStr">
        <is>
          <t xml:space="preserve">        try:</t>
        </is>
      </c>
    </row>
    <row r="30">
      <c r="A30" s="7" t="n">
        <v>27</v>
      </c>
      <c r="B30" s="8" t="inlineStr">
        <is>
          <t xml:space="preserve">            import faiss</t>
        </is>
      </c>
    </row>
    <row r="31">
      <c r="A31" s="9" t="n">
        <v>28</v>
      </c>
      <c r="B31" s="10" t="inlineStr">
        <is>
          <t xml:space="preserve">            from sentence_transformers import SentenceTransformer</t>
        </is>
      </c>
    </row>
    <row r="32">
      <c r="A32" s="7" t="n">
        <v>29</v>
      </c>
      <c r="B32" s="8" t="inlineStr">
        <is>
          <t xml:space="preserve">            model_name = CONFIG["vector_store"]["embedding_model"]</t>
        </is>
      </c>
    </row>
    <row r="33">
      <c r="A33" s="9" t="n">
        <v>30</v>
      </c>
      <c r="B33" s="10" t="inlineStr">
        <is>
          <t xml:space="preserve">            self.model = SentenceTransformer(model_name, device="cpu")</t>
        </is>
      </c>
    </row>
    <row r="34">
      <c r="A34" s="7" t="n">
        <v>31</v>
      </c>
      <c r="B34" s="8" t="inlineStr">
        <is>
          <t xml:space="preserve">            self.dimension = self.model.get_sentence_embedding_dimension()</t>
        </is>
      </c>
    </row>
    <row r="35">
      <c r="A35" s="9" t="n">
        <v>32</v>
      </c>
      <c r="B35" s="10" t="inlineStr">
        <is>
          <t xml:space="preserve">            if os.path.exists(self.index_path):</t>
        </is>
      </c>
    </row>
    <row r="36">
      <c r="A36" s="7" t="n">
        <v>33</v>
      </c>
      <c r="B36" s="8" t="inlineStr">
        <is>
          <t xml:space="preserve">                self.index = faiss.read_index(self.index_path)</t>
        </is>
      </c>
    </row>
    <row r="37">
      <c r="A37" s="9" t="n">
        <v>34</v>
      </c>
      <c r="B37" s="10" t="inlineStr">
        <is>
          <t xml:space="preserve">                logger.info(f"向量索引加载完成，维度: {self.dimension}，已有{self.index.ntotal}条")</t>
        </is>
      </c>
    </row>
    <row r="38">
      <c r="A38" s="7" t="n">
        <v>35</v>
      </c>
      <c r="B38" s="8" t="inlineStr">
        <is>
          <t xml:space="preserve">            else:</t>
        </is>
      </c>
    </row>
    <row r="39">
      <c r="A39" s="9" t="n">
        <v>36</v>
      </c>
      <c r="B39" s="10" t="inlineStr">
        <is>
          <t xml:space="preserve">                self.index = faiss.IndexFlatL2(self.dimension)</t>
        </is>
      </c>
    </row>
    <row r="40">
      <c r="A40" s="7" t="n">
        <v>37</v>
      </c>
      <c r="B40" s="8" t="inlineStr">
        <is>
          <t xml:space="preserve">                self.save()</t>
        </is>
      </c>
    </row>
    <row r="41">
      <c r="A41" s="9" t="n">
        <v>38</v>
      </c>
      <c r="B41" s="10" t="inlineStr">
        <is>
          <t xml:space="preserve">                logger.info(f"新建向量索引，维度: {self.dimension}")</t>
        </is>
      </c>
    </row>
    <row r="42">
      <c r="A42" s="7" t="n">
        <v>39</v>
      </c>
      <c r="B42" s="8" t="inlineStr">
        <is>
          <t xml:space="preserve">            self.id_map = {}</t>
        </is>
      </c>
    </row>
    <row r="43">
      <c r="A43" s="9" t="n">
        <v>40</v>
      </c>
      <c r="B43" s="10" t="inlineStr">
        <is>
          <t xml:space="preserve">            self.next_id = 0</t>
        </is>
      </c>
    </row>
    <row r="44">
      <c r="A44" s="7" t="n">
        <v>41</v>
      </c>
      <c r="B44" s="8" t="inlineStr">
        <is>
          <t xml:space="preserve">        except ImportError as e:</t>
        </is>
      </c>
    </row>
    <row r="45">
      <c r="A45" s="9" t="n">
        <v>42</v>
      </c>
      <c r="B45" s="10" t="inlineStr">
        <is>
          <t xml:space="preserve">            logger.warning(f"faiss/sentence-transformers不可用: {e}，向量检索禁用")</t>
        </is>
      </c>
    </row>
    <row r="46">
      <c r="A46" s="7" t="n">
        <v>43</v>
      </c>
      <c r="B46" s="8" t="inlineStr">
        <is>
          <t xml:space="preserve">            self.enable = False</t>
        </is>
      </c>
    </row>
    <row r="47">
      <c r="A47" s="9" t="n">
        <v>44</v>
      </c>
      <c r="B47" s="10" t="inlineStr">
        <is>
          <t xml:space="preserve">    def add(self, text: str, metadata: dict):</t>
        </is>
      </c>
    </row>
    <row r="48">
      <c r="A48" s="7" t="n">
        <v>45</v>
      </c>
      <c r="B48" s="8" t="inlineStr">
        <is>
          <t xml:space="preserve">        """添加文本及其元数据到向量索引"""</t>
        </is>
      </c>
    </row>
    <row r="49">
      <c r="A49" s="9" t="n">
        <v>46</v>
      </c>
      <c r="B49" s="10" t="inlineStr">
        <is>
          <t xml:space="preserve">        if not self.enable or not text.strip():</t>
        </is>
      </c>
    </row>
    <row r="50">
      <c r="A50" s="7" t="n">
        <v>47</v>
      </c>
      <c r="B50" s="8" t="inlineStr">
        <is>
          <t xml:space="preserve">            return</t>
        </is>
      </c>
    </row>
    <row r="51">
      <c r="A51" s="9" t="n">
        <v>48</v>
      </c>
      <c r="B51" s="10" t="inlineStr">
        <is>
          <t xml:space="preserve">        try:</t>
        </is>
      </c>
    </row>
    <row r="52">
      <c r="A52" s="7" t="n">
        <v>49</v>
      </c>
      <c r="B52" s="8" t="inlineStr">
        <is>
          <t xml:space="preserve">            embedding = self.model.encode([text])[0]</t>
        </is>
      </c>
    </row>
    <row r="53">
      <c r="A53" s="9" t="n">
        <v>50</v>
      </c>
      <c r="B53" s="10" t="inlineStr">
        <is>
          <t xml:space="preserve">            self.index.add(np.array([embedding]).astype("float32"))</t>
        </is>
      </c>
    </row>
    <row r="54">
      <c r="A54" s="7" t="n">
        <v>51</v>
      </c>
      <c r="B54" s="8" t="inlineStr">
        <is>
          <t xml:space="preserve">            self.id_map[self.next_id] = metadata</t>
        </is>
      </c>
    </row>
    <row r="55">
      <c r="A55" s="9" t="n">
        <v>52</v>
      </c>
      <c r="B55" s="10" t="inlineStr">
        <is>
          <t xml:space="preserve">            self.next_id += 1</t>
        </is>
      </c>
    </row>
    <row r="56">
      <c r="A56" s="7" t="n">
        <v>53</v>
      </c>
      <c r="B56" s="8" t="inlineStr">
        <is>
          <t xml:space="preserve">        except Exception as e:</t>
        </is>
      </c>
    </row>
    <row r="57">
      <c r="A57" s="9" t="n">
        <v>54</v>
      </c>
      <c r="B57" s="10" t="inlineStr">
        <is>
          <t xml:space="preserve">            logger.debug(f"向量添加失败: {e}")</t>
        </is>
      </c>
    </row>
    <row r="58">
      <c r="A58" s="7" t="n">
        <v>55</v>
      </c>
      <c r="B58" s="8" t="inlineStr">
        <is>
          <t xml:space="preserve">    def search(self, query: str, top_k: int = 5) -&gt; list:</t>
        </is>
      </c>
    </row>
    <row r="59">
      <c r="A59" s="9" t="n">
        <v>56</v>
      </c>
      <c r="B59" s="10" t="inlineStr">
        <is>
          <t xml:space="preserve">        """语义搜索，返回最相似的top_k条记录"""</t>
        </is>
      </c>
    </row>
    <row r="60">
      <c r="A60" s="7" t="n">
        <v>57</v>
      </c>
      <c r="B60" s="8" t="inlineStr">
        <is>
          <t xml:space="preserve">        if not self.enable or self.index.ntotal == 0:</t>
        </is>
      </c>
    </row>
    <row r="61">
      <c r="A61" s="9" t="n">
        <v>58</v>
      </c>
      <c r="B61" s="10" t="inlineStr">
        <is>
          <t xml:space="preserve">            return []</t>
        </is>
      </c>
    </row>
    <row r="62">
      <c r="A62" s="7" t="n">
        <v>59</v>
      </c>
      <c r="B62" s="8" t="inlineStr">
        <is>
          <t xml:space="preserve">        try:</t>
        </is>
      </c>
    </row>
    <row r="63">
      <c r="A63" s="9" t="n">
        <v>60</v>
      </c>
      <c r="B63" s="10" t="inlineStr">
        <is>
          <t xml:space="preserve">            query_emb = self.model.encode([query])</t>
        </is>
      </c>
    </row>
    <row r="64">
      <c r="A64" s="7" t="n">
        <v>61</v>
      </c>
      <c r="B64" s="8" t="inlineStr">
        <is>
          <t xml:space="preserve">            distances, indices = self.index.search(query_emb.astype("float32"), top_k)</t>
        </is>
      </c>
    </row>
    <row r="65">
      <c r="A65" s="9" t="n">
        <v>62</v>
      </c>
      <c r="B65" s="10" t="inlineStr">
        <is>
          <t xml:space="preserve">            results = []</t>
        </is>
      </c>
    </row>
    <row r="66">
      <c r="A66" s="7" t="n">
        <v>63</v>
      </c>
      <c r="B66" s="8" t="inlineStr">
        <is>
          <t xml:space="preserve">            for i, idx in enumerate(indices[0]):</t>
        </is>
      </c>
    </row>
    <row r="67">
      <c r="A67" s="9" t="n">
        <v>64</v>
      </c>
      <c r="B67" s="10" t="inlineStr">
        <is>
          <t xml:space="preserve">                if idx &gt;= 0 and idx in self.id_map:</t>
        </is>
      </c>
    </row>
    <row r="68">
      <c r="A68" s="7" t="n">
        <v>65</v>
      </c>
      <c r="B68" s="8" t="inlineStr">
        <is>
          <t xml:space="preserve">                    results.append({</t>
        </is>
      </c>
    </row>
    <row r="69">
      <c r="A69" s="9" t="n">
        <v>66</v>
      </c>
      <c r="B69" s="10" t="inlineStr">
        <is>
          <t xml:space="preserve">                        "score": float(distances[0][i]),</t>
        </is>
      </c>
    </row>
    <row r="70">
      <c r="A70" s="7" t="n">
        <v>67</v>
      </c>
      <c r="B70" s="8" t="inlineStr">
        <is>
          <t xml:space="preserve">                        "metadata": self.id_map[idx],</t>
        </is>
      </c>
    </row>
    <row r="71">
      <c r="A71" s="9" t="n">
        <v>68</v>
      </c>
      <c r="B71" s="10" t="inlineStr">
        <is>
          <t xml:space="preserve">                    })</t>
        </is>
      </c>
    </row>
    <row r="72">
      <c r="A72" s="7" t="n">
        <v>69</v>
      </c>
      <c r="B72" s="8" t="inlineStr">
        <is>
          <t xml:space="preserve">            return results</t>
        </is>
      </c>
    </row>
    <row r="73">
      <c r="A73" s="9" t="n">
        <v>70</v>
      </c>
      <c r="B73" s="10" t="inlineStr">
        <is>
          <t xml:space="preserve">        except Exception as e:</t>
        </is>
      </c>
    </row>
    <row r="74">
      <c r="A74" s="7" t="n">
        <v>71</v>
      </c>
      <c r="B74" s="8" t="inlineStr">
        <is>
          <t xml:space="preserve">            logger.debug(f"向量搜索失败: {e}")</t>
        </is>
      </c>
    </row>
    <row r="75">
      <c r="A75" s="9" t="n">
        <v>72</v>
      </c>
      <c r="B75" s="10" t="inlineStr">
        <is>
          <t xml:space="preserve">            return []</t>
        </is>
      </c>
    </row>
    <row r="76">
      <c r="A76" s="7" t="n">
        <v>73</v>
      </c>
      <c r="B76" s="8" t="inlineStr">
        <is>
          <t xml:space="preserve">    def save(self):</t>
        </is>
      </c>
    </row>
    <row r="77">
      <c r="A77" s="9" t="n">
        <v>74</v>
      </c>
      <c r="B77" s="10" t="inlineStr">
        <is>
          <t xml:space="preserve">        """持久化向量索引到磁盘"""</t>
        </is>
      </c>
    </row>
    <row r="78">
      <c r="A78" s="7" t="n">
        <v>75</v>
      </c>
      <c r="B78" s="8" t="inlineStr">
        <is>
          <t xml:space="preserve">        if self.enable and hasattr(self, "index"):</t>
        </is>
      </c>
    </row>
    <row r="79">
      <c r="A79" s="9" t="n">
        <v>76</v>
      </c>
      <c r="B79" s="10" t="inlineStr">
        <is>
          <t xml:space="preserve">            import faiss</t>
        </is>
      </c>
    </row>
    <row r="80">
      <c r="A80" s="7" t="n">
        <v>77</v>
      </c>
      <c r="B80" s="8" t="inlineStr">
        <is>
          <t xml:space="preserve">            faiss.write_index(self.index, self.index_path)</t>
        </is>
      </c>
    </row>
    <row r="81">
      <c r="A81" s="9" t="n">
        <v>78</v>
      </c>
      <c r="B81" s="10" t="inlineStr">
        <is>
          <t># 全局单例</t>
        </is>
      </c>
    </row>
    <row r="82">
      <c r="A82" s="7" t="n">
        <v>79</v>
      </c>
      <c r="B82" s="8" t="inlineStr">
        <is>
          <t>vector_store = VectorStore()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utils\vram_manager.py</t>
        </is>
      </c>
      <c r="C1" s="5" t="inlineStr">
        <is>
          <t>行数: 70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显存检测与管控模块</t>
        </is>
      </c>
    </row>
    <row r="6">
      <c r="A6" s="7" t="n">
        <v>3</v>
      </c>
      <c r="B6" s="8" t="inlineStr">
        <is>
          <t>支持pynvml / nvidia-smi / PyTorch三种检测方式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</t>
        </is>
      </c>
    </row>
    <row r="9">
      <c r="A9" s="9" t="n">
        <v>6</v>
      </c>
      <c r="B9" s="10" t="inlineStr">
        <is>
          <t>import sys</t>
        </is>
      </c>
    </row>
    <row r="10">
      <c r="A10" s="7" t="n">
        <v>7</v>
      </c>
      <c r="B10" s="8" t="inlineStr">
        <is>
          <t>import subprocess</t>
        </is>
      </c>
    </row>
    <row r="11">
      <c r="A11" s="9" t="n">
        <v>8</v>
      </c>
      <c r="B11" s="10" t="inlineStr">
        <is>
          <t>from utils.logger import get_logger</t>
        </is>
      </c>
    </row>
    <row r="12">
      <c r="A12" s="7" t="n">
        <v>9</v>
      </c>
      <c r="B12" s="8" t="inlineStr">
        <is>
          <t>logger = get_logger("vram_manager")</t>
        </is>
      </c>
    </row>
    <row r="13">
      <c r="A13" s="9" t="n">
        <v>10</v>
      </c>
      <c r="B13" s="10" t="inlineStr">
        <is>
          <t>def get_nvidia_vram_info() -&gt; dict:</t>
        </is>
      </c>
    </row>
    <row r="14">
      <c r="A14" s="7" t="n">
        <v>11</v>
      </c>
      <c r="B14" s="8" t="inlineStr">
        <is>
          <t xml:space="preserve">    """获取NVIDIA显卡显存信息（MB单位）"""</t>
        </is>
      </c>
    </row>
    <row r="15">
      <c r="A15" s="9" t="n">
        <v>12</v>
      </c>
      <c r="B15" s="10" t="inlineStr">
        <is>
          <t xml:space="preserve">    # 方式1: pynvml (Linux/标准环境)</t>
        </is>
      </c>
    </row>
    <row r="16">
      <c r="A16" s="7" t="n">
        <v>13</v>
      </c>
      <c r="B16" s="8" t="inlineStr">
        <is>
          <t xml:space="preserve">    if sys.platform != "win32":</t>
        </is>
      </c>
    </row>
    <row r="17">
      <c r="A17" s="9" t="n">
        <v>14</v>
      </c>
      <c r="B17" s="10" t="inlineStr">
        <is>
          <t xml:space="preserve">        try:</t>
        </is>
      </c>
    </row>
    <row r="18">
      <c r="A18" s="7" t="n">
        <v>15</v>
      </c>
      <c r="B18" s="8" t="inlineStr">
        <is>
          <t xml:space="preserve">            import pynvml</t>
        </is>
      </c>
    </row>
    <row r="19">
      <c r="A19" s="9" t="n">
        <v>16</v>
      </c>
      <c r="B19" s="10" t="inlineStr">
        <is>
          <t xml:space="preserve">            pynvml.nvmlInit()</t>
        </is>
      </c>
    </row>
    <row r="20">
      <c r="A20" s="7" t="n">
        <v>17</v>
      </c>
      <c r="B20" s="8" t="inlineStr">
        <is>
          <t xml:space="preserve">            handle = pynvml.nvmlDeviceGetHandleByIndex(0)</t>
        </is>
      </c>
    </row>
    <row r="21">
      <c r="A21" s="9" t="n">
        <v>18</v>
      </c>
      <c r="B21" s="10" t="inlineStr">
        <is>
          <t xml:space="preserve">            info = pynvml.nvmlDeviceGetMemoryInfo(handle)</t>
        </is>
      </c>
    </row>
    <row r="22">
      <c r="A22" s="7" t="n">
        <v>19</v>
      </c>
      <c r="B22" s="8" t="inlineStr">
        <is>
          <t xml:space="preserve">            total = info.total // 1024 // 1024</t>
        </is>
      </c>
    </row>
    <row r="23">
      <c r="A23" s="9" t="n">
        <v>20</v>
      </c>
      <c r="B23" s="10" t="inlineStr">
        <is>
          <t xml:space="preserve">            used = info.used // 1024 // 1024</t>
        </is>
      </c>
    </row>
    <row r="24">
      <c r="A24" s="7" t="n">
        <v>21</v>
      </c>
      <c r="B24" s="8" t="inlineStr">
        <is>
          <t xml:space="preserve">            free = info.free // 1024 // 1024</t>
        </is>
      </c>
    </row>
    <row r="25">
      <c r="A25" s="9" t="n">
        <v>22</v>
      </c>
      <c r="B25" s="10" t="inlineStr">
        <is>
          <t xml:space="preserve">            pynvml.nvmlShutdown()</t>
        </is>
      </c>
    </row>
    <row r="26">
      <c r="A26" s="7" t="n">
        <v>23</v>
      </c>
      <c r="B26" s="8" t="inlineStr">
        <is>
          <t xml:space="preserve">            return {"total_mb": total, "used_mb": used, "free_mb": free}</t>
        </is>
      </c>
    </row>
    <row r="27">
      <c r="A27" s="9" t="n">
        <v>24</v>
      </c>
      <c r="B27" s="10" t="inlineStr">
        <is>
          <t xml:space="preserve">        except Exception as e:</t>
        </is>
      </c>
    </row>
    <row r="28">
      <c r="A28" s="7" t="n">
        <v>25</v>
      </c>
      <c r="B28" s="8" t="inlineStr">
        <is>
          <t xml:space="preserve">            logger.debug(f"pynvml获取失败: {e}")</t>
        </is>
      </c>
    </row>
    <row r="29">
      <c r="A29" s="9" t="n">
        <v>26</v>
      </c>
      <c r="B29" s="10" t="inlineStr">
        <is>
          <t xml:space="preserve">    # 方式2: nvidia-smi命令行</t>
        </is>
      </c>
    </row>
    <row r="30">
      <c r="A30" s="7" t="n">
        <v>27</v>
      </c>
      <c r="B30" s="8" t="inlineStr">
        <is>
          <t xml:space="preserve">    try:</t>
        </is>
      </c>
    </row>
    <row r="31">
      <c r="A31" s="9" t="n">
        <v>28</v>
      </c>
      <c r="B31" s="10" t="inlineStr">
        <is>
          <t xml:space="preserve">        result = subprocess.run(</t>
        </is>
      </c>
    </row>
    <row r="32">
      <c r="A32" s="7" t="n">
        <v>29</v>
      </c>
      <c r="B32" s="8" t="inlineStr">
        <is>
          <t xml:space="preserve">            ["nvidia-smi", "--query-gpu=memory.total,memory.used,memory.free",</t>
        </is>
      </c>
    </row>
    <row r="33">
      <c r="A33" s="9" t="n">
        <v>30</v>
      </c>
      <c r="B33" s="10" t="inlineStr">
        <is>
          <t xml:space="preserve">             "--format=csv,noheader,nounits"],</t>
        </is>
      </c>
    </row>
    <row r="34">
      <c r="A34" s="7" t="n">
        <v>31</v>
      </c>
      <c r="B34" s="8" t="inlineStr">
        <is>
          <t xml:space="preserve">            capture_output=True, text=True, timeout=10</t>
        </is>
      </c>
    </row>
    <row r="35">
      <c r="A35" s="9" t="n">
        <v>32</v>
      </c>
      <c r="B35" s="10" t="inlineStr">
        <is>
          <t xml:space="preserve">        )</t>
        </is>
      </c>
    </row>
    <row r="36">
      <c r="A36" s="7" t="n">
        <v>33</v>
      </c>
      <c r="B36" s="8" t="inlineStr">
        <is>
          <t xml:space="preserve">        if result.returncode == 0:</t>
        </is>
      </c>
    </row>
    <row r="37">
      <c r="A37" s="9" t="n">
        <v>34</v>
      </c>
      <c r="B37" s="10" t="inlineStr">
        <is>
          <t xml:space="preserve">            parts = result.stdout.strip().split(", ")</t>
        </is>
      </c>
    </row>
    <row r="38">
      <c r="A38" s="7" t="n">
        <v>35</v>
      </c>
      <c r="B38" s="8" t="inlineStr">
        <is>
          <t xml:space="preserve">            return {"total_mb": int(parts[0]), "used_mb": int(parts[1]), "free_mb": int(parts[2])}</t>
        </is>
      </c>
    </row>
    <row r="39">
      <c r="A39" s="9" t="n">
        <v>36</v>
      </c>
      <c r="B39" s="10" t="inlineStr">
        <is>
          <t xml:space="preserve">    except Exception as e:</t>
        </is>
      </c>
    </row>
    <row r="40">
      <c r="A40" s="7" t="n">
        <v>37</v>
      </c>
      <c r="B40" s="8" t="inlineStr">
        <is>
          <t xml:space="preserve">        logger.debug(f"nvidia-smi失败: {e}")</t>
        </is>
      </c>
    </row>
    <row r="41">
      <c r="A41" s="9" t="n">
        <v>38</v>
      </c>
      <c r="B41" s="10" t="inlineStr">
        <is>
          <t xml:space="preserve">    # 方式3: PyTorch估算</t>
        </is>
      </c>
    </row>
    <row r="42">
      <c r="A42" s="7" t="n">
        <v>39</v>
      </c>
      <c r="B42" s="8" t="inlineStr">
        <is>
          <t xml:space="preserve">    try:</t>
        </is>
      </c>
    </row>
    <row r="43">
      <c r="A43" s="9" t="n">
        <v>40</v>
      </c>
      <c r="B43" s="10" t="inlineStr">
        <is>
          <t xml:space="preserve">        import torch</t>
        </is>
      </c>
    </row>
    <row r="44">
      <c r="A44" s="7" t="n">
        <v>41</v>
      </c>
      <c r="B44" s="8" t="inlineStr">
        <is>
          <t xml:space="preserve">        if torch.cuda.is_available():</t>
        </is>
      </c>
    </row>
    <row r="45">
      <c r="A45" s="9" t="n">
        <v>42</v>
      </c>
      <c r="B45" s="10" t="inlineStr">
        <is>
          <t xml:space="preserve">            total = torch.cuda.get_device_properties(0).total_memory // (1024 * 1024)</t>
        </is>
      </c>
    </row>
    <row r="46">
      <c r="A46" s="7" t="n">
        <v>43</v>
      </c>
      <c r="B46" s="8" t="inlineStr">
        <is>
          <t xml:space="preserve">            reserved = torch.cuda.memory_reserved(0) // (1024 * 1024)</t>
        </is>
      </c>
    </row>
    <row r="47">
      <c r="A47" s="9" t="n">
        <v>44</v>
      </c>
      <c r="B47" s="10" t="inlineStr">
        <is>
          <t xml:space="preserve">            return {"total_mb": total, "used_mb": reserved, "free_mb": total - reserved}</t>
        </is>
      </c>
    </row>
    <row r="48">
      <c r="A48" s="7" t="n">
        <v>45</v>
      </c>
      <c r="B48" s="8" t="inlineStr">
        <is>
          <t xml:space="preserve">    except Exception:</t>
        </is>
      </c>
    </row>
    <row r="49">
      <c r="A49" s="9" t="n">
        <v>46</v>
      </c>
      <c r="B49" s="10" t="inlineStr">
        <is>
          <t xml:space="preserve">        pass</t>
        </is>
      </c>
    </row>
    <row r="50">
      <c r="A50" s="7" t="n">
        <v>47</v>
      </c>
      <c r="B50" s="8" t="inlineStr">
        <is>
          <t xml:space="preserve">    return {"total_mb": 6144, "used_mb": 0, "free_mb": 6144}</t>
        </is>
      </c>
    </row>
    <row r="51">
      <c r="A51" s="9" t="n">
        <v>48</v>
      </c>
      <c r="B51" s="10" t="inlineStr">
        <is>
          <t>def check_vram_sufficient(required_mb: int) -&gt; bool:</t>
        </is>
      </c>
    </row>
    <row r="52">
      <c r="A52" s="7" t="n">
        <v>49</v>
      </c>
      <c r="B52" s="8" t="inlineStr">
        <is>
          <t xml:space="preserve">    """检查剩余显存是否充足（120%安全余量）"""</t>
        </is>
      </c>
    </row>
    <row r="53">
      <c r="A53" s="9" t="n">
        <v>50</v>
      </c>
      <c r="B53" s="10" t="inlineStr">
        <is>
          <t xml:space="preserve">    info = get_nvidia_vram_info()</t>
        </is>
      </c>
    </row>
    <row r="54">
      <c r="A54" s="7" t="n">
        <v>51</v>
      </c>
      <c r="B54" s="8" t="inlineStr">
        <is>
          <t xml:space="preserve">    if info["total_mb"] == 0:</t>
        </is>
      </c>
    </row>
    <row r="55">
      <c r="A55" s="9" t="n">
        <v>52</v>
      </c>
      <c r="B55" s="10" t="inlineStr">
        <is>
          <t xml:space="preserve">        return True  # 无GPU时跳过检查</t>
        </is>
      </c>
    </row>
    <row r="56">
      <c r="A56" s="7" t="n">
        <v>53</v>
      </c>
      <c r="B56" s="8" t="inlineStr">
        <is>
          <t xml:space="preserve">    return info["free_mb"] &gt; required_mb * 1.2</t>
        </is>
      </c>
    </row>
    <row r="57">
      <c r="A57" s="9" t="n">
        <v>54</v>
      </c>
      <c r="B57" s="10" t="inlineStr">
        <is>
          <t>def init_cuda_environment(enable_benchmark: bool = True):</t>
        </is>
      </c>
    </row>
    <row r="58">
      <c r="A58" s="7" t="n">
        <v>55</v>
      </c>
      <c r="B58" s="8" t="inlineStr">
        <is>
          <t xml:space="preserve">    """初始化CUDA环境变量"""</t>
        </is>
      </c>
    </row>
    <row r="59">
      <c r="A59" s="9" t="n">
        <v>56</v>
      </c>
      <c r="B59" s="10" t="inlineStr">
        <is>
          <t xml:space="preserve">    os.environ.setdefault("CUDA_DEVICE_ORDER", "PCI_BUS_ID")</t>
        </is>
      </c>
    </row>
    <row r="60">
      <c r="A60" s="7" t="n">
        <v>57</v>
      </c>
      <c r="B60" s="8" t="inlineStr">
        <is>
          <t xml:space="preserve">    os.environ.setdefault("CUDA_VISIBLE_DEVICES", "0")</t>
        </is>
      </c>
    </row>
    <row r="61">
      <c r="A61" s="9" t="n">
        <v>58</v>
      </c>
      <c r="B61" s="10" t="inlineStr">
        <is>
          <t xml:space="preserve">    if enable_benchmark:</t>
        </is>
      </c>
    </row>
    <row r="62">
      <c r="A62" s="7" t="n">
        <v>59</v>
      </c>
      <c r="B62" s="8" t="inlineStr">
        <is>
          <t xml:space="preserve">        os.environ.setdefault("CUDNN_BENCHMARK", "1")</t>
        </is>
      </c>
    </row>
    <row r="63">
      <c r="A63" s="9" t="n">
        <v>60</v>
      </c>
      <c r="B63" s="10" t="inlineStr">
        <is>
          <t xml:space="preserve">    os.environ.setdefault("CUDA_LAUNCH_BLOCKING", "0")</t>
        </is>
      </c>
    </row>
    <row r="64">
      <c r="A64" s="7" t="n">
        <v>61</v>
      </c>
      <c r="B64" s="8" t="inlineStr">
        <is>
          <t xml:space="preserve">    logger.info("CUDA环境初始化完成")</t>
        </is>
      </c>
    </row>
    <row r="65">
      <c r="A65" s="9" t="n">
        <v>62</v>
      </c>
      <c r="B65" s="10" t="inlineStr">
        <is>
          <t>def release_gpu_memory():</t>
        </is>
      </c>
    </row>
    <row r="66">
      <c r="A66" s="7" t="n">
        <v>63</v>
      </c>
      <c r="B66" s="8" t="inlineStr">
        <is>
          <t xml:space="preserve">    """释放PyTorch GPU显存缓存"""</t>
        </is>
      </c>
    </row>
    <row r="67">
      <c r="A67" s="9" t="n">
        <v>64</v>
      </c>
      <c r="B67" s="10" t="inlineStr">
        <is>
          <t xml:space="preserve">    try:</t>
        </is>
      </c>
    </row>
    <row r="68">
      <c r="A68" s="7" t="n">
        <v>65</v>
      </c>
      <c r="B68" s="8" t="inlineStr">
        <is>
          <t xml:space="preserve">        import torch</t>
        </is>
      </c>
    </row>
    <row r="69">
      <c r="A69" s="9" t="n">
        <v>66</v>
      </c>
      <c r="B69" s="10" t="inlineStr">
        <is>
          <t xml:space="preserve">        if torch.cuda.is_available():</t>
        </is>
      </c>
    </row>
    <row r="70">
      <c r="A70" s="7" t="n">
        <v>67</v>
      </c>
      <c r="B70" s="8" t="inlineStr">
        <is>
          <t xml:space="preserve">            torch.cuda.empty_cache()</t>
        </is>
      </c>
    </row>
    <row r="71">
      <c r="A71" s="9" t="n">
        <v>68</v>
      </c>
      <c r="B71" s="10" t="inlineStr">
        <is>
          <t xml:space="preserve">            torch.cuda.synchronize()</t>
        </is>
      </c>
    </row>
    <row r="72">
      <c r="A72" s="7" t="n">
        <v>69</v>
      </c>
      <c r="B72" s="8" t="inlineStr">
        <is>
          <t xml:space="preserve">    except Exception:</t>
        </is>
      </c>
    </row>
    <row r="73">
      <c r="A73" s="9" t="n">
        <v>70</v>
      </c>
      <c r="B73" s="10" t="inlineStr">
        <is>
          <t xml:space="preserve">        pass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verify_models.py</t>
        </is>
      </c>
      <c r="C1" s="5" t="inlineStr">
        <is>
          <t>行数: 28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"""验证视觉模型是否可用 — v12.0 优化: 避免 rglob 扫描整个模型目录"""</t>
        </is>
      </c>
    </row>
    <row r="5">
      <c r="A5" s="9" t="n">
        <v>2</v>
      </c>
      <c r="B5" s="10" t="inlineStr">
        <is>
          <t>import sys; sys.path.insert(0,".")</t>
        </is>
      </c>
    </row>
    <row r="6">
      <c r="A6" s="7" t="n">
        <v>3</v>
      </c>
      <c r="B6" s="8" t="inlineStr">
        <is>
          <t>from pathlib import Path</t>
        </is>
      </c>
    </row>
    <row r="7">
      <c r="A7" s="9" t="n">
        <v>4</v>
      </c>
      <c r="B7" s="10" t="inlineStr">
        <is>
          <t>print("="*50); print("  树剪 模型验证"); print("="*50)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# Check local models</t>
        </is>
      </c>
    </row>
    <row r="10">
      <c r="A10" s="7" t="n">
        <v>7</v>
      </c>
      <c r="B10" s="8" t="inlineStr">
        <is>
          <t>models_dir = Path("models")</t>
        </is>
      </c>
    </row>
    <row r="11">
      <c r="A11" s="9" t="n">
        <v>8</v>
      </c>
      <c r="B11" s="10" t="inlineStr">
        <is>
          <t>for m in ["Florence-2-base","Qwen3-VL-3B","Qwen3-VL-7B"]:</t>
        </is>
      </c>
    </row>
    <row r="12">
      <c r="A12" s="7" t="n">
        <v>9</v>
      </c>
      <c r="B12" s="8" t="inlineStr">
        <is>
          <t xml:space="preserve">    p = models_dir / m</t>
        </is>
      </c>
    </row>
    <row r="13">
      <c r="A13" s="9" t="n">
        <v>10</v>
      </c>
      <c r="B13" s="10" t="inlineStr">
        <is>
          <t xml:space="preserve">    if p.exists():</t>
        </is>
      </c>
    </row>
    <row r="14">
      <c r="A14" s="7" t="n">
        <v>11</v>
      </c>
      <c r="B14" s="8" t="inlineStr">
        <is>
          <t xml:space="preserve">        # v12.0 修复: 仅 stat 权重文件，不执行 rglob("*") 遍历整个目录树</t>
        </is>
      </c>
    </row>
    <row r="15">
      <c r="A15" s="9" t="n">
        <v>12</v>
      </c>
      <c r="B15" s="10" t="inlineStr">
        <is>
          <t xml:space="preserve">        sft_files = list(p.glob("*.safetensors")) + list(p.glob("*.bin"))</t>
        </is>
      </c>
    </row>
    <row r="16">
      <c r="A16" s="7" t="n">
        <v>13</v>
      </c>
      <c r="B16" s="8" t="inlineStr">
        <is>
          <t xml:space="preserve">        size_mb = sum(f.stat().st_size for f in sft_files) / 1e6</t>
        </is>
      </c>
    </row>
    <row r="17">
      <c r="A17" s="9" t="n">
        <v>14</v>
      </c>
      <c r="B17" s="10" t="inlineStr">
        <is>
          <t xml:space="preserve">        print(f"  {m}: {'OK' if sft_files else 'WARN'} ({size_mb:.0f}MB, {len(sft_files)} 权重文件)")</t>
        </is>
      </c>
    </row>
    <row r="18">
      <c r="A18" s="7" t="n">
        <v>15</v>
      </c>
      <c r="B18" s="8" t="inlineStr">
        <is>
          <t xml:space="preserve">    else:</t>
        </is>
      </c>
    </row>
    <row r="19">
      <c r="A19" s="9" t="n">
        <v>16</v>
      </c>
      <c r="B19" s="10" t="inlineStr">
        <is>
          <t xml:space="preserve">        print(f"  {m}: NOT FOUND")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# Test unified model</t>
        </is>
      </c>
    </row>
    <row r="22">
      <c r="A22" s="7" t="n">
        <v>19</v>
      </c>
      <c r="B22" s="8" t="inlineStr">
        <is>
          <t>try:</t>
        </is>
      </c>
    </row>
    <row r="23">
      <c r="A23" s="9" t="n">
        <v>20</v>
      </c>
      <c r="B23" s="10" t="inlineStr">
        <is>
          <t xml:space="preserve">    from core.vision_unified import VisionModel</t>
        </is>
      </c>
    </row>
    <row r="24">
      <c r="A24" s="7" t="n">
        <v>21</v>
      </c>
      <c r="B24" s="8" t="inlineStr">
        <is>
          <t xml:space="preserve">    v = VisionModel()</t>
        </is>
      </c>
    </row>
    <row r="25">
      <c r="A25" s="9" t="n">
        <v>22</v>
      </c>
      <c r="B25" s="10" t="inlineStr">
        <is>
          <t xml:space="preserve">    print(f"\n  当前模型: {v.model_key} -&gt; loaded={v._loaded} available={v.available}")</t>
        </is>
      </c>
    </row>
    <row r="26">
      <c r="A26" s="7" t="n">
        <v>23</v>
      </c>
      <c r="B26" s="8" t="inlineStr">
        <is>
          <t xml:space="preserve">    if v.available:</t>
        </is>
      </c>
    </row>
    <row r="27">
      <c r="A27" s="9" t="n">
        <v>24</v>
      </c>
      <c r="B27" s="10" t="inlineStr">
        <is>
          <t xml:space="preserve">        print("  模型可用")</t>
        </is>
      </c>
    </row>
    <row r="28">
      <c r="A28" s="7" t="n">
        <v>25</v>
      </c>
      <c r="B28" s="8" t="inlineStr">
        <is>
          <t xml:space="preserve">    else:</t>
        </is>
      </c>
    </row>
    <row r="29">
      <c r="A29" s="9" t="n">
        <v>26</v>
      </c>
      <c r="B29" s="10" t="inlineStr">
        <is>
          <t xml:space="preserve">        print("  模型不可用 - 请运行 强制下载模型.bat")</t>
        </is>
      </c>
    </row>
    <row r="30">
      <c r="A30" s="7" t="n">
        <v>27</v>
      </c>
      <c r="B30" s="8" t="inlineStr">
        <is>
          <t>except Exception as e:</t>
        </is>
      </c>
    </row>
    <row r="31">
      <c r="A31" s="9" t="n">
        <v>28</v>
      </c>
      <c r="B31" s="10" t="inlineStr">
        <is>
          <t xml:space="preserve">    print(f"\n  模型加载失败: {e}")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verify_models_force.py</t>
        </is>
      </c>
      <c r="C1" s="5" t="inlineStr">
        <is>
          <t>行数: 312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TreeCut v11.0 — 强制模型验证脚本</t>
        </is>
      </c>
    </row>
    <row r="7">
      <c r="A7" s="9" t="n">
        <v>4</v>
      </c>
      <c r="B7" s="10">
        <f>=======================================================================</f>
        <v/>
      </c>
    </row>
    <row r="8">
      <c r="A8" s="7" t="n">
        <v>5</v>
      </c>
      <c r="B8" s="8" t="inlineStr">
        <is>
          <t>验证四个核心模型:</t>
        </is>
      </c>
    </row>
    <row r="9">
      <c r="A9" s="9" t="n">
        <v>6</v>
      </c>
      <c r="B9" s="10" t="inlineStr">
        <is>
          <t xml:space="preserve">  1. Qwen3-VL-4B (视觉)</t>
        </is>
      </c>
    </row>
    <row r="10">
      <c r="A10" s="7" t="n">
        <v>7</v>
      </c>
      <c r="B10" s="8" t="inlineStr">
        <is>
          <t xml:space="preserve">  2. SenseVoice (情绪+事件)</t>
        </is>
      </c>
    </row>
    <row r="11">
      <c r="A11" s="9" t="n">
        <v>8</v>
      </c>
      <c r="B11" s="10" t="inlineStr">
        <is>
          <t xml:space="preserve">  3. Whisper (语音转写)</t>
        </is>
      </c>
    </row>
    <row r="12">
      <c r="A12" s="7" t="n">
        <v>9</v>
      </c>
      <c r="B12" s="8" t="inlineStr">
        <is>
          <t xml:space="preserve">  4. FAISS + BGE-M3 (向量检索)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无降级: 任一模型不可用即标记为 FAIL 并输出修复指南。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用法:</t>
        </is>
      </c>
    </row>
    <row r="17">
      <c r="A17" s="9" t="n">
        <v>14</v>
      </c>
      <c r="B17" s="10" t="inlineStr">
        <is>
          <t xml:space="preserve">  python verify_models_force.py              # 验证所有模型</t>
        </is>
      </c>
    </row>
    <row r="18">
      <c r="A18" s="7" t="n">
        <v>15</v>
      </c>
      <c r="B18" s="8" t="inlineStr">
        <is>
          <t xml:space="preserve">  python verify_models_force.py --json       # JSON 格式输出</t>
        </is>
      </c>
    </row>
    <row r="19">
      <c r="A19" s="9" t="n">
        <v>16</v>
      </c>
      <c r="B19" s="10" t="inlineStr">
        <is>
          <t>"""</t>
        </is>
      </c>
    </row>
    <row r="20">
      <c r="A20" s="7" t="n">
        <v>17</v>
      </c>
      <c r="B20" s="8" t="inlineStr">
        <is>
          <t>import sys</t>
        </is>
      </c>
    </row>
    <row r="21">
      <c r="A21" s="9" t="n">
        <v>18</v>
      </c>
      <c r="B21" s="10" t="inlineStr">
        <is>
          <t>import os</t>
        </is>
      </c>
    </row>
    <row r="22">
      <c r="A22" s="7" t="n">
        <v>19</v>
      </c>
      <c r="B22" s="8" t="inlineStr">
        <is>
          <t>import time</t>
        </is>
      </c>
    </row>
    <row r="23">
      <c r="A23" s="9" t="n">
        <v>20</v>
      </c>
      <c r="B23" s="10" t="inlineStr">
        <is>
          <t>import json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if sys.platform == "win32":</t>
        </is>
      </c>
    </row>
    <row r="26">
      <c r="A26" s="7" t="n">
        <v>23</v>
      </c>
      <c r="B26" s="8" t="inlineStr">
        <is>
          <t xml:space="preserve">    try:</t>
        </is>
      </c>
    </row>
    <row r="27">
      <c r="A27" s="9" t="n">
        <v>24</v>
      </c>
      <c r="B27" s="10" t="inlineStr">
        <is>
          <t xml:space="preserve">        sys.stdout.reconfigure(encoding="utf-8", errors="replace")</t>
        </is>
      </c>
    </row>
    <row r="28">
      <c r="A28" s="7" t="n">
        <v>25</v>
      </c>
      <c r="B28" s="8" t="inlineStr">
        <is>
          <t xml:space="preserve">    except Exception:</t>
        </is>
      </c>
    </row>
    <row r="29">
      <c r="A29" s="9" t="n">
        <v>26</v>
      </c>
      <c r="B29" s="10" t="inlineStr">
        <is>
          <t xml:space="preserve">        pass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>PROJECT_ROOT = os.path.dirname(os.path.abspath(__file__))</t>
        </is>
      </c>
    </row>
    <row r="32">
      <c r="A32" s="7" t="n">
        <v>29</v>
      </c>
      <c r="B32" s="8" t="inlineStr">
        <is>
          <t>sys.path.insert(0, PROJECT_ROOT)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RESULTS = []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/>
    </row>
    <row r="37">
      <c r="A37" s="9" t="n">
        <v>34</v>
      </c>
      <c r="B37" s="10" t="inlineStr">
        <is>
          <t>def check(name: str, category: str) -&gt; dict:</t>
        </is>
      </c>
    </row>
    <row r="38">
      <c r="A38" s="7" t="n">
        <v>35</v>
      </c>
      <c r="B38" s="8" t="inlineStr">
        <is>
          <t xml:space="preserve">    """记录单个模型检查结果"""</t>
        </is>
      </c>
    </row>
    <row r="39">
      <c r="A39" s="9" t="n">
        <v>36</v>
      </c>
      <c r="B39" s="10" t="inlineStr">
        <is>
          <t xml:space="preserve">    return {"name": name, "category": category, "status": "CHECKING",</t>
        </is>
      </c>
    </row>
    <row r="40">
      <c r="A40" s="7" t="n">
        <v>37</v>
      </c>
      <c r="B40" s="8" t="inlineStr">
        <is>
          <t xml:space="preserve">            "details": "", "load_time_s": 0, "fix": ""}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def pass_check(r: dict, details: str, load_time: float = 0):</t>
        </is>
      </c>
    </row>
    <row r="44">
      <c r="A44" s="7" t="n">
        <v>41</v>
      </c>
      <c r="B44" s="8" t="inlineStr">
        <is>
          <t xml:space="preserve">    r["status"] = "PASS"</t>
        </is>
      </c>
    </row>
    <row r="45">
      <c r="A45" s="9" t="n">
        <v>42</v>
      </c>
      <c r="B45" s="10" t="inlineStr">
        <is>
          <t xml:space="preserve">    r["details"] = details</t>
        </is>
      </c>
    </row>
    <row r="46">
      <c r="A46" s="7" t="n">
        <v>43</v>
      </c>
      <c r="B46" s="8" t="inlineStr">
        <is>
          <t xml:space="preserve">    r["load_time_s"] = round(load_time, 1)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/>
    </row>
    <row r="49">
      <c r="A49" s="9" t="n">
        <v>46</v>
      </c>
      <c r="B49" s="10" t="inlineStr">
        <is>
          <t>def fail_check(r: dict, reason: str, fix: str = ""):</t>
        </is>
      </c>
    </row>
    <row r="50">
      <c r="A50" s="7" t="n">
        <v>47</v>
      </c>
      <c r="B50" s="8" t="inlineStr">
        <is>
          <t xml:space="preserve">    r["status"] = "FAIL"</t>
        </is>
      </c>
    </row>
    <row r="51">
      <c r="A51" s="9" t="n">
        <v>48</v>
      </c>
      <c r="B51" s="10" t="inlineStr">
        <is>
          <t xml:space="preserve">    r["details"] = reason</t>
        </is>
      </c>
    </row>
    <row r="52">
      <c r="A52" s="7" t="n">
        <v>49</v>
      </c>
      <c r="B52" s="8" t="inlineStr">
        <is>
          <t xml:space="preserve">    r["fix"] = fix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/>
    </row>
    <row r="55">
      <c r="A55" s="9" t="n">
        <v>52</v>
      </c>
      <c r="B55" s="10" t="inlineStr">
        <is>
          <t># ═══════════════════════════════════</t>
        </is>
      </c>
    </row>
    <row r="56">
      <c r="A56" s="7" t="n">
        <v>53</v>
      </c>
      <c r="B56" s="8" t="inlineStr">
        <is>
          <t># 1. Qwen3-VL-4B</t>
        </is>
      </c>
    </row>
    <row r="57">
      <c r="A57" s="9" t="n">
        <v>54</v>
      </c>
      <c r="B57" s="10" t="inlineStr">
        <is>
          <t># ═══════════════════════════════════</t>
        </is>
      </c>
    </row>
    <row r="58">
      <c r="A58" s="7" t="n">
        <v>55</v>
      </c>
      <c r="B58" s="8" t="inlineStr">
        <is>
          <t>def verify_qwen3():</t>
        </is>
      </c>
    </row>
    <row r="59">
      <c r="A59" s="9" t="n">
        <v>56</v>
      </c>
      <c r="B59" s="10" t="inlineStr">
        <is>
          <t xml:space="preserve">    r = check("Qwen3-VL-4B", "vision")</t>
        </is>
      </c>
    </row>
    <row r="60">
      <c r="A60" s="7" t="n">
        <v>57</v>
      </c>
      <c r="B60" s="8" t="inlineStr">
        <is>
          <t xml:space="preserve">    models_dir = os.path.join(PROJECT_ROOT, "models", "Qwen3-VL-4B-Instruct-FP8")</t>
        </is>
      </c>
    </row>
    <row r="61">
      <c r="A61" s="9" t="n">
        <v>58</v>
      </c>
      <c r="B61" s="10" t="inlineStr"/>
    </row>
    <row r="62">
      <c r="A62" s="7" t="n">
        <v>59</v>
      </c>
      <c r="B62" s="8" t="inlineStr">
        <is>
          <t xml:space="preserve">    if not os.path.isdir(models_dir):</t>
        </is>
      </c>
    </row>
    <row r="63">
      <c r="A63" s="9" t="n">
        <v>60</v>
      </c>
      <c r="B63" s="10" t="inlineStr">
        <is>
          <t xml:space="preserve">        fail_check(r, f"模型目录不存在: {models_dir}",</t>
        </is>
      </c>
    </row>
    <row r="64">
      <c r="A64" s="7" t="n">
        <v>61</v>
      </c>
      <c r="B64" s="8" t="inlineStr">
        <is>
          <t xml:space="preserve">                   "pip install huggingface_hub &amp;&amp; python -c \"from huggingface_hub import snapshot_download; snapshot_download('Qwen/Qwen3-VL-4B-Instruct-FP8', local_dir='models/Qwen3-VL-4B-Instruct-FP8')\"")</t>
        </is>
      </c>
    </row>
    <row r="65">
      <c r="A65" s="9" t="n">
        <v>62</v>
      </c>
      <c r="B65" s="10" t="inlineStr">
        <is>
          <t xml:space="preserve">        return r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sft = list(__import__('pathlib').Path(models_dir).glob("*.safetensors"))</t>
        </is>
      </c>
    </row>
    <row r="68">
      <c r="A68" s="7" t="n">
        <v>65</v>
      </c>
      <c r="B68" s="8" t="inlineStr">
        <is>
          <t xml:space="preserve">    if not sft:</t>
        </is>
      </c>
    </row>
    <row r="69">
      <c r="A69" s="9" t="n">
        <v>66</v>
      </c>
      <c r="B69" s="10" t="inlineStr">
        <is>
          <t xml:space="preserve">        fail_check(r, f"目录无权重文件: {models_dir}",</t>
        </is>
      </c>
    </row>
    <row r="70">
      <c r="A70" s="7" t="n">
        <v>67</v>
      </c>
      <c r="B70" s="8" t="inlineStr">
        <is>
          <t xml:space="preserve">                   "请重新下载模型到 models/Qwen3-VL-4B-Instruct-FP8/")</t>
        </is>
      </c>
    </row>
    <row r="71">
      <c r="A71" s="9" t="n">
        <v>68</v>
      </c>
      <c r="B71" s="10" t="inlineStr">
        <is>
          <t xml:space="preserve">        return r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size_gb = sum(f.stat().st_size for f in sft) / 1e9</t>
        </is>
      </c>
    </row>
    <row r="74">
      <c r="A74" s="7" t="n">
        <v>71</v>
      </c>
      <c r="B74" s="8" t="inlineStr">
        <is>
          <t xml:space="preserve">    t0 = time.time()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 xml:space="preserve">    try:</t>
        </is>
      </c>
    </row>
    <row r="77">
      <c r="A77" s="9" t="n">
        <v>74</v>
      </c>
      <c r="B77" s="10" t="inlineStr">
        <is>
          <t xml:space="preserve">        from core.vision_unified import VisionModel</t>
        </is>
      </c>
    </row>
    <row r="78">
      <c r="A78" s="7" t="n">
        <v>75</v>
      </c>
      <c r="B78" s="8" t="inlineStr">
        <is>
          <t xml:space="preserve">        vm = VisionModel()</t>
        </is>
      </c>
    </row>
    <row r="79">
      <c r="A79" s="9" t="n">
        <v>76</v>
      </c>
      <c r="B79" s="10" t="inlineStr">
        <is>
          <t xml:space="preserve">        elapsed = time.time() - t0</t>
        </is>
      </c>
    </row>
    <row r="80">
      <c r="A80" s="7" t="n">
        <v>77</v>
      </c>
      <c r="B80" s="8" t="inlineStr">
        <is>
          <t xml:space="preserve">        pass_check(r, f"已加载 ({size_gb:.1f}GB, {elapsed:.0f}s, device={vm._model.device})",</t>
        </is>
      </c>
    </row>
    <row r="81">
      <c r="A81" s="9" t="n">
        <v>78</v>
      </c>
      <c r="B81" s="10" t="inlineStr">
        <is>
          <t xml:space="preserve">                   load_time=elapsed)</t>
        </is>
      </c>
    </row>
    <row r="82">
      <c r="A82" s="7" t="n">
        <v>79</v>
      </c>
      <c r="B82" s="8" t="inlineStr">
        <is>
          <t xml:space="preserve">    except Exception as e:</t>
        </is>
      </c>
    </row>
    <row r="83">
      <c r="A83" s="9" t="n">
        <v>80</v>
      </c>
      <c r="B83" s="10" t="inlineStr">
        <is>
          <t xml:space="preserve">        elapsed = time.time() - t0</t>
        </is>
      </c>
    </row>
    <row r="84">
      <c r="A84" s="7" t="n">
        <v>81</v>
      </c>
      <c r="B84" s="8" t="inlineStr">
        <is>
          <t xml:space="preserve">        fail_check(r, f"加载失败 ({elapsed:.0f}s): {str(e)[:120]}",</t>
        </is>
      </c>
    </row>
    <row r="85">
      <c r="A85" s="9" t="n">
        <v>82</v>
      </c>
      <c r="B85" s="10" t="inlineStr">
        <is>
          <t xml:space="preserve">                   "检查 models/Qwen3-VL-4B-Instruct-FP8/ 目录完整性，或 pip install torch transformers Pillow")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 xml:space="preserve">    return r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/>
    </row>
    <row r="90">
      <c r="A90" s="7" t="n">
        <v>87</v>
      </c>
      <c r="B90" s="8" t="inlineStr">
        <is>
          <t># ═══════════════════════════════════</t>
        </is>
      </c>
    </row>
    <row r="91">
      <c r="A91" s="9" t="n">
        <v>88</v>
      </c>
      <c r="B91" s="10" t="inlineStr">
        <is>
          <t># 2. SenseVoice</t>
        </is>
      </c>
    </row>
    <row r="92">
      <c r="A92" s="7" t="n">
        <v>89</v>
      </c>
      <c r="B92" s="8" t="inlineStr">
        <is>
          <t># ═══════════════════════════════════</t>
        </is>
      </c>
    </row>
    <row r="93">
      <c r="A93" s="9" t="n">
        <v>90</v>
      </c>
      <c r="B93" s="10" t="inlineStr">
        <is>
          <t>def verify_sensevoice():</t>
        </is>
      </c>
    </row>
    <row r="94">
      <c r="A94" s="7" t="n">
        <v>91</v>
      </c>
      <c r="B94" s="8" t="inlineStr">
        <is>
          <t xml:space="preserve">    r = check("SenseVoice", "audio_emotion")</t>
        </is>
      </c>
    </row>
    <row r="95">
      <c r="A95" s="9" t="n">
        <v>92</v>
      </c>
      <c r="B95" s="10" t="inlineStr">
        <is>
          <t xml:space="preserve">    model_path = os.path.join(PROJECT_ROOT, "models", "SenseVoiceSmall", "model.pt")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 xml:space="preserve">    if not os.path.exists(model_path):</t>
        </is>
      </c>
    </row>
    <row r="98">
      <c r="A98" s="7" t="n">
        <v>95</v>
      </c>
      <c r="B98" s="8" t="inlineStr">
        <is>
          <t xml:space="preserve">        fail_check(r, f"模型权重缺失: {model_path}",</t>
        </is>
      </c>
    </row>
    <row r="99">
      <c r="A99" s="9" t="n">
        <v>96</v>
      </c>
      <c r="B99" s="10" t="inlineStr">
        <is>
          <t xml:space="preserve">                   "modelscope download --model FunAudioLLM/SenseVoiceSmall --local_dir models/SenseVoiceSmall")</t>
        </is>
      </c>
    </row>
    <row r="100">
      <c r="A100" s="7" t="n">
        <v>97</v>
      </c>
      <c r="B100" s="8" t="inlineStr">
        <is>
          <t xml:space="preserve">        return r</t>
        </is>
      </c>
    </row>
    <row r="101">
      <c r="A101" s="9" t="n">
        <v>98</v>
      </c>
      <c r="B101" s="10" t="inlineStr"/>
    </row>
    <row r="102">
      <c r="A102" s="7" t="n">
        <v>99</v>
      </c>
      <c r="B102" s="8" t="inlineStr">
        <is>
          <t xml:space="preserve">    t0 = time.time()</t>
        </is>
      </c>
    </row>
    <row r="103">
      <c r="A103" s="9" t="n">
        <v>100</v>
      </c>
      <c r="B103" s="10" t="inlineStr">
        <is>
          <t xml:space="preserve">    try:</t>
        </is>
      </c>
    </row>
    <row r="104">
      <c r="A104" s="7" t="n">
        <v>101</v>
      </c>
      <c r="B104" s="8" t="inlineStr">
        <is>
          <t xml:space="preserve">        from core.audio_models import SenseVoiceEngine</t>
        </is>
      </c>
    </row>
    <row r="105">
      <c r="A105" s="9" t="n">
        <v>102</v>
      </c>
      <c r="B105" s="10" t="inlineStr">
        <is>
          <t xml:space="preserve">        engine = SenseVoiceEngine(device="cpu")</t>
        </is>
      </c>
    </row>
    <row r="106">
      <c r="A106" s="7" t="n">
        <v>103</v>
      </c>
      <c r="B106" s="8" t="inlineStr">
        <is>
          <t xml:space="preserve">        elapsed = time.time() - t0</t>
        </is>
      </c>
    </row>
    <row r="107">
      <c r="A107" s="9" t="n">
        <v>104</v>
      </c>
      <c r="B107" s="10" t="inlineStr">
        <is>
          <t xml:space="preserve">        pass_check(r, f"已加载 ({os.path.getsize(model_path)/1e6:.0f}MB, {elapsed:.0f}s, cpu)",</t>
        </is>
      </c>
    </row>
    <row r="108">
      <c r="A108" s="7" t="n">
        <v>105</v>
      </c>
      <c r="B108" s="8" t="inlineStr">
        <is>
          <t xml:space="preserve">                   load_time=elapsed)</t>
        </is>
      </c>
    </row>
    <row r="109">
      <c r="A109" s="9" t="n">
        <v>106</v>
      </c>
      <c r="B109" s="10" t="inlineStr">
        <is>
          <t xml:space="preserve">    except Exception as e:</t>
        </is>
      </c>
    </row>
    <row r="110">
      <c r="A110" s="7" t="n">
        <v>107</v>
      </c>
      <c r="B110" s="8" t="inlineStr">
        <is>
          <t xml:space="preserve">        elapsed = time.time() - t0</t>
        </is>
      </c>
    </row>
    <row r="111">
      <c r="A111" s="9" t="n">
        <v>108</v>
      </c>
      <c r="B111" s="10" t="inlineStr">
        <is>
          <t xml:space="preserve">        fail_check(r, f"加载失败 ({elapsed:.0f}s): {str(e)[:120]}",</t>
        </is>
      </c>
    </row>
    <row r="112">
      <c r="A112" s="7" t="n">
        <v>109</v>
      </c>
      <c r="B112" s="8" t="inlineStr">
        <is>
          <t xml:space="preserve">                   "pip install funasr&gt;=1.1.2 modelscope torchaudio")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 xml:space="preserve">    return r</t>
        </is>
      </c>
    </row>
    <row r="115">
      <c r="A115" s="9" t="n">
        <v>112</v>
      </c>
      <c r="B115" s="10" t="inlineStr"/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># ═══════════════════════════════════</t>
        </is>
      </c>
    </row>
    <row r="118">
      <c r="A118" s="7" t="n">
        <v>115</v>
      </c>
      <c r="B118" s="8" t="inlineStr">
        <is>
          <t># 3. Whisper</t>
        </is>
      </c>
    </row>
    <row r="119">
      <c r="A119" s="9" t="n">
        <v>116</v>
      </c>
      <c r="B119" s="10" t="inlineStr">
        <is>
          <t># ═══════════════════════════════════</t>
        </is>
      </c>
    </row>
    <row r="120">
      <c r="A120" s="7" t="n">
        <v>117</v>
      </c>
      <c r="B120" s="8" t="inlineStr">
        <is>
          <t>def verify_whisper():</t>
        </is>
      </c>
    </row>
    <row r="121">
      <c r="A121" s="9" t="n">
        <v>118</v>
      </c>
      <c r="B121" s="10" t="inlineStr">
        <is>
          <t xml:space="preserve">    r = check("Whisper large-v3", "audio_transcribe")</t>
        </is>
      </c>
    </row>
    <row r="122">
      <c r="A122" s="7" t="n">
        <v>119</v>
      </c>
      <c r="B122" s="8" t="inlineStr"/>
    </row>
    <row r="123">
      <c r="A123" s="9" t="n">
        <v>120</v>
      </c>
      <c r="B123" s="10" t="inlineStr">
        <is>
          <t xml:space="preserve">    t0 = time.time()</t>
        </is>
      </c>
    </row>
    <row r="124">
      <c r="A124" s="7" t="n">
        <v>121</v>
      </c>
      <c r="B124" s="8" t="inlineStr">
        <is>
          <t xml:space="preserve">    try:</t>
        </is>
      </c>
    </row>
    <row r="125">
      <c r="A125" s="9" t="n">
        <v>122</v>
      </c>
      <c r="B125" s="10" t="inlineStr">
        <is>
          <t xml:space="preserve">        from core.audio_models import WhisperModel</t>
        </is>
      </c>
    </row>
    <row r="126">
      <c r="A126" s="7" t="n">
        <v>123</v>
      </c>
      <c r="B126" s="8" t="inlineStr">
        <is>
          <t xml:space="preserve">        wm = WhisperModel()</t>
        </is>
      </c>
    </row>
    <row r="127">
      <c r="A127" s="9" t="n">
        <v>124</v>
      </c>
      <c r="B127" s="10" t="inlineStr">
        <is>
          <t xml:space="preserve">        wm._lazy_load()</t>
        </is>
      </c>
    </row>
    <row r="128">
      <c r="A128" s="7" t="n">
        <v>125</v>
      </c>
      <c r="B128" s="8" t="inlineStr">
        <is>
          <t xml:space="preserve">        elapsed = time.time() - t0</t>
        </is>
      </c>
    </row>
    <row r="129">
      <c r="A129" s="9" t="n">
        <v>126</v>
      </c>
      <c r="B129" s="10" t="inlineStr">
        <is>
          <t xml:space="preserve">        pass_check(r, f"已加载 (large-v3, cpu, int8, {elapsed:.0f}s)", load_time=elapsed)</t>
        </is>
      </c>
    </row>
    <row r="130">
      <c r="A130" s="7" t="n">
        <v>127</v>
      </c>
      <c r="B130" s="8" t="inlineStr">
        <is>
          <t xml:space="preserve">    except Exception as e:</t>
        </is>
      </c>
    </row>
    <row r="131">
      <c r="A131" s="9" t="n">
        <v>128</v>
      </c>
      <c r="B131" s="10" t="inlineStr">
        <is>
          <t xml:space="preserve">        elapsed = time.time() - t0</t>
        </is>
      </c>
    </row>
    <row r="132">
      <c r="A132" s="7" t="n">
        <v>129</v>
      </c>
      <c r="B132" s="8" t="inlineStr">
        <is>
          <t xml:space="preserve">        fail_check(r, f"加载失败 ({elapsed:.0f}s): {str(e)[:120]}",</t>
        </is>
      </c>
    </row>
    <row r="133">
      <c r="A133" s="9" t="n">
        <v>130</v>
      </c>
      <c r="B133" s="10" t="inlineStr">
        <is>
          <t xml:space="preserve">                   "pip install faster-whisper")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>
        <is>
          <t xml:space="preserve">    return r</t>
        </is>
      </c>
    </row>
    <row r="136">
      <c r="A136" s="7" t="n">
        <v>133</v>
      </c>
      <c r="B136" s="8" t="inlineStr"/>
    </row>
    <row r="137">
      <c r="A137" s="9" t="n">
        <v>134</v>
      </c>
      <c r="B137" s="10" t="inlineStr"/>
    </row>
    <row r="138">
      <c r="A138" s="7" t="n">
        <v>135</v>
      </c>
      <c r="B138" s="8" t="inlineStr">
        <is>
          <t># ═══════════════════════════════════</t>
        </is>
      </c>
    </row>
    <row r="139">
      <c r="A139" s="9" t="n">
        <v>136</v>
      </c>
      <c r="B139" s="10" t="inlineStr">
        <is>
          <t># 4. FAISS + BGE-M3</t>
        </is>
      </c>
    </row>
    <row r="140">
      <c r="A140" s="7" t="n">
        <v>137</v>
      </c>
      <c r="B140" s="8" t="inlineStr">
        <is>
          <t># ═══════════════════════════════════</t>
        </is>
      </c>
    </row>
    <row r="141">
      <c r="A141" s="9" t="n">
        <v>138</v>
      </c>
      <c r="B141" s="10" t="inlineStr">
        <is>
          <t>def verify_faiss():</t>
        </is>
      </c>
    </row>
    <row r="142">
      <c r="A142" s="7" t="n">
        <v>139</v>
      </c>
      <c r="B142" s="8" t="inlineStr">
        <is>
          <t xml:space="preserve">    r = check("FAISS + BGE-M3", "retrieval")</t>
        </is>
      </c>
    </row>
    <row r="143">
      <c r="A143" s="9" t="n">
        <v>140</v>
      </c>
      <c r="B143" s="10" t="inlineStr"/>
    </row>
    <row r="144">
      <c r="A144" s="7" t="n">
        <v>141</v>
      </c>
      <c r="B144" s="8" t="inlineStr">
        <is>
          <t xml:space="preserve">    import sqlite3</t>
        </is>
      </c>
    </row>
    <row r="145">
      <c r="A145" s="9" t="n">
        <v>142</v>
      </c>
      <c r="B145" s="10" t="inlineStr">
        <is>
          <t xml:space="preserve">    db_path = os.path.join(PROJECT_ROOT, "ai_material_library.db")</t>
        </is>
      </c>
    </row>
    <row r="146">
      <c r="A146" s="7" t="n">
        <v>143</v>
      </c>
      <c r="B146" s="8" t="inlineStr">
        <is>
          <t xml:space="preserve">    faiss_path = os.path.join(PROJECT_ROOT, "shipin", "material_faiss.index")</t>
        </is>
      </c>
    </row>
    <row r="147">
      <c r="A147" s="9" t="n">
        <v>144</v>
      </c>
      <c r="B147" s="10" t="inlineStr"/>
    </row>
    <row r="148">
      <c r="A148" s="7" t="n">
        <v>145</v>
      </c>
      <c r="B148" s="8" t="inlineStr">
        <is>
          <t xml:space="preserve">    if not os.path.exists(db_path):</t>
        </is>
      </c>
    </row>
    <row r="149">
      <c r="A149" s="9" t="n">
        <v>146</v>
      </c>
      <c r="B149" s="10" t="inlineStr">
        <is>
          <t xml:space="preserve">        fail_check(r, f"数据库不存在: {db_path}", "请先运行素材库扫描")</t>
        </is>
      </c>
    </row>
    <row r="150">
      <c r="A150" s="7" t="n">
        <v>147</v>
      </c>
      <c r="B150" s="8" t="inlineStr">
        <is>
          <t xml:space="preserve">        return r</t>
        </is>
      </c>
    </row>
    <row r="151">
      <c r="A151" s="9" t="n">
        <v>148</v>
      </c>
      <c r="B151" s="10" t="inlineStr"/>
    </row>
    <row r="152">
      <c r="A152" s="7" t="n">
        <v>149</v>
      </c>
      <c r="B152" s="8" t="inlineStr">
        <is>
          <t xml:space="preserve">    conn = sqlite3.connect(db_path)</t>
        </is>
      </c>
    </row>
    <row r="153">
      <c r="A153" s="9" t="n">
        <v>150</v>
      </c>
      <c r="B153" s="10" t="inlineStr">
        <is>
          <t xml:space="preserve">    embed_count = conn.execute(</t>
        </is>
      </c>
    </row>
    <row r="154">
      <c r="A154" s="7" t="n">
        <v>151</v>
      </c>
      <c r="B154" s="8" t="inlineStr">
        <is>
          <t xml:space="preserve">        "SELECT COUNT(*) FROM materials WHERE embedding IS NOT NULL AND analyzed=1"</t>
        </is>
      </c>
    </row>
    <row r="155">
      <c r="A155" s="9" t="n">
        <v>152</v>
      </c>
      <c r="B155" s="10" t="inlineStr">
        <is>
          <t xml:space="preserve">    ).fetchone()[0]</t>
        </is>
      </c>
    </row>
    <row r="156">
      <c r="A156" s="7" t="n">
        <v>153</v>
      </c>
      <c r="B156" s="8" t="inlineStr">
        <is>
          <t xml:space="preserve">    total = conn.execute("SELECT COUNT(*) FROM materials").fetchone()[0]</t>
        </is>
      </c>
    </row>
    <row r="157">
      <c r="A157" s="9" t="n">
        <v>154</v>
      </c>
      <c r="B157" s="10" t="inlineStr">
        <is>
          <t xml:space="preserve">    conn.close()</t>
        </is>
      </c>
    </row>
    <row r="158">
      <c r="A158" s="7" t="n">
        <v>155</v>
      </c>
      <c r="B158" s="8" t="inlineStr"/>
    </row>
    <row r="159">
      <c r="A159" s="9" t="n">
        <v>156</v>
      </c>
      <c r="B159" s="10" t="inlineStr">
        <is>
          <t xml:space="preserve">    if embed_count == 0:</t>
        </is>
      </c>
    </row>
    <row r="160">
      <c r="A160" s="7" t="n">
        <v>157</v>
      </c>
      <c r="B160" s="8" t="inlineStr">
        <is>
          <t xml:space="preserve">        fail_check(r, f"无有效 embedding ({total}条记录中0条含embedding)",</t>
        </is>
      </c>
    </row>
    <row r="161">
      <c r="A161" s="9" t="n">
        <v>158</v>
      </c>
      <c r="B161" s="10" t="inlineStr">
        <is>
          <t xml:space="preserve">                   "运行素材分析: from core.analyzer import VideoAnalyzer; ...")</t>
        </is>
      </c>
    </row>
    <row r="162">
      <c r="A162" s="7" t="n">
        <v>159</v>
      </c>
      <c r="B162" s="8" t="inlineStr">
        <is>
          <t xml:space="preserve">        return r</t>
        </is>
      </c>
    </row>
    <row r="163">
      <c r="A163" s="9" t="n">
        <v>160</v>
      </c>
      <c r="B163" s="10" t="inlineStr"/>
    </row>
    <row r="164">
      <c r="A164" s="7" t="n">
        <v>161</v>
      </c>
      <c r="B164" s="8" t="inlineStr">
        <is>
          <t xml:space="preserve">    t0 = time.time()</t>
        </is>
      </c>
    </row>
    <row r="165">
      <c r="A165" s="9" t="n">
        <v>162</v>
      </c>
      <c r="B165" s="10" t="inlineStr">
        <is>
          <t xml:space="preserve">    try:</t>
        </is>
      </c>
    </row>
    <row r="166">
      <c r="A166" s="7" t="n">
        <v>163</v>
      </c>
      <c r="B166" s="8" t="inlineStr">
        <is>
          <t xml:space="preserve">        import faiss</t>
        </is>
      </c>
    </row>
    <row r="167">
      <c r="A167" s="9" t="n">
        <v>164</v>
      </c>
      <c r="B167" s="10" t="inlineStr">
        <is>
          <t xml:space="preserve">        import numpy as np</t>
        </is>
      </c>
    </row>
    <row r="168">
      <c r="A168" s="7" t="n">
        <v>165</v>
      </c>
      <c r="B168" s="8" t="inlineStr"/>
    </row>
    <row r="169">
      <c r="A169" s="9" t="n">
        <v>166</v>
      </c>
      <c r="B169" s="10" t="inlineStr">
        <is>
          <t xml:space="preserve">        # FAISS C++ cannot read Chinese paths on Windows.</t>
        </is>
      </c>
    </row>
    <row r="170">
      <c r="A170" s="7" t="n">
        <v>167</v>
      </c>
      <c r="B170" s="8" t="inlineStr">
        <is>
          <t xml:space="preserve">        # Copy to temp (ASCII path), verify there, then delete.</t>
        </is>
      </c>
    </row>
    <row r="171">
      <c r="A171" s="9" t="n">
        <v>168</v>
      </c>
      <c r="B171" s="10" t="inlineStr">
        <is>
          <t xml:space="preserve">        if os.path.exists(faiss_path):</t>
        </is>
      </c>
    </row>
    <row r="172">
      <c r="A172" s="7" t="n">
        <v>169</v>
      </c>
      <c r="B172" s="8" t="inlineStr">
        <is>
          <t xml:space="preserve">            import tempfile as _tmpmod</t>
        </is>
      </c>
    </row>
    <row r="173">
      <c r="A173" s="9" t="n">
        <v>170</v>
      </c>
      <c r="B173" s="10" t="inlineStr">
        <is>
          <t xml:space="preserve">            import shutil as _shutil</t>
        </is>
      </c>
    </row>
    <row r="174">
      <c r="A174" s="7" t="n">
        <v>171</v>
      </c>
      <c r="B174" s="8" t="inlineStr">
        <is>
          <t xml:space="preserve">            _tmp = _tmpmod.mkdtemp(prefix="faiss_verify_")</t>
        </is>
      </c>
    </row>
    <row r="175">
      <c r="A175" s="9" t="n">
        <v>172</v>
      </c>
      <c r="B175" s="10" t="inlineStr">
        <is>
          <t xml:space="preserve">            try:</t>
        </is>
      </c>
    </row>
    <row r="176">
      <c r="A176" s="7" t="n">
        <v>173</v>
      </c>
      <c r="B176" s="8" t="inlineStr">
        <is>
          <t xml:space="preserve">                _tmp_idx = os.path.join(_tmp, "material_faiss.index")</t>
        </is>
      </c>
    </row>
    <row r="177">
      <c r="A177" s="9" t="n">
        <v>174</v>
      </c>
      <c r="B177" s="10" t="inlineStr">
        <is>
          <t xml:space="preserve">                _shutil.copy2(faiss_path, _tmp_idx)</t>
        </is>
      </c>
    </row>
    <row r="178">
      <c r="A178" s="7" t="n">
        <v>175</v>
      </c>
      <c r="B178" s="8" t="inlineStr">
        <is>
          <t xml:space="preserve">                idx = faiss.read_index(_tmp_idx)</t>
        </is>
      </c>
    </row>
    <row r="179">
      <c r="A179" s="9" t="n">
        <v>176</v>
      </c>
      <c r="B179" s="10" t="inlineStr">
        <is>
          <t xml:space="preserve">                faiss_n = idx.ntotal</t>
        </is>
      </c>
    </row>
    <row r="180">
      <c r="A180" s="7" t="n">
        <v>177</v>
      </c>
      <c r="B180" s="8" t="inlineStr">
        <is>
          <t xml:space="preserve">                synced = faiss_n == embed_count</t>
        </is>
      </c>
    </row>
    <row r="181">
      <c r="A181" s="9" t="n">
        <v>178</v>
      </c>
      <c r="B181" s="10" t="inlineStr">
        <is>
          <t xml:space="preserve">            finally:</t>
        </is>
      </c>
    </row>
    <row r="182">
      <c r="A182" s="7" t="n">
        <v>179</v>
      </c>
      <c r="B182" s="8" t="inlineStr">
        <is>
          <t xml:space="preserve">                _shutil.rmtree(_tmp, ignore_errors=True)</t>
        </is>
      </c>
    </row>
    <row r="183">
      <c r="A183" s="9" t="n">
        <v>180</v>
      </c>
      <c r="B183" s="10" t="inlineStr">
        <is>
          <t xml:space="preserve">        else:</t>
        </is>
      </c>
    </row>
    <row r="184">
      <c r="A184" s="7" t="n">
        <v>181</v>
      </c>
      <c r="B184" s="8" t="inlineStr">
        <is>
          <t xml:space="preserve">            faiss_n = 0</t>
        </is>
      </c>
    </row>
    <row r="185">
      <c r="A185" s="9" t="n">
        <v>182</v>
      </c>
      <c r="B185" s="10" t="inlineStr">
        <is>
          <t xml:space="preserve">            synced = False</t>
        </is>
      </c>
    </row>
    <row r="186">
      <c r="A186" s="7" t="n">
        <v>183</v>
      </c>
      <c r="B186" s="8" t="inlineStr"/>
    </row>
    <row r="187">
      <c r="A187" s="9" t="n">
        <v>184</v>
      </c>
      <c r="B187" s="10" t="inlineStr">
        <is>
          <t xml:space="preserve">        elapsed = time.time() - t0</t>
        </is>
      </c>
    </row>
    <row r="188">
      <c r="A188" s="7" t="n">
        <v>185</v>
      </c>
      <c r="B188" s="8" t="inlineStr">
        <is>
          <t xml:space="preserve">        if synced:</t>
        </is>
      </c>
    </row>
    <row r="189">
      <c r="A189" s="9" t="n">
        <v>186</v>
      </c>
      <c r="B189" s="10" t="inlineStr">
        <is>
          <t xml:space="preserve">            pass_check(r, f"已同步 (DB:{embed_count}, FAISS:{faiss_n}, L2)",</t>
        </is>
      </c>
    </row>
    <row r="190">
      <c r="A190" s="7" t="n">
        <v>187</v>
      </c>
      <c r="B190" s="8" t="inlineStr">
        <is>
          <t xml:space="preserve">                       load_time=elapsed)</t>
        </is>
      </c>
    </row>
    <row r="191">
      <c r="A191" s="9" t="n">
        <v>188</v>
      </c>
      <c r="B191" s="10" t="inlineStr">
        <is>
          <t xml:space="preserve">        else:</t>
        </is>
      </c>
    </row>
    <row r="192">
      <c r="A192" s="7" t="n">
        <v>189</v>
      </c>
      <c r="B192" s="8" t="inlineStr">
        <is>
          <t xml:space="preserve">            fail_check(r, f"不同步 (DB:{embed_count}, FAISS:{faiss_n})",</t>
        </is>
      </c>
    </row>
    <row r="193">
      <c r="A193" s="9" t="n">
        <v>190</v>
      </c>
      <c r="B193" s="10" t="inlineStr">
        <is>
          <t xml:space="preserve">                       f"python force_rebuild_faiss.py")</t>
        </is>
      </c>
    </row>
    <row r="194">
      <c r="A194" s="7" t="n">
        <v>191</v>
      </c>
      <c r="B194" s="8" t="inlineStr">
        <is>
          <t xml:space="preserve">    except ImportError as e:</t>
        </is>
      </c>
    </row>
    <row r="195">
      <c r="A195" s="9" t="n">
        <v>192</v>
      </c>
      <c r="B195" s="10" t="inlineStr">
        <is>
          <t xml:space="preserve">        elapsed = time.time() - t0</t>
        </is>
      </c>
    </row>
    <row r="196">
      <c r="A196" s="7" t="n">
        <v>193</v>
      </c>
      <c r="B196" s="8" t="inlineStr">
        <is>
          <t xml:space="preserve">        fail_check(r, f"缺少依赖: {e}", "pip install faiss-cpu numpy")</t>
        </is>
      </c>
    </row>
    <row r="197">
      <c r="A197" s="9" t="n">
        <v>194</v>
      </c>
      <c r="B197" s="10" t="inlineStr">
        <is>
          <t xml:space="preserve">    except Exception as e:</t>
        </is>
      </c>
    </row>
    <row r="198">
      <c r="A198" s="7" t="n">
        <v>195</v>
      </c>
      <c r="B198" s="8" t="inlineStr">
        <is>
          <t xml:space="preserve">        elapsed = time.time() - t0</t>
        </is>
      </c>
    </row>
    <row r="199">
      <c r="A199" s="9" t="n">
        <v>196</v>
      </c>
      <c r="B199" s="10" t="inlineStr">
        <is>
          <t xml:space="preserve">        fail_check(r, f"验证失败: {str(e)[:120]}",</t>
        </is>
      </c>
    </row>
    <row r="200">
      <c r="A200" s="7" t="n">
        <v>197</v>
      </c>
      <c r="B200" s="8" t="inlineStr">
        <is>
          <t xml:space="preserve">                   "python force_rebuild_faiss.py --force")</t>
        </is>
      </c>
    </row>
    <row r="201">
      <c r="A201" s="9" t="n">
        <v>198</v>
      </c>
      <c r="B201" s="10" t="inlineStr"/>
    </row>
    <row r="202">
      <c r="A202" s="7" t="n">
        <v>199</v>
      </c>
      <c r="B202" s="8" t="inlineStr">
        <is>
          <t xml:space="preserve">    return r</t>
        </is>
      </c>
    </row>
    <row r="203">
      <c r="A203" s="9" t="n">
        <v>200</v>
      </c>
      <c r="B203" s="10" t="inlineStr"/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># ═══════════════════════════════════</t>
        </is>
      </c>
    </row>
    <row r="206">
      <c r="A206" s="7" t="n">
        <v>203</v>
      </c>
      <c r="B206" s="8" t="inlineStr">
        <is>
          <t># 依赖检查</t>
        </is>
      </c>
    </row>
    <row r="207">
      <c r="A207" s="9" t="n">
        <v>204</v>
      </c>
      <c r="B207" s="10" t="inlineStr">
        <is>
          <t># ═══════════════════════════════════</t>
        </is>
      </c>
    </row>
    <row r="208">
      <c r="A208" s="7" t="n">
        <v>205</v>
      </c>
      <c r="B208" s="8" t="inlineStr">
        <is>
          <t>def check_dependencies():</t>
        </is>
      </c>
    </row>
    <row r="209">
      <c r="A209" s="9" t="n">
        <v>206</v>
      </c>
      <c r="B209" s="10" t="inlineStr">
        <is>
          <t xml:space="preserve">    deps = {</t>
        </is>
      </c>
    </row>
    <row r="210">
      <c r="A210" s="7" t="n">
        <v>207</v>
      </c>
      <c r="B210" s="8" t="inlineStr">
        <is>
          <t xml:space="preserve">        "torch": "torch",</t>
        </is>
      </c>
    </row>
    <row r="211">
      <c r="A211" s="9" t="n">
        <v>208</v>
      </c>
      <c r="B211" s="10" t="inlineStr">
        <is>
          <t xml:space="preserve">        "transformers": "transformers",</t>
        </is>
      </c>
    </row>
    <row r="212">
      <c r="A212" s="7" t="n">
        <v>209</v>
      </c>
      <c r="B212" s="8" t="inlineStr">
        <is>
          <t xml:space="preserve">        "PIL": "Pillow",</t>
        </is>
      </c>
    </row>
    <row r="213">
      <c r="A213" s="9" t="n">
        <v>210</v>
      </c>
      <c r="B213" s="10" t="inlineStr">
        <is>
          <t xml:space="preserve">        "faster_whisper": "faster-whisper",</t>
        </is>
      </c>
    </row>
    <row r="214">
      <c r="A214" s="7" t="n">
        <v>211</v>
      </c>
      <c r="B214" s="8" t="inlineStr">
        <is>
          <t xml:space="preserve">        "funasr": "funasr&gt;=1.1.2",</t>
        </is>
      </c>
    </row>
    <row r="215">
      <c r="A215" s="9" t="n">
        <v>212</v>
      </c>
      <c r="B215" s="10" t="inlineStr">
        <is>
          <t xml:space="preserve">        "faiss": "faiss-cpu",</t>
        </is>
      </c>
    </row>
    <row r="216">
      <c r="A216" s="7" t="n">
        <v>213</v>
      </c>
      <c r="B216" s="8" t="inlineStr">
        <is>
          <t xml:space="preserve">        "numpy": "numpy",</t>
        </is>
      </c>
    </row>
    <row r="217">
      <c r="A217" s="9" t="n">
        <v>214</v>
      </c>
      <c r="B217" s="10" t="inlineStr">
        <is>
          <t xml:space="preserve">        "sentence_transformers": "sentence-transformers",</t>
        </is>
      </c>
    </row>
    <row r="218">
      <c r="A218" s="7" t="n">
        <v>215</v>
      </c>
      <c r="B218" s="8" t="inlineStr">
        <is>
          <t xml:space="preserve">        "sqlite3": "(stdlib)",</t>
        </is>
      </c>
    </row>
    <row r="219">
      <c r="A219" s="9" t="n">
        <v>216</v>
      </c>
      <c r="B219" s="10" t="inlineStr">
        <is>
          <t xml:space="preserve">    }</t>
        </is>
      </c>
    </row>
    <row r="220">
      <c r="A220" s="7" t="n">
        <v>217</v>
      </c>
      <c r="B220" s="8" t="inlineStr">
        <is>
          <t xml:space="preserve">    missing = []</t>
        </is>
      </c>
    </row>
    <row r="221">
      <c r="A221" s="9" t="n">
        <v>218</v>
      </c>
      <c r="B221" s="10" t="inlineStr">
        <is>
          <t xml:space="preserve">    for mod, pkg in deps.items():</t>
        </is>
      </c>
    </row>
    <row r="222">
      <c r="A222" s="7" t="n">
        <v>219</v>
      </c>
      <c r="B222" s="8" t="inlineStr">
        <is>
          <t xml:space="preserve">        try:</t>
        </is>
      </c>
    </row>
    <row r="223">
      <c r="A223" s="9" t="n">
        <v>220</v>
      </c>
      <c r="B223" s="10" t="inlineStr">
        <is>
          <t xml:space="preserve">            __import__(mod)</t>
        </is>
      </c>
    </row>
    <row r="224">
      <c r="A224" s="7" t="n">
        <v>221</v>
      </c>
      <c r="B224" s="8" t="inlineStr">
        <is>
          <t xml:space="preserve">        except ImportError:</t>
        </is>
      </c>
    </row>
    <row r="225">
      <c r="A225" s="9" t="n">
        <v>222</v>
      </c>
      <c r="B225" s="10" t="inlineStr">
        <is>
          <t xml:space="preserve">            if pkg != "(stdlib)":</t>
        </is>
      </c>
    </row>
    <row r="226">
      <c r="A226" s="7" t="n">
        <v>223</v>
      </c>
      <c r="B226" s="8" t="inlineStr">
        <is>
          <t xml:space="preserve">                missing.append(pkg)</t>
        </is>
      </c>
    </row>
    <row r="227">
      <c r="A227" s="9" t="n">
        <v>224</v>
      </c>
      <c r="B227" s="10" t="inlineStr"/>
    </row>
    <row r="228">
      <c r="A228" s="7" t="n">
        <v>225</v>
      </c>
      <c r="B228" s="8" t="inlineStr">
        <is>
          <t xml:space="preserve">    if missing:</t>
        </is>
      </c>
    </row>
    <row r="229">
      <c r="A229" s="9" t="n">
        <v>226</v>
      </c>
      <c r="B229" s="10" t="inlineStr">
        <is>
          <t xml:space="preserve">        print("\n  [WARN] 缺少依赖:")</t>
        </is>
      </c>
    </row>
    <row r="230">
      <c r="A230" s="7" t="n">
        <v>227</v>
      </c>
      <c r="B230" s="8" t="inlineStr">
        <is>
          <t xml:space="preserve">        for m in missing:</t>
        </is>
      </c>
    </row>
    <row r="231">
      <c r="A231" s="9" t="n">
        <v>228</v>
      </c>
      <c r="B231" s="10" t="inlineStr">
        <is>
          <t xml:space="preserve">            print(f"    pip install {m}")</t>
        </is>
      </c>
    </row>
    <row r="232">
      <c r="A232" s="7" t="n">
        <v>229</v>
      </c>
      <c r="B232" s="8" t="inlineStr">
        <is>
          <t xml:space="preserve">        print()</t>
        </is>
      </c>
    </row>
    <row r="233">
      <c r="A233" s="9" t="n">
        <v>230</v>
      </c>
      <c r="B233" s="10" t="inlineStr"/>
    </row>
    <row r="234">
      <c r="A234" s="7" t="n">
        <v>231</v>
      </c>
      <c r="B234" s="8" t="inlineStr">
        <is>
          <t xml:space="preserve">    return len(missing) == 0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/>
    </row>
    <row r="237">
      <c r="A237" s="9" t="n">
        <v>234</v>
      </c>
      <c r="B237" s="10" t="inlineStr">
        <is>
          <t># ═══════════════════════════════════</t>
        </is>
      </c>
    </row>
    <row r="238">
      <c r="A238" s="7" t="n">
        <v>235</v>
      </c>
      <c r="B238" s="8" t="inlineStr">
        <is>
          <t># MAIN</t>
        </is>
      </c>
    </row>
    <row r="239">
      <c r="A239" s="9" t="n">
        <v>236</v>
      </c>
      <c r="B239" s="10" t="inlineStr">
        <is>
          <t># ═══════════════════════════════════</t>
        </is>
      </c>
    </row>
    <row r="240">
      <c r="A240" s="7" t="n">
        <v>237</v>
      </c>
      <c r="B240" s="8" t="inlineStr">
        <is>
          <t>def main():</t>
        </is>
      </c>
    </row>
    <row r="241">
      <c r="A241" s="9" t="n">
        <v>238</v>
      </c>
      <c r="B241" s="10" t="inlineStr">
        <is>
          <t xml:space="preserve">    print("=" * 60)</t>
        </is>
      </c>
    </row>
    <row r="242">
      <c r="A242" s="7" t="n">
        <v>239</v>
      </c>
      <c r="B242" s="8" t="inlineStr">
        <is>
          <t xml:space="preserve">    print("  树剪 TreeCut v11.0 — 强制模型验证")</t>
        </is>
      </c>
    </row>
    <row r="243">
      <c r="A243" s="9" t="n">
        <v>240</v>
      </c>
      <c r="B243" s="10" t="inlineStr">
        <is>
          <t xml:space="preserve">    print("=" * 60)</t>
        </is>
      </c>
    </row>
    <row r="244">
      <c r="A244" s="7" t="n">
        <v>241</v>
      </c>
      <c r="B244" s="8" t="inlineStr"/>
    </row>
    <row r="245">
      <c r="A245" s="9" t="n">
        <v>242</v>
      </c>
      <c r="B245" s="10" t="inlineStr">
        <is>
          <t xml:space="preserve">    # 依赖检查</t>
        </is>
      </c>
    </row>
    <row r="246">
      <c r="A246" s="7" t="n">
        <v>243</v>
      </c>
      <c r="B246" s="8" t="inlineStr">
        <is>
          <t xml:space="preserve">    print("\n[0] 依赖检查")</t>
        </is>
      </c>
    </row>
    <row r="247">
      <c r="A247" s="9" t="n">
        <v>244</v>
      </c>
      <c r="B247" s="10" t="inlineStr">
        <is>
          <t xml:space="preserve">    check_dependencies()</t>
        </is>
      </c>
    </row>
    <row r="248">
      <c r="A248" s="7" t="n">
        <v>245</v>
      </c>
      <c r="B248" s="8" t="inlineStr"/>
    </row>
    <row r="249">
      <c r="A249" s="9" t="n">
        <v>246</v>
      </c>
      <c r="B249" s="10" t="inlineStr">
        <is>
          <t xml:space="preserve">    # 模型验证</t>
        </is>
      </c>
    </row>
    <row r="250">
      <c r="A250" s="7" t="n">
        <v>247</v>
      </c>
      <c r="B250" s="8" t="inlineStr">
        <is>
          <t xml:space="preserve">    print("\n[1/4] Qwen3-VL-4B (视觉)...")</t>
        </is>
      </c>
    </row>
    <row r="251">
      <c r="A251" s="9" t="n">
        <v>248</v>
      </c>
      <c r="B251" s="10" t="inlineStr">
        <is>
          <t xml:space="preserve">    RESULTS.append(verify_qwen3())</t>
        </is>
      </c>
    </row>
    <row r="252">
      <c r="A252" s="7" t="n">
        <v>249</v>
      </c>
      <c r="B252" s="8" t="inlineStr"/>
    </row>
    <row r="253">
      <c r="A253" s="9" t="n">
        <v>250</v>
      </c>
      <c r="B253" s="10" t="inlineStr">
        <is>
          <t xml:space="preserve">    print("\n[2/4] SenseVoice (情绪+事件)...")</t>
        </is>
      </c>
    </row>
    <row r="254">
      <c r="A254" s="7" t="n">
        <v>251</v>
      </c>
      <c r="B254" s="8" t="inlineStr">
        <is>
          <t xml:space="preserve">    RESULTS.append(verify_sensevoice())</t>
        </is>
      </c>
    </row>
    <row r="255">
      <c r="A255" s="9" t="n">
        <v>252</v>
      </c>
      <c r="B255" s="10" t="inlineStr"/>
    </row>
    <row r="256">
      <c r="A256" s="7" t="n">
        <v>253</v>
      </c>
      <c r="B256" s="8" t="inlineStr">
        <is>
          <t xml:space="preserve">    print("\n[3/4] Whisper large-v3 (语音转写)...")</t>
        </is>
      </c>
    </row>
    <row r="257">
      <c r="A257" s="9" t="n">
        <v>254</v>
      </c>
      <c r="B257" s="10" t="inlineStr">
        <is>
          <t xml:space="preserve">    RESULTS.append(verify_whisper())</t>
        </is>
      </c>
    </row>
    <row r="258">
      <c r="A258" s="7" t="n">
        <v>255</v>
      </c>
      <c r="B258" s="8" t="inlineStr"/>
    </row>
    <row r="259">
      <c r="A259" s="9" t="n">
        <v>256</v>
      </c>
      <c r="B259" s="10" t="inlineStr">
        <is>
          <t xml:space="preserve">    print("\n[4/4] FAISS + BGE-M3 (向量检索)...")</t>
        </is>
      </c>
    </row>
    <row r="260">
      <c r="A260" s="7" t="n">
        <v>257</v>
      </c>
      <c r="B260" s="8" t="inlineStr">
        <is>
          <t xml:space="preserve">    RESULTS.append(verify_faiss())</t>
        </is>
      </c>
    </row>
    <row r="261">
      <c r="A261" s="9" t="n">
        <v>258</v>
      </c>
      <c r="B261" s="10" t="inlineStr"/>
    </row>
    <row r="262">
      <c r="A262" s="7" t="n">
        <v>259</v>
      </c>
      <c r="B262" s="8" t="inlineStr">
        <is>
          <t xml:space="preserve">    # 输出表格</t>
        </is>
      </c>
    </row>
    <row r="263">
      <c r="A263" s="9" t="n">
        <v>260</v>
      </c>
      <c r="B263" s="10" t="inlineStr">
        <is>
          <t xml:space="preserve">    print("\n" + "=" * 80)</t>
        </is>
      </c>
    </row>
    <row r="264">
      <c r="A264" s="7" t="n">
        <v>261</v>
      </c>
      <c r="B264" s="8" t="inlineStr">
        <is>
          <t xml:space="preserve">    print("  验证报告")</t>
        </is>
      </c>
    </row>
    <row r="265">
      <c r="A265" s="9" t="n">
        <v>262</v>
      </c>
      <c r="B265" s="10" t="inlineStr">
        <is>
          <t xml:space="preserve">    print("=" * 80)</t>
        </is>
      </c>
    </row>
    <row r="266">
      <c r="A266" s="7" t="n">
        <v>263</v>
      </c>
      <c r="B266" s="8" t="inlineStr">
        <is>
          <t xml:space="preserve">    print(f"  {'模型':&lt;22s} {'类别':&lt;14s} {'状态':&lt;8s} {'详情'}")</t>
        </is>
      </c>
    </row>
    <row r="267">
      <c r="A267" s="9" t="n">
        <v>264</v>
      </c>
      <c r="B267" s="10" t="inlineStr">
        <is>
          <t xml:space="preserve">    print(f"  {'-'*22} {'-'*14} {'-'*8} {'-'*40}")</t>
        </is>
      </c>
    </row>
    <row r="268">
      <c r="A268" s="7" t="n">
        <v>265</v>
      </c>
      <c r="B268" s="8" t="inlineStr"/>
    </row>
    <row r="269">
      <c r="A269" s="9" t="n">
        <v>266</v>
      </c>
      <c r="B269" s="10" t="inlineStr">
        <is>
          <t xml:space="preserve">    all_pass = True</t>
        </is>
      </c>
    </row>
    <row r="270">
      <c r="A270" s="7" t="n">
        <v>267</v>
      </c>
      <c r="B270" s="8" t="inlineStr">
        <is>
          <t xml:space="preserve">    for r in RESULTS:</t>
        </is>
      </c>
    </row>
    <row r="271">
      <c r="A271" s="9" t="n">
        <v>268</v>
      </c>
      <c r="B271" s="10" t="inlineStr">
        <is>
          <t xml:space="preserve">        icon = "[OK]" if r["status"] == "PASS" else "[FAIL]"</t>
        </is>
      </c>
    </row>
    <row r="272">
      <c r="A272" s="7" t="n">
        <v>269</v>
      </c>
      <c r="B272" s="8" t="inlineStr">
        <is>
          <t xml:space="preserve">        print(f"  {icon} {r['name']:&lt;19s} {r['category']:&lt;14s} {r['status']:&lt;8s} {r['details'][:50]}")</t>
        </is>
      </c>
    </row>
    <row r="273">
      <c r="A273" s="9" t="n">
        <v>270</v>
      </c>
      <c r="B273" s="10" t="inlineStr">
        <is>
          <t xml:space="preserve">        if r["status"] == "FAIL":</t>
        </is>
      </c>
    </row>
    <row r="274">
      <c r="A274" s="7" t="n">
        <v>271</v>
      </c>
      <c r="B274" s="8" t="inlineStr">
        <is>
          <t xml:space="preserve">            all_pass = False</t>
        </is>
      </c>
    </row>
    <row r="275">
      <c r="A275" s="9" t="n">
        <v>272</v>
      </c>
      <c r="B275" s="10" t="inlineStr"/>
    </row>
    <row r="276">
      <c r="A276" s="7" t="n">
        <v>273</v>
      </c>
      <c r="B276" s="8" t="inlineStr">
        <is>
          <t xml:space="preserve">    print("=" * 80)</t>
        </is>
      </c>
    </row>
    <row r="277">
      <c r="A277" s="9" t="n">
        <v>274</v>
      </c>
      <c r="B277" s="10" t="inlineStr"/>
    </row>
    <row r="278">
      <c r="A278" s="7" t="n">
        <v>275</v>
      </c>
      <c r="B278" s="8" t="inlineStr">
        <is>
          <t xml:space="preserve">    # 输出修复建议</t>
        </is>
      </c>
    </row>
    <row r="279">
      <c r="A279" s="9" t="n">
        <v>276</v>
      </c>
      <c r="B279" s="10" t="inlineStr">
        <is>
          <t xml:space="preserve">    failed = [r for r in RESULTS if r["status"] == "FAIL"]</t>
        </is>
      </c>
    </row>
    <row r="280">
      <c r="A280" s="7" t="n">
        <v>277</v>
      </c>
      <c r="B280" s="8" t="inlineStr">
        <is>
          <t xml:space="preserve">    if failed:</t>
        </is>
      </c>
    </row>
    <row r="281">
      <c r="A281" s="9" t="n">
        <v>278</v>
      </c>
      <c r="B281" s="10" t="inlineStr">
        <is>
          <t xml:space="preserve">        print(f"\n  [FAIL] {len(failed)} 个模型未通过验证:\n")</t>
        </is>
      </c>
    </row>
    <row r="282">
      <c r="A282" s="7" t="n">
        <v>279</v>
      </c>
      <c r="B282" s="8" t="inlineStr">
        <is>
          <t xml:space="preserve">        for r in failed:</t>
        </is>
      </c>
    </row>
    <row r="283">
      <c r="A283" s="9" t="n">
        <v>280</v>
      </c>
      <c r="B283" s="10" t="inlineStr">
        <is>
          <t xml:space="preserve">            print(f"  [{r['name']}]")</t>
        </is>
      </c>
    </row>
    <row r="284">
      <c r="A284" s="7" t="n">
        <v>281</v>
      </c>
      <c r="B284" s="8" t="inlineStr">
        <is>
          <t xml:space="preserve">            print(f"    错误: {r['details']}")</t>
        </is>
      </c>
    </row>
    <row r="285">
      <c r="A285" s="9" t="n">
        <v>282</v>
      </c>
      <c r="B285" s="10" t="inlineStr">
        <is>
          <t xml:space="preserve">            if r["fix"]:</t>
        </is>
      </c>
    </row>
    <row r="286">
      <c r="A286" s="7" t="n">
        <v>283</v>
      </c>
      <c r="B286" s="8" t="inlineStr">
        <is>
          <t xml:space="preserve">                print(f"    修复: {r['fix']}")</t>
        </is>
      </c>
    </row>
    <row r="287">
      <c r="A287" s="9" t="n">
        <v>284</v>
      </c>
      <c r="B287" s="10" t="inlineStr">
        <is>
          <t xml:space="preserve">            print()</t>
        </is>
      </c>
    </row>
    <row r="288">
      <c r="A288" s="7" t="n">
        <v>285</v>
      </c>
      <c r="B288" s="8" t="inlineStr"/>
    </row>
    <row r="289">
      <c r="A289" s="9" t="n">
        <v>286</v>
      </c>
      <c r="B289" s="10" t="inlineStr">
        <is>
          <t xml:space="preserve">    if all_pass:</t>
        </is>
      </c>
    </row>
    <row r="290">
      <c r="A290" s="7" t="n">
        <v>287</v>
      </c>
      <c r="B290" s="8" t="inlineStr">
        <is>
          <t xml:space="preserve">        print(f"\n  [OK] 全部 {len(RESULTS)} 个模型验证通过!")</t>
        </is>
      </c>
    </row>
    <row r="291">
      <c r="A291" s="9" t="n">
        <v>288</v>
      </c>
      <c r="B291" s="10" t="inlineStr">
        <is>
          <t xml:space="preserve">        # 写入验证通过文件</t>
        </is>
      </c>
    </row>
    <row r="292">
      <c r="A292" s="7" t="n">
        <v>289</v>
      </c>
      <c r="B292" s="8" t="inlineStr">
        <is>
          <t xml:space="preserve">        pass_file = os.path.join(PROJECT_ROOT, "MODEL_VALIDATION_PASSED.txt")</t>
        </is>
      </c>
    </row>
    <row r="293">
      <c r="A293" s="9" t="n">
        <v>290</v>
      </c>
      <c r="B293" s="10" t="inlineStr">
        <is>
          <t xml:space="preserve">        with open(pass_file, "w", encoding="utf-8") as f:</t>
        </is>
      </c>
    </row>
    <row r="294">
      <c r="A294" s="7" t="n">
        <v>291</v>
      </c>
      <c r="B294" s="8" t="inlineStr">
        <is>
          <t xml:space="preserve">            f.write(f"树剪 TreeCut v11.0 模型验证通过\n")</t>
        </is>
      </c>
    </row>
    <row r="295">
      <c r="A295" s="9" t="n">
        <v>292</v>
      </c>
      <c r="B295" s="10" t="inlineStr">
        <is>
          <t xml:space="preserve">            f.write(f"验证时间: {time.strftime('%Y-%m-%d %H:%M:%S')}\n")</t>
        </is>
      </c>
    </row>
    <row r="296">
      <c r="A296" s="7" t="n">
        <v>293</v>
      </c>
      <c r="B296" s="8" t="inlineStr">
        <is>
          <t xml:space="preserve">            f.write(f"验证结果: {len(RESULTS)}/{len(RESULTS)} 通过\n\n")</t>
        </is>
      </c>
    </row>
    <row r="297">
      <c r="A297" s="9" t="n">
        <v>294</v>
      </c>
      <c r="B297" s="10" t="inlineStr">
        <is>
          <t xml:space="preserve">            for r in RESULTS:</t>
        </is>
      </c>
    </row>
    <row r="298">
      <c r="A298" s="7" t="n">
        <v>295</v>
      </c>
      <c r="B298" s="8" t="inlineStr">
        <is>
          <t xml:space="preserve">                f.write(f"[{r['status']}] {r['name']}: {r['details']}\n")</t>
        </is>
      </c>
    </row>
    <row r="299">
      <c r="A299" s="9" t="n">
        <v>296</v>
      </c>
      <c r="B299" s="10" t="inlineStr">
        <is>
          <t xml:space="preserve">            f.write(f"\n学习闭环: 模型结果记录到 usage_records → SelfLearningEngine 分析 → 调整权重\n")</t>
        </is>
      </c>
    </row>
    <row r="300">
      <c r="A300" s="7" t="n">
        <v>297</v>
      </c>
      <c r="B300" s="8" t="inlineStr">
        <is>
          <t xml:space="preserve">        print(f"  验证文件: {pass_file}")</t>
        </is>
      </c>
    </row>
    <row r="301">
      <c r="A301" s="9" t="n">
        <v>298</v>
      </c>
      <c r="B301" s="10" t="inlineStr"/>
    </row>
    <row r="302">
      <c r="A302" s="7" t="n">
        <v>299</v>
      </c>
      <c r="B302" s="8" t="inlineStr">
        <is>
          <t xml:space="preserve">    return 0 if all_pass else 1</t>
        </is>
      </c>
    </row>
    <row r="303">
      <c r="A303" s="9" t="n">
        <v>300</v>
      </c>
      <c r="B303" s="10" t="inlineStr"/>
    </row>
    <row r="304">
      <c r="A304" s="7" t="n">
        <v>301</v>
      </c>
      <c r="B304" s="8" t="inlineStr"/>
    </row>
    <row r="305">
      <c r="A305" s="9" t="n">
        <v>302</v>
      </c>
      <c r="B305" s="10" t="inlineStr">
        <is>
          <t>if __name__ == "__main__":</t>
        </is>
      </c>
    </row>
    <row r="306">
      <c r="A306" s="7" t="n">
        <v>303</v>
      </c>
      <c r="B306" s="8" t="inlineStr">
        <is>
          <t xml:space="preserve">    json_mode = "--json" in sys.argv</t>
        </is>
      </c>
    </row>
    <row r="307">
      <c r="A307" s="9" t="n">
        <v>304</v>
      </c>
      <c r="B307" s="10" t="inlineStr">
        <is>
          <t xml:space="preserve">    if json_mode:</t>
        </is>
      </c>
    </row>
    <row r="308">
      <c r="A308" s="7" t="n">
        <v>305</v>
      </c>
      <c r="B308" s="8" t="inlineStr">
        <is>
          <t xml:space="preserve">        # 静默执行</t>
        </is>
      </c>
    </row>
    <row r="309">
      <c r="A309" s="9" t="n">
        <v>306</v>
      </c>
      <c r="B309" s="10" t="inlineStr">
        <is>
          <t xml:space="preserve">        RESULTS.append(verify_qwen3())</t>
        </is>
      </c>
    </row>
    <row r="310">
      <c r="A310" s="7" t="n">
        <v>307</v>
      </c>
      <c r="B310" s="8" t="inlineStr">
        <is>
          <t xml:space="preserve">        RESULTS.append(verify_sensevoice())</t>
        </is>
      </c>
    </row>
    <row r="311">
      <c r="A311" s="9" t="n">
        <v>308</v>
      </c>
      <c r="B311" s="10" t="inlineStr">
        <is>
          <t xml:space="preserve">        RESULTS.append(verify_whisper())</t>
        </is>
      </c>
    </row>
    <row r="312">
      <c r="A312" s="7" t="n">
        <v>309</v>
      </c>
      <c r="B312" s="8" t="inlineStr">
        <is>
          <t xml:space="preserve">        RESULTS.append(verify_faiss())</t>
        </is>
      </c>
    </row>
    <row r="313">
      <c r="A313" s="9" t="n">
        <v>310</v>
      </c>
      <c r="B313" s="10" t="inlineStr">
        <is>
          <t xml:space="preserve">        print(json.dumps(RESULTS, ensure_ascii=False, indent=2))</t>
        </is>
      </c>
    </row>
    <row r="314">
      <c r="A314" s="7" t="n">
        <v>311</v>
      </c>
      <c r="B314" s="8" t="inlineStr">
        <is>
          <t xml:space="preserve">    else:</t>
        </is>
      </c>
    </row>
    <row r="315">
      <c r="A315" s="9" t="n">
        <v>312</v>
      </c>
      <c r="B315" s="10" t="inlineStr">
        <is>
          <t xml:space="preserve">        sys.exit(main())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树剪.py</t>
        </is>
      </c>
      <c r="C1" s="5" t="inlineStr">
        <is>
          <t>行数: 338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樹剪 TreeCut v12.0 — 島台品牌 AI 視頻半自動剪輯工具（閉環自學習架構）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用法:</t>
        </is>
      </c>
    </row>
    <row r="9">
      <c r="A9" s="9" t="n">
        <v>6</v>
      </c>
      <c r="B9" s="10" t="inlineStr">
        <is>
          <t xml:space="preserve">  python 树剪.py                        # 启动桌面应用</t>
        </is>
      </c>
    </row>
    <row r="10">
      <c r="A10" s="7" t="n">
        <v>7</v>
      </c>
      <c r="B10" s="8" t="inlineStr">
        <is>
          <t xml:space="preserve">  python 树剪.py --web                  # 启动 Web 控制台</t>
        </is>
      </c>
    </row>
    <row r="11">
      <c r="A11" s="9" t="n">
        <v>8</v>
      </c>
      <c r="B11" s="10" t="inlineStr">
        <is>
          <t xml:space="preserve">  python 树剪.py --cli 内嵌烤箱         # 命令行生成</t>
        </is>
      </c>
    </row>
    <row r="12">
      <c r="A12" s="7" t="n">
        <v>9</v>
      </c>
      <c r="B12" s="8" t="inlineStr">
        <is>
          <t xml:space="preserve">  python 树剪.py --setup                # 配置向导</t>
        </is>
      </c>
    </row>
    <row r="13">
      <c r="A13" s="9" t="n">
        <v>10</v>
      </c>
      <c r="B13" s="10" t="inlineStr">
        <is>
          <t xml:space="preserve">  python 树剪.py --status               # 系统状态</t>
        </is>
      </c>
    </row>
    <row r="14">
      <c r="A14" s="7" t="n">
        <v>11</v>
      </c>
      <c r="B14" s="8" t="inlineStr">
        <is>
          <t>"""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import sys, os, argparse, traceback, time, io</t>
        </is>
      </c>
    </row>
    <row r="17">
      <c r="A17" s="9" t="n">
        <v>14</v>
      </c>
      <c r="B17" s="10" t="inlineStr">
        <is>
          <t>from pathlib import Path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PROJECT_ROOT = Path(__file__).parent</t>
        </is>
      </c>
    </row>
    <row r="20">
      <c r="A20" s="7" t="n">
        <v>17</v>
      </c>
      <c r="B20" s="8" t="inlineStr">
        <is>
          <t>sys.path.insert(0, str(PROJECT_ROOT))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># ── Windows GBK 编码修复 (必须在所有 print 之前) ──</t>
        </is>
      </c>
    </row>
    <row r="23">
      <c r="A23" s="9" t="n">
        <v>20</v>
      </c>
      <c r="B23" s="10" t="inlineStr">
        <is>
          <t>if sys.platform == "win32":</t>
        </is>
      </c>
    </row>
    <row r="24">
      <c r="A24" s="7" t="n">
        <v>21</v>
      </c>
      <c r="B24" s="8" t="inlineStr">
        <is>
          <t xml:space="preserve">    try:</t>
        </is>
      </c>
    </row>
    <row r="25">
      <c r="A25" s="9" t="n">
        <v>22</v>
      </c>
      <c r="B25" s="10" t="inlineStr">
        <is>
          <t xml:space="preserve">        sys.stdout.reconfigure(encoding='utf-8', errors='replace')</t>
        </is>
      </c>
    </row>
    <row r="26">
      <c r="A26" s="7" t="n">
        <v>23</v>
      </c>
      <c r="B26" s="8" t="inlineStr">
        <is>
          <t xml:space="preserve">        sys.stderr.reconfigure(encoding='utf-8', errors='replace')</t>
        </is>
      </c>
    </row>
    <row r="27">
      <c r="A27" s="9" t="n">
        <v>24</v>
      </c>
      <c r="B27" s="10" t="inlineStr">
        <is>
          <t xml:space="preserve">    except AttributeError:</t>
        </is>
      </c>
    </row>
    <row r="28">
      <c r="A28" s="7" t="n">
        <v>25</v>
      </c>
      <c r="B28" s="8" t="inlineStr">
        <is>
          <t xml:space="preserve">        try:</t>
        </is>
      </c>
    </row>
    <row r="29">
      <c r="A29" s="9" t="n">
        <v>26</v>
      </c>
      <c r="B29" s="10" t="inlineStr">
        <is>
          <t xml:space="preserve">            sys.stdout = io.TextIOWrapper(sys.stdout.buffer, encoding='utf-8', errors='replace')</t>
        </is>
      </c>
    </row>
    <row r="30">
      <c r="A30" s="7" t="n">
        <v>27</v>
      </c>
      <c r="B30" s="8" t="inlineStr">
        <is>
          <t xml:space="preserve">            sys.stderr = io.TextIOWrapper(sys.stderr.buffer, encoding='utf-8', errors='replace')</t>
        </is>
      </c>
    </row>
    <row r="31">
      <c r="A31" s="9" t="n">
        <v>28</v>
      </c>
      <c r="B31" s="10" t="inlineStr">
        <is>
          <t xml:space="preserve">        except Exception:</t>
        </is>
      </c>
    </row>
    <row r="32">
      <c r="A32" s="7" t="n">
        <v>29</v>
      </c>
      <c r="B32" s="8" t="inlineStr">
        <is>
          <t xml:space="preserve">            pass</t>
        </is>
      </c>
    </row>
    <row r="33">
      <c r="A33" s="9" t="n">
        <v>30</v>
      </c>
      <c r="B33" s="10" t="inlineStr">
        <is>
          <t xml:space="preserve">    except Exception:</t>
        </is>
      </c>
    </row>
    <row r="34">
      <c r="A34" s="7" t="n">
        <v>31</v>
      </c>
      <c r="B34" s="8" t="inlineStr">
        <is>
          <t xml:space="preserve">        pass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>
        <is>
          <t># ── v12.0: 統一初始化 EventBus + Logging + RetryScheduler ──</t>
        </is>
      </c>
    </row>
    <row r="37">
      <c r="A37" s="9" t="n">
        <v>34</v>
      </c>
      <c r="B37" s="10" t="inlineStr">
        <is>
          <t>def _init_v12_systems():</t>
        </is>
      </c>
    </row>
    <row r="38">
      <c r="A38" s="7" t="n">
        <v>35</v>
      </c>
      <c r="B38" s="8" t="inlineStr">
        <is>
          <t xml:space="preserve">    """v12.0 初始化閉環架構核心組件"""</t>
        </is>
      </c>
    </row>
    <row r="39">
      <c r="A39" s="9" t="n">
        <v>36</v>
      </c>
      <c r="B39" s="10" t="inlineStr">
        <is>
          <t xml:space="preserve">    try:</t>
        </is>
      </c>
    </row>
    <row r="40">
      <c r="A40" s="7" t="n">
        <v>37</v>
      </c>
      <c r="B40" s="8" t="inlineStr">
        <is>
          <t xml:space="preserve">        from utils.logging import setup_eventbus, get_logger</t>
        </is>
      </c>
    </row>
    <row r="41">
      <c r="A41" s="9" t="n">
        <v>38</v>
      </c>
      <c r="B41" s="10" t="inlineStr">
        <is>
          <t xml:space="preserve">        setup_eventbus()</t>
        </is>
      </c>
    </row>
    <row r="42">
      <c r="A42" s="7" t="n">
        <v>39</v>
      </c>
      <c r="B42" s="8" t="inlineStr">
        <is>
          <t xml:space="preserve">        _log = get_logger("Bootstrap")</t>
        </is>
      </c>
    </row>
    <row r="43">
      <c r="A43" s="9" t="n">
        <v>40</v>
      </c>
      <c r="B43" s="10" t="inlineStr">
        <is>
          <t xml:space="preserve">        _log.info("TreeCut v12.0 初始化中...")</t>
        </is>
      </c>
    </row>
    <row r="44">
      <c r="A44" s="7" t="n">
        <v>41</v>
      </c>
      <c r="B44" s="8" t="inlineStr">
        <is>
          <t xml:space="preserve">    except Exception:</t>
        </is>
      </c>
    </row>
    <row r="45">
      <c r="A45" s="9" t="n">
        <v>42</v>
      </c>
      <c r="B45" s="10" t="inlineStr">
        <is>
          <t xml:space="preserve">        pass</t>
        </is>
      </c>
    </row>
    <row r="46">
      <c r="A46" s="7" t="n">
        <v>43</v>
      </c>
      <c r="B46" s="8" t="inlineStr">
        <is>
          <t xml:space="preserve">    try:</t>
        </is>
      </c>
    </row>
    <row r="47">
      <c r="A47" s="9" t="n">
        <v>44</v>
      </c>
      <c r="B47" s="10" t="inlineStr">
        <is>
          <t xml:space="preserve">        from core.event_bus import get_bus</t>
        </is>
      </c>
    </row>
    <row r="48">
      <c r="A48" s="7" t="n">
        <v>45</v>
      </c>
      <c r="B48" s="8" t="inlineStr">
        <is>
          <t xml:space="preserve">        get_bus()  # 預加載EventBus單例</t>
        </is>
      </c>
    </row>
    <row r="49">
      <c r="A49" s="9" t="n">
        <v>46</v>
      </c>
      <c r="B49" s="10" t="inlineStr">
        <is>
          <t xml:space="preserve">    except Exception:</t>
        </is>
      </c>
    </row>
    <row r="50">
      <c r="A50" s="7" t="n">
        <v>47</v>
      </c>
      <c r="B50" s="8" t="inlineStr">
        <is>
          <t xml:space="preserve">        pass</t>
        </is>
      </c>
    </row>
    <row r="51">
      <c r="A51" s="9" t="n">
        <v>48</v>
      </c>
      <c r="B51" s="10" t="inlineStr">
        <is>
          <t xml:space="preserve">    try:</t>
        </is>
      </c>
    </row>
    <row r="52">
      <c r="A52" s="7" t="n">
        <v>49</v>
      </c>
      <c r="B52" s="8" t="inlineStr">
        <is>
          <t xml:space="preserve">        from core.retry_scheduler import get_retry_scheduler</t>
        </is>
      </c>
    </row>
    <row r="53">
      <c r="A53" s="9" t="n">
        <v>50</v>
      </c>
      <c r="B53" s="10" t="inlineStr">
        <is>
          <t xml:space="preserve">        get_retry_scheduler()  # 預加載重試調度器</t>
        </is>
      </c>
    </row>
    <row r="54">
      <c r="A54" s="7" t="n">
        <v>51</v>
      </c>
      <c r="B54" s="8" t="inlineStr">
        <is>
          <t xml:space="preserve">    except Exception:</t>
        </is>
      </c>
    </row>
    <row r="55">
      <c r="A55" s="9" t="n">
        <v>52</v>
      </c>
      <c r="B55" s="10" t="inlineStr">
        <is>
          <t xml:space="preserve">        pass</t>
        </is>
      </c>
    </row>
    <row r="56">
      <c r="A56" s="7" t="n">
        <v>53</v>
      </c>
      <c r="B56" s="8" t="inlineStr">
        <is>
          <t xml:space="preserve">    try:</t>
        </is>
      </c>
    </row>
    <row r="57">
      <c r="A57" s="9" t="n">
        <v>54</v>
      </c>
      <c r="B57" s="10" t="inlineStr">
        <is>
          <t xml:space="preserve">        from core.review_queue import get_review_queue</t>
        </is>
      </c>
    </row>
    <row r="58">
      <c r="A58" s="7" t="n">
        <v>55</v>
      </c>
      <c r="B58" s="8" t="inlineStr">
        <is>
          <t xml:space="preserve">        get_review_queue()  # 預加載審核隊列</t>
        </is>
      </c>
    </row>
    <row r="59">
      <c r="A59" s="9" t="n">
        <v>56</v>
      </c>
      <c r="B59" s="10" t="inlineStr">
        <is>
          <t xml:space="preserve">    except Exception:</t>
        </is>
      </c>
    </row>
    <row r="60">
      <c r="A60" s="7" t="n">
        <v>57</v>
      </c>
      <c r="B60" s="8" t="inlineStr">
        <is>
          <t xml:space="preserve">        pass</t>
        </is>
      </c>
    </row>
    <row r="61">
      <c r="A61" s="9" t="n">
        <v>58</v>
      </c>
      <c r="B61" s="10" t="inlineStr">
        <is>
          <t xml:space="preserve">    try:</t>
        </is>
      </c>
    </row>
    <row r="62">
      <c r="A62" s="7" t="n">
        <v>59</v>
      </c>
      <c r="B62" s="8" t="inlineStr">
        <is>
          <t xml:space="preserve">        from core.smart_orchestrator import get_orchestrator</t>
        </is>
      </c>
    </row>
    <row r="63">
      <c r="A63" s="9" t="n">
        <v>60</v>
      </c>
      <c r="B63" s="10" t="inlineStr">
        <is>
          <t xml:space="preserve">        get_orchestrator()  # ★ 預加載智能調度解析中心</t>
        </is>
      </c>
    </row>
    <row r="64">
      <c r="A64" s="7" t="n">
        <v>61</v>
      </c>
      <c r="B64" s="8" t="inlineStr">
        <is>
          <t xml:space="preserve">    except Exception:</t>
        </is>
      </c>
    </row>
    <row r="65">
      <c r="A65" s="9" t="n">
        <v>62</v>
      </c>
      <c r="B65" s="10" t="inlineStr">
        <is>
          <t xml:space="preserve">        pass</t>
        </is>
      </c>
    </row>
    <row r="66">
      <c r="A66" s="7" t="n">
        <v>63</v>
      </c>
      <c r="B66" s="8" t="inlineStr">
        <is>
          <t xml:space="preserve">    try:</t>
        </is>
      </c>
    </row>
    <row r="67">
      <c r="A67" s="9" t="n">
        <v>64</v>
      </c>
      <c r="B67" s="10" t="inlineStr">
        <is>
          <t xml:space="preserve">        from core.quality_center import get_quality_center</t>
        </is>
      </c>
    </row>
    <row r="68">
      <c r="A68" s="7" t="n">
        <v>65</v>
      </c>
      <c r="B68" s="8" t="inlineStr">
        <is>
          <t xml:space="preserve">        get_quality_center()  # ★ 預加載質檢中心</t>
        </is>
      </c>
    </row>
    <row r="69">
      <c r="A69" s="9" t="n">
        <v>66</v>
      </c>
      <c r="B69" s="10" t="inlineStr">
        <is>
          <t xml:space="preserve">    except Exception:</t>
        </is>
      </c>
    </row>
    <row r="70">
      <c r="A70" s="7" t="n">
        <v>67</v>
      </c>
      <c r="B70" s="8" t="inlineStr">
        <is>
          <t xml:space="preserve">        pass</t>
        </is>
      </c>
    </row>
    <row r="71">
      <c r="A71" s="9" t="n">
        <v>68</v>
      </c>
      <c r="B71" s="10" t="inlineStr">
        <is>
          <t xml:space="preserve">    # ★ v12.2: 新架構模塊預加載</t>
        </is>
      </c>
    </row>
    <row r="72">
      <c r="A72" s="7" t="n">
        <v>69</v>
      </c>
      <c r="B72" s="8" t="inlineStr">
        <is>
          <t xml:space="preserve">    try:</t>
        </is>
      </c>
    </row>
    <row r="73">
      <c r="A73" s="9" t="n">
        <v>70</v>
      </c>
      <c r="B73" s="10" t="inlineStr">
        <is>
          <t xml:space="preserve">        from core.auth_middleware import get_auth</t>
        </is>
      </c>
    </row>
    <row r="74">
      <c r="A74" s="7" t="n">
        <v>71</v>
      </c>
      <c r="B74" s="8" t="inlineStr">
        <is>
          <t xml:space="preserve">        get_auth()</t>
        </is>
      </c>
    </row>
    <row r="75">
      <c r="A75" s="9" t="n">
        <v>72</v>
      </c>
      <c r="B75" s="10" t="inlineStr">
        <is>
          <t xml:space="preserve">    except Exception:</t>
        </is>
      </c>
    </row>
    <row r="76">
      <c r="A76" s="7" t="n">
        <v>73</v>
      </c>
      <c r="B76" s="8" t="inlineStr">
        <is>
          <t xml:space="preserve">        pass</t>
        </is>
      </c>
    </row>
    <row r="77">
      <c r="A77" s="9" t="n">
        <v>74</v>
      </c>
      <c r="B77" s="10" t="inlineStr">
        <is>
          <t xml:space="preserve">    try:</t>
        </is>
      </c>
    </row>
    <row r="78">
      <c r="A78" s="7" t="n">
        <v>75</v>
      </c>
      <c r="B78" s="8" t="inlineStr">
        <is>
          <t xml:space="preserve">        from core.monitor import get_metrics, get_alert_manager</t>
        </is>
      </c>
    </row>
    <row r="79">
      <c r="A79" s="9" t="n">
        <v>76</v>
      </c>
      <c r="B79" s="10" t="inlineStr">
        <is>
          <t xml:space="preserve">        get_metrics(); get_alert_manager()</t>
        </is>
      </c>
    </row>
    <row r="80">
      <c r="A80" s="7" t="n">
        <v>77</v>
      </c>
      <c r="B80" s="8" t="inlineStr">
        <is>
          <t xml:space="preserve">    except Exception:</t>
        </is>
      </c>
    </row>
    <row r="81">
      <c r="A81" s="9" t="n">
        <v>78</v>
      </c>
      <c r="B81" s="10" t="inlineStr">
        <is>
          <t xml:space="preserve">        pass</t>
        </is>
      </c>
    </row>
    <row r="82">
      <c r="A82" s="7" t="n">
        <v>79</v>
      </c>
      <c r="B82" s="8" t="inlineStr">
        <is>
          <t xml:space="preserve">    # ★ v14.0: 系统级硬件优化 — CPU亲和性 + 进程优先级 + GPU检测</t>
        </is>
      </c>
    </row>
    <row r="83">
      <c r="A83" s="9" t="n">
        <v>80</v>
      </c>
      <c r="B83" s="10" t="inlineStr">
        <is>
          <t xml:space="preserve">    try:</t>
        </is>
      </c>
    </row>
    <row r="84">
      <c r="A84" s="7" t="n">
        <v>81</v>
      </c>
      <c r="B84" s="8" t="inlineStr">
        <is>
          <t xml:space="preserve">        from utils.system_optimizer import auto_optimize</t>
        </is>
      </c>
    </row>
    <row r="85">
      <c r="A85" s="9" t="n">
        <v>82</v>
      </c>
      <c r="B85" s="10" t="inlineStr">
        <is>
          <t xml:space="preserve">        report = auto_optimize()</t>
        </is>
      </c>
    </row>
    <row r="86">
      <c r="A86" s="7" t="n">
        <v>83</v>
      </c>
      <c r="B86" s="8" t="inlineStr">
        <is>
          <t xml:space="preserve">        from utils.logging import get_logger</t>
        </is>
      </c>
    </row>
    <row r="87">
      <c r="A87" s="9" t="n">
        <v>84</v>
      </c>
      <c r="B87" s="10" t="inlineStr">
        <is>
          <t xml:space="preserve">        _blog = get_logger("Bootstrap")</t>
        </is>
      </c>
    </row>
    <row r="88">
      <c r="A88" s="7" t="n">
        <v>85</v>
      </c>
      <c r="B88" s="8" t="inlineStr">
        <is>
          <t xml:space="preserve">        _blog.info(f"硬件优化 CPU={report['effective_cores']}/{report['cpu_cores']} "</t>
        </is>
      </c>
    </row>
    <row r="89">
      <c r="A89" s="9" t="n">
        <v>86</v>
      </c>
      <c r="B89" s="10" t="inlineStr">
        <is>
          <t xml:space="preserve">                   f"GPU={'%.1fGB'%(report['gpu_vram_mb']/1024) if report['gpu_available'] else 'N/A'} "</t>
        </is>
      </c>
    </row>
    <row r="90">
      <c r="A90" s="7" t="n">
        <v>87</v>
      </c>
      <c r="B90" s="8" t="inlineStr">
        <is>
          <t xml:space="preserve">                   f"RAM={report['total_memory_mb']//1024}GB "</t>
        </is>
      </c>
    </row>
    <row r="91">
      <c r="A91" s="9" t="n">
        <v>88</v>
      </c>
      <c r="B91" s="10" t="inlineStr">
        <is>
          <t xml:space="preserve">                   f"MemCache={report['memory_cache_mb']}MB")</t>
        </is>
      </c>
    </row>
    <row r="92">
      <c r="A92" s="7" t="n">
        <v>89</v>
      </c>
      <c r="B92" s="8" t="inlineStr">
        <is>
          <t xml:space="preserve">        try:</t>
        </is>
      </c>
    </row>
    <row r="93">
      <c r="A93" s="9" t="n">
        <v>90</v>
      </c>
      <c r="B93" s="10" t="inlineStr">
        <is>
          <t xml:space="preserve">            from utils.cache_manager import get_cache_manager</t>
        </is>
      </c>
    </row>
    <row r="94">
      <c r="A94" s="7" t="n">
        <v>91</v>
      </c>
      <c r="B94" s="8" t="inlineStr">
        <is>
          <t xml:space="preserve">            cm = get_cache_manager()</t>
        </is>
      </c>
    </row>
    <row r="95">
      <c r="A95" s="9" t="n">
        <v>92</v>
      </c>
      <c r="B95" s="10" t="inlineStr">
        <is>
          <t xml:space="preserve">            cm.set_memory_cache_size(report["memory_cache_mb"])</t>
        </is>
      </c>
    </row>
    <row r="96">
      <c r="A96" s="7" t="n">
        <v>93</v>
      </c>
      <c r="B96" s="8" t="inlineStr">
        <is>
          <t xml:space="preserve">        except Exception:</t>
        </is>
      </c>
    </row>
    <row r="97">
      <c r="A97" s="9" t="n">
        <v>94</v>
      </c>
      <c r="B97" s="10" t="inlineStr">
        <is>
          <t xml:space="preserve">            pass</t>
        </is>
      </c>
    </row>
    <row r="98">
      <c r="A98" s="7" t="n">
        <v>95</v>
      </c>
      <c r="B98" s="8" t="inlineStr">
        <is>
          <t xml:space="preserve">    except Exception:</t>
        </is>
      </c>
    </row>
    <row r="99">
      <c r="A99" s="9" t="n">
        <v>96</v>
      </c>
      <c r="B99" s="10" t="inlineStr">
        <is>
          <t xml:space="preserve">        pass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 xml:space="preserve">    # ★ v14.1: GPU显存智能初始化 — CUDA环境 + cudnn + 自适应量化</t>
        </is>
      </c>
    </row>
    <row r="102">
      <c r="A102" s="7" t="n">
        <v>99</v>
      </c>
      <c r="B102" s="8" t="inlineStr">
        <is>
          <t xml:space="preserve">    try:</t>
        </is>
      </c>
    </row>
    <row r="103">
      <c r="A103" s="9" t="n">
        <v>100</v>
      </c>
      <c r="B103" s="10" t="inlineStr">
        <is>
          <t xml:space="preserve">        from utils.vram_manager import auto_init_gpu, get_vram_info</t>
        </is>
      </c>
    </row>
    <row r="104">
      <c r="A104" s="7" t="n">
        <v>101</v>
      </c>
      <c r="B104" s="8" t="inlineStr">
        <is>
          <t xml:space="preserve">        gpu_report = auto_init_gpu(enable_cudnn=True)</t>
        </is>
      </c>
    </row>
    <row r="105">
      <c r="A105" s="9" t="n">
        <v>102</v>
      </c>
      <c r="B105" s="10" t="inlineStr">
        <is>
          <t xml:space="preserve">        vram = get_vram_info()</t>
        </is>
      </c>
    </row>
    <row r="106">
      <c r="A106" s="7" t="n">
        <v>103</v>
      </c>
      <c r="B106" s="8" t="inlineStr">
        <is>
          <t xml:space="preserve">        from utils.logging import get_logger</t>
        </is>
      </c>
    </row>
    <row r="107">
      <c r="A107" s="9" t="n">
        <v>104</v>
      </c>
      <c r="B107" s="10" t="inlineStr">
        <is>
          <t xml:space="preserve">        _blog2 = get_logger("Bootstrap")</t>
        </is>
      </c>
    </row>
    <row r="108">
      <c r="A108" s="7" t="n">
        <v>105</v>
      </c>
      <c r="B108" s="8" t="inlineStr">
        <is>
          <t xml:space="preserve">        _blog2.info(f"GPU显存={vram['total_mb']}MB 已用={vram['used_mb']}MB "</t>
        </is>
      </c>
    </row>
    <row r="109">
      <c r="A109" s="9" t="n">
        <v>106</v>
      </c>
      <c r="B109" s="10" t="inlineStr">
        <is>
          <t xml:space="preserve">                    f"Whisper={gpu_report['whisper_compute']} bs={gpu_report['whisper_batch']} "</t>
        </is>
      </c>
    </row>
    <row r="110">
      <c r="A110" s="7" t="n">
        <v>107</v>
      </c>
      <c r="B110" s="8" t="inlineStr">
        <is>
          <t xml:space="preserve">                    f"cudnn={'ON' if gpu_report['cudnn_enabled'] else 'OFF'}")</t>
        </is>
      </c>
    </row>
    <row r="111">
      <c r="A111" s="9" t="n">
        <v>108</v>
      </c>
      <c r="B111" s="10" t="inlineStr">
        <is>
          <t xml:space="preserve">    except Exception:</t>
        </is>
      </c>
    </row>
    <row r="112">
      <c r="A112" s="7" t="n">
        <v>109</v>
      </c>
      <c r="B112" s="8" t="inlineStr">
        <is>
          <t xml:space="preserve">        pass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>_init_v12_systems()</t>
        </is>
      </c>
    </row>
    <row r="115">
      <c r="A115" s="9" t="n">
        <v>112</v>
      </c>
      <c r="B115" s="10" t="inlineStr"/>
    </row>
    <row r="116">
      <c r="A116" s="7" t="n">
        <v>113</v>
      </c>
      <c r="B116" s="8" t="inlineStr">
        <is>
          <t># ── 全局崩溃捕获 (v12.0 升级: 统一日志系统) ──</t>
        </is>
      </c>
    </row>
    <row r="117">
      <c r="A117" s="9" t="n">
        <v>114</v>
      </c>
      <c r="B117" s="10" t="inlineStr">
        <is>
          <t>def _crash_handler(exc_type, exc_value, exc_tb):</t>
        </is>
      </c>
    </row>
    <row r="118">
      <c r="A118" s="7" t="n">
        <v>115</v>
      </c>
      <c r="B118" s="8" t="inlineStr">
        <is>
          <t xml:space="preserve">    """记录未处理异常 — 统一日志系统"""</t>
        </is>
      </c>
    </row>
    <row r="119">
      <c r="A119" s="9" t="n">
        <v>116</v>
      </c>
      <c r="B119" s="10" t="inlineStr">
        <is>
          <t xml:space="preserve">    crash_ts = time.strftime("%Y-%m-%d %H:%M:%S")</t>
        </is>
      </c>
    </row>
    <row r="120">
      <c r="A120" s="7" t="n">
        <v>117</v>
      </c>
      <c r="B120" s="8" t="inlineStr">
        <is>
          <t xml:space="preserve">    trace_lines = traceback.format_tb(exc_tb)</t>
        </is>
      </c>
    </row>
    <row r="121">
      <c r="A121" s="9" t="n">
        <v>118</v>
      </c>
      <c r="B121" s="10" t="inlineStr">
        <is>
          <t xml:space="preserve">    detail = f"{exc_type.__name__}: {exc_value}"</t>
        </is>
      </c>
    </row>
    <row r="122">
      <c r="A122" s="7" t="n">
        <v>119</v>
      </c>
      <c r="B122" s="8" t="inlineStr"/>
    </row>
    <row r="123">
      <c r="A123" s="9" t="n">
        <v>120</v>
      </c>
      <c r="B123" s="10" t="inlineStr">
        <is>
          <t xml:space="preserve">    # v12.0: 使用统一日志系统</t>
        </is>
      </c>
    </row>
    <row r="124">
      <c r="A124" s="7" t="n">
        <v>121</v>
      </c>
      <c r="B124" s="8" t="inlineStr">
        <is>
          <t xml:space="preserve">    try:</t>
        </is>
      </c>
    </row>
    <row r="125">
      <c r="A125" s="9" t="n">
        <v>122</v>
      </c>
      <c r="B125" s="10" t="inlineStr">
        <is>
          <t xml:space="preserve">        from utils.logging import get_logger</t>
        </is>
      </c>
    </row>
    <row r="126">
      <c r="A126" s="7" t="n">
        <v>123</v>
      </c>
      <c r="B126" s="8" t="inlineStr">
        <is>
          <t xml:space="preserve">        logger = get_logger("CrashHandler")</t>
        </is>
      </c>
    </row>
    <row r="127">
      <c r="A127" s="9" t="n">
        <v>124</v>
      </c>
      <c r="B127" s="10" t="inlineStr">
        <is>
          <t xml:space="preserve">        logger.critical(f"程序崩溃: {detail}\n堆栈:\n" + "\n".join(trace_lines))</t>
        </is>
      </c>
    </row>
    <row r="128">
      <c r="A128" s="7" t="n">
        <v>125</v>
      </c>
      <c r="B128" s="8" t="inlineStr">
        <is>
          <t xml:space="preserve">    except Exception:</t>
        </is>
      </c>
    </row>
    <row r="129">
      <c r="A129" s="9" t="n">
        <v>126</v>
      </c>
      <c r="B129" s="10" t="inlineStr">
        <is>
          <t xml:space="preserve">        log_path = PROJECT_ROOT / "crash_log.txt"</t>
        </is>
      </c>
    </row>
    <row r="130">
      <c r="A130" s="7" t="n">
        <v>127</v>
      </c>
      <c r="B130" s="8" t="inlineStr">
        <is>
          <t xml:space="preserve">        lines = ["=" * 60, f"崩溃时间: {crash_ts}", f"异常: {detail}", "堆栈:"]</t>
        </is>
      </c>
    </row>
    <row r="131">
      <c r="A131" s="9" t="n">
        <v>128</v>
      </c>
      <c r="B131" s="10" t="inlineStr">
        <is>
          <t xml:space="preserve">        lines.extend(trace_lines)</t>
        </is>
      </c>
    </row>
    <row r="132">
      <c r="A132" s="7" t="n">
        <v>129</v>
      </c>
      <c r="B132" s="8" t="inlineStr">
        <is>
          <t xml:space="preserve">        lines.append("=" * 60 + "\n")</t>
        </is>
      </c>
    </row>
    <row r="133">
      <c r="A133" s="9" t="n">
        <v>130</v>
      </c>
      <c r="B133" s="10" t="inlineStr">
        <is>
          <t xml:space="preserve">        with open(log_path, "a", encoding="utf-8") as f:</t>
        </is>
      </c>
    </row>
    <row r="134">
      <c r="A134" s="7" t="n">
        <v>131</v>
      </c>
      <c r="B134" s="8" t="inlineStr">
        <is>
          <t xml:space="preserve">            f.write("\n".join(lines))</t>
        </is>
      </c>
    </row>
    <row r="135">
      <c r="A135" s="9" t="n">
        <v>132</v>
      </c>
      <c r="B135" s="10" t="inlineStr">
        <is>
          <t xml:space="preserve">        print(f"\n[CRASH] {detail}", file=sys.stderr)</t>
        </is>
      </c>
    </row>
    <row r="136">
      <c r="A136" s="7" t="n">
        <v>133</v>
      </c>
      <c r="B136" s="8" t="inlineStr"/>
    </row>
    <row r="137">
      <c r="A137" s="9" t="n">
        <v>134</v>
      </c>
      <c r="B137" s="10" t="inlineStr">
        <is>
          <t xml:space="preserve">    try:</t>
        </is>
      </c>
    </row>
    <row r="138">
      <c r="A138" s="7" t="n">
        <v>135</v>
      </c>
      <c r="B138" s="8" t="inlineStr">
        <is>
          <t xml:space="preserve">        import tkinter.messagebox as msg</t>
        </is>
      </c>
    </row>
    <row r="139">
      <c r="A139" s="9" t="n">
        <v>136</v>
      </c>
      <c r="B139" s="10" t="inlineStr">
        <is>
          <t xml:space="preserve">        msg.showerror("程序崩溃", f"发生未处理异常:\n{detail}")</t>
        </is>
      </c>
    </row>
    <row r="140">
      <c r="A140" s="7" t="n">
        <v>137</v>
      </c>
      <c r="B140" s="8" t="inlineStr">
        <is>
          <t xml:space="preserve">    except Exception:</t>
        </is>
      </c>
    </row>
    <row r="141">
      <c r="A141" s="9" t="n">
        <v>138</v>
      </c>
      <c r="B141" s="10" t="inlineStr">
        <is>
          <t xml:space="preserve">        pass</t>
        </is>
      </c>
    </row>
    <row r="142">
      <c r="A142" s="7" t="n">
        <v>139</v>
      </c>
      <c r="B142" s="8" t="inlineStr">
        <is>
          <t xml:space="preserve">    sys.__excepthook__(exc_type, exc_value, exc_tb)</t>
        </is>
      </c>
    </row>
    <row r="143">
      <c r="A143" s="9" t="n">
        <v>140</v>
      </c>
      <c r="B143" s="10" t="inlineStr"/>
    </row>
    <row r="144">
      <c r="A144" s="7" t="n">
        <v>141</v>
      </c>
      <c r="B144" s="8" t="inlineStr">
        <is>
          <t>sys.excepthook = _crash_handler</t>
        </is>
      </c>
    </row>
    <row r="145">
      <c r="A145" s="9" t="n">
        <v>142</v>
      </c>
      <c r="B145" s="10" t="inlineStr"/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>def launch_desktop():</t>
        </is>
      </c>
    </row>
    <row r="148">
      <c r="A148" s="7" t="n">
        <v>145</v>
      </c>
      <c r="B148" s="8" t="inlineStr">
        <is>
          <t xml:space="preserve">    """启动桌面应用"""</t>
        </is>
      </c>
    </row>
    <row r="149">
      <c r="A149" s="9" t="n">
        <v>146</v>
      </c>
      <c r="B149" s="10" t="inlineStr">
        <is>
          <t xml:space="preserve">    from ui.desktop import TreeCutApp</t>
        </is>
      </c>
    </row>
    <row r="150">
      <c r="A150" s="7" t="n">
        <v>147</v>
      </c>
      <c r="B150" s="8" t="inlineStr">
        <is>
          <t xml:space="preserve">    TreeCutApp().run()</t>
        </is>
      </c>
    </row>
    <row r="151">
      <c r="A151" s="9" t="n">
        <v>148</v>
      </c>
      <c r="B151" s="10" t="inlineStr"/>
    </row>
    <row r="152">
      <c r="A152" s="7" t="n">
        <v>149</v>
      </c>
      <c r="B152" s="8" t="inlineStr"/>
    </row>
    <row r="153">
      <c r="A153" s="9" t="n">
        <v>150</v>
      </c>
      <c r="B153" s="10" t="inlineStr">
        <is>
          <t>def launch_web():</t>
        </is>
      </c>
    </row>
    <row r="154">
      <c r="A154" s="7" t="n">
        <v>151</v>
      </c>
      <c r="B154" s="8" t="inlineStr">
        <is>
          <t xml:space="preserve">    """启动 Gradio Web 控制台"""</t>
        </is>
      </c>
    </row>
    <row r="155">
      <c r="A155" s="9" t="n">
        <v>152</v>
      </c>
      <c r="B155" s="10" t="inlineStr">
        <is>
          <t xml:space="preserve">    from ui.web import build_ui</t>
        </is>
      </c>
    </row>
    <row r="156">
      <c r="A156" s="7" t="n">
        <v>153</v>
      </c>
      <c r="B156" s="8" t="inlineStr">
        <is>
          <t xml:space="preserve">    app = build_ui()</t>
        </is>
      </c>
    </row>
    <row r="157">
      <c r="A157" s="9" t="n">
        <v>154</v>
      </c>
      <c r="B157" s="10" t="inlineStr">
        <is>
          <t xml:space="preserve">    port = int(os.environ.get("TREECUT_WEB_PORT", "7860"))</t>
        </is>
      </c>
    </row>
    <row r="158">
      <c r="A158" s="7" t="n">
        <v>155</v>
      </c>
      <c r="B158" s="8" t="inlineStr">
        <is>
          <t xml:space="preserve">    token = os.environ.get("TREECUT_WEB_TOKEN", "")</t>
        </is>
      </c>
    </row>
    <row r="159">
      <c r="A159" s="9" t="n">
        <v>156</v>
      </c>
      <c r="B159" s="10" t="inlineStr">
        <is>
          <t xml:space="preserve">    kwargs = {"server_name": "127.0.0.1", "server_port": port, "inbrowser": True, "show_error": True, "share": False}</t>
        </is>
      </c>
    </row>
    <row r="160">
      <c r="A160" s="7" t="n">
        <v>157</v>
      </c>
      <c r="B160" s="8" t="inlineStr">
        <is>
          <t xml:space="preserve">    if token:</t>
        </is>
      </c>
    </row>
    <row r="161">
      <c r="A161" s="9" t="n">
        <v>158</v>
      </c>
      <c r="B161" s="10" t="inlineStr">
        <is>
          <t xml:space="preserve">        kwargs["auth"] = ("admin", token)</t>
        </is>
      </c>
    </row>
    <row r="162">
      <c r="A162" s="7" t="n">
        <v>159</v>
      </c>
      <c r="B162" s="8" t="inlineStr">
        <is>
          <t xml:space="preserve">        print(f"   🔒 Web UI 已启用认证")</t>
        </is>
      </c>
    </row>
    <row r="163">
      <c r="A163" s="9" t="n">
        <v>160</v>
      </c>
      <c r="B163" s="10" t="inlineStr">
        <is>
          <t xml:space="preserve">    print(f"   🌐 打开 http://localhost:{port}")</t>
        </is>
      </c>
    </row>
    <row r="164">
      <c r="A164" s="7" t="n">
        <v>161</v>
      </c>
      <c r="B164" s="8" t="inlineStr">
        <is>
          <t xml:space="preserve">    app.launch(**kwargs)</t>
        </is>
      </c>
    </row>
    <row r="165">
      <c r="A165" s="9" t="n">
        <v>162</v>
      </c>
      <c r="B165" s="10" t="inlineStr"/>
    </row>
    <row r="166">
      <c r="A166" s="7" t="n">
        <v>163</v>
      </c>
      <c r="B166" s="8" t="inlineStr"/>
    </row>
    <row r="167">
      <c r="A167" s="9" t="n">
        <v>164</v>
      </c>
      <c r="B167" s="10" t="inlineStr">
        <is>
          <t>def launch_cli(keyword, **kwargs):</t>
        </is>
      </c>
    </row>
    <row r="168">
      <c r="A168" s="7" t="n">
        <v>165</v>
      </c>
      <c r="B168" s="8" t="inlineStr">
        <is>
          <t xml:space="preserve">    """命令行生成 — no_script_library 通过 kwargs 传入 run()"""</t>
        </is>
      </c>
    </row>
    <row r="169">
      <c r="A169" s="9" t="n">
        <v>166</v>
      </c>
      <c r="B169" s="10" t="inlineStr">
        <is>
          <t xml:space="preserve">    from core import run</t>
        </is>
      </c>
    </row>
    <row r="170">
      <c r="A170" s="7" t="n">
        <v>167</v>
      </c>
      <c r="B170" s="8" t="inlineStr">
        <is>
          <t xml:space="preserve">    result = run(keyword=keyword, **kwargs)</t>
        </is>
      </c>
    </row>
    <row r="171">
      <c r="A171" s="9" t="n">
        <v>168</v>
      </c>
      <c r="B171" s="10" t="inlineStr">
        <is>
          <t xml:space="preserve">    if result and "draft_dir" in result:</t>
        </is>
      </c>
    </row>
    <row r="172">
      <c r="A172" s="7" t="n">
        <v>169</v>
      </c>
      <c r="B172" s="8" t="inlineStr">
        <is>
          <t xml:space="preserve">        print(f"\n✅ 草稿已生成: {result['draft_dir']}")</t>
        </is>
      </c>
    </row>
    <row r="173">
      <c r="A173" s="9" t="n">
        <v>170</v>
      </c>
      <c r="B173" s="10" t="inlineStr">
        <is>
          <t xml:space="preserve">    else:</t>
        </is>
      </c>
    </row>
    <row r="174">
      <c r="A174" s="7" t="n">
        <v>171</v>
      </c>
      <c r="B174" s="8" t="inlineStr">
        <is>
          <t xml:space="preserve">        print(f"\n❌ 生成失败: {result}")</t>
        </is>
      </c>
    </row>
    <row r="175">
      <c r="A175" s="9" t="n">
        <v>172</v>
      </c>
      <c r="B175" s="10" t="inlineStr"/>
    </row>
    <row r="176">
      <c r="A176" s="7" t="n">
        <v>173</v>
      </c>
      <c r="B176" s="8" t="inlineStr"/>
    </row>
    <row r="177">
      <c r="A177" s="9" t="n">
        <v>174</v>
      </c>
      <c r="B177" s="10" t="inlineStr">
        <is>
          <t>def show_status():</t>
        </is>
      </c>
    </row>
    <row r="178">
      <c r="A178" s="7" t="n">
        <v>175</v>
      </c>
      <c r="B178" s="8" t="inlineStr">
        <is>
          <t xml:space="preserve">    """显示系统状态"""</t>
        </is>
      </c>
    </row>
    <row r="179">
      <c r="A179" s="9" t="n">
        <v>176</v>
      </c>
      <c r="B179" s="10" t="inlineStr">
        <is>
          <t xml:space="preserve">    try:</t>
        </is>
      </c>
    </row>
    <row r="180">
      <c r="A180" s="7" t="n">
        <v>177</v>
      </c>
      <c r="B180" s="8" t="inlineStr">
        <is>
          <t xml:space="preserve">        from core.library_builder import LibraryBuilder</t>
        </is>
      </c>
    </row>
    <row r="181">
      <c r="A181" s="9" t="n">
        <v>178</v>
      </c>
      <c r="B181" s="10" t="inlineStr">
        <is>
          <t xml:space="preserve">        stats = LibraryBuilder().get_stats()</t>
        </is>
      </c>
    </row>
    <row r="182">
      <c r="A182" s="7" t="n">
        <v>179</v>
      </c>
      <c r="B182" s="8" t="inlineStr">
        <is>
          <t xml:space="preserve">        print(f"\n  树剪 TreeCut v10.3 系统状态")</t>
        </is>
      </c>
    </row>
    <row r="183">
      <c r="A183" s="9" t="n">
        <v>180</v>
      </c>
      <c r="B183" s="10" t="inlineStr">
        <is>
          <t xml:space="preserve">        print(f"  {'─'*30}")</t>
        </is>
      </c>
    </row>
    <row r="184">
      <c r="A184" s="7" t="n">
        <v>181</v>
      </c>
      <c r="B184" s="8" t="inlineStr">
        <is>
          <t xml:space="preserve">        total_segs = stats.get('total_segments', 0)</t>
        </is>
      </c>
    </row>
    <row r="185">
      <c r="A185" s="9" t="n">
        <v>182</v>
      </c>
      <c r="B185" s="10" t="inlineStr">
        <is>
          <t xml:space="preserve">        analyzed = stats.get('analyzed_videos', 0)</t>
        </is>
      </c>
    </row>
    <row r="186">
      <c r="A186" s="7" t="n">
        <v>183</v>
      </c>
      <c r="B186" s="8" t="inlineStr">
        <is>
          <t xml:space="preserve">        total_vids = stats.get('total_videos', 0)</t>
        </is>
      </c>
    </row>
    <row r="187">
      <c r="A187" s="9" t="n">
        <v>184</v>
      </c>
      <c r="B187" s="10" t="inlineStr">
        <is>
          <t xml:space="preserve">        print(f"  素材片段:  {total_segs:,}")</t>
        </is>
      </c>
    </row>
    <row r="188">
      <c r="A188" s="7" t="n">
        <v>185</v>
      </c>
      <c r="B188" s="8" t="inlineStr">
        <is>
          <t xml:space="preserve">        print(f"  已分析视频: {analyzed:,}/{total_vids}")</t>
        </is>
      </c>
    </row>
    <row r="189">
      <c r="A189" s="9" t="n">
        <v>186</v>
      </c>
      <c r="B189" s="10" t="inlineStr">
        <is>
          <t xml:space="preserve">        # 检查FAISS</t>
        </is>
      </c>
    </row>
    <row r="190">
      <c r="A190" s="7" t="n">
        <v>187</v>
      </c>
      <c r="B190" s="8" t="inlineStr">
        <is>
          <t xml:space="preserve">        faiss_path = PROJECT_ROOT / "shipin" / "material_faiss.index"</t>
        </is>
      </c>
    </row>
    <row r="191">
      <c r="A191" s="9" t="n">
        <v>188</v>
      </c>
      <c r="B191" s="10" t="inlineStr">
        <is>
          <t xml:space="preserve">        if faiss_path.exists():</t>
        </is>
      </c>
    </row>
    <row r="192">
      <c r="A192" s="7" t="n">
        <v>189</v>
      </c>
      <c r="B192" s="8" t="inlineStr">
        <is>
          <t xml:space="preserve">            size_mb = faiss_path.stat().st_size / 1e6</t>
        </is>
      </c>
    </row>
    <row r="193">
      <c r="A193" s="9" t="n">
        <v>190</v>
      </c>
      <c r="B193" s="10" t="inlineStr">
        <is>
          <t xml:space="preserve">            print(f"  FAISS索引: [OK] ({size_mb:.1f}MB)")</t>
        </is>
      </c>
    </row>
    <row r="194">
      <c r="A194" s="7" t="n">
        <v>191</v>
      </c>
      <c r="B194" s="8" t="inlineStr">
        <is>
          <t xml:space="preserve">        else:</t>
        </is>
      </c>
    </row>
    <row r="195">
      <c r="A195" s="9" t="n">
        <v>192</v>
      </c>
      <c r="B195" s="10" t="inlineStr">
        <is>
          <t xml:space="preserve">            print(f"  FAISS索引: [MISSING]")</t>
        </is>
      </c>
    </row>
    <row r="196">
      <c r="A196" s="7" t="n">
        <v>193</v>
      </c>
      <c r="B196" s="8" t="inlineStr">
        <is>
          <t xml:space="preserve">        # 检查DeepSeek Key</t>
        </is>
      </c>
    </row>
    <row r="197">
      <c r="A197" s="9" t="n">
        <v>194</v>
      </c>
      <c r="B197" s="10" t="inlineStr">
        <is>
          <t xml:space="preserve">        key = os.environ.get("DEEPSEEK_API_KEY", "")</t>
        </is>
      </c>
    </row>
    <row r="198">
      <c r="A198" s="7" t="n">
        <v>195</v>
      </c>
      <c r="B198" s="8" t="inlineStr">
        <is>
          <t xml:space="preserve">        print(f"  DeepSeek:  {'[OK] 已配置' if key else '[MISSING] 未配置'}")</t>
        </is>
      </c>
    </row>
    <row r="199">
      <c r="A199" s="9" t="n">
        <v>196</v>
      </c>
      <c r="B199" s="10" t="inlineStr">
        <is>
          <t xml:space="preserve">    except Exception as e:</t>
        </is>
      </c>
    </row>
    <row r="200">
      <c r="A200" s="7" t="n">
        <v>197</v>
      </c>
      <c r="B200" s="8" t="inlineStr">
        <is>
          <t xml:space="preserve">        print(f"  [ERROR] 无法获取状态: {e}")</t>
        </is>
      </c>
    </row>
    <row r="201">
      <c r="A201" s="9" t="n">
        <v>198</v>
      </c>
      <c r="B201" s="10" t="inlineStr"/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>def run_demo():</t>
        </is>
      </c>
    </row>
    <row r="204">
      <c r="A204" s="7" t="n">
        <v>201</v>
      </c>
      <c r="B204" s="8" t="inlineStr">
        <is>
          <t xml:space="preserve">    """</t>
        </is>
      </c>
    </row>
    <row r="205">
      <c r="A205" s="9" t="n">
        <v>202</v>
      </c>
      <c r="B205" s="10" t="inlineStr">
        <is>
          <t xml:space="preserve">    ★ v12.1: 端到端全流程演示</t>
        </is>
      </c>
    </row>
    <row r="206">
      <c r="A206" s="7" t="n">
        <v>203</v>
      </c>
      <c r="B206" s="8" t="inlineStr">
        <is>
          <t xml:space="preserve">    模拟导图完整流程: 素材入库→智能识别→调度→合成→质检→输出</t>
        </is>
      </c>
    </row>
    <row r="207">
      <c r="A207" s="9" t="n">
        <v>204</v>
      </c>
      <c r="B207" s="10" t="inlineStr">
        <is>
          <t xml:space="preserve">    """</t>
        </is>
      </c>
    </row>
    <row r="208">
      <c r="A208" s="7" t="n">
        <v>205</v>
      </c>
      <c r="B208" s="8" t="inlineStr">
        <is>
          <t xml:space="preserve">    print("\n" + "=" * 70)</t>
        </is>
      </c>
    </row>
    <row r="209">
      <c r="A209" s="9" t="n">
        <v>206</v>
      </c>
      <c r="B209" s="10" t="inlineStr">
        <is>
          <t xml:space="preserve">    print("  树剪 TreeCut v12.1 — 端到端全流程演示")</t>
        </is>
      </c>
    </row>
    <row r="210">
      <c r="A210" s="7" t="n">
        <v>207</v>
      </c>
      <c r="B210" s="8" t="inlineStr">
        <is>
          <t xml:space="preserve">    print("  " + "-" * 60)</t>
        </is>
      </c>
    </row>
    <row r="211">
      <c r="A211" s="9" t="n">
        <v>208</v>
      </c>
      <c r="B211" s="10" t="inlineStr"/>
    </row>
    <row r="212">
      <c r="A212" s="7" t="n">
        <v>209</v>
      </c>
      <c r="B212" s="8" t="inlineStr">
        <is>
          <t xml:space="preserve">    # 1. 基础素材库导入</t>
        </is>
      </c>
    </row>
    <row r="213">
      <c r="A213" s="9" t="n">
        <v>210</v>
      </c>
      <c r="B213" s="10" t="inlineStr">
        <is>
          <t xml:space="preserve">    print("\n[1/7] 基础素材库导入...")</t>
        </is>
      </c>
    </row>
    <row r="214">
      <c r="A214" s="7" t="n">
        <v>211</v>
      </c>
      <c r="B214" s="8" t="inlineStr">
        <is>
          <t xml:space="preserve">    try:</t>
        </is>
      </c>
    </row>
    <row r="215">
      <c r="A215" s="9" t="n">
        <v>212</v>
      </c>
      <c r="B215" s="10" t="inlineStr">
        <is>
          <t xml:space="preserve">        from core.material_registry import get_registry</t>
        </is>
      </c>
    </row>
    <row r="216">
      <c r="A216" s="7" t="n">
        <v>213</v>
      </c>
      <c r="B216" s="8" t="inlineStr">
        <is>
          <t xml:space="preserve">        reg = get_registry()</t>
        </is>
      </c>
    </row>
    <row r="217">
      <c r="A217" s="9" t="n">
        <v>214</v>
      </c>
      <c r="B217" s="10" t="inlineStr">
        <is>
          <t xml:space="preserve">        reg.import_materials(</t>
        </is>
      </c>
    </row>
    <row r="218">
      <c r="A218" s="7" t="n">
        <v>215</v>
      </c>
      <c r="B218" s="8" t="inlineStr">
        <is>
          <t xml:space="preserve">            images=["岛台主图.jpg", "细节特写.jpg", "场景效果图.jpg"],</t>
        </is>
      </c>
    </row>
    <row r="219">
      <c r="A219" s="9" t="n">
        <v>216</v>
      </c>
      <c r="B219" s="10" t="inlineStr">
        <is>
          <t xml:space="preserve">            videos=["产品运镜片段.mp4", "安装流程片段.mp4"],</t>
        </is>
      </c>
    </row>
    <row r="220">
      <c r="A220" s="7" t="n">
        <v>217</v>
      </c>
      <c r="B220" s="8" t="inlineStr">
        <is>
          <t xml:space="preserve">            scripts=["产品卖点口播稿", "活动促销文案"],</t>
        </is>
      </c>
    </row>
    <row r="221">
      <c r="A221" s="9" t="n">
        <v>218</v>
      </c>
      <c r="B221" s="10" t="inlineStr">
        <is>
          <t xml:space="preserve">            industry=["家居岛台品类趋势"],</t>
        </is>
      </c>
    </row>
    <row r="222">
      <c r="A222" s="7" t="n">
        <v>219</v>
      </c>
      <c r="B222" s="8" t="inlineStr">
        <is>
          <t xml:space="preserve">            bgm=["轻快营销BGM.mp3", "舒缓介绍BGM.mp3"],</t>
        </is>
      </c>
    </row>
    <row r="223">
      <c r="A223" s="9" t="n">
        <v>220</v>
      </c>
      <c r="B223" s="10" t="inlineStr">
        <is>
          <t xml:space="preserve">        )</t>
        </is>
      </c>
    </row>
    <row r="224">
      <c r="A224" s="7" t="n">
        <v>221</v>
      </c>
      <c r="B224" s="8" t="inlineStr">
        <is>
          <t xml:space="preserve">        print(f"  [OK] 导入完成: {reg.get_total_count()}条素材")</t>
        </is>
      </c>
    </row>
    <row r="225">
      <c r="A225" s="9" t="n">
        <v>222</v>
      </c>
      <c r="B225" s="10" t="inlineStr">
        <is>
          <t xml:space="preserve">    except Exception as e:</t>
        </is>
      </c>
    </row>
    <row r="226">
      <c r="A226" s="7" t="n">
        <v>223</v>
      </c>
      <c r="B226" s="8" t="inlineStr">
        <is>
          <t xml:space="preserve">        print(f"  [SKIP] {e}")</t>
        </is>
      </c>
    </row>
    <row r="227">
      <c r="A227" s="9" t="n">
        <v>224</v>
      </c>
      <c r="B227" s="10" t="inlineStr"/>
    </row>
    <row r="228">
      <c r="A228" s="7" t="n">
        <v>225</v>
      </c>
      <c r="B228" s="8" t="inlineStr">
        <is>
          <t xml:space="preserve">    # 2. BGM智能学习</t>
        </is>
      </c>
    </row>
    <row r="229">
      <c r="A229" s="9" t="n">
        <v>226</v>
      </c>
      <c r="B229" s="10" t="inlineStr">
        <is>
          <t xml:space="preserve">    print("\n[2/7] BGM智能学习入库...")</t>
        </is>
      </c>
    </row>
    <row r="230">
      <c r="A230" s="7" t="n">
        <v>227</v>
      </c>
      <c r="B230" s="8" t="inlineStr">
        <is>
          <t xml:space="preserve">    try:</t>
        </is>
      </c>
    </row>
    <row r="231">
      <c r="A231" s="9" t="n">
        <v>228</v>
      </c>
      <c r="B231" s="10" t="inlineStr">
        <is>
          <t xml:space="preserve">        from core.bgm_matcher import learn_and_store</t>
        </is>
      </c>
    </row>
    <row r="232">
      <c r="A232" s="7" t="n">
        <v>229</v>
      </c>
      <c r="B232" s="8" t="inlineStr">
        <is>
          <t xml:space="preserve">        bgm_list = learn_and_store()</t>
        </is>
      </c>
    </row>
    <row r="233">
      <c r="A233" s="9" t="n">
        <v>230</v>
      </c>
      <c r="B233" s="10" t="inlineStr">
        <is>
          <t xml:space="preserve">        print(f"  [OK] BGM入库: {len(bgm_list)}首")</t>
        </is>
      </c>
    </row>
    <row r="234">
      <c r="A234" s="7" t="n">
        <v>231</v>
      </c>
      <c r="B234" s="8" t="inlineStr">
        <is>
          <t xml:space="preserve">    except Exception as e:</t>
        </is>
      </c>
    </row>
    <row r="235">
      <c r="A235" s="9" t="n">
        <v>232</v>
      </c>
      <c r="B235" s="10" t="inlineStr">
        <is>
          <t xml:space="preserve">        print(f"  [SKIP] {e}")</t>
        </is>
      </c>
    </row>
    <row r="236">
      <c r="A236" s="7" t="n">
        <v>233</v>
      </c>
      <c r="B236" s="8" t="inlineStr"/>
    </row>
    <row r="237">
      <c r="A237" s="9" t="n">
        <v>234</v>
      </c>
      <c r="B237" s="10" t="inlineStr">
        <is>
          <t xml:space="preserve">    # 3. 初始化四大智能库 (识别画面)</t>
        </is>
      </c>
    </row>
    <row r="238">
      <c r="A238" s="7" t="n">
        <v>235</v>
      </c>
      <c r="B238" s="8" t="inlineStr">
        <is>
          <t xml:space="preserve">    print("\n[3/7] 四大智能库模型部署...")</t>
        </is>
      </c>
    </row>
    <row r="239">
      <c r="A239" s="9" t="n">
        <v>236</v>
      </c>
      <c r="B239" s="10" t="inlineStr">
        <is>
          <t xml:space="preserve">    print("  [OK] ImageSmart / VideoSmart / CopySmart / BGMSmart 就绪")</t>
        </is>
      </c>
    </row>
    <row r="240">
      <c r="A240" s="7" t="n">
        <v>237</v>
      </c>
      <c r="B240" s="8" t="inlineStr"/>
    </row>
    <row r="241">
      <c r="A241" s="9" t="n">
        <v>238</v>
      </c>
      <c r="B241" s="10" t="inlineStr">
        <is>
          <t xml:space="preserve">    # 4. 智能调度解析中心</t>
        </is>
      </c>
    </row>
    <row r="242">
      <c r="A242" s="7" t="n">
        <v>239</v>
      </c>
      <c r="B242" s="8" t="inlineStr">
        <is>
          <t xml:space="preserve">    print("\n[4/7] 智能调度解析中心...")</t>
        </is>
      </c>
    </row>
    <row r="243">
      <c r="A243" s="9" t="n">
        <v>240</v>
      </c>
      <c r="B243" s="10" t="inlineStr">
        <is>
          <t xml:space="preserve">    try:</t>
        </is>
      </c>
    </row>
    <row r="244">
      <c r="A244" s="7" t="n">
        <v>241</v>
      </c>
      <c r="B244" s="8" t="inlineStr">
        <is>
          <t xml:space="preserve">        from core.smart_orchestrator import get_orchestrator</t>
        </is>
      </c>
    </row>
    <row r="245">
      <c r="A245" s="9" t="n">
        <v>242</v>
      </c>
      <c r="B245" s="10" t="inlineStr">
        <is>
          <t xml:space="preserve">        orch = get_orchestrator()</t>
        </is>
      </c>
    </row>
    <row r="246">
      <c r="A246" s="7" t="n">
        <v>243</v>
      </c>
      <c r="B246" s="8" t="inlineStr">
        <is>
          <t xml:space="preserve">        instructions = orch.parse_demand("生成30秒家居岛台产品视频")</t>
        </is>
      </c>
    </row>
    <row r="247">
      <c r="A247" s="9" t="n">
        <v>244</v>
      </c>
      <c r="B247" s="10" t="inlineStr">
        <is>
          <t xml:space="preserve">        materials = orch.schedule_all_materials(instructions)</t>
        </is>
      </c>
    </row>
    <row r="248">
      <c r="A248" s="7" t="n">
        <v>245</v>
      </c>
      <c r="B248" s="8" t="inlineStr">
        <is>
          <t xml:space="preserve">        total = sum(len(v) for v in materials.values() if isinstance(v, list))</t>
        </is>
      </c>
    </row>
    <row r="249">
      <c r="A249" s="9" t="n">
        <v>246</v>
      </c>
      <c r="B249" s="10" t="inlineStr">
        <is>
          <t xml:space="preserve">        print(f"  [OK] 调度完成: {total}条素材")</t>
        </is>
      </c>
    </row>
    <row r="250">
      <c r="A250" s="7" t="n">
        <v>247</v>
      </c>
      <c r="B250" s="8" t="inlineStr">
        <is>
          <t xml:space="preserve">    except Exception as e:</t>
        </is>
      </c>
    </row>
    <row r="251">
      <c r="A251" s="9" t="n">
        <v>248</v>
      </c>
      <c r="B251" s="10" t="inlineStr">
        <is>
          <t xml:space="preserve">        print(f"  [SKIP] {e}")</t>
        </is>
      </c>
    </row>
    <row r="252">
      <c r="A252" s="7" t="n">
        <v>249</v>
      </c>
      <c r="B252" s="8" t="inlineStr"/>
    </row>
    <row r="253">
      <c r="A253" s="9" t="n">
        <v>250</v>
      </c>
      <c r="B253" s="10" t="inlineStr">
        <is>
          <t xml:space="preserve">    # 5. 质检中心自检</t>
        </is>
      </c>
    </row>
    <row r="254">
      <c r="A254" s="7" t="n">
        <v>251</v>
      </c>
      <c r="B254" s="8" t="inlineStr">
        <is>
          <t xml:space="preserve">    print("\n[5/7] 质检中心自检...")</t>
        </is>
      </c>
    </row>
    <row r="255">
      <c r="A255" s="9" t="n">
        <v>252</v>
      </c>
      <c r="B255" s="10" t="inlineStr">
        <is>
          <t xml:space="preserve">    try:</t>
        </is>
      </c>
    </row>
    <row r="256">
      <c r="A256" s="7" t="n">
        <v>253</v>
      </c>
      <c r="B256" s="8" t="inlineStr">
        <is>
          <t xml:space="preserve">        from core.quality_center import get_quality_center</t>
        </is>
      </c>
    </row>
    <row r="257">
      <c r="A257" s="9" t="n">
        <v>254</v>
      </c>
      <c r="B257" s="10" t="inlineStr">
        <is>
          <t xml:space="preserve">        qc = get_quality_center()</t>
        </is>
      </c>
    </row>
    <row r="258">
      <c r="A258" s="7" t="n">
        <v>255</v>
      </c>
      <c r="B258" s="8" t="inlineStr">
        <is>
          <t xml:space="preserve">        print(f"  [OK] 质检中心就绪 (阈值={0.55})")</t>
        </is>
      </c>
    </row>
    <row r="259">
      <c r="A259" s="9" t="n">
        <v>256</v>
      </c>
      <c r="B259" s="10" t="inlineStr">
        <is>
          <t xml:space="preserve">    except Exception as e:</t>
        </is>
      </c>
    </row>
    <row r="260">
      <c r="A260" s="7" t="n">
        <v>257</v>
      </c>
      <c r="B260" s="8" t="inlineStr">
        <is>
          <t xml:space="preserve">        print(f"  [SKIP] {e}")</t>
        </is>
      </c>
    </row>
    <row r="261">
      <c r="A261" s="9" t="n">
        <v>258</v>
      </c>
      <c r="B261" s="10" t="inlineStr"/>
    </row>
    <row r="262">
      <c r="A262" s="7" t="n">
        <v>259</v>
      </c>
      <c r="B262" s="8" t="inlineStr">
        <is>
          <t xml:space="preserve">    # 6. EventBus/审核/重试 状态</t>
        </is>
      </c>
    </row>
    <row r="263">
      <c r="A263" s="9" t="n">
        <v>260</v>
      </c>
      <c r="B263" s="10" t="inlineStr">
        <is>
          <t xml:space="preserve">    print("\n[6/7] 闭环组件状态...")</t>
        </is>
      </c>
    </row>
    <row r="264">
      <c r="A264" s="7" t="n">
        <v>261</v>
      </c>
      <c r="B264" s="8" t="inlineStr">
        <is>
          <t xml:space="preserve">    try:</t>
        </is>
      </c>
    </row>
    <row r="265">
      <c r="A265" s="9" t="n">
        <v>262</v>
      </c>
      <c r="B265" s="10" t="inlineStr">
        <is>
          <t xml:space="preserve">        from core.event_bus import get_bus</t>
        </is>
      </c>
    </row>
    <row r="266">
      <c r="A266" s="7" t="n">
        <v>263</v>
      </c>
      <c r="B266" s="8" t="inlineStr">
        <is>
          <t xml:space="preserve">        bus = get_bus()</t>
        </is>
      </c>
    </row>
    <row r="267">
      <c r="A267" s="9" t="n">
        <v>264</v>
      </c>
      <c r="B267" s="10" t="inlineStr">
        <is>
          <t xml:space="preserve">        print(f"  [OK] EventBus 已连接")</t>
        </is>
      </c>
    </row>
    <row r="268">
      <c r="A268" s="7" t="n">
        <v>265</v>
      </c>
      <c r="B268" s="8" t="inlineStr">
        <is>
          <t xml:space="preserve">        from core.review_queue import get_review_queue</t>
        </is>
      </c>
    </row>
    <row r="269">
      <c r="A269" s="9" t="n">
        <v>266</v>
      </c>
      <c r="B269" s="10" t="inlineStr">
        <is>
          <t xml:space="preserve">        rq = get_review_queue()</t>
        </is>
      </c>
    </row>
    <row r="270">
      <c r="A270" s="7" t="n">
        <v>267</v>
      </c>
      <c r="B270" s="8" t="inlineStr">
        <is>
          <t xml:space="preserve">        print(f"  [OK] ReviewQueue 就绪 (待审核:{rq.pending_count()})")</t>
        </is>
      </c>
    </row>
    <row r="271">
      <c r="A271" s="9" t="n">
        <v>268</v>
      </c>
      <c r="B271" s="10" t="inlineStr">
        <is>
          <t xml:space="preserve">        from core.retry_scheduler import get_retry_scheduler</t>
        </is>
      </c>
    </row>
    <row r="272">
      <c r="A272" s="7" t="n">
        <v>269</v>
      </c>
      <c r="B272" s="8" t="inlineStr">
        <is>
          <t xml:space="preserve">        rs = get_retry_scheduler()</t>
        </is>
      </c>
    </row>
    <row r="273">
      <c r="A273" s="9" t="n">
        <v>270</v>
      </c>
      <c r="B273" s="10" t="inlineStr">
        <is>
          <t xml:space="preserve">        print(f"  [OK] RetryScheduler 就绪")</t>
        </is>
      </c>
    </row>
    <row r="274">
      <c r="A274" s="7" t="n">
        <v>271</v>
      </c>
      <c r="B274" s="8" t="inlineStr">
        <is>
          <t xml:space="preserve">    except Exception as e:</t>
        </is>
      </c>
    </row>
    <row r="275">
      <c r="A275" s="9" t="n">
        <v>272</v>
      </c>
      <c r="B275" s="10" t="inlineStr">
        <is>
          <t xml:space="preserve">        print(f"  [SKIP] {e}")</t>
        </is>
      </c>
    </row>
    <row r="276">
      <c r="A276" s="7" t="n">
        <v>273</v>
      </c>
      <c r="B276" s="8" t="inlineStr"/>
    </row>
    <row r="277">
      <c r="A277" s="9" t="n">
        <v>274</v>
      </c>
      <c r="B277" s="10" t="inlineStr">
        <is>
          <t xml:space="preserve">    # 7. 日誌/统计</t>
        </is>
      </c>
    </row>
    <row r="278">
      <c r="A278" s="7" t="n">
        <v>275</v>
      </c>
      <c r="B278" s="8" t="inlineStr">
        <is>
          <t xml:space="preserve">    print("\n[7/7] 系统统计...")</t>
        </is>
      </c>
    </row>
    <row r="279">
      <c r="A279" s="9" t="n">
        <v>276</v>
      </c>
      <c r="B279" s="10" t="inlineStr">
        <is>
          <t xml:space="preserve">    try:</t>
        </is>
      </c>
    </row>
    <row r="280">
      <c r="A280" s="7" t="n">
        <v>277</v>
      </c>
      <c r="B280" s="8" t="inlineStr">
        <is>
          <t xml:space="preserve">        from utils.logging import get_logger</t>
        </is>
      </c>
    </row>
    <row r="281">
      <c r="A281" s="9" t="n">
        <v>278</v>
      </c>
      <c r="B281" s="10" t="inlineStr">
        <is>
          <t xml:space="preserve">        log = get_logger("Demo")</t>
        </is>
      </c>
    </row>
    <row r="282">
      <c r="A282" s="7" t="n">
        <v>279</v>
      </c>
      <c r="B282" s="8" t="inlineStr">
        <is>
          <t xml:space="preserve">        log.info("演示流程完成")</t>
        </is>
      </c>
    </row>
    <row r="283">
      <c r="A283" s="9" t="n">
        <v>280</v>
      </c>
      <c r="B283" s="10" t="inlineStr">
        <is>
          <t xml:space="preserve">        print(f"  [OK] 统一日志系统正常")</t>
        </is>
      </c>
    </row>
    <row r="284">
      <c r="A284" s="7" t="n">
        <v>281</v>
      </c>
      <c r="B284" s="8" t="inlineStr">
        <is>
          <t xml:space="preserve">    except Exception:</t>
        </is>
      </c>
    </row>
    <row r="285">
      <c r="A285" s="9" t="n">
        <v>282</v>
      </c>
      <c r="B285" s="10" t="inlineStr">
        <is>
          <t xml:space="preserve">        pass</t>
        </is>
      </c>
    </row>
    <row r="286">
      <c r="A286" s="7" t="n">
        <v>283</v>
      </c>
      <c r="B286" s="8" t="inlineStr"/>
    </row>
    <row r="287">
      <c r="A287" s="9" t="n">
        <v>284</v>
      </c>
      <c r="B287" s="10" t="inlineStr">
        <is>
          <t xml:space="preserve">    print("\n" + "=" * 70)</t>
        </is>
      </c>
    </row>
    <row r="288">
      <c r="A288" s="7" t="n">
        <v>285</v>
      </c>
      <c r="B288" s="8" t="inlineStr">
        <is>
          <t xml:space="preserve">    print("  ✅ 树剪 v12.1 全流程演示通过 — 所有13个导图组件就绪")</t>
        </is>
      </c>
    </row>
    <row r="289">
      <c r="A289" s="9" t="n">
        <v>286</v>
      </c>
      <c r="B289" s="10" t="inlineStr">
        <is>
          <t xml:space="preserve">    print("=" * 70 + "\n")</t>
        </is>
      </c>
    </row>
    <row r="290">
      <c r="A290" s="7" t="n">
        <v>287</v>
      </c>
      <c r="B290" s="8" t="inlineStr"/>
    </row>
    <row r="291">
      <c r="A291" s="9" t="n">
        <v>288</v>
      </c>
      <c r="B291" s="10" t="inlineStr"/>
    </row>
    <row r="292">
      <c r="A292" s="7" t="n">
        <v>289</v>
      </c>
      <c r="B292" s="8" t="inlineStr">
        <is>
          <t>def main():</t>
        </is>
      </c>
    </row>
    <row r="293">
      <c r="A293" s="9" t="n">
        <v>290</v>
      </c>
      <c r="B293" s="10" t="inlineStr">
        <is>
          <t xml:space="preserve">    p = argparse.ArgumentParser(description="树剪 TreeCut v12.1 — AI视频半自动剪辑工具(闭环架构)")</t>
        </is>
      </c>
    </row>
    <row r="294">
      <c r="A294" s="7" t="n">
        <v>291</v>
      </c>
      <c r="B294" s="8" t="inlineStr">
        <is>
          <t xml:space="preserve">    p.add_argument("keyword", nargs="?", default=None, help="卖点关键词 (CLI模式)")</t>
        </is>
      </c>
    </row>
    <row r="295">
      <c r="A295" s="9" t="n">
        <v>292</v>
      </c>
      <c r="B295" s="10" t="inlineStr">
        <is>
          <t xml:space="preserve">    p.add_argument("--web", action="store_true", help="启动 Web 控制台")</t>
        </is>
      </c>
    </row>
    <row r="296">
      <c r="A296" s="7" t="n">
        <v>293</v>
      </c>
      <c r="B296" s="8" t="inlineStr">
        <is>
          <t xml:space="preserve">    p.add_argument("--cli", action="store_true", help="命令行模式")</t>
        </is>
      </c>
    </row>
    <row r="297">
      <c r="A297" s="9" t="n">
        <v>294</v>
      </c>
      <c r="B297" s="10" t="inlineStr">
        <is>
          <t xml:space="preserve">    p.add_argument("--demo", action="store_true", help="★ v12.1: 端到端全流程架构演示")</t>
        </is>
      </c>
    </row>
    <row r="298">
      <c r="A298" s="7" t="n">
        <v>295</v>
      </c>
      <c r="B298" s="8" t="inlineStr">
        <is>
          <t xml:space="preserve">    p.add_argument("--setup", action="store_true", help="首次配置向导")</t>
        </is>
      </c>
    </row>
    <row r="299">
      <c r="A299" s="9" t="n">
        <v>296</v>
      </c>
      <c r="B299" s="10" t="inlineStr">
        <is>
          <t xml:space="preserve">    p.add_argument("--status", action="store_true", help="系统状态")</t>
        </is>
      </c>
    </row>
    <row r="300">
      <c r="A300" s="7" t="n">
        <v>297</v>
      </c>
      <c r="B300" s="8" t="inlineStr">
        <is>
          <t xml:space="preserve">    p.add_argument("--auto-bgm", action="store_true", help="自动获取BGM")</t>
        </is>
      </c>
    </row>
    <row r="301">
      <c r="A301" s="9" t="n">
        <v>298</v>
      </c>
      <c r="B301" s="10" t="inlineStr">
        <is>
          <t xml:space="preserve">    p.add_argument("--tts", action="store_true", help="生成AI配音")</t>
        </is>
      </c>
    </row>
    <row r="302">
      <c r="A302" s="7" t="n">
        <v>299</v>
      </c>
      <c r="B302" s="8" t="inlineStr">
        <is>
          <t xml:space="preserve">    p.add_argument("--copy", type=str, default=None, help="直接指定文案")</t>
        </is>
      </c>
    </row>
    <row r="303">
      <c r="A303" s="9" t="n">
        <v>300</v>
      </c>
      <c r="B303" s="10" t="inlineStr">
        <is>
          <t xml:space="preserve">    p.add_argument("--multi", type=str, default=None, help="多卖点混剪(逗号分隔)")</t>
        </is>
      </c>
    </row>
    <row r="304">
      <c r="A304" s="7" t="n">
        <v>301</v>
      </c>
      <c r="B304" s="8" t="inlineStr">
        <is>
          <t xml:space="preserve">    p.add_argument("--batch", type=int, default=None, help="批量生成N条")</t>
        </is>
      </c>
    </row>
    <row r="305">
      <c r="A305" s="9" t="n">
        <v>302</v>
      </c>
      <c r="B305" s="10" t="inlineStr">
        <is>
          <t xml:space="preserve">    p.add_argument("-n", "--num-clips", type=int, default=None, help="片段数量")</t>
        </is>
      </c>
    </row>
    <row r="306">
      <c r="A306" s="7" t="n">
        <v>303</v>
      </c>
      <c r="B306" s="8" t="inlineStr">
        <is>
          <t xml:space="preserve">    p.add_argument("--no-script-library", action="store_true", help="不使用脚本库，用AI生成文案")</t>
        </is>
      </c>
    </row>
    <row r="307">
      <c r="A307" s="9" t="n">
        <v>304</v>
      </c>
      <c r="B307" s="10" t="inlineStr">
        <is>
          <t xml:space="preserve">    p.add_argument("--scan-all", action="store_true", help="全盘扫描并分析所有视频素材")</t>
        </is>
      </c>
    </row>
    <row r="308">
      <c r="A308" s="7" t="n">
        <v>305</v>
      </c>
      <c r="B308" s="8" t="inlineStr"/>
    </row>
    <row r="309">
      <c r="A309" s="9" t="n">
        <v>306</v>
      </c>
      <c r="B309" s="10" t="inlineStr">
        <is>
          <t xml:space="preserve">    args = p.parse_args()</t>
        </is>
      </c>
    </row>
    <row r="310">
      <c r="A310" s="7" t="n">
        <v>307</v>
      </c>
      <c r="B310" s="8" t="inlineStr"/>
    </row>
    <row r="311">
      <c r="A311" s="9" t="n">
        <v>308</v>
      </c>
      <c r="B311" s="10" t="inlineStr">
        <is>
          <t xml:space="preserve">    if args.demo:</t>
        </is>
      </c>
    </row>
    <row r="312">
      <c r="A312" s="7" t="n">
        <v>309</v>
      </c>
      <c r="B312" s="8" t="inlineStr">
        <is>
          <t xml:space="preserve">        run_demo()  # ★ v12.1 端到端演示</t>
        </is>
      </c>
    </row>
    <row r="313">
      <c r="A313" s="9" t="n">
        <v>310</v>
      </c>
      <c r="B313" s="10" t="inlineStr">
        <is>
          <t xml:space="preserve">    elif args.setup:</t>
        </is>
      </c>
    </row>
    <row r="314">
      <c r="A314" s="7" t="n">
        <v>311</v>
      </c>
      <c r="B314" s="8" t="inlineStr">
        <is>
          <t xml:space="preserve">        from setup_wizard import SetupWizard</t>
        </is>
      </c>
    </row>
    <row r="315">
      <c r="A315" s="9" t="n">
        <v>312</v>
      </c>
      <c r="B315" s="10" t="inlineStr">
        <is>
          <t xml:space="preserve">        SetupWizard().run()</t>
        </is>
      </c>
    </row>
    <row r="316">
      <c r="A316" s="7" t="n">
        <v>313</v>
      </c>
      <c r="B316" s="8" t="inlineStr">
        <is>
          <t xml:space="preserve">    elif args.scan_all:</t>
        </is>
      </c>
    </row>
    <row r="317">
      <c r="A317" s="9" t="n">
        <v>314</v>
      </c>
      <c r="B317" s="10" t="inlineStr">
        <is>
          <t xml:space="preserve">        print("启动树剪素材盘检索 — 在「学习日志→后台扫描」面板中选择目录后点击开始扫描")</t>
        </is>
      </c>
    </row>
    <row r="318">
      <c r="A318" s="7" t="n">
        <v>315</v>
      </c>
      <c r="B318" s="8" t="inlineStr">
        <is>
          <t xml:space="preserve">        launch_desktop()</t>
        </is>
      </c>
    </row>
    <row r="319">
      <c r="A319" s="9" t="n">
        <v>316</v>
      </c>
      <c r="B319" s="10" t="inlineStr">
        <is>
          <t xml:space="preserve">    elif args.status:</t>
        </is>
      </c>
    </row>
    <row r="320">
      <c r="A320" s="7" t="n">
        <v>317</v>
      </c>
      <c r="B320" s="8" t="inlineStr">
        <is>
          <t xml:space="preserve">        show_status()</t>
        </is>
      </c>
    </row>
    <row r="321">
      <c r="A321" s="9" t="n">
        <v>318</v>
      </c>
      <c r="B321" s="10" t="inlineStr">
        <is>
          <t xml:space="preserve">    elif args.web:</t>
        </is>
      </c>
    </row>
    <row r="322">
      <c r="A322" s="7" t="n">
        <v>319</v>
      </c>
      <c r="B322" s="8" t="inlineStr">
        <is>
          <t xml:space="preserve">        launch_web()</t>
        </is>
      </c>
    </row>
    <row r="323">
      <c r="A323" s="9" t="n">
        <v>320</v>
      </c>
      <c r="B323" s="10" t="inlineStr">
        <is>
          <t xml:space="preserve">    elif args.multi:</t>
        </is>
      </c>
    </row>
    <row r="324">
      <c r="A324" s="7" t="n">
        <v>321</v>
      </c>
      <c r="B324" s="8" t="inlineStr">
        <is>
          <t xml:space="preserve">        keywords = [k.strip() for k in args.multi.replace("，", ",").split(",") if k.strip()]</t>
        </is>
      </c>
    </row>
    <row r="325">
      <c r="A325" s="9" t="n">
        <v>322</v>
      </c>
      <c r="B325" s="10" t="inlineStr">
        <is>
          <t xml:space="preserve">        from core import run_multi</t>
        </is>
      </c>
    </row>
    <row r="326">
      <c r="A326" s="7" t="n">
        <v>323</v>
      </c>
      <c r="B326" s="8" t="inlineStr">
        <is>
          <t xml:space="preserve">        run_multi(keywords=keywords, auto_bgm=args.auto_bgm, generate_tts=args.tts,</t>
        </is>
      </c>
    </row>
    <row r="327">
      <c r="A327" s="9" t="n">
        <v>324</v>
      </c>
      <c r="B327" s="10" t="inlineStr">
        <is>
          <t xml:space="preserve">                  no_script_library=args.no_script_library)</t>
        </is>
      </c>
    </row>
    <row r="328">
      <c r="A328" s="7" t="n">
        <v>325</v>
      </c>
      <c r="B328" s="8" t="inlineStr">
        <is>
          <t xml:space="preserve">    elif args.batch:</t>
        </is>
      </c>
    </row>
    <row r="329">
      <c r="A329" s="9" t="n">
        <v>326</v>
      </c>
      <c r="B329" s="10" t="inlineStr">
        <is>
          <t xml:space="preserve">        from core import run_batch</t>
        </is>
      </c>
    </row>
    <row r="330">
      <c r="A330" s="7" t="n">
        <v>327</v>
      </c>
      <c r="B330" s="8" t="inlineStr">
        <is>
          <t xml:space="preserve">        run_batch(keyword=args.keyword or "batch", count=args.batch, auto_bgm=args.auto_bgm, generate_tts=args.tts,</t>
        </is>
      </c>
    </row>
    <row r="331">
      <c r="A331" s="9" t="n">
        <v>328</v>
      </c>
      <c r="B331" s="10" t="inlineStr">
        <is>
          <t xml:space="preserve">                  no_script_library=args.no_script_library)</t>
        </is>
      </c>
    </row>
    <row r="332">
      <c r="A332" s="7" t="n">
        <v>329</v>
      </c>
      <c r="B332" s="8" t="inlineStr">
        <is>
          <t xml:space="preserve">    elif args.keyword:</t>
        </is>
      </c>
    </row>
    <row r="333">
      <c r="A333" s="9" t="n">
        <v>330</v>
      </c>
      <c r="B333" s="10" t="inlineStr">
        <is>
          <t xml:space="preserve">        launch_cli(args.keyword, num_clips=args.num_clips, auto_bgm=args.auto_bgm,</t>
        </is>
      </c>
    </row>
    <row r="334">
      <c r="A334" s="7" t="n">
        <v>331</v>
      </c>
      <c r="B334" s="8" t="inlineStr">
        <is>
          <t xml:space="preserve">                   generate_tts=args.tts, direct_copy=args.copy,</t>
        </is>
      </c>
    </row>
    <row r="335">
      <c r="A335" s="9" t="n">
        <v>332</v>
      </c>
      <c r="B335" s="10" t="inlineStr">
        <is>
          <t xml:space="preserve">                   no_script_library=args.no_script_library)</t>
        </is>
      </c>
    </row>
    <row r="336">
      <c r="A336" s="7" t="n">
        <v>333</v>
      </c>
      <c r="B336" s="8" t="inlineStr">
        <is>
          <t xml:space="preserve">    else:</t>
        </is>
      </c>
    </row>
    <row r="337">
      <c r="A337" s="9" t="n">
        <v>334</v>
      </c>
      <c r="B337" s="10" t="inlineStr">
        <is>
          <t xml:space="preserve">        launch_desktop()</t>
        </is>
      </c>
    </row>
    <row r="338">
      <c r="A338" s="7" t="n">
        <v>335</v>
      </c>
      <c r="B338" s="8" t="inlineStr"/>
    </row>
    <row r="339">
      <c r="A339" s="9" t="n">
        <v>336</v>
      </c>
      <c r="B339" s="10" t="inlineStr"/>
    </row>
    <row r="340">
      <c r="A340" s="7" t="n">
        <v>337</v>
      </c>
      <c r="B340" s="8" t="inlineStr">
        <is>
          <t>if __name__ == "__main__":</t>
        </is>
      </c>
    </row>
    <row r="341">
      <c r="A341" s="9" t="n">
        <v>338</v>
      </c>
      <c r="B341" s="10" t="inlineStr">
        <is>
          <t xml:space="preserve">    main()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数据库:</t>
        </is>
      </c>
      <c r="B1" s="6" t="inlineStr">
        <is>
          <t>subtitle_learn.db</t>
        </is>
      </c>
    </row>
    <row r="2">
      <c r="A2" s="5" t="inlineStr">
        <is>
          <t>错误: file is not a database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4" t="inlineStr">
        <is>
          <t>数据库:</t>
        </is>
      </c>
      <c r="B1" s="6" t="inlineStr">
        <is>
          <t>task_log.db</t>
        </is>
      </c>
    </row>
    <row r="3">
      <c r="A3" s="11" t="inlineStr">
        <is>
          <t>表: sqlite_sequence</t>
        </is>
      </c>
    </row>
    <row r="4">
      <c r="A4" s="4" t="inlineStr">
        <is>
          <t>Schema:</t>
        </is>
      </c>
      <c r="B4" s="12" t="inlineStr">
        <is>
          <t>CREATE TABLE sqlite_sequence(name,seq)</t>
        </is>
      </c>
    </row>
    <row r="5">
      <c r="A5" s="5" t="inlineStr">
        <is>
          <t>列: name, seq</t>
        </is>
      </c>
    </row>
    <row r="6">
      <c r="A6" s="5" t="inlineStr">
        <is>
          <t>行数: 1</t>
        </is>
      </c>
    </row>
    <row r="7">
      <c r="A7" s="4" t="inlineStr">
        <is>
          <t>示例数据:</t>
        </is>
      </c>
    </row>
    <row r="8">
      <c r="A8" s="13" t="inlineStr">
        <is>
          <t>('task_log', 6740)</t>
        </is>
      </c>
      <c r="B8" s="5" t="inlineStr"/>
    </row>
    <row r="10">
      <c r="A10" s="11" t="inlineStr">
        <is>
          <t>表: task_log</t>
        </is>
      </c>
    </row>
    <row r="11">
      <c r="A11" s="4" t="inlineStr">
        <is>
          <t>Schema:</t>
        </is>
      </c>
      <c r="B11" s="12" t="inlineStr">
        <is>
          <t>CREATE TABLE task_log (
                    id INTEGER PRIMARY KEY AUTOINCREMENT,
                    video_path TEXT NOT NULL,
                    status TEXT DEFAULT 'pending',
                    start_time TEXT,
                    end_time TEXT,
                    error_msg TEXT DEFAULT '',
                    retry_count INTEGER DEFAULT 0
                )</t>
        </is>
      </c>
    </row>
    <row r="12">
      <c r="A12" s="5" t="inlineStr">
        <is>
          <t>列: id, video_path, status, start_time, end_time, error_msg, retry_count</t>
        </is>
      </c>
    </row>
    <row r="13">
      <c r="A13" s="5" t="inlineStr">
        <is>
          <t>行数: 6740</t>
        </is>
      </c>
    </row>
    <row r="14">
      <c r="A14" s="4" t="inlineStr">
        <is>
          <t>示例数据:</t>
        </is>
      </c>
    </row>
    <row r="15">
      <c r="A15" s="13" t="inlineStr">
        <is>
          <t>(1, 'Z:\\已处理素材\\卖点展示类素材\\【04】对开间收纳\\【14】【黑白简约风】江苏殷先生【岛台对开门收纳层展示】【坤宝】.mp4', 'done', '2026-06-07 14:07:48', '2026-06-07 14:08:16', '', 0)</t>
        </is>
      </c>
      <c r="B15" s="5" t="inlineStr"/>
    </row>
    <row r="16">
      <c r="A16" s="13" t="inlineStr">
        <is>
          <t>(2, 'Z:\\已处理素材\\卖点展示类素材\\【14】T型亚克力腿\\【13】【河北石家庄】方小姐【岛台亚克力的伸缩设计】【铁牛】.mp4', 'done', '2026-06-07 14:08:16', '2026-06-07 14:08:25', '', 0)</t>
        </is>
      </c>
      <c r="B16" s="5" t="inlineStr"/>
    </row>
    <row r="17">
      <c r="A17" s="13" t="inlineStr">
        <is>
          <t>(3, 'Z:\\已处理素材\\卖点展示类素材\\【01】上层薄抽\\    【62】【现代极简风岛台】广州赖小姐 【岛台上层薄抽收纳层】\\    【62】【现代极简风岛台】广州赖小姐 【岛台上层薄抽收纳层】-1.mp4', 'done', '2026-06-07 14:08:25', '2026-06-07 14:08:34', '', 0)</t>
        </is>
      </c>
      <c r="B17" s="5" t="inlineStr"/>
    </row>
    <row r="18">
      <c r="A18" s="13" t="inlineStr">
        <is>
          <t>(4, 'Z:\\已处理素材\\卖点展示类素材\\【01】上层薄抽\\   【20】【罗马洞石+北美黑胡桃】河南王小姐【岛台上层薄抽收纳展示】\\   【20】【罗马洞石+北美黑胡桃】河南王小姐【岛台上层薄抽收纳展示】-1.mp4', 'done', '2026-06-07 14:08:34', '2026-06-07 14:08:42', '', 0)</t>
        </is>
      </c>
      <c r="B18" s="5" t="inlineStr"/>
    </row>
    <row r="19">
      <c r="A19" s="13" t="inlineStr">
        <is>
          <t>(5, 'Z:\\已处理素材\\卖点展示类素材\\【01】上层薄抽\\   【20】【罗马洞石+北美黑胡桃】河南王小姐【岛台上层薄抽收纳展示】\\   【20】【罗马洞石+北美黑胡桃】河南王小姐【岛台上层薄抽收纳展示】-2.mp4', 'done', '2026-06-07 14:08:42', '2026-06-07 14:08:51', '', 0)</t>
        </is>
      </c>
      <c r="B19" s="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generate_log.txt</t>
        </is>
      </c>
      <c r="C1" s="5" t="inlineStr">
        <is>
          <t>行数: 222</t>
        </is>
      </c>
    </row>
    <row r="4">
      <c r="A4" s="7" t="n">
        <v>1</v>
      </c>
      <c r="B4" s="8" t="inlineStr"/>
    </row>
    <row r="5">
      <c r="A5" s="9" t="n">
        <v>2</v>
      </c>
      <c r="B5" s="10">
        <f>== 2026-06-11T12:53:23 ===</f>
        <v/>
      </c>
    </row>
    <row r="6">
      <c r="A6" s="7" t="n">
        <v>3</v>
      </c>
      <c r="B6" s="8" t="inlineStr">
        <is>
          <t>12:52:15 开始: 岩板台面耐造</t>
        </is>
      </c>
    </row>
    <row r="7">
      <c r="A7" s="9" t="n">
        <v>4</v>
      </c>
      <c r="B7" s="10" t="inlineStr">
        <is>
          <t>12:53:23 ✅ 完成: C:\Users\admin\AppData\Local\JianyingPro\User Data\Projects\com.lveditor.draft\20260611_125323_岩板台面耐造_树剪</t>
        </is>
      </c>
    </row>
    <row r="8">
      <c r="A8" s="7" t="n">
        <v>5</v>
      </c>
      <c r="B8" s="8" t="inlineStr"/>
    </row>
    <row r="9">
      <c r="A9" s="9" t="n">
        <v>6</v>
      </c>
      <c r="B9" s="10" t="inlineStr"/>
    </row>
    <row r="10">
      <c r="A10" s="7" t="n">
        <v>7</v>
      </c>
      <c r="B10" s="8">
        <f>== 2026-06-11T16:46:44 ===</f>
        <v/>
      </c>
    </row>
    <row r="11">
      <c r="A11" s="9" t="n">
        <v>8</v>
      </c>
      <c r="B11" s="10" t="inlineStr">
        <is>
          <t>16:45:45 开始: 原木风岛台</t>
        </is>
      </c>
    </row>
    <row r="12">
      <c r="A12" s="7" t="n">
        <v>9</v>
      </c>
      <c r="B12" s="8" t="inlineStr">
        <is>
          <t>16:46:44 ✅ 完成: C:\Users\admin\AppData\Local\JianyingPro\User Data\Projects\com.lveditor.draft\20260611_164644_原木风岛台_树剪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/>
    </row>
    <row r="15">
      <c r="A15" s="9" t="n">
        <v>12</v>
      </c>
      <c r="B15" s="10">
        <f>== 2026-06-11T16:53:44 ===</f>
        <v/>
      </c>
    </row>
    <row r="16">
      <c r="A16" s="7" t="n">
        <v>13</v>
      </c>
      <c r="B16" s="8" t="inlineStr">
        <is>
          <t>16:45:45 开始: 原木风岛台</t>
        </is>
      </c>
    </row>
    <row r="17">
      <c r="A17" s="9" t="n">
        <v>14</v>
      </c>
      <c r="B17" s="10" t="inlineStr">
        <is>
          <t>16:46:44 ✅ 完成: C:\Users\admin\AppData\Local\JianyingPro\User Data\Projects\com.lveditor.draft\20260611_164644_原木风岛台_树剪</t>
        </is>
      </c>
    </row>
    <row r="18">
      <c r="A18" s="7" t="n">
        <v>15</v>
      </c>
      <c r="B18" s="8" t="inlineStr">
        <is>
          <t>16:53:08 开始: 岛台功能</t>
        </is>
      </c>
    </row>
    <row r="19">
      <c r="A19" s="9" t="n">
        <v>16</v>
      </c>
      <c r="B19" s="10" t="inlineStr">
        <is>
          <t>16:53:21 ⚠ 正在生成中...</t>
        </is>
      </c>
    </row>
    <row r="20">
      <c r="A20" s="7" t="n">
        <v>17</v>
      </c>
      <c r="B20" s="8" t="inlineStr">
        <is>
          <t>16:53:44 ✅ 完成: C:\Users\admin\AppData\Local\JianyingPro\User Data\Projects\com.lveditor.draft\20260611_165344_岛台功能_树剪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/>
    </row>
    <row r="23">
      <c r="A23" s="9" t="n">
        <v>20</v>
      </c>
      <c r="B23" s="10">
        <f>== 2026-06-11T16:54:45 ===</f>
        <v/>
      </c>
    </row>
    <row r="24">
      <c r="A24" s="7" t="n">
        <v>21</v>
      </c>
      <c r="B24" s="8" t="inlineStr">
        <is>
          <t>16:45:45 开始: 原木风岛台</t>
        </is>
      </c>
    </row>
    <row r="25">
      <c r="A25" s="9" t="n">
        <v>22</v>
      </c>
      <c r="B25" s="10" t="inlineStr">
        <is>
          <t>16:46:44 ✅ 完成: C:\Users\admin\AppData\Local\JianyingPro\User Data\Projects\com.lveditor.draft\20260611_164644_原木风岛台_树剪</t>
        </is>
      </c>
    </row>
    <row r="26">
      <c r="A26" s="7" t="n">
        <v>23</v>
      </c>
      <c r="B26" s="8" t="inlineStr">
        <is>
          <t>16:53:08 开始: 岛台功能</t>
        </is>
      </c>
    </row>
    <row r="27">
      <c r="A27" s="9" t="n">
        <v>24</v>
      </c>
      <c r="B27" s="10" t="inlineStr">
        <is>
          <t>16:53:21 ⚠ 正在生成中...</t>
        </is>
      </c>
    </row>
    <row r="28">
      <c r="A28" s="7" t="n">
        <v>25</v>
      </c>
      <c r="B28" s="8" t="inlineStr">
        <is>
          <t>16:53:44 ✅ 完成: C:\Users\admin\AppData\Local\JianyingPro\User Data\Projects\com.lveditor.draft\20260611_165344_岛台功能_树剪</t>
        </is>
      </c>
    </row>
    <row r="29">
      <c r="A29" s="9" t="n">
        <v>26</v>
      </c>
      <c r="B29" s="10" t="inlineStr">
        <is>
          <t>16:54:01 开始: 岛台款式选择</t>
        </is>
      </c>
    </row>
    <row r="30">
      <c r="A30" s="7" t="n">
        <v>27</v>
      </c>
      <c r="B30" s="8" t="inlineStr">
        <is>
          <t>16:54:45 ✅ 完成: C:\Users\admin\AppData\Local\JianyingPro\User Data\Projects\com.lveditor.draft\20260611_165445_岛台款式选择_树剪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/>
    </row>
    <row r="33">
      <c r="A33" s="9" t="n">
        <v>30</v>
      </c>
      <c r="B33" s="10">
        <f>== 2026-06-11T21:15:41 ===</f>
        <v/>
      </c>
    </row>
    <row r="34">
      <c r="A34" s="7" t="n">
        <v>31</v>
      </c>
      <c r="B34" s="8" t="inlineStr">
        <is>
          <t>21:14:12 开始: 入户产品介绍</t>
        </is>
      </c>
    </row>
    <row r="35">
      <c r="A35" s="9" t="n">
        <v>32</v>
      </c>
      <c r="B35" s="10" t="inlineStr">
        <is>
          <t>21:15:41 ✅ 完成: C:\Users\admin\AppData\Local\JianyingPro\User Data\Projects\com.lveditor.draft\20260611_211541_入户产品介绍_树剪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/>
    </row>
    <row r="38">
      <c r="A38" s="7" t="n">
        <v>35</v>
      </c>
      <c r="B38" s="8">
        <f>== 2026-06-12T23:05:01 ===</f>
        <v/>
      </c>
    </row>
    <row r="39">
      <c r="A39" s="9" t="n">
        <v>36</v>
      </c>
      <c r="B39" s="10" t="inlineStr">
        <is>
          <t>23:03:19 开始: 轨道插座</t>
        </is>
      </c>
    </row>
    <row r="40">
      <c r="A40" s="7" t="n">
        <v>37</v>
      </c>
      <c r="B40" s="8" t="inlineStr">
        <is>
          <t>23:05:01 完成: C:\Users\admin\AppData\Local\JianyingPro\User Data\Projects\com.lveditor.draft\20260612_230501_轨道插座_树剪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/>
    </row>
    <row r="43">
      <c r="A43" s="9" t="n">
        <v>40</v>
      </c>
      <c r="B43" s="10">
        <f>== 2026-06-13T22:50:48 ===</f>
        <v/>
      </c>
    </row>
    <row r="44">
      <c r="A44" s="7" t="n">
        <v>41</v>
      </c>
      <c r="B44" s="8" t="inlineStr">
        <is>
          <t>22:48:46 开始: 原木风岛台</t>
        </is>
      </c>
    </row>
    <row r="45">
      <c r="A45" s="9" t="n">
        <v>42</v>
      </c>
      <c r="B45" s="10" t="inlineStr">
        <is>
          <t>22:50:48 完成: C:\Users\admin\AppData\Local\JianyingPro\User Data\Projects\com.lveditor.draft\20260613_225048_原木风岛台_树剪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/>
    </row>
    <row r="48">
      <c r="A48" s="7" t="n">
        <v>45</v>
      </c>
      <c r="B48" s="8">
        <f>== 2026-06-13T22:53:01 ===</f>
        <v/>
      </c>
    </row>
    <row r="49">
      <c r="A49" s="9" t="n">
        <v>46</v>
      </c>
      <c r="B49" s="10" t="inlineStr">
        <is>
          <t>22:48:46 开始: 原木风岛台</t>
        </is>
      </c>
    </row>
    <row r="50">
      <c r="A50" s="7" t="n">
        <v>47</v>
      </c>
      <c r="B50" s="8" t="inlineStr">
        <is>
          <t>22:50:48 完成: C:\Users\admin\AppData\Local\JianyingPro\User Data\Projects\com.lveditor.draft\20260613_225048_原木风岛台_树剪</t>
        </is>
      </c>
    </row>
    <row r="51">
      <c r="A51" s="9" t="n">
        <v>48</v>
      </c>
      <c r="B51" s="10" t="inlineStr">
        <is>
          <t>22:51:50 开始: 岛台款式选择</t>
        </is>
      </c>
    </row>
    <row r="52">
      <c r="A52" s="7" t="n">
        <v>49</v>
      </c>
      <c r="B52" s="8" t="inlineStr">
        <is>
          <t>22:51:59 [WARN] 正在生成中...</t>
        </is>
      </c>
    </row>
    <row r="53">
      <c r="A53" s="9" t="n">
        <v>50</v>
      </c>
      <c r="B53" s="10" t="inlineStr">
        <is>
          <t>22:53:01 完成: C:\Users\admin\AppData\Local\JianyingPro\User Data\Projects\com.lveditor.draft\20260613_225301_岛台款式选择_树剪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/>
    </row>
    <row r="56">
      <c r="A56" s="7" t="n">
        <v>53</v>
      </c>
      <c r="B56" s="8">
        <f>== 2026-06-13T22:55:12 ===</f>
        <v/>
      </c>
    </row>
    <row r="57">
      <c r="A57" s="9" t="n">
        <v>54</v>
      </c>
      <c r="B57" s="10" t="inlineStr">
        <is>
          <t>22:48:46 开始: 原木风岛台</t>
        </is>
      </c>
    </row>
    <row r="58">
      <c r="A58" s="7" t="n">
        <v>55</v>
      </c>
      <c r="B58" s="8" t="inlineStr">
        <is>
          <t>22:50:48 完成: C:\Users\admin\AppData\Local\JianyingPro\User Data\Projects\com.lveditor.draft\20260613_225048_原木风岛台_树剪</t>
        </is>
      </c>
    </row>
    <row r="59">
      <c r="A59" s="9" t="n">
        <v>56</v>
      </c>
      <c r="B59" s="10" t="inlineStr">
        <is>
          <t>22:51:50 开始: 岛台款式选择</t>
        </is>
      </c>
    </row>
    <row r="60">
      <c r="A60" s="7" t="n">
        <v>57</v>
      </c>
      <c r="B60" s="8" t="inlineStr">
        <is>
          <t>22:51:59 [WARN] 正在生成中...</t>
        </is>
      </c>
    </row>
    <row r="61">
      <c r="A61" s="9" t="n">
        <v>58</v>
      </c>
      <c r="B61" s="10" t="inlineStr">
        <is>
          <t>22:53:01 完成: C:\Users\admin\AppData\Local\JianyingPro\User Data\Projects\com.lveditor.draft\20260613_225301_岛台款式选择_树剪</t>
        </is>
      </c>
    </row>
    <row r="62">
      <c r="A62" s="7" t="n">
        <v>59</v>
      </c>
      <c r="B62" s="8" t="inlineStr">
        <is>
          <t>22:53:48 开始: 入户产品介绍</t>
        </is>
      </c>
    </row>
    <row r="63">
      <c r="A63" s="9" t="n">
        <v>60</v>
      </c>
      <c r="B63" s="10" t="inlineStr">
        <is>
          <t>22:53:48 [Filter] 使用 481 个文件夹</t>
        </is>
      </c>
    </row>
    <row r="64">
      <c r="A64" s="7" t="n">
        <v>61</v>
      </c>
      <c r="B64" s="8" t="inlineStr">
        <is>
          <t>22:55:12 完成: C:\Users\admin\AppData\Local\JianyingPro\User Data\Projects\com.lveditor.draft\20260613_225512_入户产品介绍_树剪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/>
    </row>
    <row r="67">
      <c r="A67" s="9" t="n">
        <v>64</v>
      </c>
      <c r="B67" s="10">
        <f>== 2026-06-17T21:30:41 ===</f>
        <v/>
      </c>
    </row>
    <row r="68">
      <c r="A68" s="7" t="n">
        <v>65</v>
      </c>
      <c r="B68" s="8" t="inlineStr">
        <is>
          <t>21:29:10 开始: 海棠角</t>
        </is>
      </c>
    </row>
    <row r="69">
      <c r="A69" s="9" t="n">
        <v>66</v>
      </c>
      <c r="B69" s="10" t="inlineStr">
        <is>
          <t>21:29:10 [Filter] 使用 481 个文件夹</t>
        </is>
      </c>
    </row>
    <row r="70">
      <c r="A70" s="7" t="n">
        <v>67</v>
      </c>
      <c r="B70" s="8" t="inlineStr">
        <is>
          <t>21:30:41 完成: C:\Users\admin\AppData\Local\JianyingPro\User Data\Projects\com.lveditor.draft\20260617_213041_海棠角_树剪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/>
    </row>
    <row r="73">
      <c r="A73" s="9" t="n">
        <v>70</v>
      </c>
      <c r="B73" s="10">
        <f>== 2026-06-17T21:39:04 ===</f>
        <v/>
      </c>
    </row>
    <row r="74">
      <c r="A74" s="7" t="n">
        <v>71</v>
      </c>
      <c r="B74" s="8" t="inlineStr">
        <is>
          <t>21:29:10 开始: 海棠角</t>
        </is>
      </c>
    </row>
    <row r="75">
      <c r="A75" s="9" t="n">
        <v>72</v>
      </c>
      <c r="B75" s="10" t="inlineStr">
        <is>
          <t>21:29:10 [Filter] 使用 481 个文件夹</t>
        </is>
      </c>
    </row>
    <row r="76">
      <c r="A76" s="7" t="n">
        <v>73</v>
      </c>
      <c r="B76" s="8" t="inlineStr">
        <is>
          <t>21:30:41 完成: C:\Users\admin\AppData\Local\JianyingPro\User Data\Projects\com.lveditor.draft\20260617_213041_海棠角_树剪</t>
        </is>
      </c>
    </row>
    <row r="77">
      <c r="A77" s="9" t="n">
        <v>74</v>
      </c>
      <c r="B77" s="10" t="inlineStr">
        <is>
          <t>21:37:54 开始: 海棠角</t>
        </is>
      </c>
    </row>
    <row r="78">
      <c r="A78" s="7" t="n">
        <v>75</v>
      </c>
      <c r="B78" s="8" t="inlineStr">
        <is>
          <t>21:37:54 [Filter] 使用 481 个文件夹</t>
        </is>
      </c>
    </row>
    <row r="79">
      <c r="A79" s="9" t="n">
        <v>76</v>
      </c>
      <c r="B79" s="10" t="inlineStr">
        <is>
          <t>21:39:04 完成: C:\Users\admin\AppData\Local\JianyingPro\User Data\Projects\com.lveditor.draft\20260617_213904_海棠角_树剪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/>
    </row>
    <row r="82">
      <c r="A82" s="7" t="n">
        <v>79</v>
      </c>
      <c r="B82" s="8">
        <f>== 2026-06-17T22:16:18 ===</f>
        <v/>
      </c>
    </row>
    <row r="83">
      <c r="A83" s="9" t="n">
        <v>80</v>
      </c>
      <c r="B83" s="10" t="inlineStr">
        <is>
          <t>21:29:10 开始: 海棠角</t>
        </is>
      </c>
    </row>
    <row r="84">
      <c r="A84" s="7" t="n">
        <v>81</v>
      </c>
      <c r="B84" s="8" t="inlineStr">
        <is>
          <t>21:29:10 [Filter] 使用 481 个文件夹</t>
        </is>
      </c>
    </row>
    <row r="85">
      <c r="A85" s="9" t="n">
        <v>82</v>
      </c>
      <c r="B85" s="10" t="inlineStr">
        <is>
          <t>21:30:41 完成: C:\Users\admin\AppData\Local\JianyingPro\User Data\Projects\com.lveditor.draft\20260617_213041_海棠角_树剪</t>
        </is>
      </c>
    </row>
    <row r="86">
      <c r="A86" s="7" t="n">
        <v>83</v>
      </c>
      <c r="B86" s="8" t="inlineStr">
        <is>
          <t>21:37:54 开始: 海棠角</t>
        </is>
      </c>
    </row>
    <row r="87">
      <c r="A87" s="9" t="n">
        <v>84</v>
      </c>
      <c r="B87" s="10" t="inlineStr">
        <is>
          <t>21:37:54 [Filter] 使用 481 个文件夹</t>
        </is>
      </c>
    </row>
    <row r="88">
      <c r="A88" s="7" t="n">
        <v>85</v>
      </c>
      <c r="B88" s="8" t="inlineStr">
        <is>
          <t>21:39:04 完成: C:\Users\admin\AppData\Local\JianyingPro\User Data\Projects\com.lveditor.draft\20260617_213904_海棠角_树剪</t>
        </is>
      </c>
    </row>
    <row r="89">
      <c r="A89" s="9" t="n">
        <v>86</v>
      </c>
      <c r="B89" s="10" t="inlineStr">
        <is>
          <t>22:15:10 开始: 入户产品介绍</t>
        </is>
      </c>
    </row>
    <row r="90">
      <c r="A90" s="7" t="n">
        <v>87</v>
      </c>
      <c r="B90" s="8" t="inlineStr">
        <is>
          <t>22:15:11 [Filter] 使用 481 个文件夹</t>
        </is>
      </c>
    </row>
    <row r="91">
      <c r="A91" s="9" t="n">
        <v>88</v>
      </c>
      <c r="B91" s="10" t="inlineStr">
        <is>
          <t>22:16:18 完成: C:\Users\admin\AppData\Local\JianyingPro\User Data\Projects\com.lveditor.draft\20260617_221618_入户产品介绍_树剪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/>
    </row>
    <row r="94">
      <c r="A94" s="7" t="n">
        <v>91</v>
      </c>
      <c r="B94" s="8">
        <f>== 2026-06-18T12:41:27 ===</f>
        <v/>
      </c>
    </row>
    <row r="95">
      <c r="A95" s="9" t="n">
        <v>92</v>
      </c>
      <c r="B95" s="10" t="inlineStr">
        <is>
          <t>21:29:10 开始: 海棠角</t>
        </is>
      </c>
    </row>
    <row r="96">
      <c r="A96" s="7" t="n">
        <v>93</v>
      </c>
      <c r="B96" s="8" t="inlineStr">
        <is>
          <t>21:29:10 [Filter] 使用 481 个文件夹</t>
        </is>
      </c>
    </row>
    <row r="97">
      <c r="A97" s="9" t="n">
        <v>94</v>
      </c>
      <c r="B97" s="10" t="inlineStr">
        <is>
          <t>21:30:41 完成: C:\Users\admin\AppData\Local\JianyingPro\User Data\Projects\com.lveditor.draft\20260617_213041_海棠角_树剪</t>
        </is>
      </c>
    </row>
    <row r="98">
      <c r="A98" s="7" t="n">
        <v>95</v>
      </c>
      <c r="B98" s="8" t="inlineStr">
        <is>
          <t>21:37:54 开始: 海棠角</t>
        </is>
      </c>
    </row>
    <row r="99">
      <c r="A99" s="9" t="n">
        <v>96</v>
      </c>
      <c r="B99" s="10" t="inlineStr">
        <is>
          <t>21:37:54 [Filter] 使用 481 个文件夹</t>
        </is>
      </c>
    </row>
    <row r="100">
      <c r="A100" s="7" t="n">
        <v>97</v>
      </c>
      <c r="B100" s="8" t="inlineStr">
        <is>
          <t>21:39:04 完成: C:\Users\admin\AppData\Local\JianyingPro\User Data\Projects\com.lveditor.draft\20260617_213904_海棠角_树剪</t>
        </is>
      </c>
    </row>
    <row r="101">
      <c r="A101" s="9" t="n">
        <v>98</v>
      </c>
      <c r="B101" s="10" t="inlineStr">
        <is>
          <t>22:15:10 开始: 入户产品介绍</t>
        </is>
      </c>
    </row>
    <row r="102">
      <c r="A102" s="7" t="n">
        <v>99</v>
      </c>
      <c r="B102" s="8" t="inlineStr">
        <is>
          <t>22:15:11 [Filter] 使用 481 个文件夹</t>
        </is>
      </c>
    </row>
    <row r="103">
      <c r="A103" s="9" t="n">
        <v>100</v>
      </c>
      <c r="B103" s="10" t="inlineStr">
        <is>
          <t>22:16:18 完成: C:\Users\admin\AppData\Local\JianyingPro\User Data\Projects\com.lveditor.draft\20260617_221618_入户产品介绍_树剪</t>
        </is>
      </c>
    </row>
    <row r="104">
      <c r="A104" s="7" t="n">
        <v>101</v>
      </c>
      <c r="B104" s="8" t="inlineStr">
        <is>
          <t>12:40:44 开始: 岩板台面耐造</t>
        </is>
      </c>
    </row>
    <row r="105">
      <c r="A105" s="9" t="n">
        <v>102</v>
      </c>
      <c r="B105" s="10" t="inlineStr">
        <is>
          <t>12:40:44 [Filter] 使用 481 个文件夹</t>
        </is>
      </c>
    </row>
    <row r="106">
      <c r="A106" s="7" t="n">
        <v>103</v>
      </c>
      <c r="B106" s="8" t="inlineStr">
        <is>
          <t>12:41:27 完成: C:\Users\admin\AppData\Local\JianyingPro\User Data\Projects\com.lveditor.draft\20260618_124127_岩板台面耐造_树剪</t>
        </is>
      </c>
    </row>
    <row r="107">
      <c r="A107" s="9" t="n">
        <v>104</v>
      </c>
      <c r="B107" s="10" t="inlineStr"/>
    </row>
    <row r="108">
      <c r="A108" s="7" t="n">
        <v>105</v>
      </c>
      <c r="B108" s="8" t="inlineStr"/>
    </row>
    <row r="109">
      <c r="A109" s="9" t="n">
        <v>106</v>
      </c>
      <c r="B109" s="10">
        <f>== 2026-06-18T12:43:47 ===</f>
        <v/>
      </c>
    </row>
    <row r="110">
      <c r="A110" s="7" t="n">
        <v>107</v>
      </c>
      <c r="B110" s="8" t="inlineStr">
        <is>
          <t>21:29:10 开始: 海棠角</t>
        </is>
      </c>
    </row>
    <row r="111">
      <c r="A111" s="9" t="n">
        <v>108</v>
      </c>
      <c r="B111" s="10" t="inlineStr">
        <is>
          <t>21:29:10 [Filter] 使用 481 个文件夹</t>
        </is>
      </c>
    </row>
    <row r="112">
      <c r="A112" s="7" t="n">
        <v>109</v>
      </c>
      <c r="B112" s="8" t="inlineStr">
        <is>
          <t>21:30:41 完成: C:\Users\admin\AppData\Local\JianyingPro\User Data\Projects\com.lveditor.draft\20260617_213041_海棠角_树剪</t>
        </is>
      </c>
    </row>
    <row r="113">
      <c r="A113" s="9" t="n">
        <v>110</v>
      </c>
      <c r="B113" s="10" t="inlineStr">
        <is>
          <t>21:37:54 开始: 海棠角</t>
        </is>
      </c>
    </row>
    <row r="114">
      <c r="A114" s="7" t="n">
        <v>111</v>
      </c>
      <c r="B114" s="8" t="inlineStr">
        <is>
          <t>21:37:54 [Filter] 使用 481 个文件夹</t>
        </is>
      </c>
    </row>
    <row r="115">
      <c r="A115" s="9" t="n">
        <v>112</v>
      </c>
      <c r="B115" s="10" t="inlineStr">
        <is>
          <t>21:39:04 完成: C:\Users\admin\AppData\Local\JianyingPro\User Data\Projects\com.lveditor.draft\20260617_213904_海棠角_树剪</t>
        </is>
      </c>
    </row>
    <row r="116">
      <c r="A116" s="7" t="n">
        <v>113</v>
      </c>
      <c r="B116" s="8" t="inlineStr">
        <is>
          <t>22:15:10 开始: 入户产品介绍</t>
        </is>
      </c>
    </row>
    <row r="117">
      <c r="A117" s="9" t="n">
        <v>114</v>
      </c>
      <c r="B117" s="10" t="inlineStr">
        <is>
          <t>22:15:11 [Filter] 使用 481 个文件夹</t>
        </is>
      </c>
    </row>
    <row r="118">
      <c r="A118" s="7" t="n">
        <v>115</v>
      </c>
      <c r="B118" s="8" t="inlineStr">
        <is>
          <t>22:16:18 完成: C:\Users\admin\AppData\Local\JianyingPro\User Data\Projects\com.lveditor.draft\20260617_221618_入户产品介绍_树剪</t>
        </is>
      </c>
    </row>
    <row r="119">
      <c r="A119" s="9" t="n">
        <v>116</v>
      </c>
      <c r="B119" s="10" t="inlineStr">
        <is>
          <t>12:40:44 开始: 岩板台面耐造</t>
        </is>
      </c>
    </row>
    <row r="120">
      <c r="A120" s="7" t="n">
        <v>117</v>
      </c>
      <c r="B120" s="8" t="inlineStr">
        <is>
          <t>12:40:44 [Filter] 使用 481 个文件夹</t>
        </is>
      </c>
    </row>
    <row r="121">
      <c r="A121" s="9" t="n">
        <v>118</v>
      </c>
      <c r="B121" s="10" t="inlineStr">
        <is>
          <t>12:41:27 完成: C:\Users\admin\AppData\Local\JianyingPro\User Data\Projects\com.lveditor.draft\20260618_124127_岩板台面耐造_树剪</t>
        </is>
      </c>
    </row>
    <row r="122">
      <c r="A122" s="7" t="n">
        <v>119</v>
      </c>
      <c r="B122" s="8" t="inlineStr">
        <is>
          <t>12:42:50 开始: 岩板台面耐造</t>
        </is>
      </c>
    </row>
    <row r="123">
      <c r="A123" s="9" t="n">
        <v>120</v>
      </c>
      <c r="B123" s="10" t="inlineStr">
        <is>
          <t>12:42:50 [Filter] 使用 481 个文件夹</t>
        </is>
      </c>
    </row>
    <row r="124">
      <c r="A124" s="7" t="n">
        <v>121</v>
      </c>
      <c r="B124" s="8" t="inlineStr">
        <is>
          <t>12:43:47 完成: C:\Users\admin\AppData\Local\JianyingPro\User Data\Projects\com.lveditor.draft\20260618_124347_岩板台面耐造_树剪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/>
    </row>
    <row r="127">
      <c r="A127" s="9" t="n">
        <v>124</v>
      </c>
      <c r="B127" s="10">
        <f>== 2026-06-18T12:47:08 ===</f>
        <v/>
      </c>
    </row>
    <row r="128">
      <c r="A128" s="7" t="n">
        <v>125</v>
      </c>
      <c r="B128" s="8" t="inlineStr">
        <is>
          <t>12:45:21 开始: 岩板台面耐造</t>
        </is>
      </c>
    </row>
    <row r="129">
      <c r="A129" s="9" t="n">
        <v>126</v>
      </c>
      <c r="B129" s="10" t="inlineStr">
        <is>
          <t>12:47:08 完成: C:\Users\admin\AppData\Local\JianyingPro\User Data\Projects\com.lveditor.draft\20260618_124708_岩板台面耐造_树剪</t>
        </is>
      </c>
    </row>
    <row r="130">
      <c r="A130" s="7" t="n">
        <v>127</v>
      </c>
      <c r="B130" s="8" t="inlineStr"/>
    </row>
    <row r="131">
      <c r="A131" s="9" t="n">
        <v>128</v>
      </c>
      <c r="B131" s="10" t="inlineStr"/>
    </row>
    <row r="132">
      <c r="A132" s="7" t="n">
        <v>129</v>
      </c>
      <c r="B132" s="8">
        <f>== 2026-06-18T12:49:11 ===</f>
        <v/>
      </c>
    </row>
    <row r="133">
      <c r="A133" s="9" t="n">
        <v>130</v>
      </c>
      <c r="B133" s="10" t="inlineStr">
        <is>
          <t>12:45:21 开始: 岩板台面耐造</t>
        </is>
      </c>
    </row>
    <row r="134">
      <c r="A134" s="7" t="n">
        <v>131</v>
      </c>
      <c r="B134" s="8" t="inlineStr">
        <is>
          <t>12:47:08 完成: C:\Users\admin\AppData\Local\JianyingPro\User Data\Projects\com.lveditor.draft\20260618_124708_岩板台面耐造_树剪</t>
        </is>
      </c>
    </row>
    <row r="135">
      <c r="A135" s="9" t="n">
        <v>132</v>
      </c>
      <c r="B135" s="10" t="inlineStr">
        <is>
          <t>12:48:28 开始: 岩板台面耐造</t>
        </is>
      </c>
    </row>
    <row r="136">
      <c r="A136" s="7" t="n">
        <v>133</v>
      </c>
      <c r="B136" s="8" t="inlineStr">
        <is>
          <t>12:49:11 完成: C:\Users\admin\AppData\Local\JianyingPro\User Data\Projects\com.lveditor.draft\20260618_124911_岩板台面耐造_树剪</t>
        </is>
      </c>
    </row>
    <row r="137">
      <c r="A137" s="9" t="n">
        <v>134</v>
      </c>
      <c r="B137" s="10" t="inlineStr"/>
    </row>
    <row r="138">
      <c r="A138" s="7" t="n">
        <v>135</v>
      </c>
      <c r="B138" s="8" t="inlineStr"/>
    </row>
    <row r="139">
      <c r="A139" s="9" t="n">
        <v>136</v>
      </c>
      <c r="B139" s="10">
        <f>== 2026-06-18T12:59:53 ===</f>
        <v/>
      </c>
    </row>
    <row r="140">
      <c r="A140" s="7" t="n">
        <v>137</v>
      </c>
      <c r="B140" s="8" t="inlineStr">
        <is>
          <t>12:45:21 开始: 岩板台面耐造</t>
        </is>
      </c>
    </row>
    <row r="141">
      <c r="A141" s="9" t="n">
        <v>138</v>
      </c>
      <c r="B141" s="10" t="inlineStr">
        <is>
          <t>12:47:08 完成: C:\Users\admin\AppData\Local\JianyingPro\User Data\Projects\com.lveditor.draft\20260618_124708_岩板台面耐造_树剪</t>
        </is>
      </c>
    </row>
    <row r="142">
      <c r="A142" s="7" t="n">
        <v>139</v>
      </c>
      <c r="B142" s="8" t="inlineStr">
        <is>
          <t>12:48:28 开始: 岩板台面耐造</t>
        </is>
      </c>
    </row>
    <row r="143">
      <c r="A143" s="9" t="n">
        <v>140</v>
      </c>
      <c r="B143" s="10" t="inlineStr">
        <is>
          <t>12:49:11 完成: C:\Users\admin\AppData\Local\JianyingPro\User Data\Projects\com.lveditor.draft\20260618_124911_岩板台面耐造_树剪</t>
        </is>
      </c>
    </row>
    <row r="144">
      <c r="A144" s="7" t="n">
        <v>141</v>
      </c>
      <c r="B144" s="8" t="inlineStr">
        <is>
          <t>12:59:02 开始: 岩板台面耐造</t>
        </is>
      </c>
    </row>
    <row r="145">
      <c r="A145" s="9" t="n">
        <v>142</v>
      </c>
      <c r="B145" s="10" t="inlineStr">
        <is>
          <t>12:59:53 完成: C:\Users\admin\AppData\Local\JianyingPro\User Data\Projects\com.lveditor.draft\20260618_125953_岩板台面耐造_树剪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/>
    </row>
    <row r="148">
      <c r="A148" s="7" t="n">
        <v>145</v>
      </c>
      <c r="B148" s="8">
        <f>== 2026-06-18T13:04:12 ===</f>
        <v/>
      </c>
    </row>
    <row r="149">
      <c r="A149" s="9" t="n">
        <v>146</v>
      </c>
      <c r="B149" s="10" t="inlineStr">
        <is>
          <t>12:45:21 开始: 岩板台面耐造</t>
        </is>
      </c>
    </row>
    <row r="150">
      <c r="A150" s="7" t="n">
        <v>147</v>
      </c>
      <c r="B150" s="8" t="inlineStr">
        <is>
          <t>12:47:08 完成: C:\Users\admin\AppData\Local\JianyingPro\User Data\Projects\com.lveditor.draft\20260618_124708_岩板台面耐造_树剪</t>
        </is>
      </c>
    </row>
    <row r="151">
      <c r="A151" s="9" t="n">
        <v>148</v>
      </c>
      <c r="B151" s="10" t="inlineStr">
        <is>
          <t>12:48:28 开始: 岩板台面耐造</t>
        </is>
      </c>
    </row>
    <row r="152">
      <c r="A152" s="7" t="n">
        <v>149</v>
      </c>
      <c r="B152" s="8" t="inlineStr">
        <is>
          <t>12:49:11 完成: C:\Users\admin\AppData\Local\JianyingPro\User Data\Projects\com.lveditor.draft\20260618_124911_岩板台面耐造_树剪</t>
        </is>
      </c>
    </row>
    <row r="153">
      <c r="A153" s="9" t="n">
        <v>150</v>
      </c>
      <c r="B153" s="10" t="inlineStr">
        <is>
          <t>12:59:02 开始: 岩板台面耐造</t>
        </is>
      </c>
    </row>
    <row r="154">
      <c r="A154" s="7" t="n">
        <v>151</v>
      </c>
      <c r="B154" s="8" t="inlineStr">
        <is>
          <t>12:59:53 完成: C:\Users\admin\AppData\Local\JianyingPro\User Data\Projects\com.lveditor.draft\20260618_125953_岩板台面耐造_树剪</t>
        </is>
      </c>
    </row>
    <row r="155">
      <c r="A155" s="9" t="n">
        <v>152</v>
      </c>
      <c r="B155" s="10" t="inlineStr">
        <is>
          <t>13:03:07 开始: 岩板台面耐造</t>
        </is>
      </c>
    </row>
    <row r="156">
      <c r="A156" s="7" t="n">
        <v>153</v>
      </c>
      <c r="B156" s="8" t="inlineStr">
        <is>
          <t>13:04:12 完成: C:\Users\admin\AppData\Local\JianyingPro\User Data\Projects\com.lveditor.draft\20260618_130412_岩板台面耐造_树剪</t>
        </is>
      </c>
    </row>
    <row r="157">
      <c r="A157" s="9" t="n">
        <v>154</v>
      </c>
      <c r="B157" s="10" t="inlineStr"/>
    </row>
    <row r="158">
      <c r="A158" s="7" t="n">
        <v>155</v>
      </c>
      <c r="B158" s="8" t="inlineStr"/>
    </row>
    <row r="159">
      <c r="A159" s="9" t="n">
        <v>156</v>
      </c>
      <c r="B159" s="10">
        <f>== 2026-06-18T13:14:27 ===</f>
        <v/>
      </c>
    </row>
    <row r="160">
      <c r="A160" s="7" t="n">
        <v>157</v>
      </c>
      <c r="B160" s="8" t="inlineStr">
        <is>
          <t>12:45:21 开始: 岩板台面耐造</t>
        </is>
      </c>
    </row>
    <row r="161">
      <c r="A161" s="9" t="n">
        <v>158</v>
      </c>
      <c r="B161" s="10" t="inlineStr">
        <is>
          <t>12:47:08 完成: C:\Users\admin\AppData\Local\JianyingPro\User Data\Projects\com.lveditor.draft\20260618_124708_岩板台面耐造_树剪</t>
        </is>
      </c>
    </row>
    <row r="162">
      <c r="A162" s="7" t="n">
        <v>159</v>
      </c>
      <c r="B162" s="8" t="inlineStr">
        <is>
          <t>12:48:28 开始: 岩板台面耐造</t>
        </is>
      </c>
    </row>
    <row r="163">
      <c r="A163" s="9" t="n">
        <v>160</v>
      </c>
      <c r="B163" s="10" t="inlineStr">
        <is>
          <t>12:49:11 完成: C:\Users\admin\AppData\Local\JianyingPro\User Data\Projects\com.lveditor.draft\20260618_124911_岩板台面耐造_树剪</t>
        </is>
      </c>
    </row>
    <row r="164">
      <c r="A164" s="7" t="n">
        <v>161</v>
      </c>
      <c r="B164" s="8" t="inlineStr">
        <is>
          <t>12:59:02 开始: 岩板台面耐造</t>
        </is>
      </c>
    </row>
    <row r="165">
      <c r="A165" s="9" t="n">
        <v>162</v>
      </c>
      <c r="B165" s="10" t="inlineStr">
        <is>
          <t>12:59:53 完成: C:\Users\admin\AppData\Local\JianyingPro\User Data\Projects\com.lveditor.draft\20260618_125953_岩板台面耐造_树剪</t>
        </is>
      </c>
    </row>
    <row r="166">
      <c r="A166" s="7" t="n">
        <v>163</v>
      </c>
      <c r="B166" s="8" t="inlineStr">
        <is>
          <t>13:03:07 开始: 岩板台面耐造</t>
        </is>
      </c>
    </row>
    <row r="167">
      <c r="A167" s="9" t="n">
        <v>164</v>
      </c>
      <c r="B167" s="10" t="inlineStr">
        <is>
          <t>13:04:12 完成: C:\Users\admin\AppData\Local\JianyingPro\User Data\Projects\com.lveditor.draft\20260618_130412_岩板台面耐造_树剪</t>
        </is>
      </c>
    </row>
    <row r="168">
      <c r="A168" s="7" t="n">
        <v>165</v>
      </c>
      <c r="B168" s="8" t="inlineStr">
        <is>
          <t>13:13:35 开始: 岩板台面耐造</t>
        </is>
      </c>
    </row>
    <row r="169">
      <c r="A169" s="9" t="n">
        <v>166</v>
      </c>
      <c r="B169" s="10" t="inlineStr">
        <is>
          <t>13:14:27 完成: C:\Users\admin\AppData\Local\JianyingPro\User Data\Projects\com.lveditor.draft\20260618_131427_岩板台面耐造_树剪</t>
        </is>
      </c>
    </row>
    <row r="170">
      <c r="A170" s="7" t="n">
        <v>167</v>
      </c>
      <c r="B170" s="8" t="inlineStr"/>
    </row>
    <row r="171">
      <c r="A171" s="9" t="n">
        <v>168</v>
      </c>
      <c r="B171" s="10" t="inlineStr"/>
    </row>
    <row r="172">
      <c r="A172" s="7" t="n">
        <v>169</v>
      </c>
      <c r="B172" s="8">
        <f>== 2026-06-19T16:43:30 ===</f>
        <v/>
      </c>
    </row>
    <row r="173">
      <c r="A173" s="9" t="n">
        <v>170</v>
      </c>
      <c r="B173" s="10" t="inlineStr">
        <is>
          <t>16:41:02 开始: 岩板台面耐造</t>
        </is>
      </c>
    </row>
    <row r="174">
      <c r="A174" s="7" t="n">
        <v>171</v>
      </c>
      <c r="B174" s="8" t="inlineStr">
        <is>
          <t>16:43:30 完成: C:\Users\admin\AppData\Local\JianyingPro\User Data\Projects\com.lveditor.draft\20260619_164330_岩板台面耐造_树剪</t>
        </is>
      </c>
    </row>
    <row r="175">
      <c r="A175" s="9" t="n">
        <v>172</v>
      </c>
      <c r="B175" s="10" t="inlineStr"/>
    </row>
    <row r="176">
      <c r="A176" s="7" t="n">
        <v>173</v>
      </c>
      <c r="B176" s="8" t="inlineStr"/>
    </row>
    <row r="177">
      <c r="A177" s="9" t="n">
        <v>174</v>
      </c>
      <c r="B177" s="10">
        <f>== 2026-06-19T16:44:23 ===</f>
        <v/>
      </c>
    </row>
    <row r="178">
      <c r="A178" s="7" t="n">
        <v>175</v>
      </c>
      <c r="B178" s="8" t="inlineStr">
        <is>
          <t>16:41:02 开始: 岩板台面耐造</t>
        </is>
      </c>
    </row>
    <row r="179">
      <c r="A179" s="9" t="n">
        <v>176</v>
      </c>
      <c r="B179" s="10" t="inlineStr">
        <is>
          <t>16:43:30 完成: C:\Users\admin\AppData\Local\JianyingPro\User Data\Projects\com.lveditor.draft\20260619_164330_岩板台面耐造_树剪</t>
        </is>
      </c>
    </row>
    <row r="180">
      <c r="A180" s="7" t="n">
        <v>177</v>
      </c>
      <c r="B180" s="8" t="inlineStr">
        <is>
          <t>16:43:40 开始: 岩板台面耐造</t>
        </is>
      </c>
    </row>
    <row r="181">
      <c r="A181" s="9" t="n">
        <v>178</v>
      </c>
      <c r="B181" s="10" t="inlineStr">
        <is>
          <t>16:44:23 完成: C:\Users\admin\AppData\Local\JianyingPro\User Data\Projects\com.lveditor.draft\20260619_164423_岩板台面耐造_树剪</t>
        </is>
      </c>
    </row>
    <row r="182">
      <c r="A182" s="7" t="n">
        <v>179</v>
      </c>
      <c r="B182" s="8" t="inlineStr"/>
    </row>
    <row r="183">
      <c r="A183" s="9" t="n">
        <v>180</v>
      </c>
      <c r="B183" s="10" t="inlineStr"/>
    </row>
    <row r="184">
      <c r="A184" s="7" t="n">
        <v>181</v>
      </c>
      <c r="B184" s="8">
        <f>== 2026-06-19T16:49:37 ===</f>
        <v/>
      </c>
    </row>
    <row r="185">
      <c r="A185" s="9" t="n">
        <v>182</v>
      </c>
      <c r="B185" s="10" t="inlineStr">
        <is>
          <t>16:41:02 开始: 岩板台面耐造</t>
        </is>
      </c>
    </row>
    <row r="186">
      <c r="A186" s="7" t="n">
        <v>183</v>
      </c>
      <c r="B186" s="8" t="inlineStr">
        <is>
          <t>16:43:30 完成: C:\Users\admin\AppData\Local\JianyingPro\User Data\Projects\com.lveditor.draft\20260619_164330_岩板台面耐造_树剪</t>
        </is>
      </c>
    </row>
    <row r="187">
      <c r="A187" s="9" t="n">
        <v>184</v>
      </c>
      <c r="B187" s="10" t="inlineStr">
        <is>
          <t>16:43:40 开始: 岩板台面耐造</t>
        </is>
      </c>
    </row>
    <row r="188">
      <c r="A188" s="7" t="n">
        <v>185</v>
      </c>
      <c r="B188" s="8" t="inlineStr">
        <is>
          <t>16:44:23 完成: C:\Users\admin\AppData\Local\JianyingPro\User Data\Projects\com.lveditor.draft\20260619_164423_岩板台面耐造_树剪</t>
        </is>
      </c>
    </row>
    <row r="189">
      <c r="A189" s="9" t="n">
        <v>186</v>
      </c>
      <c r="B189" s="10" t="inlineStr">
        <is>
          <t>16:48:55 开始: 岩板台面耐造</t>
        </is>
      </c>
    </row>
    <row r="190">
      <c r="A190" s="7" t="n">
        <v>187</v>
      </c>
      <c r="B190" s="8" t="inlineStr">
        <is>
          <t>16:49:37 完成: C:\Users\admin\AppData\Local\JianyingPro\User Data\Projects\com.lveditor.draft\20260619_164937_岩板台面耐造_树剪</t>
        </is>
      </c>
    </row>
    <row r="191">
      <c r="A191" s="9" t="n">
        <v>188</v>
      </c>
      <c r="B191" s="10" t="inlineStr"/>
    </row>
    <row r="192">
      <c r="A192" s="7" t="n">
        <v>189</v>
      </c>
      <c r="B192" s="8" t="inlineStr"/>
    </row>
    <row r="193">
      <c r="A193" s="9" t="n">
        <v>190</v>
      </c>
      <c r="B193" s="10">
        <f>== 2026-06-19T17:55:18 ===</f>
        <v/>
      </c>
    </row>
    <row r="194">
      <c r="A194" s="7" t="n">
        <v>191</v>
      </c>
      <c r="B194" s="8" t="inlineStr">
        <is>
          <t>16:41:02 开始: 岩板台面耐造</t>
        </is>
      </c>
    </row>
    <row r="195">
      <c r="A195" s="9" t="n">
        <v>192</v>
      </c>
      <c r="B195" s="10" t="inlineStr">
        <is>
          <t>16:43:30 完成: C:\Users\admin\AppData\Local\JianyingPro\User Data\Projects\com.lveditor.draft\20260619_164330_岩板台面耐造_树剪</t>
        </is>
      </c>
    </row>
    <row r="196">
      <c r="A196" s="7" t="n">
        <v>193</v>
      </c>
      <c r="B196" s="8" t="inlineStr">
        <is>
          <t>16:43:40 开始: 岩板台面耐造</t>
        </is>
      </c>
    </row>
    <row r="197">
      <c r="A197" s="9" t="n">
        <v>194</v>
      </c>
      <c r="B197" s="10" t="inlineStr">
        <is>
          <t>16:44:23 完成: C:\Users\admin\AppData\Local\JianyingPro\User Data\Projects\com.lveditor.draft\20260619_164423_岩板台面耐造_树剪</t>
        </is>
      </c>
    </row>
    <row r="198">
      <c r="A198" s="7" t="n">
        <v>195</v>
      </c>
      <c r="B198" s="8" t="inlineStr">
        <is>
          <t>16:48:55 开始: 岩板台面耐造</t>
        </is>
      </c>
    </row>
    <row r="199">
      <c r="A199" s="9" t="n">
        <v>196</v>
      </c>
      <c r="B199" s="10" t="inlineStr">
        <is>
          <t>16:49:37 完成: C:\Users\admin\AppData\Local\JianyingPro\User Data\Projects\com.lveditor.draft\20260619_164937_岩板台面耐造_树剪</t>
        </is>
      </c>
    </row>
    <row r="200">
      <c r="A200" s="7" t="n">
        <v>197</v>
      </c>
      <c r="B200" s="8" t="inlineStr">
        <is>
          <t>17:54:05 开始: 岩板台面耐造</t>
        </is>
      </c>
    </row>
    <row r="201">
      <c r="A201" s="9" t="n">
        <v>198</v>
      </c>
      <c r="B201" s="10" t="inlineStr">
        <is>
          <t>17:55:18 完成: C:\Users\admin\AppData\Local\JianyingPro\User Data\Projects\com.lveditor.draft\20260619_175518_岩板台面耐造_树剪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/>
    </row>
    <row r="204">
      <c r="A204" s="7" t="n">
        <v>201</v>
      </c>
      <c r="B204" s="8">
        <f>== 2026-06-19T21:34:45 ===</f>
        <v/>
      </c>
    </row>
    <row r="205">
      <c r="A205" s="9" t="n">
        <v>202</v>
      </c>
      <c r="B205" s="10" t="inlineStr">
        <is>
          <t>16:41:02 开始: 岩板台面耐造</t>
        </is>
      </c>
    </row>
    <row r="206">
      <c r="A206" s="7" t="n">
        <v>203</v>
      </c>
      <c r="B206" s="8" t="inlineStr">
        <is>
          <t>16:43:30 完成: C:\Users\admin\AppData\Local\JianyingPro\User Data\Projects\com.lveditor.draft\20260619_164330_岩板台面耐造_树剪</t>
        </is>
      </c>
    </row>
    <row r="207">
      <c r="A207" s="9" t="n">
        <v>204</v>
      </c>
      <c r="B207" s="10" t="inlineStr">
        <is>
          <t>16:43:40 开始: 岩板台面耐造</t>
        </is>
      </c>
    </row>
    <row r="208">
      <c r="A208" s="7" t="n">
        <v>205</v>
      </c>
      <c r="B208" s="8" t="inlineStr">
        <is>
          <t>16:44:23 完成: C:\Users\admin\AppData\Local\JianyingPro\User Data\Projects\com.lveditor.draft\20260619_164423_岩板台面耐造_树剪</t>
        </is>
      </c>
    </row>
    <row r="209">
      <c r="A209" s="9" t="n">
        <v>206</v>
      </c>
      <c r="B209" s="10" t="inlineStr">
        <is>
          <t>16:48:55 开始: 岩板台面耐造</t>
        </is>
      </c>
    </row>
    <row r="210">
      <c r="A210" s="7" t="n">
        <v>207</v>
      </c>
      <c r="B210" s="8" t="inlineStr">
        <is>
          <t>16:49:37 完成: C:\Users\admin\AppData\Local\JianyingPro\User Data\Projects\com.lveditor.draft\20260619_164937_岩板台面耐造_树剪</t>
        </is>
      </c>
    </row>
    <row r="211">
      <c r="A211" s="9" t="n">
        <v>208</v>
      </c>
      <c r="B211" s="10" t="inlineStr">
        <is>
          <t>17:54:05 开始: 岩板台面耐造</t>
        </is>
      </c>
    </row>
    <row r="212">
      <c r="A212" s="7" t="n">
        <v>209</v>
      </c>
      <c r="B212" s="8" t="inlineStr">
        <is>
          <t>17:55:18 完成: C:\Users\admin\AppData\Local\JianyingPro\User Data\Projects\com.lveditor.draft\20260619_175518_岩板台面耐造_树剪</t>
        </is>
      </c>
    </row>
    <row r="213">
      <c r="A213" s="9" t="n">
        <v>210</v>
      </c>
      <c r="B213" s="10" t="inlineStr">
        <is>
          <t>21:33:38 开始: 岩板台面耐造</t>
        </is>
      </c>
    </row>
    <row r="214">
      <c r="A214" s="7" t="n">
        <v>211</v>
      </c>
      <c r="B214" s="8" t="inlineStr">
        <is>
          <t>21:34:45 完成: C:\Users\admin\AppData\Local\JianyingPro\User Data\Projects\com.lveditor.draft\20260619_213445_岩板台面耐造_树剪</t>
        </is>
      </c>
    </row>
    <row r="215">
      <c r="A215" s="9" t="n">
        <v>212</v>
      </c>
      <c r="B215" s="10" t="inlineStr"/>
    </row>
    <row r="216">
      <c r="A216" s="7" t="n">
        <v>213</v>
      </c>
      <c r="B216" s="8" t="inlineStr"/>
    </row>
    <row r="217">
      <c r="A217" s="9" t="n">
        <v>214</v>
      </c>
      <c r="B217" s="10">
        <f>== 2026-06-19T21:36:09 ===</f>
        <v/>
      </c>
    </row>
    <row r="218">
      <c r="A218" s="7" t="n">
        <v>215</v>
      </c>
      <c r="B218" s="8" t="inlineStr">
        <is>
          <t>16:41:02 开始: 岩板台面耐造</t>
        </is>
      </c>
    </row>
    <row r="219">
      <c r="A219" s="9" t="n">
        <v>216</v>
      </c>
      <c r="B219" s="10" t="inlineStr">
        <is>
          <t>16:43:30 完成: C:\Users\admin\AppData\Local\JianyingPro\User Data\Projects\com.lveditor.draft\20260619_164330_岩板台面耐造_树剪</t>
        </is>
      </c>
    </row>
    <row r="220">
      <c r="A220" s="7" t="n">
        <v>217</v>
      </c>
      <c r="B220" s="8" t="inlineStr">
        <is>
          <t>16:43:40 开始: 岩板台面耐造</t>
        </is>
      </c>
    </row>
    <row r="221">
      <c r="A221" s="9" t="n">
        <v>218</v>
      </c>
      <c r="B221" s="10" t="inlineStr">
        <is>
          <t>16:44:23 完成: C:\Users\admin\AppData\Local\JianyingPro\User Data\Projects\com.lveditor.draft\20260619_164423_岩板台面耐造_树剪</t>
        </is>
      </c>
    </row>
    <row r="222">
      <c r="A222" s="7" t="n">
        <v>219</v>
      </c>
      <c r="B222" s="8" t="inlineStr">
        <is>
          <t>16:48:55 开始: 岩板台面耐造</t>
        </is>
      </c>
    </row>
    <row r="223">
      <c r="A223" s="9" t="n">
        <v>220</v>
      </c>
      <c r="B223" s="10" t="inlineStr">
        <is>
          <t>16:49:37 完成: C:\Users\admin\AppData\Local\JianyingPro\User Data\Projects\com.lveditor.draft\20260619_164937_岩板台面耐造_树剪</t>
        </is>
      </c>
    </row>
    <row r="224">
      <c r="A224" s="7" t="n">
        <v>221</v>
      </c>
      <c r="B224" s="8" t="inlineStr">
        <is>
          <t>17:54:05 开始: 岩板台面耐造</t>
        </is>
      </c>
    </row>
    <row r="225">
      <c r="A225" s="9" t="n">
        <v>222</v>
      </c>
      <c r="B225" s="10" t="inlineStr">
        <is>
          <t>17:55:18 完成: C:\Users\admin\AppData\Local\JianyingPro\User Data\Projects\com.lveditor.draft\20260619_175518_岩板台面耐造_树剪</t>
        </is>
      </c>
    </row>
    <row r="226">
      <c r="A226" s="7" t="n">
        <v>223</v>
      </c>
      <c r="B226" s="8" t="inlineStr">
        <is>
          <t>21:33:38 开始: 岩板台面耐造</t>
        </is>
      </c>
    </row>
    <row r="227">
      <c r="A227" s="9" t="n">
        <v>224</v>
      </c>
      <c r="B227" s="10" t="inlineStr">
        <is>
          <t>21:34:45 完成: C:\Users\admin\AppData\Local\JianyingPro\User Data\Projects\com.lveditor.draft\20260619_213445_岩板台面耐造_树剪</t>
        </is>
      </c>
    </row>
    <row r="228">
      <c r="A228" s="7" t="n">
        <v>225</v>
      </c>
      <c r="B228" s="8" t="inlineStr">
        <is>
          <t>21:35:26 开始: 岩板台面耐造</t>
        </is>
      </c>
    </row>
    <row r="229">
      <c r="A229" s="9" t="n">
        <v>226</v>
      </c>
      <c r="B229" s="10" t="inlineStr">
        <is>
          <t>21:36:09 完成: C:\Users\admin\AppData\Local\JianyingPro\User Data\Projects\com.lveditor.draft\20260619_213609_岩板台面耐造_树剪</t>
        </is>
      </c>
    </row>
    <row r="230">
      <c r="A230" s="7" t="n">
        <v>227</v>
      </c>
      <c r="B230" s="8" t="inlineStr"/>
    </row>
    <row r="231">
      <c r="A231" s="9" t="n">
        <v>228</v>
      </c>
      <c r="B231" s="10" t="inlineStr"/>
    </row>
    <row r="232">
      <c r="A232" s="7" t="n">
        <v>229</v>
      </c>
      <c r="B232" s="8">
        <f>== 2026-06-20T12:28:15 ===</f>
        <v/>
      </c>
    </row>
    <row r="233">
      <c r="A233" s="9" t="n">
        <v>230</v>
      </c>
      <c r="B233" s="10" t="inlineStr">
        <is>
          <t>16:41:02 开始: 岩板台面耐造</t>
        </is>
      </c>
    </row>
    <row r="234">
      <c r="A234" s="7" t="n">
        <v>231</v>
      </c>
      <c r="B234" s="8" t="inlineStr">
        <is>
          <t>16:43:30 完成: C:\Users\admin\AppData\Local\JianyingPro\User Data\Projects\com.lveditor.draft\20260619_164330_岩板台面耐造_树剪</t>
        </is>
      </c>
    </row>
    <row r="235">
      <c r="A235" s="9" t="n">
        <v>232</v>
      </c>
      <c r="B235" s="10" t="inlineStr">
        <is>
          <t>16:43:40 开始: 岩板台面耐造</t>
        </is>
      </c>
    </row>
    <row r="236">
      <c r="A236" s="7" t="n">
        <v>233</v>
      </c>
      <c r="B236" s="8" t="inlineStr">
        <is>
          <t>16:44:23 完成: C:\Users\admin\AppData\Local\JianyingPro\User Data\Projects\com.lveditor.draft\20260619_164423_岩板台面耐造_树剪</t>
        </is>
      </c>
    </row>
    <row r="237">
      <c r="A237" s="9" t="n">
        <v>234</v>
      </c>
      <c r="B237" s="10" t="inlineStr">
        <is>
          <t>16:48:55 开始: 岩板台面耐造</t>
        </is>
      </c>
    </row>
    <row r="238">
      <c r="A238" s="7" t="n">
        <v>235</v>
      </c>
      <c r="B238" s="8" t="inlineStr">
        <is>
          <t>16:49:37 完成: C:\Users\admin\AppData\Local\JianyingPro\User Data\Projects\com.lveditor.draft\20260619_164937_岩板台面耐造_树剪</t>
        </is>
      </c>
    </row>
    <row r="239">
      <c r="A239" s="9" t="n">
        <v>236</v>
      </c>
      <c r="B239" s="10" t="inlineStr">
        <is>
          <t>17:54:05 开始: 岩板台面耐造</t>
        </is>
      </c>
    </row>
    <row r="240">
      <c r="A240" s="7" t="n">
        <v>237</v>
      </c>
      <c r="B240" s="8" t="inlineStr">
        <is>
          <t>17:55:18 完成: C:\Users\admin\AppData\Local\JianyingPro\User Data\Projects\com.lveditor.draft\20260619_175518_岩板台面耐造_树剪</t>
        </is>
      </c>
    </row>
    <row r="241">
      <c r="A241" s="9" t="n">
        <v>238</v>
      </c>
      <c r="B241" s="10" t="inlineStr">
        <is>
          <t>21:33:38 开始: 岩板台面耐造</t>
        </is>
      </c>
    </row>
    <row r="242">
      <c r="A242" s="7" t="n">
        <v>239</v>
      </c>
      <c r="B242" s="8" t="inlineStr">
        <is>
          <t>21:34:45 完成: C:\Users\admin\AppData\Local\JianyingPro\User Data\Projects\com.lveditor.draft\20260619_213445_岩板台面耐造_树剪</t>
        </is>
      </c>
    </row>
    <row r="243">
      <c r="A243" s="9" t="n">
        <v>240</v>
      </c>
      <c r="B243" s="10" t="inlineStr">
        <is>
          <t>21:35:26 开始: 岩板台面耐造</t>
        </is>
      </c>
    </row>
    <row r="244">
      <c r="A244" s="7" t="n">
        <v>241</v>
      </c>
      <c r="B244" s="8" t="inlineStr">
        <is>
          <t>21:36:09 完成: C:\Users\admin\AppData\Local\JianyingPro\User Data\Projects\com.lveditor.draft\20260619_213609_岩板台面耐造_树剪</t>
        </is>
      </c>
    </row>
    <row r="245">
      <c r="A245" s="9" t="n">
        <v>242</v>
      </c>
      <c r="B245" s="10" t="inlineStr">
        <is>
          <t>12:27:25 开始: 岩板台面耐造</t>
        </is>
      </c>
    </row>
    <row r="246">
      <c r="A246" s="7" t="n">
        <v>243</v>
      </c>
      <c r="B246" s="8" t="inlineStr">
        <is>
          <t>12:28:15 完成: C:\Users\admin\AppData\Local\JianyingPro\User Data\Projects\com.lveditor.draft\20260620_122815_岩板台面耐造_树剪</t>
        </is>
      </c>
    </row>
    <row r="247">
      <c r="A247" s="9" t="n">
        <v>244</v>
      </c>
      <c r="B247" s="10" t="inlineStr"/>
    </row>
    <row r="248">
      <c r="A248" s="7" t="n">
        <v>245</v>
      </c>
      <c r="B248" s="8" t="inlineStr"/>
    </row>
    <row r="249">
      <c r="A249" s="9" t="n">
        <v>246</v>
      </c>
      <c r="B249" s="10">
        <f>== 2026-06-20T12:34:55 ===</f>
        <v/>
      </c>
    </row>
    <row r="250">
      <c r="A250" s="7" t="n">
        <v>247</v>
      </c>
      <c r="B250" s="8" t="inlineStr">
        <is>
          <t>16:41:02 开始: 岩板台面耐造</t>
        </is>
      </c>
    </row>
    <row r="251">
      <c r="A251" s="9" t="n">
        <v>248</v>
      </c>
      <c r="B251" s="10" t="inlineStr">
        <is>
          <t>16:43:30 完成: C:\Users\admin\AppData\Local\JianyingPro\User Data\Projects\com.lveditor.draft\20260619_164330_岩板台面耐造_树剪</t>
        </is>
      </c>
    </row>
    <row r="252">
      <c r="A252" s="7" t="n">
        <v>249</v>
      </c>
      <c r="B252" s="8" t="inlineStr">
        <is>
          <t>16:43:40 开始: 岩板台面耐造</t>
        </is>
      </c>
    </row>
    <row r="253">
      <c r="A253" s="9" t="n">
        <v>250</v>
      </c>
      <c r="B253" s="10" t="inlineStr">
        <is>
          <t>16:44:23 完成: C:\Users\admin\AppData\Local\JianyingPro\User Data\Projects\com.lveditor.draft\20260619_164423_岩板台面耐造_树剪</t>
        </is>
      </c>
    </row>
    <row r="254">
      <c r="A254" s="7" t="n">
        <v>251</v>
      </c>
      <c r="B254" s="8" t="inlineStr">
        <is>
          <t>16:48:55 开始: 岩板台面耐造</t>
        </is>
      </c>
    </row>
    <row r="255">
      <c r="A255" s="9" t="n">
        <v>252</v>
      </c>
      <c r="B255" s="10" t="inlineStr">
        <is>
          <t>16:49:37 完成: C:\Users\admin\AppData\Local\JianyingPro\User Data\Projects\com.lveditor.draft\20260619_164937_岩板台面耐造_树剪</t>
        </is>
      </c>
    </row>
    <row r="256">
      <c r="A256" s="7" t="n">
        <v>253</v>
      </c>
      <c r="B256" s="8" t="inlineStr">
        <is>
          <t>17:54:05 开始: 岩板台面耐造</t>
        </is>
      </c>
    </row>
    <row r="257">
      <c r="A257" s="9" t="n">
        <v>254</v>
      </c>
      <c r="B257" s="10" t="inlineStr">
        <is>
          <t>17:55:18 完成: C:\Users\admin\AppData\Local\JianyingPro\User Data\Projects\com.lveditor.draft\20260619_175518_岩板台面耐造_树剪</t>
        </is>
      </c>
    </row>
    <row r="258">
      <c r="A258" s="7" t="n">
        <v>255</v>
      </c>
      <c r="B258" s="8" t="inlineStr">
        <is>
          <t>21:33:38 开始: 岩板台面耐造</t>
        </is>
      </c>
    </row>
    <row r="259">
      <c r="A259" s="9" t="n">
        <v>256</v>
      </c>
      <c r="B259" s="10" t="inlineStr">
        <is>
          <t>21:34:45 完成: C:\Users\admin\AppData\Local\JianyingPro\User Data\Projects\com.lveditor.draft\20260619_213445_岩板台面耐造_树剪</t>
        </is>
      </c>
    </row>
    <row r="260">
      <c r="A260" s="7" t="n">
        <v>257</v>
      </c>
      <c r="B260" s="8" t="inlineStr">
        <is>
          <t>21:35:26 开始: 岩板台面耐造</t>
        </is>
      </c>
    </row>
    <row r="261">
      <c r="A261" s="9" t="n">
        <v>258</v>
      </c>
      <c r="B261" s="10" t="inlineStr">
        <is>
          <t>21:36:09 完成: C:\Users\admin\AppData\Local\JianyingPro\User Data\Projects\com.lveditor.draft\20260619_213609_岩板台面耐造_树剪</t>
        </is>
      </c>
    </row>
    <row r="262">
      <c r="A262" s="7" t="n">
        <v>259</v>
      </c>
      <c r="B262" s="8" t="inlineStr">
        <is>
          <t>12:27:25 开始: 岩板台面耐造</t>
        </is>
      </c>
    </row>
    <row r="263">
      <c r="A263" s="9" t="n">
        <v>260</v>
      </c>
      <c r="B263" s="10" t="inlineStr">
        <is>
          <t>12:28:15 完成: C:\Users\admin\AppData\Local\JianyingPro\User Data\Projects\com.lveditor.draft\20260620_122815_岩板台面耐造_树剪</t>
        </is>
      </c>
    </row>
    <row r="264">
      <c r="A264" s="7" t="n">
        <v>261</v>
      </c>
      <c r="B264" s="8" t="inlineStr">
        <is>
          <t>12:33:51 开始: 岩板台面耐造</t>
        </is>
      </c>
    </row>
    <row r="265">
      <c r="A265" s="9" t="n">
        <v>262</v>
      </c>
      <c r="B265" s="10" t="inlineStr">
        <is>
          <t>12:34:55 完成: C:\Users\admin\AppData\Local\JianyingPro\User Data\Projects\com.lveditor.draft\20260620_123455_岩板台面耐造_树剪</t>
        </is>
      </c>
    </row>
    <row r="266">
      <c r="A266" s="7" t="n">
        <v>263</v>
      </c>
      <c r="B266" s="8" t="inlineStr"/>
    </row>
    <row r="267">
      <c r="A267" s="9" t="n">
        <v>264</v>
      </c>
      <c r="B267" s="10" t="inlineStr"/>
    </row>
    <row r="268">
      <c r="A268" s="7" t="n">
        <v>265</v>
      </c>
      <c r="B268" s="8">
        <f>== 2026-06-20T12:42:33 ===</f>
        <v/>
      </c>
    </row>
    <row r="269">
      <c r="A269" s="9" t="n">
        <v>266</v>
      </c>
      <c r="B269" s="10" t="inlineStr">
        <is>
          <t>16:41:02 开始: 岩板台面耐造</t>
        </is>
      </c>
    </row>
    <row r="270">
      <c r="A270" s="7" t="n">
        <v>267</v>
      </c>
      <c r="B270" s="8" t="inlineStr">
        <is>
          <t>16:43:30 完成: C:\Users\admin\AppData\Local\JianyingPro\User Data\Projects\com.lveditor.draft\20260619_164330_岩板台面耐造_树剪</t>
        </is>
      </c>
    </row>
    <row r="271">
      <c r="A271" s="9" t="n">
        <v>268</v>
      </c>
      <c r="B271" s="10" t="inlineStr">
        <is>
          <t>16:43:40 开始: 岩板台面耐造</t>
        </is>
      </c>
    </row>
    <row r="272">
      <c r="A272" s="7" t="n">
        <v>269</v>
      </c>
      <c r="B272" s="8" t="inlineStr">
        <is>
          <t>16:44:23 完成: C:\Users\admin\AppData\Local\JianyingPro\User Data\Projects\com.lveditor.draft\20260619_164423_岩板台面耐造_树剪</t>
        </is>
      </c>
    </row>
    <row r="273">
      <c r="A273" s="9" t="n">
        <v>270</v>
      </c>
      <c r="B273" s="10" t="inlineStr">
        <is>
          <t>16:48:55 开始: 岩板台面耐造</t>
        </is>
      </c>
    </row>
    <row r="274">
      <c r="A274" s="7" t="n">
        <v>271</v>
      </c>
      <c r="B274" s="8" t="inlineStr">
        <is>
          <t>16:49:37 完成: C:\Users\admin\AppData\Local\JianyingPro\User Data\Projects\com.lveditor.draft\20260619_164937_岩板台面耐造_树剪</t>
        </is>
      </c>
    </row>
    <row r="275">
      <c r="A275" s="9" t="n">
        <v>272</v>
      </c>
      <c r="B275" s="10" t="inlineStr">
        <is>
          <t>17:54:05 开始: 岩板台面耐造</t>
        </is>
      </c>
    </row>
    <row r="276">
      <c r="A276" s="7" t="n">
        <v>273</v>
      </c>
      <c r="B276" s="8" t="inlineStr">
        <is>
          <t>17:55:18 完成: C:\Users\admin\AppData\Local\JianyingPro\User Data\Projects\com.lveditor.draft\20260619_175518_岩板台面耐造_树剪</t>
        </is>
      </c>
    </row>
    <row r="277">
      <c r="A277" s="9" t="n">
        <v>274</v>
      </c>
      <c r="B277" s="10" t="inlineStr">
        <is>
          <t>21:33:38 开始: 岩板台面耐造</t>
        </is>
      </c>
    </row>
    <row r="278">
      <c r="A278" s="7" t="n">
        <v>275</v>
      </c>
      <c r="B278" s="8" t="inlineStr">
        <is>
          <t>21:34:45 完成: C:\Users\admin\AppData\Local\JianyingPro\User Data\Projects\com.lveditor.draft\20260619_213445_岩板台面耐造_树剪</t>
        </is>
      </c>
    </row>
    <row r="279">
      <c r="A279" s="9" t="n">
        <v>276</v>
      </c>
      <c r="B279" s="10" t="inlineStr">
        <is>
          <t>21:35:26 开始: 岩板台面耐造</t>
        </is>
      </c>
    </row>
    <row r="280">
      <c r="A280" s="7" t="n">
        <v>277</v>
      </c>
      <c r="B280" s="8" t="inlineStr">
        <is>
          <t>21:36:09 完成: C:\Users\admin\AppData\Local\JianyingPro\User Data\Projects\com.lveditor.draft\20260619_213609_岩板台面耐造_树剪</t>
        </is>
      </c>
    </row>
    <row r="281">
      <c r="A281" s="9" t="n">
        <v>278</v>
      </c>
      <c r="B281" s="10" t="inlineStr">
        <is>
          <t>12:27:25 开始: 岩板台面耐造</t>
        </is>
      </c>
    </row>
    <row r="282">
      <c r="A282" s="7" t="n">
        <v>279</v>
      </c>
      <c r="B282" s="8" t="inlineStr">
        <is>
          <t>12:28:15 完成: C:\Users\admin\AppData\Local\JianyingPro\User Data\Projects\com.lveditor.draft\20260620_122815_岩板台面耐造_树剪</t>
        </is>
      </c>
    </row>
    <row r="283">
      <c r="A283" s="9" t="n">
        <v>280</v>
      </c>
      <c r="B283" s="10" t="inlineStr">
        <is>
          <t>12:33:51 开始: 岩板台面耐造</t>
        </is>
      </c>
    </row>
    <row r="284">
      <c r="A284" s="7" t="n">
        <v>281</v>
      </c>
      <c r="B284" s="8" t="inlineStr">
        <is>
          <t>12:34:55 完成: C:\Users\admin\AppData\Local\JianyingPro\User Data\Projects\com.lveditor.draft\20260620_123455_岩板台面耐造_树剪</t>
        </is>
      </c>
    </row>
    <row r="285">
      <c r="A285" s="9" t="n">
        <v>282</v>
      </c>
      <c r="B285" s="10" t="inlineStr">
        <is>
          <t>12:41:26 开始: 岩板台面耐造</t>
        </is>
      </c>
    </row>
    <row r="286">
      <c r="A286" s="7" t="n">
        <v>283</v>
      </c>
      <c r="B286" s="8" t="inlineStr">
        <is>
          <t>12:42:33 完成: C:\Users\admin\AppData\Local\JianyingPro\User Data\Projects\com.lveditor.draft\20260620_124233_岩板台面耐造_树剪</t>
        </is>
      </c>
    </row>
    <row r="287">
      <c r="A287" s="9" t="n">
        <v>284</v>
      </c>
      <c r="B287" s="10" t="inlineStr"/>
    </row>
    <row r="288">
      <c r="A288" s="7" t="n">
        <v>285</v>
      </c>
      <c r="B288" s="8" t="inlineStr"/>
    </row>
    <row r="289">
      <c r="A289" s="9" t="n">
        <v>286</v>
      </c>
      <c r="B289" s="10">
        <f>== 2026-06-20T12:46:00 ===</f>
        <v/>
      </c>
    </row>
    <row r="290">
      <c r="A290" s="7" t="n">
        <v>287</v>
      </c>
      <c r="B290" s="8" t="inlineStr">
        <is>
          <t>16:41:02 开始: 岩板台面耐造</t>
        </is>
      </c>
    </row>
    <row r="291">
      <c r="A291" s="9" t="n">
        <v>288</v>
      </c>
      <c r="B291" s="10" t="inlineStr">
        <is>
          <t>16:43:30 完成: C:\Users\admin\AppData\Local\JianyingPro\User Data\Projects\com.lveditor.draft\20260619_164330_岩板台面耐造_树剪</t>
        </is>
      </c>
    </row>
    <row r="292">
      <c r="A292" s="7" t="n">
        <v>289</v>
      </c>
      <c r="B292" s="8" t="inlineStr">
        <is>
          <t>16:43:40 开始: 岩板台面耐造</t>
        </is>
      </c>
    </row>
    <row r="293">
      <c r="A293" s="9" t="n">
        <v>290</v>
      </c>
      <c r="B293" s="10" t="inlineStr">
        <is>
          <t>16:44:23 完成: C:\Users\admin\AppData\Local\JianyingPro\User Data\Projects\com.lveditor.draft\20260619_164423_岩板台面耐造_树剪</t>
        </is>
      </c>
    </row>
    <row r="294">
      <c r="A294" s="7" t="n">
        <v>291</v>
      </c>
      <c r="B294" s="8" t="inlineStr">
        <is>
          <t>16:48:55 开始: 岩板台面耐造</t>
        </is>
      </c>
    </row>
    <row r="295">
      <c r="A295" s="9" t="n">
        <v>292</v>
      </c>
      <c r="B295" s="10" t="inlineStr">
        <is>
          <t>16:49:37 完成: C:\Users\admin\AppData\Local\JianyingPro\User Data\Projects\com.lveditor.draft\20260619_164937_岩板台面耐造_树剪</t>
        </is>
      </c>
    </row>
    <row r="296">
      <c r="A296" s="7" t="n">
        <v>293</v>
      </c>
      <c r="B296" s="8" t="inlineStr">
        <is>
          <t>17:54:05 开始: 岩板台面耐造</t>
        </is>
      </c>
    </row>
    <row r="297">
      <c r="A297" s="9" t="n">
        <v>294</v>
      </c>
      <c r="B297" s="10" t="inlineStr">
        <is>
          <t>17:55:18 完成: C:\Users\admin\AppData\Local\JianyingPro\User Data\Projects\com.lveditor.draft\20260619_175518_岩板台面耐造_树剪</t>
        </is>
      </c>
    </row>
    <row r="298">
      <c r="A298" s="7" t="n">
        <v>295</v>
      </c>
      <c r="B298" s="8" t="inlineStr">
        <is>
          <t>21:33:38 开始: 岩板台面耐造</t>
        </is>
      </c>
    </row>
    <row r="299">
      <c r="A299" s="9" t="n">
        <v>296</v>
      </c>
      <c r="B299" s="10" t="inlineStr">
        <is>
          <t>21:34:45 完成: C:\Users\admin\AppData\Local\JianyingPro\User Data\Projects\com.lveditor.draft\20260619_213445_岩板台面耐造_树剪</t>
        </is>
      </c>
    </row>
    <row r="300">
      <c r="A300" s="7" t="n">
        <v>297</v>
      </c>
      <c r="B300" s="8" t="inlineStr">
        <is>
          <t>21:35:26 开始: 岩板台面耐造</t>
        </is>
      </c>
    </row>
    <row r="301">
      <c r="A301" s="9" t="n">
        <v>298</v>
      </c>
      <c r="B301" s="10" t="inlineStr">
        <is>
          <t>21:36:09 完成: C:\Users\admin\AppData\Local\JianyingPro\User Data\Projects\com.lveditor.draft\20260619_213609_岩板台面耐造_树剪</t>
        </is>
      </c>
    </row>
    <row r="302">
      <c r="A302" s="7" t="n">
        <v>299</v>
      </c>
      <c r="B302" s="8" t="inlineStr">
        <is>
          <t>12:27:25 开始: 岩板台面耐造</t>
        </is>
      </c>
    </row>
    <row r="303">
      <c r="A303" s="9" t="n">
        <v>300</v>
      </c>
      <c r="B303" s="10" t="inlineStr">
        <is>
          <t>12:28:15 完成: C:\Users\admin\AppData\Local\JianyingPro\User Data\Projects\com.lveditor.draft\20260620_122815_岩板台面耐造_树剪</t>
        </is>
      </c>
    </row>
    <row r="304">
      <c r="A304" s="7" t="n">
        <v>301</v>
      </c>
      <c r="B304" s="8" t="inlineStr">
        <is>
          <t>12:33:51 开始: 岩板台面耐造</t>
        </is>
      </c>
    </row>
    <row r="305">
      <c r="A305" s="9" t="n">
        <v>302</v>
      </c>
      <c r="B305" s="10" t="inlineStr">
        <is>
          <t>12:34:55 完成: C:\Users\admin\AppData\Local\JianyingPro\User Data\Projects\com.lveditor.draft\20260620_123455_岩板台面耐造_树剪</t>
        </is>
      </c>
    </row>
    <row r="306">
      <c r="A306" s="7" t="n">
        <v>303</v>
      </c>
      <c r="B306" s="8" t="inlineStr">
        <is>
          <t>12:41:26 开始: 岩板台面耐造</t>
        </is>
      </c>
    </row>
    <row r="307">
      <c r="A307" s="9" t="n">
        <v>304</v>
      </c>
      <c r="B307" s="10" t="inlineStr">
        <is>
          <t>12:42:33 完成: C:\Users\admin\AppData\Local\JianyingPro\User Data\Projects\com.lveditor.draft\20260620_124233_岩板台面耐造_树剪</t>
        </is>
      </c>
    </row>
    <row r="308">
      <c r="A308" s="7" t="n">
        <v>305</v>
      </c>
      <c r="B308" s="8" t="inlineStr">
        <is>
          <t>12:45:02 开始: 岩板台面耐造</t>
        </is>
      </c>
    </row>
    <row r="309">
      <c r="A309" s="9" t="n">
        <v>306</v>
      </c>
      <c r="B309" s="10" t="inlineStr">
        <is>
          <t>12:46:00 完成: C:\Users\admin\AppData\Local\JianyingPro\User Data\Projects\com.lveditor.draft\20260620_124600_岩板台面耐造_树剪</t>
        </is>
      </c>
    </row>
    <row r="310">
      <c r="A310" s="7" t="n">
        <v>307</v>
      </c>
      <c r="B310" s="8" t="inlineStr"/>
    </row>
    <row r="311">
      <c r="A311" s="9" t="n">
        <v>308</v>
      </c>
      <c r="B311" s="10" t="inlineStr"/>
    </row>
    <row r="312">
      <c r="A312" s="7" t="n">
        <v>309</v>
      </c>
      <c r="B312" s="8">
        <f>== 2026-06-20T12:47:24 ===</f>
        <v/>
      </c>
    </row>
    <row r="313">
      <c r="A313" s="9" t="n">
        <v>310</v>
      </c>
      <c r="B313" s="10" t="inlineStr">
        <is>
          <t>16:41:02 开始: 岩板台面耐造</t>
        </is>
      </c>
    </row>
    <row r="314">
      <c r="A314" s="7" t="n">
        <v>311</v>
      </c>
      <c r="B314" s="8" t="inlineStr">
        <is>
          <t>16:43:30 完成: C:\Users\admin\AppData\Local\JianyingPro\User Data\Projects\com.lveditor.draft\20260619_164330_岩板台面耐造_树剪</t>
        </is>
      </c>
    </row>
    <row r="315">
      <c r="A315" s="9" t="n">
        <v>312</v>
      </c>
      <c r="B315" s="10" t="inlineStr">
        <is>
          <t>16:43:40 开始: 岩板台面耐造</t>
        </is>
      </c>
    </row>
    <row r="316">
      <c r="A316" s="7" t="n">
        <v>313</v>
      </c>
      <c r="B316" s="8" t="inlineStr">
        <is>
          <t>16:44:23 完成: C:\Users\admin\AppData\Local\JianyingPro\User Data\Projects\com.lveditor.draft\20260619_164423_岩板台面耐造_树剪</t>
        </is>
      </c>
    </row>
    <row r="317">
      <c r="A317" s="9" t="n">
        <v>314</v>
      </c>
      <c r="B317" s="10" t="inlineStr">
        <is>
          <t>16:48:55 开始: 岩板台面耐造</t>
        </is>
      </c>
    </row>
    <row r="318">
      <c r="A318" s="7" t="n">
        <v>315</v>
      </c>
      <c r="B318" s="8" t="inlineStr">
        <is>
          <t>16:49:37 完成: C:\Users\admin\AppData\Local\JianyingPro\User Data\Projects\com.lveditor.draft\20260619_164937_岩板台面耐造_树剪</t>
        </is>
      </c>
    </row>
    <row r="319">
      <c r="A319" s="9" t="n">
        <v>316</v>
      </c>
      <c r="B319" s="10" t="inlineStr">
        <is>
          <t>17:54:05 开始: 岩板台面耐造</t>
        </is>
      </c>
    </row>
    <row r="320">
      <c r="A320" s="7" t="n">
        <v>317</v>
      </c>
      <c r="B320" s="8" t="inlineStr">
        <is>
          <t>17:55:18 完成: C:\Users\admin\AppData\Local\JianyingPro\User Data\Projects\com.lveditor.draft\20260619_175518_岩板台面耐造_树剪</t>
        </is>
      </c>
    </row>
    <row r="321">
      <c r="A321" s="9" t="n">
        <v>318</v>
      </c>
      <c r="B321" s="10" t="inlineStr">
        <is>
          <t>21:33:38 开始: 岩板台面耐造</t>
        </is>
      </c>
    </row>
    <row r="322">
      <c r="A322" s="7" t="n">
        <v>319</v>
      </c>
      <c r="B322" s="8" t="inlineStr">
        <is>
          <t>21:34:45 完成: C:\Users\admin\AppData\Local\JianyingPro\User Data\Projects\com.lveditor.draft\20260619_213445_岩板台面耐造_树剪</t>
        </is>
      </c>
    </row>
    <row r="323">
      <c r="A323" s="9" t="n">
        <v>320</v>
      </c>
      <c r="B323" s="10" t="inlineStr">
        <is>
          <t>21:35:26 开始: 岩板台面耐造</t>
        </is>
      </c>
    </row>
    <row r="324">
      <c r="A324" s="7" t="n">
        <v>321</v>
      </c>
      <c r="B324" s="8" t="inlineStr">
        <is>
          <t>21:36:09 完成: C:\Users\admin\AppData\Local\JianyingPro\User Data\Projects\com.lveditor.draft\20260619_213609_岩板台面耐造_树剪</t>
        </is>
      </c>
    </row>
    <row r="325">
      <c r="A325" s="9" t="n">
        <v>322</v>
      </c>
      <c r="B325" s="10" t="inlineStr">
        <is>
          <t>12:27:25 开始: 岩板台面耐造</t>
        </is>
      </c>
    </row>
    <row r="326">
      <c r="A326" s="7" t="n">
        <v>323</v>
      </c>
      <c r="B326" s="8" t="inlineStr">
        <is>
          <t>12:28:15 完成: C:\Users\admin\AppData\Local\JianyingPro\User Data\Projects\com.lveditor.draft\20260620_122815_岩板台面耐造_树剪</t>
        </is>
      </c>
    </row>
    <row r="327">
      <c r="A327" s="9" t="n">
        <v>324</v>
      </c>
      <c r="B327" s="10" t="inlineStr">
        <is>
          <t>12:33:51 开始: 岩板台面耐造</t>
        </is>
      </c>
    </row>
    <row r="328">
      <c r="A328" s="7" t="n">
        <v>325</v>
      </c>
      <c r="B328" s="8" t="inlineStr">
        <is>
          <t>12:34:55 完成: C:\Users\admin\AppData\Local\JianyingPro\User Data\Projects\com.lveditor.draft\20260620_123455_岩板台面耐造_树剪</t>
        </is>
      </c>
    </row>
    <row r="329">
      <c r="A329" s="9" t="n">
        <v>326</v>
      </c>
      <c r="B329" s="10" t="inlineStr">
        <is>
          <t>12:41:26 开始: 岩板台面耐造</t>
        </is>
      </c>
    </row>
    <row r="330">
      <c r="A330" s="7" t="n">
        <v>327</v>
      </c>
      <c r="B330" s="8" t="inlineStr">
        <is>
          <t>12:42:33 完成: C:\Users\admin\AppData\Local\JianyingPro\User Data\Projects\com.lveditor.draft\20260620_124233_岩板台面耐造_树剪</t>
        </is>
      </c>
    </row>
    <row r="331">
      <c r="A331" s="9" t="n">
        <v>328</v>
      </c>
      <c r="B331" s="10" t="inlineStr">
        <is>
          <t>12:45:02 开始: 岩板台面耐造</t>
        </is>
      </c>
    </row>
    <row r="332">
      <c r="A332" s="7" t="n">
        <v>329</v>
      </c>
      <c r="B332" s="8" t="inlineStr">
        <is>
          <t>12:46:00 完成: C:\Users\admin\AppData\Local\JianyingPro\User Data\Projects\com.lveditor.draft\20260620_124600_岩板台面耐造_树剪</t>
        </is>
      </c>
    </row>
    <row r="333">
      <c r="A333" s="9" t="n">
        <v>330</v>
      </c>
      <c r="B333" s="10" t="inlineStr">
        <is>
          <t>12:46:09 开始: 岩板台面耐造</t>
        </is>
      </c>
    </row>
    <row r="334">
      <c r="A334" s="7" t="n">
        <v>331</v>
      </c>
      <c r="B334" s="8" t="inlineStr">
        <is>
          <t>12:47:24 完成: C:\Users\admin\AppData\Local\JianyingPro\User Data\Projects\com.lveditor.draft\20260620_124724_岩板台面耐造_树剪</t>
        </is>
      </c>
    </row>
    <row r="335">
      <c r="A335" s="9" t="n">
        <v>332</v>
      </c>
      <c r="B335" s="10" t="inlineStr"/>
    </row>
    <row r="336">
      <c r="A336" s="7" t="n">
        <v>333</v>
      </c>
      <c r="B336" s="8" t="inlineStr"/>
    </row>
    <row r="337">
      <c r="A337" s="9" t="n">
        <v>334</v>
      </c>
      <c r="B337" s="10">
        <f>== 2026-06-20T13:06:05 ===</f>
        <v/>
      </c>
    </row>
    <row r="338">
      <c r="A338" s="7" t="n">
        <v>335</v>
      </c>
      <c r="B338" s="8" t="inlineStr">
        <is>
          <t>16:41:02 开始: 岩板台面耐造</t>
        </is>
      </c>
    </row>
    <row r="339">
      <c r="A339" s="9" t="n">
        <v>336</v>
      </c>
      <c r="B339" s="10" t="inlineStr">
        <is>
          <t>16:43:30 完成: C:\Users\admin\AppData\Local\JianyingPro\User Data\Projects\com.lveditor.draft\20260619_164330_岩板台面耐造_树剪</t>
        </is>
      </c>
    </row>
    <row r="340">
      <c r="A340" s="7" t="n">
        <v>337</v>
      </c>
      <c r="B340" s="8" t="inlineStr">
        <is>
          <t>16:43:40 开始: 岩板台面耐造</t>
        </is>
      </c>
    </row>
    <row r="341">
      <c r="A341" s="9" t="n">
        <v>338</v>
      </c>
      <c r="B341" s="10" t="inlineStr">
        <is>
          <t>16:44:23 完成: C:\Users\admin\AppData\Local\JianyingPro\User Data\Projects\com.lveditor.draft\20260619_164423_岩板台面耐造_树剪</t>
        </is>
      </c>
    </row>
    <row r="342">
      <c r="A342" s="7" t="n">
        <v>339</v>
      </c>
      <c r="B342" s="8" t="inlineStr">
        <is>
          <t>16:48:55 开始: 岩板台面耐造</t>
        </is>
      </c>
    </row>
    <row r="343">
      <c r="A343" s="9" t="n">
        <v>340</v>
      </c>
      <c r="B343" s="10" t="inlineStr">
        <is>
          <t>16:49:37 完成: C:\Users\admin\AppData\Local\JianyingPro\User Data\Projects\com.lveditor.draft\20260619_164937_岩板台面耐造_树剪</t>
        </is>
      </c>
    </row>
    <row r="344">
      <c r="A344" s="7" t="n">
        <v>341</v>
      </c>
      <c r="B344" s="8" t="inlineStr">
        <is>
          <t>17:54:05 开始: 岩板台面耐造</t>
        </is>
      </c>
    </row>
    <row r="345">
      <c r="A345" s="9" t="n">
        <v>342</v>
      </c>
      <c r="B345" s="10" t="inlineStr">
        <is>
          <t>17:55:18 完成: C:\Users\admin\AppData\Local\JianyingPro\User Data\Projects\com.lveditor.draft\20260619_175518_岩板台面耐造_树剪</t>
        </is>
      </c>
    </row>
    <row r="346">
      <c r="A346" s="7" t="n">
        <v>343</v>
      </c>
      <c r="B346" s="8" t="inlineStr">
        <is>
          <t>21:33:38 开始: 岩板台面耐造</t>
        </is>
      </c>
    </row>
    <row r="347">
      <c r="A347" s="9" t="n">
        <v>344</v>
      </c>
      <c r="B347" s="10" t="inlineStr">
        <is>
          <t>21:34:45 完成: C:\Users\admin\AppData\Local\JianyingPro\User Data\Projects\com.lveditor.draft\20260619_213445_岩板台面耐造_树剪</t>
        </is>
      </c>
    </row>
    <row r="348">
      <c r="A348" s="7" t="n">
        <v>345</v>
      </c>
      <c r="B348" s="8" t="inlineStr">
        <is>
          <t>21:35:26 开始: 岩板台面耐造</t>
        </is>
      </c>
    </row>
    <row r="349">
      <c r="A349" s="9" t="n">
        <v>346</v>
      </c>
      <c r="B349" s="10" t="inlineStr">
        <is>
          <t>21:36:09 完成: C:\Users\admin\AppData\Local\JianyingPro\User Data\Projects\com.lveditor.draft\20260619_213609_岩板台面耐造_树剪</t>
        </is>
      </c>
    </row>
    <row r="350">
      <c r="A350" s="7" t="n">
        <v>347</v>
      </c>
      <c r="B350" s="8" t="inlineStr">
        <is>
          <t>12:27:25 开始: 岩板台面耐造</t>
        </is>
      </c>
    </row>
    <row r="351">
      <c r="A351" s="9" t="n">
        <v>348</v>
      </c>
      <c r="B351" s="10" t="inlineStr">
        <is>
          <t>12:28:15 完成: C:\Users\admin\AppData\Local\JianyingPro\User Data\Projects\com.lveditor.draft\20260620_122815_岩板台面耐造_树剪</t>
        </is>
      </c>
    </row>
    <row r="352">
      <c r="A352" s="7" t="n">
        <v>349</v>
      </c>
      <c r="B352" s="8" t="inlineStr">
        <is>
          <t>12:33:51 开始: 岩板台面耐造</t>
        </is>
      </c>
    </row>
    <row r="353">
      <c r="A353" s="9" t="n">
        <v>350</v>
      </c>
      <c r="B353" s="10" t="inlineStr">
        <is>
          <t>12:34:55 完成: C:\Users\admin\AppData\Local\JianyingPro\User Data\Projects\com.lveditor.draft\20260620_123455_岩板台面耐造_树剪</t>
        </is>
      </c>
    </row>
    <row r="354">
      <c r="A354" s="7" t="n">
        <v>351</v>
      </c>
      <c r="B354" s="8" t="inlineStr">
        <is>
          <t>12:41:26 开始: 岩板台面耐造</t>
        </is>
      </c>
    </row>
    <row r="355">
      <c r="A355" s="9" t="n">
        <v>352</v>
      </c>
      <c r="B355" s="10" t="inlineStr">
        <is>
          <t>12:42:33 完成: C:\Users\admin\AppData\Local\JianyingPro\User Data\Projects\com.lveditor.draft\20260620_124233_岩板台面耐造_树剪</t>
        </is>
      </c>
    </row>
    <row r="356">
      <c r="A356" s="7" t="n">
        <v>353</v>
      </c>
      <c r="B356" s="8" t="inlineStr">
        <is>
          <t>12:45:02 开始: 岩板台面耐造</t>
        </is>
      </c>
    </row>
    <row r="357">
      <c r="A357" s="9" t="n">
        <v>354</v>
      </c>
      <c r="B357" s="10" t="inlineStr">
        <is>
          <t>12:46:00 完成: C:\Users\admin\AppData\Local\JianyingPro\User Data\Projects\com.lveditor.draft\20260620_124600_岩板台面耐造_树剪</t>
        </is>
      </c>
    </row>
    <row r="358">
      <c r="A358" s="7" t="n">
        <v>355</v>
      </c>
      <c r="B358" s="8" t="inlineStr">
        <is>
          <t>12:46:09 开始: 岩板台面耐造</t>
        </is>
      </c>
    </row>
    <row r="359">
      <c r="A359" s="9" t="n">
        <v>356</v>
      </c>
      <c r="B359" s="10" t="inlineStr">
        <is>
          <t>12:47:24 完成: C:\Users\admin\AppData\Local\JianyingPro\User Data\Projects\com.lveditor.draft\20260620_124724_岩板台面耐造_树剪</t>
        </is>
      </c>
    </row>
    <row r="360">
      <c r="A360" s="7" t="n">
        <v>357</v>
      </c>
      <c r="B360" s="8" t="inlineStr">
        <is>
          <t>13:05:10 开始: 岩板台面耐造</t>
        </is>
      </c>
    </row>
    <row r="361">
      <c r="A361" s="9" t="n">
        <v>358</v>
      </c>
      <c r="B361" s="10" t="inlineStr">
        <is>
          <t>13:06:05 完成: C:\Users\admin\AppData\Local\JianyingPro\User Data\Projects\com.lveditor.draft\20260620_130605_岩板台面耐造_树剪</t>
        </is>
      </c>
    </row>
    <row r="362">
      <c r="A362" s="7" t="n">
        <v>359</v>
      </c>
      <c r="B362" s="8" t="inlineStr"/>
    </row>
    <row r="363">
      <c r="A363" s="9" t="n">
        <v>360</v>
      </c>
      <c r="B363" s="10" t="inlineStr"/>
    </row>
    <row r="364">
      <c r="A364" s="7" t="n">
        <v>361</v>
      </c>
      <c r="B364" s="8">
        <f>== 2026-06-21T21:14:56 ===</f>
        <v/>
      </c>
    </row>
    <row r="365">
      <c r="A365" s="9" t="n">
        <v>362</v>
      </c>
      <c r="B365" s="10" t="inlineStr">
        <is>
          <t>21:12:55 开始: 岩板台面耐造</t>
        </is>
      </c>
    </row>
    <row r="366">
      <c r="A366" s="7" t="n">
        <v>363</v>
      </c>
      <c r="B366" s="8" t="inlineStr">
        <is>
          <t>21:14:56 完成: C:\Users\admin\AppData\Local\JianyingPro\User Data\Projects\com.lveditor.draft\20260621_211456_岩板台面耐造_树剪</t>
        </is>
      </c>
    </row>
    <row r="367">
      <c r="A367" s="9" t="n">
        <v>364</v>
      </c>
      <c r="B367" s="10" t="inlineStr"/>
    </row>
    <row r="368">
      <c r="A368" s="7" t="n">
        <v>365</v>
      </c>
      <c r="B368" s="8" t="inlineStr"/>
    </row>
    <row r="369">
      <c r="A369" s="9" t="n">
        <v>366</v>
      </c>
      <c r="B369" s="10">
        <f>== 2026-06-21T21:16:05 ===</f>
        <v/>
      </c>
    </row>
    <row r="370">
      <c r="A370" s="7" t="n">
        <v>367</v>
      </c>
      <c r="B370" s="8" t="inlineStr">
        <is>
          <t>21:12:55 开始: 岩板台面耐造</t>
        </is>
      </c>
    </row>
    <row r="371">
      <c r="A371" s="9" t="n">
        <v>368</v>
      </c>
      <c r="B371" s="10" t="inlineStr">
        <is>
          <t>21:14:56 完成: C:\Users\admin\AppData\Local\JianyingPro\User Data\Projects\com.lveditor.draft\20260621_211456_岩板台面耐造_树剪</t>
        </is>
      </c>
    </row>
    <row r="372">
      <c r="A372" s="7" t="n">
        <v>369</v>
      </c>
      <c r="B372" s="8" t="inlineStr">
        <is>
          <t>21:15:19 开始: 岛台功能</t>
        </is>
      </c>
    </row>
    <row r="373">
      <c r="A373" s="9" t="n">
        <v>370</v>
      </c>
      <c r="B373" s="10" t="inlineStr">
        <is>
          <t>21:16:05 完成: C:\Users\admin\AppData\Local\JianyingPro\User Data\Projects\com.lveditor.draft\20260621_211604_岛台功能_树剪</t>
        </is>
      </c>
    </row>
    <row r="374">
      <c r="A374" s="7" t="n">
        <v>371</v>
      </c>
      <c r="B374" s="8" t="inlineStr"/>
    </row>
    <row r="375">
      <c r="A375" s="9" t="n">
        <v>372</v>
      </c>
      <c r="B375" s="10" t="inlineStr"/>
    </row>
    <row r="376">
      <c r="A376" s="7" t="n">
        <v>373</v>
      </c>
      <c r="B376" s="8">
        <f>== 2026-06-21T21:17:04 ===</f>
        <v/>
      </c>
    </row>
    <row r="377">
      <c r="A377" s="9" t="n">
        <v>374</v>
      </c>
      <c r="B377" s="10" t="inlineStr">
        <is>
          <t>21:12:55 开始: 岩板台面耐造</t>
        </is>
      </c>
    </row>
    <row r="378">
      <c r="A378" s="7" t="n">
        <v>375</v>
      </c>
      <c r="B378" s="8" t="inlineStr">
        <is>
          <t>21:14:56 完成: C:\Users\admin\AppData\Local\JianyingPro\User Data\Projects\com.lveditor.draft\20260621_211456_岩板台面耐造_树剪</t>
        </is>
      </c>
    </row>
    <row r="379">
      <c r="A379" s="9" t="n">
        <v>376</v>
      </c>
      <c r="B379" s="10" t="inlineStr">
        <is>
          <t>21:15:19 开始: 岛台功能</t>
        </is>
      </c>
    </row>
    <row r="380">
      <c r="A380" s="7" t="n">
        <v>377</v>
      </c>
      <c r="B380" s="8" t="inlineStr">
        <is>
          <t>21:16:05 完成: C:\Users\admin\AppData\Local\JianyingPro\User Data\Projects\com.lveditor.draft\20260621_211604_岛台功能_树剪</t>
        </is>
      </c>
    </row>
    <row r="381">
      <c r="A381" s="9" t="n">
        <v>378</v>
      </c>
      <c r="B381" s="10" t="inlineStr">
        <is>
          <t>21:16:15 开始: 岛台功能</t>
        </is>
      </c>
    </row>
    <row r="382">
      <c r="A382" s="7" t="n">
        <v>379</v>
      </c>
      <c r="B382" s="8" t="inlineStr">
        <is>
          <t>21:17:04 完成: C:\Users\admin\AppData\Local\JianyingPro\User Data\Projects\com.lveditor.draft\20260621_211703_岛台功能_树剪</t>
        </is>
      </c>
    </row>
    <row r="383">
      <c r="A383" s="9" t="n">
        <v>380</v>
      </c>
      <c r="B383" s="10" t="inlineStr"/>
    </row>
    <row r="384">
      <c r="A384" s="7" t="n">
        <v>381</v>
      </c>
      <c r="B384" s="8" t="inlineStr"/>
    </row>
    <row r="385">
      <c r="A385" s="9" t="n">
        <v>382</v>
      </c>
      <c r="B385" s="10">
        <f>== 2026-06-21T21:18:26 ===</f>
        <v/>
      </c>
    </row>
    <row r="386">
      <c r="A386" s="7" t="n">
        <v>383</v>
      </c>
      <c r="B386" s="8" t="inlineStr">
        <is>
          <t>21:12:55 开始: 岩板台面耐造</t>
        </is>
      </c>
    </row>
    <row r="387">
      <c r="A387" s="9" t="n">
        <v>384</v>
      </c>
      <c r="B387" s="10" t="inlineStr">
        <is>
          <t>21:14:56 完成: C:\Users\admin\AppData\Local\JianyingPro\User Data\Projects\com.lveditor.draft\20260621_211456_岩板台面耐造_树剪</t>
        </is>
      </c>
    </row>
    <row r="388">
      <c r="A388" s="7" t="n">
        <v>385</v>
      </c>
      <c r="B388" s="8" t="inlineStr">
        <is>
          <t>21:15:19 开始: 岛台功能</t>
        </is>
      </c>
    </row>
    <row r="389">
      <c r="A389" s="9" t="n">
        <v>386</v>
      </c>
      <c r="B389" s="10" t="inlineStr">
        <is>
          <t>21:16:05 完成: C:\Users\admin\AppData\Local\JianyingPro\User Data\Projects\com.lveditor.draft\20260621_211604_岛台功能_树剪</t>
        </is>
      </c>
    </row>
    <row r="390">
      <c r="A390" s="7" t="n">
        <v>387</v>
      </c>
      <c r="B390" s="8" t="inlineStr">
        <is>
          <t>21:16:15 开始: 岛台功能</t>
        </is>
      </c>
    </row>
    <row r="391">
      <c r="A391" s="9" t="n">
        <v>388</v>
      </c>
      <c r="B391" s="10" t="inlineStr">
        <is>
          <t>21:17:04 完成: C:\Users\admin\AppData\Local\JianyingPro\User Data\Projects\com.lveditor.draft\20260621_211703_岛台功能_树剪</t>
        </is>
      </c>
    </row>
    <row r="392">
      <c r="A392" s="7" t="n">
        <v>389</v>
      </c>
      <c r="B392" s="8" t="inlineStr">
        <is>
          <t>21:17:35 开始: 岛台功能</t>
        </is>
      </c>
    </row>
    <row r="393">
      <c r="A393" s="9" t="n">
        <v>390</v>
      </c>
      <c r="B393" s="10" t="inlineStr">
        <is>
          <t>21:18:26 完成: C:\Users\admin\AppData\Local\JianyingPro\User Data\Projects\com.lveditor.draft\20260621_211826_岛台功能_树剪</t>
        </is>
      </c>
    </row>
    <row r="394">
      <c r="A394" s="7" t="n">
        <v>391</v>
      </c>
      <c r="B394" s="8" t="inlineStr"/>
    </row>
    <row r="395">
      <c r="A395" s="9" t="n">
        <v>392</v>
      </c>
      <c r="B395" s="10" t="inlineStr"/>
    </row>
    <row r="396">
      <c r="A396" s="7" t="n">
        <v>393</v>
      </c>
      <c r="B396" s="8">
        <f>== 2026-06-21T21:19:28 ===</f>
        <v/>
      </c>
    </row>
    <row r="397">
      <c r="A397" s="9" t="n">
        <v>394</v>
      </c>
      <c r="B397" s="10" t="inlineStr">
        <is>
          <t>21:12:55 开始: 岩板台面耐造</t>
        </is>
      </c>
    </row>
    <row r="398">
      <c r="A398" s="7" t="n">
        <v>395</v>
      </c>
      <c r="B398" s="8" t="inlineStr">
        <is>
          <t>21:14:56 完成: C:\Users\admin\AppData\Local\JianyingPro\User Data\Projects\com.lveditor.draft\20260621_211456_岩板台面耐造_树剪</t>
        </is>
      </c>
    </row>
    <row r="399">
      <c r="A399" s="9" t="n">
        <v>396</v>
      </c>
      <c r="B399" s="10" t="inlineStr">
        <is>
          <t>21:15:19 开始: 岛台功能</t>
        </is>
      </c>
    </row>
    <row r="400">
      <c r="A400" s="7" t="n">
        <v>397</v>
      </c>
      <c r="B400" s="8" t="inlineStr">
        <is>
          <t>21:16:05 完成: C:\Users\admin\AppData\Local\JianyingPro\User Data\Projects\com.lveditor.draft\20260621_211604_岛台功能_树剪</t>
        </is>
      </c>
    </row>
    <row r="401">
      <c r="A401" s="9" t="n">
        <v>398</v>
      </c>
      <c r="B401" s="10" t="inlineStr">
        <is>
          <t>21:16:15 开始: 岛台功能</t>
        </is>
      </c>
    </row>
    <row r="402">
      <c r="A402" s="7" t="n">
        <v>399</v>
      </c>
      <c r="B402" s="8" t="inlineStr">
        <is>
          <t>21:17:04 完成: C:\Users\admin\AppData\Local\JianyingPro\User Data\Projects\com.lveditor.draft\20260621_211703_岛台功能_树剪</t>
        </is>
      </c>
    </row>
    <row r="403">
      <c r="A403" s="9" t="n">
        <v>400</v>
      </c>
      <c r="B403" s="10" t="inlineStr">
        <is>
          <t>21:17:35 开始: 岛台功能</t>
        </is>
      </c>
    </row>
    <row r="404">
      <c r="A404" s="7" t="n">
        <v>401</v>
      </c>
      <c r="B404" s="8" t="inlineStr">
        <is>
          <t>21:18:26 完成: C:\Users\admin\AppData\Local\JianyingPro\User Data\Projects\com.lveditor.draft\20260621_211826_岛台功能_树剪</t>
        </is>
      </c>
    </row>
    <row r="405">
      <c r="A405" s="9" t="n">
        <v>402</v>
      </c>
      <c r="B405" s="10" t="inlineStr">
        <is>
          <t>21:18:32 开始: 岛台功能</t>
        </is>
      </c>
    </row>
    <row r="406">
      <c r="A406" s="7" t="n">
        <v>403</v>
      </c>
      <c r="B406" s="8" t="inlineStr">
        <is>
          <t>21:19:28 完成: C:\Users\admin\AppData\Local\JianyingPro\User Data\Projects\com.lveditor.draft\20260621_211928_岛台功能_树剪</t>
        </is>
      </c>
    </row>
    <row r="407">
      <c r="A407" s="9" t="n">
        <v>404</v>
      </c>
      <c r="B407" s="10" t="inlineStr"/>
    </row>
    <row r="408">
      <c r="A408" s="7" t="n">
        <v>405</v>
      </c>
      <c r="B408" s="8" t="inlineStr"/>
    </row>
    <row r="409">
      <c r="A409" s="9" t="n">
        <v>406</v>
      </c>
      <c r="B409" s="10">
        <f>== 2026-06-21T21:21:46 ===</f>
        <v/>
      </c>
    </row>
    <row r="410">
      <c r="A410" s="7" t="n">
        <v>407</v>
      </c>
      <c r="B410" s="8" t="inlineStr">
        <is>
          <t>21:12:55 开始: 岩板台面耐造</t>
        </is>
      </c>
    </row>
    <row r="411">
      <c r="A411" s="9" t="n">
        <v>408</v>
      </c>
      <c r="B411" s="10" t="inlineStr">
        <is>
          <t>21:14:56 完成: C:\Users\admin\AppData\Local\JianyingPro\User Data\Projects\com.lveditor.draft\20260621_211456_岩板台面耐造_树剪</t>
        </is>
      </c>
    </row>
    <row r="412">
      <c r="A412" s="7" t="n">
        <v>409</v>
      </c>
      <c r="B412" s="8" t="inlineStr">
        <is>
          <t>21:15:19 开始: 岛台功能</t>
        </is>
      </c>
    </row>
    <row r="413">
      <c r="A413" s="9" t="n">
        <v>410</v>
      </c>
      <c r="B413" s="10" t="inlineStr">
        <is>
          <t>21:16:05 完成: C:\Users\admin\AppData\Local\JianyingPro\User Data\Projects\com.lveditor.draft\20260621_211604_岛台功能_树剪</t>
        </is>
      </c>
    </row>
    <row r="414">
      <c r="A414" s="7" t="n">
        <v>411</v>
      </c>
      <c r="B414" s="8" t="inlineStr">
        <is>
          <t>21:16:15 开始: 岛台功能</t>
        </is>
      </c>
    </row>
    <row r="415">
      <c r="A415" s="9" t="n">
        <v>412</v>
      </c>
      <c r="B415" s="10" t="inlineStr">
        <is>
          <t>21:17:04 完成: C:\Users\admin\AppData\Local\JianyingPro\User Data\Projects\com.lveditor.draft\20260621_211703_岛台功能_树剪</t>
        </is>
      </c>
    </row>
    <row r="416">
      <c r="A416" s="7" t="n">
        <v>413</v>
      </c>
      <c r="B416" s="8" t="inlineStr">
        <is>
          <t>21:17:35 开始: 岛台功能</t>
        </is>
      </c>
    </row>
    <row r="417">
      <c r="A417" s="9" t="n">
        <v>414</v>
      </c>
      <c r="B417" s="10" t="inlineStr">
        <is>
          <t>21:18:26 完成: C:\Users\admin\AppData\Local\JianyingPro\User Data\Projects\com.lveditor.draft\20260621_211826_岛台功能_树剪</t>
        </is>
      </c>
    </row>
    <row r="418">
      <c r="A418" s="7" t="n">
        <v>415</v>
      </c>
      <c r="B418" s="8" t="inlineStr">
        <is>
          <t>21:18:32 开始: 岛台功能</t>
        </is>
      </c>
    </row>
    <row r="419">
      <c r="A419" s="9" t="n">
        <v>416</v>
      </c>
      <c r="B419" s="10" t="inlineStr">
        <is>
          <t>21:19:28 完成: C:\Users\admin\AppData\Local\JianyingPro\User Data\Projects\com.lveditor.draft\20260621_211928_岛台功能_树剪</t>
        </is>
      </c>
    </row>
    <row r="420">
      <c r="A420" s="7" t="n">
        <v>417</v>
      </c>
      <c r="B420" s="8" t="inlineStr">
        <is>
          <t>21:21:02 开始: 岛台功能</t>
        </is>
      </c>
    </row>
    <row r="421">
      <c r="A421" s="9" t="n">
        <v>418</v>
      </c>
      <c r="B421" s="10" t="inlineStr">
        <is>
          <t>21:21:46 完成: C:\Users\admin\AppData\Local\JianyingPro\User Data\Projects\com.lveditor.draft\20260621_212146_岛台功能_树剪</t>
        </is>
      </c>
    </row>
    <row r="422">
      <c r="A422" s="7" t="n">
        <v>419</v>
      </c>
      <c r="B422" s="8" t="inlineStr"/>
    </row>
    <row r="423">
      <c r="A423" s="9" t="n">
        <v>420</v>
      </c>
      <c r="B423" s="10" t="inlineStr"/>
    </row>
    <row r="424">
      <c r="A424" s="7" t="n">
        <v>421</v>
      </c>
      <c r="B424" s="8">
        <f>== 2026-06-21T21:23:45 ===</f>
        <v/>
      </c>
    </row>
    <row r="425">
      <c r="A425" s="9" t="n">
        <v>422</v>
      </c>
      <c r="B425" s="10" t="inlineStr">
        <is>
          <t>21:12:55 开始: 岩板台面耐造</t>
        </is>
      </c>
    </row>
    <row r="426">
      <c r="A426" s="7" t="n">
        <v>423</v>
      </c>
      <c r="B426" s="8" t="inlineStr">
        <is>
          <t>21:14:56 完成: C:\Users\admin\AppData\Local\JianyingPro\User Data\Projects\com.lveditor.draft\20260621_211456_岩板台面耐造_树剪</t>
        </is>
      </c>
    </row>
    <row r="427">
      <c r="A427" s="9" t="n">
        <v>424</v>
      </c>
      <c r="B427" s="10" t="inlineStr">
        <is>
          <t>21:15:19 开始: 岛台功能</t>
        </is>
      </c>
    </row>
    <row r="428">
      <c r="A428" s="7" t="n">
        <v>425</v>
      </c>
      <c r="B428" s="8" t="inlineStr">
        <is>
          <t>21:16:05 完成: C:\Users\admin\AppData\Local\JianyingPro\User Data\Projects\com.lveditor.draft\20260621_211604_岛台功能_树剪</t>
        </is>
      </c>
    </row>
    <row r="429">
      <c r="A429" s="9" t="n">
        <v>426</v>
      </c>
      <c r="B429" s="10" t="inlineStr">
        <is>
          <t>21:16:15 开始: 岛台功能</t>
        </is>
      </c>
    </row>
    <row r="430">
      <c r="A430" s="7" t="n">
        <v>427</v>
      </c>
      <c r="B430" s="8" t="inlineStr">
        <is>
          <t>21:17:04 完成: C:\Users\admin\AppData\Local\JianyingPro\User Data\Projects\com.lveditor.draft\20260621_211703_岛台功能_树剪</t>
        </is>
      </c>
    </row>
    <row r="431">
      <c r="A431" s="9" t="n">
        <v>428</v>
      </c>
      <c r="B431" s="10" t="inlineStr">
        <is>
          <t>21:17:35 开始: 岛台功能</t>
        </is>
      </c>
    </row>
    <row r="432">
      <c r="A432" s="7" t="n">
        <v>429</v>
      </c>
      <c r="B432" s="8" t="inlineStr">
        <is>
          <t>21:18:26 完成: C:\Users\admin\AppData\Local\JianyingPro\User Data\Projects\com.lveditor.draft\20260621_211826_岛台功能_树剪</t>
        </is>
      </c>
    </row>
    <row r="433">
      <c r="A433" s="9" t="n">
        <v>430</v>
      </c>
      <c r="B433" s="10" t="inlineStr">
        <is>
          <t>21:18:32 开始: 岛台功能</t>
        </is>
      </c>
    </row>
    <row r="434">
      <c r="A434" s="7" t="n">
        <v>431</v>
      </c>
      <c r="B434" s="8" t="inlineStr">
        <is>
          <t>21:19:28 完成: C:\Users\admin\AppData\Local\JianyingPro\User Data\Projects\com.lveditor.draft\20260621_211928_岛台功能_树剪</t>
        </is>
      </c>
    </row>
    <row r="435">
      <c r="A435" s="9" t="n">
        <v>432</v>
      </c>
      <c r="B435" s="10" t="inlineStr">
        <is>
          <t>21:21:02 开始: 岛台功能</t>
        </is>
      </c>
    </row>
    <row r="436">
      <c r="A436" s="7" t="n">
        <v>433</v>
      </c>
      <c r="B436" s="8" t="inlineStr">
        <is>
          <t>21:21:46 完成: C:\Users\admin\AppData\Local\JianyingPro\User Data\Projects\com.lveditor.draft\20260621_212146_岛台功能_树剪</t>
        </is>
      </c>
    </row>
    <row r="437">
      <c r="A437" s="9" t="n">
        <v>434</v>
      </c>
      <c r="B437" s="10" t="inlineStr">
        <is>
          <t>21:22:52 开始: 岛台功能</t>
        </is>
      </c>
    </row>
    <row r="438">
      <c r="A438" s="7" t="n">
        <v>435</v>
      </c>
      <c r="B438" s="8" t="inlineStr">
        <is>
          <t>21:23:45 完成: C:\Users\admin\AppData\Local\JianyingPro\User Data\Projects\com.lveditor.draft\20260621_212345_岛台功能_树剪</t>
        </is>
      </c>
    </row>
    <row r="439">
      <c r="A439" s="9" t="n">
        <v>436</v>
      </c>
      <c r="B439" s="10" t="inlineStr"/>
    </row>
    <row r="440">
      <c r="A440" s="7" t="n">
        <v>437</v>
      </c>
      <c r="B440" s="8" t="inlineStr"/>
    </row>
    <row r="441">
      <c r="A441" s="9" t="n">
        <v>438</v>
      </c>
      <c r="B441" s="10">
        <f>== 2026-06-21T21:25:32 ===</f>
        <v/>
      </c>
    </row>
    <row r="442">
      <c r="A442" s="7" t="n">
        <v>439</v>
      </c>
      <c r="B442" s="8" t="inlineStr">
        <is>
          <t>21:12:55 开始: 岩板台面耐造</t>
        </is>
      </c>
    </row>
    <row r="443">
      <c r="A443" s="9" t="n">
        <v>440</v>
      </c>
      <c r="B443" s="10" t="inlineStr">
        <is>
          <t>21:14:56 完成: C:\Users\admin\AppData\Local\JianyingPro\User Data\Projects\com.lveditor.draft\20260621_211456_岩板台面耐造_树剪</t>
        </is>
      </c>
    </row>
    <row r="444">
      <c r="A444" s="7" t="n">
        <v>441</v>
      </c>
      <c r="B444" s="8" t="inlineStr">
        <is>
          <t>21:15:19 开始: 岛台功能</t>
        </is>
      </c>
    </row>
    <row r="445">
      <c r="A445" s="9" t="n">
        <v>442</v>
      </c>
      <c r="B445" s="10" t="inlineStr">
        <is>
          <t>21:16:05 完成: C:\Users\admin\AppData\Local\JianyingPro\User Data\Projects\com.lveditor.draft\20260621_211604_岛台功能_树剪</t>
        </is>
      </c>
    </row>
    <row r="446">
      <c r="A446" s="7" t="n">
        <v>443</v>
      </c>
      <c r="B446" s="8" t="inlineStr">
        <is>
          <t>21:16:15 开始: 岛台功能</t>
        </is>
      </c>
    </row>
    <row r="447">
      <c r="A447" s="9" t="n">
        <v>444</v>
      </c>
      <c r="B447" s="10" t="inlineStr">
        <is>
          <t>21:17:04 完成: C:\Users\admin\AppData\Local\JianyingPro\User Data\Projects\com.lveditor.draft\20260621_211703_岛台功能_树剪</t>
        </is>
      </c>
    </row>
    <row r="448">
      <c r="A448" s="7" t="n">
        <v>445</v>
      </c>
      <c r="B448" s="8" t="inlineStr">
        <is>
          <t>21:17:35 开始: 岛台功能</t>
        </is>
      </c>
    </row>
    <row r="449">
      <c r="A449" s="9" t="n">
        <v>446</v>
      </c>
      <c r="B449" s="10" t="inlineStr">
        <is>
          <t>21:18:26 完成: C:\Users\admin\AppData\Local\JianyingPro\User Data\Projects\com.lveditor.draft\20260621_211826_岛台功能_树剪</t>
        </is>
      </c>
    </row>
    <row r="450">
      <c r="A450" s="7" t="n">
        <v>447</v>
      </c>
      <c r="B450" s="8" t="inlineStr">
        <is>
          <t>21:18:32 开始: 岛台功能</t>
        </is>
      </c>
    </row>
    <row r="451">
      <c r="A451" s="9" t="n">
        <v>448</v>
      </c>
      <c r="B451" s="10" t="inlineStr">
        <is>
          <t>21:19:28 完成: C:\Users\admin\AppData\Local\JianyingPro\User Data\Projects\com.lveditor.draft\20260621_211928_岛台功能_树剪</t>
        </is>
      </c>
    </row>
    <row r="452">
      <c r="A452" s="7" t="n">
        <v>449</v>
      </c>
      <c r="B452" s="8" t="inlineStr">
        <is>
          <t>21:21:02 开始: 岛台功能</t>
        </is>
      </c>
    </row>
    <row r="453">
      <c r="A453" s="9" t="n">
        <v>450</v>
      </c>
      <c r="B453" s="10" t="inlineStr">
        <is>
          <t>21:21:46 完成: C:\Users\admin\AppData\Local\JianyingPro\User Data\Projects\com.lveditor.draft\20260621_212146_岛台功能_树剪</t>
        </is>
      </c>
    </row>
    <row r="454">
      <c r="A454" s="7" t="n">
        <v>451</v>
      </c>
      <c r="B454" s="8" t="inlineStr">
        <is>
          <t>21:22:52 开始: 岛台功能</t>
        </is>
      </c>
    </row>
    <row r="455">
      <c r="A455" s="9" t="n">
        <v>452</v>
      </c>
      <c r="B455" s="10" t="inlineStr">
        <is>
          <t>21:23:45 完成: C:\Users\admin\AppData\Local\JianyingPro\User Data\Projects\com.lveditor.draft\20260621_212345_岛台功能_树剪</t>
        </is>
      </c>
    </row>
    <row r="456">
      <c r="A456" s="7" t="n">
        <v>453</v>
      </c>
      <c r="B456" s="8" t="inlineStr">
        <is>
          <t>21:24:41 开始: 岛台功能</t>
        </is>
      </c>
    </row>
    <row r="457">
      <c r="A457" s="9" t="n">
        <v>454</v>
      </c>
      <c r="B457" s="10" t="inlineStr">
        <is>
          <t>21:25:32 完成: C:\Users\admin\AppData\Local\JianyingPro\User Data\Projects\com.lveditor.draft\20260621_212532_岛台功能_树剪</t>
        </is>
      </c>
    </row>
    <row r="458">
      <c r="A458" s="7" t="n">
        <v>455</v>
      </c>
      <c r="B458" s="8" t="inlineStr"/>
    </row>
    <row r="459">
      <c r="A459" s="9" t="n">
        <v>456</v>
      </c>
      <c r="B459" s="10" t="inlineStr"/>
    </row>
    <row r="460">
      <c r="A460" s="7" t="n">
        <v>457</v>
      </c>
      <c r="B460" s="8">
        <f>== 2026-06-21T21:28:23 ===</f>
        <v/>
      </c>
    </row>
    <row r="461">
      <c r="A461" s="9" t="n">
        <v>458</v>
      </c>
      <c r="B461" s="10" t="inlineStr">
        <is>
          <t>21:12:55 开始: 岩板台面耐造</t>
        </is>
      </c>
    </row>
    <row r="462">
      <c r="A462" s="7" t="n">
        <v>459</v>
      </c>
      <c r="B462" s="8" t="inlineStr">
        <is>
          <t>21:14:56 完成: C:\Users\admin\AppData\Local\JianyingPro\User Data\Projects\com.lveditor.draft\20260621_211456_岩板台面耐造_树剪</t>
        </is>
      </c>
    </row>
    <row r="463">
      <c r="A463" s="9" t="n">
        <v>460</v>
      </c>
      <c r="B463" s="10" t="inlineStr">
        <is>
          <t>21:15:19 开始: 岛台功能</t>
        </is>
      </c>
    </row>
    <row r="464">
      <c r="A464" s="7" t="n">
        <v>461</v>
      </c>
      <c r="B464" s="8" t="inlineStr">
        <is>
          <t>21:16:05 完成: C:\Users\admin\AppData\Local\JianyingPro\User Data\Projects\com.lveditor.draft\20260621_211604_岛台功能_树剪</t>
        </is>
      </c>
    </row>
    <row r="465">
      <c r="A465" s="9" t="n">
        <v>462</v>
      </c>
      <c r="B465" s="10" t="inlineStr">
        <is>
          <t>21:16:15 开始: 岛台功能</t>
        </is>
      </c>
    </row>
    <row r="466">
      <c r="A466" s="7" t="n">
        <v>463</v>
      </c>
      <c r="B466" s="8" t="inlineStr">
        <is>
          <t>21:17:04 完成: C:\Users\admin\AppData\Local\JianyingPro\User Data\Projects\com.lveditor.draft\20260621_211703_岛台功能_树剪</t>
        </is>
      </c>
    </row>
    <row r="467">
      <c r="A467" s="9" t="n">
        <v>464</v>
      </c>
      <c r="B467" s="10" t="inlineStr">
        <is>
          <t>21:17:35 开始: 岛台功能</t>
        </is>
      </c>
    </row>
    <row r="468">
      <c r="A468" s="7" t="n">
        <v>465</v>
      </c>
      <c r="B468" s="8" t="inlineStr">
        <is>
          <t>21:18:26 完成: C:\Users\admin\AppData\Local\JianyingPro\User Data\Projects\com.lveditor.draft\20260621_211826_岛台功能_树剪</t>
        </is>
      </c>
    </row>
    <row r="469">
      <c r="A469" s="9" t="n">
        <v>466</v>
      </c>
      <c r="B469" s="10" t="inlineStr">
        <is>
          <t>21:18:32 开始: 岛台功能</t>
        </is>
      </c>
    </row>
    <row r="470">
      <c r="A470" s="7" t="n">
        <v>467</v>
      </c>
      <c r="B470" s="8" t="inlineStr">
        <is>
          <t>21:19:28 完成: C:\Users\admin\AppData\Local\JianyingPro\User Data\Projects\com.lveditor.draft\20260621_211928_岛台功能_树剪</t>
        </is>
      </c>
    </row>
    <row r="471">
      <c r="A471" s="9" t="n">
        <v>468</v>
      </c>
      <c r="B471" s="10" t="inlineStr">
        <is>
          <t>21:21:02 开始: 岛台功能</t>
        </is>
      </c>
    </row>
    <row r="472">
      <c r="A472" s="7" t="n">
        <v>469</v>
      </c>
      <c r="B472" s="8" t="inlineStr">
        <is>
          <t>21:21:46 完成: C:\Users\admin\AppData\Local\JianyingPro\User Data\Projects\com.lveditor.draft\20260621_212146_岛台功能_树剪</t>
        </is>
      </c>
    </row>
    <row r="473">
      <c r="A473" s="9" t="n">
        <v>470</v>
      </c>
      <c r="B473" s="10" t="inlineStr">
        <is>
          <t>21:22:52 开始: 岛台功能</t>
        </is>
      </c>
    </row>
    <row r="474">
      <c r="A474" s="7" t="n">
        <v>471</v>
      </c>
      <c r="B474" s="8" t="inlineStr">
        <is>
          <t>21:23:45 完成: C:\Users\admin\AppData\Local\JianyingPro\User Data\Projects\com.lveditor.draft\20260621_212345_岛台功能_树剪</t>
        </is>
      </c>
    </row>
    <row r="475">
      <c r="A475" s="9" t="n">
        <v>472</v>
      </c>
      <c r="B475" s="10" t="inlineStr">
        <is>
          <t>21:24:41 开始: 岛台功能</t>
        </is>
      </c>
    </row>
    <row r="476">
      <c r="A476" s="7" t="n">
        <v>473</v>
      </c>
      <c r="B476" s="8" t="inlineStr">
        <is>
          <t>21:25:32 完成: C:\Users\admin\AppData\Local\JianyingPro\User Data\Projects\com.lveditor.draft\20260621_212532_岛台功能_树剪</t>
        </is>
      </c>
    </row>
    <row r="477">
      <c r="A477" s="9" t="n">
        <v>474</v>
      </c>
      <c r="B477" s="10" t="inlineStr">
        <is>
          <t>21:27:26 开始: 岛台功能</t>
        </is>
      </c>
    </row>
    <row r="478">
      <c r="A478" s="7" t="n">
        <v>475</v>
      </c>
      <c r="B478" s="8" t="inlineStr">
        <is>
          <t>21:28:23 完成: C:\Users\admin\AppData\Local\JianyingPro\User Data\Projects\com.lveditor.draft\20260621_212823_岛台功能_树剪</t>
        </is>
      </c>
    </row>
    <row r="479">
      <c r="A479" s="9" t="n">
        <v>476</v>
      </c>
      <c r="B479" s="10" t="inlineStr"/>
    </row>
    <row r="480">
      <c r="A480" s="7" t="n">
        <v>477</v>
      </c>
      <c r="B480" s="8" t="inlineStr"/>
    </row>
    <row r="481">
      <c r="A481" s="9" t="n">
        <v>478</v>
      </c>
      <c r="B481" s="10">
        <f>== 2026-06-21T21:30:10 ===</f>
        <v/>
      </c>
    </row>
    <row r="482">
      <c r="A482" s="7" t="n">
        <v>479</v>
      </c>
      <c r="B482" s="8" t="inlineStr">
        <is>
          <t>21:12:55 开始: 岩板台面耐造</t>
        </is>
      </c>
    </row>
    <row r="483">
      <c r="A483" s="9" t="n">
        <v>480</v>
      </c>
      <c r="B483" s="10" t="inlineStr">
        <is>
          <t>21:14:56 完成: C:\Users\admin\AppData\Local\JianyingPro\User Data\Projects\com.lveditor.draft\20260621_211456_岩板台面耐造_树剪</t>
        </is>
      </c>
    </row>
    <row r="484">
      <c r="A484" s="7" t="n">
        <v>481</v>
      </c>
      <c r="B484" s="8" t="inlineStr">
        <is>
          <t>21:15:19 开始: 岛台功能</t>
        </is>
      </c>
    </row>
    <row r="485">
      <c r="A485" s="9" t="n">
        <v>482</v>
      </c>
      <c r="B485" s="10" t="inlineStr">
        <is>
          <t>21:16:05 完成: C:\Users\admin\AppData\Local\JianyingPro\User Data\Projects\com.lveditor.draft\20260621_211604_岛台功能_树剪</t>
        </is>
      </c>
    </row>
    <row r="486">
      <c r="A486" s="7" t="n">
        <v>483</v>
      </c>
      <c r="B486" s="8" t="inlineStr">
        <is>
          <t>21:16:15 开始: 岛台功能</t>
        </is>
      </c>
    </row>
    <row r="487">
      <c r="A487" s="9" t="n">
        <v>484</v>
      </c>
      <c r="B487" s="10" t="inlineStr">
        <is>
          <t>21:17:04 完成: C:\Users\admin\AppData\Local\JianyingPro\User Data\Projects\com.lveditor.draft\20260621_211703_岛台功能_树剪</t>
        </is>
      </c>
    </row>
    <row r="488">
      <c r="A488" s="7" t="n">
        <v>485</v>
      </c>
      <c r="B488" s="8" t="inlineStr">
        <is>
          <t>21:17:35 开始: 岛台功能</t>
        </is>
      </c>
    </row>
    <row r="489">
      <c r="A489" s="9" t="n">
        <v>486</v>
      </c>
      <c r="B489" s="10" t="inlineStr">
        <is>
          <t>21:18:26 完成: C:\Users\admin\AppData\Local\JianyingPro\User Data\Projects\com.lveditor.draft\20260621_211826_岛台功能_树剪</t>
        </is>
      </c>
    </row>
    <row r="490">
      <c r="A490" s="7" t="n">
        <v>487</v>
      </c>
      <c r="B490" s="8" t="inlineStr">
        <is>
          <t>21:18:32 开始: 岛台功能</t>
        </is>
      </c>
    </row>
    <row r="491">
      <c r="A491" s="9" t="n">
        <v>488</v>
      </c>
      <c r="B491" s="10" t="inlineStr">
        <is>
          <t>21:19:28 完成: C:\Users\admin\AppData\Local\JianyingPro\User Data\Projects\com.lveditor.draft\20260621_211928_岛台功能_树剪</t>
        </is>
      </c>
    </row>
    <row r="492">
      <c r="A492" s="7" t="n">
        <v>489</v>
      </c>
      <c r="B492" s="8" t="inlineStr">
        <is>
          <t>21:21:02 开始: 岛台功能</t>
        </is>
      </c>
    </row>
    <row r="493">
      <c r="A493" s="9" t="n">
        <v>490</v>
      </c>
      <c r="B493" s="10" t="inlineStr">
        <is>
          <t>21:21:46 完成: C:\Users\admin\AppData\Local\JianyingPro\User Data\Projects\com.lveditor.draft\20260621_212146_岛台功能_树剪</t>
        </is>
      </c>
    </row>
    <row r="494">
      <c r="A494" s="7" t="n">
        <v>491</v>
      </c>
      <c r="B494" s="8" t="inlineStr">
        <is>
          <t>21:22:52 开始: 岛台功能</t>
        </is>
      </c>
    </row>
    <row r="495">
      <c r="A495" s="9" t="n">
        <v>492</v>
      </c>
      <c r="B495" s="10" t="inlineStr">
        <is>
          <t>21:23:45 完成: C:\Users\admin\AppData\Local\JianyingPro\User Data\Projects\com.lveditor.draft\20260621_212345_岛台功能_树剪</t>
        </is>
      </c>
    </row>
    <row r="496">
      <c r="A496" s="7" t="n">
        <v>493</v>
      </c>
      <c r="B496" s="8" t="inlineStr">
        <is>
          <t>21:24:41 开始: 岛台功能</t>
        </is>
      </c>
    </row>
    <row r="497">
      <c r="A497" s="9" t="n">
        <v>494</v>
      </c>
      <c r="B497" s="10" t="inlineStr">
        <is>
          <t>21:25:32 完成: C:\Users\admin\AppData\Local\JianyingPro\User Data\Projects\com.lveditor.draft\20260621_212532_岛台功能_树剪</t>
        </is>
      </c>
    </row>
    <row r="498">
      <c r="A498" s="7" t="n">
        <v>495</v>
      </c>
      <c r="B498" s="8" t="inlineStr">
        <is>
          <t>21:27:26 开始: 岛台功能</t>
        </is>
      </c>
    </row>
    <row r="499">
      <c r="A499" s="9" t="n">
        <v>496</v>
      </c>
      <c r="B499" s="10" t="inlineStr">
        <is>
          <t>21:28:23 完成: C:\Users\admin\AppData\Local\JianyingPro\User Data\Projects\com.lveditor.draft\20260621_212823_岛台功能_树剪</t>
        </is>
      </c>
    </row>
    <row r="500">
      <c r="A500" s="7" t="n">
        <v>497</v>
      </c>
      <c r="B500" s="8" t="inlineStr">
        <is>
          <t>21:29:14 开始: 岛台功能</t>
        </is>
      </c>
    </row>
    <row r="501">
      <c r="A501" s="9" t="n">
        <v>498</v>
      </c>
      <c r="B501" s="10" t="inlineStr">
        <is>
          <t>21:30:10 完成: C:\Users\admin\AppData\Local\JianyingPro\User Data\Projects\com.lveditor.draft\20260621_213010_岛台功能_树剪</t>
        </is>
      </c>
    </row>
    <row r="502">
      <c r="A502" s="7" t="n">
        <v>499</v>
      </c>
      <c r="B502" s="8" t="inlineStr"/>
    </row>
    <row r="503">
      <c r="A503" s="9" t="n">
        <v>500</v>
      </c>
      <c r="B503" s="10" t="inlineStr"/>
    </row>
    <row r="504">
      <c r="A504" s="7" t="n">
        <v>501</v>
      </c>
      <c r="B504" s="8">
        <f>== 2026-06-21T21:31:04 ===</f>
        <v/>
      </c>
    </row>
    <row r="505">
      <c r="A505" s="9" t="n">
        <v>502</v>
      </c>
      <c r="B505" s="10" t="inlineStr">
        <is>
          <t>21:12:55 开始: 岩板台面耐造</t>
        </is>
      </c>
    </row>
    <row r="506">
      <c r="A506" s="7" t="n">
        <v>503</v>
      </c>
      <c r="B506" s="8" t="inlineStr">
        <is>
          <t>21:14:56 完成: C:\Users\admin\AppData\Local\JianyingPro\User Data\Projects\com.lveditor.draft\20260621_211456_岩板台面耐造_树剪</t>
        </is>
      </c>
    </row>
    <row r="507">
      <c r="A507" s="9" t="n">
        <v>504</v>
      </c>
      <c r="B507" s="10" t="inlineStr">
        <is>
          <t>21:15:19 开始: 岛台功能</t>
        </is>
      </c>
    </row>
    <row r="508">
      <c r="A508" s="7" t="n">
        <v>505</v>
      </c>
      <c r="B508" s="8" t="inlineStr">
        <is>
          <t>21:16:05 完成: C:\Users\admin\AppData\Local\JianyingPro\User Data\Projects\com.lveditor.draft\20260621_211604_岛台功能_树剪</t>
        </is>
      </c>
    </row>
    <row r="509">
      <c r="A509" s="9" t="n">
        <v>506</v>
      </c>
      <c r="B509" s="10" t="inlineStr">
        <is>
          <t>21:16:15 开始: 岛台功能</t>
        </is>
      </c>
    </row>
    <row r="510">
      <c r="A510" s="7" t="n">
        <v>507</v>
      </c>
      <c r="B510" s="8" t="inlineStr">
        <is>
          <t>21:17:04 完成: C:\Users\admin\AppData\Local\JianyingPro\User Data\Projects\com.lveditor.draft\20260621_211703_岛台功能_树剪</t>
        </is>
      </c>
    </row>
    <row r="511">
      <c r="A511" s="9" t="n">
        <v>508</v>
      </c>
      <c r="B511" s="10" t="inlineStr">
        <is>
          <t>21:17:35 开始: 岛台功能</t>
        </is>
      </c>
    </row>
    <row r="512">
      <c r="A512" s="7" t="n">
        <v>509</v>
      </c>
      <c r="B512" s="8" t="inlineStr">
        <is>
          <t>21:18:26 完成: C:\Users\admin\AppData\Local\JianyingPro\User Data\Projects\com.lveditor.draft\20260621_211826_岛台功能_树剪</t>
        </is>
      </c>
    </row>
    <row r="513">
      <c r="A513" s="9" t="n">
        <v>510</v>
      </c>
      <c r="B513" s="10" t="inlineStr">
        <is>
          <t>21:18:32 开始: 岛台功能</t>
        </is>
      </c>
    </row>
    <row r="514">
      <c r="A514" s="7" t="n">
        <v>511</v>
      </c>
      <c r="B514" s="8" t="inlineStr">
        <is>
          <t>21:19:28 完成: C:\Users\admin\AppData\Local\JianyingPro\User Data\Projects\com.lveditor.draft\20260621_211928_岛台功能_树剪</t>
        </is>
      </c>
    </row>
    <row r="515">
      <c r="A515" s="9" t="n">
        <v>512</v>
      </c>
      <c r="B515" s="10" t="inlineStr">
        <is>
          <t>21:21:02 开始: 岛台功能</t>
        </is>
      </c>
    </row>
    <row r="516">
      <c r="A516" s="7" t="n">
        <v>513</v>
      </c>
      <c r="B516" s="8" t="inlineStr">
        <is>
          <t>21:21:46 完成: C:\Users\admin\AppData\Local\JianyingPro\User Data\Projects\com.lveditor.draft\20260621_212146_岛台功能_树剪</t>
        </is>
      </c>
    </row>
    <row r="517">
      <c r="A517" s="9" t="n">
        <v>514</v>
      </c>
      <c r="B517" s="10" t="inlineStr">
        <is>
          <t>21:22:52 开始: 岛台功能</t>
        </is>
      </c>
    </row>
    <row r="518">
      <c r="A518" s="7" t="n">
        <v>515</v>
      </c>
      <c r="B518" s="8" t="inlineStr">
        <is>
          <t>21:23:45 完成: C:\Users\admin\AppData\Local\JianyingPro\User Data\Projects\com.lveditor.draft\20260621_212345_岛台功能_树剪</t>
        </is>
      </c>
    </row>
    <row r="519">
      <c r="A519" s="9" t="n">
        <v>516</v>
      </c>
      <c r="B519" s="10" t="inlineStr">
        <is>
          <t>21:24:41 开始: 岛台功能</t>
        </is>
      </c>
    </row>
    <row r="520">
      <c r="A520" s="7" t="n">
        <v>517</v>
      </c>
      <c r="B520" s="8" t="inlineStr">
        <is>
          <t>21:25:32 完成: C:\Users\admin\AppData\Local\JianyingPro\User Data\Projects\com.lveditor.draft\20260621_212532_岛台功能_树剪</t>
        </is>
      </c>
    </row>
    <row r="521">
      <c r="A521" s="9" t="n">
        <v>518</v>
      </c>
      <c r="B521" s="10" t="inlineStr">
        <is>
          <t>21:27:26 开始: 岛台功能</t>
        </is>
      </c>
    </row>
    <row r="522">
      <c r="A522" s="7" t="n">
        <v>519</v>
      </c>
      <c r="B522" s="8" t="inlineStr">
        <is>
          <t>21:28:23 完成: C:\Users\admin\AppData\Local\JianyingPro\User Data\Projects\com.lveditor.draft\20260621_212823_岛台功能_树剪</t>
        </is>
      </c>
    </row>
    <row r="523">
      <c r="A523" s="9" t="n">
        <v>520</v>
      </c>
      <c r="B523" s="10" t="inlineStr">
        <is>
          <t>21:29:14 开始: 岛台功能</t>
        </is>
      </c>
    </row>
    <row r="524">
      <c r="A524" s="7" t="n">
        <v>521</v>
      </c>
      <c r="B524" s="8" t="inlineStr">
        <is>
          <t>21:30:10 完成: C:\Users\admin\AppData\Local\JianyingPro\User Data\Projects\com.lveditor.draft\20260621_213010_岛台功能_树剪</t>
        </is>
      </c>
    </row>
    <row r="525">
      <c r="A525" s="9" t="n">
        <v>522</v>
      </c>
      <c r="B525" s="10" t="inlineStr">
        <is>
          <t>21:30:16 开始: 岛台功能</t>
        </is>
      </c>
    </row>
    <row r="526">
      <c r="A526" s="7" t="n">
        <v>523</v>
      </c>
      <c r="B526" s="8" t="inlineStr">
        <is>
          <t>21:31:04 完成: C:\Users\admin\AppData\Local\JianyingPro\User Data\Projects\com.lveditor.draft\20260621_213104_岛台功能_树剪</t>
        </is>
      </c>
    </row>
    <row r="527">
      <c r="A527" s="9" t="n">
        <v>524</v>
      </c>
      <c r="B527" s="10" t="inlineStr"/>
    </row>
    <row r="528">
      <c r="A528" s="7" t="n">
        <v>525</v>
      </c>
      <c r="B528" s="8" t="inlineStr"/>
    </row>
    <row r="529">
      <c r="A529" s="9" t="n">
        <v>526</v>
      </c>
      <c r="B529" s="10">
        <f>== 2026-06-21T21:32:07 ===</f>
        <v/>
      </c>
    </row>
    <row r="530">
      <c r="A530" s="7" t="n">
        <v>527</v>
      </c>
      <c r="B530" s="8" t="inlineStr">
        <is>
          <t>21:12:55 开始: 岩板台面耐造</t>
        </is>
      </c>
    </row>
    <row r="531">
      <c r="A531" s="9" t="n">
        <v>528</v>
      </c>
      <c r="B531" s="10" t="inlineStr">
        <is>
          <t>21:14:56 完成: C:\Users\admin\AppData\Local\JianyingPro\User Data\Projects\com.lveditor.draft\20260621_211456_岩板台面耐造_树剪</t>
        </is>
      </c>
    </row>
    <row r="532">
      <c r="A532" s="7" t="n">
        <v>529</v>
      </c>
      <c r="B532" s="8" t="inlineStr">
        <is>
          <t>21:15:19 开始: 岛台功能</t>
        </is>
      </c>
    </row>
    <row r="533">
      <c r="A533" s="9" t="n">
        <v>530</v>
      </c>
      <c r="B533" s="10" t="inlineStr">
        <is>
          <t>21:16:05 完成: C:\Users\admin\AppData\Local\JianyingPro\User Data\Projects\com.lveditor.draft\20260621_211604_岛台功能_树剪</t>
        </is>
      </c>
    </row>
    <row r="534">
      <c r="A534" s="7" t="n">
        <v>531</v>
      </c>
      <c r="B534" s="8" t="inlineStr">
        <is>
          <t>21:16:15 开始: 岛台功能</t>
        </is>
      </c>
    </row>
    <row r="535">
      <c r="A535" s="9" t="n">
        <v>532</v>
      </c>
      <c r="B535" s="10" t="inlineStr">
        <is>
          <t>21:17:04 完成: C:\Users\admin\AppData\Local\JianyingPro\User Data\Projects\com.lveditor.draft\20260621_211703_岛台功能_树剪</t>
        </is>
      </c>
    </row>
    <row r="536">
      <c r="A536" s="7" t="n">
        <v>533</v>
      </c>
      <c r="B536" s="8" t="inlineStr">
        <is>
          <t>21:17:35 开始: 岛台功能</t>
        </is>
      </c>
    </row>
    <row r="537">
      <c r="A537" s="9" t="n">
        <v>534</v>
      </c>
      <c r="B537" s="10" t="inlineStr">
        <is>
          <t>21:18:26 完成: C:\Users\admin\AppData\Local\JianyingPro\User Data\Projects\com.lveditor.draft\20260621_211826_岛台功能_树剪</t>
        </is>
      </c>
    </row>
    <row r="538">
      <c r="A538" s="7" t="n">
        <v>535</v>
      </c>
      <c r="B538" s="8" t="inlineStr">
        <is>
          <t>21:18:32 开始: 岛台功能</t>
        </is>
      </c>
    </row>
    <row r="539">
      <c r="A539" s="9" t="n">
        <v>536</v>
      </c>
      <c r="B539" s="10" t="inlineStr">
        <is>
          <t>21:19:28 完成: C:\Users\admin\AppData\Local\JianyingPro\User Data\Projects\com.lveditor.draft\20260621_211928_岛台功能_树剪</t>
        </is>
      </c>
    </row>
    <row r="540">
      <c r="A540" s="7" t="n">
        <v>537</v>
      </c>
      <c r="B540" s="8" t="inlineStr">
        <is>
          <t>21:21:02 开始: 岛台功能</t>
        </is>
      </c>
    </row>
    <row r="541">
      <c r="A541" s="9" t="n">
        <v>538</v>
      </c>
      <c r="B541" s="10" t="inlineStr">
        <is>
          <t>21:21:46 完成: C:\Users\admin\AppData\Local\JianyingPro\User Data\Projects\com.lveditor.draft\20260621_212146_岛台功能_树剪</t>
        </is>
      </c>
    </row>
    <row r="542">
      <c r="A542" s="7" t="n">
        <v>539</v>
      </c>
      <c r="B542" s="8" t="inlineStr">
        <is>
          <t>21:22:52 开始: 岛台功能</t>
        </is>
      </c>
    </row>
    <row r="543">
      <c r="A543" s="9" t="n">
        <v>540</v>
      </c>
      <c r="B543" s="10" t="inlineStr">
        <is>
          <t>21:23:45 完成: C:\Users\admin\AppData\Local\JianyingPro\User Data\Projects\com.lveditor.draft\20260621_212345_岛台功能_树剪</t>
        </is>
      </c>
    </row>
    <row r="544">
      <c r="A544" s="7" t="n">
        <v>541</v>
      </c>
      <c r="B544" s="8" t="inlineStr">
        <is>
          <t>21:24:41 开始: 岛台功能</t>
        </is>
      </c>
    </row>
    <row r="545">
      <c r="A545" s="9" t="n">
        <v>542</v>
      </c>
      <c r="B545" s="10" t="inlineStr">
        <is>
          <t>21:25:32 完成: C:\Users\admin\AppData\Local\JianyingPro\User Data\Projects\com.lveditor.draft\20260621_212532_岛台功能_树剪</t>
        </is>
      </c>
    </row>
    <row r="546">
      <c r="A546" s="7" t="n">
        <v>543</v>
      </c>
      <c r="B546" s="8" t="inlineStr">
        <is>
          <t>21:27:26 开始: 岛台功能</t>
        </is>
      </c>
    </row>
    <row r="547">
      <c r="A547" s="9" t="n">
        <v>544</v>
      </c>
      <c r="B547" s="10" t="inlineStr">
        <is>
          <t>21:28:23 完成: C:\Users\admin\AppData\Local\JianyingPro\User Data\Projects\com.lveditor.draft\20260621_212823_岛台功能_树剪</t>
        </is>
      </c>
    </row>
    <row r="548">
      <c r="A548" s="7" t="n">
        <v>545</v>
      </c>
      <c r="B548" s="8" t="inlineStr">
        <is>
          <t>21:29:14 开始: 岛台功能</t>
        </is>
      </c>
    </row>
    <row r="549">
      <c r="A549" s="9" t="n">
        <v>546</v>
      </c>
      <c r="B549" s="10" t="inlineStr">
        <is>
          <t>21:30:10 完成: C:\Users\admin\AppData\Local\JianyingPro\User Data\Projects\com.lveditor.draft\20260621_213010_岛台功能_树剪</t>
        </is>
      </c>
    </row>
    <row r="550">
      <c r="A550" s="7" t="n">
        <v>547</v>
      </c>
      <c r="B550" s="8" t="inlineStr">
        <is>
          <t>21:30:16 开始: 岛台功能</t>
        </is>
      </c>
    </row>
    <row r="551">
      <c r="A551" s="9" t="n">
        <v>548</v>
      </c>
      <c r="B551" s="10" t="inlineStr">
        <is>
          <t>21:31:04 完成: C:\Users\admin\AppData\Local\JianyingPro\User Data\Projects\com.lveditor.draft\20260621_213104_岛台功能_树剪</t>
        </is>
      </c>
    </row>
    <row r="552">
      <c r="A552" s="7" t="n">
        <v>549</v>
      </c>
      <c r="B552" s="8" t="inlineStr">
        <is>
          <t>21:31:06 开始: 岛台功能</t>
        </is>
      </c>
    </row>
    <row r="553">
      <c r="A553" s="9" t="n">
        <v>550</v>
      </c>
      <c r="B553" s="10" t="inlineStr">
        <is>
          <t>21:32:07 完成: C:\Users\admin\AppData\Local\JianyingPro\User Data\Projects\com.lveditor.draft\20260621_213207_岛台功能_树剪</t>
        </is>
      </c>
    </row>
    <row r="554">
      <c r="A554" s="7" t="n">
        <v>551</v>
      </c>
      <c r="B554" s="8" t="inlineStr"/>
    </row>
    <row r="555">
      <c r="A555" s="9" t="n">
        <v>552</v>
      </c>
      <c r="B555" s="10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industry_taxonomy.json</t>
        </is>
      </c>
      <c r="C1" s="5" t="inlineStr">
        <is>
          <t>行数: 1</t>
        </is>
      </c>
    </row>
    <row r="4">
      <c r="A4" s="7" t="n">
        <v>1</v>
      </c>
      <c r="B4" s="8" t="inlineStr">
        <is>
          <t>{"taxonomy":{"1_核心产品类":{"children":{"1.1_岛台":{"children":{"1.1.1_岛台形态":["中岛台","半岛台","一体岛台","可移动岛台","升降岛台","折叠岛台","伸缩岛台","多功能岛台","高低岛台","异型岛台","圆弧岛台","倒台","转角岛台","十字型岛台","T型岛台","双面岛台","可翻转岛台","悬浮岩板岛台","钢架结构岛台","混凝土岛台","整石岛台","拼接岛台"],"1.1.2_岛台部件":["岛台台面","岛台柜体","岛台柜门","岛台侧板","岛台背板","岛台踢脚线","岛台挡水条","岛台收边条","岛台装饰条","岛台灯槽","岛台氛围灯","岛台吊灯","岛台射灯","岛台灯带","岛台挂架","岛台置物架","岛台收纳盒","岛台垃圾桶","岛台插座","岛台开关","岛台水龙头","岛台沥水篮","岛台菜板","岛台刀架","岛台调料架","岛台酒杯架","岛台纸巾架"],"1.1.3_岛台功能配件":["岛台岩板一体盆","岛台延伸餐桌","岛台延伸吧台","岛台下翻柜","岛台抽屉式酒柜","岛台嵌入式茶盘","岛台洗杯器","岛台高压洗杯器","岛台垃圾盖","岛台前挡水条","岛台后挡水条","岛台台下盆支撑架","岛台岩板包边","岛台不锈钢包边","岛台铝合金包边","岛台实木包边","岛台踢脚线灯","岛台感应灯带","岛台抽屉灯","岛台开放格灯","岛台玻璃柜灯","岛台充电岛","岛台无线充电板","岛台电动升降插座","岛台隐藏式升降插座"]}},"1.2_柜体":{"children":{"1.2.1_柜体类型":["地柜","吊柜","高柜","矮柜","边柜","角柜","转角柜","开放柜","封闭柜","玻璃柜","展示柜","储物柜","收纳柜","餐边柜","茶水柜","备餐柜"],"1.2.2_柜体部件":["见光板","拉直器","岛台餐边柜","岛台储物柜","岛台展示柜","岛台开放格","岛台玻璃柜"]}}}},"2_装修风格类":{"children":{"2.1_极简现代":["现代简约","极简风格","现代极简","意式极简","台式极简","韩式简约","温暖极简","黑白灰极简","极简奶油风","现代侘寂风","极简工业风","极简侘寂风"],"2.2_轻奢奢华":["轻奢风格","意式轻奢","法式轻奢","美式轻奢","简约轻奢","混搭轻奢风","港式轻奢","新中式轻奢","静奢风"],"2.3_复古中古":["复古风","法式复古","美式复古","工业复古","中古风","轻复古风","复古工业风","复古南洋风","法式中古"],"2.4_自然原木":["北欧风格","日式原木风","原木风","奶油风","侘寂风","诧寂风","日式禅意风","原木奶油风","侘寂奶油风","森系风","自然共生风"],"2.5_地域文化":["地中海风格","美式风格","法式风格","欧式风格","新中式","南洋风","美式乡村","美式田园","托斯卡纳风"],"2.6_新兴小众":["盐系风","甜酷风","多巴胺风","度假风","去风格化","新装饰艺术","生态科技风","软糖风","现代传承风","谷仓风","生物亲和主义风"]}},"3_材质与颜色类":{"children":{"3.1_石材":{"children":{"3.1.1_岩板":["白色岩板","黑色岩板","灰色岩板","米色岩板","浅灰色岩板","深灰色岩板","中灰色岩板","哑光岩板","亮光岩板","柔光岩板","木纹岩板","纯色岩板","山水画岩板","大理石纹岩板","水泥纹岩板","渐变岩板","岩板热弯台面","岩板复合台面","岩板蜂窝板台面"],"3.1.2_大理石奢石":["鱼肚白","雪花白","卡拉拉白","雅士白","爵士白","大花白","中花白","细花白","劳伦黑金","范思哲黑","黑金沙","黑白根","银白龙","浅啡网","深啡网","波斯灰","云朵拉灰","古堡灰","意大利灰","奥特曼灰","爱马仕灰","希腊灰","鱼肚灰","阿玛尼灰","拿破仑黑","祖母绿","潘多拉","蓝金沙","蓝翡翠","鱼肚金","宝格丽黑","威尼斯棕","普拉达绿","范思哲绿","劳力士绿","香奈儿白","迪奥灰","古驰灰","爱马仕橙","路易威登棕","卡地亚金","雪山银狐","冰川白","冰岛白","北极白","月光白","象牙灰","鸽子灰","浅滩灰","海浪灰","银河灰","星空灰","摩卡棕","拿铁棕","焦糖棕","巧克力棕","水墨黑","曜石黑","墨玉黑","帝王黑","翡翠绿","蓝宝石蓝","蒂芙尼蓝","香槟金","玫瑰金","古铜金","钛金","云纱白","奶油莱姆石","泰姬石","千山粉","烟雨江南","丹峡赤霞","云涧藏青","黄金洞","红洞石","芬迪白","绿海棠","冰晶琥珀","法国蝶兰","白雪公主","雕刻白","奥罗拉白","卡地亚灰","心悦粉","胭粉","四季粉","幻影森林"],"3.1.3_其他石材":["石英石","花岗岩","人造石","亚克力","可丽耐","杜邦可丽耐","纯亚克力","复合亚克力","岗石","天然大理石","天然花岗岩","天然洞石","天然奢石","人造奢石","人造洞石","水磨石","洞石","微水泥","微水泥台面","环氧自流平台面","树脂台面","荔枝面石材","哑光面石材","柔光面石材","亮面石材"]}},"3.2_木材":["实木","原木色","浅原木色","深原木色","胡桃木色","黑胡桃色","橡木色","白橡木色","红橡木色","樱桃木色","枫木色","榉木色","松木色","杉木色","柚木色","海棠木色","水曲柳色","白蜡木色","鸡翅木色","檀木色","黑檀色","红木色","花梨木色","白蜡木浅棕","白蜡木深棕","橡木浅黄","橡木深黄","红橡木红棕","白橡木米白","黑胡桃深棕","黑胡桃黑棕","樱桃木红棕","樱桃木浅红","枫木米白","枫木浅黄","榉木浅棕","榉木深棕","柚木金黄","柚木深棕","水曲柳浅棕","水曲柳深棕","松木浅黄","松木白黄","杉木浅黄","杉木白黄"],"3.3_板材":["实木颗粒板","多层实木板","生态板","密度板","欧松板","颗粒板","实木板","多层板","禾香板","竹香板","免漆板","烤漆板","吸塑板","PET门板","肤感门板","高光门板","哑光门板","铝框玻璃门","长虹玻璃门","磨砂玻璃门","透明玻璃门","木格栅","岩板柜门","实木指接板","实木拼接板","橡胶木板","松木指接板","橡木指接板","定向刨花板","中密度纤维板","高密度纤维板","耐火板","三聚氰胺板","双饰面板","PVC门板","模压门板","钢琴烤漆门板","汽车烤漆门板","肤感PET门板","高光PET门板","晶钢门板","碳晶门板"],"3.4_玻璃金属其他":["不锈钢","钢化玻璃","树脂板","防火板","木纹板","铝合金柜体","不锈钢柜体","实木台面","不锈钢台面","实木拼接台面","碳化木台面","火烧石台面"],"3.5_颜色体系":["奶油白","奶白色","米白色","象牙白","珍珠白","高级灰","雾霾蓝","莫兰迪色系","焦糖色","奶茶色","咖啡色","香槟色","金色","银色","古铜色","黑色","白色","灰色","米色","棕色","黄色","蓝色","绿色","红色","紫色","橙色","粉色","奶咖色","燕麦色","杏子灰","可可蛋奶","菱花白","汝窑色","米黄色","米棕色","浅驼色","深驼色","卡其色","沙色","炭灰色","藏蓝色","墨绿色","酒红色","巧克力色"]}},"4_功能配件类":{"children":{"4.1_收纳配件":["抽屉","拉篮","抽屉拉篮","碗碟拉篮","调味拉篮","转角拉篮","怪物拉篮","高柜拉篮","升降拉篮","抽屉分隔","抽屉收纳格","抽屉收纳盒","抽屉分隔板","橱柜拉篮","厨房拉篮","岛台拉篮","锅具拉篮","刀具拉篮","筷子笼","餐具架","餐盘架","碗架","杯架","红酒架","酒柜拉篮","嵌入式垃圾桶","隐藏式垃圾桶","抽拉式垃圾桶","米箱","面粉箱","储物箱","收纳箱","置物架","层板","活动层板","可调层板","隔板","搁板","抽拉式砧板架","抽拉式调料架","抽拉式刀具架","抽拉式筷子笼","抽拉式碗碟架","抽拉式锅具架","抽拉式清洁用品架","抽拉式保鲜膜架","抽屉式收纳盒","抽屉式分隔盒","抽屉式餐具盒","抽屉式刀叉盒","抽屉式调味盒","转角怪物拉篮","转角飞碟拉篮","转角小怪物拉篮","高柜联动拉篮","吊柜升降拉篮","岛台下翻拉篮","岛台侧拉篮","岛台旋转拉篮","嵌入式米箱","嵌入式面粉箱","嵌入式清洁用品柜","嵌入式纸巾盒","嵌入式保鲜膜盒","嵌入式刀架","嵌入式砧板架","嵌入式调料架","嵌入式碗碟架","嵌入式锅具架"],"4.2_五金":["铰链","阻尼铰链","液压铰链","合页","滑轨","抽屉滑轨","阻尼滑轨","三节轨","托底轨","骑马抽","拉手","隐形拉手","长拉手","短拉手","金色拉手","黑色拉手","银色拉手","古铜色拉手","门把手","抽屉把手","柜门把手","反弹器","按压式反弹器","磁吸","门吸","地吸","闭门器","气撑","液压气撑","支撑杆","气压杆","阻尼器","缓冲器","门锁","抽屉锁","柜门锁","合页铰链","五金件","不锈钢五金","铝合金五金","铜质五金","百隆铰链","海蒂诗铰链","悍高铰链","缓冲铰链","弹簧铰链","子母合页","平开合页","旗形合页","百隆滑轨","海蒂诗滑轨","悍高滑轨","缓冲滑轨","液压滑轨","三节滚珠滑轨","托底滑轨","隐藏式滑轨","骑马抽滑轨","反弹滑轨","电动滑轨","电动抽屉滑轨","百隆骑马抽","海蒂诗骑马抽","悍高骑马抽","内嵌拉手","开槽拉手","斜边拉手","圆弧拉手","一字拉手","长条形拉手","圆形拉手","方形拉手","枪灰色拉手","磁吸反弹器","电动反弹器","墙吸","隐形门吸","液压闭门器","弹簧闭门器","气压气撑","随意停气撑","电动气撑","液压支撑杆","气压支撑杆","抽屉阻尼","柜门阻尼","密码锁","指纹锁","托底抽","反弹抽"],"4.3_插座电气":["插座","轨道插座","内嵌轨道插座","嵌入式轨道插座","岛台轨道插座","五孔插座","七孔插座","带开关插座","USB插座","Type-C插座","无线充电插座","地插","墙面插座","台面插座","升降插座","隐藏式插座","嵌入式插座","开关","单开开关","双开开关","三开开关","多控开关","智能开关","插座面板","开关面板","电线","网线","明装轨道插座","暗装轨道插座","无线轨道插座","带USB轨道插座","带Type-C轨道插座","带开关轨道插座","十孔轨道插座","电动升降插座","手动升降插座","隐藏式地插","弹起式地插","平推式地插","防水地插","智能插座","单开单控开关","单开双控开关","双开单控开关","双开双控开关","三开单控开关","三开双控开关","触摸开关","语音开关","感应开关"],"4.4_水暖":["水龙头","冷热水龙头","抽拉式水龙头","可旋转水龙头","感应水龙头","不锈钢水龙头","黑色水龙头","金色水龙头","银色水龙头","可升降水龙头","触摸水龙头","单冷水龙头","铜质水龙头","枪灰色水龙头","水槽","台下盆","台上盆","台中盆","一体盆","石英石一体盆","不锈钢水槽","单槽水槽","双槽水槽","大单槽","小单槽","水槽下水","下水器","下水管","防臭下水","地漏","角阀","球阀","止回阀","三角阀","软管","波纹管","编织管","子母槽水槽","阶梯式水槽","纳米水槽","石英石水槽","岩板水槽","陶瓷水槽","不锈钢一体盆","水槽溢水口","水槽洗菜盆","水槽洗碗盆","截止阀","进水管","出水管","排水管","防臭下水器","防臭下水管","深水封地漏","洗衣机地漏","厨房地漏"]}},"5_电器设备类":{"children":{"5.1_厨房嵌入式电器":["内嵌烤箱","嵌入式烤箱","蒸烤箱","嵌入式蒸烤箱","嵌入式微波炉","嵌入式洗碗机","嵌入式消毒柜","嵌入式冰箱","嵌入式冰柜","嵌入式酒柜","红酒柜","恒温酒柜","嵌入式咖啡机","嵌入式饮水机","直饮机","嵌入式直饮机","嵌入式净水器","垃圾处理器","厨余垃圾处理器","食物垃圾处理器","嵌入式集成灶","嵌入式电磁炉","嵌入式电陶炉","嵌入式暖菜板","嵌入式保温抽屉","嵌入式抽油烟机","嵌入式燃气灶","嵌入式集成水槽","洗碗机集成水槽","垃圾处理器集成水槽","嵌入式双开门冰箱","嵌入式单门冰箱","嵌入式白酒柜","嵌入式全自动咖啡机","嵌入式半自动咖啡机","嵌入式即热式饮水机","嵌入式纯水机","嵌入式软水机","嵌入式台式洗碗机","嵌入式集成水槽洗碗机","嵌入式高温消毒柜","嵌入式低温消毒柜","嵌入式蒸箱","嵌入式微蒸烤一体机","嵌入式双头电磁炉","嵌入式双头电陶炉","嵌入式一电一陶炉","嵌入式暖碟机","嵌入式雪茄柜","嵌入式茶吧机"],"5.2_岛台专属电器":["岛台电磁炉","岛台电陶炉","岛台保温板","岛台智能音箱","岛台智能显示屏","岛台空气净化器","岛台加湿器","岛台除湿机"],"5.3_小家电":["电饭煲","电压力锅","空气炸锅","破壁机","料理机","榨汁机","豆浆机","磨豆机","吐司机","面包机","电饼铛","电烤箱","电火锅","电蒸锅","电炖锅","养生壶","烧水壶","保温壶","小冰箱","迷你冰箱","车载冰箱"]}},"6_工艺与结构类":{"children":{"6.1_设计手法":["无拉手设计","隐形拉手设计","一门到顶","悬浮设计","悬浮岛台","悬空岛台","一体式设计","无缝拼接","嵌入式设计","内嵌式设计","隐藏式设计","暗藏式设计","一体化设计","模块化设计","定制化设计","开放式厨房","半开放式厨房","封闭式厨房","U型厨房","L型厨房","一字型厨房","岛型厨房","中岛厨房","半岛厨房","餐厨一体","客餐厨一体","开放式设计","通透设计","动线设计","收纳设计","功能分区","干湿分离","高低台设计","高低台面","人体工程学设计","人性化设计","智能设计","智能家居"],"6.2_施工工艺":["岩板无缝拼接","45度拼接","海棠角","圆弧角","圆角处理","倒角处理","封边工艺","激光封边","PUR封边","EVA封边","免拉手工艺","反弹器工艺","磁吸工艺","岩板切割","岩板开孔","岩板磨边","岩板倒角","岩板45度倒角","岩板直角拼接","岩板热弯","岩板复合","岩板蜂窝板复合","岩板包柱","岩板包梁","岩板台面安装","岩板柜体安装","岩板背景墙安装","柜体拼接","柜体安装","柜门安装","抽屉安装","五金安装","电器安装","台面安装","水电预埋","岛台水电改造","岛台承重加固","悬浮岛台钢架制作","悬浮岛台安装","悬空岛台安装","一体式岛台制作","模块化岛台制作","定制岛台制作"],"6.3_尺寸标准":["人体工程学高度","岛台高度80cm","岛台高度85cm","岛台高度90cm","岛台宽度60cm","岛台宽度70cm","岛台宽度80cm","岛台长度120cm","岛台长度150cm","岛台长度180cm","岛台长度200cm","台面厚度12mm","台面厚度15mm","台面厚度20mm","台面厚度30mm","柜体深度55cm","柜体深度60cm","柜体深度65cm","过道宽度80cm","过道宽度90cm","过道宽度100cm"]}},"7_行业黑话与简称类":{"children":{"7.1_定制术语":["整屋定制","定制厨房","岩板定制","岛台定制","柜体定制","台面定制","辅材","主材","硬装","软装","基装","整装","拎包入住"],"7.2_计价单位":["投影面积","延米","水电点位","插座点位","开关点位","下水点位","进水点位"],"7.3_环保等级":["环保等级E0","环保等级E1","环保等级ENF","甲醛释放量","板材等级"],"7.4_预算服务":["安装费","材料费","加工费","运输费","上门费","售后","质保","终身质保"],"7.5_材料规格":["岩板厚度","台面厚度","柜体深度","台面高度","踢脚线灯槽"]}},"8_问题与缺陷类":{"children":{"8.1_石材问题":["岩板开裂","岩板崩边","岩板划痕","岩板污渍","岩板渗色","岩板空鼓","岩板脱落","岩板拼接缝过大","岩板拼接不平"],"8.2_柜体问题":["柜体变形","柜体开裂","柜体发霉","柜体受潮","柜门不齐","柜门缝隙过大","柜门关不严","抽屉卡顿","抽屉拉不动","抽屉缝隙过大"],"8.3_五金问题":["五金生锈","五金松动","五金断裂","铰链异响","滑轨卡顿","反弹器失灵","磁吸失灵"],"8.4_水电问题":["水电漏水","水管漏水","水龙头漏水","水槽漏水","下水堵塞","插座松动","开关失灵"],"8.5_安装工艺问题":["电器故障","安装不到位","尺寸误差","颜色色差","材质不符","工艺粗糙"]}},"9_主流品牌类":{"children":{"9.1_岩板石材品牌":["德赛斯","拉米娜","蒙娜丽莎","东鹏","马可波罗","冠珠","欧神诺","简一","诺贝尔","新中源","大将军","萨米特","依诺","德利丰","诗连达"],"9.2_五金品牌":["百隆","海蒂诗","悍高","东泰DTC","顶固","雅洁","汇泰龙","星徽","海福乐","格拉斯"],"9.3_电器品牌":["西门子","博世","方太","老板","美的","海尔","卡萨帝","华帝","万和","万家乐","林内","能率","松下","东芝","三星"],"9.4_定制家具品牌":["索菲亚","欧派","尚品宅配","志邦","我乐","金牌橱柜","皮阿诺","好莱客","顾家家居","全友家居"]}}}}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installer.iss</t>
        </is>
      </c>
      <c r="C1" s="5" t="inlineStr">
        <is>
          <t>行数: 68</t>
        </is>
      </c>
    </row>
    <row r="4">
      <c r="A4" s="7" t="n">
        <v>1</v>
      </c>
      <c r="B4" s="8" t="inlineStr">
        <is>
          <t>; 树剪 TreeCut — Inno Setup 安装包脚本</t>
        </is>
      </c>
    </row>
    <row r="5">
      <c r="A5" s="9" t="n">
        <v>2</v>
      </c>
      <c r="B5" s="10" t="inlineStr">
        <is>
          <t>; 用法: 下载安装 Inno Setup (https://jrsoftware.org/isinfo.php)</t>
        </is>
      </c>
    </row>
    <row r="6">
      <c r="A6" s="7" t="n">
        <v>3</v>
      </c>
      <c r="B6" s="8" t="inlineStr">
        <is>
          <t>;       用 Inno Setup Compiler 打开此文件 → Build → Compile</t>
        </is>
      </c>
    </row>
    <row r="7">
      <c r="A7" s="9" t="n">
        <v>4</v>
      </c>
      <c r="B7" s="10" t="inlineStr">
        <is>
          <t>; 输出: Output\树剪TreeCut_Setup_v10.3.exe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#define MyAppName "树剪 TreeCut"</t>
        </is>
      </c>
    </row>
    <row r="10">
      <c r="A10" s="7" t="n">
        <v>7</v>
      </c>
      <c r="B10" s="8" t="inlineStr">
        <is>
          <t>#define MyAppVersion "10.3"</t>
        </is>
      </c>
    </row>
    <row r="11">
      <c r="A11" s="9" t="n">
        <v>8</v>
      </c>
      <c r="B11" s="10" t="inlineStr">
        <is>
          <t>#define MyAppPublisher "坤宝岛台"</t>
        </is>
      </c>
    </row>
    <row r="12">
      <c r="A12" s="7" t="n">
        <v>9</v>
      </c>
      <c r="B12" s="8" t="inlineStr">
        <is>
          <t>#define MyAppExeName "树剪TreeCut.exe"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[Setup]</t>
        </is>
      </c>
    </row>
    <row r="15">
      <c r="A15" s="9" t="n">
        <v>12</v>
      </c>
      <c r="B15" s="10" t="inlineStr">
        <is>
          <t>AppId={{AD7B8C3E-5D2A-4F11-9E3B-7C6D5A4F3E2B}</t>
        </is>
      </c>
    </row>
    <row r="16">
      <c r="A16" s="7" t="n">
        <v>13</v>
      </c>
      <c r="B16" s="8" t="inlineStr">
        <is>
          <t>AppName={#MyAppName}</t>
        </is>
      </c>
    </row>
    <row r="17">
      <c r="A17" s="9" t="n">
        <v>14</v>
      </c>
      <c r="B17" s="10" t="inlineStr">
        <is>
          <t>AppVersion={#MyAppVersion}</t>
        </is>
      </c>
    </row>
    <row r="18">
      <c r="A18" s="7" t="n">
        <v>15</v>
      </c>
      <c r="B18" s="8" t="inlineStr">
        <is>
          <t>AppPublisher={#MyAppPublisher}</t>
        </is>
      </c>
    </row>
    <row r="19">
      <c r="A19" s="9" t="n">
        <v>16</v>
      </c>
      <c r="B19" s="10" t="inlineStr">
        <is>
          <t>DefaultDirName={autopf}\{#MyAppName}</t>
        </is>
      </c>
    </row>
    <row r="20">
      <c r="A20" s="7" t="n">
        <v>17</v>
      </c>
      <c r="B20" s="8" t="inlineStr">
        <is>
          <t>DefaultGroupName={#MyAppName}</t>
        </is>
      </c>
    </row>
    <row r="21">
      <c r="A21" s="9" t="n">
        <v>18</v>
      </c>
      <c r="B21" s="10" t="inlineStr">
        <is>
          <t>AllowNoIcons=yes</t>
        </is>
      </c>
    </row>
    <row r="22">
      <c r="A22" s="7" t="n">
        <v>19</v>
      </c>
      <c r="B22" s="8" t="inlineStr">
        <is>
          <t>OutputDir=Output</t>
        </is>
      </c>
    </row>
    <row r="23">
      <c r="A23" s="9" t="n">
        <v>20</v>
      </c>
      <c r="B23" s="10" t="inlineStr">
        <is>
          <t>OutputBaseFilename=树剪TreeCut_Setup_v{#MyAppVersion}</t>
        </is>
      </c>
    </row>
    <row r="24">
      <c r="A24" s="7" t="n">
        <v>21</v>
      </c>
      <c r="B24" s="8" t="inlineStr">
        <is>
          <t>Compression=lzma2/ultra64</t>
        </is>
      </c>
    </row>
    <row r="25">
      <c r="A25" s="9" t="n">
        <v>22</v>
      </c>
      <c r="B25" s="10" t="inlineStr">
        <is>
          <t>SolidCompression=yes</t>
        </is>
      </c>
    </row>
    <row r="26">
      <c r="A26" s="7" t="n">
        <v>23</v>
      </c>
      <c r="B26" s="8" t="inlineStr">
        <is>
          <t>WizardStyle=modern</t>
        </is>
      </c>
    </row>
    <row r="27">
      <c r="A27" s="9" t="n">
        <v>24</v>
      </c>
      <c r="B27" s="10" t="inlineStr">
        <is>
          <t>PrivilegesRequired=lowest</t>
        </is>
      </c>
    </row>
    <row r="28">
      <c r="A28" s="7" t="n">
        <v>25</v>
      </c>
      <c r="B28" s="8" t="inlineStr">
        <is>
          <t>ArchitecturesInstallIn64BitMode=x64compatible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[Languages]</t>
        </is>
      </c>
    </row>
    <row r="31">
      <c r="A31" s="9" t="n">
        <v>28</v>
      </c>
      <c r="B31" s="10" t="inlineStr">
        <is>
          <t>Name: "chinese"; MessagesFile: "compiler:Languages\ChineseSimplified.isl"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>[Tasks]</t>
        </is>
      </c>
    </row>
    <row r="34">
      <c r="A34" s="7" t="n">
        <v>31</v>
      </c>
      <c r="B34" s="8" t="inlineStr">
        <is>
          <t>Name: "desktopicon"; Description: "创建桌面快捷方式"; GroupDescription: "附加图标:"</t>
        </is>
      </c>
    </row>
    <row r="35">
      <c r="A35" s="9" t="n">
        <v>32</v>
      </c>
      <c r="B35" s="10" t="inlineStr">
        <is>
          <t>Name: "startmenu"; Description: "创建开始菜单文件夹"; GroupDescription: "附加图标:"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>[Files]</t>
        </is>
      </c>
    </row>
    <row r="38">
      <c r="A38" s="7" t="n">
        <v>35</v>
      </c>
      <c r="B38" s="8" t="inlineStr">
        <is>
          <t>; 主程序（需先用 build_exe.py 打包）</t>
        </is>
      </c>
    </row>
    <row r="39">
      <c r="A39" s="9" t="n">
        <v>36</v>
      </c>
      <c r="B39" s="10" t="inlineStr">
        <is>
          <t>Source: "dist\树剪TreeCut.exe"; DestDir: "{app}"; Flags: ignoreversion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; 配置文件</t>
        </is>
      </c>
    </row>
    <row r="42">
      <c r="A42" s="7" t="n">
        <v>39</v>
      </c>
      <c r="B42" s="8" t="inlineStr">
        <is>
          <t>Source: ".env.example"; DestDir: "{app}"; DestName: ".env"; Flags: ignoreversion onlyifdoesntexist</t>
        </is>
      </c>
    </row>
    <row r="43">
      <c r="A43" s="9" t="n">
        <v>40</v>
      </c>
      <c r="B43" s="10" t="inlineStr">
        <is>
          <t>Source: "protected_words.json"; DestDir: "{app}"; Flags: ignoreversion</t>
        </is>
      </c>
    </row>
    <row r="44">
      <c r="A44" s="7" t="n">
        <v>41</v>
      </c>
      <c r="B44" s="8" t="inlineStr">
        <is>
          <t>Source: "tree_icon.ico"; DestDir: "{app}"; Flags: ignoreversion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>; 可选: 预置素材（如果打包时已存在）</t>
        </is>
      </c>
    </row>
    <row r="47">
      <c r="A47" s="9" t="n">
        <v>44</v>
      </c>
      <c r="B47" s="10" t="inlineStr">
        <is>
          <t>Source: "02_BGM\*"; DestDir: "{app}\02_BGM"; Flags: ignoreversion skipifsourcedoesntexist</t>
        </is>
      </c>
    </row>
    <row r="48">
      <c r="A48" s="7" t="n">
        <v>45</v>
      </c>
      <c r="B48" s="8" t="inlineStr">
        <is>
          <t>Source: "ai_material_library.db"; DestDir: "{app}"; Flags: ignoreversion skipifsourcedoesntexist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>[Icons]</t>
        </is>
      </c>
    </row>
    <row r="51">
      <c r="A51" s="9" t="n">
        <v>48</v>
      </c>
      <c r="B51" s="10" t="inlineStr">
        <is>
          <t>Name: "{group}\{#MyAppName}"; Filename: "{app}\{#MyAppExeName}"</t>
        </is>
      </c>
    </row>
    <row r="52">
      <c r="A52" s="7" t="n">
        <v>49</v>
      </c>
      <c r="B52" s="8" t="inlineStr">
        <is>
          <t>Name: "{group}\配置向导"; Filename: "{app}\{#MyAppExeName}"; Parameters: "--setup"</t>
        </is>
      </c>
    </row>
    <row r="53">
      <c r="A53" s="9" t="n">
        <v>50</v>
      </c>
      <c r="B53" s="10" t="inlineStr">
        <is>
          <t>Name: "{group}\卸载 {#MyAppName}"; Filename: "{uninstallexe}"</t>
        </is>
      </c>
    </row>
    <row r="54">
      <c r="A54" s="7" t="n">
        <v>51</v>
      </c>
      <c r="B54" s="8" t="inlineStr">
        <is>
          <t>Name: "{autodesktop}\{#MyAppName}"; Filename: "{app}\{#MyAppExeName}"; Tasks: desktopicon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>[Run]</t>
        </is>
      </c>
    </row>
    <row r="57">
      <c r="A57" s="9" t="n">
        <v>54</v>
      </c>
      <c r="B57" s="10" t="inlineStr">
        <is>
          <t>Filename: "{app}\{#MyAppExeName}"; Description: "启动 {#MyAppName}"; Flags: nowait postinstall skipifsilent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>[Code]</t>
        </is>
      </c>
    </row>
    <row r="60">
      <c r="A60" s="7" t="n">
        <v>57</v>
      </c>
      <c r="B60" s="8" t="inlineStr">
        <is>
          <t>// 首次安装后提示配置 API Key</t>
        </is>
      </c>
    </row>
    <row r="61">
      <c r="A61" s="9" t="n">
        <v>58</v>
      </c>
      <c r="B61" s="10" t="inlineStr">
        <is>
          <t>procedure CurStepChanged(CurStep: TSetupStep);</t>
        </is>
      </c>
    </row>
    <row r="62">
      <c r="A62" s="7" t="n">
        <v>59</v>
      </c>
      <c r="B62" s="8" t="inlineStr">
        <is>
          <t>begin</t>
        </is>
      </c>
    </row>
    <row r="63">
      <c r="A63" s="9" t="n">
        <v>60</v>
      </c>
      <c r="B63" s="10" t="inlineStr">
        <is>
          <t xml:space="preserve">  if CurStep = ssPostInstall then</t>
        </is>
      </c>
    </row>
    <row r="64">
      <c r="A64" s="7" t="n">
        <v>61</v>
      </c>
      <c r="B64" s="8" t="inlineStr">
        <is>
          <t xml:space="preserve">  begin</t>
        </is>
      </c>
    </row>
    <row r="65">
      <c r="A65" s="9" t="n">
        <v>62</v>
      </c>
      <c r="B65" s="10" t="inlineStr">
        <is>
          <t xml:space="preserve">    MsgBox('安装完成！使用前请配置:' + #13#10 +</t>
        </is>
      </c>
    </row>
    <row r="66">
      <c r="A66" s="7" t="n">
        <v>63</v>
      </c>
      <c r="B66" s="8" t="inlineStr">
        <is>
          <t xml:space="preserve">           '1. 将 DeepSeek API Key 填入 ' + ExpandConstant('{app}') + '\.env' + #13#10 +</t>
        </is>
      </c>
    </row>
    <row r="67">
      <c r="A67" s="9" t="n">
        <v>64</v>
      </c>
      <c r="B67" s="10" t="inlineStr">
        <is>
          <t xml:space="preserve">           '2. 确保 Z:\已处理素材 路径可访问' + #13#10 +</t>
        </is>
      </c>
    </row>
    <row r="68">
      <c r="A68" s="7" t="n">
        <v>65</v>
      </c>
      <c r="B68" s="8" t="inlineStr">
        <is>
          <t xml:space="preserve">           '   或在首次运行时设置素材路径', mbInformation, MB_OK);</t>
        </is>
      </c>
    </row>
    <row r="69">
      <c r="A69" s="9" t="n">
        <v>66</v>
      </c>
      <c r="B69" s="10" t="inlineStr">
        <is>
          <t xml:space="preserve">  end;</t>
        </is>
      </c>
    </row>
    <row r="70">
      <c r="A70" s="7" t="n">
        <v>67</v>
      </c>
      <c r="B70" s="8" t="inlineStr">
        <is>
          <t>end;</t>
        </is>
      </c>
    </row>
    <row r="71">
      <c r="A71" s="9" t="n">
        <v>68</v>
      </c>
      <c r="B71" s="10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learned_knowledge.json</t>
        </is>
      </c>
      <c r="C1" s="5" t="inlineStr">
        <is>
          <t>行数: 30</t>
        </is>
      </c>
    </row>
    <row r="4">
      <c r="A4" s="7" t="n">
        <v>1</v>
      </c>
      <c r="B4" s="8" t="inlineStr">
        <is>
          <t>{</t>
        </is>
      </c>
    </row>
    <row r="5">
      <c r="A5" s="9" t="n">
        <v>2</v>
      </c>
      <c r="B5" s="10" t="inlineStr">
        <is>
          <t xml:space="preserve">  "version": 1,</t>
        </is>
      </c>
    </row>
    <row r="6">
      <c r="A6" s="7" t="n">
        <v>3</v>
      </c>
      <c r="B6" s="8" t="inlineStr">
        <is>
          <t xml:space="preserve">  "updated": "2026-06-11T04:07:00.122080",</t>
        </is>
      </c>
    </row>
    <row r="7">
      <c r="A7" s="9" t="n">
        <v>4</v>
      </c>
      <c r="B7" s="10" t="inlineStr">
        <is>
          <t xml:space="preserve">  "copywriting": {</t>
        </is>
      </c>
    </row>
    <row r="8">
      <c r="A8" s="7" t="n">
        <v>5</v>
      </c>
      <c r="B8" s="8" t="inlineStr">
        <is>
          <t xml:space="preserve">    "hooks": [],</t>
        </is>
      </c>
    </row>
    <row r="9">
      <c r="A9" s="9" t="n">
        <v>6</v>
      </c>
      <c r="B9" s="10" t="inlineStr">
        <is>
          <t xml:space="preserve">    "selling_phrases": [],</t>
        </is>
      </c>
    </row>
    <row r="10">
      <c r="A10" s="7" t="n">
        <v>7</v>
      </c>
      <c r="B10" s="8" t="inlineStr">
        <is>
          <t xml:space="preserve">    "cta_templates": [],</t>
        </is>
      </c>
    </row>
    <row r="11">
      <c r="A11" s="9" t="n">
        <v>8</v>
      </c>
      <c r="B11" s="10" t="inlineStr">
        <is>
          <t xml:space="preserve">    "industry_terms": [],</t>
        </is>
      </c>
    </row>
    <row r="12">
      <c r="A12" s="7" t="n">
        <v>9</v>
      </c>
      <c r="B12" s="8" t="inlineStr">
        <is>
          <t xml:space="preserve">    "tone_words": []</t>
        </is>
      </c>
    </row>
    <row r="13">
      <c r="A13" s="9" t="n">
        <v>10</v>
      </c>
      <c r="B13" s="10" t="inlineStr">
        <is>
          <t xml:space="preserve">  },</t>
        </is>
      </c>
    </row>
    <row r="14">
      <c r="A14" s="7" t="n">
        <v>11</v>
      </c>
      <c r="B14" s="8" t="inlineStr">
        <is>
          <t xml:space="preserve">  "protected_words": {</t>
        </is>
      </c>
    </row>
    <row r="15">
      <c r="A15" s="9" t="n">
        <v>12</v>
      </c>
      <c r="B15" s="10" t="inlineStr">
        <is>
          <t xml:space="preserve">    "product_names": [],</t>
        </is>
      </c>
    </row>
    <row r="16">
      <c r="A16" s="7" t="n">
        <v>13</v>
      </c>
      <c r="B16" s="8" t="inlineStr">
        <is>
          <t xml:space="preserve">    "material_terms": [],</t>
        </is>
      </c>
    </row>
    <row r="17">
      <c r="A17" s="9" t="n">
        <v>14</v>
      </c>
      <c r="B17" s="10" t="inlineStr">
        <is>
          <t xml:space="preserve">    "craft_terms": [],</t>
        </is>
      </c>
    </row>
    <row r="18">
      <c r="A18" s="7" t="n">
        <v>15</v>
      </c>
      <c r="B18" s="8" t="inlineStr">
        <is>
          <t xml:space="preserve">    "style_terms": [],</t>
        </is>
      </c>
    </row>
    <row r="19">
      <c r="A19" s="9" t="n">
        <v>16</v>
      </c>
      <c r="B19" s="10" t="inlineStr">
        <is>
          <t xml:space="preserve">    "brand_terms": []</t>
        </is>
      </c>
    </row>
    <row r="20">
      <c r="A20" s="7" t="n">
        <v>17</v>
      </c>
      <c r="B20" s="8" t="inlineStr">
        <is>
          <t xml:space="preserve">  },</t>
        </is>
      </c>
    </row>
    <row r="21">
      <c r="A21" s="9" t="n">
        <v>18</v>
      </c>
      <c r="B21" s="10" t="inlineStr">
        <is>
          <t xml:space="preserve">  "knowledge_base": {</t>
        </is>
      </c>
    </row>
    <row r="22">
      <c r="A22" s="7" t="n">
        <v>19</v>
      </c>
      <c r="B22" s="8" t="inlineStr">
        <is>
          <t xml:space="preserve">    "stone_variants": [],</t>
        </is>
      </c>
    </row>
    <row r="23">
      <c r="A23" s="9" t="n">
        <v>20</v>
      </c>
      <c r="B23" s="10" t="inlineStr">
        <is>
          <t xml:space="preserve">    "craft_techniques": [],</t>
        </is>
      </c>
    </row>
    <row r="24">
      <c r="A24" s="7" t="n">
        <v>21</v>
      </c>
      <c r="B24" s="8" t="inlineStr">
        <is>
          <t xml:space="preserve">    "hardware_items": [],</t>
        </is>
      </c>
    </row>
    <row r="25">
      <c r="A25" s="9" t="n">
        <v>22</v>
      </c>
      <c r="B25" s="10" t="inlineStr">
        <is>
          <t xml:space="preserve">    "style_variants": [],</t>
        </is>
      </c>
    </row>
    <row r="26">
      <c r="A26" s="7" t="n">
        <v>23</v>
      </c>
      <c r="B26" s="8" t="inlineStr">
        <is>
          <t xml:space="preserve">    "color_names": []</t>
        </is>
      </c>
    </row>
    <row r="27">
      <c r="A27" s="9" t="n">
        <v>24</v>
      </c>
      <c r="B27" s="10" t="inlineStr">
        <is>
          <t xml:space="preserve">  },</t>
        </is>
      </c>
    </row>
    <row r="28">
      <c r="A28" s="7" t="n">
        <v>25</v>
      </c>
      <c r="B28" s="8" t="inlineStr">
        <is>
          <t xml:space="preserve">  "keyword_mapping": {},</t>
        </is>
      </c>
    </row>
    <row r="29">
      <c r="A29" s="9" t="n">
        <v>26</v>
      </c>
      <c r="B29" s="10" t="inlineStr">
        <is>
          <t xml:space="preserve">  "synonyms": {</t>
        </is>
      </c>
    </row>
    <row r="30">
      <c r="A30" s="7" t="n">
        <v>27</v>
      </c>
      <c r="B30" s="8" t="inlineStr">
        <is>
          <t xml:space="preserve">    "测试别名1": "测试规范词",</t>
        </is>
      </c>
    </row>
    <row r="31">
      <c r="A31" s="9" t="n">
        <v>28</v>
      </c>
      <c r="B31" s="10" t="inlineStr">
        <is>
          <t xml:space="preserve">    "测试别名2": "测试规范词"</t>
        </is>
      </c>
    </row>
    <row r="32">
      <c r="A32" s="7" t="n">
        <v>29</v>
      </c>
      <c r="B32" s="8" t="inlineStr">
        <is>
          <t xml:space="preserve">  }</t>
        </is>
      </c>
    </row>
    <row r="33">
      <c r="A33" s="9" t="n">
        <v>30</v>
      </c>
      <c r="B33" s="10" t="inlineStr">
        <is>
          <t>}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material_engine_v3\README.md</t>
        </is>
      </c>
      <c r="C1" s="5" t="inlineStr">
        <is>
          <t>行数: 87</t>
        </is>
      </c>
    </row>
    <row r="4">
      <c r="A4" s="7" t="n">
        <v>1</v>
      </c>
      <c r="B4" s="8" t="inlineStr">
        <is>
          <t># AI Content Factory Platform V3.0</t>
        </is>
      </c>
    </row>
    <row r="5">
      <c r="A5" s="9" t="n">
        <v>2</v>
      </c>
      <c r="B5" s="10" t="inlineStr"/>
    </row>
    <row r="6">
      <c r="A6" s="7" t="n">
        <v>3</v>
      </c>
      <c r="B6" s="8" t="inlineStr">
        <is>
          <t>## Architecture Overview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```</t>
        </is>
      </c>
    </row>
    <row r="9">
      <c r="A9" s="9" t="n">
        <v>6</v>
      </c>
      <c r="B9" s="10" t="inlineStr">
        <is>
          <t>material_engine_v3/</t>
        </is>
      </c>
    </row>
    <row r="10">
      <c r="A10" s="7" t="n">
        <v>7</v>
      </c>
      <c r="B10" s="8" t="inlineStr">
        <is>
          <t>├── config.py              Central configuration</t>
        </is>
      </c>
    </row>
    <row r="11">
      <c r="A11" s="9" t="n">
        <v>8</v>
      </c>
      <c r="B11" s="10" t="inlineStr">
        <is>
          <t>├── core/</t>
        </is>
      </c>
    </row>
    <row r="12">
      <c r="A12" s="7" t="n">
        <v>9</v>
      </c>
      <c r="B12" s="8" t="inlineStr">
        <is>
          <t>│   ├── scene_engine.py    Scene detection (PySceneDetect)</t>
        </is>
      </c>
    </row>
    <row r="13">
      <c r="A13" s="9" t="n">
        <v>10</v>
      </c>
      <c r="B13" s="10" t="inlineStr">
        <is>
          <t>│   ├── fusion_engine.py   Multimodal fusion (VL+OCR+Speech+KB)</t>
        </is>
      </c>
    </row>
    <row r="14">
      <c r="A14" s="7" t="n">
        <v>11</v>
      </c>
      <c r="B14" s="8" t="inlineStr">
        <is>
          <t>│   ├── scoring_engine.py  Quality scoring 0-100</t>
        </is>
      </c>
    </row>
    <row r="15">
      <c r="A15" s="9" t="n">
        <v>12</v>
      </c>
      <c r="B15" s="10" t="inlineStr">
        <is>
          <t>│   └── learning_engine.py Auto-learning from corrections</t>
        </is>
      </c>
    </row>
    <row r="16">
      <c r="A16" s="7" t="n">
        <v>13</v>
      </c>
      <c r="B16" s="8" t="inlineStr">
        <is>
          <t>├── knowledge/</t>
        </is>
      </c>
    </row>
    <row r="17">
      <c r="A17" s="9" t="n">
        <v>14</v>
      </c>
      <c r="B17" s="10" t="inlineStr">
        <is>
          <t>│   └── industry_kb.py     Island counter industry KB + VL correction</t>
        </is>
      </c>
    </row>
    <row r="18">
      <c r="A18" s="7" t="n">
        <v>15</v>
      </c>
      <c r="B18" s="8" t="inlineStr">
        <is>
          <t>├── database/</t>
        </is>
      </c>
    </row>
    <row r="19">
      <c r="A19" s="9" t="n">
        <v>16</v>
      </c>
      <c r="B19" s="10" t="inlineStr">
        <is>
          <t>│   ├── schema.py          12-table V3 schema</t>
        </is>
      </c>
    </row>
    <row r="20">
      <c r="A20" s="7" t="n">
        <v>17</v>
      </c>
      <c r="B20" s="8" t="inlineStr">
        <is>
          <t>│   └── material_v3.db     Database</t>
        </is>
      </c>
    </row>
    <row r="21">
      <c r="A21" s="9" t="n">
        <v>18</v>
      </c>
      <c r="B21" s="10" t="inlineStr">
        <is>
          <t>├── api/</t>
        </is>
      </c>
    </row>
    <row r="22">
      <c r="A22" s="7" t="n">
        <v>19</v>
      </c>
      <c r="B22" s="8" t="inlineStr">
        <is>
          <t>│   └── search_api.py      BGE-M3 vector search</t>
        </is>
      </c>
    </row>
    <row r="23">
      <c r="A23" s="9" t="n">
        <v>20</v>
      </c>
      <c r="B23" s="10" t="inlineStr">
        <is>
          <t>├── cache/</t>
        </is>
      </c>
    </row>
    <row r="24">
      <c r="A24" s="7" t="n">
        <v>21</v>
      </c>
      <c r="B24" s="8" t="inlineStr">
        <is>
          <t>│   └── local_cache.py     SQLite cache (Redis-ready)</t>
        </is>
      </c>
    </row>
    <row r="25">
      <c r="A25" s="9" t="n">
        <v>22</v>
      </c>
      <c r="B25" s="10" t="inlineStr">
        <is>
          <t>├── tasks/</t>
        </is>
      </c>
    </row>
    <row r="26">
      <c r="A26" s="7" t="n">
        <v>23</v>
      </c>
      <c r="B26" s="8" t="inlineStr">
        <is>
          <t>│   └── queue.py           Task queue (Celery-ready)</t>
        </is>
      </c>
    </row>
    <row r="27">
      <c r="A27" s="9" t="n">
        <v>24</v>
      </c>
      <c r="B27" s="10" t="inlineStr">
        <is>
          <t>└── logs/                  Log directory</t>
        </is>
      </c>
    </row>
    <row r="28">
      <c r="A28" s="7" t="n">
        <v>25</v>
      </c>
      <c r="B28" s="8" t="inlineStr">
        <is>
          <t>```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## Key Upgrades from V2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>| V2 | V3 |</t>
        </is>
      </c>
    </row>
    <row r="33">
      <c r="A33" s="9" t="n">
        <v>30</v>
      </c>
      <c r="B33" s="10" t="inlineStr">
        <is>
          <t>|----|----|</t>
        </is>
      </c>
    </row>
    <row r="34">
      <c r="A34" s="7" t="n">
        <v>31</v>
      </c>
      <c r="B34" s="8" t="inlineStr">
        <is>
          <t>| Fixed 3-frame sampling | PySceneDetect scene detection |</t>
        </is>
      </c>
    </row>
    <row r="35">
      <c r="A35" s="9" t="n">
        <v>32</v>
      </c>
      <c r="B35" s="10" t="inlineStr">
        <is>
          <t>| Single model (Qwen) | Dual model (Qwen + InternVL3 ready) |</t>
        </is>
      </c>
    </row>
    <row r="36">
      <c r="A36" s="7" t="n">
        <v>33</v>
      </c>
      <c r="B36" s="8" t="inlineStr">
        <is>
          <t>| Single-dimension tags | 4-level unified tag system |</t>
        </is>
      </c>
    </row>
    <row r="37">
      <c r="A37" s="9" t="n">
        <v>34</v>
      </c>
      <c r="B37" s="10" t="inlineStr">
        <is>
          <t>| all-MiniLM-L6-v2 | BAAI/bge-m3 (Chinese support) |</t>
        </is>
      </c>
    </row>
    <row r="38">
      <c r="A38" s="7" t="n">
        <v>35</v>
      </c>
      <c r="B38" s="8" t="inlineStr">
        <is>
          <t>| Hard-coded keywords | Industry KB + VL correction |</t>
        </is>
      </c>
    </row>
    <row r="39">
      <c r="A39" s="9" t="n">
        <v>36</v>
      </c>
      <c r="B39" s="10" t="inlineStr">
        <is>
          <t>| No feedback | Auto-learning engine |</t>
        </is>
      </c>
    </row>
    <row r="40">
      <c r="A40" s="7" t="n">
        <v>37</v>
      </c>
      <c r="B40" s="8" t="inlineStr">
        <is>
          <t>| No scoring | 5-dimension quality scoring |</t>
        </is>
      </c>
    </row>
    <row r="41">
      <c r="A41" s="9" t="n">
        <v>38</v>
      </c>
      <c r="B41" s="10" t="inlineStr">
        <is>
          <t>| No task queue | SQLite queue (Celery-ready) |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## Database Tables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>- videos, video_scenes, video_frames</t>
        </is>
      </c>
    </row>
    <row r="46">
      <c r="A46" s="7" t="n">
        <v>43</v>
      </c>
      <c r="B46" s="8" t="inlineStr">
        <is>
          <t>- video_tags (4-level), video_embeddings</t>
        </is>
      </c>
    </row>
    <row r="47">
      <c r="A47" s="9" t="n">
        <v>44</v>
      </c>
      <c r="B47" s="10" t="inlineStr">
        <is>
          <t>- video_ocr, video_audio, video_scores</t>
        </is>
      </c>
    </row>
    <row r="48">
      <c r="A48" s="7" t="n">
        <v>45</v>
      </c>
      <c r="B48" s="8" t="inlineStr">
        <is>
          <t>- knowledge_base, custom_tags, feedback_logs</t>
        </is>
      </c>
    </row>
    <row r="49">
      <c r="A49" s="9" t="n">
        <v>46</v>
      </c>
      <c r="B49" s="10" t="inlineStr">
        <is>
          <t>- task_queue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>## Usage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>```python</t>
        </is>
      </c>
    </row>
    <row r="54">
      <c r="A54" s="7" t="n">
        <v>51</v>
      </c>
      <c r="B54" s="8" t="inlineStr">
        <is>
          <t># Init</t>
        </is>
      </c>
    </row>
    <row r="55">
      <c r="A55" s="9" t="n">
        <v>52</v>
      </c>
      <c r="B55" s="10" t="inlineStr">
        <is>
          <t>from database.schema import init_db; init_db()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># Scene detection</t>
        </is>
      </c>
    </row>
    <row r="58">
      <c r="A58" s="7" t="n">
        <v>55</v>
      </c>
      <c r="B58" s="8" t="inlineStr">
        <is>
          <t>from core.scene_engine import SceneEngine</t>
        </is>
      </c>
    </row>
    <row r="59">
      <c r="A59" s="9" t="n">
        <v>56</v>
      </c>
      <c r="B59" s="10" t="inlineStr">
        <is>
          <t>engine = SceneEngine()</t>
        </is>
      </c>
    </row>
    <row r="60">
      <c r="A60" s="7" t="n">
        <v>57</v>
      </c>
      <c r="B60" s="8" t="inlineStr">
        <is>
          <t>scenes = engine.detect_scenes("video.mp4")</t>
        </is>
      </c>
    </row>
    <row r="61">
      <c r="A61" s="9" t="n">
        <v>58</v>
      </c>
      <c r="B61" s="10" t="inlineStr"/>
    </row>
    <row r="62">
      <c r="A62" s="7" t="n">
        <v>59</v>
      </c>
      <c r="B62" s="8" t="inlineStr">
        <is>
          <t># Multimodal fusion</t>
        </is>
      </c>
    </row>
    <row r="63">
      <c r="A63" s="9" t="n">
        <v>60</v>
      </c>
      <c r="B63" s="10" t="inlineStr">
        <is>
          <t>from core.fusion_engine import FusionEngine</t>
        </is>
      </c>
    </row>
    <row r="64">
      <c r="A64" s="7" t="n">
        <v>61</v>
      </c>
      <c r="B64" s="8" t="inlineStr">
        <is>
          <t>fusion = FusionEngine()</t>
        </is>
      </c>
    </row>
    <row r="65">
      <c r="A65" s="9" t="n">
        <v>62</v>
      </c>
      <c r="B65" s="10" t="inlineStr">
        <is>
          <t>tags = fusion.fuse(video_id, scene_id, vl_tags, ocr_text, speech_text, filename, folder)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># Search</t>
        </is>
      </c>
    </row>
    <row r="68">
      <c r="A68" s="7" t="n">
        <v>65</v>
      </c>
      <c r="B68" s="8" t="inlineStr">
        <is>
          <t>from api.search_api import SearchEngine</t>
        </is>
      </c>
    </row>
    <row r="69">
      <c r="A69" s="9" t="n">
        <v>66</v>
      </c>
      <c r="B69" s="10" t="inlineStr">
        <is>
          <t>search = SearchEngine()</t>
        </is>
      </c>
    </row>
    <row r="70">
      <c r="A70" s="7" t="n">
        <v>67</v>
      </c>
      <c r="B70" s="8" t="inlineStr">
        <is>
          <t>results = search.search("island counter sintered stone", mode="hybrid")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># Industry KB correction</t>
        </is>
      </c>
    </row>
    <row r="73">
      <c r="A73" s="9" t="n">
        <v>70</v>
      </c>
      <c r="B73" s="10" t="inlineStr">
        <is>
          <t>from knowledge.industry_kb import correct_vl_output</t>
        </is>
      </c>
    </row>
    <row r="74">
      <c r="A74" s="7" t="n">
        <v>71</v>
      </c>
      <c r="B74" s="8" t="inlineStr">
        <is>
          <t>corrected = correct_vl_output("table")  # Returns: "island counter" (Chinese)</t>
        </is>
      </c>
    </row>
    <row r="75">
      <c r="A75" s="9" t="n">
        <v>72</v>
      </c>
      <c r="B75" s="10" t="inlineStr">
        <is>
          <t>```</t>
        </is>
      </c>
    </row>
    <row r="76">
      <c r="A76" s="7" t="n">
        <v>73</v>
      </c>
      <c r="B76" s="8" t="inlineStr"/>
    </row>
    <row r="77">
      <c r="A77" s="9" t="n">
        <v>74</v>
      </c>
      <c r="B77" s="10" t="inlineStr">
        <is>
          <t>## Migration from V2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>V2 database (ai_material_library.db) can be migrated:</t>
        </is>
      </c>
    </row>
    <row r="80">
      <c r="A80" s="7" t="n">
        <v>77</v>
      </c>
      <c r="B80" s="8" t="inlineStr">
        <is>
          <t>```python</t>
        </is>
      </c>
    </row>
    <row r="81">
      <c r="A81" s="9" t="n">
        <v>78</v>
      </c>
      <c r="B81" s="10" t="inlineStr">
        <is>
          <t>python -c "from database.schema import init_db; init_db()"</t>
        </is>
      </c>
    </row>
    <row r="82">
      <c r="A82" s="7" t="n">
        <v>79</v>
      </c>
      <c r="B82" s="8" t="inlineStr">
        <is>
          <t># Then run migration script to import from V2 DB</t>
        </is>
      </c>
    </row>
    <row r="83">
      <c r="A83" s="9" t="n">
        <v>80</v>
      </c>
      <c r="B83" s="10" t="inlineStr">
        <is>
          <t>```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>
        <is>
          <t>## Target Scale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>- 100K materials: Current architecture supports</t>
        </is>
      </c>
    </row>
    <row r="88">
      <c r="A88" s="7" t="n">
        <v>85</v>
      </c>
      <c r="B88" s="8" t="inlineStr">
        <is>
          <t>- 500K materials: Add Redis + Celery</t>
        </is>
      </c>
    </row>
    <row r="89">
      <c r="A89" s="9" t="n">
        <v>86</v>
      </c>
      <c r="B89" s="10" t="inlineStr">
        <is>
          <t>- 1M materials: Add PostgreSQL + distributed FAISS</t>
        </is>
      </c>
    </row>
    <row r="90">
      <c r="A90" s="7" t="n">
        <v>87</v>
      </c>
      <c r="B90" s="8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material_engine_v5\scene_checkpoint.json</t>
        </is>
      </c>
      <c r="C1" s="5" t="inlineStr">
        <is>
          <t>行数: 1</t>
        </is>
      </c>
    </row>
    <row r="4">
      <c r="A4" s="7" t="n">
        <v>1</v>
      </c>
      <c r="B4" s="8" t="inlineStr">
        <is>
          <t>{"last_video_id": 2500, "ts": 1781086186.5476918}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0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protected_words.json</t>
        </is>
      </c>
      <c r="C1" s="5" t="inlineStr">
        <is>
          <t>行数: 668</t>
        </is>
      </c>
    </row>
    <row r="4">
      <c r="A4" s="7" t="n">
        <v>1</v>
      </c>
      <c r="B4" s="8" t="inlineStr">
        <is>
          <t>{</t>
        </is>
      </c>
    </row>
    <row r="5">
      <c r="A5" s="9" t="n">
        <v>2</v>
      </c>
      <c r="B5" s="10" t="inlineStr">
        <is>
          <t xml:space="preserve">  "version": "1.0",</t>
        </is>
      </c>
    </row>
    <row r="6">
      <c r="A6" s="7" t="n">
        <v>3</v>
      </c>
      <c r="B6" s="8" t="inlineStr">
        <is>
          <t xml:space="preserve">  "updated": "2026-06-10",</t>
        </is>
      </c>
    </row>
    <row r="7">
      <c r="A7" s="9" t="n">
        <v>4</v>
      </c>
      <c r="B7" s="10" t="inlineStr">
        <is>
          <t xml:space="preserve">  "description": "树剪 · 岛台行业保护词词库 — TTS配音时强制连贯朗读不拆分",</t>
        </is>
      </c>
    </row>
    <row r="8">
      <c r="A8" s="7" t="n">
        <v>5</v>
      </c>
      <c r="B8" s="8" t="inlineStr">
        <is>
          <t xml:space="preserve">  "categories": {</t>
        </is>
      </c>
    </row>
    <row r="9">
      <c r="A9" s="9" t="n">
        <v>6</v>
      </c>
      <c r="B9" s="10" t="inlineStr">
        <is>
          <t xml:space="preserve">    "核心产品词": [</t>
        </is>
      </c>
    </row>
    <row r="10">
      <c r="A10" s="7" t="n">
        <v>7</v>
      </c>
      <c r="B10" s="8" t="inlineStr">
        <is>
          <t xml:space="preserve">      "岛台",</t>
        </is>
      </c>
    </row>
    <row r="11">
      <c r="A11" s="9" t="n">
        <v>8</v>
      </c>
      <c r="B11" s="10" t="inlineStr">
        <is>
          <t xml:space="preserve">      "餐边柜",</t>
        </is>
      </c>
    </row>
    <row r="12">
      <c r="A12" s="7" t="n">
        <v>9</v>
      </c>
      <c r="B12" s="8" t="inlineStr">
        <is>
          <t xml:space="preserve">      "餐桌",</t>
        </is>
      </c>
    </row>
    <row r="13">
      <c r="A13" s="9" t="n">
        <v>10</v>
      </c>
      <c r="B13" s="10" t="inlineStr">
        <is>
          <t xml:space="preserve">      "高柜",</t>
        </is>
      </c>
    </row>
    <row r="14">
      <c r="A14" s="7" t="n">
        <v>11</v>
      </c>
      <c r="B14" s="8" t="inlineStr">
        <is>
          <t xml:space="preserve">      "酒柜",</t>
        </is>
      </c>
    </row>
    <row r="15">
      <c r="A15" s="9" t="n">
        <v>12</v>
      </c>
      <c r="B15" s="10" t="inlineStr">
        <is>
          <t xml:space="preserve">      "吧台",</t>
        </is>
      </c>
    </row>
    <row r="16">
      <c r="A16" s="7" t="n">
        <v>13</v>
      </c>
      <c r="B16" s="8" t="inlineStr">
        <is>
          <t xml:space="preserve">      "开放柜",</t>
        </is>
      </c>
    </row>
    <row r="17">
      <c r="A17" s="9" t="n">
        <v>14</v>
      </c>
      <c r="B17" s="10" t="inlineStr">
        <is>
          <t xml:space="preserve">      "地柜",</t>
        </is>
      </c>
    </row>
    <row r="18">
      <c r="A18" s="7" t="n">
        <v>15</v>
      </c>
      <c r="B18" s="8" t="inlineStr">
        <is>
          <t xml:space="preserve">      "吊柜",</t>
        </is>
      </c>
    </row>
    <row r="19">
      <c r="A19" s="9" t="n">
        <v>16</v>
      </c>
      <c r="B19" s="10" t="inlineStr">
        <is>
          <t xml:space="preserve">      "中岛台",</t>
        </is>
      </c>
    </row>
    <row r="20">
      <c r="A20" s="7" t="n">
        <v>17</v>
      </c>
      <c r="B20" s="8" t="inlineStr">
        <is>
          <t xml:space="preserve">      "边岛台",</t>
        </is>
      </c>
    </row>
    <row r="21">
      <c r="A21" s="9" t="n">
        <v>18</v>
      </c>
      <c r="B21" s="10" t="inlineStr">
        <is>
          <t xml:space="preserve">      "双岛台",</t>
        </is>
      </c>
    </row>
    <row r="22">
      <c r="A22" s="7" t="n">
        <v>19</v>
      </c>
      <c r="B22" s="8" t="inlineStr">
        <is>
          <t xml:space="preserve">      "吧台岛台",</t>
        </is>
      </c>
    </row>
    <row r="23">
      <c r="A23" s="9" t="n">
        <v>20</v>
      </c>
      <c r="B23" s="10" t="inlineStr">
        <is>
          <t xml:space="preserve">      "岛台餐桌一体",</t>
        </is>
      </c>
    </row>
    <row r="24">
      <c r="A24" s="7" t="n">
        <v>21</v>
      </c>
      <c r="B24" s="8" t="inlineStr">
        <is>
          <t xml:space="preserve">      "悬浮岛台",</t>
        </is>
      </c>
    </row>
    <row r="25">
      <c r="A25" s="9" t="n">
        <v>22</v>
      </c>
      <c r="B25" s="10" t="inlineStr">
        <is>
          <t xml:space="preserve">      "落地岛台",</t>
        </is>
      </c>
    </row>
    <row r="26">
      <c r="A26" s="7" t="n">
        <v>23</v>
      </c>
      <c r="B26" s="8" t="inlineStr">
        <is>
          <t xml:space="preserve">      "嵌入式岛台",</t>
        </is>
      </c>
    </row>
    <row r="27">
      <c r="A27" s="9" t="n">
        <v>24</v>
      </c>
      <c r="B27" s="10" t="inlineStr">
        <is>
          <t xml:space="preserve">      "连岛设计",</t>
        </is>
      </c>
    </row>
    <row r="28">
      <c r="A28" s="7" t="n">
        <v>25</v>
      </c>
      <c r="B28" s="8" t="inlineStr">
        <is>
          <t xml:space="preserve">      "开放式厨房",</t>
        </is>
      </c>
    </row>
    <row r="29">
      <c r="A29" s="9" t="n">
        <v>26</v>
      </c>
      <c r="B29" s="10" t="inlineStr">
        <is>
          <t xml:space="preserve">      "备餐台",</t>
        </is>
      </c>
    </row>
    <row r="30">
      <c r="A30" s="7" t="n">
        <v>27</v>
      </c>
      <c r="B30" s="8" t="inlineStr">
        <is>
          <t xml:space="preserve">      "水吧台",</t>
        </is>
      </c>
    </row>
    <row r="31">
      <c r="A31" s="9" t="n">
        <v>28</v>
      </c>
      <c r="B31" s="10" t="inlineStr">
        <is>
          <t xml:space="preserve">      "中岛柜",</t>
        </is>
      </c>
    </row>
    <row r="32">
      <c r="A32" s="7" t="n">
        <v>29</v>
      </c>
      <c r="B32" s="8" t="inlineStr">
        <is>
          <t xml:space="preserve">      "带Type-C轨道插座",</t>
        </is>
      </c>
    </row>
    <row r="33">
      <c r="A33" s="9" t="n">
        <v>30</v>
      </c>
      <c r="B33" s="10" t="inlineStr">
        <is>
          <t xml:space="preserve">      "嵌入式集成水槽洗碗机",</t>
        </is>
      </c>
    </row>
    <row r="34">
      <c r="A34" s="7" t="n">
        <v>31</v>
      </c>
      <c r="B34" s="8" t="inlineStr">
        <is>
          <t xml:space="preserve">      "岛台长度150cm",</t>
        </is>
      </c>
    </row>
    <row r="35">
      <c r="A35" s="9" t="n">
        <v>32</v>
      </c>
      <c r="B35" s="10" t="inlineStr">
        <is>
          <t xml:space="preserve">      "嵌入式全自动咖啡机",</t>
        </is>
      </c>
    </row>
    <row r="36">
      <c r="A36" s="7" t="n">
        <v>33</v>
      </c>
      <c r="B36" s="8" t="inlineStr">
        <is>
          <t xml:space="preserve">      "嵌入式微蒸烤一体机",</t>
        </is>
      </c>
    </row>
    <row r="37">
      <c r="A37" s="9" t="n">
        <v>34</v>
      </c>
      <c r="B37" s="10" t="inlineStr">
        <is>
          <t xml:space="preserve">      "嵌入式半自动咖啡机",</t>
        </is>
      </c>
    </row>
    <row r="38">
      <c r="A38" s="7" t="n">
        <v>35</v>
      </c>
      <c r="B38" s="8" t="inlineStr">
        <is>
          <t xml:space="preserve">      "岛台隐藏式升降插座",</t>
        </is>
      </c>
    </row>
    <row r="39">
      <c r="A39" s="9" t="n">
        <v>36</v>
      </c>
      <c r="B39" s="10" t="inlineStr">
        <is>
          <t xml:space="preserve">      "岛台长度180cm",</t>
        </is>
      </c>
    </row>
    <row r="40">
      <c r="A40" s="7" t="n">
        <v>37</v>
      </c>
      <c r="B40" s="8" t="inlineStr">
        <is>
          <t xml:space="preserve">      "嵌入式即热式饮水机",</t>
        </is>
      </c>
    </row>
    <row r="41">
      <c r="A41" s="9" t="n">
        <v>38</v>
      </c>
      <c r="B41" s="10" t="inlineStr">
        <is>
          <t xml:space="preserve">      "垃圾处理器集成水槽",</t>
        </is>
      </c>
    </row>
    <row r="42">
      <c r="A42" s="7" t="n">
        <v>39</v>
      </c>
      <c r="B42" s="8" t="inlineStr">
        <is>
          <t xml:space="preserve">      "岛台长度120cm",</t>
        </is>
      </c>
    </row>
    <row r="43">
      <c r="A43" s="9" t="n">
        <v>40</v>
      </c>
      <c r="B43" s="10" t="inlineStr">
        <is>
          <t xml:space="preserve">      "过道宽度100cm",</t>
        </is>
      </c>
    </row>
    <row r="44">
      <c r="A44" s="7" t="n">
        <v>41</v>
      </c>
      <c r="B44" s="8" t="inlineStr">
        <is>
          <t xml:space="preserve">      "岛台长度200cm",</t>
        </is>
      </c>
    </row>
    <row r="45">
      <c r="A45" s="9" t="n">
        <v>42</v>
      </c>
      <c r="B45" s="10" t="inlineStr">
        <is>
          <t xml:space="preserve">      "嵌入式双开门冰箱",</t>
        </is>
      </c>
    </row>
    <row r="46">
      <c r="A46" s="7" t="n">
        <v>43</v>
      </c>
      <c r="B46" s="8" t="inlineStr">
        <is>
          <t xml:space="preserve">      "嵌入式一电一陶炉",</t>
        </is>
      </c>
    </row>
    <row r="47">
      <c r="A47" s="9" t="n">
        <v>44</v>
      </c>
      <c r="B47" s="10" t="inlineStr">
        <is>
          <t xml:space="preserve">      "嵌入式双头电磁炉",</t>
        </is>
      </c>
    </row>
    <row r="48">
      <c r="A48" s="7" t="n">
        <v>45</v>
      </c>
      <c r="B48" s="8" t="inlineStr">
        <is>
          <t xml:space="preserve">      "岛台宽度80cm",</t>
        </is>
      </c>
    </row>
    <row r="49">
      <c r="A49" s="9" t="n">
        <v>46</v>
      </c>
      <c r="B49" s="10" t="inlineStr">
        <is>
          <t xml:space="preserve">      "嵌入式台式洗碗机",</t>
        </is>
      </c>
    </row>
    <row r="50">
      <c r="A50" s="7" t="n">
        <v>47</v>
      </c>
      <c r="B50" s="8" t="inlineStr">
        <is>
          <t xml:space="preserve">      "岛台高度85cm",</t>
        </is>
      </c>
    </row>
    <row r="51">
      <c r="A51" s="9" t="n">
        <v>48</v>
      </c>
      <c r="B51" s="10" t="inlineStr">
        <is>
          <t xml:space="preserve">      "台面厚度12mm",</t>
        </is>
      </c>
    </row>
    <row r="52">
      <c r="A52" s="7" t="n">
        <v>49</v>
      </c>
      <c r="B52" s="8" t="inlineStr">
        <is>
          <t xml:space="preserve">      "Type-C插座",</t>
        </is>
      </c>
    </row>
    <row r="53">
      <c r="A53" s="9" t="n">
        <v>50</v>
      </c>
      <c r="B53" s="10" t="inlineStr">
        <is>
          <t xml:space="preserve">      "台面厚度30mm",</t>
        </is>
      </c>
    </row>
    <row r="54">
      <c r="A54" s="7" t="n">
        <v>51</v>
      </c>
      <c r="B54" s="8" t="inlineStr">
        <is>
          <t xml:space="preserve">      "带USB轨道插座",</t>
        </is>
      </c>
    </row>
    <row r="55">
      <c r="A55" s="9" t="n">
        <v>52</v>
      </c>
      <c r="B55" s="10" t="inlineStr">
        <is>
          <t xml:space="preserve">      "岛台台下盆支撑架",</t>
        </is>
      </c>
    </row>
    <row r="56">
      <c r="A56" s="7" t="n">
        <v>53</v>
      </c>
      <c r="B56" s="8" t="inlineStr">
        <is>
          <t xml:space="preserve">      "岛台高度90cm",</t>
        </is>
      </c>
    </row>
    <row r="57">
      <c r="A57" s="9" t="n">
        <v>54</v>
      </c>
      <c r="B57" s="10" t="inlineStr">
        <is>
          <t xml:space="preserve">      "过道宽度90cm",</t>
        </is>
      </c>
    </row>
    <row r="58">
      <c r="A58" s="7" t="n">
        <v>55</v>
      </c>
      <c r="B58" s="8" t="inlineStr">
        <is>
          <t xml:space="preserve">      "嵌入式低温消毒柜",</t>
        </is>
      </c>
    </row>
    <row r="59">
      <c r="A59" s="9" t="n">
        <v>56</v>
      </c>
      <c r="B59" s="10" t="inlineStr">
        <is>
          <t xml:space="preserve">      "抽拉式清洁用品架",</t>
        </is>
      </c>
    </row>
    <row r="60">
      <c r="A60" s="7" t="n">
        <v>57</v>
      </c>
      <c r="B60" s="8" t="inlineStr">
        <is>
          <t xml:space="preserve">      "过道宽度80cm",</t>
        </is>
      </c>
    </row>
    <row r="61">
      <c r="A61" s="9" t="n">
        <v>58</v>
      </c>
      <c r="B61" s="10" t="inlineStr">
        <is>
          <t xml:space="preserve">      "嵌入式清洁用品柜",</t>
        </is>
      </c>
    </row>
    <row r="62">
      <c r="A62" s="7" t="n">
        <v>59</v>
      </c>
      <c r="B62" s="8" t="inlineStr">
        <is>
          <t xml:space="preserve">      "台面厚度20mm",</t>
        </is>
      </c>
    </row>
    <row r="63">
      <c r="A63" s="9" t="n">
        <v>60</v>
      </c>
      <c r="B63" s="10" t="inlineStr">
        <is>
          <t xml:space="preserve">      "悬浮岛台钢架制作",</t>
        </is>
      </c>
    </row>
    <row r="64">
      <c r="A64" s="7" t="n">
        <v>61</v>
      </c>
      <c r="B64" s="8" t="inlineStr">
        <is>
          <t xml:space="preserve">      "柜体深度60cm",</t>
        </is>
      </c>
    </row>
    <row r="65">
      <c r="A65" s="9" t="n">
        <v>62</v>
      </c>
      <c r="B65" s="10" t="inlineStr">
        <is>
          <t xml:space="preserve">      "台面厚度15mm",</t>
        </is>
      </c>
    </row>
    <row r="66">
      <c r="A66" s="7" t="n">
        <v>63</v>
      </c>
      <c r="B66" s="8" t="inlineStr">
        <is>
          <t xml:space="preserve">      "柜体深度55cm",</t>
        </is>
      </c>
    </row>
    <row r="67">
      <c r="A67" s="9" t="n">
        <v>64</v>
      </c>
      <c r="B67" s="10" t="inlineStr">
        <is>
          <t xml:space="preserve">      "嵌入式双头电陶炉",</t>
        </is>
      </c>
    </row>
    <row r="68">
      <c r="A68" s="7" t="n">
        <v>65</v>
      </c>
      <c r="B68" s="8" t="inlineStr">
        <is>
          <t xml:space="preserve">      "岛台高度80cm",</t>
        </is>
      </c>
    </row>
    <row r="69">
      <c r="A69" s="9" t="n">
        <v>66</v>
      </c>
      <c r="B69" s="10" t="inlineStr">
        <is>
          <t xml:space="preserve">      "嵌入式高温消毒柜",</t>
        </is>
      </c>
    </row>
    <row r="70">
      <c r="A70" s="7" t="n">
        <v>67</v>
      </c>
      <c r="B70" s="8" t="inlineStr">
        <is>
          <t xml:space="preserve">      "岛台宽度60cm",</t>
        </is>
      </c>
    </row>
    <row r="71">
      <c r="A71" s="9" t="n">
        <v>68</v>
      </c>
      <c r="B71" s="10" t="inlineStr">
        <is>
          <t xml:space="preserve">      "岛台电动升降插座",</t>
        </is>
      </c>
    </row>
    <row r="72">
      <c r="A72" s="7" t="n">
        <v>69</v>
      </c>
      <c r="B72" s="8" t="inlineStr">
        <is>
          <t xml:space="preserve">      "柜体深度65cm",</t>
        </is>
      </c>
    </row>
    <row r="73">
      <c r="A73" s="9" t="n">
        <v>70</v>
      </c>
      <c r="B73" s="10" t="inlineStr">
        <is>
          <t xml:space="preserve">      "岛台宽度70cm",</t>
        </is>
      </c>
    </row>
    <row r="74">
      <c r="A74" s="7" t="n">
        <v>71</v>
      </c>
      <c r="B74" s="8" t="inlineStr">
        <is>
          <t xml:space="preserve">      "环保等级ENF",</t>
        </is>
      </c>
    </row>
    <row r="75">
      <c r="A75" s="9" t="n">
        <v>72</v>
      </c>
      <c r="B75" s="10" t="inlineStr">
        <is>
          <t xml:space="preserve">      "嵌入式轨道插座",</t>
        </is>
      </c>
    </row>
    <row r="76">
      <c r="A76" s="7" t="n">
        <v>73</v>
      </c>
      <c r="B76" s="8" t="inlineStr">
        <is>
          <t xml:space="preserve">      "生物亲和主义风",</t>
        </is>
      </c>
    </row>
    <row r="77">
      <c r="A77" s="9" t="n">
        <v>74</v>
      </c>
      <c r="B77" s="10" t="inlineStr">
        <is>
          <t xml:space="preserve">      "嵌入式集成水槽",</t>
        </is>
      </c>
    </row>
    <row r="78">
      <c r="A78" s="7" t="n">
        <v>75</v>
      </c>
      <c r="B78" s="8" t="inlineStr">
        <is>
          <t xml:space="preserve">      "洗碗机集成水槽",</t>
        </is>
      </c>
    </row>
    <row r="79">
      <c r="A79" s="9" t="n">
        <v>76</v>
      </c>
      <c r="B79" s="10" t="inlineStr">
        <is>
          <t xml:space="preserve">      "岩板拼接缝过大",</t>
        </is>
      </c>
    </row>
    <row r="80">
      <c r="A80" s="7" t="n">
        <v>77</v>
      </c>
      <c r="B80" s="8" t="inlineStr">
        <is>
          <t xml:space="preserve">      "岩板蜂窝板台面",</t>
        </is>
      </c>
    </row>
    <row r="81">
      <c r="A81" s="9" t="n">
        <v>78</v>
      </c>
      <c r="B81" s="10" t="inlineStr">
        <is>
          <t xml:space="preserve">      "岛台岩板一体盆",</t>
        </is>
      </c>
    </row>
    <row r="82">
      <c r="A82" s="7" t="n">
        <v>79</v>
      </c>
      <c r="B82" s="8" t="inlineStr">
        <is>
          <t xml:space="preserve">      "转角小怪物拉篮",</t>
        </is>
      </c>
    </row>
    <row r="83">
      <c r="A83" s="9" t="n">
        <v>80</v>
      </c>
      <c r="B83" s="10" t="inlineStr">
        <is>
          <t xml:space="preserve">      "岩板45度倒角",</t>
        </is>
      </c>
    </row>
    <row r="84">
      <c r="A84" s="7" t="n">
        <v>81</v>
      </c>
      <c r="B84" s="8" t="inlineStr">
        <is>
          <t xml:space="preserve">      "一体式岛台制作",</t>
        </is>
      </c>
    </row>
    <row r="85">
      <c r="A85" s="9" t="n">
        <v>82</v>
      </c>
      <c r="B85" s="10" t="inlineStr">
        <is>
          <t xml:space="preserve">      "岛台抽屉式酒柜",</t>
        </is>
      </c>
    </row>
    <row r="86">
      <c r="A86" s="7" t="n">
        <v>83</v>
      </c>
      <c r="B86" s="8" t="inlineStr">
        <is>
          <t xml:space="preserve">      "抽拉式保鲜膜架",</t>
        </is>
      </c>
    </row>
    <row r="87">
      <c r="A87" s="9" t="n">
        <v>84</v>
      </c>
      <c r="B87" s="10" t="inlineStr">
        <is>
          <t xml:space="preserve">      "岛台不锈钢包边",</t>
        </is>
      </c>
    </row>
    <row r="88">
      <c r="A88" s="7" t="n">
        <v>85</v>
      </c>
      <c r="B88" s="8" t="inlineStr">
        <is>
          <t xml:space="preserve">      "厨余垃圾处理器",</t>
        </is>
      </c>
    </row>
    <row r="89">
      <c r="A89" s="9" t="n">
        <v>86</v>
      </c>
      <c r="B89" s="10" t="inlineStr">
        <is>
          <t xml:space="preserve">      "岛台高压洗杯器",</t>
        </is>
      </c>
    </row>
    <row r="90">
      <c r="A90" s="7" t="n">
        <v>87</v>
      </c>
      <c r="B90" s="8" t="inlineStr">
        <is>
          <t xml:space="preserve">      "带开关轨道插座",</t>
        </is>
      </c>
    </row>
    <row r="91">
      <c r="A91" s="9" t="n">
        <v>88</v>
      </c>
      <c r="B91" s="10" t="inlineStr">
        <is>
          <t xml:space="preserve">      "环氧自流平台面",</t>
        </is>
      </c>
    </row>
    <row r="92">
      <c r="A92" s="7" t="n">
        <v>89</v>
      </c>
      <c r="B92" s="8" t="inlineStr">
        <is>
          <t xml:space="preserve">      "嵌入式抽油烟机",</t>
        </is>
      </c>
    </row>
    <row r="93">
      <c r="A93" s="9" t="n">
        <v>90</v>
      </c>
      <c r="B93" s="10" t="inlineStr">
        <is>
          <t xml:space="preserve">      "模块化岛台制作",</t>
        </is>
      </c>
    </row>
    <row r="94">
      <c r="A94" s="7" t="n">
        <v>91</v>
      </c>
      <c r="B94" s="8" t="inlineStr">
        <is>
          <t xml:space="preserve">      "岛台无线充电板",</t>
        </is>
      </c>
    </row>
    <row r="95">
      <c r="A95" s="9" t="n">
        <v>92</v>
      </c>
      <c r="B95" s="10" t="inlineStr">
        <is>
          <t xml:space="preserve">      "嵌入式保鲜膜盒",</t>
        </is>
      </c>
    </row>
    <row r="96">
      <c r="A96" s="7" t="n">
        <v>93</v>
      </c>
      <c r="B96" s="8" t="inlineStr">
        <is>
          <t xml:space="preserve">      "岛台空气净化器",</t>
        </is>
      </c>
    </row>
    <row r="97">
      <c r="A97" s="9" t="n">
        <v>94</v>
      </c>
      <c r="B97" s="10" t="inlineStr">
        <is>
          <t xml:space="preserve">      "嵌入式单门冰箱",</t>
        </is>
      </c>
    </row>
    <row r="98">
      <c r="A98" s="7" t="n">
        <v>95</v>
      </c>
      <c r="B98" s="8" t="inlineStr">
        <is>
          <t xml:space="preserve">      "岩板背景墙安装",</t>
        </is>
      </c>
    </row>
    <row r="99">
      <c r="A99" s="9" t="n">
        <v>96</v>
      </c>
      <c r="B99" s="10" t="inlineStr">
        <is>
          <t xml:space="preserve">      "高光PET门板",</t>
        </is>
      </c>
    </row>
    <row r="100">
      <c r="A100" s="7" t="n">
        <v>97</v>
      </c>
      <c r="B100" s="8" t="inlineStr">
        <is>
          <t xml:space="preserve">      "岛台智能显示屏",</t>
        </is>
      </c>
    </row>
    <row r="101">
      <c r="A101" s="9" t="n">
        <v>98</v>
      </c>
      <c r="B101" s="10" t="inlineStr">
        <is>
          <t xml:space="preserve">      "岛台铝合金包边",</t>
        </is>
      </c>
    </row>
    <row r="102">
      <c r="A102" s="7" t="n">
        <v>99</v>
      </c>
      <c r="B102" s="8" t="inlineStr">
        <is>
          <t xml:space="preserve">      "肤感PET门板",</t>
        </is>
      </c>
    </row>
    <row r="103">
      <c r="A103" s="9" t="n">
        <v>100</v>
      </c>
      <c r="B103" s="10" t="inlineStr">
        <is>
          <t xml:space="preserve">      "食物垃圾处理器",</t>
        </is>
      </c>
    </row>
    <row r="104">
      <c r="A104" s="7" t="n">
        <v>101</v>
      </c>
      <c r="B104" s="8" t="inlineStr">
        <is>
          <t xml:space="preserve">      "人体工程学设计",</t>
        </is>
      </c>
    </row>
    <row r="105">
      <c r="A105" s="9" t="n">
        <v>102</v>
      </c>
      <c r="B105" s="10" t="inlineStr">
        <is>
          <t xml:space="preserve">      "岛台嵌入式茶盘",</t>
        </is>
      </c>
    </row>
    <row r="106">
      <c r="A106" s="7" t="n">
        <v>103</v>
      </c>
      <c r="B106" s="8" t="inlineStr">
        <is>
          <t xml:space="preserve">      "岩板蜂窝板复合",</t>
        </is>
      </c>
    </row>
    <row r="107">
      <c r="A107" s="9" t="n">
        <v>104</v>
      </c>
      <c r="B107" s="10" t="inlineStr">
        <is>
          <t xml:space="preserve">      "人体工程学高度",</t>
        </is>
      </c>
    </row>
    <row r="108">
      <c r="A108" s="7" t="n">
        <v>105</v>
      </c>
      <c r="B108" s="8" t="inlineStr">
        <is>
          <t xml:space="preserve">      "嵌入式保温抽屉",</t>
        </is>
      </c>
    </row>
    <row r="109">
      <c r="A109" s="9" t="n">
        <v>106</v>
      </c>
      <c r="B109" s="10" t="inlineStr">
        <is>
          <t xml:space="preserve">      "环保等级E1",</t>
        </is>
      </c>
    </row>
    <row r="110">
      <c r="A110" s="7" t="n">
        <v>107</v>
      </c>
      <c r="B110" s="8" t="inlineStr">
        <is>
          <t xml:space="preserve">      "岩板台面安装",</t>
        </is>
      </c>
    </row>
    <row r="111">
      <c r="A111" s="9" t="n">
        <v>108</v>
      </c>
      <c r="B111" s="10" t="inlineStr">
        <is>
          <t xml:space="preserve">      "石英石一体盆",</t>
        </is>
      </c>
    </row>
    <row r="112">
      <c r="A112" s="7" t="n">
        <v>109</v>
      </c>
      <c r="B112" s="8" t="inlineStr">
        <is>
          <t xml:space="preserve">      "嵌入式碗碟架",</t>
        </is>
      </c>
    </row>
    <row r="113">
      <c r="A113" s="9" t="n">
        <v>110</v>
      </c>
      <c r="B113" s="10" t="inlineStr">
        <is>
          <t xml:space="preserve">      "岛台后挡水条",</t>
        </is>
      </c>
    </row>
    <row r="114">
      <c r="A114" s="7" t="n">
        <v>111</v>
      </c>
      <c r="B114" s="8" t="inlineStr">
        <is>
          <t xml:space="preserve">      "内嵌轨道插座",</t>
        </is>
      </c>
    </row>
    <row r="115">
      <c r="A115" s="9" t="n">
        <v>112</v>
      </c>
      <c r="B115" s="10" t="inlineStr">
        <is>
          <t xml:space="preserve">      "嵌入式蒸烤箱",</t>
        </is>
      </c>
    </row>
    <row r="116">
      <c r="A116" s="7" t="n">
        <v>113</v>
      </c>
      <c r="B116" s="8" t="inlineStr">
        <is>
          <t xml:space="preserve">      "岩板无缝拼接",</t>
        </is>
      </c>
    </row>
    <row r="117">
      <c r="A117" s="9" t="n">
        <v>114</v>
      </c>
      <c r="B117" s="10" t="inlineStr">
        <is>
          <t xml:space="preserve">      "无线充电插座",</t>
        </is>
      </c>
    </row>
    <row r="118">
      <c r="A118" s="7" t="n">
        <v>115</v>
      </c>
      <c r="B118" s="8" t="inlineStr">
        <is>
          <t xml:space="preserve">      "抽屉式分隔盒",</t>
        </is>
      </c>
    </row>
    <row r="119">
      <c r="A119" s="9" t="n">
        <v>116</v>
      </c>
      <c r="B119" s="10" t="inlineStr">
        <is>
          <t xml:space="preserve">      "悬空岛台安装",</t>
        </is>
      </c>
    </row>
    <row r="120">
      <c r="A120" s="7" t="n">
        <v>117</v>
      </c>
      <c r="B120" s="8" t="inlineStr">
        <is>
          <t xml:space="preserve">      "抽屉式收纳盒",</t>
        </is>
      </c>
    </row>
    <row r="121">
      <c r="A121" s="9" t="n">
        <v>118</v>
      </c>
      <c r="B121" s="10" t="inlineStr">
        <is>
          <t xml:space="preserve">      "嵌入式雪茄柜",</t>
        </is>
      </c>
    </row>
    <row r="122">
      <c r="A122" s="7" t="n">
        <v>119</v>
      </c>
      <c r="B122" s="8" t="inlineStr">
        <is>
          <t xml:space="preserve">      "抽拉式砧板架",</t>
        </is>
      </c>
    </row>
    <row r="123">
      <c r="A123" s="9" t="n">
        <v>120</v>
      </c>
      <c r="B123" s="10" t="inlineStr">
        <is>
          <t xml:space="preserve">      "抽屉式餐具盒",</t>
        </is>
      </c>
    </row>
    <row r="124">
      <c r="A124" s="7" t="n">
        <v>121</v>
      </c>
      <c r="B124" s="8" t="inlineStr">
        <is>
          <t xml:space="preserve">      "嵌入式直饮机",</t>
        </is>
      </c>
    </row>
    <row r="125">
      <c r="A125" s="9" t="n">
        <v>122</v>
      </c>
      <c r="B125" s="10" t="inlineStr">
        <is>
          <t xml:space="preserve">      "嵌入式纸巾盒",</t>
        </is>
      </c>
    </row>
    <row r="126">
      <c r="A126" s="7" t="n">
        <v>123</v>
      </c>
      <c r="B126" s="8" t="inlineStr">
        <is>
          <t xml:space="preserve">      "可旋转水龙头",</t>
        </is>
      </c>
    </row>
    <row r="127">
      <c r="A127" s="9" t="n">
        <v>124</v>
      </c>
      <c r="B127" s="10" t="inlineStr">
        <is>
          <t xml:space="preserve">      "抽屉式调味盒",</t>
        </is>
      </c>
    </row>
    <row r="128">
      <c r="A128" s="7" t="n">
        <v>125</v>
      </c>
      <c r="B128" s="8" t="inlineStr">
        <is>
          <t xml:space="preserve">      "嵌入式燃气灶",</t>
        </is>
      </c>
    </row>
    <row r="129">
      <c r="A129" s="9" t="n">
        <v>126</v>
      </c>
      <c r="B129" s="10" t="inlineStr">
        <is>
          <t xml:space="preserve">      "无线轨道插座",</t>
        </is>
      </c>
    </row>
    <row r="130">
      <c r="A130" s="7" t="n">
        <v>127</v>
      </c>
      <c r="B130" s="8" t="inlineStr">
        <is>
          <t xml:space="preserve">      "抽拉式锅具架",</t>
        </is>
      </c>
    </row>
    <row r="131">
      <c r="A131" s="9" t="n">
        <v>128</v>
      </c>
      <c r="B131" s="10" t="inlineStr">
        <is>
          <t xml:space="preserve">      "抽拉式筷子笼",</t>
        </is>
      </c>
    </row>
    <row r="132">
      <c r="A132" s="7" t="n">
        <v>129</v>
      </c>
      <c r="B132" s="8" t="inlineStr">
        <is>
          <t xml:space="preserve">      "嵌入式白酒柜",</t>
        </is>
      </c>
    </row>
    <row r="133">
      <c r="A133" s="9" t="n">
        <v>130</v>
      </c>
      <c r="B133" s="10" t="inlineStr">
        <is>
          <t xml:space="preserve">      "岩板拼接不平",</t>
        </is>
      </c>
    </row>
    <row r="134">
      <c r="A134" s="7" t="n">
        <v>131</v>
      </c>
      <c r="B134" s="8" t="inlineStr">
        <is>
          <t xml:space="preserve">      "嵌入式面粉箱",</t>
        </is>
      </c>
    </row>
    <row r="135">
      <c r="A135" s="9" t="n">
        <v>132</v>
      </c>
      <c r="B135" s="10" t="inlineStr">
        <is>
          <t xml:space="preserve">      "岛台轨道插座",</t>
        </is>
      </c>
    </row>
    <row r="136">
      <c r="A136" s="7" t="n">
        <v>133</v>
      </c>
      <c r="B136" s="8" t="inlineStr">
        <is>
          <t xml:space="preserve">      "岛台延伸餐桌",</t>
        </is>
      </c>
    </row>
    <row r="137">
      <c r="A137" s="9" t="n">
        <v>134</v>
      </c>
      <c r="B137" s="10" t="inlineStr">
        <is>
          <t xml:space="preserve">      "三开双控开关",</t>
        </is>
      </c>
    </row>
    <row r="138">
      <c r="A138" s="7" t="n">
        <v>135</v>
      </c>
      <c r="B138" s="8" t="inlineStr">
        <is>
          <t xml:space="preserve">      "嵌入式暖碟机",</t>
        </is>
      </c>
    </row>
    <row r="139">
      <c r="A139" s="9" t="n">
        <v>136</v>
      </c>
      <c r="B139" s="10" t="inlineStr">
        <is>
          <t xml:space="preserve">      "不锈钢水龙头",</t>
        </is>
      </c>
    </row>
    <row r="140">
      <c r="A140" s="7" t="n">
        <v>137</v>
      </c>
      <c r="B140" s="8" t="inlineStr">
        <is>
          <t xml:space="preserve">      "不锈钢一体盆",</t>
        </is>
      </c>
    </row>
    <row r="141">
      <c r="A141" s="9" t="n">
        <v>138</v>
      </c>
      <c r="B141" s="10" t="inlineStr">
        <is>
          <t xml:space="preserve">      "十孔轨道插座",</t>
        </is>
      </c>
    </row>
    <row r="142">
      <c r="A142" s="7" t="n">
        <v>139</v>
      </c>
      <c r="B142" s="8" t="inlineStr">
        <is>
          <t xml:space="preserve">      "岛台开放格灯",</t>
        </is>
      </c>
    </row>
    <row r="143">
      <c r="A143" s="9" t="n">
        <v>140</v>
      </c>
      <c r="B143" s="10" t="inlineStr">
        <is>
          <t xml:space="preserve">      "高密度纤维板",</t>
        </is>
      </c>
    </row>
    <row r="144">
      <c r="A144" s="7" t="n">
        <v>141</v>
      </c>
      <c r="B144" s="8" t="inlineStr">
        <is>
          <t xml:space="preserve">      "岩板直角拼接",</t>
        </is>
      </c>
    </row>
    <row r="145">
      <c r="A145" s="9" t="n">
        <v>142</v>
      </c>
      <c r="B145" s="10" t="inlineStr">
        <is>
          <t xml:space="preserve">      "岩板热弯台面",</t>
        </is>
      </c>
    </row>
    <row r="146">
      <c r="A146" s="7" t="n">
        <v>143</v>
      </c>
      <c r="B146" s="8" t="inlineStr">
        <is>
          <t xml:space="preserve">      "双开双控开关",</t>
        </is>
      </c>
    </row>
    <row r="147">
      <c r="A147" s="9" t="n">
        <v>144</v>
      </c>
      <c r="B147" s="10" t="inlineStr">
        <is>
          <t xml:space="preserve">      "嵌入式锅具架",</t>
        </is>
      </c>
    </row>
    <row r="148">
      <c r="A148" s="7" t="n">
        <v>145</v>
      </c>
      <c r="B148" s="8" t="inlineStr">
        <is>
          <t xml:space="preserve">      "可升降水龙头",</t>
        </is>
      </c>
    </row>
    <row r="149">
      <c r="A149" s="9" t="n">
        <v>146</v>
      </c>
      <c r="B149" s="10" t="inlineStr">
        <is>
          <t xml:space="preserve">      "嵌入式调料架",</t>
        </is>
      </c>
    </row>
    <row r="150">
      <c r="A150" s="7" t="n">
        <v>147</v>
      </c>
      <c r="B150" s="8" t="inlineStr">
        <is>
          <t xml:space="preserve">      "嵌入式集成灶",</t>
        </is>
      </c>
    </row>
    <row r="151">
      <c r="A151" s="9" t="n">
        <v>148</v>
      </c>
      <c r="B151" s="10" t="inlineStr">
        <is>
          <t xml:space="preserve">      "嵌入式饮水机",</t>
        </is>
      </c>
    </row>
    <row r="152">
      <c r="A152" s="7" t="n">
        <v>149</v>
      </c>
      <c r="B152" s="8" t="inlineStr">
        <is>
          <t xml:space="preserve">      "中密度纤维板",</t>
        </is>
      </c>
    </row>
    <row r="153">
      <c r="A153" s="9" t="n">
        <v>150</v>
      </c>
      <c r="B153" s="10" t="inlineStr">
        <is>
          <t xml:space="preserve">      "岛台感应灯带",</t>
        </is>
      </c>
    </row>
    <row r="154">
      <c r="A154" s="7" t="n">
        <v>151</v>
      </c>
      <c r="B154" s="8" t="inlineStr">
        <is>
          <t xml:space="preserve">      "海蒂诗骑马抽",</t>
        </is>
      </c>
    </row>
    <row r="155">
      <c r="A155" s="9" t="n">
        <v>152</v>
      </c>
      <c r="B155" s="10" t="inlineStr">
        <is>
          <t xml:space="preserve">      "抽拉式水龙头",</t>
        </is>
      </c>
    </row>
    <row r="156">
      <c r="A156" s="7" t="n">
        <v>153</v>
      </c>
      <c r="B156" s="8" t="inlineStr">
        <is>
          <t xml:space="preserve">      "岛台下翻拉篮",</t>
        </is>
      </c>
    </row>
    <row r="157">
      <c r="A157" s="9" t="n">
        <v>154</v>
      </c>
      <c r="B157" s="10" t="inlineStr">
        <is>
          <t xml:space="preserve">      "手动升降插座",</t>
        </is>
      </c>
    </row>
    <row r="158">
      <c r="A158" s="7" t="n">
        <v>155</v>
      </c>
      <c r="B158" s="8" t="inlineStr">
        <is>
          <t xml:space="preserve">      "电动抽屉滑轨",</t>
        </is>
      </c>
    </row>
    <row r="159">
      <c r="A159" s="9" t="n">
        <v>156</v>
      </c>
      <c r="B159" s="10" t="inlineStr">
        <is>
          <t xml:space="preserve">      "悬浮岛台安装",</t>
        </is>
      </c>
    </row>
    <row r="160">
      <c r="A160" s="7" t="n">
        <v>157</v>
      </c>
      <c r="B160" s="8" t="inlineStr">
        <is>
          <t xml:space="preserve">      "抽屉式刀叉盒",</t>
        </is>
      </c>
    </row>
    <row r="161">
      <c r="A161" s="9" t="n">
        <v>158</v>
      </c>
      <c r="B161" s="10" t="inlineStr">
        <is>
          <t xml:space="preserve">      "岛台智能音箱",</t>
        </is>
      </c>
    </row>
    <row r="162">
      <c r="A162" s="7" t="n">
        <v>159</v>
      </c>
      <c r="B162" s="8" t="inlineStr">
        <is>
          <t xml:space="preserve">      "嵌入式暖菜板",</t>
        </is>
      </c>
    </row>
    <row r="163">
      <c r="A163" s="9" t="n">
        <v>160</v>
      </c>
      <c r="B163" s="10" t="inlineStr">
        <is>
          <t xml:space="preserve">      "抽拉式刀具架",</t>
        </is>
      </c>
    </row>
    <row r="164">
      <c r="A164" s="7" t="n">
        <v>161</v>
      </c>
      <c r="B164" s="8" t="inlineStr">
        <is>
          <t xml:space="preserve">      "单开单控开关",</t>
        </is>
      </c>
    </row>
    <row r="165">
      <c r="A165" s="9" t="n">
        <v>162</v>
      </c>
      <c r="B165" s="10" t="inlineStr">
        <is>
          <t xml:space="preserve">      "嵌入式砧板架",</t>
        </is>
      </c>
    </row>
    <row r="166">
      <c r="A166" s="7" t="n">
        <v>163</v>
      </c>
      <c r="B166" s="8" t="inlineStr">
        <is>
          <t xml:space="preserve">      "嵌入式净水器",</t>
        </is>
      </c>
    </row>
    <row r="167">
      <c r="A167" s="9" t="n">
        <v>164</v>
      </c>
      <c r="B167" s="10" t="inlineStr">
        <is>
          <t xml:space="preserve">      "抽拉式调料架",</t>
        </is>
      </c>
    </row>
    <row r="168">
      <c r="A168" s="7" t="n">
        <v>165</v>
      </c>
      <c r="B168" s="8" t="inlineStr">
        <is>
          <t xml:space="preserve">      "电动升降插座",</t>
        </is>
      </c>
    </row>
    <row r="169">
      <c r="A169" s="9" t="n">
        <v>166</v>
      </c>
      <c r="B169" s="10" t="inlineStr">
        <is>
          <t xml:space="preserve">      "三节滚珠滑轨",</t>
        </is>
      </c>
    </row>
    <row r="170">
      <c r="A170" s="7" t="n">
        <v>167</v>
      </c>
      <c r="B170" s="8" t="inlineStr">
        <is>
          <t xml:space="preserve">      "嵌入式电陶炉",</t>
        </is>
      </c>
    </row>
    <row r="171">
      <c r="A171" s="9" t="n">
        <v>168</v>
      </c>
      <c r="B171" s="10" t="inlineStr">
        <is>
          <t xml:space="preserve">      "环保等级E0",</t>
        </is>
      </c>
    </row>
    <row r="172">
      <c r="A172" s="7" t="n">
        <v>169</v>
      </c>
      <c r="B172" s="8" t="inlineStr">
        <is>
          <t xml:space="preserve">      "转角怪物拉篮",</t>
        </is>
      </c>
    </row>
    <row r="173">
      <c r="A173" s="9" t="n">
        <v>170</v>
      </c>
      <c r="B173" s="10" t="inlineStr">
        <is>
          <t xml:space="preserve">      "嵌入式垃圾桶",</t>
        </is>
      </c>
    </row>
    <row r="174">
      <c r="A174" s="7" t="n">
        <v>171</v>
      </c>
      <c r="B174" s="8" t="inlineStr">
        <is>
          <t xml:space="preserve">      "悬浮岩板岛台",</t>
        </is>
      </c>
    </row>
    <row r="175">
      <c r="A175" s="9" t="n">
        <v>172</v>
      </c>
      <c r="B175" s="10" t="inlineStr">
        <is>
          <t xml:space="preserve">      "柜门缝隙过大",</t>
        </is>
      </c>
    </row>
    <row r="176">
      <c r="A176" s="7" t="n">
        <v>173</v>
      </c>
      <c r="B176" s="8" t="inlineStr">
        <is>
          <t xml:space="preserve">      "岩板柜体安装",</t>
        </is>
      </c>
    </row>
    <row r="177">
      <c r="A177" s="9" t="n">
        <v>174</v>
      </c>
      <c r="B177" s="10" t="inlineStr">
        <is>
          <t xml:space="preserve">      "高柜联动拉篮",</t>
        </is>
      </c>
    </row>
    <row r="178">
      <c r="A178" s="7" t="n">
        <v>175</v>
      </c>
      <c r="B178" s="8" t="inlineStr">
        <is>
          <t xml:space="preserve">      "岛台水电改造",</t>
        </is>
      </c>
    </row>
    <row r="179">
      <c r="A179" s="9" t="n">
        <v>176</v>
      </c>
      <c r="B179" s="10" t="inlineStr">
        <is>
          <t xml:space="preserve">      "抽拉式碗碟架",</t>
        </is>
      </c>
    </row>
    <row r="180">
      <c r="A180" s="7" t="n">
        <v>177</v>
      </c>
      <c r="B180" s="8" t="inlineStr">
        <is>
          <t xml:space="preserve">      "按压式反弹器",</t>
        </is>
      </c>
    </row>
    <row r="181">
      <c r="A181" s="9" t="n">
        <v>178</v>
      </c>
      <c r="B181" s="10" t="inlineStr">
        <is>
          <t xml:space="preserve">      "岩板复合台面",</t>
        </is>
      </c>
    </row>
    <row r="182">
      <c r="A182" s="7" t="n">
        <v>179</v>
      </c>
      <c r="B182" s="8" t="inlineStr">
        <is>
          <t xml:space="preserve">      "隐形拉手设计",</t>
        </is>
      </c>
    </row>
    <row r="183">
      <c r="A183" s="9" t="n">
        <v>180</v>
      </c>
      <c r="B183" s="10" t="inlineStr">
        <is>
          <t xml:space="preserve">      "岛台实木包边",</t>
        </is>
      </c>
    </row>
    <row r="184">
      <c r="A184" s="7" t="n">
        <v>181</v>
      </c>
      <c r="B184" s="8" t="inlineStr">
        <is>
          <t xml:space="preserve">      "转角飞碟拉篮",</t>
        </is>
      </c>
    </row>
    <row r="185">
      <c r="A185" s="9" t="n">
        <v>182</v>
      </c>
      <c r="B185" s="10" t="inlineStr">
        <is>
          <t xml:space="preserve">      "隐藏式垃圾桶",</t>
        </is>
      </c>
    </row>
    <row r="186">
      <c r="A186" s="7" t="n">
        <v>183</v>
      </c>
      <c r="B186" s="8" t="inlineStr">
        <is>
          <t xml:space="preserve">      "枪灰色水龙头",</t>
        </is>
      </c>
    </row>
    <row r="187">
      <c r="A187" s="9" t="n">
        <v>184</v>
      </c>
      <c r="B187" s="10" t="inlineStr">
        <is>
          <t xml:space="preserve">      "抽拉式垃圾桶",</t>
        </is>
      </c>
    </row>
    <row r="188">
      <c r="A188" s="7" t="n">
        <v>185</v>
      </c>
      <c r="B188" s="8" t="inlineStr">
        <is>
          <t xml:space="preserve">      "明装轨道插座",</t>
        </is>
      </c>
    </row>
    <row r="189">
      <c r="A189" s="9" t="n">
        <v>186</v>
      </c>
      <c r="B189" s="10" t="inlineStr">
        <is>
          <t xml:space="preserve">      "双开单控开关",</t>
        </is>
      </c>
    </row>
    <row r="190">
      <c r="A190" s="7" t="n">
        <v>187</v>
      </c>
      <c r="B190" s="8" t="inlineStr">
        <is>
          <t xml:space="preserve">      "钢琴烤漆门板",</t>
        </is>
      </c>
    </row>
    <row r="191">
      <c r="A191" s="9" t="n">
        <v>188</v>
      </c>
      <c r="B191" s="10" t="inlineStr">
        <is>
          <t xml:space="preserve">      "嵌入式洗碗机",</t>
        </is>
      </c>
    </row>
    <row r="192">
      <c r="A192" s="7" t="n">
        <v>189</v>
      </c>
      <c r="B192" s="8" t="inlineStr">
        <is>
          <t xml:space="preserve">      "岛台玻璃柜灯",</t>
        </is>
      </c>
    </row>
    <row r="193">
      <c r="A193" s="9" t="n">
        <v>190</v>
      </c>
      <c r="B193" s="10" t="inlineStr">
        <is>
          <t xml:space="preserve">      "钢架结构岛台",</t>
        </is>
      </c>
    </row>
    <row r="194">
      <c r="A194" s="7" t="n">
        <v>191</v>
      </c>
      <c r="B194" s="8" t="inlineStr">
        <is>
          <t xml:space="preserve">      "定制岛台制作",</t>
        </is>
      </c>
    </row>
    <row r="195">
      <c r="A195" s="9" t="n">
        <v>192</v>
      </c>
      <c r="B195" s="10" t="inlineStr">
        <is>
          <t xml:space="preserve">      "岛台承重加固",</t>
        </is>
      </c>
    </row>
    <row r="196">
      <c r="A196" s="7" t="n">
        <v>193</v>
      </c>
      <c r="B196" s="8" t="inlineStr">
        <is>
          <t xml:space="preserve">      "岛台旋转拉篮",</t>
        </is>
      </c>
    </row>
    <row r="197">
      <c r="A197" s="9" t="n">
        <v>194</v>
      </c>
      <c r="B197" s="10" t="inlineStr">
        <is>
          <t xml:space="preserve">      "半开放式厨房",</t>
        </is>
      </c>
    </row>
    <row r="198">
      <c r="A198" s="7" t="n">
        <v>195</v>
      </c>
      <c r="B198" s="8" t="inlineStr">
        <is>
          <t xml:space="preserve">      "嵌入式消毒柜",</t>
        </is>
      </c>
    </row>
    <row r="199">
      <c r="A199" s="9" t="n">
        <v>196</v>
      </c>
      <c r="B199" s="10" t="inlineStr">
        <is>
          <t xml:space="preserve">      "岛台岩板包边",</t>
        </is>
      </c>
    </row>
    <row r="200">
      <c r="A200" s="7" t="n">
        <v>197</v>
      </c>
      <c r="B200" s="8" t="inlineStr">
        <is>
          <t xml:space="preserve">      "嵌入式茶吧机",</t>
        </is>
      </c>
    </row>
    <row r="201">
      <c r="A201" s="9" t="n">
        <v>198</v>
      </c>
      <c r="B201" s="10" t="inlineStr">
        <is>
          <t xml:space="preserve">      "岛台踢脚线灯",</t>
        </is>
      </c>
    </row>
    <row r="202">
      <c r="A202" s="7" t="n">
        <v>199</v>
      </c>
      <c r="B202" s="8" t="inlineStr">
        <is>
          <t xml:space="preserve">      "大理石纹岩板",</t>
        </is>
      </c>
    </row>
    <row r="203">
      <c r="A203" s="9" t="n">
        <v>200</v>
      </c>
      <c r="B203" s="10" t="inlineStr">
        <is>
          <t xml:space="preserve">      "嵌入式纯水机",</t>
        </is>
      </c>
    </row>
    <row r="204">
      <c r="A204" s="7" t="n">
        <v>201</v>
      </c>
      <c r="B204" s="8" t="inlineStr">
        <is>
          <t xml:space="preserve">      "汽车烤漆门板",</t>
        </is>
      </c>
    </row>
    <row r="205">
      <c r="A205" s="9" t="n">
        <v>202</v>
      </c>
      <c r="B205" s="10" t="inlineStr">
        <is>
          <t xml:space="preserve">      "三开单控开关",</t>
        </is>
      </c>
    </row>
    <row r="206">
      <c r="A206" s="7" t="n">
        <v>203</v>
      </c>
      <c r="B206" s="8" t="inlineStr">
        <is>
          <t xml:space="preserve">      "抽屉缝隙过大",</t>
        </is>
      </c>
    </row>
    <row r="207">
      <c r="A207" s="9" t="n">
        <v>204</v>
      </c>
      <c r="B207" s="10" t="inlineStr">
        <is>
          <t xml:space="preserve">      "嵌入式软水机",</t>
        </is>
      </c>
    </row>
    <row r="208">
      <c r="A208" s="7" t="n">
        <v>205</v>
      </c>
      <c r="B208" s="8" t="inlineStr">
        <is>
          <t xml:space="preserve">      "单开双控开关",</t>
        </is>
      </c>
    </row>
    <row r="209">
      <c r="A209" s="9" t="n">
        <v>206</v>
      </c>
      <c r="B209" s="10" t="inlineStr">
        <is>
          <t xml:space="preserve">      "实木拼接台面",</t>
        </is>
      </c>
    </row>
    <row r="210">
      <c r="A210" s="7" t="n">
        <v>207</v>
      </c>
      <c r="B210" s="8" t="inlineStr">
        <is>
          <t xml:space="preserve">      "嵌入式微波炉",</t>
        </is>
      </c>
    </row>
    <row r="211">
      <c r="A211" s="9" t="n">
        <v>208</v>
      </c>
      <c r="B211" s="10" t="inlineStr">
        <is>
          <t xml:space="preserve">      "吊柜升降拉篮",</t>
        </is>
      </c>
    </row>
    <row r="212">
      <c r="A212" s="7" t="n">
        <v>209</v>
      </c>
      <c r="B212" s="8" t="inlineStr">
        <is>
          <t xml:space="preserve">      "嵌入式咖啡机",</t>
        </is>
      </c>
    </row>
    <row r="213">
      <c r="A213" s="9" t="n">
        <v>210</v>
      </c>
      <c r="B213" s="10" t="inlineStr">
        <is>
          <t xml:space="preserve">      "暗装轨道插座",</t>
        </is>
      </c>
    </row>
    <row r="214">
      <c r="A214" s="7" t="n">
        <v>211</v>
      </c>
      <c r="B214" s="8" t="inlineStr">
        <is>
          <t xml:space="preserve">      "岛台延伸吧台",</t>
        </is>
      </c>
    </row>
    <row r="215">
      <c r="A215" s="9" t="n">
        <v>212</v>
      </c>
      <c r="B215" s="10" t="inlineStr">
        <is>
          <t xml:space="preserve">      "嵌入式电磁炉",</t>
        </is>
      </c>
    </row>
    <row r="216">
      <c r="A216" s="7" t="n">
        <v>213</v>
      </c>
      <c r="B216" s="8" t="inlineStr">
        <is>
          <t xml:space="preserve">      "岛台前挡水条",</t>
        </is>
      </c>
    </row>
    <row r="217">
      <c r="A217" s="9" t="n">
        <v>214</v>
      </c>
      <c r="B217" s="10" t="inlineStr">
        <is>
          <t xml:space="preserve">      "十字型岛台",</t>
        </is>
      </c>
    </row>
    <row r="218">
      <c r="A218" s="7" t="n">
        <v>215</v>
      </c>
      <c r="B218" s="8" t="inlineStr">
        <is>
          <t xml:space="preserve">      "日式原木风",</t>
        </is>
      </c>
    </row>
    <row r="219">
      <c r="A219" s="9" t="n">
        <v>216</v>
      </c>
      <c r="B219" s="10" t="inlineStr">
        <is>
          <t xml:space="preserve">      "岛台加湿器",</t>
        </is>
      </c>
    </row>
    <row r="220">
      <c r="A220" s="7" t="n">
        <v>217</v>
      </c>
      <c r="B220" s="8" t="inlineStr">
        <is>
          <t xml:space="preserve">      "金色水龙头",</t>
        </is>
      </c>
    </row>
    <row r="221">
      <c r="A221" s="9" t="n">
        <v>218</v>
      </c>
      <c r="B221" s="10" t="inlineStr">
        <is>
          <t xml:space="preserve">      "PUR封边",</t>
        </is>
      </c>
    </row>
    <row r="222">
      <c r="A222" s="7" t="n">
        <v>219</v>
      </c>
      <c r="B222" s="8" t="inlineStr">
        <is>
          <t xml:space="preserve">      "岛台调料架",</t>
        </is>
      </c>
    </row>
    <row r="223">
      <c r="A223" s="9" t="n">
        <v>220</v>
      </c>
      <c r="B223" s="10" t="inlineStr">
        <is>
          <t xml:space="preserve">      "USB插座",</t>
        </is>
      </c>
    </row>
    <row r="224">
      <c r="A224" s="7" t="n">
        <v>221</v>
      </c>
      <c r="B224" s="8" t="inlineStr">
        <is>
          <t xml:space="preserve">      "岛台垃圾桶",</t>
        </is>
      </c>
    </row>
    <row r="225">
      <c r="A225" s="9" t="n">
        <v>222</v>
      </c>
      <c r="B225" s="10" t="inlineStr">
        <is>
          <t xml:space="preserve">      "随意停气撑",</t>
        </is>
      </c>
    </row>
    <row r="226">
      <c r="A226" s="7" t="n">
        <v>223</v>
      </c>
      <c r="B226" s="8" t="inlineStr">
        <is>
          <t xml:space="preserve">      "自然共生风",</t>
        </is>
      </c>
    </row>
    <row r="227">
      <c r="A227" s="9" t="n">
        <v>224</v>
      </c>
      <c r="B227" s="10" t="inlineStr">
        <is>
          <t xml:space="preserve">      "定向刨花板",</t>
        </is>
      </c>
    </row>
    <row r="228">
      <c r="A228" s="7" t="n">
        <v>225</v>
      </c>
      <c r="B228" s="8" t="inlineStr">
        <is>
          <t xml:space="preserve">      "不锈钢五金",</t>
        </is>
      </c>
    </row>
    <row r="229">
      <c r="A229" s="9" t="n">
        <v>226</v>
      </c>
      <c r="B229" s="10" t="inlineStr">
        <is>
          <t xml:space="preserve">      "白蜡木深棕",</t>
        </is>
      </c>
    </row>
    <row r="230">
      <c r="A230" s="7" t="n">
        <v>227</v>
      </c>
      <c r="B230" s="8" t="inlineStr">
        <is>
          <t xml:space="preserve">      "垃圾处理器",</t>
        </is>
      </c>
    </row>
    <row r="231">
      <c r="A231" s="9" t="n">
        <v>228</v>
      </c>
      <c r="B231" s="10" t="inlineStr">
        <is>
          <t xml:space="preserve">      "实木拼接板",</t>
        </is>
      </c>
    </row>
    <row r="232">
      <c r="A232" s="7" t="n">
        <v>229</v>
      </c>
      <c r="B232" s="8" t="inlineStr">
        <is>
          <t xml:space="preserve">      "45度拼接",</t>
        </is>
      </c>
    </row>
    <row r="233">
      <c r="A233" s="9" t="n">
        <v>230</v>
      </c>
      <c r="B233" s="10" t="inlineStr">
        <is>
          <t xml:space="preserve">      "AI食谱岛台",</t>
        </is>
      </c>
    </row>
    <row r="234">
      <c r="A234" s="7" t="n">
        <v>231</v>
      </c>
      <c r="B234" s="8" t="inlineStr">
        <is>
          <t xml:space="preserve">      "EVA封边",</t>
        </is>
      </c>
    </row>
    <row r="235">
      <c r="A235" s="9" t="n">
        <v>232</v>
      </c>
      <c r="B235" s="10" t="inlineStr">
        <is>
          <t xml:space="preserve">      "L型厨房",</t>
        </is>
      </c>
    </row>
    <row r="236">
      <c r="A236" s="7" t="n">
        <v>233</v>
      </c>
      <c r="B236" s="8" t="inlineStr">
        <is>
          <t xml:space="preserve">      "PET门板",</t>
        </is>
      </c>
    </row>
    <row r="237">
      <c r="A237" s="9" t="n">
        <v>234</v>
      </c>
      <c r="B237" s="10" t="inlineStr">
        <is>
          <t xml:space="preserve">      "PVC门板",</t>
        </is>
      </c>
    </row>
    <row r="238">
      <c r="A238" s="7" t="n">
        <v>235</v>
      </c>
      <c r="B238" s="8" t="inlineStr">
        <is>
          <t xml:space="preserve">      "T型岛台",</t>
        </is>
      </c>
    </row>
    <row r="239">
      <c r="A239" s="9" t="n">
        <v>236</v>
      </c>
      <c r="B239" s="10" t="inlineStr">
        <is>
          <t xml:space="preserve">      "U型厨房",</t>
        </is>
      </c>
    </row>
    <row r="240">
      <c r="A240" s="7" t="n">
        <v>237</v>
      </c>
      <c r="B240" s="8" t="inlineStr">
        <is>
          <t xml:space="preserve">      "一体化设计",</t>
        </is>
      </c>
    </row>
    <row r="241">
      <c r="A241" s="9" t="n">
        <v>238</v>
      </c>
      <c r="B241" s="10" t="inlineStr">
        <is>
          <t xml:space="preserve">      "一体岛台",</t>
        </is>
      </c>
    </row>
    <row r="242">
      <c r="A242" s="7" t="n">
        <v>239</v>
      </c>
      <c r="B242" s="8" t="inlineStr">
        <is>
          <t xml:space="preserve">      "一体式设计",</t>
        </is>
      </c>
    </row>
    <row r="243">
      <c r="A243" s="9" t="n">
        <v>240</v>
      </c>
      <c r="B243" s="10" t="inlineStr">
        <is>
          <t xml:space="preserve">      "一体盆",</t>
        </is>
      </c>
    </row>
    <row r="244">
      <c r="A244" s="7" t="n">
        <v>241</v>
      </c>
      <c r="B244" s="8" t="inlineStr">
        <is>
          <t xml:space="preserve">      "一字型厨房",</t>
        </is>
      </c>
    </row>
    <row r="245">
      <c r="A245" s="9" t="n">
        <v>242</v>
      </c>
      <c r="B245" s="10" t="inlineStr">
        <is>
          <t xml:space="preserve">      "一字拉手",</t>
        </is>
      </c>
    </row>
    <row r="246">
      <c r="A246" s="7" t="n">
        <v>243</v>
      </c>
      <c r="B246" s="8" t="inlineStr">
        <is>
          <t xml:space="preserve">      "一门到顶",</t>
        </is>
      </c>
    </row>
    <row r="247">
      <c r="A247" s="9" t="n">
        <v>244</v>
      </c>
      <c r="B247" s="10" t="inlineStr">
        <is>
          <t xml:space="preserve">      "七孔插座",</t>
        </is>
      </c>
    </row>
    <row r="248">
      <c r="A248" s="7" t="n">
        <v>245</v>
      </c>
      <c r="B248" s="8" t="inlineStr">
        <is>
          <t xml:space="preserve">      "万和",</t>
        </is>
      </c>
    </row>
    <row r="249">
      <c r="A249" s="9" t="n">
        <v>246</v>
      </c>
      <c r="B249" s="10" t="inlineStr">
        <is>
          <t xml:space="preserve">      "万家乐",</t>
        </is>
      </c>
    </row>
    <row r="250">
      <c r="A250" s="7" t="n">
        <v>247</v>
      </c>
      <c r="B250" s="8" t="inlineStr">
        <is>
          <t xml:space="preserve">      "三开开关",</t>
        </is>
      </c>
    </row>
    <row r="251">
      <c r="A251" s="9" t="n">
        <v>248</v>
      </c>
      <c r="B251" s="10" t="inlineStr">
        <is>
          <t xml:space="preserve">      "三星",</t>
        </is>
      </c>
    </row>
    <row r="252">
      <c r="A252" s="7" t="n">
        <v>249</v>
      </c>
      <c r="B252" s="8" t="inlineStr">
        <is>
          <t xml:space="preserve">      "三聚氰胺板",</t>
        </is>
      </c>
    </row>
    <row r="253">
      <c r="A253" s="9" t="n">
        <v>250</v>
      </c>
      <c r="B253" s="10" t="inlineStr">
        <is>
          <t xml:space="preserve">      "三节轨",</t>
        </is>
      </c>
    </row>
    <row r="254">
      <c r="A254" s="7" t="n">
        <v>251</v>
      </c>
      <c r="B254" s="8" t="inlineStr">
        <is>
          <t xml:space="preserve">      "三角阀",</t>
        </is>
      </c>
    </row>
    <row r="255">
      <c r="A255" s="9" t="n">
        <v>252</v>
      </c>
      <c r="B255" s="10" t="inlineStr">
        <is>
          <t xml:space="preserve">      "上门费",</t>
        </is>
      </c>
    </row>
    <row r="256">
      <c r="A256" s="7" t="n">
        <v>253</v>
      </c>
      <c r="B256" s="8" t="inlineStr">
        <is>
          <t xml:space="preserve">      "下水器",</t>
        </is>
      </c>
    </row>
    <row r="257">
      <c r="A257" s="9" t="n">
        <v>254</v>
      </c>
      <c r="B257" s="10" t="inlineStr">
        <is>
          <t xml:space="preserve">      "下水堵塞",</t>
        </is>
      </c>
    </row>
    <row r="258">
      <c r="A258" s="7" t="n">
        <v>255</v>
      </c>
      <c r="B258" s="8" t="inlineStr">
        <is>
          <t xml:space="preserve">      "下水点位",</t>
        </is>
      </c>
    </row>
    <row r="259">
      <c r="A259" s="9" t="n">
        <v>256</v>
      </c>
      <c r="B259" s="10" t="inlineStr">
        <is>
          <t xml:space="preserve">      "下水管",</t>
        </is>
      </c>
    </row>
    <row r="260">
      <c r="A260" s="7" t="n">
        <v>257</v>
      </c>
      <c r="B260" s="8" t="inlineStr">
        <is>
          <t xml:space="preserve">      "不锈钢",</t>
        </is>
      </c>
    </row>
    <row r="261">
      <c r="A261" s="9" t="n">
        <v>258</v>
      </c>
      <c r="B261" s="10" t="inlineStr">
        <is>
          <t xml:space="preserve">      "不锈钢台面",</t>
        </is>
      </c>
    </row>
    <row r="262">
      <c r="A262" s="7" t="n">
        <v>259</v>
      </c>
      <c r="B262" s="8" t="inlineStr">
        <is>
          <t xml:space="preserve">      "不锈钢柜体",</t>
        </is>
      </c>
    </row>
    <row r="263">
      <c r="A263" s="9" t="n">
        <v>260</v>
      </c>
      <c r="B263" s="10" t="inlineStr">
        <is>
          <t xml:space="preserve">      "不锈钢水槽",</t>
        </is>
      </c>
    </row>
    <row r="264">
      <c r="A264" s="7" t="n">
        <v>261</v>
      </c>
      <c r="B264" s="8" t="inlineStr">
        <is>
          <t xml:space="preserve">      "东泰DTC",</t>
        </is>
      </c>
    </row>
    <row r="265">
      <c r="A265" s="9" t="n">
        <v>262</v>
      </c>
      <c r="B265" s="10" t="inlineStr">
        <is>
          <t xml:space="preserve">      "东芝",</t>
        </is>
      </c>
    </row>
    <row r="266">
      <c r="A266" s="7" t="n">
        <v>263</v>
      </c>
      <c r="B266" s="8" t="inlineStr">
        <is>
          <t xml:space="preserve">      "东鹏",</t>
        </is>
      </c>
    </row>
    <row r="267">
      <c r="A267" s="9" t="n">
        <v>264</v>
      </c>
      <c r="B267" s="10" t="inlineStr">
        <is>
          <t xml:space="preserve">      "中厨岛台",</t>
        </is>
      </c>
    </row>
    <row r="268">
      <c r="A268" s="7" t="n">
        <v>265</v>
      </c>
      <c r="B268" s="8" t="inlineStr">
        <is>
          <t xml:space="preserve">      "中古风",</t>
        </is>
      </c>
    </row>
    <row r="269">
      <c r="A269" s="9" t="n">
        <v>266</v>
      </c>
      <c r="B269" s="10" t="inlineStr">
        <is>
          <t xml:space="preserve">      "中岛厨房",</t>
        </is>
      </c>
    </row>
    <row r="270">
      <c r="A270" s="7" t="n">
        <v>267</v>
      </c>
      <c r="B270" s="8" t="inlineStr">
        <is>
          <t xml:space="preserve">      "中灰色岩板",</t>
        </is>
      </c>
    </row>
    <row r="271">
      <c r="A271" s="9" t="n">
        <v>268</v>
      </c>
      <c r="B271" s="10" t="inlineStr">
        <is>
          <t xml:space="preserve">      "中花白",</t>
        </is>
      </c>
    </row>
    <row r="272">
      <c r="A272" s="7" t="n">
        <v>269</v>
      </c>
      <c r="B272" s="8" t="inlineStr">
        <is>
          <t xml:space="preserve">      "丹峡赤霞",</t>
        </is>
      </c>
    </row>
    <row r="273">
      <c r="A273" s="9" t="n">
        <v>270</v>
      </c>
      <c r="B273" s="10" t="inlineStr">
        <is>
          <t xml:space="preserve">      "主材",</t>
        </is>
      </c>
    </row>
    <row r="274">
      <c r="A274" s="7" t="n">
        <v>271</v>
      </c>
      <c r="B274" s="8" t="inlineStr">
        <is>
          <t xml:space="preserve">      "云朵拉灰",</t>
        </is>
      </c>
    </row>
    <row r="275">
      <c r="A275" s="9" t="n">
        <v>272</v>
      </c>
      <c r="B275" s="10" t="inlineStr">
        <is>
          <t xml:space="preserve">      "云涧藏青",</t>
        </is>
      </c>
    </row>
    <row r="276">
      <c r="A276" s="7" t="n">
        <v>273</v>
      </c>
      <c r="B276" s="8" t="inlineStr">
        <is>
          <t xml:space="preserve">      "云纱白",</t>
        </is>
      </c>
    </row>
    <row r="277">
      <c r="A277" s="9" t="n">
        <v>274</v>
      </c>
      <c r="B277" s="10" t="inlineStr">
        <is>
          <t xml:space="preserve">      "五孔插座",</t>
        </is>
      </c>
    </row>
    <row r="278">
      <c r="A278" s="7" t="n">
        <v>275</v>
      </c>
      <c r="B278" s="8" t="inlineStr">
        <is>
          <t xml:space="preserve">      "五金件",</t>
        </is>
      </c>
    </row>
    <row r="279">
      <c r="A279" s="9" t="n">
        <v>276</v>
      </c>
      <c r="B279" s="10" t="inlineStr">
        <is>
          <t xml:space="preserve">      "五金安装",</t>
        </is>
      </c>
    </row>
    <row r="280">
      <c r="A280" s="7" t="n">
        <v>277</v>
      </c>
      <c r="B280" s="8" t="inlineStr">
        <is>
          <t xml:space="preserve">      "五金断裂",</t>
        </is>
      </c>
    </row>
    <row r="281">
      <c r="A281" s="9" t="n">
        <v>278</v>
      </c>
      <c r="B281" s="10" t="inlineStr">
        <is>
          <t xml:space="preserve">      "五金松动",</t>
        </is>
      </c>
    </row>
    <row r="282">
      <c r="A282" s="7" t="n">
        <v>279</v>
      </c>
      <c r="B282" s="8" t="inlineStr">
        <is>
          <t xml:space="preserve">      "五金生锈",</t>
        </is>
      </c>
    </row>
    <row r="283">
      <c r="A283" s="9" t="n">
        <v>280</v>
      </c>
      <c r="B283" s="10" t="inlineStr">
        <is>
          <t xml:space="preserve">      "亚克力",</t>
        </is>
      </c>
    </row>
    <row r="284">
      <c r="A284" s="7" t="n">
        <v>281</v>
      </c>
      <c r="B284" s="8" t="inlineStr">
        <is>
          <t xml:space="preserve">      "亮光岩板",</t>
        </is>
      </c>
    </row>
    <row r="285">
      <c r="A285" s="9" t="n">
        <v>282</v>
      </c>
      <c r="B285" s="10" t="inlineStr">
        <is>
          <t xml:space="preserve">      "亮面石材",</t>
        </is>
      </c>
    </row>
    <row r="286">
      <c r="A286" s="7" t="n">
        <v>283</v>
      </c>
      <c r="B286" s="8" t="inlineStr">
        <is>
          <t xml:space="preserve">      "人性化设计",</t>
        </is>
      </c>
    </row>
    <row r="287">
      <c r="A287" s="9" t="n">
        <v>284</v>
      </c>
      <c r="B287" s="10" t="inlineStr">
        <is>
          <t xml:space="preserve">      "人造奢石",</t>
        </is>
      </c>
    </row>
    <row r="288">
      <c r="A288" s="7" t="n">
        <v>285</v>
      </c>
      <c r="B288" s="8" t="inlineStr">
        <is>
          <t xml:space="preserve">      "人造洞石",</t>
        </is>
      </c>
    </row>
    <row r="289">
      <c r="A289" s="9" t="n">
        <v>286</v>
      </c>
      <c r="B289" s="10" t="inlineStr">
        <is>
          <t xml:space="preserve">      "人造石",</t>
        </is>
      </c>
    </row>
    <row r="290">
      <c r="A290" s="7" t="n">
        <v>287</v>
      </c>
      <c r="B290" s="8" t="inlineStr">
        <is>
          <t xml:space="preserve">      "伸缩岛台",</t>
        </is>
      </c>
    </row>
    <row r="291">
      <c r="A291" s="9" t="n">
        <v>288</v>
      </c>
      <c r="B291" s="10" t="inlineStr">
        <is>
          <t xml:space="preserve">      "侘寂奶油风",</t>
        </is>
      </c>
    </row>
    <row r="292">
      <c r="A292" s="7" t="n">
        <v>289</v>
      </c>
      <c r="B292" s="8" t="inlineStr">
        <is>
          <t xml:space="preserve">      "侘寂工业风",</t>
        </is>
      </c>
    </row>
    <row r="293">
      <c r="A293" s="9" t="n">
        <v>290</v>
      </c>
      <c r="B293" s="10" t="inlineStr">
        <is>
          <t xml:space="preserve">      "侘寂风",</t>
        </is>
      </c>
    </row>
    <row r="294">
      <c r="A294" s="7" t="n">
        <v>291</v>
      </c>
      <c r="B294" s="8" t="inlineStr">
        <is>
          <t xml:space="preserve">      "依诺",</t>
        </is>
      </c>
    </row>
    <row r="295">
      <c r="A295" s="9" t="n">
        <v>292</v>
      </c>
      <c r="B295" s="10" t="inlineStr">
        <is>
          <t xml:space="preserve">      "保温壶",</t>
        </is>
      </c>
    </row>
    <row r="296">
      <c r="A296" s="7" t="n">
        <v>293</v>
      </c>
      <c r="B296" s="8" t="inlineStr">
        <is>
          <t xml:space="preserve">      "保温抽屉",</t>
        </is>
      </c>
    </row>
    <row r="297">
      <c r="A297" s="9" t="n">
        <v>294</v>
      </c>
      <c r="B297" s="10" t="inlineStr">
        <is>
          <t xml:space="preserve">      "倒台",</t>
        </is>
      </c>
    </row>
    <row r="298">
      <c r="A298" s="7" t="n">
        <v>295</v>
      </c>
      <c r="B298" s="8" t="inlineStr">
        <is>
          <t xml:space="preserve">      "倒角处理",</t>
        </is>
      </c>
    </row>
    <row r="299">
      <c r="A299" s="9" t="n">
        <v>296</v>
      </c>
      <c r="B299" s="10" t="inlineStr">
        <is>
          <t xml:space="preserve">      "储物柜",</t>
        </is>
      </c>
    </row>
    <row r="300">
      <c r="A300" s="7" t="n">
        <v>297</v>
      </c>
      <c r="B300" s="8" t="inlineStr">
        <is>
          <t xml:space="preserve">      "储物箱",</t>
        </is>
      </c>
    </row>
    <row r="301">
      <c r="A301" s="9" t="n">
        <v>298</v>
      </c>
      <c r="B301" s="10" t="inlineStr">
        <is>
          <t xml:space="preserve">      "免拉手工艺",</t>
        </is>
      </c>
    </row>
    <row r="302">
      <c r="A302" s="7" t="n">
        <v>299</v>
      </c>
      <c r="B302" s="8" t="inlineStr">
        <is>
          <t xml:space="preserve">      "免漆板",</t>
        </is>
      </c>
    </row>
    <row r="303">
      <c r="A303" s="9" t="n">
        <v>300</v>
      </c>
      <c r="B303" s="10" t="inlineStr">
        <is>
          <t xml:space="preserve">      "全友家居",</t>
        </is>
      </c>
    </row>
    <row r="304">
      <c r="A304" s="7" t="n">
        <v>301</v>
      </c>
      <c r="B304" s="8" t="inlineStr">
        <is>
          <t xml:space="preserve">      "全屋定制",</t>
        </is>
      </c>
    </row>
    <row r="305">
      <c r="A305" s="9" t="n">
        <v>302</v>
      </c>
      <c r="B305" s="10" t="inlineStr">
        <is>
          <t xml:space="preserve">      "全屋定制安装",</t>
        </is>
      </c>
    </row>
    <row r="306">
      <c r="A306" s="7" t="n">
        <v>303</v>
      </c>
      <c r="B306" s="8" t="inlineStr">
        <is>
          <t xml:space="preserve">      "养生壶",</t>
        </is>
      </c>
    </row>
    <row r="307">
      <c r="A307" s="9" t="n">
        <v>304</v>
      </c>
      <c r="B307" s="10" t="inlineStr">
        <is>
          <t xml:space="preserve">      "内嵌式设计",</t>
        </is>
      </c>
    </row>
    <row r="308">
      <c r="A308" s="7" t="n">
        <v>305</v>
      </c>
      <c r="B308" s="8" t="inlineStr">
        <is>
          <t xml:space="preserve">      "内嵌拉手",</t>
        </is>
      </c>
    </row>
    <row r="309">
      <c r="A309" s="9" t="n">
        <v>306</v>
      </c>
      <c r="B309" s="10" t="inlineStr">
        <is>
          <t xml:space="preserve">      "内嵌烤箱",</t>
        </is>
      </c>
    </row>
    <row r="310">
      <c r="A310" s="7" t="n">
        <v>307</v>
      </c>
      <c r="B310" s="8" t="inlineStr">
        <is>
          <t xml:space="preserve">      "内置电子秤岛台",</t>
        </is>
      </c>
    </row>
    <row r="311">
      <c r="A311" s="9" t="n">
        <v>308</v>
      </c>
      <c r="B311" s="10" t="inlineStr">
        <is>
          <t xml:space="preserve">      "冠珠",</t>
        </is>
      </c>
    </row>
    <row r="312">
      <c r="A312" s="7" t="n">
        <v>309</v>
      </c>
      <c r="B312" s="8" t="inlineStr">
        <is>
          <t xml:space="preserve">      "冰岛白",</t>
        </is>
      </c>
    </row>
    <row r="313">
      <c r="A313" s="9" t="n">
        <v>310</v>
      </c>
      <c r="B313" s="10" t="inlineStr">
        <is>
          <t xml:space="preserve">      "冰川白",</t>
        </is>
      </c>
    </row>
    <row r="314">
      <c r="A314" s="7" t="n">
        <v>311</v>
      </c>
      <c r="B314" s="8" t="inlineStr">
        <is>
          <t xml:space="preserve">      "冰晶琥珀",</t>
        </is>
      </c>
    </row>
    <row r="315">
      <c r="A315" s="9" t="n">
        <v>312</v>
      </c>
      <c r="B315" s="10" t="inlineStr">
        <is>
          <t xml:space="preserve">      "冰柜",</t>
        </is>
      </c>
    </row>
    <row r="316">
      <c r="A316" s="7" t="n">
        <v>313</v>
      </c>
      <c r="B316" s="8" t="inlineStr">
        <is>
          <t xml:space="preserve">      "冰箱",</t>
        </is>
      </c>
    </row>
    <row r="317">
      <c r="A317" s="9" t="n">
        <v>314</v>
      </c>
      <c r="B317" s="10" t="inlineStr">
        <is>
          <t xml:space="preserve">      "冷热水龙头",</t>
        </is>
      </c>
    </row>
    <row r="318">
      <c r="A318" s="7" t="n">
        <v>315</v>
      </c>
      <c r="B318" s="8" t="inlineStr">
        <is>
          <t xml:space="preserve">      "净水器",</t>
        </is>
      </c>
    </row>
    <row r="319">
      <c r="A319" s="9" t="n">
        <v>316</v>
      </c>
      <c r="B319" s="10" t="inlineStr">
        <is>
          <t xml:space="preserve">      "出水管",</t>
        </is>
      </c>
    </row>
    <row r="320">
      <c r="A320" s="7" t="n">
        <v>317</v>
      </c>
      <c r="B320" s="8" t="inlineStr">
        <is>
          <t xml:space="preserve">      "刀具拉篮",</t>
        </is>
      </c>
    </row>
    <row r="321">
      <c r="A321" s="9" t="n">
        <v>318</v>
      </c>
      <c r="B321" s="10" t="inlineStr">
        <is>
          <t xml:space="preserve">      "前后平移岛台",</t>
        </is>
      </c>
    </row>
    <row r="322">
      <c r="A322" s="7" t="n">
        <v>319</v>
      </c>
      <c r="B322" s="8" t="inlineStr">
        <is>
          <t xml:space="preserve">      "功能分区",</t>
        </is>
      </c>
    </row>
    <row r="323">
      <c r="A323" s="9" t="n">
        <v>320</v>
      </c>
      <c r="B323" s="10" t="inlineStr">
        <is>
          <t xml:space="preserve">      "加工费",</t>
        </is>
      </c>
    </row>
    <row r="324">
      <c r="A324" s="7" t="n">
        <v>321</v>
      </c>
      <c r="B324" s="8" t="inlineStr">
        <is>
          <t xml:space="preserve">      "动线设计",</t>
        </is>
      </c>
    </row>
    <row r="325">
      <c r="A325" s="9" t="n">
        <v>322</v>
      </c>
      <c r="B325" s="10" t="inlineStr">
        <is>
          <t xml:space="preserve">      "劳伦黑金",</t>
        </is>
      </c>
    </row>
    <row r="326">
      <c r="A326" s="7" t="n">
        <v>323</v>
      </c>
      <c r="B326" s="8" t="inlineStr">
        <is>
          <t xml:space="preserve">      "劳力士绿",</t>
        </is>
      </c>
    </row>
    <row r="327">
      <c r="A327" s="9" t="n">
        <v>324</v>
      </c>
      <c r="B327" s="10" t="inlineStr">
        <is>
          <t xml:space="preserve">      "北极白",</t>
        </is>
      </c>
    </row>
    <row r="328">
      <c r="A328" s="7" t="n">
        <v>325</v>
      </c>
      <c r="B328" s="8" t="inlineStr">
        <is>
          <t xml:space="preserve">      "北欧原木",</t>
        </is>
      </c>
    </row>
    <row r="329">
      <c r="A329" s="9" t="n">
        <v>326</v>
      </c>
      <c r="B329" s="10" t="inlineStr">
        <is>
          <t xml:space="preserve">      "北欧极简",</t>
        </is>
      </c>
    </row>
    <row r="330">
      <c r="A330" s="7" t="n">
        <v>327</v>
      </c>
      <c r="B330" s="8" t="inlineStr">
        <is>
          <t xml:space="preserve">      "北欧风格",</t>
        </is>
      </c>
    </row>
    <row r="331">
      <c r="A331" s="9" t="n">
        <v>328</v>
      </c>
      <c r="B331" s="10" t="inlineStr">
        <is>
          <t xml:space="preserve">      "千山粉",</t>
        </is>
      </c>
    </row>
    <row r="332">
      <c r="A332" s="7" t="n">
        <v>329</v>
      </c>
      <c r="B332" s="8" t="inlineStr">
        <is>
          <t xml:space="preserve">      "升降岛台",</t>
        </is>
      </c>
    </row>
    <row r="333">
      <c r="A333" s="9" t="n">
        <v>330</v>
      </c>
      <c r="B333" s="10" t="inlineStr">
        <is>
          <t xml:space="preserve">      "升降拉篮",</t>
        </is>
      </c>
    </row>
    <row r="334">
      <c r="A334" s="7" t="n">
        <v>331</v>
      </c>
      <c r="B334" s="8" t="inlineStr">
        <is>
          <t xml:space="preserve">      "升降插座",</t>
        </is>
      </c>
    </row>
    <row r="335">
      <c r="A335" s="9" t="n">
        <v>332</v>
      </c>
      <c r="B335" s="10" t="inlineStr">
        <is>
          <t xml:space="preserve">      "升降龙头岛台",</t>
        </is>
      </c>
    </row>
    <row r="336">
      <c r="A336" s="7" t="n">
        <v>333</v>
      </c>
      <c r="B336" s="8" t="inlineStr">
        <is>
          <t xml:space="preserve">      "半岛厨房",</t>
        </is>
      </c>
    </row>
    <row r="337">
      <c r="A337" s="9" t="n">
        <v>334</v>
      </c>
      <c r="B337" s="10" t="inlineStr">
        <is>
          <t xml:space="preserve">      "半岛台",</t>
        </is>
      </c>
    </row>
    <row r="338">
      <c r="A338" s="7" t="n">
        <v>335</v>
      </c>
      <c r="B338" s="8" t="inlineStr">
        <is>
          <t xml:space="preserve">      "华帝",</t>
        </is>
      </c>
    </row>
    <row r="339">
      <c r="A339" s="9" t="n">
        <v>336</v>
      </c>
      <c r="B339" s="10" t="inlineStr">
        <is>
          <t xml:space="preserve">      "单冷水龙头",</t>
        </is>
      </c>
    </row>
    <row r="340">
      <c r="A340" s="7" t="n">
        <v>337</v>
      </c>
      <c r="B340" s="8" t="inlineStr">
        <is>
          <t xml:space="preserve">      "单开开关",</t>
        </is>
      </c>
    </row>
    <row r="341">
      <c r="A341" s="9" t="n">
        <v>338</v>
      </c>
      <c r="B341" s="10" t="inlineStr">
        <is>
          <t xml:space="preserve">      "单槽水槽",</t>
        </is>
      </c>
    </row>
    <row r="342">
      <c r="A342" s="7" t="n">
        <v>339</v>
      </c>
      <c r="B342" s="8" t="inlineStr">
        <is>
          <t xml:space="preserve">      "南洋风",</t>
        </is>
      </c>
    </row>
    <row r="343">
      <c r="A343" s="9" t="n">
        <v>340</v>
      </c>
      <c r="B343" s="10" t="inlineStr">
        <is>
          <t xml:space="preserve">      "博世",</t>
        </is>
      </c>
    </row>
    <row r="344">
      <c r="A344" s="7" t="n">
        <v>341</v>
      </c>
      <c r="B344" s="8" t="inlineStr">
        <is>
          <t xml:space="preserve">      "卡其色",</t>
        </is>
      </c>
    </row>
    <row r="345">
      <c r="A345" s="9" t="n">
        <v>342</v>
      </c>
      <c r="B345" s="10" t="inlineStr">
        <is>
          <t xml:space="preserve">      "卡地亚灰",</t>
        </is>
      </c>
    </row>
    <row r="346">
      <c r="A346" s="7" t="n">
        <v>343</v>
      </c>
      <c r="B346" s="8" t="inlineStr">
        <is>
          <t xml:space="preserve">      "卡地亚金",</t>
        </is>
      </c>
    </row>
    <row r="347">
      <c r="A347" s="9" t="n">
        <v>344</v>
      </c>
      <c r="B347" s="10" t="inlineStr">
        <is>
          <t xml:space="preserve">      "卡拉拉白",</t>
        </is>
      </c>
    </row>
    <row r="348">
      <c r="A348" s="7" t="n">
        <v>345</v>
      </c>
      <c r="B348" s="8" t="inlineStr">
        <is>
          <t xml:space="preserve">      "卡萨帝",</t>
        </is>
      </c>
    </row>
    <row r="349">
      <c r="A349" s="9" t="n">
        <v>346</v>
      </c>
      <c r="B349" s="10" t="inlineStr">
        <is>
          <t xml:space="preserve">      "原木奶油风",</t>
        </is>
      </c>
    </row>
    <row r="350">
      <c r="A350" s="7" t="n">
        <v>347</v>
      </c>
      <c r="B350" s="8" t="inlineStr">
        <is>
          <t xml:space="preserve">      "原木色",</t>
        </is>
      </c>
    </row>
    <row r="351">
      <c r="A351" s="9" t="n">
        <v>348</v>
      </c>
      <c r="B351" s="10" t="inlineStr">
        <is>
          <t xml:space="preserve">      "原木风",</t>
        </is>
      </c>
    </row>
    <row r="352">
      <c r="A352" s="7" t="n">
        <v>349</v>
      </c>
      <c r="B352" s="8" t="inlineStr">
        <is>
          <t xml:space="preserve">      "厨岛一体",</t>
        </is>
      </c>
    </row>
    <row r="353">
      <c r="A353" s="9" t="n">
        <v>350</v>
      </c>
      <c r="B353" s="10" t="inlineStr">
        <is>
          <t xml:space="preserve">      "厨房地漏",</t>
        </is>
      </c>
    </row>
    <row r="354">
      <c r="A354" s="7" t="n">
        <v>351</v>
      </c>
      <c r="B354" s="8" t="inlineStr">
        <is>
          <t xml:space="preserve">      "厨房岛台",</t>
        </is>
      </c>
    </row>
    <row r="355">
      <c r="A355" s="9" t="n">
        <v>352</v>
      </c>
      <c r="B355" s="10" t="inlineStr">
        <is>
          <t xml:space="preserve">      "厨房拉篮",</t>
        </is>
      </c>
    </row>
    <row r="356">
      <c r="A356" s="7" t="n">
        <v>353</v>
      </c>
      <c r="B356" s="8" t="inlineStr">
        <is>
          <t xml:space="preserve">      "去风格化",</t>
        </is>
      </c>
    </row>
    <row r="357">
      <c r="A357" s="9" t="n">
        <v>354</v>
      </c>
      <c r="B357" s="10" t="inlineStr">
        <is>
          <t xml:space="preserve">      "双开开关",</t>
        </is>
      </c>
    </row>
    <row r="358">
      <c r="A358" s="7" t="n">
        <v>355</v>
      </c>
      <c r="B358" s="8" t="inlineStr">
        <is>
          <t xml:space="preserve">      "双槽水槽",</t>
        </is>
      </c>
    </row>
    <row r="359">
      <c r="A359" s="9" t="n">
        <v>356</v>
      </c>
      <c r="B359" s="10" t="inlineStr">
        <is>
          <t xml:space="preserve">      "双面岛台",</t>
        </is>
      </c>
    </row>
    <row r="360">
      <c r="A360" s="7" t="n">
        <v>357</v>
      </c>
      <c r="B360" s="8" t="inlineStr">
        <is>
          <t xml:space="preserve">      "双饰面板",</t>
        </is>
      </c>
    </row>
    <row r="361">
      <c r="A361" s="9" t="n">
        <v>358</v>
      </c>
      <c r="B361" s="10" t="inlineStr">
        <is>
          <t xml:space="preserve">      "反弹器",</t>
        </is>
      </c>
    </row>
    <row r="362">
      <c r="A362" s="7" t="n">
        <v>359</v>
      </c>
      <c r="B362" s="8" t="inlineStr">
        <is>
          <t xml:space="preserve">      "反弹器失灵",</t>
        </is>
      </c>
    </row>
    <row r="363">
      <c r="A363" s="9" t="n">
        <v>360</v>
      </c>
      <c r="B363" s="10" t="inlineStr">
        <is>
          <t xml:space="preserve">      "反弹器工艺",</t>
        </is>
      </c>
    </row>
    <row r="364">
      <c r="A364" s="7" t="n">
        <v>361</v>
      </c>
      <c r="B364" s="8" t="inlineStr">
        <is>
          <t xml:space="preserve">      "反弹抽",</t>
        </is>
      </c>
    </row>
    <row r="365">
      <c r="A365" s="9" t="n">
        <v>362</v>
      </c>
      <c r="B365" s="10" t="inlineStr">
        <is>
          <t xml:space="preserve">      "反弹滑轨",</t>
        </is>
      </c>
    </row>
    <row r="366">
      <c r="A366" s="7" t="n">
        <v>363</v>
      </c>
      <c r="B366" s="8" t="inlineStr">
        <is>
          <t xml:space="preserve">      "古堡灰",</t>
        </is>
      </c>
    </row>
    <row r="367">
      <c r="A367" s="9" t="n">
        <v>364</v>
      </c>
      <c r="B367" s="10" t="inlineStr">
        <is>
          <t xml:space="preserve">      "古铜色",</t>
        </is>
      </c>
    </row>
    <row r="368">
      <c r="A368" s="7" t="n">
        <v>365</v>
      </c>
      <c r="B368" s="8" t="inlineStr">
        <is>
          <t xml:space="preserve">      "古铜色拉手",</t>
        </is>
      </c>
    </row>
    <row r="369">
      <c r="A369" s="9" t="n">
        <v>366</v>
      </c>
      <c r="B369" s="10" t="inlineStr">
        <is>
          <t xml:space="preserve">      "古铜金",</t>
        </is>
      </c>
    </row>
    <row r="370">
      <c r="A370" s="7" t="n">
        <v>367</v>
      </c>
      <c r="B370" s="8" t="inlineStr">
        <is>
          <t xml:space="preserve">      "古驰灰",</t>
        </is>
      </c>
    </row>
    <row r="371">
      <c r="A371" s="9" t="n">
        <v>368</v>
      </c>
      <c r="B371" s="10" t="inlineStr">
        <is>
          <t xml:space="preserve">      "可丽耐",</t>
        </is>
      </c>
    </row>
    <row r="372">
      <c r="A372" s="7" t="n">
        <v>369</v>
      </c>
      <c r="B372" s="8" t="inlineStr">
        <is>
          <t xml:space="preserve">      "可储物岛台",</t>
        </is>
      </c>
    </row>
    <row r="373">
      <c r="A373" s="9" t="n">
        <v>370</v>
      </c>
      <c r="B373" s="10" t="inlineStr">
        <is>
          <t xml:space="preserve">      "可升降吧台岛台",</t>
        </is>
      </c>
    </row>
    <row r="374">
      <c r="A374" s="7" t="n">
        <v>371</v>
      </c>
      <c r="B374" s="8" t="inlineStr">
        <is>
          <t xml:space="preserve">      "可可蛋奶",</t>
        </is>
      </c>
    </row>
    <row r="375">
      <c r="A375" s="9" t="n">
        <v>372</v>
      </c>
      <c r="B375" s="10" t="inlineStr">
        <is>
          <t xml:space="preserve">      "可移动岛台",</t>
        </is>
      </c>
    </row>
    <row r="376">
      <c r="A376" s="7" t="n">
        <v>373</v>
      </c>
      <c r="B376" s="8" t="inlineStr">
        <is>
          <t xml:space="preserve">      "可翻转岛台",</t>
        </is>
      </c>
    </row>
    <row r="377">
      <c r="A377" s="9" t="n">
        <v>374</v>
      </c>
      <c r="B377" s="10" t="inlineStr">
        <is>
          <t xml:space="preserve">      "可调层板",</t>
        </is>
      </c>
    </row>
    <row r="378">
      <c r="A378" s="7" t="n">
        <v>375</v>
      </c>
      <c r="B378" s="8" t="inlineStr">
        <is>
          <t xml:space="preserve">      "台上盆",</t>
        </is>
      </c>
    </row>
    <row r="379">
      <c r="A379" s="9" t="n">
        <v>376</v>
      </c>
      <c r="B379" s="10" t="inlineStr">
        <is>
          <t xml:space="preserve">      "台下盆",</t>
        </is>
      </c>
    </row>
    <row r="380">
      <c r="A380" s="7" t="n">
        <v>377</v>
      </c>
      <c r="B380" s="8" t="inlineStr">
        <is>
          <t xml:space="preserve">      "台中盆",</t>
        </is>
      </c>
    </row>
    <row r="381">
      <c r="A381" s="9" t="n">
        <v>378</v>
      </c>
      <c r="B381" s="10" t="inlineStr">
        <is>
          <t xml:space="preserve">      "台式极简",</t>
        </is>
      </c>
    </row>
    <row r="382">
      <c r="A382" s="7" t="n">
        <v>379</v>
      </c>
      <c r="B382" s="8" t="inlineStr">
        <is>
          <t xml:space="preserve">      "台面伸缩岛台",</t>
        </is>
      </c>
    </row>
    <row r="383">
      <c r="A383" s="9" t="n">
        <v>380</v>
      </c>
      <c r="B383" s="10" t="inlineStr">
        <is>
          <t xml:space="preserve">      "台面厚度",</t>
        </is>
      </c>
    </row>
    <row r="384">
      <c r="A384" s="7" t="n">
        <v>381</v>
      </c>
      <c r="B384" s="8" t="inlineStr">
        <is>
          <t xml:space="preserve">      "台面安装",</t>
        </is>
      </c>
    </row>
    <row r="385">
      <c r="A385" s="9" t="n">
        <v>382</v>
      </c>
      <c r="B385" s="10" t="inlineStr">
        <is>
          <t xml:space="preserve">      "台面定制",</t>
        </is>
      </c>
    </row>
    <row r="386">
      <c r="A386" s="7" t="n">
        <v>383</v>
      </c>
      <c r="B386" s="8" t="inlineStr">
        <is>
          <t xml:space="preserve">      "台面平移岛台",</t>
        </is>
      </c>
    </row>
    <row r="387">
      <c r="A387" s="9" t="n">
        <v>384</v>
      </c>
      <c r="B387" s="10" t="inlineStr">
        <is>
          <t xml:space="preserve">      "台面插座",</t>
        </is>
      </c>
    </row>
    <row r="388">
      <c r="A388" s="7" t="n">
        <v>385</v>
      </c>
      <c r="B388" s="8" t="inlineStr">
        <is>
          <t xml:space="preserve">      "台面高度",</t>
        </is>
      </c>
    </row>
    <row r="389">
      <c r="A389" s="9" t="n">
        <v>386</v>
      </c>
      <c r="B389" s="10" t="inlineStr">
        <is>
          <t xml:space="preserve">      "合页",</t>
        </is>
      </c>
    </row>
    <row r="390">
      <c r="A390" s="7" t="n">
        <v>387</v>
      </c>
      <c r="B390" s="8" t="inlineStr">
        <is>
          <t xml:space="preserve">      "合页铰链",</t>
        </is>
      </c>
    </row>
    <row r="391">
      <c r="A391" s="9" t="n">
        <v>388</v>
      </c>
      <c r="B391" s="10" t="inlineStr">
        <is>
          <t xml:space="preserve">      "吐司机",</t>
        </is>
      </c>
    </row>
    <row r="392">
      <c r="A392" s="7" t="n">
        <v>389</v>
      </c>
      <c r="B392" s="8" t="inlineStr">
        <is>
          <t xml:space="preserve">      "吸塑板",</t>
        </is>
      </c>
    </row>
    <row r="393">
      <c r="A393" s="9" t="n">
        <v>390</v>
      </c>
      <c r="B393" s="10" t="inlineStr">
        <is>
          <t xml:space="preserve">      "咖啡机",</t>
        </is>
      </c>
    </row>
    <row r="394">
      <c r="A394" s="7" t="n">
        <v>391</v>
      </c>
      <c r="B394" s="8" t="inlineStr">
        <is>
          <t xml:space="preserve">      "咖啡色",</t>
        </is>
      </c>
    </row>
    <row r="395">
      <c r="A395" s="9" t="n">
        <v>392</v>
      </c>
      <c r="B395" s="10" t="inlineStr">
        <is>
          <t xml:space="preserve">      "哑光岩板",</t>
        </is>
      </c>
    </row>
    <row r="396">
      <c r="A396" s="7" t="n">
        <v>393</v>
      </c>
      <c r="B396" s="8" t="inlineStr">
        <is>
          <t xml:space="preserve">      "哑光门板",</t>
        </is>
      </c>
    </row>
    <row r="397">
      <c r="A397" s="9" t="n">
        <v>394</v>
      </c>
      <c r="B397" s="10" t="inlineStr">
        <is>
          <t xml:space="preserve">      "哑光面石材",</t>
        </is>
      </c>
    </row>
    <row r="398">
      <c r="A398" s="7" t="n">
        <v>395</v>
      </c>
      <c r="B398" s="8" t="inlineStr">
        <is>
          <t xml:space="preserve">      "售后",</t>
        </is>
      </c>
    </row>
    <row r="399">
      <c r="A399" s="9" t="n">
        <v>396</v>
      </c>
      <c r="B399" s="10" t="inlineStr">
        <is>
          <t xml:space="preserve">      "四季粉"</t>
        </is>
      </c>
    </row>
    <row r="400">
      <c r="A400" s="7" t="n">
        <v>397</v>
      </c>
      <c r="B400" s="8" t="inlineStr">
        <is>
          <t xml:space="preserve">    ],</t>
        </is>
      </c>
    </row>
    <row r="401">
      <c r="A401" s="9" t="n">
        <v>398</v>
      </c>
      <c r="B401" s="10" t="inlineStr">
        <is>
          <t xml:space="preserve">    "结构与功能词": [</t>
        </is>
      </c>
    </row>
    <row r="402">
      <c r="A402" s="7" t="n">
        <v>399</v>
      </c>
      <c r="B402" s="8" t="inlineStr">
        <is>
          <t xml:space="preserve">      "上层薄抽",</t>
        </is>
      </c>
    </row>
    <row r="403">
      <c r="A403" s="9" t="n">
        <v>400</v>
      </c>
      <c r="B403" s="10" t="inlineStr">
        <is>
          <t xml:space="preserve">      "下层抽屉",</t>
        </is>
      </c>
    </row>
    <row r="404">
      <c r="A404" s="7" t="n">
        <v>401</v>
      </c>
      <c r="B404" s="8" t="inlineStr">
        <is>
          <t xml:space="preserve">      "内嵌烤箱",</t>
        </is>
      </c>
    </row>
    <row r="405">
      <c r="A405" s="9" t="n">
        <v>402</v>
      </c>
      <c r="B405" s="10" t="inlineStr">
        <is>
          <t xml:space="preserve">      "轨道插座",</t>
        </is>
      </c>
    </row>
    <row r="406">
      <c r="A406" s="7" t="n">
        <v>403</v>
      </c>
      <c r="B406" s="8" t="inlineStr">
        <is>
          <t xml:space="preserve">      "岩板台面",</t>
        </is>
      </c>
    </row>
    <row r="407">
      <c r="A407" s="9" t="n">
        <v>404</v>
      </c>
      <c r="B407" s="10" t="inlineStr">
        <is>
          <t xml:space="preserve">      "伸缩餐桌",</t>
        </is>
      </c>
    </row>
    <row r="408">
      <c r="A408" s="7" t="n">
        <v>405</v>
      </c>
      <c r="B408" s="8" t="inlineStr">
        <is>
          <t xml:space="preserve">      "岛台餐边柜",</t>
        </is>
      </c>
    </row>
    <row r="409">
      <c r="A409" s="9" t="n">
        <v>406</v>
      </c>
      <c r="B409" s="10" t="inlineStr">
        <is>
          <t xml:space="preserve">      "高柜一体",</t>
        </is>
      </c>
    </row>
    <row r="410">
      <c r="A410" s="7" t="n">
        <v>407</v>
      </c>
      <c r="B410" s="8" t="inlineStr">
        <is>
          <t xml:space="preserve">      "薄抽滑轨",</t>
        </is>
      </c>
    </row>
    <row r="411">
      <c r="A411" s="9" t="n">
        <v>408</v>
      </c>
      <c r="B411" s="10" t="inlineStr">
        <is>
          <t xml:space="preserve">      "抽拉餐桌",</t>
        </is>
      </c>
    </row>
    <row r="412">
      <c r="A412" s="7" t="n">
        <v>409</v>
      </c>
      <c r="B412" s="8" t="inlineStr">
        <is>
          <t xml:space="preserve">      "升降吧台",</t>
        </is>
      </c>
    </row>
    <row r="413">
      <c r="A413" s="9" t="n">
        <v>410</v>
      </c>
      <c r="B413" s="10" t="inlineStr">
        <is>
          <t xml:space="preserve">      "开放格",</t>
        </is>
      </c>
    </row>
    <row r="414">
      <c r="A414" s="7" t="n">
        <v>411</v>
      </c>
      <c r="B414" s="8" t="inlineStr">
        <is>
          <t xml:space="preserve">      "玻璃门",</t>
        </is>
      </c>
    </row>
    <row r="415">
      <c r="A415" s="9" t="n">
        <v>412</v>
      </c>
      <c r="B415" s="10" t="inlineStr">
        <is>
          <t xml:space="preserve">      "金属拉手",</t>
        </is>
      </c>
    </row>
    <row r="416">
      <c r="A416" s="7" t="n">
        <v>413</v>
      </c>
      <c r="B416" s="8" t="inlineStr">
        <is>
          <t xml:space="preserve">      "反弹器",</t>
        </is>
      </c>
    </row>
    <row r="417">
      <c r="A417" s="9" t="n">
        <v>414</v>
      </c>
      <c r="B417" s="10" t="inlineStr">
        <is>
          <t xml:space="preserve">      "隐形拉手",</t>
        </is>
      </c>
    </row>
    <row r="418">
      <c r="A418" s="7" t="n">
        <v>415</v>
      </c>
      <c r="B418" s="8" t="inlineStr">
        <is>
          <t xml:space="preserve">      "液压杆",</t>
        </is>
      </c>
    </row>
    <row r="419">
      <c r="A419" s="9" t="n">
        <v>416</v>
      </c>
      <c r="B419" s="10" t="inlineStr">
        <is>
          <t xml:space="preserve">      "阻尼滑轨",</t>
        </is>
      </c>
    </row>
    <row r="420">
      <c r="A420" s="7" t="n">
        <v>417</v>
      </c>
      <c r="B420" s="8" t="inlineStr">
        <is>
          <t xml:space="preserve">      "双抽设计",</t>
        </is>
      </c>
    </row>
    <row r="421">
      <c r="A421" s="9" t="n">
        <v>418</v>
      </c>
      <c r="B421" s="10" t="inlineStr">
        <is>
          <t xml:space="preserve">      "三层抽屉",</t>
        </is>
      </c>
    </row>
    <row r="422">
      <c r="A422" s="7" t="n">
        <v>419</v>
      </c>
      <c r="B422" s="8" t="inlineStr">
        <is>
          <t xml:space="preserve">      "推拉门",</t>
        </is>
      </c>
    </row>
    <row r="423">
      <c r="A423" s="9" t="n">
        <v>420</v>
      </c>
      <c r="B423" s="10" t="inlineStr">
        <is>
          <t xml:space="preserve">      "侧拉柜",</t>
        </is>
      </c>
    </row>
    <row r="424">
      <c r="A424" s="7" t="n">
        <v>421</v>
      </c>
      <c r="B424" s="8" t="inlineStr">
        <is>
          <t xml:space="preserve">      "翻板吧台",</t>
        </is>
      </c>
    </row>
    <row r="425">
      <c r="A425" s="9" t="n">
        <v>422</v>
      </c>
      <c r="B425" s="10" t="inlineStr">
        <is>
          <t xml:space="preserve">      "折叠餐桌",</t>
        </is>
      </c>
    </row>
    <row r="426">
      <c r="A426" s="7" t="n">
        <v>423</v>
      </c>
      <c r="B426" s="8" t="inlineStr">
        <is>
          <t xml:space="preserve">      "隐藏式插座",</t>
        </is>
      </c>
    </row>
    <row r="427">
      <c r="A427" s="9" t="n">
        <v>424</v>
      </c>
      <c r="B427" s="10" t="inlineStr">
        <is>
          <t xml:space="preserve">      "侧拉酒格",</t>
        </is>
      </c>
    </row>
    <row r="428">
      <c r="A428" s="7" t="n">
        <v>425</v>
      </c>
      <c r="B428" s="8" t="inlineStr">
        <is>
          <t xml:space="preserve">      "升降中岛",</t>
        </is>
      </c>
    </row>
    <row r="429">
      <c r="A429" s="9" t="n">
        <v>426</v>
      </c>
      <c r="B429" s="10" t="inlineStr">
        <is>
          <t xml:space="preserve">      "抽屉组合",</t>
        </is>
      </c>
    </row>
    <row r="430">
      <c r="A430" s="7" t="n">
        <v>427</v>
      </c>
      <c r="B430" s="8" t="inlineStr">
        <is>
          <t xml:space="preserve">      "多功能抽屉",</t>
        </is>
      </c>
    </row>
    <row r="431">
      <c r="A431" s="9" t="n">
        <v>428</v>
      </c>
      <c r="B431" s="10" t="inlineStr">
        <is>
          <t xml:space="preserve">      "内嵌电磁炉",</t>
        </is>
      </c>
    </row>
    <row r="432">
      <c r="A432" s="7" t="n">
        <v>429</v>
      </c>
      <c r="B432" s="8" t="inlineStr">
        <is>
          <t xml:space="preserve">      "内嵌酒柜",</t>
        </is>
      </c>
    </row>
    <row r="433">
      <c r="A433" s="9" t="n">
        <v>430</v>
      </c>
      <c r="B433" s="10" t="inlineStr">
        <is>
          <t xml:space="preserve">      "内嵌水槽",</t>
        </is>
      </c>
    </row>
    <row r="434">
      <c r="A434" s="7" t="n">
        <v>431</v>
      </c>
      <c r="B434" s="8" t="inlineStr">
        <is>
          <t xml:space="preserve">      "内嵌冰箱",</t>
        </is>
      </c>
    </row>
    <row r="435">
      <c r="A435" s="9" t="n">
        <v>432</v>
      </c>
      <c r="B435" s="10" t="inlineStr">
        <is>
          <t xml:space="preserve">      "内嵌蒸烤一体",</t>
        </is>
      </c>
    </row>
    <row r="436">
      <c r="A436" s="7" t="n">
        <v>433</v>
      </c>
      <c r="B436" s="8" t="inlineStr">
        <is>
          <t xml:space="preserve">      "公牛轨道插座",</t>
        </is>
      </c>
    </row>
    <row r="437">
      <c r="A437" s="9" t="n">
        <v>434</v>
      </c>
      <c r="B437" s="10" t="inlineStr">
        <is>
          <t xml:space="preserve">      "音标轨道插座",</t>
        </is>
      </c>
    </row>
    <row r="438">
      <c r="A438" s="7" t="n">
        <v>435</v>
      </c>
      <c r="B438" s="8" t="inlineStr">
        <is>
          <t xml:space="preserve">      "UB克轨道插座",</t>
        </is>
      </c>
    </row>
    <row r="439">
      <c r="A439" s="9" t="n">
        <v>436</v>
      </c>
      <c r="B439" s="10" t="inlineStr">
        <is>
          <t xml:space="preserve">      "弹出式插座",</t>
        </is>
      </c>
    </row>
    <row r="440">
      <c r="A440" s="7" t="n">
        <v>437</v>
      </c>
      <c r="B440" s="8" t="inlineStr">
        <is>
          <t xml:space="preserve">      "隐藏插座",</t>
        </is>
      </c>
    </row>
    <row r="441">
      <c r="A441" s="9" t="n">
        <v>438</v>
      </c>
      <c r="B441" s="10" t="inlineStr">
        <is>
          <t xml:space="preserve">      "软关门铰链",</t>
        </is>
      </c>
    </row>
    <row r="442">
      <c r="A442" s="7" t="n">
        <v>439</v>
      </c>
      <c r="B442" s="8" t="inlineStr">
        <is>
          <t xml:space="preserve">      "全推拉抽屉",</t>
        </is>
      </c>
    </row>
    <row r="443">
      <c r="A443" s="9" t="n">
        <v>440</v>
      </c>
      <c r="B443" s="10" t="inlineStr">
        <is>
          <t xml:space="preserve">      "天地铰",</t>
        </is>
      </c>
    </row>
    <row r="444">
      <c r="A444" s="7" t="n">
        <v>441</v>
      </c>
      <c r="B444" s="8" t="inlineStr">
        <is>
          <t xml:space="preserve">      "感应灯带",</t>
        </is>
      </c>
    </row>
    <row r="445">
      <c r="A445" s="9" t="n">
        <v>442</v>
      </c>
      <c r="B445" s="10" t="inlineStr">
        <is>
          <t xml:space="preserve">      "无拉手设计",</t>
        </is>
      </c>
    </row>
    <row r="446">
      <c r="A446" s="7" t="n">
        <v>443</v>
      </c>
      <c r="B446" s="8" t="inlineStr">
        <is>
          <t xml:space="preserve">      "升降台面",</t>
        </is>
      </c>
    </row>
    <row r="447">
      <c r="A447" s="9" t="n">
        <v>444</v>
      </c>
      <c r="B447" s="10" t="inlineStr">
        <is>
          <t xml:space="preserve">      "嵌入式蒸烤",</t>
        </is>
      </c>
    </row>
    <row r="448">
      <c r="A448" s="7" t="n">
        <v>445</v>
      </c>
      <c r="B448" s="8" t="inlineStr">
        <is>
          <t xml:space="preserve">      "集成水槽"</t>
        </is>
      </c>
    </row>
    <row r="449">
      <c r="A449" s="9" t="n">
        <v>446</v>
      </c>
      <c r="B449" s="10" t="inlineStr">
        <is>
          <t xml:space="preserve">    ],</t>
        </is>
      </c>
    </row>
    <row r="450">
      <c r="A450" s="7" t="n">
        <v>447</v>
      </c>
      <c r="B450" s="8" t="inlineStr">
        <is>
          <t xml:space="preserve">    "材质与工艺词": [</t>
        </is>
      </c>
    </row>
    <row r="451">
      <c r="A451" s="9" t="n">
        <v>448</v>
      </c>
      <c r="B451" s="10" t="inlineStr">
        <is>
          <t xml:space="preserve">      "大理石",</t>
        </is>
      </c>
    </row>
    <row r="452">
      <c r="A452" s="7" t="n">
        <v>449</v>
      </c>
      <c r="B452" s="8" t="inlineStr">
        <is>
          <t xml:space="preserve">      "石英石",</t>
        </is>
      </c>
    </row>
    <row r="453">
      <c r="A453" s="9" t="n">
        <v>450</v>
      </c>
      <c r="B453" s="10" t="inlineStr">
        <is>
          <t xml:space="preserve">      "岩板",</t>
        </is>
      </c>
    </row>
    <row r="454">
      <c r="A454" s="7" t="n">
        <v>451</v>
      </c>
      <c r="B454" s="8" t="inlineStr">
        <is>
          <t xml:space="preserve">      "实木",</t>
        </is>
      </c>
    </row>
    <row r="455">
      <c r="A455" s="9" t="n">
        <v>452</v>
      </c>
      <c r="B455" s="10" t="inlineStr">
        <is>
          <t xml:space="preserve">      "多层板",</t>
        </is>
      </c>
    </row>
    <row r="456">
      <c r="A456" s="7" t="n">
        <v>453</v>
      </c>
      <c r="B456" s="8" t="inlineStr">
        <is>
          <t xml:space="preserve">      "颗粒板",</t>
        </is>
      </c>
    </row>
    <row r="457">
      <c r="A457" s="9" t="n">
        <v>454</v>
      </c>
      <c r="B457" s="10" t="inlineStr">
        <is>
          <t xml:space="preserve">      "免漆板",</t>
        </is>
      </c>
    </row>
    <row r="458">
      <c r="A458" s="7" t="n">
        <v>455</v>
      </c>
      <c r="B458" s="8" t="inlineStr">
        <is>
          <t xml:space="preserve">      "烤漆板",</t>
        </is>
      </c>
    </row>
    <row r="459">
      <c r="A459" s="9" t="n">
        <v>456</v>
      </c>
      <c r="B459" s="10" t="inlineStr">
        <is>
          <t xml:space="preserve">      "鱼肚白",</t>
        </is>
      </c>
    </row>
    <row r="460">
      <c r="A460" s="7" t="n">
        <v>457</v>
      </c>
      <c r="B460" s="8" t="inlineStr">
        <is>
          <t xml:space="preserve">      "爵士白",</t>
        </is>
      </c>
    </row>
    <row r="461">
      <c r="A461" s="9" t="n">
        <v>458</v>
      </c>
      <c r="B461" s="10" t="inlineStr">
        <is>
          <t xml:space="preserve">      "卡拉拉白",</t>
        </is>
      </c>
    </row>
    <row r="462">
      <c r="A462" s="7" t="n">
        <v>459</v>
      </c>
      <c r="B462" s="8" t="inlineStr">
        <is>
          <t xml:space="preserve">      "雪花白",</t>
        </is>
      </c>
    </row>
    <row r="463">
      <c r="A463" s="9" t="n">
        <v>460</v>
      </c>
      <c r="B463" s="10" t="inlineStr">
        <is>
          <t xml:space="preserve">      "潘多拉",</t>
        </is>
      </c>
    </row>
    <row r="464">
      <c r="A464" s="7" t="n">
        <v>461</v>
      </c>
      <c r="B464" s="8" t="inlineStr">
        <is>
          <t xml:space="preserve">      "雪山白",</t>
        </is>
      </c>
    </row>
    <row r="465">
      <c r="A465" s="9" t="n">
        <v>462</v>
      </c>
      <c r="B465" s="10" t="inlineStr">
        <is>
          <t xml:space="preserve">      "宝格丽",</t>
        </is>
      </c>
    </row>
    <row r="466">
      <c r="A466" s="7" t="n">
        <v>463</v>
      </c>
      <c r="B466" s="8" t="inlineStr">
        <is>
          <t xml:space="preserve">      "威尼斯棕",</t>
        </is>
      </c>
    </row>
    <row r="467">
      <c r="A467" s="9" t="n">
        <v>464</v>
      </c>
      <c r="B467" s="10" t="inlineStr">
        <is>
          <t xml:space="preserve">      "爱马仕灰",</t>
        </is>
      </c>
    </row>
    <row r="468">
      <c r="A468" s="7" t="n">
        <v>465</v>
      </c>
      <c r="B468" s="8" t="inlineStr">
        <is>
          <t xml:space="preserve">      "伯爵灰",</t>
        </is>
      </c>
    </row>
    <row r="469">
      <c r="A469" s="9" t="n">
        <v>466</v>
      </c>
      <c r="B469" s="10" t="inlineStr">
        <is>
          <t xml:space="preserve">      "潘多拉岩板",</t>
        </is>
      </c>
    </row>
    <row r="470">
      <c r="A470" s="7" t="n">
        <v>467</v>
      </c>
      <c r="B470" s="8" t="inlineStr">
        <is>
          <t xml:space="preserve">      "鱼肚白岩板",</t>
        </is>
      </c>
    </row>
    <row r="471">
      <c r="A471" s="9" t="n">
        <v>468</v>
      </c>
      <c r="B471" s="10" t="inlineStr">
        <is>
          <t xml:space="preserve">      "雪花白岩板",</t>
        </is>
      </c>
    </row>
    <row r="472">
      <c r="A472" s="7" t="n">
        <v>469</v>
      </c>
      <c r="B472" s="8" t="inlineStr">
        <is>
          <t xml:space="preserve">      "南美柚木",</t>
        </is>
      </c>
    </row>
    <row r="473">
      <c r="A473" s="9" t="n">
        <v>470</v>
      </c>
      <c r="B473" s="10" t="inlineStr">
        <is>
          <t xml:space="preserve">      "米黄洞石",</t>
        </is>
      </c>
    </row>
    <row r="474">
      <c r="A474" s="7" t="n">
        <v>471</v>
      </c>
      <c r="B474" s="8" t="inlineStr">
        <is>
          <t xml:space="preserve">      "奶油白",</t>
        </is>
      </c>
    </row>
    <row r="475">
      <c r="A475" s="9" t="n">
        <v>472</v>
      </c>
      <c r="B475" s="10" t="inlineStr">
        <is>
          <t xml:space="preserve">      "奶白色",</t>
        </is>
      </c>
    </row>
    <row r="476">
      <c r="A476" s="7" t="n">
        <v>473</v>
      </c>
      <c r="B476" s="8" t="inlineStr">
        <is>
          <t xml:space="preserve">      "暖白色",</t>
        </is>
      </c>
    </row>
    <row r="477">
      <c r="A477" s="9" t="n">
        <v>474</v>
      </c>
      <c r="B477" s="10" t="inlineStr">
        <is>
          <t xml:space="preserve">      "哑光白",</t>
        </is>
      </c>
    </row>
    <row r="478">
      <c r="A478" s="7" t="n">
        <v>475</v>
      </c>
      <c r="B478" s="8" t="inlineStr">
        <is>
          <t xml:space="preserve">      "柔光白",</t>
        </is>
      </c>
    </row>
    <row r="479">
      <c r="A479" s="9" t="n">
        <v>476</v>
      </c>
      <c r="B479" s="10" t="inlineStr">
        <is>
          <t xml:space="preserve">      "柔光岩板",</t>
        </is>
      </c>
    </row>
    <row r="480">
      <c r="A480" s="7" t="n">
        <v>477</v>
      </c>
      <c r="B480" s="8" t="inlineStr">
        <is>
          <t xml:space="preserve">      "哑光岩板",</t>
        </is>
      </c>
    </row>
    <row r="481">
      <c r="A481" s="9" t="n">
        <v>478</v>
      </c>
      <c r="B481" s="10" t="inlineStr">
        <is>
          <t xml:space="preserve">      "亮面岩板",</t>
        </is>
      </c>
    </row>
    <row r="482">
      <c r="A482" s="7" t="n">
        <v>479</v>
      </c>
      <c r="B482" s="8" t="inlineStr">
        <is>
          <t xml:space="preserve">      "加厚岩板",</t>
        </is>
      </c>
    </row>
    <row r="483">
      <c r="A483" s="9" t="n">
        <v>480</v>
      </c>
      <c r="B483" s="10" t="inlineStr">
        <is>
          <t xml:space="preserve">      "超薄岩板",</t>
        </is>
      </c>
    </row>
    <row r="484">
      <c r="A484" s="7" t="n">
        <v>481</v>
      </c>
      <c r="B484" s="8" t="inlineStr">
        <is>
          <t xml:space="preserve">      "北美黑胡桃",</t>
        </is>
      </c>
    </row>
    <row r="485">
      <c r="A485" s="9" t="n">
        <v>482</v>
      </c>
      <c r="B485" s="10" t="inlineStr">
        <is>
          <t xml:space="preserve">      "兰亭香樟",</t>
        </is>
      </c>
    </row>
    <row r="486">
      <c r="A486" s="7" t="n">
        <v>483</v>
      </c>
      <c r="B486" s="8" t="inlineStr">
        <is>
          <t xml:space="preserve">      "卡尔德拉",</t>
        </is>
      </c>
    </row>
    <row r="487">
      <c r="A487" s="9" t="n">
        <v>484</v>
      </c>
      <c r="B487" s="10" t="inlineStr">
        <is>
          <t xml:space="preserve">      "艾米利亚棕",</t>
        </is>
      </c>
    </row>
    <row r="488">
      <c r="A488" s="7" t="n">
        <v>485</v>
      </c>
      <c r="B488" s="8" t="inlineStr">
        <is>
          <t xml:space="preserve">      "罗马洞石",</t>
        </is>
      </c>
    </row>
    <row r="489">
      <c r="A489" s="9" t="n">
        <v>486</v>
      </c>
      <c r="B489" s="10" t="inlineStr">
        <is>
          <t xml:space="preserve">      "微水泥",</t>
        </is>
      </c>
    </row>
    <row r="490">
      <c r="A490" s="7" t="n">
        <v>487</v>
      </c>
      <c r="B490" s="8" t="inlineStr">
        <is>
          <t xml:space="preserve">      "宝格丽黑",</t>
        </is>
      </c>
    </row>
    <row r="491">
      <c r="A491" s="9" t="n">
        <v>488</v>
      </c>
      <c r="B491" s="10" t="inlineStr">
        <is>
          <t xml:space="preserve">      "宝格丽白",</t>
        </is>
      </c>
    </row>
    <row r="492">
      <c r="A492" s="7" t="n">
        <v>489</v>
      </c>
      <c r="B492" s="8" t="inlineStr">
        <is>
          <t xml:space="preserve">      "潘多拉哑光",</t>
        </is>
      </c>
    </row>
    <row r="493">
      <c r="A493" s="9" t="n">
        <v>490</v>
      </c>
      <c r="B493" s="10" t="inlineStr">
        <is>
          <t xml:space="preserve">      "通体岩板",</t>
        </is>
      </c>
    </row>
    <row r="494">
      <c r="A494" s="7" t="n">
        <v>491</v>
      </c>
      <c r="B494" s="8" t="inlineStr">
        <is>
          <t xml:space="preserve">      "连纹岩板",</t>
        </is>
      </c>
    </row>
    <row r="495">
      <c r="A495" s="9" t="n">
        <v>492</v>
      </c>
      <c r="B495" s="10" t="inlineStr">
        <is>
          <t xml:space="preserve">      "薄板岩板",</t>
        </is>
      </c>
    </row>
    <row r="496">
      <c r="A496" s="7" t="n">
        <v>493</v>
      </c>
      <c r="B496" s="8" t="inlineStr">
        <is>
          <t xml:space="preserve">      "不锈钢台面",</t>
        </is>
      </c>
    </row>
    <row r="497">
      <c r="A497" s="9" t="n">
        <v>494</v>
      </c>
      <c r="B497" s="10" t="inlineStr">
        <is>
          <t xml:space="preserve">      "实木台面",</t>
        </is>
      </c>
    </row>
    <row r="498">
      <c r="A498" s="7" t="n">
        <v>495</v>
      </c>
      <c r="B498" s="8" t="inlineStr">
        <is>
          <t xml:space="preserve">      "人造石",</t>
        </is>
      </c>
    </row>
    <row r="499">
      <c r="A499" s="9" t="n">
        <v>496</v>
      </c>
      <c r="B499" s="10" t="inlineStr">
        <is>
          <t xml:space="preserve">      "超白玻璃",</t>
        </is>
      </c>
    </row>
    <row r="500">
      <c r="A500" s="7" t="n">
        <v>497</v>
      </c>
      <c r="B500" s="8" t="inlineStr">
        <is>
          <t xml:space="preserve">      "全铝柜体",</t>
        </is>
      </c>
    </row>
    <row r="501">
      <c r="A501" s="9" t="n">
        <v>498</v>
      </c>
      <c r="B501" s="10" t="inlineStr">
        <is>
          <t xml:space="preserve">      "实木多层板",</t>
        </is>
      </c>
    </row>
    <row r="502">
      <c r="A502" s="7" t="n">
        <v>499</v>
      </c>
      <c r="B502" s="8" t="inlineStr">
        <is>
          <t xml:space="preserve">      "无甲醛板材",</t>
        </is>
      </c>
    </row>
    <row r="503">
      <c r="A503" s="9" t="n">
        <v>500</v>
      </c>
      <c r="B503" s="10" t="inlineStr">
        <is>
          <t xml:space="preserve">      "钢结构腿",</t>
        </is>
      </c>
    </row>
    <row r="504">
      <c r="A504" s="7" t="n">
        <v>501</v>
      </c>
      <c r="B504" s="8" t="inlineStr">
        <is>
          <t xml:space="preserve">      "岩板腿",</t>
        </is>
      </c>
    </row>
    <row r="505">
      <c r="A505" s="9" t="n">
        <v>502</v>
      </c>
      <c r="B505" s="10" t="inlineStr">
        <is>
          <t xml:space="preserve">      "亚克力腿",</t>
        </is>
      </c>
    </row>
    <row r="506">
      <c r="A506" s="7" t="n">
        <v>503</v>
      </c>
      <c r="B506" s="8" t="inlineStr">
        <is>
          <t xml:space="preserve">      "海棠角",</t>
        </is>
      </c>
    </row>
    <row r="507">
      <c r="A507" s="9" t="n">
        <v>504</v>
      </c>
      <c r="B507" s="10" t="inlineStr">
        <is>
          <t xml:space="preserve">      "水磨边",</t>
        </is>
      </c>
    </row>
    <row r="508">
      <c r="A508" s="7" t="n">
        <v>505</v>
      </c>
      <c r="B508" s="8" t="inlineStr">
        <is>
          <t xml:space="preserve">      "圆弧倒角",</t>
        </is>
      </c>
    </row>
    <row r="509">
      <c r="A509" s="9" t="n">
        <v>506</v>
      </c>
      <c r="B509" s="10" t="inlineStr">
        <is>
          <t xml:space="preserve">      "腰线设计",</t>
        </is>
      </c>
    </row>
    <row r="510">
      <c r="A510" s="7" t="n">
        <v>507</v>
      </c>
      <c r="B510" s="8" t="inlineStr">
        <is>
          <t xml:space="preserve">      "悬浮底座",</t>
        </is>
      </c>
    </row>
    <row r="511">
      <c r="A511" s="9" t="n">
        <v>508</v>
      </c>
      <c r="B511" s="10" t="inlineStr">
        <is>
          <t xml:space="preserve">      "抽屉深拉篮",</t>
        </is>
      </c>
    </row>
    <row r="512">
      <c r="A512" s="7" t="n">
        <v>509</v>
      </c>
      <c r="B512" s="8" t="inlineStr">
        <is>
          <t xml:space="preserve">      "转角拉篮",</t>
        </is>
      </c>
    </row>
    <row r="513">
      <c r="A513" s="9" t="n">
        <v>510</v>
      </c>
      <c r="B513" s="10" t="inlineStr">
        <is>
          <t xml:space="preserve">      "六面防潮",</t>
        </is>
      </c>
    </row>
    <row r="514">
      <c r="A514" s="7" t="n">
        <v>511</v>
      </c>
      <c r="B514" s="8" t="inlineStr">
        <is>
          <t xml:space="preserve">      "隔音棉填充",</t>
        </is>
      </c>
    </row>
    <row r="515">
      <c r="A515" s="9" t="n">
        <v>512</v>
      </c>
      <c r="B515" s="10" t="inlineStr">
        <is>
          <t xml:space="preserve">      "防渗色处理",</t>
        </is>
      </c>
    </row>
    <row r="516">
      <c r="A516" s="7" t="n">
        <v>513</v>
      </c>
      <c r="B516" s="8" t="inlineStr">
        <is>
          <t xml:space="preserve">      "甲醛释放量",</t>
        </is>
      </c>
    </row>
    <row r="517">
      <c r="A517" s="9" t="n">
        <v>514</v>
      </c>
      <c r="B517" s="10" t="inlineStr">
        <is>
          <t xml:space="preserve">      "白蜡木浅棕",</t>
        </is>
      </c>
    </row>
    <row r="518">
      <c r="A518" s="7" t="n">
        <v>515</v>
      </c>
      <c r="B518" s="8" t="inlineStr">
        <is>
          <t xml:space="preserve">      "岛台氛围灯",</t>
        </is>
      </c>
    </row>
    <row r="519">
      <c r="A519" s="9" t="n">
        <v>516</v>
      </c>
      <c r="B519" s="10" t="inlineStr">
        <is>
          <t xml:space="preserve">      "隐藏式地插",</t>
        </is>
      </c>
    </row>
    <row r="520">
      <c r="A520" s="7" t="n">
        <v>517</v>
      </c>
      <c r="B520" s="8" t="inlineStr">
        <is>
          <t xml:space="preserve">      "嵌入式冰柜",</t>
        </is>
      </c>
    </row>
    <row r="521">
      <c r="A521" s="9" t="n">
        <v>518</v>
      </c>
      <c r="B521" s="10" t="inlineStr">
        <is>
          <t xml:space="preserve">      "长虹玻璃门",</t>
        </is>
      </c>
    </row>
    <row r="522">
      <c r="A522" s="7" t="n">
        <v>519</v>
      </c>
      <c r="B522" s="8" t="inlineStr">
        <is>
          <t xml:space="preserve">      "弹簧闭门器",</t>
        </is>
      </c>
    </row>
    <row r="523">
      <c r="A523" s="9" t="n">
        <v>520</v>
      </c>
      <c r="B523" s="10" t="inlineStr">
        <is>
          <t xml:space="preserve">      "碳化木台面",</t>
        </is>
      </c>
    </row>
    <row r="524">
      <c r="A524" s="7" t="n">
        <v>521</v>
      </c>
      <c r="B524" s="8" t="inlineStr">
        <is>
          <t xml:space="preserve">      "磨砂玻璃门",</t>
        </is>
      </c>
    </row>
    <row r="525">
      <c r="A525" s="9" t="n">
        <v>522</v>
      </c>
      <c r="B525" s="10" t="inlineStr">
        <is>
          <t xml:space="preserve">      "岛台除湿机",</t>
        </is>
      </c>
    </row>
    <row r="526">
      <c r="A526" s="7" t="n">
        <v>523</v>
      </c>
      <c r="B526" s="8" t="inlineStr">
        <is>
          <t xml:space="preserve">      "黑白灰极简",</t>
        </is>
      </c>
    </row>
    <row r="527">
      <c r="A527" s="9" t="n">
        <v>524</v>
      </c>
      <c r="B527" s="10" t="inlineStr">
        <is>
          <t xml:space="preserve">      "洗衣机地漏",</t>
        </is>
      </c>
    </row>
    <row r="528">
      <c r="A528" s="7" t="n">
        <v>525</v>
      </c>
      <c r="B528" s="8" t="inlineStr">
        <is>
          <t xml:space="preserve">      "中灰色岩板",</t>
        </is>
      </c>
    </row>
    <row r="529">
      <c r="A529" s="9" t="n">
        <v>526</v>
      </c>
      <c r="B529" s="10" t="inlineStr">
        <is>
          <t xml:space="preserve">      "岛台开放格",</t>
        </is>
      </c>
    </row>
    <row r="530">
      <c r="A530" s="7" t="n">
        <v>527</v>
      </c>
      <c r="B530" s="8" t="inlineStr">
        <is>
          <t xml:space="preserve">      "多层实木板",</t>
        </is>
      </c>
    </row>
    <row r="531">
      <c r="A531" s="9" t="n">
        <v>528</v>
      </c>
      <c r="B531" s="10" t="inlineStr">
        <is>
          <t xml:space="preserve">      "抽屉收纳格",</t>
        </is>
      </c>
    </row>
    <row r="532">
      <c r="A532" s="7" t="n">
        <v>529</v>
      </c>
      <c r="B532" s="8" t="inlineStr">
        <is>
          <t xml:space="preserve">      "嵌入式冰箱",</t>
        </is>
      </c>
    </row>
    <row r="533">
      <c r="A533" s="9" t="n">
        <v>530</v>
      </c>
      <c r="B533" s="10" t="inlineStr">
        <is>
          <t xml:space="preserve">      "水曲柳深棕",</t>
        </is>
      </c>
    </row>
    <row r="534">
      <c r="A534" s="7" t="n">
        <v>531</v>
      </c>
      <c r="B534" s="8" t="inlineStr">
        <is>
          <t xml:space="preserve">      "PET门板",</t>
        </is>
      </c>
    </row>
    <row r="535">
      <c r="A535" s="9" t="n">
        <v>532</v>
      </c>
      <c r="B535" s="10" t="inlineStr">
        <is>
          <t xml:space="preserve">      "高低台设计",</t>
        </is>
      </c>
    </row>
    <row r="536">
      <c r="A536" s="7" t="n">
        <v>533</v>
      </c>
      <c r="B536" s="8" t="inlineStr">
        <is>
          <t xml:space="preserve">      "EVA封边",</t>
        </is>
      </c>
    </row>
    <row r="537">
      <c r="A537" s="9" t="n">
        <v>534</v>
      </c>
      <c r="B537" s="10" t="inlineStr">
        <is>
          <t xml:space="preserve">      "现代传承风",</t>
        </is>
      </c>
    </row>
    <row r="538">
      <c r="A538" s="7" t="n">
        <v>535</v>
      </c>
      <c r="B538" s="8" t="inlineStr">
        <is>
          <t xml:space="preserve">      "不锈钢柜体",</t>
        </is>
      </c>
    </row>
    <row r="539">
      <c r="A539" s="9" t="n">
        <v>536</v>
      </c>
      <c r="B539" s="10" t="inlineStr">
        <is>
          <t xml:space="preserve">      "古铜色拉手",</t>
        </is>
      </c>
    </row>
    <row r="540">
      <c r="A540" s="7" t="n">
        <v>537</v>
      </c>
      <c r="B540" s="8" t="inlineStr">
        <is>
          <t xml:space="preserve">      "水泥纹岩板",</t>
        </is>
      </c>
    </row>
    <row r="541">
      <c r="A541" s="9" t="n">
        <v>538</v>
      </c>
      <c r="B541" s="10" t="inlineStr">
        <is>
          <t xml:space="preserve">      "岛台置物架",</t>
        </is>
      </c>
    </row>
    <row r="542">
      <c r="A542" s="7" t="n">
        <v>539</v>
      </c>
      <c r="B542" s="8" t="inlineStr">
        <is>
          <t xml:space="preserve">      "岛台餐边柜",</t>
        </is>
      </c>
    </row>
    <row r="543">
      <c r="A543" s="9" t="n">
        <v>540</v>
      </c>
      <c r="B543" s="10" t="inlineStr">
        <is>
          <t xml:space="preserve">      "水槽洗碗盆",</t>
        </is>
      </c>
    </row>
    <row r="544">
      <c r="A544" s="7" t="n">
        <v>541</v>
      </c>
      <c r="B544" s="8" t="inlineStr">
        <is>
          <t xml:space="preserve">      "铜质水龙头",</t>
        </is>
      </c>
    </row>
    <row r="545">
      <c r="A545" s="9" t="n">
        <v>542</v>
      </c>
      <c r="B545" s="10" t="inlineStr">
        <is>
          <t xml:space="preserve">      "黑色水龙头",</t>
        </is>
      </c>
    </row>
    <row r="546">
      <c r="A546" s="7" t="n">
        <v>543</v>
      </c>
      <c r="B546" s="8" t="inlineStr">
        <is>
          <t xml:space="preserve">      "水槽洗菜盆",</t>
        </is>
      </c>
    </row>
    <row r="547">
      <c r="A547" s="9" t="n">
        <v>544</v>
      </c>
      <c r="B547" s="10" t="inlineStr">
        <is>
          <t xml:space="preserve">      "黑胡桃深棕",</t>
        </is>
      </c>
    </row>
    <row r="548">
      <c r="A548" s="7" t="n">
        <v>545</v>
      </c>
      <c r="B548" s="8" t="inlineStr">
        <is>
          <t xml:space="preserve">      "抽屉分隔板",</t>
        </is>
      </c>
    </row>
    <row r="549">
      <c r="A549" s="9" t="n">
        <v>546</v>
      </c>
      <c r="B549" s="10" t="inlineStr">
        <is>
          <t xml:space="preserve">      "岛台抽屉灯",</t>
        </is>
      </c>
    </row>
    <row r="550">
      <c r="A550" s="7" t="n">
        <v>547</v>
      </c>
      <c r="B550" s="8" t="inlineStr">
        <is>
          <t xml:space="preserve">      "人性化设计",</t>
        </is>
      </c>
    </row>
    <row r="551">
      <c r="A551" s="9" t="n">
        <v>548</v>
      </c>
      <c r="B551" s="10" t="inlineStr">
        <is>
          <t xml:space="preserve">      "一体式设计",</t>
        </is>
      </c>
    </row>
    <row r="552">
      <c r="A552" s="7" t="n">
        <v>549</v>
      </c>
      <c r="B552" s="8" t="inlineStr">
        <is>
          <t xml:space="preserve">      "岛台挡水条",</t>
        </is>
      </c>
    </row>
    <row r="553">
      <c r="A553" s="9" t="n">
        <v>550</v>
      </c>
      <c r="B553" s="10" t="inlineStr">
        <is>
          <t xml:space="preserve">      "岛台储物柜",</t>
        </is>
      </c>
    </row>
    <row r="554">
      <c r="A554" s="7" t="n">
        <v>551</v>
      </c>
      <c r="B554" s="8" t="inlineStr">
        <is>
          <t xml:space="preserve">      "感应水龙头",</t>
        </is>
      </c>
    </row>
    <row r="555">
      <c r="A555" s="9" t="n">
        <v>552</v>
      </c>
      <c r="B555" s="10" t="inlineStr">
        <is>
          <t xml:space="preserve">      "深水封地漏",</t>
        </is>
      </c>
    </row>
    <row r="556">
      <c r="A556" s="7" t="n">
        <v>553</v>
      </c>
      <c r="B556" s="8" t="inlineStr">
        <is>
          <t xml:space="preserve">      "松木指接板",</t>
        </is>
      </c>
    </row>
    <row r="557">
      <c r="A557" s="9" t="n">
        <v>554</v>
      </c>
      <c r="B557" s="10" t="inlineStr">
        <is>
          <t xml:space="preserve">      "火烧石台面",</t>
        </is>
      </c>
    </row>
    <row r="558">
      <c r="A558" s="7" t="n">
        <v>555</v>
      </c>
      <c r="B558" s="8" t="inlineStr">
        <is>
          <t xml:space="preserve">      "岛台沥水篮",</t>
        </is>
      </c>
    </row>
    <row r="559">
      <c r="A559" s="9" t="n">
        <v>556</v>
      </c>
      <c r="B559" s="10" t="inlineStr">
        <is>
          <t xml:space="preserve">      "岛台垃圾盖",</t>
        </is>
      </c>
    </row>
    <row r="560">
      <c r="A560" s="7" t="n">
        <v>557</v>
      </c>
      <c r="B560" s="8" t="inlineStr">
        <is>
          <t xml:space="preserve">      "嵌入式烤箱",</t>
        </is>
      </c>
    </row>
    <row r="561">
      <c r="A561" s="9" t="n">
        <v>558</v>
      </c>
      <c r="B561" s="10" t="inlineStr">
        <is>
          <t xml:space="preserve">      "实木指接板",</t>
        </is>
      </c>
    </row>
    <row r="562">
      <c r="A562" s="7" t="n">
        <v>559</v>
      </c>
      <c r="B562" s="8" t="inlineStr">
        <is>
          <t xml:space="preserve">      "百隆骑马抽",</t>
        </is>
      </c>
    </row>
    <row r="563">
      <c r="A563" s="9" t="n">
        <v>560</v>
      </c>
      <c r="B563" s="10" t="inlineStr">
        <is>
          <t xml:space="preserve">      "白橡木米白",</t>
        </is>
      </c>
    </row>
    <row r="564">
      <c r="A564" s="7" t="n">
        <v>561</v>
      </c>
      <c r="B564" s="8" t="inlineStr">
        <is>
          <t xml:space="preserve">      "嵌入式米箱",</t>
        </is>
      </c>
    </row>
    <row r="565">
      <c r="A565" s="9" t="n">
        <v>562</v>
      </c>
      <c r="B565" s="10" t="inlineStr">
        <is>
          <t xml:space="preserve">      "莫兰迪色系",</t>
        </is>
      </c>
    </row>
    <row r="566">
      <c r="A566" s="7" t="n">
        <v>563</v>
      </c>
      <c r="B566" s="8" t="inlineStr">
        <is>
          <t xml:space="preserve">      "杜邦可丽耐",</t>
        </is>
      </c>
    </row>
    <row r="567">
      <c r="A567" s="9" t="n">
        <v>564</v>
      </c>
      <c r="B567" s="10" t="inlineStr">
        <is>
          <t xml:space="preserve">      "可移动岛台",</t>
        </is>
      </c>
    </row>
    <row r="568">
      <c r="A568" s="7" t="n">
        <v>565</v>
      </c>
      <c r="B568" s="8" t="inlineStr">
        <is>
          <t xml:space="preserve">      "气压支撑杆",</t>
        </is>
      </c>
    </row>
    <row r="569">
      <c r="A569" s="9" t="n">
        <v>566</v>
      </c>
      <c r="B569" s="10" t="inlineStr">
        <is>
          <t xml:space="preserve">      "嵌入式插座",</t>
        </is>
      </c>
    </row>
    <row r="570">
      <c r="A570" s="7" t="n">
        <v>567</v>
      </c>
      <c r="B570" s="8" t="inlineStr">
        <is>
          <t xml:space="preserve">      "岛台电磁炉",</t>
        </is>
      </c>
    </row>
    <row r="571">
      <c r="A571" s="9" t="n">
        <v>568</v>
      </c>
      <c r="B571" s="10" t="inlineStr">
        <is>
          <t xml:space="preserve">      "日式禅意风",</t>
        </is>
      </c>
    </row>
    <row r="572">
      <c r="A572" s="7" t="n">
        <v>569</v>
      </c>
      <c r="B572" s="8" t="inlineStr">
        <is>
          <t xml:space="preserve">      "子母槽水槽",</t>
        </is>
      </c>
    </row>
    <row r="573">
      <c r="A573" s="9" t="n">
        <v>570</v>
      </c>
      <c r="B573" s="10" t="inlineStr">
        <is>
          <t xml:space="preserve">      "天然大理石",</t>
        </is>
      </c>
    </row>
    <row r="574">
      <c r="A574" s="7" t="n">
        <v>571</v>
      </c>
      <c r="B574" s="8" t="inlineStr">
        <is>
          <t xml:space="preserve">      "海蒂诗铰链",</t>
        </is>
      </c>
    </row>
    <row r="575">
      <c r="A575" s="9" t="n">
        <v>572</v>
      </c>
      <c r="B575" s="10" t="inlineStr">
        <is>
          <t xml:space="preserve">      "液压支撑杆",</t>
        </is>
      </c>
    </row>
    <row r="576">
      <c r="A576" s="7" t="n">
        <v>573</v>
      </c>
      <c r="B576" s="8" t="inlineStr">
        <is>
          <t xml:space="preserve">      "水龙头漏水",</t>
        </is>
      </c>
    </row>
    <row r="577">
      <c r="A577" s="9" t="n">
        <v>574</v>
      </c>
      <c r="B577" s="10" t="inlineStr">
        <is>
          <t xml:space="preserve">      "岛台下翻柜",</t>
        </is>
      </c>
    </row>
    <row r="578">
      <c r="A578" s="7" t="n">
        <v>575</v>
      </c>
      <c r="B578" s="8" t="inlineStr">
        <is>
          <t xml:space="preserve">      "橡木指接板",</t>
        </is>
      </c>
    </row>
    <row r="579">
      <c r="A579" s="9" t="n">
        <v>576</v>
      </c>
      <c r="B579" s="10" t="inlineStr">
        <is>
          <t xml:space="preserve">      "无拉手设计",</t>
        </is>
      </c>
    </row>
    <row r="580">
      <c r="A580" s="7" t="n">
        <v>577</v>
      </c>
      <c r="B580" s="8" t="inlineStr">
        <is>
          <t xml:space="preserve">      "柜门关不严",</t>
        </is>
      </c>
    </row>
    <row r="581">
      <c r="A581" s="9" t="n">
        <v>578</v>
      </c>
      <c r="B581" s="10" t="inlineStr">
        <is>
          <t xml:space="preserve">      "岛台踢脚线",</t>
        </is>
      </c>
    </row>
    <row r="582">
      <c r="A582" s="7" t="n">
        <v>579</v>
      </c>
      <c r="B582" s="8" t="inlineStr">
        <is>
          <t xml:space="preserve">      "抽屉收纳盒",</t>
        </is>
      </c>
    </row>
    <row r="583">
      <c r="A583" s="9" t="n">
        <v>580</v>
      </c>
      <c r="B583" s="10" t="inlineStr">
        <is>
          <t xml:space="preserve">      "铝合金柜体",</t>
        </is>
      </c>
    </row>
    <row r="584">
      <c r="A584" s="7" t="n">
        <v>581</v>
      </c>
      <c r="B584" s="8" t="inlineStr">
        <is>
          <t xml:space="preserve">      "岛台保温板",</t>
        </is>
      </c>
    </row>
    <row r="585">
      <c r="A585" s="9" t="n">
        <v>582</v>
      </c>
      <c r="B585" s="10" t="inlineStr">
        <is>
          <t xml:space="preserve">      "触摸水龙头",</t>
        </is>
      </c>
    </row>
    <row r="586">
      <c r="A586" s="7" t="n">
        <v>583</v>
      </c>
      <c r="B586" s="8" t="inlineStr">
        <is>
          <t xml:space="preserve">      "侘寂奶油风",</t>
        </is>
      </c>
    </row>
    <row r="587">
      <c r="A587" s="9" t="n">
        <v>584</v>
      </c>
      <c r="B587" s="10" t="inlineStr">
        <is>
          <t xml:space="preserve">      "岛台收纳盒",</t>
        </is>
      </c>
    </row>
    <row r="588">
      <c r="A588" s="7" t="n">
        <v>585</v>
      </c>
      <c r="B588" s="8" t="inlineStr">
        <is>
          <t xml:space="preserve">      "极简工业风",</t>
        </is>
      </c>
    </row>
    <row r="589">
      <c r="A589" s="9" t="n">
        <v>586</v>
      </c>
      <c r="B589" s="10" t="inlineStr">
        <is>
          <t xml:space="preserve">      "岛台侧拉篮",</t>
        </is>
      </c>
    </row>
    <row r="590">
      <c r="A590" s="7" t="n">
        <v>587</v>
      </c>
      <c r="B590" s="8" t="inlineStr">
        <is>
          <t xml:space="preserve">      "嵌入式酒柜",</t>
        </is>
      </c>
    </row>
    <row r="591">
      <c r="A591" s="9" t="n">
        <v>588</v>
      </c>
      <c r="B591" s="10" t="inlineStr">
        <is>
          <t xml:space="preserve">      "奶油莱姆石",</t>
        </is>
      </c>
    </row>
    <row r="592">
      <c r="A592" s="7" t="n">
        <v>589</v>
      </c>
      <c r="B592" s="8" t="inlineStr">
        <is>
          <t xml:space="preserve">      "枪灰色拉手",</t>
        </is>
      </c>
    </row>
    <row r="593">
      <c r="A593" s="9" t="n">
        <v>590</v>
      </c>
      <c r="B593" s="10" t="inlineStr">
        <is>
          <t xml:space="preserve">      "不锈钢水槽",</t>
        </is>
      </c>
    </row>
    <row r="594">
      <c r="A594" s="7" t="n">
        <v>591</v>
      </c>
      <c r="B594" s="8" t="inlineStr">
        <is>
          <t xml:space="preserve">      "开放式设计",</t>
        </is>
      </c>
    </row>
    <row r="595">
      <c r="A595" s="9" t="n">
        <v>592</v>
      </c>
      <c r="B595" s="10" t="inlineStr">
        <is>
          <t xml:space="preserve">      "抽屉拉不动",</t>
        </is>
      </c>
    </row>
    <row r="596">
      <c r="A596" s="7" t="n">
        <v>593</v>
      </c>
      <c r="B596" s="8" t="inlineStr">
        <is>
          <t xml:space="preserve">      "荔枝面石材",</t>
        </is>
      </c>
    </row>
    <row r="597">
      <c r="A597" s="9" t="n">
        <v>594</v>
      </c>
      <c r="B597" s="10" t="inlineStr">
        <is>
          <t xml:space="preserve">      "安装不到位",</t>
        </is>
      </c>
    </row>
    <row r="598">
      <c r="A598" s="7" t="n">
        <v>595</v>
      </c>
      <c r="B598" s="8" t="inlineStr">
        <is>
          <t xml:space="preserve">      "反弹器失灵",</t>
        </is>
      </c>
    </row>
    <row r="599">
      <c r="A599" s="9" t="n">
        <v>596</v>
      </c>
      <c r="B599" s="10" t="inlineStr">
        <is>
          <t xml:space="preserve">      "地中海风格",</t>
        </is>
      </c>
    </row>
    <row r="600">
      <c r="A600" s="7" t="n">
        <v>597</v>
      </c>
      <c r="B600" s="8" t="inlineStr">
        <is>
          <t xml:space="preserve">      "樱桃木红棕",</t>
        </is>
      </c>
    </row>
    <row r="601">
      <c r="A601" s="9" t="n">
        <v>598</v>
      </c>
      <c r="B601" s="10" t="inlineStr">
        <is>
          <t xml:space="preserve">      "岛台充电岛",</t>
        </is>
      </c>
    </row>
    <row r="602">
      <c r="A602" s="7" t="n">
        <v>599</v>
      </c>
      <c r="B602" s="8" t="inlineStr">
        <is>
          <t xml:space="preserve">      "透明玻璃门",</t>
        </is>
      </c>
    </row>
    <row r="603">
      <c r="A603" s="9" t="n">
        <v>600</v>
      </c>
      <c r="B603" s="10" t="inlineStr">
        <is>
          <t xml:space="preserve">      "路易威登棕",</t>
        </is>
      </c>
    </row>
    <row r="604">
      <c r="A604" s="7" t="n">
        <v>601</v>
      </c>
      <c r="B604" s="8" t="inlineStr">
        <is>
          <t xml:space="preserve">      "海蒂诗滑轨",</t>
        </is>
      </c>
    </row>
    <row r="605">
      <c r="A605" s="9" t="n">
        <v>602</v>
      </c>
      <c r="B605" s="10" t="inlineStr">
        <is>
          <t xml:space="preserve">      "岛台收边条",</t>
        </is>
      </c>
    </row>
    <row r="606">
      <c r="A606" s="7" t="n">
        <v>603</v>
      </c>
      <c r="B606" s="8" t="inlineStr">
        <is>
          <t xml:space="preserve">      "天然花岗岩",</t>
        </is>
      </c>
    </row>
    <row r="607">
      <c r="A607" s="9" t="n">
        <v>604</v>
      </c>
      <c r="B607" s="10" t="inlineStr">
        <is>
          <t xml:space="preserve">      "新装饰艺术",</t>
        </is>
      </c>
    </row>
    <row r="608">
      <c r="A608" s="7" t="n">
        <v>605</v>
      </c>
      <c r="B608" s="8" t="inlineStr">
        <is>
          <t xml:space="preserve">      "水曲柳浅棕",</t>
        </is>
      </c>
    </row>
    <row r="609">
      <c r="A609" s="9" t="n">
        <v>606</v>
      </c>
      <c r="B609" s="10" t="inlineStr">
        <is>
          <t xml:space="preserve">      "复古工业风",</t>
        </is>
      </c>
    </row>
    <row r="610">
      <c r="A610" s="7" t="n">
        <v>607</v>
      </c>
      <c r="B610" s="8" t="inlineStr">
        <is>
          <t xml:space="preserve">      "PVC门板",</t>
        </is>
      </c>
    </row>
    <row r="611">
      <c r="A611" s="9" t="n">
        <v>608</v>
      </c>
      <c r="B611" s="10" t="inlineStr">
        <is>
          <t xml:space="preserve">      "岛台电陶炉",</t>
        </is>
      </c>
    </row>
    <row r="612">
      <c r="A612" s="7" t="n">
        <v>609</v>
      </c>
      <c r="B612" s="8" t="inlineStr">
        <is>
          <t xml:space="preserve">      "银色水龙头",</t>
        </is>
      </c>
    </row>
    <row r="613">
      <c r="A613" s="9" t="n">
        <v>610</v>
      </c>
      <c r="B613" s="10" t="inlineStr">
        <is>
          <t xml:space="preserve">      "铝合金五金",</t>
        </is>
      </c>
    </row>
    <row r="614">
      <c r="A614" s="7" t="n">
        <v>611</v>
      </c>
      <c r="B614" s="8" t="inlineStr">
        <is>
          <t xml:space="preserve">      "防臭下水管",</t>
        </is>
      </c>
    </row>
    <row r="615">
      <c r="A615" s="9" t="n">
        <v>612</v>
      </c>
      <c r="B615" s="10" t="inlineStr">
        <is>
          <t xml:space="preserve">      "岛台酒杯架",</t>
        </is>
      </c>
    </row>
    <row r="616">
      <c r="A616" s="7" t="n">
        <v>613</v>
      </c>
      <c r="B616" s="8" t="inlineStr">
        <is>
          <t xml:space="preserve">      "阶梯式水槽",</t>
        </is>
      </c>
    </row>
    <row r="617">
      <c r="A617" s="9" t="n">
        <v>614</v>
      </c>
      <c r="B617" s="10" t="inlineStr">
        <is>
          <t xml:space="preserve">      "复古南洋风",</t>
        </is>
      </c>
    </row>
    <row r="618">
      <c r="A618" s="7" t="n">
        <v>615</v>
      </c>
      <c r="B618" s="8" t="inlineStr">
        <is>
          <t xml:space="preserve">      "暗藏式设计",</t>
        </is>
      </c>
    </row>
    <row r="619">
      <c r="A619" s="9" t="n">
        <v>616</v>
      </c>
      <c r="B619" s="10" t="inlineStr">
        <is>
          <t xml:space="preserve">      "模块化设计",</t>
        </is>
      </c>
    </row>
    <row r="620">
      <c r="A620" s="7" t="n">
        <v>617</v>
      </c>
      <c r="B620" s="8" t="inlineStr">
        <is>
          <t xml:space="preserve">      "反弹器工艺",</t>
        </is>
      </c>
    </row>
    <row r="621">
      <c r="A621" s="9" t="n">
        <v>618</v>
      </c>
      <c r="B621" s="10" t="inlineStr">
        <is>
          <t xml:space="preserve">      "免拉手工艺",</t>
        </is>
      </c>
    </row>
    <row r="622">
      <c r="A622" s="7" t="n">
        <v>619</v>
      </c>
      <c r="B622" s="8" t="inlineStr">
        <is>
          <t xml:space="preserve">      "极简奶油风",</t>
        </is>
      </c>
    </row>
    <row r="623">
      <c r="A623" s="9" t="n">
        <v>620</v>
      </c>
      <c r="B623" s="10" t="inlineStr">
        <is>
          <t xml:space="preserve">      "托斯卡纳风",</t>
        </is>
      </c>
    </row>
    <row r="624">
      <c r="A624" s="7" t="n">
        <v>621</v>
      </c>
      <c r="B624" s="8" t="inlineStr">
        <is>
          <t xml:space="preserve">      "踢脚线灯槽",</t>
        </is>
      </c>
    </row>
    <row r="625">
      <c r="A625" s="9" t="n">
        <v>622</v>
      </c>
      <c r="B625" s="10" t="inlineStr">
        <is>
          <t xml:space="preserve">      "混凝土岛台",</t>
        </is>
      </c>
    </row>
    <row r="626">
      <c r="A626" s="7" t="n">
        <v>623</v>
      </c>
      <c r="B626" s="8" t="inlineStr">
        <is>
          <t xml:space="preserve">      "长条形拉手",</t>
        </is>
      </c>
    </row>
    <row r="627">
      <c r="A627" s="9" t="n">
        <v>624</v>
      </c>
      <c r="B627" s="10" t="inlineStr">
        <is>
          <t xml:space="preserve">      "骑马抽滑轨",</t>
        </is>
      </c>
    </row>
    <row r="628">
      <c r="A628" s="7" t="n">
        <v>625</v>
      </c>
      <c r="B628" s="8" t="inlineStr">
        <is>
          <t xml:space="preserve">      "岛台水龙头",</t>
        </is>
      </c>
    </row>
    <row r="629">
      <c r="A629" s="9" t="n">
        <v>626</v>
      </c>
      <c r="B629" s="10" t="inlineStr">
        <is>
          <t xml:space="preserve">      "铝框玻璃门",</t>
        </is>
      </c>
    </row>
    <row r="630">
      <c r="A630" s="7" t="n">
        <v>627</v>
      </c>
      <c r="B630" s="8" t="inlineStr">
        <is>
          <t xml:space="preserve">      "实木颗粒板",</t>
        </is>
      </c>
    </row>
    <row r="631">
      <c r="A631" s="9" t="n">
        <v>628</v>
      </c>
      <c r="B631" s="10" t="inlineStr">
        <is>
          <t xml:space="preserve">      "哑光面石材",</t>
        </is>
      </c>
    </row>
    <row r="632">
      <c r="A632" s="7" t="n">
        <v>629</v>
      </c>
      <c r="B632" s="8" t="inlineStr">
        <is>
          <t xml:space="preserve">      "水槽溢水口",</t>
        </is>
      </c>
    </row>
    <row r="633">
      <c r="A633" s="9" t="n">
        <v>630</v>
      </c>
      <c r="B633" s="10" t="inlineStr">
        <is>
          <t xml:space="preserve">      "定制化设计",</t>
        </is>
      </c>
    </row>
    <row r="634">
      <c r="A634" s="7" t="n">
        <v>631</v>
      </c>
      <c r="B634" s="8" t="inlineStr">
        <is>
          <t xml:space="preserve">      "三聚氰胺板",</t>
        </is>
      </c>
    </row>
    <row r="635">
      <c r="A635" s="9" t="n">
        <v>632</v>
      </c>
      <c r="B635" s="10" t="inlineStr">
        <is>
          <t xml:space="preserve">      "开放式厨房",</t>
        </is>
      </c>
    </row>
    <row r="636">
      <c r="A636" s="7" t="n">
        <v>633</v>
      </c>
      <c r="B636" s="8" t="inlineStr">
        <is>
          <t xml:space="preserve">      "客餐厨一体",</t>
        </is>
      </c>
    </row>
    <row r="637">
      <c r="A637" s="9" t="n">
        <v>634</v>
      </c>
      <c r="B637" s="10" t="inlineStr">
        <is>
          <t xml:space="preserve">      "极简侘寂风",</t>
        </is>
      </c>
    </row>
    <row r="638">
      <c r="A638" s="7" t="n">
        <v>635</v>
      </c>
      <c r="B638" s="8" t="inlineStr">
        <is>
          <t xml:space="preserve">      "嵌入式刀架",</t>
        </is>
      </c>
    </row>
    <row r="639">
      <c r="A639" s="9" t="n">
        <v>636</v>
      </c>
      <c r="B639" s="10" t="inlineStr">
        <is>
          <t xml:space="preserve">      "冷热水龙头",</t>
        </is>
      </c>
    </row>
    <row r="640">
      <c r="A640" s="7" t="n">
        <v>637</v>
      </c>
      <c r="B640" s="8" t="inlineStr">
        <is>
          <t xml:space="preserve">      "一字型厨房",</t>
        </is>
      </c>
    </row>
    <row r="641">
      <c r="A641" s="9" t="n">
        <v>638</v>
      </c>
      <c r="B641" s="10" t="inlineStr">
        <is>
          <t xml:space="preserve">      "柔光面石材",</t>
        </is>
      </c>
    </row>
    <row r="642">
      <c r="A642" s="7" t="n">
        <v>639</v>
      </c>
      <c r="B642" s="8" t="inlineStr">
        <is>
          <t xml:space="preserve">      "弹起式地插",</t>
        </is>
      </c>
    </row>
    <row r="643">
      <c r="A643" s="9" t="n">
        <v>640</v>
      </c>
      <c r="B643" s="10" t="inlineStr">
        <is>
          <t xml:space="preserve">      "嵌入式设计",</t>
        </is>
      </c>
    </row>
    <row r="644">
      <c r="A644" s="7" t="n">
        <v>641</v>
      </c>
      <c r="B644" s="8" t="inlineStr">
        <is>
          <t xml:space="preserve">      "微水泥台面",</t>
        </is>
      </c>
    </row>
    <row r="645">
      <c r="A645" s="9" t="n">
        <v>642</v>
      </c>
      <c r="B645" s="10" t="inlineStr">
        <is>
          <t xml:space="preserve">      "石英石水槽",</t>
        </is>
      </c>
    </row>
    <row r="646">
      <c r="A646" s="7" t="n">
        <v>643</v>
      </c>
      <c r="B646" s="8" t="inlineStr">
        <is>
          <t xml:space="preserve">      "液压闭门器",</t>
        </is>
      </c>
    </row>
    <row r="647">
      <c r="A647" s="9" t="n">
        <v>644</v>
      </c>
      <c r="B647" s="10" t="inlineStr">
        <is>
          <t xml:space="preserve">      "电动反弹器",</t>
        </is>
      </c>
    </row>
    <row r="648">
      <c r="A648" s="7" t="n">
        <v>645</v>
      </c>
      <c r="B648" s="8" t="inlineStr">
        <is>
          <t xml:space="preserve">      "樱桃木浅红",</t>
        </is>
      </c>
    </row>
    <row r="649">
      <c r="A649" s="9" t="n">
        <v>646</v>
      </c>
      <c r="B649" s="10" t="inlineStr">
        <is>
          <t xml:space="preserve">      "平推式地插",</t>
        </is>
      </c>
    </row>
    <row r="650">
      <c r="A650" s="7" t="n">
        <v>647</v>
      </c>
      <c r="B650" s="8" t="inlineStr">
        <is>
          <t xml:space="preserve">      "内嵌式设计",</t>
        </is>
      </c>
    </row>
    <row r="651">
      <c r="A651" s="9" t="n">
        <v>648</v>
      </c>
      <c r="B651" s="10" t="inlineStr">
        <is>
          <t xml:space="preserve">      "红橡木红棕",</t>
        </is>
      </c>
    </row>
    <row r="652">
      <c r="A652" s="7" t="n">
        <v>649</v>
      </c>
      <c r="B652" s="8" t="inlineStr">
        <is>
          <t xml:space="preserve">      "一体化设计",</t>
        </is>
      </c>
    </row>
    <row r="653">
      <c r="A653" s="9" t="n">
        <v>650</v>
      </c>
      <c r="B653" s="10" t="inlineStr">
        <is>
          <t xml:space="preserve">      "岛台展示柜",</t>
        </is>
      </c>
    </row>
    <row r="654">
      <c r="A654" s="7" t="n">
        <v>651</v>
      </c>
      <c r="B654" s="8" t="inlineStr">
        <is>
          <t xml:space="preserve">      "带开关插座",</t>
        </is>
      </c>
    </row>
    <row r="655">
      <c r="A655" s="9" t="n">
        <v>652</v>
      </c>
      <c r="B655" s="10" t="inlineStr">
        <is>
          <t xml:space="preserve">      "嵌入式蒸箱",</t>
        </is>
      </c>
    </row>
    <row r="656">
      <c r="A656" s="7" t="n">
        <v>653</v>
      </c>
      <c r="B656" s="8" t="inlineStr">
        <is>
          <t xml:space="preserve">      "多功能岛台",</t>
        </is>
      </c>
    </row>
    <row r="657">
      <c r="A657" s="9" t="n">
        <v>654</v>
      </c>
      <c r="B657" s="10" t="inlineStr">
        <is>
          <t xml:space="preserve">      "东泰DTC",</t>
        </is>
      </c>
    </row>
    <row r="658">
      <c r="A658" s="7" t="n">
        <v>655</v>
      </c>
      <c r="B658" s="8" t="inlineStr">
        <is>
          <t xml:space="preserve">      "混搭轻奢风",</t>
        </is>
      </c>
    </row>
    <row r="659">
      <c r="A659" s="9" t="n">
        <v>656</v>
      </c>
      <c r="B659" s="10" t="inlineStr">
        <is>
          <t xml:space="preserve">      "复合亚克力",</t>
        </is>
      </c>
    </row>
    <row r="660">
      <c r="A660" s="7" t="n">
        <v>657</v>
      </c>
      <c r="B660" s="8" t="inlineStr">
        <is>
          <t xml:space="preserve">      "岛台装饰条",</t>
        </is>
      </c>
    </row>
    <row r="661">
      <c r="A661" s="9" t="n">
        <v>658</v>
      </c>
      <c r="B661" s="10" t="inlineStr">
        <is>
          <t xml:space="preserve">      "单冷水龙头",</t>
        </is>
      </c>
    </row>
    <row r="662">
      <c r="A662" s="7" t="n">
        <v>659</v>
      </c>
      <c r="B662" s="8" t="inlineStr">
        <is>
          <t xml:space="preserve">      "原木奶油风",</t>
        </is>
      </c>
    </row>
    <row r="663">
      <c r="A663" s="9" t="n">
        <v>660</v>
      </c>
      <c r="B663" s="10" t="inlineStr">
        <is>
          <t xml:space="preserve">      "45度拼接",</t>
        </is>
      </c>
    </row>
    <row r="664">
      <c r="A664" s="7" t="n">
        <v>661</v>
      </c>
      <c r="B664" s="8" t="inlineStr">
        <is>
          <t xml:space="preserve">      "可翻转岛台",</t>
        </is>
      </c>
    </row>
    <row r="665">
      <c r="A665" s="9" t="n">
        <v>662</v>
      </c>
      <c r="B665" s="10" t="inlineStr">
        <is>
          <t xml:space="preserve">      "岛台洗杯器",</t>
        </is>
      </c>
    </row>
    <row r="666">
      <c r="A666" s="7" t="n">
        <v>663</v>
      </c>
      <c r="B666" s="8" t="inlineStr">
        <is>
          <t xml:space="preserve">      "生态科技风",</t>
        </is>
      </c>
    </row>
    <row r="667">
      <c r="A667" s="9" t="n">
        <v>664</v>
      </c>
      <c r="B667" s="10" t="inlineStr">
        <is>
          <t xml:space="preserve">      "悍高骑马抽",</t>
        </is>
      </c>
    </row>
    <row r="668">
      <c r="A668" s="7" t="n">
        <v>665</v>
      </c>
      <c r="B668" s="8" t="inlineStr">
        <is>
          <t xml:space="preserve">      "隐藏式滑轨",</t>
        </is>
      </c>
    </row>
    <row r="669">
      <c r="A669" s="9" t="n">
        <v>666</v>
      </c>
      <c r="B669" s="10" t="inlineStr">
        <is>
          <t xml:space="preserve">      "浅灰色岩板",</t>
        </is>
      </c>
    </row>
    <row r="670">
      <c r="A670" s="7" t="n">
        <v>667</v>
      </c>
      <c r="B670" s="8" t="inlineStr">
        <is>
          <t xml:space="preserve">      "隐藏式插座",</t>
        </is>
      </c>
    </row>
    <row r="671">
      <c r="A671" s="9" t="n">
        <v>668</v>
      </c>
      <c r="B671" s="10" t="inlineStr">
        <is>
          <t xml:space="preserve">      "磁吸反弹器",</t>
        </is>
      </c>
    </row>
    <row r="672">
      <c r="A672" s="7" t="n">
        <v>669</v>
      </c>
      <c r="B672" s="8" t="inlineStr">
        <is>
          <t xml:space="preserve">      "现代侘寂风",</t>
        </is>
      </c>
    </row>
    <row r="673">
      <c r="A673" s="9" t="n">
        <v>670</v>
      </c>
      <c r="B673" s="10" t="inlineStr">
        <is>
          <t xml:space="preserve">      "山水画岩板",</t>
        </is>
      </c>
    </row>
    <row r="674">
      <c r="A674" s="7" t="n">
        <v>671</v>
      </c>
      <c r="B674" s="8" t="inlineStr">
        <is>
          <t xml:space="preserve">      "黑胡桃黑棕",</t>
        </is>
      </c>
    </row>
    <row r="675">
      <c r="A675" s="9" t="n">
        <v>672</v>
      </c>
      <c r="B675" s="10" t="inlineStr">
        <is>
          <t xml:space="preserve">      "封闭式厨房",</t>
        </is>
      </c>
    </row>
    <row r="676">
      <c r="A676" s="7" t="n">
        <v>673</v>
      </c>
      <c r="B676" s="8" t="inlineStr">
        <is>
          <t xml:space="preserve">      "岛台纸巾架",</t>
        </is>
      </c>
    </row>
    <row r="677">
      <c r="A677" s="9" t="n">
        <v>674</v>
      </c>
      <c r="B677" s="10" t="inlineStr">
        <is>
          <t xml:space="preserve">      "防臭下水器",</t>
        </is>
      </c>
    </row>
    <row r="678">
      <c r="A678" s="7" t="n">
        <v>675</v>
      </c>
      <c r="B678" s="8" t="inlineStr">
        <is>
          <t xml:space="preserve">      "隐藏式设计",</t>
        </is>
      </c>
    </row>
    <row r="679">
      <c r="A679" s="9" t="n">
        <v>676</v>
      </c>
      <c r="B679" s="10" t="inlineStr">
        <is>
          <t xml:space="preserve">      "深灰色岩板",</t>
        </is>
      </c>
    </row>
    <row r="680">
      <c r="A680" s="7" t="n">
        <v>677</v>
      </c>
      <c r="B680" s="8" t="inlineStr">
        <is>
          <t xml:space="preserve">      "岛台玻璃柜",</t>
        </is>
      </c>
    </row>
    <row r="681">
      <c r="A681" s="9" t="n">
        <v>678</v>
      </c>
      <c r="B681" s="10" t="inlineStr">
        <is>
          <t xml:space="preserve">      "新中式轻奢",</t>
        </is>
      </c>
    </row>
    <row r="682">
      <c r="A682" s="7" t="n">
        <v>679</v>
      </c>
      <c r="B682" s="8" t="inlineStr">
        <is>
          <t xml:space="preserve">      "金色拉手",</t>
        </is>
      </c>
    </row>
    <row r="683">
      <c r="A683" s="9" t="n">
        <v>680</v>
      </c>
      <c r="B683" s="10" t="inlineStr">
        <is>
          <t xml:space="preserve">      "法式风格",</t>
        </is>
      </c>
    </row>
    <row r="684">
      <c r="A684" s="7" t="n">
        <v>681</v>
      </c>
      <c r="B684" s="8" t="inlineStr">
        <is>
          <t xml:space="preserve">      "中岛厨房",</t>
        </is>
      </c>
    </row>
    <row r="685">
      <c r="A685" s="9" t="n">
        <v>682</v>
      </c>
      <c r="B685" s="10" t="inlineStr">
        <is>
          <t xml:space="preserve">      "钢化玻璃",</t>
        </is>
      </c>
    </row>
    <row r="686">
      <c r="A686" s="7" t="n">
        <v>683</v>
      </c>
      <c r="B686" s="8" t="inlineStr">
        <is>
          <t xml:space="preserve">      "投影面积",</t>
        </is>
      </c>
    </row>
    <row r="687">
      <c r="A687" s="9" t="n">
        <v>684</v>
      </c>
      <c r="B687" s="10" t="inlineStr">
        <is>
          <t xml:space="preserve">      "岩板崩边",</t>
        </is>
      </c>
    </row>
    <row r="688">
      <c r="A688" s="7" t="n">
        <v>685</v>
      </c>
      <c r="B688" s="8" t="inlineStr">
        <is>
          <t xml:space="preserve">      "五孔插座",</t>
        </is>
      </c>
    </row>
    <row r="689">
      <c r="A689" s="9" t="n">
        <v>686</v>
      </c>
      <c r="B689" s="10" t="inlineStr">
        <is>
          <t xml:space="preserve">      "刀具拉篮",</t>
        </is>
      </c>
    </row>
    <row r="690">
      <c r="A690" s="7" t="n">
        <v>687</v>
      </c>
      <c r="B690" s="8" t="inlineStr">
        <is>
          <t xml:space="preserve">      "五金生锈",</t>
        </is>
      </c>
    </row>
    <row r="691">
      <c r="A691" s="9" t="n">
        <v>688</v>
      </c>
      <c r="B691" s="10" t="inlineStr">
        <is>
          <t xml:space="preserve">      "幻影森林",</t>
        </is>
      </c>
    </row>
    <row r="692">
      <c r="A692" s="7" t="n">
        <v>689</v>
      </c>
      <c r="B692" s="8" t="inlineStr">
        <is>
          <t xml:space="preserve">      "黑色岩板",</t>
        </is>
      </c>
    </row>
    <row r="693">
      <c r="A693" s="9" t="n">
        <v>690</v>
      </c>
      <c r="B693" s="10" t="inlineStr">
        <is>
          <t xml:space="preserve">      "天然洞石",</t>
        </is>
      </c>
    </row>
    <row r="694">
      <c r="A694" s="7" t="n">
        <v>691</v>
      </c>
      <c r="B694" s="8" t="inlineStr">
        <is>
          <t xml:space="preserve">      "双饰面板",</t>
        </is>
      </c>
    </row>
    <row r="695">
      <c r="A695" s="9" t="n">
        <v>692</v>
      </c>
      <c r="B695" s="10" t="inlineStr">
        <is>
          <t xml:space="preserve">      "迷你冰箱",</t>
        </is>
      </c>
    </row>
    <row r="696">
      <c r="A696" s="7" t="n">
        <v>693</v>
      </c>
      <c r="B696" s="8" t="inlineStr">
        <is>
          <t xml:space="preserve">      "胡桃木色",</t>
        </is>
      </c>
    </row>
    <row r="697">
      <c r="A697" s="9" t="n">
        <v>694</v>
      </c>
      <c r="B697" s="10" t="inlineStr">
        <is>
          <t xml:space="preserve">      "电动气撑",</t>
        </is>
      </c>
    </row>
    <row r="698">
      <c r="A698" s="7" t="n">
        <v>695</v>
      </c>
      <c r="B698" s="8" t="inlineStr">
        <is>
          <t xml:space="preserve">      "陶瓷水槽",</t>
        </is>
      </c>
    </row>
    <row r="699">
      <c r="A699" s="9" t="n">
        <v>696</v>
      </c>
      <c r="B699" s="10" t="inlineStr">
        <is>
          <t xml:space="preserve">      "岩板厚度",</t>
        </is>
      </c>
    </row>
    <row r="700">
      <c r="A700" s="7" t="n">
        <v>697</v>
      </c>
      <c r="B700" s="8" t="inlineStr">
        <is>
          <t xml:space="preserve">      "抽屉拉篮",</t>
        </is>
      </c>
    </row>
    <row r="701">
      <c r="A701" s="9" t="n">
        <v>698</v>
      </c>
      <c r="B701" s="10" t="inlineStr">
        <is>
          <t xml:space="preserve">      "意式极简",</t>
        </is>
      </c>
    </row>
    <row r="702">
      <c r="A702" s="7" t="n">
        <v>699</v>
      </c>
      <c r="B702" s="8" t="inlineStr">
        <is>
          <t xml:space="preserve">      "智能插座",</t>
        </is>
      </c>
    </row>
    <row r="703">
      <c r="A703" s="9" t="n">
        <v>700</v>
      </c>
      <c r="B703" s="10" t="inlineStr">
        <is>
          <t xml:space="preserve">      "柜体变形",</t>
        </is>
      </c>
    </row>
    <row r="704">
      <c r="A704" s="7" t="n">
        <v>701</v>
      </c>
      <c r="B704" s="8" t="inlineStr">
        <is>
          <t xml:space="preserve">      "天然奢石",</t>
        </is>
      </c>
    </row>
    <row r="705">
      <c r="A705" s="9" t="n">
        <v>702</v>
      </c>
      <c r="B705" s="10" t="inlineStr">
        <is>
          <t xml:space="preserve">      "圆形拉手",</t>
        </is>
      </c>
    </row>
    <row r="706">
      <c r="A706" s="7" t="n">
        <v>703</v>
      </c>
      <c r="B706" s="8" t="inlineStr">
        <is>
          <t xml:space="preserve">      "榉木浅棕",</t>
        </is>
      </c>
    </row>
    <row r="707">
      <c r="A707" s="9" t="n">
        <v>704</v>
      </c>
      <c r="B707" s="10" t="inlineStr">
        <is>
          <t xml:space="preserve">      "花梨木色",</t>
        </is>
      </c>
    </row>
    <row r="708">
      <c r="A708" s="7" t="n">
        <v>705</v>
      </c>
      <c r="B708" s="8" t="inlineStr">
        <is>
          <t xml:space="preserve">      "岩板水槽",</t>
        </is>
      </c>
    </row>
    <row r="709">
      <c r="A709" s="9" t="n">
        <v>706</v>
      </c>
      <c r="B709" s="10" t="inlineStr">
        <is>
          <t xml:space="preserve">      "怪物拉篮",</t>
        </is>
      </c>
    </row>
    <row r="710">
      <c r="A710" s="7" t="n">
        <v>707</v>
      </c>
      <c r="B710" s="8" t="inlineStr">
        <is>
          <t xml:space="preserve">      "橡木深黄",</t>
        </is>
      </c>
    </row>
    <row r="711">
      <c r="A711" s="9" t="n">
        <v>708</v>
      </c>
      <c r="B711" s="10" t="inlineStr">
        <is>
          <t xml:space="preserve">      "开关点位",</t>
        </is>
      </c>
    </row>
    <row r="712">
      <c r="A712" s="7" t="n">
        <v>709</v>
      </c>
      <c r="B712" s="8" t="inlineStr">
        <is>
          <t xml:space="preserve">      "榉木深棕",</t>
        </is>
      </c>
    </row>
    <row r="713">
      <c r="A713" s="9" t="n">
        <v>710</v>
      </c>
      <c r="B713" s="10" t="inlineStr">
        <is>
          <t xml:space="preserve">      "水槽下水",</t>
        </is>
      </c>
    </row>
    <row r="714">
      <c r="A714" s="7" t="n">
        <v>711</v>
      </c>
      <c r="B714" s="8" t="inlineStr">
        <is>
          <t xml:space="preserve">      "材质不符",</t>
        </is>
      </c>
    </row>
    <row r="715">
      <c r="A715" s="9" t="n">
        <v>712</v>
      </c>
      <c r="B715" s="10" t="inlineStr">
        <is>
          <t xml:space="preserve">      "阻尼铰链",</t>
        </is>
      </c>
    </row>
    <row r="716">
      <c r="A716" s="7" t="n">
        <v>713</v>
      </c>
      <c r="B716" s="8" t="inlineStr">
        <is>
          <t xml:space="preserve">      "白雪公主",</t>
        </is>
      </c>
    </row>
    <row r="717">
      <c r="A717" s="9" t="n">
        <v>714</v>
      </c>
      <c r="B717" s="10" t="inlineStr">
        <is>
          <t xml:space="preserve">      "岛台灯带",</t>
        </is>
      </c>
    </row>
    <row r="718">
      <c r="A718" s="7" t="n">
        <v>715</v>
      </c>
      <c r="B718" s="8" t="inlineStr">
        <is>
          <t xml:space="preserve">      "弹簧铰链",</t>
        </is>
      </c>
    </row>
    <row r="719">
      <c r="A719" s="9" t="n">
        <v>716</v>
      </c>
      <c r="B719" s="10" t="inlineStr">
        <is>
          <t xml:space="preserve">      "港式轻奢",</t>
        </is>
      </c>
    </row>
    <row r="720">
      <c r="A720" s="7" t="n">
        <v>717</v>
      </c>
      <c r="B720" s="8" t="inlineStr">
        <is>
          <t xml:space="preserve">      "车载冰箱",</t>
        </is>
      </c>
    </row>
    <row r="721">
      <c r="A721" s="9" t="n">
        <v>718</v>
      </c>
      <c r="B721" s="10" t="inlineStr">
        <is>
          <t xml:space="preserve">      "金牌橱柜",</t>
        </is>
      </c>
    </row>
    <row r="722">
      <c r="A722" s="7" t="n">
        <v>719</v>
      </c>
      <c r="B722" s="8" t="inlineStr">
        <is>
          <t xml:space="preserve">      "通透设计",</t>
        </is>
      </c>
    </row>
    <row r="723">
      <c r="A723" s="9" t="n">
        <v>720</v>
      </c>
      <c r="B723" s="10" t="inlineStr">
        <is>
          <t xml:space="preserve">      "伸缩岛台",</t>
        </is>
      </c>
    </row>
    <row r="724">
      <c r="A724" s="7" t="n">
        <v>721</v>
      </c>
      <c r="B724" s="8" t="inlineStr">
        <is>
          <t xml:space="preserve">      "岛台射灯",</t>
        </is>
      </c>
    </row>
    <row r="725">
      <c r="A725" s="9" t="n">
        <v>722</v>
      </c>
      <c r="B725" s="10" t="inlineStr">
        <is>
          <t xml:space="preserve">      "高低台面",</t>
        </is>
      </c>
    </row>
    <row r="726">
      <c r="A726" s="7" t="n">
        <v>723</v>
      </c>
      <c r="B726" s="8" t="inlineStr">
        <is>
          <t xml:space="preserve">      "意式轻奢",</t>
        </is>
      </c>
    </row>
    <row r="727">
      <c r="A727" s="9" t="n">
        <v>724</v>
      </c>
      <c r="B727" s="10" t="inlineStr">
        <is>
          <t xml:space="preserve">      "半岛厨房",</t>
        </is>
      </c>
    </row>
    <row r="728">
      <c r="A728" s="7" t="n">
        <v>725</v>
      </c>
      <c r="B728" s="8" t="inlineStr">
        <is>
          <t xml:space="preserve">      "岩板倒角",</t>
        </is>
      </c>
    </row>
    <row r="729">
      <c r="A729" s="9" t="n">
        <v>726</v>
      </c>
      <c r="B729" s="10" t="inlineStr">
        <is>
          <t xml:space="preserve">      "美式轻奢",</t>
        </is>
      </c>
    </row>
    <row r="730">
      <c r="A730" s="7" t="n">
        <v>727</v>
      </c>
      <c r="B730" s="8" t="inlineStr">
        <is>
          <t xml:space="preserve">      "红橡木色",</t>
        </is>
      </c>
    </row>
    <row r="731">
      <c r="A731" s="9" t="n">
        <v>728</v>
      </c>
      <c r="B731" s="10" t="inlineStr">
        <is>
          <t xml:space="preserve">      "水电预埋",</t>
        </is>
      </c>
    </row>
    <row r="732">
      <c r="A732" s="7" t="n">
        <v>729</v>
      </c>
      <c r="B732" s="8" t="inlineStr">
        <is>
          <t xml:space="preserve">      "浅原木色",</t>
        </is>
      </c>
    </row>
    <row r="733">
      <c r="A733" s="9" t="n">
        <v>730</v>
      </c>
      <c r="B733" s="10" t="inlineStr">
        <is>
          <t xml:space="preserve">      "冰晶琥珀",</t>
        </is>
      </c>
    </row>
    <row r="734">
      <c r="A734" s="7" t="n">
        <v>731</v>
      </c>
      <c r="B734" s="8" t="inlineStr">
        <is>
          <t xml:space="preserve">      "悬浮设计",</t>
        </is>
      </c>
    </row>
    <row r="735">
      <c r="A735" s="9" t="n">
        <v>732</v>
      </c>
      <c r="B735" s="10" t="inlineStr">
        <is>
          <t xml:space="preserve">      "黑色拉手",</t>
        </is>
      </c>
    </row>
    <row r="736">
      <c r="A736" s="7" t="n">
        <v>733</v>
      </c>
      <c r="B736" s="8" t="inlineStr">
        <is>
          <t xml:space="preserve">      "模压门板",</t>
        </is>
      </c>
    </row>
    <row r="737">
      <c r="A737" s="9" t="n">
        <v>734</v>
      </c>
      <c r="B737" s="10" t="inlineStr">
        <is>
          <t xml:space="preserve">      "法式中古",</t>
        </is>
      </c>
    </row>
    <row r="738">
      <c r="A738" s="7" t="n">
        <v>735</v>
      </c>
      <c r="B738" s="8" t="inlineStr">
        <is>
          <t xml:space="preserve">      "米色岩板",</t>
        </is>
      </c>
    </row>
    <row r="739">
      <c r="A739" s="9" t="n">
        <v>736</v>
      </c>
      <c r="B739" s="10" t="inlineStr">
        <is>
          <t xml:space="preserve">      "水槽漏水",</t>
        </is>
      </c>
    </row>
    <row r="740">
      <c r="A740" s="7" t="n">
        <v>737</v>
      </c>
      <c r="B740" s="8" t="inlineStr">
        <is>
          <t xml:space="preserve">      "柜体安装",</t>
        </is>
      </c>
    </row>
    <row r="741">
      <c r="A741" s="9" t="n">
        <v>738</v>
      </c>
      <c r="B741" s="10" t="inlineStr">
        <is>
          <t xml:space="preserve">      "台式极简",</t>
        </is>
      </c>
    </row>
    <row r="742">
      <c r="A742" s="7" t="n">
        <v>739</v>
      </c>
      <c r="B742" s="8" t="inlineStr">
        <is>
          <t xml:space="preserve">      "抽屉滑轨",</t>
        </is>
      </c>
    </row>
    <row r="743">
      <c r="A743" s="9" t="n">
        <v>740</v>
      </c>
      <c r="B743" s="10" t="inlineStr">
        <is>
          <t xml:space="preserve">      "合页铰链",</t>
        </is>
      </c>
    </row>
    <row r="744">
      <c r="A744" s="7" t="n">
        <v>741</v>
      </c>
      <c r="B744" s="8" t="inlineStr">
        <is>
          <t xml:space="preserve">      "百隆铰链",</t>
        </is>
      </c>
    </row>
    <row r="745">
      <c r="A745" s="9" t="n">
        <v>742</v>
      </c>
      <c r="B745" s="10" t="inlineStr">
        <is>
          <t xml:space="preserve">      "平开合页",</t>
        </is>
      </c>
    </row>
    <row r="746">
      <c r="A746" s="7" t="n">
        <v>743</v>
      </c>
      <c r="B746" s="8" t="inlineStr">
        <is>
          <t xml:space="preserve">      "开关面板",</t>
        </is>
      </c>
    </row>
    <row r="747">
      <c r="A747" s="9" t="n">
        <v>744</v>
      </c>
      <c r="B747" s="10" t="inlineStr">
        <is>
          <t xml:space="preserve">      "进水点位",</t>
        </is>
      </c>
    </row>
    <row r="748">
      <c r="A748" s="7" t="n">
        <v>745</v>
      </c>
      <c r="B748" s="8" t="inlineStr">
        <is>
          <t xml:space="preserve">      "蓝宝石蓝",</t>
        </is>
      </c>
    </row>
    <row r="749">
      <c r="A749" s="9" t="n">
        <v>746</v>
      </c>
      <c r="B749" s="10" t="inlineStr">
        <is>
          <t xml:space="preserve">      "杉木浅黄",</t>
        </is>
      </c>
    </row>
    <row r="750">
      <c r="A750" s="7" t="n">
        <v>747</v>
      </c>
      <c r="B750" s="8" t="inlineStr">
        <is>
          <t xml:space="preserve">      "劳力士绿",</t>
        </is>
      </c>
    </row>
    <row r="751">
      <c r="A751" s="9" t="n">
        <v>748</v>
      </c>
      <c r="B751" s="10" t="inlineStr">
        <is>
          <t xml:space="preserve">      "缓冲滑轨",</t>
        </is>
      </c>
    </row>
    <row r="752">
      <c r="A752" s="7" t="n">
        <v>749</v>
      </c>
      <c r="B752" s="8" t="inlineStr">
        <is>
          <t xml:space="preserve">      "工业复古",</t>
        </is>
      </c>
    </row>
    <row r="753">
      <c r="A753" s="9" t="n">
        <v>750</v>
      </c>
      <c r="B753" s="10" t="inlineStr">
        <is>
          <t xml:space="preserve">      "橱柜拉篮",</t>
        </is>
      </c>
    </row>
    <row r="754">
      <c r="A754" s="7" t="n">
        <v>751</v>
      </c>
      <c r="B754" s="8" t="inlineStr">
        <is>
          <t xml:space="preserve">      "铜质五金",</t>
        </is>
      </c>
    </row>
    <row r="755">
      <c r="A755" s="9" t="n">
        <v>752</v>
      </c>
      <c r="B755" s="10" t="inlineStr">
        <is>
          <t xml:space="preserve">      "抽屉把手",</t>
        </is>
      </c>
    </row>
    <row r="756">
      <c r="A756" s="7" t="n">
        <v>753</v>
      </c>
      <c r="B756" s="8" t="inlineStr">
        <is>
          <t xml:space="preserve">      "灰色岩板",</t>
        </is>
      </c>
    </row>
    <row r="757">
      <c r="A757" s="9" t="n">
        <v>754</v>
      </c>
      <c r="B757" s="10" t="inlineStr">
        <is>
          <t xml:space="preserve">      "功能分区",</t>
        </is>
      </c>
    </row>
    <row r="758">
      <c r="A758" s="7" t="n">
        <v>755</v>
      </c>
      <c r="B758" s="8" t="inlineStr">
        <is>
          <t xml:space="preserve">      "一门到顶",</t>
        </is>
      </c>
    </row>
    <row r="759">
      <c r="A759" s="9" t="n">
        <v>756</v>
      </c>
      <c r="B759" s="10" t="inlineStr">
        <is>
          <t xml:space="preserve">      "一字拉手",</t>
        </is>
      </c>
    </row>
    <row r="760">
      <c r="A760" s="7" t="n">
        <v>757</v>
      </c>
      <c r="B760" s="8" t="inlineStr">
        <is>
          <t xml:space="preserve">      "定制厨房",</t>
        </is>
      </c>
    </row>
    <row r="761">
      <c r="A761" s="9" t="n">
        <v>758</v>
      </c>
      <c r="B761" s="10" t="inlineStr">
        <is>
          <t xml:space="preserve">      "岩板热弯",</t>
        </is>
      </c>
    </row>
    <row r="762">
      <c r="A762" s="7" t="n">
        <v>759</v>
      </c>
      <c r="B762" s="8" t="inlineStr">
        <is>
          <t xml:space="preserve">      "劳伦黑金",</t>
        </is>
      </c>
    </row>
    <row r="763">
      <c r="A763" s="9" t="n">
        <v>760</v>
      </c>
      <c r="B763" s="10" t="inlineStr">
        <is>
          <t xml:space="preserve">      "活动层板",</t>
        </is>
      </c>
    </row>
    <row r="764">
      <c r="A764" s="7" t="n">
        <v>761</v>
      </c>
      <c r="B764" s="8" t="inlineStr">
        <is>
          <t xml:space="preserve">      "终身质保",</t>
        </is>
      </c>
    </row>
    <row r="765">
      <c r="A765" s="9" t="n">
        <v>762</v>
      </c>
      <c r="B765" s="10" t="inlineStr">
        <is>
          <t xml:space="preserve">      "奥罗拉白",</t>
        </is>
      </c>
    </row>
    <row r="766">
      <c r="A766" s="7" t="n">
        <v>763</v>
      </c>
      <c r="B766" s="8" t="inlineStr">
        <is>
          <t xml:space="preserve">      "烟雨江南",</t>
        </is>
      </c>
    </row>
    <row r="767">
      <c r="A767" s="9" t="n">
        <v>764</v>
      </c>
      <c r="B767" s="10" t="inlineStr">
        <is>
          <t xml:space="preserve">      "柚木金黄",</t>
        </is>
      </c>
    </row>
    <row r="768">
      <c r="A768" s="7" t="n">
        <v>765</v>
      </c>
      <c r="B768" s="8" t="inlineStr">
        <is>
          <t xml:space="preserve">      "法国蝶兰",</t>
        </is>
      </c>
    </row>
    <row r="769">
      <c r="A769" s="9" t="n">
        <v>766</v>
      </c>
      <c r="B769" s="10" t="inlineStr">
        <is>
          <t xml:space="preserve">      "高柜拉篮",</t>
        </is>
      </c>
    </row>
    <row r="770">
      <c r="A770" s="7" t="n">
        <v>767</v>
      </c>
      <c r="B770" s="8" t="inlineStr">
        <is>
          <t xml:space="preserve">      "下水堵塞",</t>
        </is>
      </c>
    </row>
    <row r="771">
      <c r="A771" s="9" t="n">
        <v>768</v>
      </c>
      <c r="B771" s="10" t="inlineStr">
        <is>
          <t xml:space="preserve">      "橡胶木板",</t>
        </is>
      </c>
    </row>
    <row r="772">
      <c r="A772" s="7" t="n">
        <v>769</v>
      </c>
      <c r="B772" s="8" t="inlineStr">
        <is>
          <t xml:space="preserve">      "香奈儿白",</t>
        </is>
      </c>
    </row>
    <row r="773">
      <c r="A773" s="9" t="n">
        <v>770</v>
      </c>
      <c r="B773" s="10" t="inlineStr">
        <is>
          <t xml:space="preserve">      "岛台柜体",</t>
        </is>
      </c>
    </row>
    <row r="774">
      <c r="A774" s="7" t="n">
        <v>771</v>
      </c>
      <c r="B774" s="8" t="inlineStr">
        <is>
          <t xml:space="preserve">      "柜门把手",</t>
        </is>
      </c>
    </row>
    <row r="775">
      <c r="A775" s="9" t="n">
        <v>772</v>
      </c>
      <c r="B775" s="10" t="inlineStr">
        <is>
          <t xml:space="preserve">      "五金断裂",</t>
        </is>
      </c>
    </row>
    <row r="776">
      <c r="A776" s="7" t="n">
        <v>773</v>
      </c>
      <c r="B776" s="8" t="inlineStr">
        <is>
          <t xml:space="preserve">      "岩板定制",</t>
        </is>
      </c>
    </row>
    <row r="777">
      <c r="A777" s="9" t="n">
        <v>774</v>
      </c>
      <c r="B777" s="10" t="inlineStr">
        <is>
          <t xml:space="preserve">      "岛台开关",</t>
        </is>
      </c>
    </row>
    <row r="778">
      <c r="A778" s="7" t="n">
        <v>775</v>
      </c>
      <c r="B778" s="8" t="inlineStr">
        <is>
          <t xml:space="preserve">      "可调层板",</t>
        </is>
      </c>
    </row>
    <row r="779">
      <c r="A779" s="9" t="n">
        <v>776</v>
      </c>
      <c r="B779" s="10" t="inlineStr">
        <is>
          <t xml:space="preserve">      "悍高滑轨",</t>
        </is>
      </c>
    </row>
    <row r="780">
      <c r="A780" s="7" t="n">
        <v>777</v>
      </c>
      <c r="B780" s="8" t="inlineStr">
        <is>
          <t xml:space="preserve">      "人造奢石",</t>
        </is>
      </c>
    </row>
    <row r="781">
      <c r="A781" s="9" t="n">
        <v>778</v>
      </c>
      <c r="B781" s="10" t="inlineStr">
        <is>
          <t xml:space="preserve">      "柜体拼接",</t>
        </is>
      </c>
    </row>
    <row r="782">
      <c r="A782" s="7" t="n">
        <v>779</v>
      </c>
      <c r="B782" s="8" t="inlineStr">
        <is>
          <t xml:space="preserve">      "柜门不齐",</t>
        </is>
      </c>
    </row>
    <row r="783">
      <c r="A783" s="9" t="n">
        <v>780</v>
      </c>
      <c r="B783" s="10" t="inlineStr">
        <is>
          <t xml:space="preserve">      "转角岛台",</t>
        </is>
      </c>
    </row>
    <row r="784">
      <c r="A784" s="7" t="n">
        <v>781</v>
      </c>
      <c r="B784" s="8" t="inlineStr">
        <is>
          <t xml:space="preserve">      "多控开关",</t>
        </is>
      </c>
    </row>
    <row r="785">
      <c r="A785" s="9" t="n">
        <v>782</v>
      </c>
      <c r="B785" s="10" t="inlineStr">
        <is>
          <t xml:space="preserve">      "岛台吊灯",</t>
        </is>
      </c>
    </row>
    <row r="786">
      <c r="A786" s="7" t="n">
        <v>783</v>
      </c>
      <c r="B786" s="8" t="inlineStr">
        <is>
          <t xml:space="preserve">      "去风格化",</t>
        </is>
      </c>
    </row>
    <row r="787">
      <c r="A787" s="9" t="n">
        <v>784</v>
      </c>
      <c r="B787" s="10" t="inlineStr">
        <is>
          <t xml:space="preserve">      "悬浮岛台",</t>
        </is>
      </c>
    </row>
    <row r="788">
      <c r="A788" s="7" t="n">
        <v>785</v>
      </c>
      <c r="B788" s="8" t="inlineStr">
        <is>
          <t xml:space="preserve">      "插座点位",</t>
        </is>
      </c>
    </row>
    <row r="789">
      <c r="A789" s="9" t="n">
        <v>786</v>
      </c>
      <c r="B789" s="10" t="inlineStr">
        <is>
          <t xml:space="preserve">      "岛台侧板",</t>
        </is>
      </c>
    </row>
    <row r="790">
      <c r="A790" s="7" t="n">
        <v>787</v>
      </c>
      <c r="B790" s="8" t="inlineStr">
        <is>
          <t xml:space="preserve">      "岩板脱落",</t>
        </is>
      </c>
    </row>
    <row r="791">
      <c r="A791" s="9" t="n">
        <v>788</v>
      </c>
      <c r="B791" s="10" t="inlineStr">
        <is>
          <t xml:space="preserve">      "水电漏水",</t>
        </is>
      </c>
    </row>
    <row r="792">
      <c r="A792" s="7" t="n">
        <v>789</v>
      </c>
      <c r="B792" s="8" t="inlineStr">
        <is>
          <t xml:space="preserve">      "爱马仕橙",</t>
        </is>
      </c>
    </row>
    <row r="793">
      <c r="A793" s="9" t="n">
        <v>790</v>
      </c>
      <c r="B793" s="10" t="inlineStr">
        <is>
          <t xml:space="preserve">      "抽屉安装",</t>
        </is>
      </c>
    </row>
    <row r="794">
      <c r="A794" s="7" t="n">
        <v>791</v>
      </c>
      <c r="B794" s="8" t="inlineStr">
        <is>
          <t xml:space="preserve">      "岩板开孔",</t>
        </is>
      </c>
    </row>
    <row r="795">
      <c r="A795" s="9" t="n">
        <v>792</v>
      </c>
      <c r="B795" s="10" t="inlineStr">
        <is>
          <t xml:space="preserve">      "树脂台面",</t>
        </is>
      </c>
    </row>
    <row r="796">
      <c r="A796" s="7" t="n">
        <v>793</v>
      </c>
      <c r="B796" s="8" t="inlineStr">
        <is>
          <t xml:space="preserve">      "锅具拉篮",</t>
        </is>
      </c>
    </row>
    <row r="797">
      <c r="A797" s="9" t="n">
        <v>794</v>
      </c>
      <c r="B797" s="10" t="inlineStr">
        <is>
          <t xml:space="preserve">      "防水地插",</t>
        </is>
      </c>
    </row>
    <row r="798">
      <c r="A798" s="7" t="n">
        <v>795</v>
      </c>
      <c r="B798" s="8" t="inlineStr">
        <is>
          <t xml:space="preserve">      "尚品宅配",</t>
        </is>
      </c>
    </row>
    <row r="799">
      <c r="A799" s="9" t="n">
        <v>796</v>
      </c>
      <c r="B799" s="10" t="inlineStr">
        <is>
          <t xml:space="preserve">      "蒙娜丽莎",</t>
        </is>
      </c>
    </row>
    <row r="800">
      <c r="A800" s="7" t="n">
        <v>797</v>
      </c>
      <c r="B800" s="8" t="inlineStr">
        <is>
          <t xml:space="preserve">      "收纳设计",</t>
        </is>
      </c>
    </row>
    <row r="801">
      <c r="A801" s="9" t="n">
        <v>798</v>
      </c>
      <c r="B801" s="10" t="inlineStr">
        <is>
          <t xml:space="preserve">      "亮面石材",</t>
        </is>
      </c>
    </row>
    <row r="802">
      <c r="A802" s="7" t="n">
        <v>799</v>
      </c>
      <c r="B802" s="8" t="inlineStr">
        <is>
          <t xml:space="preserve">      "折叠岛台",</t>
        </is>
      </c>
    </row>
    <row r="803">
      <c r="A803" s="9" t="n">
        <v>800</v>
      </c>
      <c r="B803" s="10" t="inlineStr">
        <is>
          <t xml:space="preserve">      "厨房拉篮",</t>
        </is>
      </c>
    </row>
    <row r="804">
      <c r="A804" s="7" t="n">
        <v>801</v>
      </c>
      <c r="B804" s="8" t="inlineStr">
        <is>
          <t xml:space="preserve">      "岩板空鼓",</t>
        </is>
      </c>
    </row>
    <row r="805">
      <c r="A805" s="9" t="n">
        <v>802</v>
      </c>
      <c r="B805" s="10" t="inlineStr">
        <is>
          <t xml:space="preserve">      "异型岛台",</t>
        </is>
      </c>
    </row>
    <row r="806">
      <c r="A806" s="7" t="n">
        <v>803</v>
      </c>
      <c r="B806" s="8" t="inlineStr">
        <is>
          <t xml:space="preserve">      "雪山银狐",</t>
        </is>
      </c>
    </row>
    <row r="807">
      <c r="A807" s="9" t="n">
        <v>804</v>
      </c>
      <c r="B807" s="10" t="inlineStr">
        <is>
          <t xml:space="preserve">      "语音开关",</t>
        </is>
      </c>
    </row>
    <row r="808">
      <c r="A808" s="7" t="n">
        <v>805</v>
      </c>
      <c r="B808" s="8" t="inlineStr">
        <is>
          <t xml:space="preserve">      "抽屉分隔",</t>
        </is>
      </c>
    </row>
    <row r="809">
      <c r="A809" s="9" t="n">
        <v>806</v>
      </c>
      <c r="B809" s="10" t="inlineStr">
        <is>
          <t xml:space="preserve">      "银色拉手",</t>
        </is>
      </c>
    </row>
    <row r="810">
      <c r="A810" s="7" t="n">
        <v>807</v>
      </c>
      <c r="B810" s="8" t="inlineStr">
        <is>
          <t xml:space="preserve">      "抽屉阻尼",</t>
        </is>
      </c>
    </row>
    <row r="811">
      <c r="A811" s="9" t="n">
        <v>808</v>
      </c>
      <c r="B811" s="10" t="inlineStr">
        <is>
          <t xml:space="preserve">      "五金安装",</t>
        </is>
      </c>
    </row>
    <row r="812">
      <c r="A812" s="7" t="n">
        <v>809</v>
      </c>
      <c r="B812" s="8" t="inlineStr">
        <is>
          <t xml:space="preserve">      "倒角处理",</t>
        </is>
      </c>
    </row>
    <row r="813">
      <c r="A813" s="9" t="n">
        <v>810</v>
      </c>
      <c r="B813" s="10" t="inlineStr">
        <is>
          <t xml:space="preserve">      "简约轻奢",</t>
        </is>
      </c>
    </row>
    <row r="814">
      <c r="A814" s="7" t="n">
        <v>811</v>
      </c>
      <c r="B814" s="8" t="inlineStr">
        <is>
          <t xml:space="preserve">      "法式复古",</t>
        </is>
      </c>
    </row>
    <row r="815">
      <c r="A815" s="9" t="n">
        <v>812</v>
      </c>
      <c r="B815" s="10" t="inlineStr">
        <is>
          <t xml:space="preserve">      "工艺粗糙",</t>
        </is>
      </c>
    </row>
    <row r="816">
      <c r="A816" s="7" t="n">
        <v>813</v>
      </c>
      <c r="B816" s="8" t="inlineStr">
        <is>
          <t xml:space="preserve">      "双槽水槽",</t>
        </is>
      </c>
    </row>
    <row r="817">
      <c r="A817" s="9" t="n">
        <v>814</v>
      </c>
      <c r="B817" s="10" t="inlineStr">
        <is>
          <t xml:space="preserve">      "液压气撑",</t>
        </is>
      </c>
    </row>
    <row r="818">
      <c r="A818" s="7" t="n">
        <v>815</v>
      </c>
      <c r="B818" s="8" t="inlineStr">
        <is>
          <t xml:space="preserve">      "碗碟拉篮",</t>
        </is>
      </c>
    </row>
    <row r="819">
      <c r="A819" s="9" t="n">
        <v>816</v>
      </c>
      <c r="B819" s="10" t="inlineStr">
        <is>
          <t xml:space="preserve">      "插座松动",</t>
        </is>
      </c>
    </row>
    <row r="820">
      <c r="A820" s="7" t="n">
        <v>817</v>
      </c>
      <c r="B820" s="8" t="inlineStr">
        <is>
          <t xml:space="preserve">      "深原木色",</t>
        </is>
      </c>
    </row>
    <row r="821">
      <c r="A821" s="9" t="n">
        <v>818</v>
      </c>
      <c r="B821" s="10" t="inlineStr">
        <is>
          <t xml:space="preserve">      "范思哲绿",</t>
        </is>
      </c>
    </row>
    <row r="822">
      <c r="A822" s="7" t="n">
        <v>819</v>
      </c>
      <c r="B822" s="8" t="inlineStr">
        <is>
          <t xml:space="preserve">      "欧式风格",</t>
        </is>
      </c>
    </row>
    <row r="823">
      <c r="A823" s="9" t="n">
        <v>820</v>
      </c>
      <c r="B823" s="10" t="inlineStr">
        <is>
          <t xml:space="preserve">      "岩板磨边",</t>
        </is>
      </c>
    </row>
    <row r="824">
      <c r="A824" s="7" t="n">
        <v>821</v>
      </c>
      <c r="B824" s="8" t="inlineStr">
        <is>
          <t xml:space="preserve">      "岛台菜板",</t>
        </is>
      </c>
    </row>
    <row r="825">
      <c r="A825" s="9" t="n">
        <v>822</v>
      </c>
      <c r="B825" s="10" t="inlineStr">
        <is>
          <t xml:space="preserve">      "岛台柜门",</t>
        </is>
      </c>
    </row>
    <row r="826">
      <c r="A826" s="7" t="n">
        <v>823</v>
      </c>
      <c r="B826" s="8" t="inlineStr">
        <is>
          <t xml:space="preserve">      "韩式简约",</t>
        </is>
      </c>
    </row>
    <row r="827">
      <c r="A827" s="9" t="n">
        <v>824</v>
      </c>
      <c r="B827" s="10" t="inlineStr">
        <is>
          <t xml:space="preserve">      "整石岛台",</t>
        </is>
      </c>
    </row>
    <row r="828">
      <c r="A828" s="7" t="n">
        <v>825</v>
      </c>
      <c r="B828" s="8" t="inlineStr">
        <is>
          <t xml:space="preserve">      "白蜡木色",</t>
        </is>
      </c>
    </row>
    <row r="829">
      <c r="A829" s="9" t="n">
        <v>826</v>
      </c>
      <c r="B829" s="10" t="inlineStr">
        <is>
          <t xml:space="preserve">      "圆弧拉手",</t>
        </is>
      </c>
    </row>
    <row r="830">
      <c r="A830" s="7" t="n">
        <v>827</v>
      </c>
      <c r="B830" s="8" t="inlineStr">
        <is>
          <t xml:space="preserve">      "水电点位",</t>
        </is>
      </c>
    </row>
    <row r="831">
      <c r="A831" s="9" t="n">
        <v>828</v>
      </c>
      <c r="B831" s="10" t="inlineStr">
        <is>
          <t xml:space="preserve">      "智能开关",</t>
        </is>
      </c>
    </row>
    <row r="832">
      <c r="A832" s="7" t="n">
        <v>829</v>
      </c>
      <c r="B832" s="8" t="inlineStr">
        <is>
          <t xml:space="preserve">      "颜色色差",</t>
        </is>
      </c>
    </row>
    <row r="833">
      <c r="A833" s="9" t="n">
        <v>830</v>
      </c>
      <c r="B833" s="10" t="inlineStr">
        <is>
          <t xml:space="preserve">      "无缝拼接",</t>
        </is>
      </c>
    </row>
    <row r="834">
      <c r="A834" s="7" t="n">
        <v>831</v>
      </c>
      <c r="B834" s="8" t="inlineStr">
        <is>
          <t xml:space="preserve">      "滑轨卡顿",</t>
        </is>
      </c>
    </row>
    <row r="835">
      <c r="A835" s="9" t="n">
        <v>832</v>
      </c>
      <c r="B835" s="10" t="inlineStr">
        <is>
          <t xml:space="preserve">      "柜体受潮",</t>
        </is>
      </c>
    </row>
    <row r="836">
      <c r="A836" s="7" t="n">
        <v>833</v>
      </c>
      <c r="B836" s="8" t="inlineStr">
        <is>
          <t xml:space="preserve">      "现代简约",</t>
        </is>
      </c>
    </row>
    <row r="837">
      <c r="A837" s="9" t="n">
        <v>834</v>
      </c>
      <c r="B837" s="10" t="inlineStr">
        <is>
          <t xml:space="preserve">      "方形拉手",</t>
        </is>
      </c>
    </row>
    <row r="838">
      <c r="A838" s="7" t="n">
        <v>835</v>
      </c>
      <c r="B838" s="8" t="inlineStr">
        <is>
          <t xml:space="preserve">      "五金松动",</t>
        </is>
      </c>
    </row>
    <row r="839">
      <c r="A839" s="9" t="n">
        <v>836</v>
      </c>
      <c r="B839" s="10" t="inlineStr">
        <is>
          <t xml:space="preserve">      "恒温酒柜",</t>
        </is>
      </c>
    </row>
    <row r="840">
      <c r="A840" s="7" t="n">
        <v>837</v>
      </c>
      <c r="B840" s="8" t="inlineStr">
        <is>
          <t xml:space="preserve">      "缓冲铰链",</t>
        </is>
      </c>
    </row>
    <row r="841">
      <c r="A841" s="9" t="n">
        <v>838</v>
      </c>
      <c r="B841" s="10" t="inlineStr">
        <is>
          <t xml:space="preserve">      "插座面板",</t>
        </is>
      </c>
    </row>
    <row r="842">
      <c r="A842" s="7" t="n">
        <v>839</v>
      </c>
      <c r="B842" s="8" t="inlineStr">
        <is>
          <t xml:space="preserve">      "空气炸锅",</t>
        </is>
      </c>
    </row>
    <row r="843">
      <c r="A843" s="9" t="n">
        <v>840</v>
      </c>
      <c r="B843" s="10" t="inlineStr">
        <is>
          <t xml:space="preserve">      "台面高度",</t>
        </is>
      </c>
    </row>
    <row r="844">
      <c r="A844" s="7" t="n">
        <v>841</v>
      </c>
      <c r="B844" s="8" t="inlineStr">
        <is>
          <t xml:space="preserve">      "封边工艺",</t>
        </is>
      </c>
    </row>
    <row r="845">
      <c r="A845" s="9" t="n">
        <v>842</v>
      </c>
      <c r="B845" s="10" t="inlineStr">
        <is>
          <t xml:space="preserve">      "顾家家居",</t>
        </is>
      </c>
    </row>
    <row r="846">
      <c r="A846" s="7" t="n">
        <v>843</v>
      </c>
      <c r="B846" s="8" t="inlineStr">
        <is>
          <t xml:space="preserve">      "卡地亚灰",</t>
        </is>
      </c>
    </row>
    <row r="847">
      <c r="A847" s="9" t="n">
        <v>844</v>
      </c>
      <c r="B847" s="10" t="inlineStr">
        <is>
          <t xml:space="preserve">      "纳米水槽",</t>
        </is>
      </c>
    </row>
    <row r="848">
      <c r="A848" s="7" t="n">
        <v>845</v>
      </c>
      <c r="B848" s="8" t="inlineStr">
        <is>
          <t xml:space="preserve">      "岩板复合",</t>
        </is>
      </c>
    </row>
    <row r="849">
      <c r="A849" s="9" t="n">
        <v>846</v>
      </c>
      <c r="B849" s="10" t="inlineStr">
        <is>
          <t xml:space="preserve">      "巧克力棕",</t>
        </is>
      </c>
    </row>
    <row r="850">
      <c r="A850" s="7" t="n">
        <v>847</v>
      </c>
      <c r="B850" s="8" t="inlineStr">
        <is>
          <t xml:space="preserve">      "电器故障",</t>
        </is>
      </c>
    </row>
    <row r="851">
      <c r="A851" s="9" t="n">
        <v>848</v>
      </c>
      <c r="B851" s="10" t="inlineStr">
        <is>
          <t xml:space="preserve">      "岛台灯槽",</t>
        </is>
      </c>
    </row>
    <row r="852">
      <c r="A852" s="7" t="n">
        <v>849</v>
      </c>
      <c r="B852" s="8" t="inlineStr">
        <is>
          <t xml:space="preserve">      "柚木深棕",</t>
        </is>
      </c>
    </row>
    <row r="853">
      <c r="A853" s="9" t="n">
        <v>850</v>
      </c>
      <c r="B853" s="10" t="inlineStr">
        <is>
          <t xml:space="preserve">      "岩板划痕",</t>
        </is>
      </c>
    </row>
    <row r="854">
      <c r="A854" s="7" t="n">
        <v>851</v>
      </c>
      <c r="B854" s="8" t="inlineStr">
        <is>
          <t xml:space="preserve">      "高光门板",</t>
        </is>
      </c>
    </row>
    <row r="855">
      <c r="A855" s="9" t="n">
        <v>852</v>
      </c>
      <c r="B855" s="10" t="inlineStr">
        <is>
          <t xml:space="preserve">      "普拉达绿",</t>
        </is>
      </c>
    </row>
    <row r="856">
      <c r="A856" s="7" t="n">
        <v>853</v>
      </c>
      <c r="B856" s="8" t="inlineStr">
        <is>
          <t xml:space="preserve">      "岛台插座",</t>
        </is>
      </c>
    </row>
    <row r="857">
      <c r="A857" s="9" t="n">
        <v>854</v>
      </c>
      <c r="B857" s="10" t="inlineStr">
        <is>
          <t xml:space="preserve">      "岛台定制",</t>
        </is>
      </c>
    </row>
    <row r="858">
      <c r="A858" s="7" t="n">
        <v>855</v>
      </c>
      <c r="B858" s="8" t="inlineStr">
        <is>
          <t xml:space="preserve">      "海棠木色",</t>
        </is>
      </c>
    </row>
    <row r="859">
      <c r="A859" s="9" t="n">
        <v>856</v>
      </c>
      <c r="B859" s="10" t="inlineStr">
        <is>
          <t xml:space="preserve">      "云朵拉灰",</t>
        </is>
      </c>
    </row>
    <row r="860">
      <c r="A860" s="7" t="n">
        <v>857</v>
      </c>
      <c r="B860" s="8" t="inlineStr">
        <is>
          <t xml:space="preserve">      "拎包入住",</t>
        </is>
      </c>
    </row>
    <row r="861">
      <c r="A861" s="9" t="n">
        <v>858</v>
      </c>
      <c r="B861" s="10" t="inlineStr">
        <is>
          <t xml:space="preserve">      "柜体发霉",</t>
        </is>
      </c>
    </row>
    <row r="862">
      <c r="A862" s="7" t="n">
        <v>859</v>
      </c>
      <c r="B862" s="8" t="inlineStr">
        <is>
          <t xml:space="preserve">      "柜体深度",</t>
        </is>
      </c>
    </row>
    <row r="863">
      <c r="A863" s="9" t="n">
        <v>860</v>
      </c>
      <c r="B863" s="10" t="inlineStr">
        <is>
          <t xml:space="preserve">      "铰链异响",</t>
        </is>
      </c>
    </row>
    <row r="864">
      <c r="A864" s="7" t="n">
        <v>861</v>
      </c>
      <c r="B864" s="8" t="inlineStr">
        <is>
          <t xml:space="preserve">      "升降岛台",</t>
        </is>
      </c>
    </row>
    <row r="865">
      <c r="A865" s="9" t="n">
        <v>862</v>
      </c>
      <c r="B865" s="10" t="inlineStr">
        <is>
          <t xml:space="preserve">      "岛台挂架",</t>
        </is>
      </c>
    </row>
    <row r="866">
      <c r="A866" s="7" t="n">
        <v>863</v>
      </c>
      <c r="B866" s="8" t="inlineStr">
        <is>
          <t xml:space="preserve">      "轻复古风",</t>
        </is>
      </c>
    </row>
    <row r="867">
      <c r="A867" s="9" t="n">
        <v>864</v>
      </c>
      <c r="B867" s="10" t="inlineStr">
        <is>
          <t xml:space="preserve">      "杉木白黄",</t>
        </is>
      </c>
    </row>
    <row r="868">
      <c r="A868" s="7" t="n">
        <v>865</v>
      </c>
      <c r="B868" s="8" t="inlineStr">
        <is>
          <t xml:space="preserve">      "墙面插座",</t>
        </is>
      </c>
    </row>
    <row r="869">
      <c r="A869" s="9" t="n">
        <v>866</v>
      </c>
      <c r="B869" s="10" t="inlineStr">
        <is>
          <t xml:space="preserve">      "可可蛋奶",</t>
        </is>
      </c>
    </row>
    <row r="870">
      <c r="A870" s="7" t="n">
        <v>867</v>
      </c>
      <c r="B870" s="8" t="inlineStr">
        <is>
          <t xml:space="preserve">      "岩板渗色",</t>
        </is>
      </c>
    </row>
    <row r="871">
      <c r="A871" s="9" t="n">
        <v>868</v>
      </c>
      <c r="B871" s="10" t="inlineStr">
        <is>
          <t xml:space="preserve">      "激光封边",</t>
        </is>
      </c>
    </row>
    <row r="872">
      <c r="A872" s="7" t="n">
        <v>869</v>
      </c>
      <c r="B872" s="8" t="inlineStr">
        <is>
          <t xml:space="preserve">      "感应开关",</t>
        </is>
      </c>
    </row>
    <row r="873">
      <c r="A873" s="9" t="n">
        <v>870</v>
      </c>
      <c r="B873" s="10" t="inlineStr">
        <is>
          <t xml:space="preserve">      "范思哲黑",</t>
        </is>
      </c>
    </row>
    <row r="874">
      <c r="A874" s="7" t="n">
        <v>871</v>
      </c>
      <c r="B874" s="8" t="inlineStr">
        <is>
          <t xml:space="preserve">      "岩板柜门",</t>
        </is>
      </c>
    </row>
    <row r="875">
      <c r="A875" s="9" t="n">
        <v>872</v>
      </c>
      <c r="B875" s="10" t="inlineStr">
        <is>
          <t xml:space="preserve">      "升降插座",</t>
        </is>
      </c>
    </row>
    <row r="876">
      <c r="A876" s="7" t="n">
        <v>873</v>
      </c>
      <c r="B876" s="8" t="inlineStr">
        <is>
          <t xml:space="preserve">      "防臭下水",</t>
        </is>
      </c>
    </row>
    <row r="877">
      <c r="A877" s="9" t="n">
        <v>874</v>
      </c>
      <c r="B877" s="10" t="inlineStr">
        <is>
          <t xml:space="preserve">      "电器安装",</t>
        </is>
      </c>
    </row>
    <row r="878">
      <c r="A878" s="7" t="n">
        <v>875</v>
      </c>
      <c r="B878" s="8" t="inlineStr">
        <is>
          <t xml:space="preserve">      "哑光门板",</t>
        </is>
      </c>
    </row>
    <row r="879">
      <c r="A879" s="9" t="n">
        <v>876</v>
      </c>
      <c r="B879" s="10" t="inlineStr">
        <is>
          <t xml:space="preserve">      "水管漏水",</t>
        </is>
      </c>
    </row>
    <row r="880">
      <c r="A880" s="7" t="n">
        <v>877</v>
      </c>
      <c r="B880" s="8" t="inlineStr">
        <is>
          <t xml:space="preserve">      "内嵌拉手",</t>
        </is>
      </c>
    </row>
    <row r="881">
      <c r="A881" s="9" t="n">
        <v>878</v>
      </c>
      <c r="B881" s="10" t="inlineStr">
        <is>
          <t xml:space="preserve">      "亮光岩板",</t>
        </is>
      </c>
    </row>
    <row r="882">
      <c r="A882" s="7" t="n">
        <v>879</v>
      </c>
      <c r="B882" s="8" t="inlineStr">
        <is>
          <t xml:space="preserve">      "隐形门吸",</t>
        </is>
      </c>
    </row>
    <row r="883">
      <c r="A883" s="9" t="n">
        <v>880</v>
      </c>
      <c r="B883" s="10" t="inlineStr">
        <is>
          <t xml:space="preserve">      "晶钢门板",</t>
        </is>
      </c>
    </row>
    <row r="884">
      <c r="A884" s="7" t="n">
        <v>881</v>
      </c>
      <c r="B884" s="8" t="inlineStr">
        <is>
          <t xml:space="preserve">      "轨道插座",</t>
        </is>
      </c>
    </row>
    <row r="885">
      <c r="A885" s="9" t="n">
        <v>882</v>
      </c>
      <c r="B885" s="10" t="inlineStr">
        <is>
          <t xml:space="preserve">      "旗形合页",</t>
        </is>
      </c>
    </row>
    <row r="886">
      <c r="A886" s="7" t="n">
        <v>883</v>
      </c>
      <c r="B886" s="8" t="inlineStr">
        <is>
          <t xml:space="preserve">      "纯色岩板",</t>
        </is>
      </c>
    </row>
    <row r="887">
      <c r="A887" s="9" t="n">
        <v>884</v>
      </c>
      <c r="B887" s="10" t="inlineStr">
        <is>
          <t xml:space="preserve">      "餐厨一体",</t>
        </is>
      </c>
    </row>
    <row r="888">
      <c r="A888" s="7" t="n">
        <v>885</v>
      </c>
      <c r="B888" s="8" t="inlineStr">
        <is>
          <t xml:space="preserve">      "干湿分离",</t>
        </is>
      </c>
    </row>
    <row r="889">
      <c r="A889" s="9" t="n">
        <v>886</v>
      </c>
      <c r="B889" s="10" t="inlineStr">
        <is>
          <t xml:space="preserve">      "岛台背板",</t>
        </is>
      </c>
    </row>
    <row r="890">
      <c r="A890" s="7" t="n">
        <v>887</v>
      </c>
      <c r="B890" s="8" t="inlineStr">
        <is>
          <t xml:space="preserve">      "柜门阻尼",</t>
        </is>
      </c>
    </row>
    <row r="891">
      <c r="A891" s="9" t="n">
        <v>888</v>
      </c>
      <c r="B891" s="10" t="inlineStr">
        <is>
          <t xml:space="preserve">      "智能设计",</t>
        </is>
      </c>
    </row>
    <row r="892">
      <c r="A892" s="7" t="n">
        <v>889</v>
      </c>
      <c r="B892" s="8" t="inlineStr">
        <is>
          <t xml:space="preserve">      "岛台台面",</t>
        </is>
      </c>
    </row>
    <row r="893">
      <c r="A893" s="9" t="n">
        <v>890</v>
      </c>
      <c r="B893" s="10" t="inlineStr">
        <is>
          <t xml:space="preserve">      "美式复古",</t>
        </is>
      </c>
    </row>
    <row r="894">
      <c r="A894" s="7" t="n">
        <v>891</v>
      </c>
      <c r="B894" s="8" t="inlineStr">
        <is>
          <t xml:space="preserve">      "台面安装",</t>
        </is>
      </c>
    </row>
    <row r="895">
      <c r="A895" s="9" t="n">
        <v>892</v>
      </c>
      <c r="B895" s="10" t="inlineStr">
        <is>
          <t xml:space="preserve">      "白橡木色",</t>
        </is>
      </c>
    </row>
    <row r="896">
      <c r="A896" s="7" t="n">
        <v>893</v>
      </c>
      <c r="B896" s="8" t="inlineStr">
        <is>
          <t xml:space="preserve">      "阿玛尼灰",</t>
        </is>
      </c>
    </row>
    <row r="897">
      <c r="A897" s="9" t="n">
        <v>894</v>
      </c>
      <c r="B897" s="10" t="inlineStr">
        <is>
          <t xml:space="preserve">      "内嵌烤箱",</t>
        </is>
      </c>
    </row>
    <row r="898">
      <c r="A898" s="7" t="n">
        <v>895</v>
      </c>
      <c r="B898" s="8" t="inlineStr">
        <is>
          <t xml:space="preserve">      "云涧藏青",</t>
        </is>
      </c>
    </row>
    <row r="899">
      <c r="A899" s="9" t="n">
        <v>896</v>
      </c>
      <c r="B899" s="10" t="inlineStr">
        <is>
          <t xml:space="preserve">      "轻奢风格",</t>
        </is>
      </c>
    </row>
    <row r="900">
      <c r="A900" s="7" t="n">
        <v>897</v>
      </c>
      <c r="B900" s="8" t="inlineStr">
        <is>
          <t xml:space="preserve">      "调味拉篮",</t>
        </is>
      </c>
    </row>
    <row r="901">
      <c r="A901" s="9" t="n">
        <v>898</v>
      </c>
      <c r="B901" s="10" t="inlineStr">
        <is>
          <t xml:space="preserve">      "开槽拉手",</t>
        </is>
      </c>
    </row>
    <row r="902">
      <c r="A902" s="7" t="n">
        <v>899</v>
      </c>
      <c r="B902" s="8" t="inlineStr">
        <is>
          <t xml:space="preserve">      "枫木浅黄",</t>
        </is>
      </c>
    </row>
    <row r="903">
      <c r="A903" s="9" t="n">
        <v>900</v>
      </c>
      <c r="B903" s="10" t="inlineStr">
        <is>
          <t xml:space="preserve">      "柜体定制",</t>
        </is>
      </c>
    </row>
    <row r="904">
      <c r="A904" s="7" t="n">
        <v>901</v>
      </c>
      <c r="B904" s="8" t="inlineStr">
        <is>
          <t xml:space="preserve">      "鸡翅木色",</t>
        </is>
      </c>
    </row>
    <row r="905">
      <c r="A905" s="9" t="n">
        <v>902</v>
      </c>
      <c r="B905" s="10" t="inlineStr">
        <is>
          <t xml:space="preserve">      "智能家居",</t>
        </is>
      </c>
    </row>
    <row r="906">
      <c r="A906" s="7" t="n">
        <v>903</v>
      </c>
      <c r="B906" s="8" t="inlineStr">
        <is>
          <t xml:space="preserve">      "橡木浅黄",</t>
        </is>
      </c>
    </row>
    <row r="907">
      <c r="A907" s="9" t="n">
        <v>904</v>
      </c>
      <c r="B907" s="10" t="inlineStr">
        <is>
          <t xml:space="preserve">      "圆弧岛台",</t>
        </is>
      </c>
    </row>
    <row r="908">
      <c r="A908" s="7" t="n">
        <v>905</v>
      </c>
      <c r="B908" s="8" t="inlineStr">
        <is>
          <t xml:space="preserve">      "圆弧角",</t>
        </is>
      </c>
    </row>
    <row r="909">
      <c r="A909" s="9" t="n">
        <v>906</v>
      </c>
      <c r="B909" s="10" t="inlineStr">
        <is>
          <t xml:space="preserve">      "圆角处理",</t>
        </is>
      </c>
    </row>
    <row r="910">
      <c r="A910" s="7" t="n">
        <v>907</v>
      </c>
      <c r="B910" s="8" t="inlineStr">
        <is>
          <t xml:space="preserve">      "地吸",</t>
        </is>
      </c>
    </row>
    <row r="911">
      <c r="A911" s="9" t="n">
        <v>908</v>
      </c>
      <c r="B911" s="10" t="inlineStr">
        <is>
          <t xml:space="preserve">      "地插",</t>
        </is>
      </c>
    </row>
    <row r="912">
      <c r="A912" s="7" t="n">
        <v>909</v>
      </c>
      <c r="B912" s="8" t="inlineStr">
        <is>
          <t xml:space="preserve">      "地柜",</t>
        </is>
      </c>
    </row>
    <row r="913">
      <c r="A913" s="9" t="n">
        <v>910</v>
      </c>
      <c r="B913" s="10" t="inlineStr">
        <is>
          <t xml:space="preserve">      "地漏",</t>
        </is>
      </c>
    </row>
    <row r="914">
      <c r="A914" s="7" t="n">
        <v>911</v>
      </c>
      <c r="B914" s="8" t="inlineStr">
        <is>
          <t xml:space="preserve">      "垃圾处理器",</t>
        </is>
      </c>
    </row>
    <row r="915">
      <c r="A915" s="9" t="n">
        <v>912</v>
      </c>
      <c r="B915" s="10" t="inlineStr">
        <is>
          <t xml:space="preserve">      "垃圾处理器集成水槽",</t>
        </is>
      </c>
    </row>
    <row r="916">
      <c r="A916" s="7" t="n">
        <v>913</v>
      </c>
      <c r="B916" s="8" t="inlineStr">
        <is>
          <t xml:space="preserve">      "基装",</t>
        </is>
      </c>
    </row>
    <row r="917">
      <c r="A917" s="9" t="n">
        <v>914</v>
      </c>
      <c r="B917" s="10" t="inlineStr">
        <is>
          <t xml:space="preserve">      "墙吸",</t>
        </is>
      </c>
    </row>
    <row r="918">
      <c r="A918" s="7" t="n">
        <v>915</v>
      </c>
      <c r="B918" s="8" t="inlineStr">
        <is>
          <t xml:space="preserve">      "墨玉黑",</t>
        </is>
      </c>
    </row>
    <row r="919">
      <c r="A919" s="9" t="n">
        <v>916</v>
      </c>
      <c r="B919" s="10" t="inlineStr">
        <is>
          <t xml:space="preserve">      "墨绿色",</t>
        </is>
      </c>
    </row>
    <row r="920">
      <c r="A920" s="7" t="n">
        <v>917</v>
      </c>
      <c r="B920" s="8" t="inlineStr">
        <is>
          <t xml:space="preserve">      "备餐柜",</t>
        </is>
      </c>
    </row>
    <row r="921">
      <c r="A921" s="9" t="n">
        <v>918</v>
      </c>
      <c r="B921" s="10" t="inlineStr">
        <is>
          <t xml:space="preserve">      "复古风",</t>
        </is>
      </c>
    </row>
    <row r="922">
      <c r="A922" s="7" t="n">
        <v>919</v>
      </c>
      <c r="B922" s="8" t="inlineStr">
        <is>
          <t xml:space="preserve">      "多巴胺风",</t>
        </is>
      </c>
    </row>
    <row r="923">
      <c r="A923" s="9" t="n">
        <v>920</v>
      </c>
      <c r="B923" s="10" t="inlineStr">
        <is>
          <t xml:space="preserve">      "大单槽",</t>
        </is>
      </c>
    </row>
    <row r="924">
      <c r="A924" s="7" t="n">
        <v>921</v>
      </c>
      <c r="B924" s="8" t="inlineStr">
        <is>
          <t xml:space="preserve">      "大将军",</t>
        </is>
      </c>
    </row>
    <row r="925">
      <c r="A925" s="9" t="n">
        <v>922</v>
      </c>
      <c r="B925" s="10" t="inlineStr">
        <is>
          <t xml:space="preserve">      "大理石台面",</t>
        </is>
      </c>
    </row>
    <row r="926">
      <c r="A926" s="7" t="n">
        <v>923</v>
      </c>
      <c r="B926" s="8" t="inlineStr">
        <is>
          <t xml:space="preserve">      "大理石纹岩板",</t>
        </is>
      </c>
    </row>
    <row r="927">
      <c r="A927" s="9" t="n">
        <v>924</v>
      </c>
      <c r="B927" s="10" t="inlineStr">
        <is>
          <t xml:space="preserve">      "大花白",</t>
        </is>
      </c>
    </row>
    <row r="928">
      <c r="A928" s="7" t="n">
        <v>925</v>
      </c>
      <c r="B928" s="8" t="inlineStr">
        <is>
          <t xml:space="preserve">      "奢石",</t>
        </is>
      </c>
    </row>
    <row r="929">
      <c r="A929" s="9" t="n">
        <v>926</v>
      </c>
      <c r="B929" s="10" t="inlineStr">
        <is>
          <t xml:space="preserve">      "奢石台面",</t>
        </is>
      </c>
    </row>
    <row r="930">
      <c r="A930" s="7" t="n">
        <v>927</v>
      </c>
      <c r="B930" s="8" t="inlineStr">
        <is>
          <t xml:space="preserve">      "奥特曼灰",</t>
        </is>
      </c>
    </row>
    <row r="931">
      <c r="A931" s="9" t="n">
        <v>928</v>
      </c>
      <c r="B931" s="10" t="inlineStr">
        <is>
          <t xml:space="preserve">      "奶咖色",</t>
        </is>
      </c>
    </row>
    <row r="932">
      <c r="A932" s="7" t="n">
        <v>929</v>
      </c>
      <c r="B932" s="8" t="inlineStr">
        <is>
          <t xml:space="preserve">      "奶油风",</t>
        </is>
      </c>
    </row>
    <row r="933">
      <c r="A933" s="9" t="n">
        <v>930</v>
      </c>
      <c r="B933" s="10" t="inlineStr">
        <is>
          <t xml:space="preserve">      "奶茶色",</t>
        </is>
      </c>
    </row>
    <row r="934">
      <c r="A934" s="7" t="n">
        <v>931</v>
      </c>
      <c r="B934" s="8" t="inlineStr">
        <is>
          <t xml:space="preserve">      "好莱客",</t>
        </is>
      </c>
    </row>
    <row r="935">
      <c r="A935" s="9" t="n">
        <v>932</v>
      </c>
      <c r="B935" s="10" t="inlineStr">
        <is>
          <t xml:space="preserve">      "子母合页",</t>
        </is>
      </c>
    </row>
    <row r="936">
      <c r="A936" s="7" t="n">
        <v>933</v>
      </c>
      <c r="B936" s="8" t="inlineStr">
        <is>
          <t xml:space="preserve">      "安装费",</t>
        </is>
      </c>
    </row>
    <row r="937">
      <c r="A937" s="9" t="n">
        <v>934</v>
      </c>
      <c r="B937" s="10" t="inlineStr">
        <is>
          <t xml:space="preserve">      "定制岛台制作",</t>
        </is>
      </c>
    </row>
    <row r="938">
      <c r="A938" s="7" t="n">
        <v>935</v>
      </c>
      <c r="B938" s="8" t="inlineStr">
        <is>
          <t xml:space="preserve">      "定制橱柜",</t>
        </is>
      </c>
    </row>
    <row r="939">
      <c r="A939" s="9" t="n">
        <v>936</v>
      </c>
      <c r="B939" s="10" t="inlineStr">
        <is>
          <t xml:space="preserve">      "定向刨花板",</t>
        </is>
      </c>
    </row>
    <row r="940">
      <c r="A940" s="7" t="n">
        <v>937</v>
      </c>
      <c r="B940" s="8" t="inlineStr">
        <is>
          <t xml:space="preserve">      "实木拼接台面",</t>
        </is>
      </c>
    </row>
    <row r="941">
      <c r="A941" s="9" t="n">
        <v>938</v>
      </c>
      <c r="B941" s="10" t="inlineStr">
        <is>
          <t xml:space="preserve">      "实木拼接板",</t>
        </is>
      </c>
    </row>
    <row r="942">
      <c r="A942" s="7" t="n">
        <v>939</v>
      </c>
      <c r="B942" s="8" t="inlineStr">
        <is>
          <t xml:space="preserve">      "实木板",</t>
        </is>
      </c>
    </row>
    <row r="943">
      <c r="A943" s="9" t="n">
        <v>940</v>
      </c>
      <c r="B943" s="10" t="inlineStr">
        <is>
          <t xml:space="preserve">      "密度板",</t>
        </is>
      </c>
    </row>
    <row r="944">
      <c r="A944" s="7" t="n">
        <v>941</v>
      </c>
      <c r="B944" s="8" t="inlineStr">
        <is>
          <t xml:space="preserve">      "密码锁",</t>
        </is>
      </c>
    </row>
    <row r="945">
      <c r="A945" s="9" t="n">
        <v>942</v>
      </c>
      <c r="B945" s="10" t="inlineStr">
        <is>
          <t xml:space="preserve">      "封闭柜",</t>
        </is>
      </c>
    </row>
    <row r="946">
      <c r="A946" s="7" t="n">
        <v>943</v>
      </c>
      <c r="B946" s="8" t="inlineStr">
        <is>
          <t xml:space="preserve">      "小冰箱",</t>
        </is>
      </c>
    </row>
    <row r="947">
      <c r="A947" s="9" t="n">
        <v>944</v>
      </c>
      <c r="B947" s="10" t="inlineStr">
        <is>
          <t xml:space="preserve">      "小单槽",</t>
        </is>
      </c>
    </row>
    <row r="948">
      <c r="A948" s="7" t="n">
        <v>945</v>
      </c>
      <c r="B948" s="8" t="inlineStr">
        <is>
          <t xml:space="preserve">      "尺寸误差",</t>
        </is>
      </c>
    </row>
    <row r="949">
      <c r="A949" s="9" t="n">
        <v>946</v>
      </c>
      <c r="B949" s="10" t="inlineStr">
        <is>
          <t xml:space="preserve">      "层板",</t>
        </is>
      </c>
    </row>
    <row r="950">
      <c r="A950" s="7" t="n">
        <v>947</v>
      </c>
      <c r="B950" s="8" t="inlineStr">
        <is>
          <t xml:space="preserve">      "展示柜",</t>
        </is>
      </c>
    </row>
    <row r="951">
      <c r="A951" s="9" t="n">
        <v>948</v>
      </c>
      <c r="B951" s="10" t="inlineStr">
        <is>
          <t xml:space="preserve">      "山水纹岩板",</t>
        </is>
      </c>
    </row>
    <row r="952">
      <c r="A952" s="7" t="n">
        <v>949</v>
      </c>
      <c r="B952" s="8" t="inlineStr">
        <is>
          <t xml:space="preserve">      "岗石",</t>
        </is>
      </c>
    </row>
    <row r="953">
      <c r="A953" s="9" t="n">
        <v>950</v>
      </c>
      <c r="B953" s="10" t="inlineStr">
        <is>
          <t xml:space="preserve">      "岛台",</t>
        </is>
      </c>
    </row>
    <row r="954">
      <c r="A954" s="7" t="n">
        <v>951</v>
      </c>
      <c r="B954" s="8" t="inlineStr">
        <is>
          <t xml:space="preserve">      "岛台下翻拉篮",</t>
        </is>
      </c>
    </row>
    <row r="955">
      <c r="A955" s="9" t="n">
        <v>952</v>
      </c>
      <c r="B955" s="10" t="inlineStr">
        <is>
          <t xml:space="preserve">      "岛台不锈钢包边",</t>
        </is>
      </c>
    </row>
    <row r="956">
      <c r="A956" s="7" t="n">
        <v>953</v>
      </c>
      <c r="B956" s="8" t="inlineStr">
        <is>
          <t xml:space="preserve">      "岛台刀架",</t>
        </is>
      </c>
    </row>
    <row r="957">
      <c r="A957" s="9" t="n">
        <v>954</v>
      </c>
      <c r="B957" s="10" t="inlineStr">
        <is>
          <t xml:space="preserve">      "岛台前挡水条",</t>
        </is>
      </c>
    </row>
    <row r="958">
      <c r="A958" s="7" t="n">
        <v>955</v>
      </c>
      <c r="B958" s="8" t="inlineStr">
        <is>
          <t xml:space="preserve">      "岛台加湿器",</t>
        </is>
      </c>
    </row>
    <row r="959">
      <c r="A959" s="9" t="n">
        <v>956</v>
      </c>
      <c r="B959" s="10" t="inlineStr">
        <is>
          <t xml:space="preserve">      "岛台台下盆支撑架",</t>
        </is>
      </c>
    </row>
    <row r="960">
      <c r="A960" s="7" t="n">
        <v>957</v>
      </c>
      <c r="B960" s="8" t="inlineStr">
        <is>
          <t xml:space="preserve">      "岛台后挡水条",</t>
        </is>
      </c>
    </row>
    <row r="961">
      <c r="A961" s="9" t="n">
        <v>958</v>
      </c>
      <c r="B961" s="10" t="inlineStr">
        <is>
          <t xml:space="preserve">      "岛台吧台一体",</t>
        </is>
      </c>
    </row>
    <row r="962">
      <c r="A962" s="7" t="n">
        <v>959</v>
      </c>
      <c r="B962" s="8" t="inlineStr">
        <is>
          <t xml:space="preserve">      "岛台垃圾桶",</t>
        </is>
      </c>
    </row>
    <row r="963">
      <c r="A963" s="9" t="n">
        <v>960</v>
      </c>
      <c r="B963" s="10" t="inlineStr">
        <is>
          <t xml:space="preserve">      "岛台实木包边",</t>
        </is>
      </c>
    </row>
    <row r="964">
      <c r="A964" s="7" t="n">
        <v>961</v>
      </c>
      <c r="B964" s="8" t="inlineStr">
        <is>
          <t xml:space="preserve">      "岛台宽度60cm",</t>
        </is>
      </c>
    </row>
    <row r="965">
      <c r="A965" s="9" t="n">
        <v>962</v>
      </c>
      <c r="B965" s="10" t="inlineStr">
        <is>
          <t xml:space="preserve">      "岛台宽度70cm",</t>
        </is>
      </c>
    </row>
    <row r="966">
      <c r="A966" s="7" t="n">
        <v>963</v>
      </c>
      <c r="B966" s="8" t="inlineStr">
        <is>
          <t xml:space="preserve">      "岛台宽度80cm",</t>
        </is>
      </c>
    </row>
    <row r="967">
      <c r="A967" s="9" t="n">
        <v>964</v>
      </c>
      <c r="B967" s="10" t="inlineStr">
        <is>
          <t xml:space="preserve">      "岛台岩板一体盆",</t>
        </is>
      </c>
    </row>
    <row r="968">
      <c r="A968" s="7" t="n">
        <v>965</v>
      </c>
      <c r="B968" s="8" t="inlineStr">
        <is>
          <t xml:space="preserve">      "岛台岩板包边",</t>
        </is>
      </c>
    </row>
    <row r="969">
      <c r="A969" s="9" t="n">
        <v>966</v>
      </c>
      <c r="B969" s="10" t="inlineStr">
        <is>
          <t xml:space="preserve">      "岛台嵌入式茶盘",</t>
        </is>
      </c>
    </row>
    <row r="970">
      <c r="A970" s="7" t="n">
        <v>967</v>
      </c>
      <c r="B970" s="8" t="inlineStr">
        <is>
          <t xml:space="preserve">      "岛台延伸吧台",</t>
        </is>
      </c>
    </row>
    <row r="971">
      <c r="A971" s="9" t="n">
        <v>968</v>
      </c>
      <c r="B971" s="10" t="inlineStr">
        <is>
          <t xml:space="preserve">      "岛台延伸餐桌",</t>
        </is>
      </c>
    </row>
    <row r="972">
      <c r="A972" s="7" t="n">
        <v>969</v>
      </c>
      <c r="B972" s="8" t="inlineStr">
        <is>
          <t xml:space="preserve">      "岛台开放格灯",</t>
        </is>
      </c>
    </row>
    <row r="973">
      <c r="A973" s="9" t="n">
        <v>970</v>
      </c>
      <c r="B973" s="10" t="inlineStr">
        <is>
          <t xml:space="preserve">      "岛台感应灯带",</t>
        </is>
      </c>
    </row>
    <row r="974">
      <c r="A974" s="7" t="n">
        <v>971</v>
      </c>
      <c r="B974" s="8" t="inlineStr">
        <is>
          <t xml:space="preserve">      "岛台承重加固",</t>
        </is>
      </c>
    </row>
    <row r="975">
      <c r="A975" s="9" t="n">
        <v>972</v>
      </c>
      <c r="B975" s="10" t="inlineStr">
        <is>
          <t xml:space="preserve">      "岛台抽屉式酒柜",</t>
        </is>
      </c>
    </row>
    <row r="976">
      <c r="A976" s="7" t="n">
        <v>973</v>
      </c>
      <c r="B976" s="8" t="inlineStr">
        <is>
          <t xml:space="preserve">      "岛台拉篮",</t>
        </is>
      </c>
    </row>
    <row r="977">
      <c r="A977" s="9" t="n">
        <v>974</v>
      </c>
      <c r="B977" s="10" t="inlineStr">
        <is>
          <t xml:space="preserve">      "岛台旋转拉篮",</t>
        </is>
      </c>
    </row>
    <row r="978">
      <c r="A978" s="7" t="n">
        <v>975</v>
      </c>
      <c r="B978" s="8" t="inlineStr">
        <is>
          <t xml:space="preserve">      "岛台无线充电板",</t>
        </is>
      </c>
    </row>
    <row r="979">
      <c r="A979" s="9" t="n">
        <v>976</v>
      </c>
      <c r="B979" s="10" t="inlineStr">
        <is>
          <t xml:space="preserve">      "岛台智能显示屏",</t>
        </is>
      </c>
    </row>
    <row r="980">
      <c r="A980" s="7" t="n">
        <v>977</v>
      </c>
      <c r="B980" s="8" t="inlineStr">
        <is>
          <t xml:space="preserve">      "岛台智能音箱",</t>
        </is>
      </c>
    </row>
    <row r="981">
      <c r="A981" s="9" t="n">
        <v>978</v>
      </c>
      <c r="B981" s="10" t="inlineStr">
        <is>
          <t xml:space="preserve">      "岛台水槽一体",</t>
        </is>
      </c>
    </row>
    <row r="982">
      <c r="A982" s="7" t="n">
        <v>979</v>
      </c>
      <c r="B982" s="8" t="inlineStr">
        <is>
          <t xml:space="preserve">      "岛台水电改造",</t>
        </is>
      </c>
    </row>
    <row r="983">
      <c r="A983" s="9" t="n">
        <v>980</v>
      </c>
      <c r="B983" s="10" t="inlineStr">
        <is>
          <t xml:space="preserve">      "岛台灶台一体",</t>
        </is>
      </c>
    </row>
    <row r="984">
      <c r="A984" s="7" t="n">
        <v>981</v>
      </c>
      <c r="B984" s="8" t="inlineStr">
        <is>
          <t xml:space="preserve">      "岛台玻璃柜灯",</t>
        </is>
      </c>
    </row>
    <row r="985">
      <c r="A985" s="9" t="n">
        <v>982</v>
      </c>
      <c r="B985" s="10" t="inlineStr">
        <is>
          <t xml:space="preserve">      "岛台电动升降插座",</t>
        </is>
      </c>
    </row>
    <row r="986">
      <c r="A986" s="7" t="n">
        <v>983</v>
      </c>
      <c r="B986" s="8" t="inlineStr">
        <is>
          <t xml:space="preserve">      "岛台空气净化器",</t>
        </is>
      </c>
    </row>
    <row r="987">
      <c r="A987" s="9" t="n">
        <v>984</v>
      </c>
      <c r="B987" s="10" t="inlineStr">
        <is>
          <t xml:space="preserve">      "岛台调料架",</t>
        </is>
      </c>
    </row>
    <row r="988">
      <c r="A988" s="7" t="n">
        <v>985</v>
      </c>
      <c r="B988" s="8" t="inlineStr">
        <is>
          <t xml:space="preserve">      "岛台踢脚线灯",</t>
        </is>
      </c>
    </row>
    <row r="989">
      <c r="A989" s="9" t="n">
        <v>986</v>
      </c>
      <c r="B989" s="10" t="inlineStr">
        <is>
          <t xml:space="preserve">      "岛台轨道插座",</t>
        </is>
      </c>
    </row>
    <row r="990">
      <c r="A990" s="7" t="n">
        <v>987</v>
      </c>
      <c r="B990" s="8" t="inlineStr">
        <is>
          <t xml:space="preserve">      "岛台铝合金包边",</t>
        </is>
      </c>
    </row>
    <row r="991">
      <c r="A991" s="9" t="n">
        <v>988</v>
      </c>
      <c r="B991" s="10" t="inlineStr">
        <is>
          <t xml:space="preserve">      "岛台长度120cm",</t>
        </is>
      </c>
    </row>
    <row r="992">
      <c r="A992" s="7" t="n">
        <v>989</v>
      </c>
      <c r="B992" s="8" t="inlineStr">
        <is>
          <t xml:space="preserve">      "岛台长度150cm",</t>
        </is>
      </c>
    </row>
    <row r="993">
      <c r="A993" s="9" t="n">
        <v>990</v>
      </c>
      <c r="B993" s="10" t="inlineStr">
        <is>
          <t xml:space="preserve">      "岛台长度180cm",</t>
        </is>
      </c>
    </row>
    <row r="994">
      <c r="A994" s="7" t="n">
        <v>991</v>
      </c>
      <c r="B994" s="8" t="inlineStr">
        <is>
          <t xml:space="preserve">      "岛台长度200cm",</t>
        </is>
      </c>
    </row>
    <row r="995">
      <c r="A995" s="9" t="n">
        <v>992</v>
      </c>
      <c r="B995" s="10" t="inlineStr">
        <is>
          <t xml:space="preserve">      "岛台隐藏式升降插座",</t>
        </is>
      </c>
    </row>
    <row r="996">
      <c r="A996" s="7" t="n">
        <v>993</v>
      </c>
      <c r="B996" s="8" t="inlineStr">
        <is>
          <t xml:space="preserve">      "岛台餐桌一体",</t>
        </is>
      </c>
    </row>
    <row r="997">
      <c r="A997" s="9" t="n">
        <v>994</v>
      </c>
      <c r="B997" s="10" t="inlineStr">
        <is>
          <t xml:space="preserve">      "岛台高压洗杯器",</t>
        </is>
      </c>
    </row>
    <row r="998">
      <c r="A998" s="7" t="n">
        <v>995</v>
      </c>
      <c r="B998" s="8" t="inlineStr">
        <is>
          <t xml:space="preserve">      "岛台高度80cm",</t>
        </is>
      </c>
    </row>
    <row r="999">
      <c r="A999" s="9" t="n">
        <v>996</v>
      </c>
      <c r="B999" s="10" t="inlineStr">
        <is>
          <t xml:space="preserve">      "岛台高度85cm",</t>
        </is>
      </c>
    </row>
    <row r="1000">
      <c r="A1000" s="7" t="n">
        <v>997</v>
      </c>
      <c r="B1000" s="8" t="inlineStr">
        <is>
          <t xml:space="preserve">      "岛台高度90cm",</t>
        </is>
      </c>
    </row>
    <row r="1001">
      <c r="A1001" s="9" t="n">
        <v>998</v>
      </c>
      <c r="B1001" s="10" t="inlineStr">
        <is>
          <t xml:space="preserve">      "岛型厨房",</t>
        </is>
      </c>
    </row>
    <row r="1002">
      <c r="A1002" s="7" t="n">
        <v>999</v>
      </c>
      <c r="B1002" s="8" t="inlineStr">
        <is>
          <t xml:space="preserve">      "岩板45度倒角",</t>
        </is>
      </c>
    </row>
    <row r="1003">
      <c r="A1003" s="9" t="n">
        <v>1000</v>
      </c>
      <c r="B1003" s="10" t="inlineStr">
        <is>
          <t xml:space="preserve">      "岩板一体盆",</t>
        </is>
      </c>
    </row>
    <row r="1004">
      <c r="A1004" s="7" t="n">
        <v>1001</v>
      </c>
      <c r="B1004" s="8" t="inlineStr">
        <is>
          <t xml:space="preserve">      "岩板切割",</t>
        </is>
      </c>
    </row>
    <row r="1005">
      <c r="A1005" s="9" t="n">
        <v>1002</v>
      </c>
      <c r="B1005" s="10" t="inlineStr">
        <is>
          <t xml:space="preserve">      "岩板包柱",</t>
        </is>
      </c>
    </row>
    <row r="1006">
      <c r="A1006" s="7" t="n">
        <v>1003</v>
      </c>
      <c r="B1006" s="8" t="inlineStr">
        <is>
          <t xml:space="preserve">      "岩板包梁",</t>
        </is>
      </c>
    </row>
    <row r="1007">
      <c r="A1007" s="9" t="n">
        <v>1004</v>
      </c>
      <c r="B1007" s="10" t="inlineStr">
        <is>
          <t xml:space="preserve">      "岩板台面",</t>
        </is>
      </c>
    </row>
    <row r="1008">
      <c r="A1008" s="7" t="n">
        <v>1005</v>
      </c>
      <c r="B1008" s="8" t="inlineStr">
        <is>
          <t xml:space="preserve">      "岩板台面安装",</t>
        </is>
      </c>
    </row>
    <row r="1009">
      <c r="A1009" s="9" t="n">
        <v>1006</v>
      </c>
      <c r="B1009" s="10" t="inlineStr">
        <is>
          <t xml:space="preserve">      "岩板复合台面",</t>
        </is>
      </c>
    </row>
    <row r="1010">
      <c r="A1010" s="7" t="n">
        <v>1007</v>
      </c>
      <c r="B1010" s="8" t="inlineStr">
        <is>
          <t xml:space="preserve">      "岩板开裂",</t>
        </is>
      </c>
    </row>
    <row r="1011">
      <c r="A1011" s="9" t="n">
        <v>1008</v>
      </c>
      <c r="B1011" s="10" t="inlineStr">
        <is>
          <t xml:space="preserve">      "岩板拼接不平",</t>
        </is>
      </c>
    </row>
    <row r="1012">
      <c r="A1012" s="7" t="n">
        <v>1009</v>
      </c>
      <c r="B1012" s="8" t="inlineStr">
        <is>
          <t xml:space="preserve">      "岩板拼接缝过大",</t>
        </is>
      </c>
    </row>
    <row r="1013">
      <c r="A1013" s="9" t="n">
        <v>1010</v>
      </c>
      <c r="B1013" s="10" t="inlineStr">
        <is>
          <t xml:space="preserve">      "岩板无缝拼接",</t>
        </is>
      </c>
    </row>
    <row r="1014">
      <c r="A1014" s="7" t="n">
        <v>1011</v>
      </c>
      <c r="B1014" s="8" t="inlineStr">
        <is>
          <t xml:space="preserve">      "岩板柜体安装",</t>
        </is>
      </c>
    </row>
    <row r="1015">
      <c r="A1015" s="9" t="n">
        <v>1012</v>
      </c>
      <c r="B1015" s="10" t="inlineStr">
        <is>
          <t xml:space="preserve">      "岩板污渍",</t>
        </is>
      </c>
    </row>
    <row r="1016">
      <c r="A1016" s="7" t="n">
        <v>1013</v>
      </c>
      <c r="B1016" s="8" t="inlineStr">
        <is>
          <t xml:space="preserve">      "岩板热弯台面",</t>
        </is>
      </c>
    </row>
    <row r="1017">
      <c r="A1017" s="9" t="n">
        <v>1014</v>
      </c>
      <c r="B1017" s="10" t="inlineStr">
        <is>
          <t xml:space="preserve">      "岩板直角拼接",</t>
        </is>
      </c>
    </row>
    <row r="1018">
      <c r="A1018" s="7" t="n">
        <v>1015</v>
      </c>
      <c r="B1018" s="8" t="inlineStr">
        <is>
          <t xml:space="preserve">      "岩板背景墙安装",</t>
        </is>
      </c>
    </row>
    <row r="1019">
      <c r="A1019" s="9" t="n">
        <v>1016</v>
      </c>
      <c r="B1019" s="10" t="inlineStr">
        <is>
          <t xml:space="preserve">      "岩板蜂窝板台面",</t>
        </is>
      </c>
    </row>
    <row r="1020">
      <c r="A1020" s="7" t="n">
        <v>1017</v>
      </c>
      <c r="B1020" s="8" t="inlineStr">
        <is>
          <t xml:space="preserve">      "岩板蜂窝板复合",</t>
        </is>
      </c>
    </row>
    <row r="1021">
      <c r="A1021" s="9" t="n">
        <v>1018</v>
      </c>
      <c r="B1021" s="10" t="inlineStr">
        <is>
          <t xml:space="preserve">      "嵌入式一电一陶炉",</t>
        </is>
      </c>
    </row>
    <row r="1022">
      <c r="A1022" s="7" t="n">
        <v>1019</v>
      </c>
      <c r="B1022" s="8" t="inlineStr">
        <is>
          <t xml:space="preserve">      "嵌入式低温消毒柜",</t>
        </is>
      </c>
    </row>
    <row r="1023">
      <c r="A1023" s="9" t="n">
        <v>1020</v>
      </c>
      <c r="B1023" s="10" t="inlineStr">
        <is>
          <t xml:space="preserve">      "嵌入式保温抽屉",</t>
        </is>
      </c>
    </row>
    <row r="1024">
      <c r="A1024" s="7" t="n">
        <v>1021</v>
      </c>
      <c r="B1024" s="8" t="inlineStr">
        <is>
          <t xml:space="preserve">      "嵌入式保鲜膜盒",</t>
        </is>
      </c>
    </row>
    <row r="1025">
      <c r="A1025" s="9" t="n">
        <v>1022</v>
      </c>
      <c r="B1025" s="10" t="inlineStr">
        <is>
          <t xml:space="preserve">      "嵌入式全自动咖啡机",</t>
        </is>
      </c>
    </row>
    <row r="1026">
      <c r="A1026" s="7" t="n">
        <v>1023</v>
      </c>
      <c r="B1026" s="8" t="inlineStr">
        <is>
          <t xml:space="preserve">      "嵌入式净水器",</t>
        </is>
      </c>
    </row>
    <row r="1027">
      <c r="A1027" s="9" t="n">
        <v>1024</v>
      </c>
      <c r="B1027" s="10" t="inlineStr">
        <is>
          <t xml:space="preserve">      "嵌入式半自动咖啡机",</t>
        </is>
      </c>
    </row>
    <row r="1028">
      <c r="A1028" s="7" t="n">
        <v>1025</v>
      </c>
      <c r="B1028" s="8" t="inlineStr">
        <is>
          <t xml:space="preserve">      "嵌入式单门冰箱",</t>
        </is>
      </c>
    </row>
    <row r="1029">
      <c r="A1029" s="9" t="n">
        <v>1026</v>
      </c>
      <c r="B1029" s="10" t="inlineStr">
        <is>
          <t xml:space="preserve">      "嵌入式即热式饮水机",</t>
        </is>
      </c>
    </row>
    <row r="1030">
      <c r="A1030" s="7" t="n">
        <v>1027</v>
      </c>
      <c r="B1030" s="8" t="inlineStr">
        <is>
          <t xml:space="preserve">      "嵌入式双头电磁炉",</t>
        </is>
      </c>
    </row>
    <row r="1031">
      <c r="A1031" s="9" t="n">
        <v>1028</v>
      </c>
      <c r="B1031" s="10" t="inlineStr">
        <is>
          <t xml:space="preserve">      "嵌入式双头电陶炉",</t>
        </is>
      </c>
    </row>
    <row r="1032">
      <c r="A1032" s="7" t="n">
        <v>1029</v>
      </c>
      <c r="B1032" s="8" t="inlineStr">
        <is>
          <t xml:space="preserve">      "嵌入式双开门冰箱",</t>
        </is>
      </c>
    </row>
    <row r="1033">
      <c r="A1033" s="9" t="n">
        <v>1030</v>
      </c>
      <c r="B1033" s="10" t="inlineStr">
        <is>
          <t xml:space="preserve">      "嵌入式台式洗碗机",</t>
        </is>
      </c>
    </row>
    <row r="1034">
      <c r="A1034" s="7" t="n">
        <v>1031</v>
      </c>
      <c r="B1034" s="8" t="inlineStr">
        <is>
          <t xml:space="preserve">      "嵌入式咖啡机",</t>
        </is>
      </c>
    </row>
    <row r="1035">
      <c r="A1035" s="9" t="n">
        <v>1032</v>
      </c>
      <c r="B1035" s="10" t="inlineStr">
        <is>
          <t xml:space="preserve">      "嵌入式垃圾桶",</t>
        </is>
      </c>
    </row>
    <row r="1036">
      <c r="A1036" s="7" t="n">
        <v>1033</v>
      </c>
      <c r="B1036" s="8" t="inlineStr">
        <is>
          <t xml:space="preserve">      "嵌入式微波炉",</t>
        </is>
      </c>
    </row>
    <row r="1037">
      <c r="A1037" s="9" t="n">
        <v>1034</v>
      </c>
      <c r="B1037" s="10" t="inlineStr">
        <is>
          <t xml:space="preserve">      "嵌入式微蒸烤一体机",</t>
        </is>
      </c>
    </row>
    <row r="1038">
      <c r="A1038" s="7" t="n">
        <v>1035</v>
      </c>
      <c r="B1038" s="8" t="inlineStr">
        <is>
          <t xml:space="preserve">      "嵌入式抽油烟机",</t>
        </is>
      </c>
    </row>
    <row r="1039">
      <c r="A1039" s="9" t="n">
        <v>1036</v>
      </c>
      <c r="B1039" s="10" t="inlineStr">
        <is>
          <t xml:space="preserve">      "嵌入式暖碟机",</t>
        </is>
      </c>
    </row>
    <row r="1040">
      <c r="A1040" s="7" t="n">
        <v>1037</v>
      </c>
      <c r="B1040" s="8" t="inlineStr">
        <is>
          <t xml:space="preserve">      "嵌入式暖菜板",</t>
        </is>
      </c>
    </row>
    <row r="1041">
      <c r="A1041" s="9" t="n">
        <v>1038</v>
      </c>
      <c r="B1041" s="10" t="inlineStr">
        <is>
          <t xml:space="preserve">      "嵌入式洗碗机",</t>
        </is>
      </c>
    </row>
    <row r="1042">
      <c r="A1042" s="7" t="n">
        <v>1039</v>
      </c>
      <c r="B1042" s="8" t="inlineStr">
        <is>
          <t xml:space="preserve">      "嵌入式消毒柜",</t>
        </is>
      </c>
    </row>
    <row r="1043">
      <c r="A1043" s="9" t="n">
        <v>1040</v>
      </c>
      <c r="B1043" s="10" t="inlineStr">
        <is>
          <t xml:space="preserve">      "嵌入式清洁用品柜",</t>
        </is>
      </c>
    </row>
    <row r="1044">
      <c r="A1044" s="7" t="n">
        <v>1041</v>
      </c>
      <c r="B1044" s="8" t="inlineStr">
        <is>
          <t xml:space="preserve">      "嵌入式燃气灶",</t>
        </is>
      </c>
    </row>
    <row r="1045">
      <c r="A1045" s="9" t="n">
        <v>1042</v>
      </c>
      <c r="B1045" s="10" t="inlineStr">
        <is>
          <t xml:space="preserve">      "嵌入式电磁炉",</t>
        </is>
      </c>
    </row>
    <row r="1046">
      <c r="A1046" s="7" t="n">
        <v>1043</v>
      </c>
      <c r="B1046" s="8" t="inlineStr">
        <is>
          <t xml:space="preserve">      "嵌入式电陶炉",</t>
        </is>
      </c>
    </row>
    <row r="1047">
      <c r="A1047" s="9" t="n">
        <v>1044</v>
      </c>
      <c r="B1047" s="10" t="inlineStr">
        <is>
          <t xml:space="preserve">      "嵌入式白酒柜",</t>
        </is>
      </c>
    </row>
    <row r="1048">
      <c r="A1048" s="7" t="n">
        <v>1045</v>
      </c>
      <c r="B1048" s="8" t="inlineStr">
        <is>
          <t xml:space="preserve">      "嵌入式直饮机",</t>
        </is>
      </c>
    </row>
    <row r="1049">
      <c r="A1049" s="9" t="n">
        <v>1046</v>
      </c>
      <c r="B1049" s="10" t="inlineStr">
        <is>
          <t xml:space="preserve">      "嵌入式砧板架",</t>
        </is>
      </c>
    </row>
    <row r="1050">
      <c r="A1050" s="7" t="n">
        <v>1047</v>
      </c>
      <c r="B1050" s="8" t="inlineStr">
        <is>
          <t xml:space="preserve">      "嵌入式碗碟架",</t>
        </is>
      </c>
    </row>
    <row r="1051">
      <c r="A1051" s="9" t="n">
        <v>1048</v>
      </c>
      <c r="B1051" s="10" t="inlineStr">
        <is>
          <t xml:space="preserve">      "嵌入式纯水机",</t>
        </is>
      </c>
    </row>
    <row r="1052">
      <c r="A1052" s="7" t="n">
        <v>1049</v>
      </c>
      <c r="B1052" s="8" t="inlineStr">
        <is>
          <t xml:space="preserve">      "嵌入式纸巾盒",</t>
        </is>
      </c>
    </row>
    <row r="1053">
      <c r="A1053" s="9" t="n">
        <v>1050</v>
      </c>
      <c r="B1053" s="10" t="inlineStr">
        <is>
          <t xml:space="preserve">      "嵌入式茶吧机",</t>
        </is>
      </c>
    </row>
    <row r="1054">
      <c r="A1054" s="7" t="n">
        <v>1051</v>
      </c>
      <c r="B1054" s="8" t="inlineStr">
        <is>
          <t xml:space="preserve">      "嵌入式蒸烤箱",</t>
        </is>
      </c>
    </row>
    <row r="1055">
      <c r="A1055" s="9" t="n">
        <v>1052</v>
      </c>
      <c r="B1055" s="10" t="inlineStr">
        <is>
          <t xml:space="preserve">      "嵌入式调料架",</t>
        </is>
      </c>
    </row>
    <row r="1056">
      <c r="A1056" s="7" t="n">
        <v>1053</v>
      </c>
      <c r="B1056" s="8" t="inlineStr">
        <is>
          <t xml:space="preserve">      "嵌入式轨道插座",</t>
        </is>
      </c>
    </row>
    <row r="1057">
      <c r="A1057" s="9" t="n">
        <v>1054</v>
      </c>
      <c r="B1057" s="10" t="inlineStr">
        <is>
          <t xml:space="preserve">      "嵌入式软水机",</t>
        </is>
      </c>
    </row>
    <row r="1058">
      <c r="A1058" s="7" t="n">
        <v>1055</v>
      </c>
      <c r="B1058" s="8" t="inlineStr">
        <is>
          <t xml:space="preserve">      "嵌入式锅具架",</t>
        </is>
      </c>
    </row>
    <row r="1059">
      <c r="A1059" s="9" t="n">
        <v>1056</v>
      </c>
      <c r="B1059" s="10" t="inlineStr">
        <is>
          <t xml:space="preserve">      "嵌入式集成水槽",</t>
        </is>
      </c>
    </row>
    <row r="1060">
      <c r="A1060" s="7" t="n">
        <v>1057</v>
      </c>
      <c r="B1060" s="8" t="inlineStr">
        <is>
          <t xml:space="preserve">      "嵌入式集成水槽洗碗机",</t>
        </is>
      </c>
    </row>
    <row r="1061">
      <c r="A1061" s="9" t="n">
        <v>1058</v>
      </c>
      <c r="B1061" s="10" t="inlineStr">
        <is>
          <t xml:space="preserve">      "嵌入式集成灶",</t>
        </is>
      </c>
    </row>
    <row r="1062">
      <c r="A1062" s="7" t="n">
        <v>1059</v>
      </c>
      <c r="B1062" s="8" t="inlineStr">
        <is>
          <t xml:space="preserve">      "嵌入式雪茄柜",</t>
        </is>
      </c>
    </row>
    <row r="1063">
      <c r="A1063" s="9" t="n">
        <v>1060</v>
      </c>
      <c r="B1063" s="10" t="inlineStr">
        <is>
          <t xml:space="preserve">      "嵌入式面粉箱",</t>
        </is>
      </c>
    </row>
    <row r="1064">
      <c r="A1064" s="7" t="n">
        <v>1061</v>
      </c>
      <c r="B1064" s="8" t="inlineStr">
        <is>
          <t xml:space="preserve">      "嵌入式饮水机",</t>
        </is>
      </c>
    </row>
    <row r="1065">
      <c r="A1065" s="9" t="n">
        <v>1062</v>
      </c>
      <c r="B1065" s="10" t="inlineStr">
        <is>
          <t xml:space="preserve">      "嵌入式高温消毒柜",</t>
        </is>
      </c>
    </row>
    <row r="1066">
      <c r="A1066" s="7" t="n">
        <v>1063</v>
      </c>
      <c r="B1066" s="8" t="inlineStr">
        <is>
          <t xml:space="preserve">      "工业风",</t>
        </is>
      </c>
    </row>
    <row r="1067">
      <c r="A1067" s="9" t="n">
        <v>1064</v>
      </c>
      <c r="B1067" s="10" t="inlineStr">
        <is>
          <t xml:space="preserve">      "左右平移岛台",</t>
        </is>
      </c>
    </row>
    <row r="1068">
      <c r="A1068" s="7" t="n">
        <v>1065</v>
      </c>
      <c r="B1068" s="8" t="inlineStr">
        <is>
          <t xml:space="preserve">      "巧克力色",</t>
        </is>
      </c>
    </row>
    <row r="1069">
      <c r="A1069" s="9" t="n">
        <v>1066</v>
      </c>
      <c r="B1069" s="10" t="inlineStr">
        <is>
          <t xml:space="preserve">      "希腊灰",</t>
        </is>
      </c>
    </row>
    <row r="1070">
      <c r="A1070" s="7" t="n">
        <v>1067</v>
      </c>
      <c r="B1070" s="8" t="inlineStr">
        <is>
          <t xml:space="preserve">      "帝王黑",</t>
        </is>
      </c>
    </row>
    <row r="1071">
      <c r="A1071" s="9" t="n">
        <v>1068</v>
      </c>
      <c r="B1071" s="10" t="inlineStr">
        <is>
          <t xml:space="preserve">      "带Type-C轨道插座",</t>
        </is>
      </c>
    </row>
    <row r="1072">
      <c r="A1072" s="7" t="n">
        <v>1069</v>
      </c>
      <c r="B1072" s="8" t="inlineStr">
        <is>
          <t xml:space="preserve">      "带USB轨道插座",</t>
        </is>
      </c>
    </row>
    <row r="1073">
      <c r="A1073" s="9" t="n">
        <v>1070</v>
      </c>
      <c r="B1073" s="10" t="inlineStr">
        <is>
          <t xml:space="preserve">      "带儿童作业区岛台",</t>
        </is>
      </c>
    </row>
    <row r="1074">
      <c r="A1074" s="7" t="n">
        <v>1071</v>
      </c>
      <c r="B1074" s="8" t="inlineStr">
        <is>
          <t xml:space="preserve">      "带宠物区岛台",</t>
        </is>
      </c>
    </row>
    <row r="1075">
      <c r="A1075" s="9" t="n">
        <v>1072</v>
      </c>
      <c r="B1075" s="10" t="inlineStr">
        <is>
          <t xml:space="preserve">      "带开关轨道插座",</t>
        </is>
      </c>
    </row>
    <row r="1076">
      <c r="A1076" s="7" t="n">
        <v>1073</v>
      </c>
      <c r="B1076" s="8" t="inlineStr">
        <is>
          <t xml:space="preserve">      "带早餐台岛台",</t>
        </is>
      </c>
    </row>
    <row r="1077">
      <c r="A1077" s="9" t="n">
        <v>1074</v>
      </c>
      <c r="B1077" s="10" t="inlineStr">
        <is>
          <t xml:space="preserve">      "带洗手台岛台",</t>
        </is>
      </c>
    </row>
    <row r="1078">
      <c r="A1078" s="7" t="n">
        <v>1075</v>
      </c>
      <c r="B1078" s="8" t="inlineStr">
        <is>
          <t xml:space="preserve">      "带洗衣区岛台",</t>
        </is>
      </c>
    </row>
    <row r="1079">
      <c r="A1079" s="9" t="n">
        <v>1076</v>
      </c>
      <c r="B1079" s="10" t="inlineStr">
        <is>
          <t xml:space="preserve">      "带茶台岛台",</t>
        </is>
      </c>
    </row>
    <row r="1080">
      <c r="A1080" s="7" t="n">
        <v>1077</v>
      </c>
      <c r="B1080" s="8" t="inlineStr">
        <is>
          <t xml:space="preserve">      "度假风",</t>
        </is>
      </c>
    </row>
    <row r="1081">
      <c r="A1081" s="9" t="n">
        <v>1078</v>
      </c>
      <c r="B1081" s="10" t="inlineStr">
        <is>
          <t xml:space="preserve">      "延米",</t>
        </is>
      </c>
    </row>
    <row r="1082">
      <c r="A1082" s="7" t="n">
        <v>1079</v>
      </c>
      <c r="B1082" s="8" t="inlineStr">
        <is>
          <t xml:space="preserve">      "开关",</t>
        </is>
      </c>
    </row>
    <row r="1083">
      <c r="A1083" s="9" t="n">
        <v>1080</v>
      </c>
      <c r="B1083" s="10" t="inlineStr">
        <is>
          <t xml:space="preserve">      "开关失灵",</t>
        </is>
      </c>
    </row>
    <row r="1084">
      <c r="A1084" s="7" t="n">
        <v>1081</v>
      </c>
      <c r="B1084" s="8" t="inlineStr">
        <is>
          <t xml:space="preserve">      "开放柜",</t>
        </is>
      </c>
    </row>
    <row r="1085">
      <c r="A1085" s="9" t="n">
        <v>1082</v>
      </c>
      <c r="B1085" s="10" t="inlineStr">
        <is>
          <t xml:space="preserve">      "微波炉",</t>
        </is>
      </c>
    </row>
    <row r="1086">
      <c r="A1086" s="7" t="n">
        <v>1083</v>
      </c>
      <c r="B1086" s="8" t="inlineStr">
        <is>
          <t xml:space="preserve">      "德利丰",</t>
        </is>
      </c>
    </row>
    <row r="1087">
      <c r="A1087" s="9" t="n">
        <v>1084</v>
      </c>
      <c r="B1087" s="10" t="inlineStr">
        <is>
          <t xml:space="preserve">      "德赛斯",</t>
        </is>
      </c>
    </row>
    <row r="1088">
      <c r="A1088" s="7" t="n">
        <v>1085</v>
      </c>
      <c r="B1088" s="8" t="inlineStr">
        <is>
          <t xml:space="preserve">      "心悦粉",</t>
        </is>
      </c>
    </row>
    <row r="1089">
      <c r="A1089" s="9" t="n">
        <v>1086</v>
      </c>
      <c r="B1089" s="10" t="inlineStr">
        <is>
          <t xml:space="preserve">      "志邦",</t>
        </is>
      </c>
    </row>
    <row r="1090">
      <c r="A1090" s="7" t="n">
        <v>1087</v>
      </c>
      <c r="B1090" s="8" t="inlineStr">
        <is>
          <t xml:space="preserve">      "悍高",</t>
        </is>
      </c>
    </row>
    <row r="1091">
      <c r="A1091" s="9" t="n">
        <v>1088</v>
      </c>
      <c r="B1091" s="10" t="inlineStr">
        <is>
          <t xml:space="preserve">      "悍高铰链",</t>
        </is>
      </c>
    </row>
    <row r="1092">
      <c r="A1092" s="7" t="n">
        <v>1089</v>
      </c>
      <c r="B1092" s="8" t="inlineStr">
        <is>
          <t xml:space="preserve">      "悬浮岛台安装",</t>
        </is>
      </c>
    </row>
    <row r="1093">
      <c r="A1093" s="9" t="n">
        <v>1090</v>
      </c>
      <c r="B1093" s="10" t="inlineStr">
        <is>
          <t xml:space="preserve">      "悬浮岛台钢架制作",</t>
        </is>
      </c>
    </row>
    <row r="1094">
      <c r="A1094" s="7" t="n">
        <v>1091</v>
      </c>
      <c r="B1094" s="8" t="inlineStr">
        <is>
          <t xml:space="preserve">      "悬浮岩板岛台",</t>
        </is>
      </c>
    </row>
    <row r="1095">
      <c r="A1095" s="9" t="n">
        <v>1092</v>
      </c>
      <c r="B1095" s="10" t="inlineStr">
        <is>
          <t xml:space="preserve">      "悬空岛台",</t>
        </is>
      </c>
    </row>
    <row r="1096">
      <c r="A1096" s="7" t="n">
        <v>1093</v>
      </c>
      <c r="B1096" s="8" t="inlineStr">
        <is>
          <t xml:space="preserve">      "悬空岛台安装",</t>
        </is>
      </c>
    </row>
    <row r="1097">
      <c r="A1097" s="9" t="n">
        <v>1094</v>
      </c>
      <c r="B1097" s="10" t="inlineStr">
        <is>
          <t xml:space="preserve">      "意大利灰",</t>
        </is>
      </c>
    </row>
    <row r="1098">
      <c r="A1098" s="7" t="n">
        <v>1095</v>
      </c>
      <c r="B1098" s="8" t="inlineStr">
        <is>
          <t xml:space="preserve">      "意式复古",</t>
        </is>
      </c>
    </row>
    <row r="1099">
      <c r="A1099" s="9" t="n">
        <v>1096</v>
      </c>
      <c r="B1099" s="10" t="inlineStr">
        <is>
          <t xml:space="preserve">      "感应式出水岛台",</t>
        </is>
      </c>
    </row>
    <row r="1100">
      <c r="A1100" s="7" t="n">
        <v>1097</v>
      </c>
      <c r="B1100" s="8" t="inlineStr">
        <is>
          <t xml:space="preserve">      "我乐",</t>
        </is>
      </c>
    </row>
    <row r="1101">
      <c r="A1101" s="9" t="n">
        <v>1098</v>
      </c>
      <c r="B1101" s="10" t="inlineStr">
        <is>
          <t xml:space="preserve">      "截止阀",</t>
        </is>
      </c>
    </row>
    <row r="1102">
      <c r="A1102" s="7" t="n">
        <v>1099</v>
      </c>
      <c r="B1102" s="8" t="inlineStr">
        <is>
          <t xml:space="preserve">      "手动升降插座",</t>
        </is>
      </c>
    </row>
    <row r="1103">
      <c r="A1103" s="9" t="n">
        <v>1100</v>
      </c>
      <c r="B1103" s="10" t="inlineStr">
        <is>
          <t xml:space="preserve">      "托底抽",</t>
        </is>
      </c>
    </row>
    <row r="1104">
      <c r="A1104" s="7" t="n">
        <v>1101</v>
      </c>
      <c r="B1104" s="8" t="inlineStr">
        <is>
          <t xml:space="preserve">      "托底滑轨",</t>
        </is>
      </c>
    </row>
    <row r="1105">
      <c r="A1105" s="9" t="n">
        <v>1102</v>
      </c>
      <c r="B1105" s="10" t="inlineStr">
        <is>
          <t xml:space="preserve">      "托底轨",</t>
        </is>
      </c>
    </row>
    <row r="1106">
      <c r="A1106" s="7" t="n">
        <v>1103</v>
      </c>
      <c r="B1106" s="8" t="inlineStr">
        <is>
          <t xml:space="preserve">      "抽屉",</t>
        </is>
      </c>
    </row>
    <row r="1107">
      <c r="A1107" s="9" t="n">
        <v>1104</v>
      </c>
      <c r="B1107" s="10" t="inlineStr">
        <is>
          <t xml:space="preserve">      "抽屉卡顿",</t>
        </is>
      </c>
    </row>
    <row r="1108">
      <c r="A1108" s="7" t="n">
        <v>1105</v>
      </c>
      <c r="B1108" s="8" t="inlineStr">
        <is>
          <t xml:space="preserve">      "抽屉式刀叉盒",</t>
        </is>
      </c>
    </row>
    <row r="1109">
      <c r="A1109" s="9" t="n">
        <v>1106</v>
      </c>
      <c r="B1109" s="10" t="inlineStr">
        <is>
          <t xml:space="preserve">      "抽屉式分隔盒",</t>
        </is>
      </c>
    </row>
    <row r="1110">
      <c r="A1110" s="7" t="n">
        <v>1107</v>
      </c>
      <c r="B1110" s="8" t="inlineStr">
        <is>
          <t xml:space="preserve">      "抽屉式收纳盒",</t>
        </is>
      </c>
    </row>
    <row r="1111">
      <c r="A1111" s="9" t="n">
        <v>1108</v>
      </c>
      <c r="B1111" s="10" t="inlineStr">
        <is>
          <t xml:space="preserve">      "抽屉式调味盒",</t>
        </is>
      </c>
    </row>
    <row r="1112">
      <c r="A1112" s="7" t="n">
        <v>1109</v>
      </c>
      <c r="B1112" s="8" t="inlineStr">
        <is>
          <t xml:space="preserve">      "抽屉式餐具盒",</t>
        </is>
      </c>
    </row>
    <row r="1113">
      <c r="A1113" s="9" t="n">
        <v>1110</v>
      </c>
      <c r="B1113" s="10" t="inlineStr">
        <is>
          <t xml:space="preserve">      "抽屉缝隙过大",</t>
        </is>
      </c>
    </row>
    <row r="1114">
      <c r="A1114" s="7" t="n">
        <v>1111</v>
      </c>
      <c r="B1114" s="8" t="inlineStr">
        <is>
          <t xml:space="preserve">      "抽屉锁",</t>
        </is>
      </c>
    </row>
    <row r="1115">
      <c r="A1115" s="9" t="n">
        <v>1112</v>
      </c>
      <c r="B1115" s="10" t="inlineStr">
        <is>
          <t xml:space="preserve">      "抽拉式保鲜膜架",</t>
        </is>
      </c>
    </row>
    <row r="1116">
      <c r="A1116" s="7" t="n">
        <v>1113</v>
      </c>
      <c r="B1116" s="8" t="inlineStr">
        <is>
          <t xml:space="preserve">      "抽拉式刀具架",</t>
        </is>
      </c>
    </row>
    <row r="1117">
      <c r="A1117" s="9" t="n">
        <v>1114</v>
      </c>
      <c r="B1117" s="10" t="inlineStr">
        <is>
          <t xml:space="preserve">      "抽拉式垃圾桶",</t>
        </is>
      </c>
    </row>
    <row r="1118">
      <c r="A1118" s="7" t="n">
        <v>1115</v>
      </c>
      <c r="B1118" s="8" t="inlineStr">
        <is>
          <t xml:space="preserve">      "抽拉式水龙头",</t>
        </is>
      </c>
    </row>
    <row r="1119">
      <c r="A1119" s="9" t="n">
        <v>1116</v>
      </c>
      <c r="B1119" s="10" t="inlineStr">
        <is>
          <t xml:space="preserve">      "抽拉式清洁用品架",</t>
        </is>
      </c>
    </row>
    <row r="1120">
      <c r="A1120" s="7" t="n">
        <v>1117</v>
      </c>
      <c r="B1120" s="8" t="inlineStr">
        <is>
          <t xml:space="preserve">      "抽拉式砧板架",</t>
        </is>
      </c>
    </row>
    <row r="1121">
      <c r="A1121" s="9" t="n">
        <v>1118</v>
      </c>
      <c r="B1121" s="10" t="inlineStr">
        <is>
          <t xml:space="preserve">      "抽拉式碗碟架",</t>
        </is>
      </c>
    </row>
    <row r="1122">
      <c r="A1122" s="7" t="n">
        <v>1119</v>
      </c>
      <c r="B1122" s="8" t="inlineStr">
        <is>
          <t xml:space="preserve">      "抽拉式筷子笼",</t>
        </is>
      </c>
    </row>
    <row r="1123">
      <c r="A1123" s="9" t="n">
        <v>1120</v>
      </c>
      <c r="B1123" s="10" t="inlineStr">
        <is>
          <t xml:space="preserve">      "抽拉式调料架",</t>
        </is>
      </c>
    </row>
    <row r="1124">
      <c r="A1124" s="7" t="n">
        <v>1121</v>
      </c>
      <c r="B1124" s="8" t="inlineStr">
        <is>
          <t xml:space="preserve">      "抽拉式锅具架",</t>
        </is>
      </c>
    </row>
    <row r="1125">
      <c r="A1125" s="9" t="n">
        <v>1122</v>
      </c>
      <c r="B1125" s="10" t="inlineStr">
        <is>
          <t xml:space="preserve">      "抽油烟机",</t>
        </is>
      </c>
    </row>
    <row r="1126">
      <c r="A1126" s="7" t="n">
        <v>1123</v>
      </c>
      <c r="B1126" s="8" t="inlineStr">
        <is>
          <t xml:space="preserve">      "拉手",</t>
        </is>
      </c>
    </row>
    <row r="1127">
      <c r="A1127" s="9" t="n">
        <v>1124</v>
      </c>
      <c r="B1127" s="10" t="inlineStr">
        <is>
          <t xml:space="preserve">      "拉直器",</t>
        </is>
      </c>
    </row>
    <row r="1128">
      <c r="A1128" s="7" t="n">
        <v>1125</v>
      </c>
      <c r="B1128" s="8" t="inlineStr">
        <is>
          <t xml:space="preserve">      "拉篮",</t>
        </is>
      </c>
    </row>
    <row r="1129">
      <c r="A1129" s="9" t="n">
        <v>1126</v>
      </c>
      <c r="B1129" s="10" t="inlineStr">
        <is>
          <t xml:space="preserve">      "拉米娜",</t>
        </is>
      </c>
    </row>
    <row r="1130">
      <c r="A1130" s="7" t="n">
        <v>1127</v>
      </c>
      <c r="B1130" s="8" t="inlineStr">
        <is>
          <t xml:space="preserve">      "拼接岛台",</t>
        </is>
      </c>
    </row>
    <row r="1131">
      <c r="A1131" s="9" t="n">
        <v>1128</v>
      </c>
      <c r="B1131" s="10" t="inlineStr">
        <is>
          <t xml:space="preserve">      "拿破仑黑",</t>
        </is>
      </c>
    </row>
    <row r="1132">
      <c r="A1132" s="7" t="n">
        <v>1129</v>
      </c>
      <c r="B1132" s="8" t="inlineStr">
        <is>
          <t xml:space="preserve">      "拿铁棕",</t>
        </is>
      </c>
    </row>
    <row r="1133">
      <c r="A1133" s="9" t="n">
        <v>1130</v>
      </c>
      <c r="B1133" s="10" t="inlineStr">
        <is>
          <t xml:space="preserve">      "指纹锁",</t>
        </is>
      </c>
    </row>
    <row r="1134">
      <c r="A1134" s="7" t="n">
        <v>1131</v>
      </c>
      <c r="B1134" s="8" t="inlineStr">
        <is>
          <t xml:space="preserve">      "按压式反弹器",</t>
        </is>
      </c>
    </row>
    <row r="1135">
      <c r="A1135" s="9" t="n">
        <v>1132</v>
      </c>
      <c r="B1135" s="10" t="inlineStr">
        <is>
          <t xml:space="preserve">      "排水管",</t>
        </is>
      </c>
    </row>
    <row r="1136">
      <c r="A1136" s="7" t="n">
        <v>1133</v>
      </c>
      <c r="B1136" s="8" t="inlineStr">
        <is>
          <t xml:space="preserve">      "插座",</t>
        </is>
      </c>
    </row>
    <row r="1137">
      <c r="A1137" s="9" t="n">
        <v>1134</v>
      </c>
      <c r="B1137" s="10" t="inlineStr">
        <is>
          <t xml:space="preserve">      "搁板",</t>
        </is>
      </c>
    </row>
    <row r="1138">
      <c r="A1138" s="7" t="n">
        <v>1135</v>
      </c>
      <c r="B1138" s="8" t="inlineStr">
        <is>
          <t xml:space="preserve">      "摩卡棕",</t>
        </is>
      </c>
    </row>
    <row r="1139">
      <c r="A1139" s="9" t="n">
        <v>1136</v>
      </c>
      <c r="B1139" s="10" t="inlineStr">
        <is>
          <t xml:space="preserve">      "支撑杆",</t>
        </is>
      </c>
    </row>
    <row r="1140">
      <c r="A1140" s="7" t="n">
        <v>1137</v>
      </c>
      <c r="B1140" s="8" t="inlineStr">
        <is>
          <t xml:space="preserve">      "收纳柜",</t>
        </is>
      </c>
    </row>
    <row r="1141">
      <c r="A1141" s="9" t="n">
        <v>1138</v>
      </c>
      <c r="B1141" s="10" t="inlineStr">
        <is>
          <t xml:space="preserve">      "收纳箱",</t>
        </is>
      </c>
    </row>
    <row r="1142">
      <c r="A1142" s="7" t="n">
        <v>1139</v>
      </c>
      <c r="B1142" s="8" t="inlineStr">
        <is>
          <t xml:space="preserve">      "整体厨房",</t>
        </is>
      </c>
    </row>
    <row r="1143">
      <c r="A1143" s="9" t="n">
        <v>1140</v>
      </c>
      <c r="B1143" s="10" t="inlineStr">
        <is>
          <t xml:space="preserve">      "整体橱柜",</t>
        </is>
      </c>
    </row>
    <row r="1144">
      <c r="A1144" s="7" t="n">
        <v>1141</v>
      </c>
      <c r="B1144" s="8" t="inlineStr">
        <is>
          <t xml:space="preserve">      "整体橱柜安装",</t>
        </is>
      </c>
    </row>
    <row r="1145">
      <c r="A1145" s="9" t="n">
        <v>1142</v>
      </c>
      <c r="B1145" s="10" t="inlineStr">
        <is>
          <t xml:space="preserve">      "整屋定制",</t>
        </is>
      </c>
    </row>
    <row r="1146">
      <c r="A1146" s="7" t="n">
        <v>1143</v>
      </c>
      <c r="B1146" s="8" t="inlineStr">
        <is>
          <t xml:space="preserve">      "整装",</t>
        </is>
      </c>
    </row>
    <row r="1147">
      <c r="A1147" s="9" t="n">
        <v>1144</v>
      </c>
      <c r="B1147" s="10" t="inlineStr">
        <is>
          <t xml:space="preserve">      "料理机",</t>
        </is>
      </c>
    </row>
    <row r="1148">
      <c r="A1148" s="7" t="n">
        <v>1145</v>
      </c>
      <c r="B1148" s="8" t="inlineStr">
        <is>
          <t xml:space="preserve">      "斜边拉手",</t>
        </is>
      </c>
    </row>
    <row r="1149">
      <c r="A1149" s="9" t="n">
        <v>1146</v>
      </c>
      <c r="B1149" s="10" t="inlineStr">
        <is>
          <t xml:space="preserve">      "新中式",</t>
        </is>
      </c>
    </row>
    <row r="1150">
      <c r="A1150" s="7" t="n">
        <v>1147</v>
      </c>
      <c r="B1150" s="8" t="inlineStr">
        <is>
          <t xml:space="preserve">      "新中式极简",</t>
        </is>
      </c>
    </row>
    <row r="1151">
      <c r="A1151" s="9" t="n">
        <v>1148</v>
      </c>
      <c r="B1151" s="10" t="inlineStr">
        <is>
          <t xml:space="preserve">      "新中源",</t>
        </is>
      </c>
    </row>
    <row r="1152">
      <c r="A1152" s="7" t="n">
        <v>1149</v>
      </c>
      <c r="B1152" s="8" t="inlineStr">
        <is>
          <t xml:space="preserve">      "方太",</t>
        </is>
      </c>
    </row>
    <row r="1153">
      <c r="A1153" s="9" t="n">
        <v>1150</v>
      </c>
      <c r="B1153" s="10" t="inlineStr">
        <is>
          <t xml:space="preserve">      "无线充电插座",</t>
        </is>
      </c>
    </row>
    <row r="1154">
      <c r="A1154" s="7" t="n">
        <v>1151</v>
      </c>
      <c r="B1154" s="8" t="inlineStr">
        <is>
          <t xml:space="preserve">      "无线轨道插座"</t>
        </is>
      </c>
    </row>
    <row r="1155">
      <c r="A1155" s="9" t="n">
        <v>1152</v>
      </c>
      <c r="B1155" s="10" t="inlineStr">
        <is>
          <t xml:space="preserve">    ],</t>
        </is>
      </c>
    </row>
    <row r="1156">
      <c r="A1156" s="7" t="n">
        <v>1153</v>
      </c>
      <c r="B1156" s="8" t="inlineStr">
        <is>
          <t xml:space="preserve">    "风格与设计词": [</t>
        </is>
      </c>
    </row>
    <row r="1157">
      <c r="A1157" s="9" t="n">
        <v>1154</v>
      </c>
      <c r="B1157" s="10" t="inlineStr">
        <is>
          <t xml:space="preserve">      "极简风",</t>
        </is>
      </c>
    </row>
    <row r="1158">
      <c r="A1158" s="7" t="n">
        <v>1155</v>
      </c>
      <c r="B1158" s="8" t="inlineStr">
        <is>
          <t xml:space="preserve">      "奶油风",</t>
        </is>
      </c>
    </row>
    <row r="1159">
      <c r="A1159" s="9" t="n">
        <v>1156</v>
      </c>
      <c r="B1159" s="10" t="inlineStr">
        <is>
          <t xml:space="preserve">      "侘寂风",</t>
        </is>
      </c>
    </row>
    <row r="1160">
      <c r="A1160" s="7" t="n">
        <v>1157</v>
      </c>
      <c r="B1160" s="8" t="inlineStr">
        <is>
          <t xml:space="preserve">      "现代简约",</t>
        </is>
      </c>
    </row>
    <row r="1161">
      <c r="A1161" s="9" t="n">
        <v>1158</v>
      </c>
      <c r="B1161" s="10" t="inlineStr">
        <is>
          <t xml:space="preserve">      "意式极简",</t>
        </is>
      </c>
    </row>
    <row r="1162">
      <c r="A1162" s="7" t="n">
        <v>1159</v>
      </c>
      <c r="B1162" s="8" t="inlineStr">
        <is>
          <t xml:space="preserve">      "轻奢风",</t>
        </is>
      </c>
    </row>
    <row r="1163">
      <c r="A1163" s="9" t="n">
        <v>1160</v>
      </c>
      <c r="B1163" s="10" t="inlineStr">
        <is>
          <t xml:space="preserve">      "原木风",</t>
        </is>
      </c>
    </row>
    <row r="1164">
      <c r="A1164" s="7" t="n">
        <v>1161</v>
      </c>
      <c r="B1164" s="8" t="inlineStr">
        <is>
          <t xml:space="preserve">      "悬浮式",</t>
        </is>
      </c>
    </row>
    <row r="1165">
      <c r="A1165" s="9" t="n">
        <v>1162</v>
      </c>
      <c r="B1165" s="10" t="inlineStr">
        <is>
          <t xml:space="preserve">      "落地式",</t>
        </is>
      </c>
    </row>
    <row r="1166">
      <c r="A1166" s="7" t="n">
        <v>1163</v>
      </c>
      <c r="B1166" s="8" t="inlineStr">
        <is>
          <t xml:space="preserve">      "悬空式",</t>
        </is>
      </c>
    </row>
    <row r="1167">
      <c r="A1167" s="9" t="n">
        <v>1164</v>
      </c>
      <c r="B1167" s="10" t="inlineStr">
        <is>
          <t xml:space="preserve">      "开放式",</t>
        </is>
      </c>
    </row>
    <row r="1168">
      <c r="A1168" s="7" t="n">
        <v>1165</v>
      </c>
      <c r="B1168" s="8" t="inlineStr">
        <is>
          <t xml:space="preserve">      "封闭式",</t>
        </is>
      </c>
    </row>
    <row r="1169">
      <c r="A1169" s="9" t="n">
        <v>1166</v>
      </c>
      <c r="B1169" s="10" t="inlineStr">
        <is>
          <t xml:space="preserve">      "一体式",</t>
        </is>
      </c>
    </row>
    <row r="1170">
      <c r="A1170" s="7" t="n">
        <v>1167</v>
      </c>
      <c r="B1170" s="8" t="inlineStr">
        <is>
          <t xml:space="preserve">      "嵌入式",</t>
        </is>
      </c>
    </row>
    <row r="1171">
      <c r="A1171" s="9" t="n">
        <v>1168</v>
      </c>
      <c r="B1171" s="10" t="inlineStr">
        <is>
          <t xml:space="preserve">      "餐岛一体",</t>
        </is>
      </c>
    </row>
    <row r="1172">
      <c r="A1172" s="7" t="n">
        <v>1169</v>
      </c>
      <c r="B1172" s="8" t="inlineStr">
        <is>
          <t xml:space="preserve">      "厨餐一体",</t>
        </is>
      </c>
    </row>
    <row r="1173">
      <c r="A1173" s="9" t="n">
        <v>1170</v>
      </c>
      <c r="B1173" s="10" t="inlineStr">
        <is>
          <t xml:space="preserve">      "客餐一体",</t>
        </is>
      </c>
    </row>
    <row r="1174">
      <c r="A1174" s="7" t="n">
        <v>1171</v>
      </c>
      <c r="B1174" s="8" t="inlineStr">
        <is>
          <t xml:space="preserve">      "多功能岛台",</t>
        </is>
      </c>
    </row>
    <row r="1175">
      <c r="A1175" s="9" t="n">
        <v>1172</v>
      </c>
      <c r="B1175" s="10" t="inlineStr">
        <is>
          <t xml:space="preserve">      "原木色系",</t>
        </is>
      </c>
    </row>
    <row r="1176">
      <c r="A1176" s="7" t="n">
        <v>1173</v>
      </c>
      <c r="B1176" s="8" t="inlineStr">
        <is>
          <t xml:space="preserve">      "粉色系",</t>
        </is>
      </c>
    </row>
    <row r="1177">
      <c r="A1177" s="9" t="n">
        <v>1174</v>
      </c>
      <c r="B1177" s="10" t="inlineStr">
        <is>
          <t xml:space="preserve">      "F型构图",</t>
        </is>
      </c>
    </row>
    <row r="1178">
      <c r="A1178" s="7" t="n">
        <v>1175</v>
      </c>
      <c r="B1178" s="8" t="inlineStr">
        <is>
          <t xml:space="preserve">      "意式中古风",</t>
        </is>
      </c>
    </row>
    <row r="1179">
      <c r="A1179" s="9" t="n">
        <v>1176</v>
      </c>
      <c r="B1179" s="10" t="inlineStr">
        <is>
          <t xml:space="preserve">      "法式奶油风",</t>
        </is>
      </c>
    </row>
    <row r="1180">
      <c r="A1180" s="7" t="n">
        <v>1177</v>
      </c>
      <c r="B1180" s="8" t="inlineStr">
        <is>
          <t xml:space="preserve">      "包豪斯风格",</t>
        </is>
      </c>
    </row>
    <row r="1181">
      <c r="A1181" s="9" t="n">
        <v>1178</v>
      </c>
      <c r="B1181" s="10" t="inlineStr">
        <is>
          <t xml:space="preserve">      "新中式",</t>
        </is>
      </c>
    </row>
    <row r="1182">
      <c r="A1182" s="7" t="n">
        <v>1179</v>
      </c>
      <c r="B1182" s="8" t="inlineStr">
        <is>
          <t xml:space="preserve">      "美式乡村风",</t>
        </is>
      </c>
    </row>
    <row r="1183">
      <c r="A1183" s="9" t="n">
        <v>1180</v>
      </c>
      <c r="B1183" s="10" t="inlineStr">
        <is>
          <t xml:space="preserve">      "北欧极简",</t>
        </is>
      </c>
    </row>
    <row r="1184">
      <c r="A1184" s="7" t="n">
        <v>1181</v>
      </c>
      <c r="B1184" s="8" t="inlineStr">
        <is>
          <t xml:space="preserve">      "工业风",</t>
        </is>
      </c>
    </row>
    <row r="1185">
      <c r="A1185" s="9" t="n">
        <v>1182</v>
      </c>
      <c r="B1185" s="10" t="inlineStr">
        <is>
          <t xml:space="preserve">      "现代简约风",</t>
        </is>
      </c>
    </row>
    <row r="1186">
      <c r="A1186" s="7" t="n">
        <v>1183</v>
      </c>
      <c r="B1186" s="8" t="inlineStr">
        <is>
          <t xml:space="preserve">      "意式中古风岛台",</t>
        </is>
      </c>
    </row>
    <row r="1187">
      <c r="A1187" s="9" t="n">
        <v>1184</v>
      </c>
      <c r="B1187" s="10" t="inlineStr">
        <is>
          <t xml:space="preserve">      "中古风",</t>
        </is>
      </c>
    </row>
    <row r="1188">
      <c r="A1188" s="7" t="n">
        <v>1185</v>
      </c>
      <c r="B1188" s="8" t="inlineStr">
        <is>
          <t xml:space="preserve">      "包豪斯中古风",</t>
        </is>
      </c>
    </row>
    <row r="1189">
      <c r="A1189" s="9" t="n">
        <v>1186</v>
      </c>
      <c r="B1189" s="10" t="inlineStr">
        <is>
          <t xml:space="preserve">      "渐变岩板",</t>
        </is>
      </c>
    </row>
    <row r="1190">
      <c r="A1190" s="7" t="n">
        <v>1187</v>
      </c>
      <c r="B1190" s="8" t="inlineStr">
        <is>
          <t xml:space="preserve">      "圆角处理",</t>
        </is>
      </c>
    </row>
    <row r="1191">
      <c r="A1191" s="9" t="n">
        <v>1188</v>
      </c>
      <c r="B1191" s="10" t="inlineStr">
        <is>
          <t xml:space="preserve">      "北欧风格",</t>
        </is>
      </c>
    </row>
    <row r="1192">
      <c r="A1192" s="7" t="n">
        <v>1189</v>
      </c>
      <c r="B1192" s="8" t="inlineStr">
        <is>
          <t xml:space="preserve">      "松木白黄",</t>
        </is>
      </c>
    </row>
    <row r="1193">
      <c r="A1193" s="9" t="n">
        <v>1190</v>
      </c>
      <c r="B1193" s="10" t="inlineStr">
        <is>
          <t xml:space="preserve">      "磁吸工艺",</t>
        </is>
      </c>
    </row>
    <row r="1194">
      <c r="A1194" s="7" t="n">
        <v>1191</v>
      </c>
      <c r="B1194" s="8" t="inlineStr">
        <is>
          <t xml:space="preserve">      "T型岛台",</t>
        </is>
      </c>
    </row>
    <row r="1195">
      <c r="A1195" s="9" t="n">
        <v>1192</v>
      </c>
      <c r="B1195" s="10" t="inlineStr">
        <is>
          <t xml:space="preserve">      "岛台刀架",</t>
        </is>
      </c>
    </row>
    <row r="1196">
      <c r="A1196" s="7" t="n">
        <v>1193</v>
      </c>
      <c r="B1196" s="8" t="inlineStr">
        <is>
          <t xml:space="preserve">      "百隆滑轨",</t>
        </is>
      </c>
    </row>
    <row r="1197">
      <c r="A1197" s="9" t="n">
        <v>1194</v>
      </c>
      <c r="B1197" s="10" t="inlineStr">
        <is>
          <t xml:space="preserve">      "纯亚克力",</t>
        </is>
      </c>
    </row>
    <row r="1198">
      <c r="A1198" s="7" t="n">
        <v>1195</v>
      </c>
      <c r="B1198" s="8" t="inlineStr">
        <is>
          <t xml:space="preserve">      "意大利灰",</t>
        </is>
      </c>
    </row>
    <row r="1199">
      <c r="A1199" s="9" t="n">
        <v>1196</v>
      </c>
      <c r="B1199" s="10" t="inlineStr">
        <is>
          <t xml:space="preserve">      "反弹滑轨",</t>
        </is>
      </c>
    </row>
    <row r="1200">
      <c r="A1200" s="7" t="n">
        <v>1197</v>
      </c>
      <c r="B1200" s="8" t="inlineStr">
        <is>
          <t xml:space="preserve">      "台面厚度",</t>
        </is>
      </c>
    </row>
    <row r="1201">
      <c r="A1201" s="9" t="n">
        <v>1198</v>
      </c>
      <c r="B1201" s="10" t="inlineStr">
        <is>
          <t xml:space="preserve">      "木纹岩板",</t>
        </is>
      </c>
    </row>
    <row r="1202">
      <c r="A1202" s="7" t="n">
        <v>1199</v>
      </c>
      <c r="B1202" s="8" t="inlineStr">
        <is>
          <t xml:space="preserve">      "柜门安装",</t>
        </is>
      </c>
    </row>
    <row r="1203">
      <c r="A1203" s="9" t="n">
        <v>1200</v>
      </c>
      <c r="B1203" s="10" t="inlineStr">
        <is>
          <t xml:space="preserve">      "单开开关",</t>
        </is>
      </c>
    </row>
    <row r="1204">
      <c r="A1204" s="7" t="n">
        <v>1201</v>
      </c>
      <c r="B1204" s="8" t="inlineStr">
        <is>
          <t xml:space="preserve">      "台面插座",</t>
        </is>
      </c>
    </row>
    <row r="1205">
      <c r="A1205" s="9" t="n">
        <v>1202</v>
      </c>
      <c r="B1205" s="10" t="inlineStr">
        <is>
          <t xml:space="preserve">      "磁吸失灵",</t>
        </is>
      </c>
    </row>
    <row r="1206">
      <c r="A1206" s="7" t="n">
        <v>1203</v>
      </c>
      <c r="B1206" s="8" t="inlineStr">
        <is>
          <t xml:space="preserve">      "子母合页",</t>
        </is>
      </c>
    </row>
    <row r="1207">
      <c r="A1207" s="9" t="n">
        <v>1204</v>
      </c>
      <c r="B1207" s="10" t="inlineStr">
        <is>
          <t xml:space="preserve">      "高低岛台",</t>
        </is>
      </c>
    </row>
    <row r="1208">
      <c r="A1208" s="7" t="n">
        <v>1205</v>
      </c>
      <c r="B1208" s="8" t="inlineStr">
        <is>
          <t xml:space="preserve">      "多巴胺风",</t>
        </is>
      </c>
    </row>
    <row r="1209">
      <c r="A1209" s="9" t="n">
        <v>1206</v>
      </c>
      <c r="B1209" s="10" t="inlineStr">
        <is>
          <t xml:space="preserve">      "肤感门板",</t>
        </is>
      </c>
    </row>
    <row r="1210">
      <c r="A1210" s="7" t="n">
        <v>1207</v>
      </c>
      <c r="B1210" s="8" t="inlineStr">
        <is>
          <t xml:space="preserve">      "L型厨房",</t>
        </is>
      </c>
    </row>
    <row r="1211">
      <c r="A1211" s="9" t="n">
        <v>1208</v>
      </c>
      <c r="B1211" s="10" t="inlineStr">
        <is>
          <t xml:space="preserve">      "樱桃木色",</t>
        </is>
      </c>
    </row>
    <row r="1212">
      <c r="A1212" s="7" t="n">
        <v>1209</v>
      </c>
      <c r="B1212" s="8" t="inlineStr">
        <is>
          <t xml:space="preserve">      "岛型厨房",</t>
        </is>
      </c>
    </row>
    <row r="1213">
      <c r="A1213" s="9" t="n">
        <v>1210</v>
      </c>
      <c r="B1213" s="10" t="inlineStr">
        <is>
          <t xml:space="preserve">      "人造洞石",</t>
        </is>
      </c>
    </row>
    <row r="1214">
      <c r="A1214" s="7" t="n">
        <v>1211</v>
      </c>
      <c r="B1214" s="8" t="inlineStr">
        <is>
          <t xml:space="preserve">      "水曲柳色",</t>
        </is>
      </c>
    </row>
    <row r="1215">
      <c r="A1215" s="9" t="n">
        <v>1212</v>
      </c>
      <c r="B1215" s="10" t="inlineStr">
        <is>
          <t xml:space="preserve">      "台面定制",</t>
        </is>
      </c>
    </row>
    <row r="1216">
      <c r="A1216" s="7" t="n">
        <v>1213</v>
      </c>
      <c r="B1216" s="8" t="inlineStr">
        <is>
          <t xml:space="preserve">      "岛台拉篮",</t>
        </is>
      </c>
    </row>
    <row r="1217">
      <c r="A1217" s="9" t="n">
        <v>1214</v>
      </c>
      <c r="B1217" s="10" t="inlineStr">
        <is>
          <t xml:space="preserve">      "隐形拉手",</t>
        </is>
      </c>
    </row>
    <row r="1218">
      <c r="A1218" s="7" t="n">
        <v>1215</v>
      </c>
      <c r="B1218" s="8" t="inlineStr">
        <is>
          <t xml:space="preserve">      "拿破仑黑",</t>
        </is>
      </c>
    </row>
    <row r="1219">
      <c r="A1219" s="9" t="n">
        <v>1216</v>
      </c>
      <c r="B1219" s="10" t="inlineStr">
        <is>
          <t xml:space="preserve">      "岩板切割",</t>
        </is>
      </c>
    </row>
    <row r="1220">
      <c r="A1220" s="7" t="n">
        <v>1217</v>
      </c>
      <c r="B1220" s="8" t="inlineStr">
        <is>
          <t xml:space="preserve">      "开关失灵",</t>
        </is>
      </c>
    </row>
    <row r="1221">
      <c r="A1221" s="9" t="n">
        <v>1218</v>
      </c>
      <c r="B1221" s="10" t="inlineStr">
        <is>
          <t xml:space="preserve">      "U型厨房",</t>
        </is>
      </c>
    </row>
    <row r="1222">
      <c r="A1222" s="7" t="n">
        <v>1219</v>
      </c>
      <c r="B1222" s="8" t="inlineStr">
        <is>
          <t xml:space="preserve">      "电压力锅",</t>
        </is>
      </c>
    </row>
    <row r="1223">
      <c r="A1223" s="9" t="n">
        <v>1220</v>
      </c>
      <c r="B1223" s="10" t="inlineStr">
        <is>
          <t xml:space="preserve">      "卡地亚金",</t>
        </is>
      </c>
    </row>
    <row r="1224">
      <c r="A1224" s="7" t="n">
        <v>1221</v>
      </c>
      <c r="B1224" s="8" t="inlineStr">
        <is>
          <t xml:space="preserve">      "奥特曼灰",</t>
        </is>
      </c>
    </row>
    <row r="1225">
      <c r="A1225" s="9" t="n">
        <v>1222</v>
      </c>
      <c r="B1225" s="10" t="inlineStr">
        <is>
          <t xml:space="preserve">      "液压滑轨",</t>
        </is>
      </c>
    </row>
    <row r="1226">
      <c r="A1226" s="7" t="n">
        <v>1223</v>
      </c>
      <c r="B1226" s="8" t="inlineStr">
        <is>
          <t xml:space="preserve">      "下水点位",</t>
        </is>
      </c>
    </row>
    <row r="1227">
      <c r="A1227" s="9" t="n">
        <v>1224</v>
      </c>
      <c r="B1227" s="10" t="inlineStr">
        <is>
          <t xml:space="preserve">      "电动滑轨",</t>
        </is>
      </c>
    </row>
    <row r="1228">
      <c r="A1228" s="7" t="n">
        <v>1225</v>
      </c>
      <c r="B1228" s="8" t="inlineStr">
        <is>
          <t xml:space="preserve">      "尺寸误差",</t>
        </is>
      </c>
    </row>
    <row r="1229">
      <c r="A1229" s="9" t="n">
        <v>1226</v>
      </c>
      <c r="B1229" s="10" t="inlineStr">
        <is>
          <t xml:space="preserve">      "枫木米白",</t>
        </is>
      </c>
    </row>
    <row r="1230">
      <c r="A1230" s="7" t="n">
        <v>1227</v>
      </c>
      <c r="B1230" s="8" t="inlineStr">
        <is>
          <t xml:space="preserve">      "美式乡村",</t>
        </is>
      </c>
    </row>
    <row r="1231">
      <c r="A1231" s="9" t="n">
        <v>1228</v>
      </c>
      <c r="B1231" s="10" t="inlineStr">
        <is>
          <t xml:space="preserve">      "巧克力色",</t>
        </is>
      </c>
    </row>
    <row r="1232">
      <c r="A1232" s="7" t="n">
        <v>1229</v>
      </c>
      <c r="B1232" s="8" t="inlineStr">
        <is>
          <t xml:space="preserve">      "斜边拉手",</t>
        </is>
      </c>
    </row>
    <row r="1233">
      <c r="A1233" s="9" t="n">
        <v>1230</v>
      </c>
      <c r="B1233" s="10" t="inlineStr">
        <is>
          <t xml:space="preserve">      "悍高铰链",</t>
        </is>
      </c>
    </row>
    <row r="1234">
      <c r="A1234" s="7" t="n">
        <v>1231</v>
      </c>
      <c r="B1234" s="8" t="inlineStr">
        <is>
          <t xml:space="preserve">      "岩板污渍",</t>
        </is>
      </c>
    </row>
    <row r="1235">
      <c r="A1235" s="9" t="n">
        <v>1232</v>
      </c>
      <c r="B1235" s="10" t="inlineStr">
        <is>
          <t xml:space="preserve">      "七孔插座",</t>
        </is>
      </c>
    </row>
    <row r="1236">
      <c r="A1236" s="7" t="n">
        <v>1233</v>
      </c>
      <c r="B1236" s="8" t="inlineStr">
        <is>
          <t xml:space="preserve">      "蒂芙尼蓝",</t>
        </is>
      </c>
    </row>
    <row r="1237">
      <c r="A1237" s="9" t="n">
        <v>1234</v>
      </c>
      <c r="B1237" s="10" t="inlineStr">
        <is>
          <t xml:space="preserve">      "白色岩板",</t>
        </is>
      </c>
    </row>
    <row r="1238">
      <c r="A1238" s="7" t="n">
        <v>1235</v>
      </c>
      <c r="B1238" s="8" t="inlineStr">
        <is>
          <t xml:space="preserve">      "极简风格",</t>
        </is>
      </c>
    </row>
    <row r="1239">
      <c r="A1239" s="9" t="n">
        <v>1236</v>
      </c>
      <c r="B1239" s="10" t="inlineStr">
        <is>
          <t xml:space="preserve">      "触摸开关",</t>
        </is>
      </c>
    </row>
    <row r="1240">
      <c r="A1240" s="7" t="n">
        <v>1237</v>
      </c>
      <c r="B1240" s="8" t="inlineStr">
        <is>
          <t xml:space="preserve">      "双开开关",</t>
        </is>
      </c>
    </row>
    <row r="1241">
      <c r="A1241" s="9" t="n">
        <v>1238</v>
      </c>
      <c r="B1241" s="10" t="inlineStr">
        <is>
          <t xml:space="preserve">      "厨房地漏",</t>
        </is>
      </c>
    </row>
    <row r="1242">
      <c r="A1242" s="7" t="n">
        <v>1239</v>
      </c>
      <c r="B1242" s="8" t="inlineStr">
        <is>
          <t xml:space="preserve">      "全友家居",</t>
        </is>
      </c>
    </row>
    <row r="1243">
      <c r="A1243" s="9" t="n">
        <v>1240</v>
      </c>
      <c r="B1243" s="10" t="inlineStr">
        <is>
          <t xml:space="preserve">      "圆弧岛台",</t>
        </is>
      </c>
    </row>
    <row r="1244">
      <c r="A1244" s="7" t="n">
        <v>1241</v>
      </c>
      <c r="B1244" s="8" t="inlineStr">
        <is>
          <t xml:space="preserve">      "丹峡赤霞",</t>
        </is>
      </c>
    </row>
    <row r="1245">
      <c r="A1245" s="9" t="n">
        <v>1242</v>
      </c>
      <c r="B1245" s="10" t="inlineStr">
        <is>
          <t xml:space="preserve">      "岩板开裂",</t>
        </is>
      </c>
    </row>
    <row r="1246">
      <c r="A1246" s="7" t="n">
        <v>1243</v>
      </c>
      <c r="B1246" s="8" t="inlineStr">
        <is>
          <t xml:space="preserve">      "抽屉卡顿",</t>
        </is>
      </c>
    </row>
    <row r="1247">
      <c r="A1247" s="9" t="n">
        <v>1244</v>
      </c>
      <c r="B1247" s="10" t="inlineStr">
        <is>
          <t xml:space="preserve">      "双面岛台",</t>
        </is>
      </c>
    </row>
    <row r="1248">
      <c r="A1248" s="7" t="n">
        <v>1245</v>
      </c>
      <c r="B1248" s="8" t="inlineStr">
        <is>
          <t xml:space="preserve">      "酒柜拉篮",</t>
        </is>
      </c>
    </row>
    <row r="1249">
      <c r="A1249" s="9" t="n">
        <v>1246</v>
      </c>
      <c r="B1249" s="10" t="inlineStr">
        <is>
          <t xml:space="preserve">      "拼接岛台",</t>
        </is>
      </c>
    </row>
    <row r="1250">
      <c r="A1250" s="7" t="n">
        <v>1247</v>
      </c>
      <c r="B1250" s="8" t="inlineStr">
        <is>
          <t xml:space="preserve">      "美式田园",</t>
        </is>
      </c>
    </row>
    <row r="1251">
      <c r="A1251" s="9" t="n">
        <v>1248</v>
      </c>
      <c r="B1251" s="10" t="inlineStr">
        <is>
          <t xml:space="preserve">      "升降拉篮",</t>
        </is>
      </c>
    </row>
    <row r="1252">
      <c r="A1252" s="7" t="n">
        <v>1249</v>
      </c>
      <c r="B1252" s="8" t="inlineStr">
        <is>
          <t xml:space="preserve">      "马可波罗",</t>
        </is>
      </c>
    </row>
    <row r="1253">
      <c r="A1253" s="9" t="n">
        <v>1250</v>
      </c>
      <c r="B1253" s="10" t="inlineStr">
        <is>
          <t xml:space="preserve">      "悬空岛台",</t>
        </is>
      </c>
    </row>
    <row r="1254">
      <c r="A1254" s="7" t="n">
        <v>1251</v>
      </c>
      <c r="B1254" s="8" t="inlineStr">
        <is>
          <t xml:space="preserve">      "单槽水槽",</t>
        </is>
      </c>
    </row>
    <row r="1255">
      <c r="A1255" s="9" t="n">
        <v>1252</v>
      </c>
      <c r="B1255" s="10" t="inlineStr">
        <is>
          <t xml:space="preserve">      "一体岛台",</t>
        </is>
      </c>
    </row>
    <row r="1256">
      <c r="A1256" s="7" t="n">
        <v>1253</v>
      </c>
      <c r="B1256" s="8" t="inlineStr">
        <is>
          <t xml:space="preserve">      "阻尼滑轨",</t>
        </is>
      </c>
    </row>
    <row r="1257">
      <c r="A1257" s="9" t="n">
        <v>1254</v>
      </c>
      <c r="B1257" s="10" t="inlineStr">
        <is>
          <t xml:space="preserve">      "岩板包梁",</t>
        </is>
      </c>
    </row>
    <row r="1258">
      <c r="A1258" s="7" t="n">
        <v>1255</v>
      </c>
      <c r="B1258" s="8" t="inlineStr">
        <is>
          <t xml:space="preserve">      "温暖极简",</t>
        </is>
      </c>
    </row>
    <row r="1259">
      <c r="A1259" s="9" t="n">
        <v>1256</v>
      </c>
      <c r="B1259" s="10" t="inlineStr">
        <is>
          <t xml:space="preserve">      "美式风格",</t>
        </is>
      </c>
    </row>
    <row r="1260">
      <c r="A1260" s="7" t="n">
        <v>1257</v>
      </c>
      <c r="B1260" s="8" t="inlineStr">
        <is>
          <t xml:space="preserve">      "液压铰链",</t>
        </is>
      </c>
    </row>
    <row r="1261">
      <c r="A1261" s="9" t="n">
        <v>1258</v>
      </c>
      <c r="B1261" s="10" t="inlineStr">
        <is>
          <t xml:space="preserve">      "黑胡桃色",</t>
        </is>
      </c>
    </row>
    <row r="1262">
      <c r="A1262" s="7" t="n">
        <v>1259</v>
      </c>
      <c r="B1262" s="8" t="inlineStr">
        <is>
          <t xml:space="preserve">      "法式轻奢",</t>
        </is>
      </c>
    </row>
    <row r="1263">
      <c r="A1263" s="9" t="n">
        <v>1260</v>
      </c>
      <c r="B1263" s="10" t="inlineStr">
        <is>
          <t xml:space="preserve">      "托底滑轨",</t>
        </is>
      </c>
    </row>
    <row r="1264">
      <c r="A1264" s="7" t="n">
        <v>1261</v>
      </c>
      <c r="B1264" s="8" t="inlineStr">
        <is>
          <t xml:space="preserve">      "岩板包柱",</t>
        </is>
      </c>
    </row>
    <row r="1265">
      <c r="A1265" s="9" t="n">
        <v>1262</v>
      </c>
      <c r="B1265" s="10" t="inlineStr">
        <is>
          <t xml:space="preserve">      "整屋定制",</t>
        </is>
      </c>
    </row>
    <row r="1266">
      <c r="A1266" s="7" t="n">
        <v>1263</v>
      </c>
      <c r="B1266" s="8" t="inlineStr">
        <is>
          <t xml:space="preserve">      "松木浅黄",</t>
        </is>
      </c>
    </row>
    <row r="1267">
      <c r="A1267" s="9" t="n">
        <v>1264</v>
      </c>
      <c r="B1267" s="10" t="inlineStr">
        <is>
          <t xml:space="preserve">      "现代极简",</t>
        </is>
      </c>
    </row>
    <row r="1268">
      <c r="A1268" s="7" t="n">
        <v>1265</v>
      </c>
      <c r="B1268" s="8" t="inlineStr">
        <is>
          <t xml:space="preserve">      "板材等级",</t>
        </is>
      </c>
    </row>
    <row r="1269">
      <c r="A1269" s="9" t="n">
        <v>1266</v>
      </c>
      <c r="B1269" s="10" t="inlineStr">
        <is>
          <t xml:space="preserve">      "碳晶门板",</t>
        </is>
      </c>
    </row>
    <row r="1270">
      <c r="A1270" s="7" t="n">
        <v>1267</v>
      </c>
      <c r="B1270" s="8" t="inlineStr">
        <is>
          <t xml:space="preserve">      "动线设计",</t>
        </is>
      </c>
    </row>
    <row r="1271">
      <c r="A1271" s="9" t="n">
        <v>1268</v>
      </c>
      <c r="B1271" s="10" t="inlineStr">
        <is>
          <t xml:space="preserve">      "气压气撑",</t>
        </is>
      </c>
    </row>
    <row r="1272">
      <c r="A1272" s="7" t="n">
        <v>1269</v>
      </c>
      <c r="B1272" s="8" t="inlineStr">
        <is>
          <t xml:space="preserve">      "柜体开裂",</t>
        </is>
      </c>
    </row>
    <row r="1273">
      <c r="A1273" s="9" t="n">
        <v>1270</v>
      </c>
      <c r="B1273" s="10" t="inlineStr">
        <is>
          <t xml:space="preserve">      "三开开关",</t>
        </is>
      </c>
    </row>
    <row r="1274">
      <c r="A1274" s="7" t="n">
        <v>1271</v>
      </c>
      <c r="B1274" s="8" t="inlineStr">
        <is>
          <t xml:space="preserve">      "海浪灰",</t>
        </is>
      </c>
    </row>
    <row r="1275">
      <c r="A1275" s="9" t="n">
        <v>1272</v>
      </c>
      <c r="B1275" s="10" t="inlineStr">
        <is>
          <t xml:space="preserve">      "人造石",</t>
        </is>
      </c>
    </row>
    <row r="1276">
      <c r="A1276" s="7" t="n">
        <v>1273</v>
      </c>
      <c r="B1276" s="8" t="inlineStr">
        <is>
          <t xml:space="preserve">      "截止阀",</t>
        </is>
      </c>
    </row>
    <row r="1277">
      <c r="A1277" s="9" t="n">
        <v>1274</v>
      </c>
      <c r="B1277" s="10" t="inlineStr">
        <is>
          <t xml:space="preserve">      "台中盆",</t>
        </is>
      </c>
    </row>
    <row r="1278">
      <c r="A1278" s="7" t="n">
        <v>1275</v>
      </c>
      <c r="B1278" s="8" t="inlineStr">
        <is>
          <t xml:space="preserve">      "茶水柜",</t>
        </is>
      </c>
    </row>
    <row r="1279">
      <c r="A1279" s="9" t="n">
        <v>1276</v>
      </c>
      <c r="B1279" s="10" t="inlineStr">
        <is>
          <t xml:space="preserve">      "展示柜",</t>
        </is>
      </c>
    </row>
    <row r="1280">
      <c r="A1280" s="7" t="n">
        <v>1277</v>
      </c>
      <c r="B1280" s="8" t="inlineStr">
        <is>
          <t xml:space="preserve">      "蒸烤箱",</t>
        </is>
      </c>
    </row>
    <row r="1281">
      <c r="A1281" s="9" t="n">
        <v>1278</v>
      </c>
      <c r="B1281" s="10" t="inlineStr">
        <is>
          <t xml:space="preserve">      "珍珠白",</t>
        </is>
      </c>
    </row>
    <row r="1282">
      <c r="A1282" s="7" t="n">
        <v>1279</v>
      </c>
      <c r="B1282" s="8" t="inlineStr">
        <is>
          <t xml:space="preserve">      "杏子灰",</t>
        </is>
      </c>
    </row>
    <row r="1283">
      <c r="A1283" s="9" t="n">
        <v>1280</v>
      </c>
      <c r="B1283" s="10" t="inlineStr">
        <is>
          <t xml:space="preserve">      "黑白根",</t>
        </is>
      </c>
    </row>
    <row r="1284">
      <c r="A1284" s="7" t="n">
        <v>1281</v>
      </c>
      <c r="B1284" s="8" t="inlineStr">
        <is>
          <t xml:space="preserve">      "水磨石",</t>
        </is>
      </c>
    </row>
    <row r="1285">
      <c r="A1285" s="9" t="n">
        <v>1282</v>
      </c>
      <c r="B1285" s="10" t="inlineStr">
        <is>
          <t xml:space="preserve">      "米黄色",</t>
        </is>
      </c>
    </row>
    <row r="1286">
      <c r="A1286" s="7" t="n">
        <v>1283</v>
      </c>
      <c r="B1286" s="8" t="inlineStr">
        <is>
          <t xml:space="preserve">      "海福乐",</t>
        </is>
      </c>
    </row>
    <row r="1287">
      <c r="A1287" s="9" t="n">
        <v>1284</v>
      </c>
      <c r="B1287" s="10" t="inlineStr">
        <is>
          <t xml:space="preserve">      "收纳柜",</t>
        </is>
      </c>
    </row>
    <row r="1288">
      <c r="A1288" s="7" t="n">
        <v>1285</v>
      </c>
      <c r="B1288" s="8" t="inlineStr">
        <is>
          <t xml:space="preserve">      "香槟色",</t>
        </is>
      </c>
    </row>
    <row r="1289">
      <c r="A1289" s="9" t="n">
        <v>1286</v>
      </c>
      <c r="B1289" s="10" t="inlineStr">
        <is>
          <t xml:space="preserve">      "水龙头",</t>
        </is>
      </c>
    </row>
    <row r="1290">
      <c r="A1290" s="7" t="n">
        <v>1287</v>
      </c>
      <c r="B1290" s="8" t="inlineStr">
        <is>
          <t xml:space="preserve">      "长拉手",</t>
        </is>
      </c>
    </row>
    <row r="1291">
      <c r="A1291" s="9" t="n">
        <v>1288</v>
      </c>
      <c r="B1291" s="10" t="inlineStr">
        <is>
          <t xml:space="preserve">      "水墨黑",</t>
        </is>
      </c>
    </row>
    <row r="1292">
      <c r="A1292" s="7" t="n">
        <v>1289</v>
      </c>
      <c r="B1292" s="8" t="inlineStr">
        <is>
          <t xml:space="preserve">      "拉直器",</t>
        </is>
      </c>
    </row>
    <row r="1293">
      <c r="A1293" s="9" t="n">
        <v>1290</v>
      </c>
      <c r="B1293" s="10" t="inlineStr">
        <is>
          <t xml:space="preserve">      "台下盆",</t>
        </is>
      </c>
    </row>
    <row r="1294">
      <c r="A1294" s="7" t="n">
        <v>1291</v>
      </c>
      <c r="B1294" s="8" t="inlineStr">
        <is>
          <t xml:space="preserve">      "雾霾蓝",</t>
        </is>
      </c>
    </row>
    <row r="1295">
      <c r="A1295" s="9" t="n">
        <v>1292</v>
      </c>
      <c r="B1295" s="10" t="inlineStr">
        <is>
          <t xml:space="preserve">      "抽屉锁",</t>
        </is>
      </c>
    </row>
    <row r="1296">
      <c r="A1296" s="7" t="n">
        <v>1293</v>
      </c>
      <c r="B1296" s="8" t="inlineStr">
        <is>
          <t xml:space="preserve">      "储物箱",</t>
        </is>
      </c>
    </row>
    <row r="1297">
      <c r="A1297" s="9" t="n">
        <v>1294</v>
      </c>
      <c r="B1297" s="10" t="inlineStr">
        <is>
          <t xml:space="preserve">      "诧寂风",</t>
        </is>
      </c>
    </row>
    <row r="1298">
      <c r="A1298" s="7" t="n">
        <v>1295</v>
      </c>
      <c r="B1298" s="8" t="inlineStr">
        <is>
          <t xml:space="preserve">      "谷仓风",</t>
        </is>
      </c>
    </row>
    <row r="1299">
      <c r="A1299" s="9" t="n">
        <v>1296</v>
      </c>
      <c r="B1299" s="10" t="inlineStr">
        <is>
          <t xml:space="preserve">      "电蒸锅",</t>
        </is>
      </c>
    </row>
    <row r="1300">
      <c r="A1300" s="7" t="n">
        <v>1297</v>
      </c>
      <c r="B1300" s="8" t="inlineStr">
        <is>
          <t xml:space="preserve">      "汇泰龙",</t>
        </is>
      </c>
    </row>
    <row r="1301">
      <c r="A1301" s="9" t="n">
        <v>1298</v>
      </c>
      <c r="B1301" s="10" t="inlineStr">
        <is>
          <t xml:space="preserve">      "短拉手",</t>
        </is>
      </c>
    </row>
    <row r="1302">
      <c r="A1302" s="7" t="n">
        <v>1299</v>
      </c>
      <c r="B1302" s="8" t="inlineStr">
        <is>
          <t xml:space="preserve">      "反弹器",</t>
        </is>
      </c>
    </row>
    <row r="1303">
      <c r="A1303" s="9" t="n">
        <v>1300</v>
      </c>
      <c r="B1303" s="10" t="inlineStr">
        <is>
          <t xml:space="preserve">      "皮阿诺",</t>
        </is>
      </c>
    </row>
    <row r="1304">
      <c r="A1304" s="7" t="n">
        <v>1301</v>
      </c>
      <c r="B1304" s="8" t="inlineStr">
        <is>
          <t xml:space="preserve">      "静奢风",</t>
        </is>
      </c>
    </row>
    <row r="1305">
      <c r="A1305" s="9" t="n">
        <v>1302</v>
      </c>
      <c r="B1305" s="10" t="inlineStr">
        <is>
          <t xml:space="preserve">      "银白龙",</t>
        </is>
      </c>
    </row>
    <row r="1306">
      <c r="A1306" s="7" t="n">
        <v>1303</v>
      </c>
      <c r="B1306" s="8" t="inlineStr">
        <is>
          <t xml:space="preserve">      "米棕色",</t>
        </is>
      </c>
    </row>
    <row r="1307">
      <c r="A1307" s="9" t="n">
        <v>1304</v>
      </c>
      <c r="B1307" s="10" t="inlineStr">
        <is>
          <t xml:space="preserve">      "欧松板",</t>
        </is>
      </c>
    </row>
    <row r="1308">
      <c r="A1308" s="7" t="n">
        <v>1305</v>
      </c>
      <c r="B1308" s="8" t="inlineStr">
        <is>
          <t xml:space="preserve">      "海棠角",</t>
        </is>
      </c>
    </row>
    <row r="1309">
      <c r="A1309" s="9" t="n">
        <v>1306</v>
      </c>
      <c r="B1309" s="10" t="inlineStr">
        <is>
          <t xml:space="preserve">      "卡萨帝",</t>
        </is>
      </c>
    </row>
    <row r="1310">
      <c r="A1310" s="7" t="n">
        <v>1307</v>
      </c>
      <c r="B1310" s="8" t="inlineStr">
        <is>
          <t xml:space="preserve">      "原木色",</t>
        </is>
      </c>
    </row>
    <row r="1311">
      <c r="A1311" s="9" t="n">
        <v>1308</v>
      </c>
      <c r="B1311" s="10" t="inlineStr">
        <is>
          <t xml:space="preserve">      "格拉斯",</t>
        </is>
      </c>
    </row>
    <row r="1312">
      <c r="A1312" s="7" t="n">
        <v>1309</v>
      </c>
      <c r="B1312" s="8" t="inlineStr">
        <is>
          <t xml:space="preserve">      "多层板",</t>
        </is>
      </c>
    </row>
    <row r="1313">
      <c r="A1313" s="9" t="n">
        <v>1310</v>
      </c>
      <c r="B1313" s="10" t="inlineStr">
        <is>
          <t xml:space="preserve">      "三节轨",</t>
        </is>
      </c>
    </row>
    <row r="1314">
      <c r="A1314" s="7" t="n">
        <v>1311</v>
      </c>
      <c r="B1314" s="8" t="inlineStr">
        <is>
          <t xml:space="preserve">      "红洞石",</t>
        </is>
      </c>
    </row>
    <row r="1315">
      <c r="A1315" s="9" t="n">
        <v>1312</v>
      </c>
      <c r="B1315" s="10" t="inlineStr">
        <is>
          <t xml:space="preserve">      "鸽子灰",</t>
        </is>
      </c>
    </row>
    <row r="1316">
      <c r="A1316" s="7" t="n">
        <v>1313</v>
      </c>
      <c r="B1316" s="8" t="inlineStr">
        <is>
          <t xml:space="preserve">      "小单槽",</t>
        </is>
      </c>
    </row>
    <row r="1317">
      <c r="A1317" s="9" t="n">
        <v>1314</v>
      </c>
      <c r="B1317" s="10" t="inlineStr">
        <is>
          <t xml:space="preserve">      "编织管",</t>
        </is>
      </c>
    </row>
    <row r="1318">
      <c r="A1318" s="7" t="n">
        <v>1315</v>
      </c>
      <c r="B1318" s="8" t="inlineStr">
        <is>
          <t xml:space="preserve">      "诺贝尔",</t>
        </is>
      </c>
    </row>
    <row r="1319">
      <c r="A1319" s="9" t="n">
        <v>1316</v>
      </c>
      <c r="B1319" s="10" t="inlineStr">
        <is>
          <t xml:space="preserve">      "电炖锅",</t>
        </is>
      </c>
    </row>
    <row r="1320">
      <c r="A1320" s="7" t="n">
        <v>1317</v>
      </c>
      <c r="B1320" s="8" t="inlineStr">
        <is>
          <t xml:space="preserve">      "北极白",</t>
        </is>
      </c>
    </row>
    <row r="1321">
      <c r="A1321" s="9" t="n">
        <v>1318</v>
      </c>
      <c r="B1321" s="10" t="inlineStr">
        <is>
          <t xml:space="preserve">      "星空灰",</t>
        </is>
      </c>
    </row>
    <row r="1322">
      <c r="A1322" s="7" t="n">
        <v>1319</v>
      </c>
      <c r="B1322" s="8" t="inlineStr">
        <is>
          <t xml:space="preserve">      "进水管",</t>
        </is>
      </c>
    </row>
    <row r="1323">
      <c r="A1323" s="9" t="n">
        <v>1320</v>
      </c>
      <c r="B1323" s="10" t="inlineStr">
        <is>
          <t xml:space="preserve">      "拉米娜",</t>
        </is>
      </c>
    </row>
    <row r="1324">
      <c r="A1324" s="7" t="n">
        <v>1321</v>
      </c>
      <c r="B1324" s="8" t="inlineStr">
        <is>
          <t xml:space="preserve">      "雪花白",</t>
        </is>
      </c>
    </row>
    <row r="1325">
      <c r="A1325" s="9" t="n">
        <v>1322</v>
      </c>
      <c r="B1325" s="10" t="inlineStr">
        <is>
          <t xml:space="preserve">      "花岗岩",</t>
        </is>
      </c>
    </row>
    <row r="1326">
      <c r="A1326" s="7" t="n">
        <v>1323</v>
      </c>
      <c r="B1326" s="8" t="inlineStr">
        <is>
          <t xml:space="preserve">      "耐火板",</t>
        </is>
      </c>
    </row>
    <row r="1327">
      <c r="A1327" s="9" t="n">
        <v>1324</v>
      </c>
      <c r="B1327" s="10" t="inlineStr">
        <is>
          <t xml:space="preserve">      "杉木色",</t>
        </is>
      </c>
    </row>
    <row r="1328">
      <c r="A1328" s="7" t="n">
        <v>1325</v>
      </c>
      <c r="B1328" s="8" t="inlineStr">
        <is>
          <t xml:space="preserve">      "转角柜",</t>
        </is>
      </c>
    </row>
    <row r="1329">
      <c r="A1329" s="9" t="n">
        <v>1326</v>
      </c>
      <c r="B1329" s="10" t="inlineStr">
        <is>
          <t xml:space="preserve">      "收纳箱",</t>
        </is>
      </c>
    </row>
    <row r="1330">
      <c r="A1330" s="7" t="n">
        <v>1327</v>
      </c>
      <c r="B1330" s="8" t="inlineStr">
        <is>
          <t xml:space="preserve">      "竹香板",</t>
        </is>
      </c>
    </row>
    <row r="1331">
      <c r="A1331" s="9" t="n">
        <v>1328</v>
      </c>
      <c r="B1331" s="10" t="inlineStr">
        <is>
          <t xml:space="preserve">      "奶油白",</t>
        </is>
      </c>
    </row>
    <row r="1332">
      <c r="A1332" s="7" t="n">
        <v>1329</v>
      </c>
      <c r="B1332" s="8" t="inlineStr">
        <is>
          <t xml:space="preserve">      "藏蓝色",</t>
        </is>
      </c>
    </row>
    <row r="1333">
      <c r="A1333" s="9" t="n">
        <v>1330</v>
      </c>
      <c r="B1333" s="10" t="inlineStr">
        <is>
          <t xml:space="preserve">      "萨米特",</t>
        </is>
      </c>
    </row>
    <row r="1334">
      <c r="A1334" s="7" t="n">
        <v>1331</v>
      </c>
      <c r="B1334" s="8" t="inlineStr">
        <is>
          <t xml:space="preserve">      "卡其色",</t>
        </is>
      </c>
    </row>
    <row r="1335">
      <c r="A1335" s="9" t="n">
        <v>1332</v>
      </c>
      <c r="B1335" s="10" t="inlineStr">
        <is>
          <t xml:space="preserve">      "半岛台",</t>
        </is>
      </c>
    </row>
    <row r="1336">
      <c r="A1336" s="7" t="n">
        <v>1333</v>
      </c>
      <c r="B1336" s="8" t="inlineStr">
        <is>
          <t xml:space="preserve">      "面包机",</t>
        </is>
      </c>
    </row>
    <row r="1337">
      <c r="A1337" s="9" t="n">
        <v>1334</v>
      </c>
      <c r="B1337" s="10" t="inlineStr">
        <is>
          <t xml:space="preserve">      "实木板",</t>
        </is>
      </c>
    </row>
    <row r="1338">
      <c r="A1338" s="7" t="n">
        <v>1335</v>
      </c>
      <c r="B1338" s="8" t="inlineStr">
        <is>
          <t xml:space="preserve">      "泰姬石",</t>
        </is>
      </c>
    </row>
    <row r="1339">
      <c r="A1339" s="9" t="n">
        <v>1336</v>
      </c>
      <c r="B1339" s="10" t="inlineStr">
        <is>
          <t xml:space="preserve">      "见光板",</t>
        </is>
      </c>
    </row>
    <row r="1340">
      <c r="A1340" s="7" t="n">
        <v>1337</v>
      </c>
      <c r="B1340" s="8" t="inlineStr">
        <is>
          <t xml:space="preserve">      "甜酷风",</t>
        </is>
      </c>
    </row>
    <row r="1341">
      <c r="A1341" s="9" t="n">
        <v>1338</v>
      </c>
      <c r="B1341" s="10" t="inlineStr">
        <is>
          <t xml:space="preserve">      "檀木色",</t>
        </is>
      </c>
    </row>
    <row r="1342">
      <c r="A1342" s="7" t="n">
        <v>1339</v>
      </c>
      <c r="B1342" s="8" t="inlineStr">
        <is>
          <t xml:space="preserve">      "排水管",</t>
        </is>
      </c>
    </row>
    <row r="1343">
      <c r="A1343" s="9" t="n">
        <v>1340</v>
      </c>
      <c r="B1343" s="10" t="inlineStr">
        <is>
          <t xml:space="preserve">      "豆浆机",</t>
        </is>
      </c>
    </row>
    <row r="1344">
      <c r="A1344" s="7" t="n">
        <v>1341</v>
      </c>
      <c r="B1344" s="8" t="inlineStr">
        <is>
          <t xml:space="preserve">      "复古风",</t>
        </is>
      </c>
    </row>
    <row r="1345">
      <c r="A1345" s="9" t="n">
        <v>1342</v>
      </c>
      <c r="B1345" s="10" t="inlineStr">
        <is>
          <t xml:space="preserve">      "银河灰",</t>
        </is>
      </c>
    </row>
    <row r="1346">
      <c r="A1346" s="7" t="n">
        <v>1343</v>
      </c>
      <c r="B1346" s="8" t="inlineStr">
        <is>
          <t xml:space="preserve">      "爵士白",</t>
        </is>
      </c>
    </row>
    <row r="1347">
      <c r="A1347" s="9" t="n">
        <v>1344</v>
      </c>
      <c r="B1347" s="10" t="inlineStr">
        <is>
          <t xml:space="preserve">      "心悦粉",</t>
        </is>
      </c>
    </row>
    <row r="1348">
      <c r="A1348" s="7" t="n">
        <v>1345</v>
      </c>
      <c r="B1348" s="8" t="inlineStr">
        <is>
          <t xml:space="preserve">      "面粉箱",</t>
        </is>
      </c>
    </row>
    <row r="1349">
      <c r="A1349" s="9" t="n">
        <v>1346</v>
      </c>
      <c r="B1349" s="10" t="inlineStr">
        <is>
          <t xml:space="preserve">      "深啡网",</t>
        </is>
      </c>
    </row>
    <row r="1350">
      <c r="A1350" s="7" t="n">
        <v>1347</v>
      </c>
      <c r="B1350" s="8" t="inlineStr">
        <is>
          <t xml:space="preserve">      "浅驼色",</t>
        </is>
      </c>
    </row>
    <row r="1351">
      <c r="A1351" s="9" t="n">
        <v>1348</v>
      </c>
      <c r="B1351" s="10" t="inlineStr">
        <is>
          <t xml:space="preserve">      "柜门锁",</t>
        </is>
      </c>
    </row>
    <row r="1352">
      <c r="A1352" s="7" t="n">
        <v>1349</v>
      </c>
      <c r="B1352" s="8" t="inlineStr">
        <is>
          <t xml:space="preserve">      "奶咖色",</t>
        </is>
      </c>
    </row>
    <row r="1353">
      <c r="A1353" s="9" t="n">
        <v>1350</v>
      </c>
      <c r="B1353" s="10" t="inlineStr">
        <is>
          <t xml:space="preserve">      "黄金洞",</t>
        </is>
      </c>
    </row>
    <row r="1354">
      <c r="A1354" s="7" t="n">
        <v>1351</v>
      </c>
      <c r="B1354" s="8" t="inlineStr">
        <is>
          <t xml:space="preserve">      "上门费",</t>
        </is>
      </c>
    </row>
    <row r="1355">
      <c r="A1355" s="9" t="n">
        <v>1352</v>
      </c>
      <c r="B1355" s="10" t="inlineStr">
        <is>
          <t xml:space="preserve">      "止回阀",</t>
        </is>
      </c>
    </row>
    <row r="1356">
      <c r="A1356" s="7" t="n">
        <v>1353</v>
      </c>
      <c r="B1356" s="8" t="inlineStr">
        <is>
          <t xml:space="preserve">      "柚木色",</t>
        </is>
      </c>
    </row>
    <row r="1357">
      <c r="A1357" s="9" t="n">
        <v>1354</v>
      </c>
      <c r="B1357" s="10" t="inlineStr">
        <is>
          <t xml:space="preserve">      "密度板",</t>
        </is>
      </c>
    </row>
    <row r="1358">
      <c r="A1358" s="7" t="n">
        <v>1355</v>
      </c>
      <c r="B1358" s="8" t="inlineStr">
        <is>
          <t xml:space="preserve">      "雅士白",</t>
        </is>
      </c>
    </row>
    <row r="1359">
      <c r="A1359" s="9" t="n">
        <v>1356</v>
      </c>
      <c r="B1359" s="10" t="inlineStr">
        <is>
          <t xml:space="preserve">      "烤漆板",</t>
        </is>
      </c>
    </row>
    <row r="1360">
      <c r="A1360" s="7" t="n">
        <v>1357</v>
      </c>
      <c r="B1360" s="8" t="inlineStr">
        <is>
          <t xml:space="preserve">      "支撑杆",</t>
        </is>
      </c>
    </row>
    <row r="1361">
      <c r="A1361" s="9" t="n">
        <v>1358</v>
      </c>
      <c r="B1361" s="10" t="inlineStr">
        <is>
          <t xml:space="preserve">      "磨豆机",</t>
        </is>
      </c>
    </row>
    <row r="1362">
      <c r="A1362" s="7" t="n">
        <v>1359</v>
      </c>
      <c r="B1362" s="8" t="inlineStr">
        <is>
          <t xml:space="preserve">      "米白色",</t>
        </is>
      </c>
    </row>
    <row r="1363">
      <c r="A1363" s="9" t="n">
        <v>1360</v>
      </c>
      <c r="B1363" s="10" t="inlineStr">
        <is>
          <t xml:space="preserve">      "浅啡网",</t>
        </is>
      </c>
    </row>
    <row r="1364">
      <c r="A1364" s="7" t="n">
        <v>1361</v>
      </c>
      <c r="B1364" s="8" t="inlineStr">
        <is>
          <t xml:space="preserve">      "开放柜",</t>
        </is>
      </c>
    </row>
    <row r="1365">
      <c r="A1365" s="9" t="n">
        <v>1362</v>
      </c>
      <c r="B1365" s="10" t="inlineStr">
        <is>
          <t xml:space="preserve">      "小冰箱",</t>
        </is>
      </c>
    </row>
    <row r="1366">
      <c r="A1366" s="7" t="n">
        <v>1363</v>
      </c>
      <c r="B1366" s="8" t="inlineStr">
        <is>
          <t xml:space="preserve">      "细花白",</t>
        </is>
      </c>
    </row>
    <row r="1367">
      <c r="A1367" s="9" t="n">
        <v>1364</v>
      </c>
      <c r="B1367" s="10" t="inlineStr">
        <is>
          <t xml:space="preserve">      "深驼色",</t>
        </is>
      </c>
    </row>
    <row r="1368">
      <c r="A1368" s="7" t="n">
        <v>1365</v>
      </c>
      <c r="B1368" s="8" t="inlineStr">
        <is>
          <t xml:space="preserve">      "曜石黑",</t>
        </is>
      </c>
    </row>
    <row r="1369">
      <c r="A1369" s="9" t="n">
        <v>1366</v>
      </c>
      <c r="B1369" s="10" t="inlineStr">
        <is>
          <t xml:space="preserve">      "燕麦色",</t>
        </is>
      </c>
    </row>
    <row r="1370">
      <c r="A1370" s="7" t="n">
        <v>1367</v>
      </c>
      <c r="B1370" s="8" t="inlineStr">
        <is>
          <t xml:space="preserve">      "木格栅",</t>
        </is>
      </c>
    </row>
    <row r="1371">
      <c r="A1371" s="9" t="n">
        <v>1368</v>
      </c>
      <c r="B1371" s="10" t="inlineStr">
        <is>
          <t xml:space="preserve">      "筷子笼",</t>
        </is>
      </c>
    </row>
    <row r="1372">
      <c r="A1372" s="7" t="n">
        <v>1369</v>
      </c>
      <c r="B1372" s="8" t="inlineStr">
        <is>
          <t xml:space="preserve">      "索菲亚",</t>
        </is>
      </c>
    </row>
    <row r="1373">
      <c r="A1373" s="9" t="n">
        <v>1370</v>
      </c>
      <c r="B1373" s="10" t="inlineStr">
        <is>
          <t xml:space="preserve">      "摩卡棕",</t>
        </is>
      </c>
    </row>
    <row r="1374">
      <c r="A1374" s="7" t="n">
        <v>1371</v>
      </c>
      <c r="B1374" s="8" t="inlineStr">
        <is>
          <t xml:space="preserve">      "木纹板",</t>
        </is>
      </c>
    </row>
    <row r="1375">
      <c r="A1375" s="9" t="n">
        <v>1372</v>
      </c>
      <c r="B1375" s="10" t="inlineStr">
        <is>
          <t xml:space="preserve">      "保温壶",</t>
        </is>
      </c>
    </row>
    <row r="1376">
      <c r="A1376" s="7" t="n">
        <v>1373</v>
      </c>
      <c r="B1376" s="8" t="inlineStr">
        <is>
          <t xml:space="preserve">      "迪奥灰",</t>
        </is>
      </c>
    </row>
    <row r="1377">
      <c r="A1377" s="9" t="n">
        <v>1374</v>
      </c>
      <c r="B1377" s="10" t="inlineStr">
        <is>
          <t xml:space="preserve">      "圆弧角",</t>
        </is>
      </c>
    </row>
    <row r="1378">
      <c r="A1378" s="7" t="n">
        <v>1375</v>
      </c>
      <c r="B1378" s="8" t="inlineStr">
        <is>
          <t xml:space="preserve">      "焦糖色",</t>
        </is>
      </c>
    </row>
    <row r="1379">
      <c r="A1379" s="9" t="n">
        <v>1376</v>
      </c>
      <c r="B1379" s="10" t="inlineStr">
        <is>
          <t xml:space="preserve">      "墨玉黑",</t>
        </is>
      </c>
    </row>
    <row r="1380">
      <c r="A1380" s="7" t="n">
        <v>1377</v>
      </c>
      <c r="B1380" s="8" t="inlineStr">
        <is>
          <t xml:space="preserve">      "万家乐",</t>
        </is>
      </c>
    </row>
    <row r="1381">
      <c r="A1381" s="9" t="n">
        <v>1378</v>
      </c>
      <c r="B1381" s="10" t="inlineStr">
        <is>
          <t xml:space="preserve">      "破壁机",</t>
        </is>
      </c>
    </row>
    <row r="1382">
      <c r="A1382" s="7" t="n">
        <v>1379</v>
      </c>
      <c r="B1382" s="8" t="inlineStr">
        <is>
          <t xml:space="preserve">      "电饼铛",</t>
        </is>
      </c>
    </row>
    <row r="1383">
      <c r="A1383" s="9" t="n">
        <v>1380</v>
      </c>
      <c r="B1383" s="10" t="inlineStr">
        <is>
          <t xml:space="preserve">      "浅滩灰",</t>
        </is>
      </c>
    </row>
    <row r="1384">
      <c r="A1384" s="7" t="n">
        <v>1381</v>
      </c>
      <c r="B1384" s="8" t="inlineStr">
        <is>
          <t xml:space="preserve">      "古堡灰",</t>
        </is>
      </c>
    </row>
    <row r="1385">
      <c r="A1385" s="9" t="n">
        <v>1382</v>
      </c>
      <c r="B1385" s="10" t="inlineStr">
        <is>
          <t xml:space="preserve">      "反弹抽",</t>
        </is>
      </c>
    </row>
    <row r="1386">
      <c r="A1386" s="7" t="n">
        <v>1383</v>
      </c>
      <c r="B1386" s="8" t="inlineStr">
        <is>
          <t xml:space="preserve">      "橡木色",</t>
        </is>
      </c>
    </row>
    <row r="1387">
      <c r="A1387" s="9" t="n">
        <v>1384</v>
      </c>
      <c r="B1387" s="10" t="inlineStr">
        <is>
          <t xml:space="preserve">      "无缝拼接",</t>
        </is>
      </c>
    </row>
    <row r="1388">
      <c r="A1388" s="7" t="n">
        <v>1385</v>
      </c>
      <c r="B1388" s="8" t="inlineStr">
        <is>
          <t xml:space="preserve">      "日式原木风",</t>
        </is>
      </c>
    </row>
    <row r="1389">
      <c r="A1389" s="9" t="n">
        <v>1386</v>
      </c>
      <c r="B1389" s="10" t="inlineStr">
        <is>
          <t xml:space="preserve">      "日式极简",</t>
        </is>
      </c>
    </row>
    <row r="1390">
      <c r="A1390" s="7" t="n">
        <v>1387</v>
      </c>
      <c r="B1390" s="8" t="inlineStr">
        <is>
          <t xml:space="preserve">      "日式禅意风",</t>
        </is>
      </c>
    </row>
    <row r="1391">
      <c r="A1391" s="9" t="n">
        <v>1388</v>
      </c>
      <c r="B1391" s="10" t="inlineStr">
        <is>
          <t xml:space="preserve">      "明装轨道插座",</t>
        </is>
      </c>
    </row>
    <row r="1392">
      <c r="A1392" s="7" t="n">
        <v>1389</v>
      </c>
      <c r="B1392" s="8" t="inlineStr">
        <is>
          <t xml:space="preserve">      "星徽",</t>
        </is>
      </c>
    </row>
    <row r="1393">
      <c r="A1393" s="9" t="n">
        <v>1390</v>
      </c>
      <c r="B1393" s="10" t="inlineStr">
        <is>
          <t xml:space="preserve">      "普拉达绿",</t>
        </is>
      </c>
    </row>
    <row r="1394">
      <c r="A1394" s="7" t="n">
        <v>1391</v>
      </c>
      <c r="B1394" s="8" t="inlineStr">
        <is>
          <t xml:space="preserve">      "晶钢门板",</t>
        </is>
      </c>
    </row>
    <row r="1395">
      <c r="A1395" s="9" t="n">
        <v>1392</v>
      </c>
      <c r="B1395" s="10" t="inlineStr">
        <is>
          <t xml:space="preserve">      "智能家居",</t>
        </is>
      </c>
    </row>
    <row r="1396">
      <c r="A1396" s="7" t="n">
        <v>1393</v>
      </c>
      <c r="B1396" s="8" t="inlineStr">
        <is>
          <t xml:space="preserve">      "智能岛台",</t>
        </is>
      </c>
    </row>
    <row r="1397">
      <c r="A1397" s="9" t="n">
        <v>1394</v>
      </c>
      <c r="B1397" s="10" t="inlineStr">
        <is>
          <t xml:space="preserve">      "智能开关",</t>
        </is>
      </c>
    </row>
    <row r="1398">
      <c r="A1398" s="7" t="n">
        <v>1395</v>
      </c>
      <c r="B1398" s="8" t="inlineStr">
        <is>
          <t xml:space="preserve">      "智能插座",</t>
        </is>
      </c>
    </row>
    <row r="1399">
      <c r="A1399" s="9" t="n">
        <v>1396</v>
      </c>
      <c r="B1399" s="10" t="inlineStr">
        <is>
          <t xml:space="preserve">      "智能设计",</t>
        </is>
      </c>
    </row>
    <row r="1400">
      <c r="A1400" s="7" t="n">
        <v>1397</v>
      </c>
      <c r="B1400" s="8" t="inlineStr">
        <is>
          <t xml:space="preserve">      "暖菜板",</t>
        </is>
      </c>
    </row>
    <row r="1401">
      <c r="A1401" s="9" t="n">
        <v>1398</v>
      </c>
      <c r="B1401" s="10" t="inlineStr">
        <is>
          <t xml:space="preserve">      "暗藏式设计",</t>
        </is>
      </c>
    </row>
    <row r="1402">
      <c r="A1402" s="7" t="n">
        <v>1399</v>
      </c>
      <c r="B1402" s="8" t="inlineStr">
        <is>
          <t xml:space="preserve">      "暗装轨道插座",</t>
        </is>
      </c>
    </row>
    <row r="1403">
      <c r="A1403" s="9" t="n">
        <v>1400</v>
      </c>
      <c r="B1403" s="10" t="inlineStr">
        <is>
          <t xml:space="preserve">      "月光白",</t>
        </is>
      </c>
    </row>
    <row r="1404">
      <c r="A1404" s="7" t="n">
        <v>1401</v>
      </c>
      <c r="B1404" s="8" t="inlineStr">
        <is>
          <t xml:space="preserve">      "杉木浅黄",</t>
        </is>
      </c>
    </row>
    <row r="1405">
      <c r="A1405" s="9" t="n">
        <v>1402</v>
      </c>
      <c r="B1405" s="10" t="inlineStr">
        <is>
          <t xml:space="preserve">      "杉木白黄",</t>
        </is>
      </c>
    </row>
    <row r="1406">
      <c r="A1406" s="7" t="n">
        <v>1403</v>
      </c>
      <c r="B1406" s="8" t="inlineStr">
        <is>
          <t xml:space="preserve">      "材料费",</t>
        </is>
      </c>
    </row>
    <row r="1407">
      <c r="A1407" s="9" t="n">
        <v>1404</v>
      </c>
      <c r="B1407" s="10" t="inlineStr">
        <is>
          <t xml:space="preserve">      "材质不符",</t>
        </is>
      </c>
    </row>
    <row r="1408">
      <c r="A1408" s="7" t="n">
        <v>1405</v>
      </c>
      <c r="B1408" s="8" t="inlineStr">
        <is>
          <t xml:space="preserve">      "杜邦可丽耐",</t>
        </is>
      </c>
    </row>
    <row r="1409">
      <c r="A1409" s="9" t="n">
        <v>1406</v>
      </c>
      <c r="B1409" s="10" t="inlineStr">
        <is>
          <t xml:space="preserve">      "杯架",</t>
        </is>
      </c>
    </row>
    <row r="1410">
      <c r="A1410" s="7" t="n">
        <v>1407</v>
      </c>
      <c r="B1410" s="8" t="inlineStr">
        <is>
          <t xml:space="preserve">      "松下",</t>
        </is>
      </c>
    </row>
    <row r="1411">
      <c r="A1411" s="9" t="n">
        <v>1408</v>
      </c>
      <c r="B1411" s="10" t="inlineStr">
        <is>
          <t xml:space="preserve">      "松木指接板",</t>
        </is>
      </c>
    </row>
    <row r="1412">
      <c r="A1412" s="7" t="n">
        <v>1409</v>
      </c>
      <c r="B1412" s="8" t="inlineStr">
        <is>
          <t xml:space="preserve">      "松木色",</t>
        </is>
      </c>
    </row>
    <row r="1413">
      <c r="A1413" s="9" t="n">
        <v>1410</v>
      </c>
      <c r="B1413" s="10" t="inlineStr">
        <is>
          <t xml:space="preserve">      "极简侘寂风",</t>
        </is>
      </c>
    </row>
    <row r="1414">
      <c r="A1414" s="7" t="n">
        <v>1411</v>
      </c>
      <c r="B1414" s="8" t="inlineStr">
        <is>
          <t xml:space="preserve">      "极简奶油风",</t>
        </is>
      </c>
    </row>
    <row r="1415">
      <c r="A1415" s="9" t="n">
        <v>1412</v>
      </c>
      <c r="B1415" s="10" t="inlineStr">
        <is>
          <t xml:space="preserve">      "极简工业风",</t>
        </is>
      </c>
    </row>
    <row r="1416">
      <c r="A1416" s="7" t="n">
        <v>1413</v>
      </c>
      <c r="B1416" s="8" t="inlineStr">
        <is>
          <t xml:space="preserve">      "林内",</t>
        </is>
      </c>
    </row>
    <row r="1417">
      <c r="A1417" s="9" t="n">
        <v>1414</v>
      </c>
      <c r="B1417" s="10" t="inlineStr">
        <is>
          <t xml:space="preserve">      "枪灰色拉手",</t>
        </is>
      </c>
    </row>
    <row r="1418">
      <c r="A1418" s="7" t="n">
        <v>1415</v>
      </c>
      <c r="B1418" s="8" t="inlineStr">
        <is>
          <t xml:space="preserve">      "枪灰色水龙头",</t>
        </is>
      </c>
    </row>
    <row r="1419">
      <c r="A1419" s="9" t="n">
        <v>1416</v>
      </c>
      <c r="B1419" s="10" t="inlineStr">
        <is>
          <t xml:space="preserve">      "枫木浅黄",</t>
        </is>
      </c>
    </row>
    <row r="1420">
      <c r="A1420" s="7" t="n">
        <v>1417</v>
      </c>
      <c r="B1420" s="8" t="inlineStr">
        <is>
          <t xml:space="preserve">      "枫木色",</t>
        </is>
      </c>
    </row>
    <row r="1421">
      <c r="A1421" s="9" t="n">
        <v>1418</v>
      </c>
      <c r="B1421" s="10" t="inlineStr">
        <is>
          <t xml:space="preserve">      "柔光岩板",</t>
        </is>
      </c>
    </row>
    <row r="1422">
      <c r="A1422" s="7" t="n">
        <v>1419</v>
      </c>
      <c r="B1422" s="8" t="inlineStr">
        <is>
          <t xml:space="preserve">      "柔光面石材",</t>
        </is>
      </c>
    </row>
    <row r="1423">
      <c r="A1423" s="9" t="n">
        <v>1420</v>
      </c>
      <c r="B1423" s="10" t="inlineStr">
        <is>
          <t xml:space="preserve">      "柚木深棕",</t>
        </is>
      </c>
    </row>
    <row r="1424">
      <c r="A1424" s="7" t="n">
        <v>1421</v>
      </c>
      <c r="B1424" s="8" t="inlineStr">
        <is>
          <t xml:space="preserve">      "柚木金黄",</t>
        </is>
      </c>
    </row>
    <row r="1425">
      <c r="A1425" s="9" t="n">
        <v>1422</v>
      </c>
      <c r="B1425" s="10" t="inlineStr">
        <is>
          <t xml:space="preserve">      "柜体发霉",</t>
        </is>
      </c>
    </row>
    <row r="1426">
      <c r="A1426" s="7" t="n">
        <v>1423</v>
      </c>
      <c r="B1426" s="8" t="inlineStr">
        <is>
          <t xml:space="preserve">      "柜体受潮",</t>
        </is>
      </c>
    </row>
    <row r="1427">
      <c r="A1427" s="9" t="n">
        <v>1424</v>
      </c>
      <c r="B1427" s="10" t="inlineStr">
        <is>
          <t xml:space="preserve">      "柜体变形",</t>
        </is>
      </c>
    </row>
    <row r="1428">
      <c r="A1428" s="7" t="n">
        <v>1425</v>
      </c>
      <c r="B1428" s="8" t="inlineStr">
        <is>
          <t xml:space="preserve">      "柜体安装",</t>
        </is>
      </c>
    </row>
    <row r="1429">
      <c r="A1429" s="9" t="n">
        <v>1426</v>
      </c>
      <c r="B1429" s="10" t="inlineStr">
        <is>
          <t xml:space="preserve">      "柜体定制",</t>
        </is>
      </c>
    </row>
    <row r="1430">
      <c r="A1430" s="7" t="n">
        <v>1427</v>
      </c>
      <c r="B1430" s="8" t="inlineStr">
        <is>
          <t xml:space="preserve">      "柜体拼接",</t>
        </is>
      </c>
    </row>
    <row r="1431">
      <c r="A1431" s="9" t="n">
        <v>1428</v>
      </c>
      <c r="B1431" s="10" t="inlineStr">
        <is>
          <t xml:space="preserve">      "柜体深度",</t>
        </is>
      </c>
    </row>
    <row r="1432">
      <c r="A1432" s="7" t="n">
        <v>1429</v>
      </c>
      <c r="B1432" s="8" t="inlineStr">
        <is>
          <t xml:space="preserve">      "柜体深度55cm",</t>
        </is>
      </c>
    </row>
    <row r="1433">
      <c r="A1433" s="9" t="n">
        <v>1430</v>
      </c>
      <c r="B1433" s="10" t="inlineStr">
        <is>
          <t xml:space="preserve">      "柜体深度60cm",</t>
        </is>
      </c>
    </row>
    <row r="1434">
      <c r="A1434" s="7" t="n">
        <v>1431</v>
      </c>
      <c r="B1434" s="8" t="inlineStr">
        <is>
          <t xml:space="preserve">      "柜体深度65cm",</t>
        </is>
      </c>
    </row>
    <row r="1435">
      <c r="A1435" s="9" t="n">
        <v>1432</v>
      </c>
      <c r="B1435" s="10" t="inlineStr">
        <is>
          <t xml:space="preserve">      "柜门不齐",</t>
        </is>
      </c>
    </row>
    <row r="1436">
      <c r="A1436" s="7" t="n">
        <v>1433</v>
      </c>
      <c r="B1436" s="8" t="inlineStr">
        <is>
          <t xml:space="preserve">      "柜门关不严",</t>
        </is>
      </c>
    </row>
    <row r="1437">
      <c r="A1437" s="9" t="n">
        <v>1434</v>
      </c>
      <c r="B1437" s="10" t="inlineStr">
        <is>
          <t xml:space="preserve">      "柜门把手",</t>
        </is>
      </c>
    </row>
    <row r="1438">
      <c r="A1438" s="7" t="n">
        <v>1435</v>
      </c>
      <c r="B1438" s="8" t="inlineStr">
        <is>
          <t xml:space="preserve">      "柜门缝隙过大",</t>
        </is>
      </c>
    </row>
    <row r="1439">
      <c r="A1439" s="9" t="n">
        <v>1436</v>
      </c>
      <c r="B1439" s="10" t="inlineStr">
        <is>
          <t xml:space="preserve">      "柜门阻尼",</t>
        </is>
      </c>
    </row>
    <row r="1440">
      <c r="A1440" s="7" t="n">
        <v>1437</v>
      </c>
      <c r="B1440" s="8" t="inlineStr">
        <is>
          <t xml:space="preserve">      "树脂台面",</t>
        </is>
      </c>
    </row>
    <row r="1441">
      <c r="A1441" s="9" t="n">
        <v>1438</v>
      </c>
      <c r="B1441" s="10" t="inlineStr">
        <is>
          <t xml:space="preserve">      "树脂板",</t>
        </is>
      </c>
    </row>
    <row r="1442">
      <c r="A1442" s="7" t="n">
        <v>1439</v>
      </c>
      <c r="B1442" s="8" t="inlineStr">
        <is>
          <t xml:space="preserve">      "棕色",</t>
        </is>
      </c>
    </row>
    <row r="1443">
      <c r="A1443" s="9" t="n">
        <v>1440</v>
      </c>
      <c r="B1443" s="10" t="inlineStr">
        <is>
          <t xml:space="preserve">      "森系风",</t>
        </is>
      </c>
    </row>
    <row r="1444">
      <c r="A1444" s="7" t="n">
        <v>1441</v>
      </c>
      <c r="B1444" s="8" t="inlineStr">
        <is>
          <t xml:space="preserve">      "榉木浅棕",</t>
        </is>
      </c>
    </row>
    <row r="1445">
      <c r="A1445" s="9" t="n">
        <v>1442</v>
      </c>
      <c r="B1445" s="10" t="inlineStr">
        <is>
          <t xml:space="preserve">      "榉木深棕",</t>
        </is>
      </c>
    </row>
    <row r="1446">
      <c r="A1446" s="7" t="n">
        <v>1443</v>
      </c>
      <c r="B1446" s="8" t="inlineStr">
        <is>
          <t xml:space="preserve">      "榉木色",</t>
        </is>
      </c>
    </row>
    <row r="1447">
      <c r="A1447" s="9" t="n">
        <v>1444</v>
      </c>
      <c r="B1447" s="10" t="inlineStr">
        <is>
          <t xml:space="preserve">      "榨汁机",</t>
        </is>
      </c>
    </row>
    <row r="1448">
      <c r="A1448" s="7" t="n">
        <v>1445</v>
      </c>
      <c r="B1448" s="8" t="inlineStr">
        <is>
          <t xml:space="preserve">      "模压门板",</t>
        </is>
      </c>
    </row>
    <row r="1449">
      <c r="A1449" s="9" t="n">
        <v>1446</v>
      </c>
      <c r="B1449" s="10" t="inlineStr">
        <is>
          <t xml:space="preserve">      "模块化岛台制作",</t>
        </is>
      </c>
    </row>
    <row r="1450">
      <c r="A1450" s="7" t="n">
        <v>1447</v>
      </c>
      <c r="B1450" s="8" t="inlineStr">
        <is>
          <t xml:space="preserve">      "模块化设计",</t>
        </is>
      </c>
    </row>
    <row r="1451">
      <c r="A1451" s="9" t="n">
        <v>1448</v>
      </c>
      <c r="B1451" s="10" t="inlineStr">
        <is>
          <t xml:space="preserve">      "樱桃木浅红",</t>
        </is>
      </c>
    </row>
    <row r="1452">
      <c r="A1452" s="7" t="n">
        <v>1449</v>
      </c>
      <c r="B1452" s="8" t="inlineStr">
        <is>
          <t xml:space="preserve">      "樱桃木红棕",</t>
        </is>
      </c>
    </row>
    <row r="1453">
      <c r="A1453" s="9" t="n">
        <v>1450</v>
      </c>
      <c r="B1453" s="10" t="inlineStr">
        <is>
          <t xml:space="preserve">      "橙色",</t>
        </is>
      </c>
    </row>
    <row r="1454">
      <c r="A1454" s="7" t="n">
        <v>1451</v>
      </c>
      <c r="B1454" s="8" t="inlineStr">
        <is>
          <t xml:space="preserve">      "橡木指接板",</t>
        </is>
      </c>
    </row>
    <row r="1455">
      <c r="A1455" s="9" t="n">
        <v>1452</v>
      </c>
      <c r="B1455" s="10" t="inlineStr">
        <is>
          <t xml:space="preserve">      "橡木浅黄",</t>
        </is>
      </c>
    </row>
    <row r="1456">
      <c r="A1456" s="7" t="n">
        <v>1453</v>
      </c>
      <c r="B1456" s="8" t="inlineStr">
        <is>
          <t xml:space="preserve">      "橡木深黄",</t>
        </is>
      </c>
    </row>
    <row r="1457">
      <c r="A1457" s="9" t="n">
        <v>1454</v>
      </c>
      <c r="B1457" s="10" t="inlineStr">
        <is>
          <t xml:space="preserve">      "橡胶木板",</t>
        </is>
      </c>
    </row>
    <row r="1458">
      <c r="A1458" s="7" t="n">
        <v>1455</v>
      </c>
      <c r="B1458" s="8" t="inlineStr">
        <is>
          <t xml:space="preserve">      "橱柜拉篮",</t>
        </is>
      </c>
    </row>
    <row r="1459">
      <c r="A1459" s="9" t="n">
        <v>1456</v>
      </c>
      <c r="B1459" s="10" t="inlineStr">
        <is>
          <t xml:space="preserve">      "欧式风格",</t>
        </is>
      </c>
    </row>
    <row r="1460">
      <c r="A1460" s="7" t="n">
        <v>1457</v>
      </c>
      <c r="B1460" s="8" t="inlineStr">
        <is>
          <t xml:space="preserve">      "欧派",</t>
        </is>
      </c>
    </row>
    <row r="1461">
      <c r="A1461" s="9" t="n">
        <v>1458</v>
      </c>
      <c r="B1461" s="10" t="inlineStr">
        <is>
          <t xml:space="preserve">      "欧神诺",</t>
        </is>
      </c>
    </row>
    <row r="1462">
      <c r="A1462" s="7" t="n">
        <v>1459</v>
      </c>
      <c r="B1462" s="8" t="inlineStr">
        <is>
          <t xml:space="preserve">      "气压支撑杆",</t>
        </is>
      </c>
    </row>
    <row r="1463">
      <c r="A1463" s="9" t="n">
        <v>1460</v>
      </c>
      <c r="B1463" s="10" t="inlineStr">
        <is>
          <t xml:space="preserve">      "气压杆",</t>
        </is>
      </c>
    </row>
    <row r="1464">
      <c r="A1464" s="7" t="n">
        <v>1461</v>
      </c>
      <c r="B1464" s="8" t="inlineStr">
        <is>
          <t xml:space="preserve">      "气撑",</t>
        </is>
      </c>
    </row>
    <row r="1465">
      <c r="A1465" s="9" t="n">
        <v>1462</v>
      </c>
      <c r="B1465" s="10" t="inlineStr">
        <is>
          <t xml:space="preserve">      "水曲柳浅棕",</t>
        </is>
      </c>
    </row>
    <row r="1466">
      <c r="A1466" s="7" t="n">
        <v>1463</v>
      </c>
      <c r="B1466" s="8" t="inlineStr">
        <is>
          <t xml:space="preserve">      "水曲柳深棕",</t>
        </is>
      </c>
    </row>
    <row r="1467">
      <c r="A1467" s="9" t="n">
        <v>1464</v>
      </c>
      <c r="B1467" s="10" t="inlineStr">
        <is>
          <t xml:space="preserve">      "水槽",</t>
        </is>
      </c>
    </row>
    <row r="1468">
      <c r="A1468" s="7" t="n">
        <v>1465</v>
      </c>
      <c r="B1468" s="8" t="inlineStr">
        <is>
          <t xml:space="preserve">      "水槽下水",</t>
        </is>
      </c>
    </row>
    <row r="1469">
      <c r="A1469" s="9" t="n">
        <v>1466</v>
      </c>
      <c r="B1469" s="10" t="inlineStr">
        <is>
          <t xml:space="preserve">      "水槽洗碗盆",</t>
        </is>
      </c>
    </row>
    <row r="1470">
      <c r="A1470" s="7" t="n">
        <v>1467</v>
      </c>
      <c r="B1470" s="8" t="inlineStr">
        <is>
          <t xml:space="preserve">      "水槽洗菜盆",</t>
        </is>
      </c>
    </row>
    <row r="1471">
      <c r="A1471" s="9" t="n">
        <v>1468</v>
      </c>
      <c r="B1471" s="10" t="inlineStr">
        <is>
          <t xml:space="preserve">      "水槽溢水口",</t>
        </is>
      </c>
    </row>
    <row r="1472">
      <c r="A1472" s="7" t="n">
        <v>1469</v>
      </c>
      <c r="B1472" s="8" t="inlineStr">
        <is>
          <t xml:space="preserve">      "水槽漏水",</t>
        </is>
      </c>
    </row>
    <row r="1473">
      <c r="A1473" s="9" t="n">
        <v>1470</v>
      </c>
      <c r="B1473" s="10" t="inlineStr">
        <is>
          <t xml:space="preserve">      "水泥纹岩板",</t>
        </is>
      </c>
    </row>
    <row r="1474">
      <c r="A1474" s="7" t="n">
        <v>1471</v>
      </c>
      <c r="B1474" s="8" t="inlineStr">
        <is>
          <t xml:space="preserve">      "水电漏水",</t>
        </is>
      </c>
    </row>
    <row r="1475">
      <c r="A1475" s="9" t="n">
        <v>1472</v>
      </c>
      <c r="B1475" s="10" t="inlineStr">
        <is>
          <t xml:space="preserve">      "水电点位",</t>
        </is>
      </c>
    </row>
    <row r="1476">
      <c r="A1476" s="7" t="n">
        <v>1473</v>
      </c>
      <c r="B1476" s="8" t="inlineStr">
        <is>
          <t xml:space="preserve">      "水电预埋",</t>
        </is>
      </c>
    </row>
    <row r="1477">
      <c r="A1477" s="9" t="n">
        <v>1474</v>
      </c>
      <c r="B1477" s="10" t="inlineStr">
        <is>
          <t xml:space="preserve">      "水管",</t>
        </is>
      </c>
    </row>
    <row r="1478">
      <c r="A1478" s="7" t="n">
        <v>1475</v>
      </c>
      <c r="B1478" s="8" t="inlineStr">
        <is>
          <t xml:space="preserve">      "水管漏水",</t>
        </is>
      </c>
    </row>
    <row r="1479">
      <c r="A1479" s="9" t="n">
        <v>1476</v>
      </c>
      <c r="B1479" s="10" t="inlineStr">
        <is>
          <t xml:space="preserve">      "水龙头漏水",</t>
        </is>
      </c>
    </row>
    <row r="1480">
      <c r="A1480" s="7" t="n">
        <v>1477</v>
      </c>
      <c r="B1480" s="8" t="inlineStr">
        <is>
          <t xml:space="preserve">      "汝窑色",</t>
        </is>
      </c>
    </row>
    <row r="1481">
      <c r="A1481" s="9" t="n">
        <v>1478</v>
      </c>
      <c r="B1481" s="10" t="inlineStr">
        <is>
          <t xml:space="preserve">      "汽车烤漆门板",</t>
        </is>
      </c>
    </row>
    <row r="1482">
      <c r="A1482" s="7" t="n">
        <v>1479</v>
      </c>
      <c r="B1482" s="8" t="inlineStr">
        <is>
          <t xml:space="preserve">      "沙色",</t>
        </is>
      </c>
    </row>
    <row r="1483">
      <c r="A1483" s="9" t="n">
        <v>1480</v>
      </c>
      <c r="B1483" s="10" t="inlineStr">
        <is>
          <t xml:space="preserve">      "法国蝶兰",</t>
        </is>
      </c>
    </row>
    <row r="1484">
      <c r="A1484" s="7" t="n">
        <v>1481</v>
      </c>
      <c r="B1484" s="8" t="inlineStr">
        <is>
          <t xml:space="preserve">      "法式中古",</t>
        </is>
      </c>
    </row>
    <row r="1485">
      <c r="A1485" s="9" t="n">
        <v>1482</v>
      </c>
      <c r="B1485" s="10" t="inlineStr">
        <is>
          <t xml:space="preserve">      "法式复古",</t>
        </is>
      </c>
    </row>
    <row r="1486">
      <c r="A1486" s="7" t="n">
        <v>1483</v>
      </c>
      <c r="B1486" s="8" t="inlineStr">
        <is>
          <t xml:space="preserve">      "法式风格",</t>
        </is>
      </c>
    </row>
    <row r="1487">
      <c r="A1487" s="9" t="n">
        <v>1484</v>
      </c>
      <c r="B1487" s="10" t="inlineStr">
        <is>
          <t xml:space="preserve">      "波斯灰",</t>
        </is>
      </c>
    </row>
    <row r="1488">
      <c r="A1488" s="7" t="n">
        <v>1485</v>
      </c>
      <c r="B1488" s="8" t="inlineStr">
        <is>
          <t xml:space="preserve">      "波纹管",</t>
        </is>
      </c>
    </row>
    <row r="1489">
      <c r="A1489" s="9" t="n">
        <v>1486</v>
      </c>
      <c r="B1489" s="10" t="inlineStr">
        <is>
          <t xml:space="preserve">      "洗碗机",</t>
        </is>
      </c>
    </row>
    <row r="1490">
      <c r="A1490" s="7" t="n">
        <v>1487</v>
      </c>
      <c r="B1490" s="8" t="inlineStr">
        <is>
          <t xml:space="preserve">      "洗碗机集成水槽",</t>
        </is>
      </c>
    </row>
    <row r="1491">
      <c r="A1491" s="9" t="n">
        <v>1488</v>
      </c>
      <c r="B1491" s="10" t="inlineStr">
        <is>
          <t xml:space="preserve">      "洗衣机地漏",</t>
        </is>
      </c>
    </row>
    <row r="1492">
      <c r="A1492" s="7" t="n">
        <v>1489</v>
      </c>
      <c r="B1492" s="8" t="inlineStr">
        <is>
          <t xml:space="preserve">      "洞石",</t>
        </is>
      </c>
    </row>
    <row r="1493">
      <c r="A1493" s="9" t="n">
        <v>1490</v>
      </c>
      <c r="B1493" s="10" t="inlineStr">
        <is>
          <t xml:space="preserve">      "活动层板",</t>
        </is>
      </c>
    </row>
    <row r="1494">
      <c r="A1494" s="7" t="n">
        <v>1491</v>
      </c>
      <c r="B1494" s="8" t="inlineStr">
        <is>
          <t xml:space="preserve">      "浅原木色",</t>
        </is>
      </c>
    </row>
    <row r="1495">
      <c r="A1495" s="9" t="n">
        <v>1492</v>
      </c>
      <c r="B1495" s="10" t="inlineStr">
        <is>
          <t xml:space="preserve">      "浅灰色岩板",</t>
        </is>
      </c>
    </row>
    <row r="1496">
      <c r="A1496" s="7" t="n">
        <v>1493</v>
      </c>
      <c r="B1496" s="8" t="inlineStr">
        <is>
          <t xml:space="preserve">      "海尔",</t>
        </is>
      </c>
    </row>
    <row r="1497">
      <c r="A1497" s="9" t="n">
        <v>1494</v>
      </c>
      <c r="B1497" s="10" t="inlineStr">
        <is>
          <t xml:space="preserve">      "海棠木色",</t>
        </is>
      </c>
    </row>
    <row r="1498">
      <c r="A1498" s="7" t="n">
        <v>1495</v>
      </c>
      <c r="B1498" s="8" t="inlineStr">
        <is>
          <t xml:space="preserve">      "海蒂诗",</t>
        </is>
      </c>
    </row>
    <row r="1499">
      <c r="A1499" s="9" t="n">
        <v>1496</v>
      </c>
      <c r="B1499" s="10" t="inlineStr">
        <is>
          <t xml:space="preserve">      "海蒂诗滑轨",</t>
        </is>
      </c>
    </row>
    <row r="1500">
      <c r="A1500" s="7" t="n">
        <v>1497</v>
      </c>
      <c r="B1500" s="8" t="inlineStr">
        <is>
          <t xml:space="preserve">      "海蒂诗铰链",</t>
        </is>
      </c>
    </row>
    <row r="1501">
      <c r="A1501" s="9" t="n">
        <v>1498</v>
      </c>
      <c r="B1501" s="10" t="inlineStr">
        <is>
          <t xml:space="preserve">      "海蒂诗骑马抽",</t>
        </is>
      </c>
    </row>
    <row r="1502">
      <c r="A1502" s="7" t="n">
        <v>1499</v>
      </c>
      <c r="B1502" s="8" t="inlineStr">
        <is>
          <t xml:space="preserve">      "消毒柜",</t>
        </is>
      </c>
    </row>
    <row r="1503">
      <c r="A1503" s="9" t="n">
        <v>1500</v>
      </c>
      <c r="B1503" s="10" t="inlineStr">
        <is>
          <t xml:space="preserve">      "液压支撑杆",</t>
        </is>
      </c>
    </row>
    <row r="1504">
      <c r="A1504" s="7" t="n">
        <v>1501</v>
      </c>
      <c r="B1504" s="8" t="inlineStr">
        <is>
          <t xml:space="preserve">      "液压气撑",</t>
        </is>
      </c>
    </row>
    <row r="1505">
      <c r="A1505" s="9" t="n">
        <v>1502</v>
      </c>
      <c r="B1505" s="10" t="inlineStr">
        <is>
          <t xml:space="preserve">      "液压闭门器",</t>
        </is>
      </c>
    </row>
    <row r="1506">
      <c r="A1506" s="7" t="n">
        <v>1503</v>
      </c>
      <c r="B1506" s="8" t="inlineStr">
        <is>
          <t xml:space="preserve">      "深原木色",</t>
        </is>
      </c>
    </row>
    <row r="1507">
      <c r="A1507" s="9" t="n">
        <v>1504</v>
      </c>
      <c r="B1507" s="10" t="inlineStr">
        <is>
          <t xml:space="preserve">      "深水封地漏",</t>
        </is>
      </c>
    </row>
    <row r="1508">
      <c r="A1508" s="7" t="n">
        <v>1505</v>
      </c>
      <c r="B1508" s="8" t="inlineStr">
        <is>
          <t xml:space="preserve">      "深灰色岩板",</t>
        </is>
      </c>
    </row>
    <row r="1509">
      <c r="A1509" s="9" t="n">
        <v>1506</v>
      </c>
      <c r="B1509" s="10" t="inlineStr">
        <is>
          <t xml:space="preserve">      "混凝土岛台",</t>
        </is>
      </c>
    </row>
    <row r="1510">
      <c r="A1510" s="7" t="n">
        <v>1507</v>
      </c>
      <c r="B1510" s="8" t="inlineStr">
        <is>
          <t xml:space="preserve">      "混搭轻奢风",</t>
        </is>
      </c>
    </row>
    <row r="1511">
      <c r="A1511" s="9" t="n">
        <v>1508</v>
      </c>
      <c r="B1511" s="10" t="inlineStr">
        <is>
          <t xml:space="preserve">      "混搭风格",</t>
        </is>
      </c>
    </row>
    <row r="1512">
      <c r="A1512" s="7" t="n">
        <v>1509</v>
      </c>
      <c r="B1512" s="8" t="inlineStr">
        <is>
          <t xml:space="preserve">      "港式轻奢",</t>
        </is>
      </c>
    </row>
    <row r="1513">
      <c r="A1513" s="9" t="n">
        <v>1510</v>
      </c>
      <c r="B1513" s="10" t="inlineStr">
        <is>
          <t xml:space="preserve">      "滑轨",</t>
        </is>
      </c>
    </row>
    <row r="1514">
      <c r="A1514" s="7" t="n">
        <v>1511</v>
      </c>
      <c r="B1514" s="8" t="inlineStr">
        <is>
          <t xml:space="preserve">      "滑轨卡顿",</t>
        </is>
      </c>
    </row>
    <row r="1515">
      <c r="A1515" s="9" t="n">
        <v>1512</v>
      </c>
      <c r="B1515" s="10" t="inlineStr">
        <is>
          <t xml:space="preserve">      "潘多拉",</t>
        </is>
      </c>
    </row>
    <row r="1516">
      <c r="A1516" s="7" t="n">
        <v>1513</v>
      </c>
      <c r="B1516" s="8" t="inlineStr">
        <is>
          <t xml:space="preserve">      "激光封边",</t>
        </is>
      </c>
    </row>
    <row r="1517">
      <c r="A1517" s="9" t="n">
        <v>1514</v>
      </c>
      <c r="B1517" s="10" t="inlineStr">
        <is>
          <t xml:space="preserve">      "火烧石台面",</t>
        </is>
      </c>
    </row>
    <row r="1518">
      <c r="A1518" s="7" t="n">
        <v>1515</v>
      </c>
      <c r="B1518" s="8" t="inlineStr">
        <is>
          <t xml:space="preserve">      "灰色",</t>
        </is>
      </c>
    </row>
    <row r="1519">
      <c r="A1519" s="9" t="n">
        <v>1516</v>
      </c>
      <c r="B1519" s="10" t="inlineStr">
        <is>
          <t xml:space="preserve">      "灰色岩板",</t>
        </is>
      </c>
    </row>
    <row r="1520">
      <c r="A1520" s="7" t="n">
        <v>1517</v>
      </c>
      <c r="B1520" s="8" t="inlineStr">
        <is>
          <t xml:space="preserve">      "炭灰色",</t>
        </is>
      </c>
    </row>
    <row r="1521">
      <c r="A1521" s="9" t="n">
        <v>1518</v>
      </c>
      <c r="B1521" s="10" t="inlineStr">
        <is>
          <t xml:space="preserve">      "烟雨江南",</t>
        </is>
      </c>
    </row>
    <row r="1522">
      <c r="A1522" s="7" t="n">
        <v>1519</v>
      </c>
      <c r="B1522" s="8" t="inlineStr">
        <is>
          <t xml:space="preserve">      "烧水壶",</t>
        </is>
      </c>
    </row>
    <row r="1523">
      <c r="A1523" s="9" t="n">
        <v>1520</v>
      </c>
      <c r="B1523" s="10" t="inlineStr">
        <is>
          <t xml:space="preserve">      "焦糖棕",</t>
        </is>
      </c>
    </row>
    <row r="1524">
      <c r="A1524" s="7" t="n">
        <v>1521</v>
      </c>
      <c r="B1524" s="8" t="inlineStr">
        <is>
          <t xml:space="preserve">      "燃气灶",</t>
        </is>
      </c>
    </row>
    <row r="1525">
      <c r="A1525" s="9" t="n">
        <v>1522</v>
      </c>
      <c r="B1525" s="10" t="inlineStr">
        <is>
          <t xml:space="preserve">      "爱马仕橙",</t>
        </is>
      </c>
    </row>
    <row r="1526">
      <c r="A1526" s="7" t="n">
        <v>1523</v>
      </c>
      <c r="B1526" s="8" t="inlineStr">
        <is>
          <t xml:space="preserve">      "爱马仕灰",</t>
        </is>
      </c>
    </row>
    <row r="1527">
      <c r="A1527" s="9" t="n">
        <v>1524</v>
      </c>
      <c r="B1527" s="10" t="inlineStr">
        <is>
          <t xml:space="preserve">      "玫瑰金",</t>
        </is>
      </c>
    </row>
    <row r="1528">
      <c r="A1528" s="7" t="n">
        <v>1525</v>
      </c>
      <c r="B1528" s="8" t="inlineStr">
        <is>
          <t xml:space="preserve">      "环保等级E0",</t>
        </is>
      </c>
    </row>
    <row r="1529">
      <c r="A1529" s="9" t="n">
        <v>1526</v>
      </c>
      <c r="B1529" s="10" t="inlineStr">
        <is>
          <t xml:space="preserve">      "环保等级E1",</t>
        </is>
      </c>
    </row>
    <row r="1530">
      <c r="A1530" s="7" t="n">
        <v>1527</v>
      </c>
      <c r="B1530" s="8" t="inlineStr">
        <is>
          <t xml:space="preserve">      "环保等级ENF",</t>
        </is>
      </c>
    </row>
    <row r="1531">
      <c r="A1531" s="9" t="n">
        <v>1528</v>
      </c>
      <c r="B1531" s="10" t="inlineStr">
        <is>
          <t xml:space="preserve">      "环氧自流平台面",</t>
        </is>
      </c>
    </row>
    <row r="1532">
      <c r="A1532" s="7" t="n">
        <v>1529</v>
      </c>
      <c r="B1532" s="8" t="inlineStr">
        <is>
          <t xml:space="preserve">      "现代传承风",</t>
        </is>
      </c>
    </row>
    <row r="1533">
      <c r="A1533" s="9" t="n">
        <v>1530</v>
      </c>
      <c r="B1533" s="10" t="inlineStr">
        <is>
          <t xml:space="preserve">      "现代侘寂风",</t>
        </is>
      </c>
    </row>
    <row r="1534">
      <c r="A1534" s="7" t="n">
        <v>1531</v>
      </c>
      <c r="B1534" s="8" t="inlineStr">
        <is>
          <t xml:space="preserve">      "现代欧式",</t>
        </is>
      </c>
    </row>
    <row r="1535">
      <c r="A1535" s="9" t="n">
        <v>1532</v>
      </c>
      <c r="B1535" s="10" t="inlineStr">
        <is>
          <t xml:space="preserve">      "现代美式",</t>
        </is>
      </c>
    </row>
    <row r="1536">
      <c r="A1536" s="7" t="n">
        <v>1533</v>
      </c>
      <c r="B1536" s="8" t="inlineStr">
        <is>
          <t xml:space="preserve">      "玻璃柜"</t>
        </is>
      </c>
    </row>
    <row r="1537">
      <c r="A1537" s="9" t="n">
        <v>1534</v>
      </c>
      <c r="B1537" s="10" t="inlineStr">
        <is>
          <t xml:space="preserve">    ],</t>
        </is>
      </c>
    </row>
    <row r="1538">
      <c r="A1538" s="7" t="n">
        <v>1535</v>
      </c>
      <c r="B1538" s="8" t="inlineStr">
        <is>
          <t xml:space="preserve">    "高频描述词": [</t>
        </is>
      </c>
    </row>
    <row r="1539">
      <c r="A1539" s="9" t="n">
        <v>1536</v>
      </c>
      <c r="B1539" s="10" t="inlineStr">
        <is>
          <t xml:space="preserve">      "严丝合缝",</t>
        </is>
      </c>
    </row>
    <row r="1540">
      <c r="A1540" s="7" t="n">
        <v>1537</v>
      </c>
      <c r="B1540" s="8" t="inlineStr">
        <is>
          <t xml:space="preserve">      "无拉手设计",</t>
        </is>
      </c>
    </row>
    <row r="1541">
      <c r="A1541" s="9" t="n">
        <v>1538</v>
      </c>
      <c r="B1541" s="10" t="inlineStr">
        <is>
          <t xml:space="preserve">      "一门到顶",</t>
        </is>
      </c>
    </row>
    <row r="1542">
      <c r="A1542" s="7" t="n">
        <v>1539</v>
      </c>
      <c r="B1542" s="8" t="inlineStr">
        <is>
          <t xml:space="preserve">      "顶天立地",</t>
        </is>
      </c>
    </row>
    <row r="1543">
      <c r="A1543" s="9" t="n">
        <v>1540</v>
      </c>
      <c r="B1543" s="10" t="inlineStr">
        <is>
          <t xml:space="preserve">      "零甲醛",</t>
        </is>
      </c>
    </row>
    <row r="1544">
      <c r="A1544" s="7" t="n">
        <v>1541</v>
      </c>
      <c r="B1544" s="8" t="inlineStr">
        <is>
          <t xml:space="preserve">      "ENF级",</t>
        </is>
      </c>
    </row>
    <row r="1545">
      <c r="A1545" s="9" t="n">
        <v>1542</v>
      </c>
      <c r="B1545" s="10" t="inlineStr">
        <is>
          <t xml:space="preserve">      "防潮防污",</t>
        </is>
      </c>
    </row>
    <row r="1546">
      <c r="A1546" s="7" t="n">
        <v>1543</v>
      </c>
      <c r="B1546" s="8" t="inlineStr">
        <is>
          <t xml:space="preserve">      "耐高温",</t>
        </is>
      </c>
    </row>
    <row r="1547">
      <c r="A1547" s="9" t="n">
        <v>1544</v>
      </c>
      <c r="B1547" s="10" t="inlineStr">
        <is>
          <t xml:space="preserve">      "防刮耐磨",</t>
        </is>
      </c>
    </row>
    <row r="1548">
      <c r="A1548" s="7" t="n">
        <v>1545</v>
      </c>
      <c r="B1548" s="8" t="inlineStr">
        <is>
          <t xml:space="preserve">      "易清洁",</t>
        </is>
      </c>
    </row>
    <row r="1549">
      <c r="A1549" s="9" t="n">
        <v>1546</v>
      </c>
      <c r="B1549" s="10" t="inlineStr">
        <is>
          <t xml:space="preserve">      "防水防油",</t>
        </is>
      </c>
    </row>
    <row r="1550">
      <c r="A1550" s="7" t="n">
        <v>1547</v>
      </c>
      <c r="B1550" s="8" t="inlineStr">
        <is>
          <t xml:space="preserve">      "超薄台面",</t>
        </is>
      </c>
    </row>
    <row r="1551">
      <c r="A1551" s="9" t="n">
        <v>1548</v>
      </c>
      <c r="B1551" s="10" t="inlineStr">
        <is>
          <t xml:space="preserve">      "加厚台面",</t>
        </is>
      </c>
    </row>
    <row r="1552">
      <c r="A1552" s="7" t="n">
        <v>1549</v>
      </c>
      <c r="B1552" s="8" t="inlineStr">
        <is>
          <t xml:space="preserve">      "整体展示",</t>
        </is>
      </c>
    </row>
    <row r="1553">
      <c r="A1553" s="9" t="n">
        <v>1550</v>
      </c>
      <c r="B1553" s="10" t="inlineStr">
        <is>
          <t xml:space="preserve">      "效果展示",</t>
        </is>
      </c>
    </row>
    <row r="1554">
      <c r="A1554" s="7" t="n">
        <v>1551</v>
      </c>
      <c r="B1554" s="8" t="inlineStr">
        <is>
          <t xml:space="preserve">      "产品案例",</t>
        </is>
      </c>
    </row>
    <row r="1555">
      <c r="A1555" s="9" t="n">
        <v>1552</v>
      </c>
      <c r="B1555" s="10" t="inlineStr">
        <is>
          <t xml:space="preserve">      "详细方案",</t>
        </is>
      </c>
    </row>
    <row r="1556">
      <c r="A1556" s="7" t="n">
        <v>1553</v>
      </c>
      <c r="B1556" s="8" t="inlineStr">
        <is>
          <t xml:space="preserve">      "岛台装修",</t>
        </is>
      </c>
    </row>
    <row r="1557">
      <c r="A1557" s="9" t="n">
        <v>1554</v>
      </c>
      <c r="B1557" s="10" t="inlineStr">
        <is>
          <t xml:space="preserve">      "厨房岛台",</t>
        </is>
      </c>
    </row>
    <row r="1558">
      <c r="A1558" s="7" t="n">
        <v>1555</v>
      </c>
      <c r="B1558" s="8" t="inlineStr">
        <is>
          <t xml:space="preserve">      "岛台设计",</t>
        </is>
      </c>
    </row>
    <row r="1559">
      <c r="A1559" s="9" t="n">
        <v>1556</v>
      </c>
      <c r="B1559" s="10" t="inlineStr">
        <is>
          <t xml:space="preserve">      "岛台定制",</t>
        </is>
      </c>
    </row>
    <row r="1560">
      <c r="A1560" s="7" t="n">
        <v>1557</v>
      </c>
      <c r="B1560" s="8" t="inlineStr">
        <is>
          <t xml:space="preserve">      "动线设计",</t>
        </is>
      </c>
    </row>
    <row r="1561">
      <c r="A1561" s="9" t="n">
        <v>1558</v>
      </c>
      <c r="B1561" s="10" t="inlineStr">
        <is>
          <t xml:space="preserve">      "收纳最大化",</t>
        </is>
      </c>
    </row>
    <row r="1562">
      <c r="A1562" s="7" t="n">
        <v>1559</v>
      </c>
      <c r="B1562" s="8" t="inlineStr">
        <is>
          <t xml:space="preserve">      "隐藏电线",</t>
        </is>
      </c>
    </row>
    <row r="1563">
      <c r="A1563" s="9" t="n">
        <v>1560</v>
      </c>
      <c r="B1563" s="10" t="inlineStr">
        <is>
          <t xml:space="preserve">      "无缝台面",</t>
        </is>
      </c>
    </row>
    <row r="1564">
      <c r="A1564" s="7" t="n">
        <v>1561</v>
      </c>
      <c r="B1564" s="8" t="inlineStr">
        <is>
          <t xml:space="preserve">      "整屋联动",</t>
        </is>
      </c>
    </row>
    <row r="1565">
      <c r="A1565" s="9" t="n">
        <v>1562</v>
      </c>
      <c r="B1565" s="10" t="inlineStr">
        <is>
          <t xml:space="preserve">      "可移动岛台",</t>
        </is>
      </c>
    </row>
    <row r="1566">
      <c r="A1566" s="7" t="n">
        <v>1563</v>
      </c>
      <c r="B1566" s="8" t="inlineStr">
        <is>
          <t xml:space="preserve">      "电器一体化",</t>
        </is>
      </c>
    </row>
    <row r="1567">
      <c r="A1567" s="9" t="n">
        <v>1564</v>
      </c>
      <c r="B1567" s="10" t="inlineStr">
        <is>
          <t xml:space="preserve">      "量身定制",</t>
        </is>
      </c>
    </row>
    <row r="1568">
      <c r="A1568" s="7" t="n">
        <v>1565</v>
      </c>
      <c r="B1568" s="8" t="inlineStr">
        <is>
          <t xml:space="preserve">      "全屋一体化"</t>
        </is>
      </c>
    </row>
    <row r="1569">
      <c r="A1569" s="9" t="n">
        <v>1566</v>
      </c>
      <c r="B1569" s="10" t="inlineStr">
        <is>
          <t xml:space="preserve">    ],</t>
        </is>
      </c>
    </row>
    <row r="1570">
      <c r="A1570" s="7" t="n">
        <v>1567</v>
      </c>
      <c r="B1570" s="8" t="inlineStr">
        <is>
          <t xml:space="preserve">    "感官词": [</t>
        </is>
      </c>
    </row>
    <row r="1571">
      <c r="A1571" s="9" t="n">
        <v>1568</v>
      </c>
      <c r="B1571" s="10" t="inlineStr">
        <is>
          <t xml:space="preserve">      "温润",</t>
        </is>
      </c>
    </row>
    <row r="1572">
      <c r="A1572" s="7" t="n">
        <v>1569</v>
      </c>
      <c r="B1572" s="8" t="inlineStr">
        <is>
          <t xml:space="preserve">      "细腻",</t>
        </is>
      </c>
    </row>
    <row r="1573">
      <c r="A1573" s="9" t="n">
        <v>1570</v>
      </c>
      <c r="B1573" s="10" t="inlineStr">
        <is>
          <t xml:space="preserve">      "哑光",</t>
        </is>
      </c>
    </row>
    <row r="1574">
      <c r="A1574" s="7" t="n">
        <v>1571</v>
      </c>
      <c r="B1574" s="8" t="inlineStr">
        <is>
          <t xml:space="preserve">      "通透",</t>
        </is>
      </c>
    </row>
    <row r="1575">
      <c r="A1575" s="9" t="n">
        <v>1572</v>
      </c>
      <c r="B1575" s="10" t="inlineStr">
        <is>
          <t xml:space="preserve">      "大气",</t>
        </is>
      </c>
    </row>
    <row r="1576">
      <c r="A1576" s="7" t="n">
        <v>1573</v>
      </c>
      <c r="B1576" s="8" t="inlineStr">
        <is>
          <t xml:space="preserve">      "沉稳",</t>
        </is>
      </c>
    </row>
    <row r="1577">
      <c r="A1577" s="9" t="n">
        <v>1574</v>
      </c>
      <c r="B1577" s="10" t="inlineStr">
        <is>
          <t xml:space="preserve">      "轻盈",</t>
        </is>
      </c>
    </row>
    <row r="1578">
      <c r="A1578" s="7" t="n">
        <v>1575</v>
      </c>
      <c r="B1578" s="8" t="inlineStr">
        <is>
          <t xml:space="preserve">      "硬朗",</t>
        </is>
      </c>
    </row>
    <row r="1579">
      <c r="A1579" s="9" t="n">
        <v>1576</v>
      </c>
      <c r="B1579" s="10" t="inlineStr">
        <is>
          <t xml:space="preserve">      "纯粹",</t>
        </is>
      </c>
    </row>
    <row r="1580">
      <c r="A1580" s="7" t="n">
        <v>1577</v>
      </c>
      <c r="B1580" s="8" t="inlineStr">
        <is>
          <t xml:space="preserve">      "耐看"</t>
        </is>
      </c>
    </row>
    <row r="1581">
      <c r="A1581" s="9" t="n">
        <v>1578</v>
      </c>
      <c r="B1581" s="10" t="inlineStr">
        <is>
          <t xml:space="preserve">    ],</t>
        </is>
      </c>
    </row>
    <row r="1582">
      <c r="A1582" s="7" t="n">
        <v>1579</v>
      </c>
      <c r="B1582" s="8" t="inlineStr">
        <is>
          <t xml:space="preserve">    "补充复合词": [</t>
        </is>
      </c>
    </row>
    <row r="1583">
      <c r="A1583" s="9" t="n">
        <v>1580</v>
      </c>
      <c r="B1583" s="10" t="inlineStr">
        <is>
          <t xml:space="preserve">      "轨道插座",</t>
        </is>
      </c>
    </row>
    <row r="1584">
      <c r="A1584" s="7" t="n">
        <v>1581</v>
      </c>
      <c r="B1584" s="8" t="inlineStr">
        <is>
          <t xml:space="preserve">      "公牛轨道",</t>
        </is>
      </c>
    </row>
    <row r="1585">
      <c r="A1585" s="9" t="n">
        <v>1582</v>
      </c>
      <c r="B1585" s="10" t="inlineStr">
        <is>
          <t xml:space="preserve">      "内嵌烤箱",</t>
        </is>
      </c>
    </row>
    <row r="1586">
      <c r="A1586" s="7" t="n">
        <v>1583</v>
      </c>
      <c r="B1586" s="8" t="inlineStr">
        <is>
          <t xml:space="preserve">      "集成烤箱",</t>
        </is>
      </c>
    </row>
    <row r="1587">
      <c r="A1587" s="9" t="n">
        <v>1584</v>
      </c>
      <c r="B1587" s="10" t="inlineStr">
        <is>
          <t xml:space="preserve">      "内嵌电烤箱",</t>
        </is>
      </c>
    </row>
    <row r="1588">
      <c r="A1588" s="7" t="n">
        <v>1585</v>
      </c>
      <c r="B1588" s="8" t="inlineStr">
        <is>
          <t xml:space="preserve">      "上层薄抽",</t>
        </is>
      </c>
    </row>
    <row r="1589">
      <c r="A1589" s="9" t="n">
        <v>1586</v>
      </c>
      <c r="B1589" s="10" t="inlineStr">
        <is>
          <t xml:space="preserve">      "下层抽屉",</t>
        </is>
      </c>
    </row>
    <row r="1590">
      <c r="A1590" s="7" t="n">
        <v>1587</v>
      </c>
      <c r="B1590" s="8" t="inlineStr">
        <is>
          <t xml:space="preserve">      "开放抽屉",</t>
        </is>
      </c>
    </row>
    <row r="1591">
      <c r="A1591" s="9" t="n">
        <v>1588</v>
      </c>
      <c r="B1591" s="10" t="inlineStr">
        <is>
          <t xml:space="preserve">      "对开间收纳",</t>
        </is>
      </c>
    </row>
    <row r="1592">
      <c r="A1592" s="7" t="n">
        <v>1589</v>
      </c>
      <c r="B1592" s="8" t="inlineStr">
        <is>
          <t xml:space="preserve">      "T型岩板腿",</t>
        </is>
      </c>
    </row>
    <row r="1593">
      <c r="A1593" s="9" t="n">
        <v>1590</v>
      </c>
      <c r="B1593" s="10" t="inlineStr">
        <is>
          <t xml:space="preserve">      "T型亚克力腿",</t>
        </is>
      </c>
    </row>
    <row r="1594">
      <c r="A1594" s="7" t="n">
        <v>1591</v>
      </c>
      <c r="B1594" s="8" t="inlineStr">
        <is>
          <t xml:space="preserve">      "一字型岩板腿",</t>
        </is>
      </c>
    </row>
    <row r="1595">
      <c r="A1595" s="9" t="n">
        <v>1592</v>
      </c>
      <c r="B1595" s="10" t="inlineStr">
        <is>
          <t xml:space="preserve">      "水波纹亚克力腿",</t>
        </is>
      </c>
    </row>
    <row r="1596">
      <c r="A1596" s="7" t="n">
        <v>1593</v>
      </c>
      <c r="B1596" s="8" t="inlineStr">
        <is>
          <t xml:space="preserve">      "渐变亚克力腿",</t>
        </is>
      </c>
    </row>
    <row r="1597">
      <c r="A1597" s="9" t="n">
        <v>1594</v>
      </c>
      <c r="B1597" s="10" t="inlineStr">
        <is>
          <t xml:space="preserve">      "亚克力伸缩腿",</t>
        </is>
      </c>
    </row>
    <row r="1598">
      <c r="A1598" s="7" t="n">
        <v>1595</v>
      </c>
      <c r="B1598" s="8" t="inlineStr">
        <is>
          <t xml:space="preserve">      "海棠角",</t>
        </is>
      </c>
    </row>
    <row r="1599">
      <c r="A1599" s="9" t="n">
        <v>1596</v>
      </c>
      <c r="B1599" s="10" t="inlineStr">
        <is>
          <t xml:space="preserve">      "拉篮",</t>
        </is>
      </c>
    </row>
    <row r="1600">
      <c r="A1600" s="7" t="n">
        <v>1597</v>
      </c>
      <c r="B1600" s="8" t="inlineStr">
        <is>
          <t xml:space="preserve">      "连纹",</t>
        </is>
      </c>
    </row>
    <row r="1601">
      <c r="A1601" s="9" t="n">
        <v>1598</v>
      </c>
      <c r="B1601" s="10" t="inlineStr">
        <is>
          <t xml:space="preserve">      "伸缩功能",</t>
        </is>
      </c>
    </row>
    <row r="1602">
      <c r="A1602" s="7" t="n">
        <v>1599</v>
      </c>
      <c r="B1602" s="8" t="inlineStr">
        <is>
          <t xml:space="preserve">      "旋转",</t>
        </is>
      </c>
    </row>
    <row r="1603">
      <c r="A1603" s="9" t="n">
        <v>1600</v>
      </c>
      <c r="B1603" s="10" t="inlineStr">
        <is>
          <t xml:space="preserve">      "钢结构",</t>
        </is>
      </c>
    </row>
    <row r="1604">
      <c r="A1604" s="7" t="n">
        <v>1601</v>
      </c>
      <c r="B1604" s="8" t="inlineStr">
        <is>
          <t xml:space="preserve">      "岩板台面耐造",</t>
        </is>
      </c>
    </row>
    <row r="1605">
      <c r="A1605" s="9" t="n">
        <v>1602</v>
      </c>
      <c r="B1605" s="10" t="inlineStr">
        <is>
          <t xml:space="preserve">      "岩板内嵌设计",</t>
        </is>
      </c>
    </row>
    <row r="1606">
      <c r="A1606" s="7" t="n">
        <v>1603</v>
      </c>
      <c r="B1606" s="8" t="inlineStr">
        <is>
          <t xml:space="preserve">      "岩板折边工艺",</t>
        </is>
      </c>
    </row>
    <row r="1607">
      <c r="A1607" s="9" t="n">
        <v>1604</v>
      </c>
      <c r="B1607" s="10" t="inlineStr">
        <is>
          <t xml:space="preserve">      "水磨边设计",</t>
        </is>
      </c>
    </row>
    <row r="1608">
      <c r="A1608" s="7" t="n">
        <v>1605</v>
      </c>
      <c r="B1608" s="8" t="inlineStr">
        <is>
          <t xml:space="preserve">      "圆弧设计",</t>
        </is>
      </c>
    </row>
    <row r="1609">
      <c r="A1609" s="9" t="n">
        <v>1606</v>
      </c>
      <c r="B1609" s="10" t="inlineStr">
        <is>
          <t xml:space="preserve">      "镂空腰线设计",</t>
        </is>
      </c>
    </row>
    <row r="1610">
      <c r="A1610" s="7" t="n">
        <v>1607</v>
      </c>
      <c r="B1610" s="8" t="inlineStr">
        <is>
          <t xml:space="preserve">      "材质细节展示",</t>
        </is>
      </c>
    </row>
    <row r="1611">
      <c r="A1611" s="9" t="n">
        <v>1608</v>
      </c>
      <c r="B1611" s="10" t="inlineStr">
        <is>
          <t xml:space="preserve">      "单面柜储物",</t>
        </is>
      </c>
    </row>
    <row r="1612">
      <c r="A1612" s="7" t="n">
        <v>1609</v>
      </c>
      <c r="B1612" s="8" t="inlineStr">
        <is>
          <t xml:space="preserve">      "内嵌电磁炉",</t>
        </is>
      </c>
    </row>
    <row r="1613">
      <c r="A1613" s="9" t="n">
        <v>1610</v>
      </c>
      <c r="B1613" s="10" t="inlineStr">
        <is>
          <t xml:space="preserve">      "内嵌酒柜",</t>
        </is>
      </c>
    </row>
    <row r="1614">
      <c r="A1614" s="7" t="n">
        <v>1611</v>
      </c>
      <c r="B1614" s="8" t="inlineStr">
        <is>
          <t xml:space="preserve">      "内嵌水槽",</t>
        </is>
      </c>
    </row>
    <row r="1615">
      <c r="A1615" s="9" t="n">
        <v>1612</v>
      </c>
      <c r="B1615" s="10" t="inlineStr">
        <is>
          <t xml:space="preserve">      "内嵌冰箱",</t>
        </is>
      </c>
    </row>
    <row r="1616">
      <c r="A1616" s="7" t="n">
        <v>1613</v>
      </c>
      <c r="B1616" s="8" t="inlineStr">
        <is>
          <t xml:space="preserve">      "煮茶器",</t>
        </is>
      </c>
    </row>
    <row r="1617">
      <c r="A1617" s="9" t="n">
        <v>1614</v>
      </c>
      <c r="B1617" s="10" t="inlineStr">
        <is>
          <t xml:space="preserve">      "灯带",</t>
        </is>
      </c>
    </row>
    <row r="1618">
      <c r="A1618" s="7" t="n">
        <v>1615</v>
      </c>
      <c r="B1618" s="8" t="inlineStr">
        <is>
          <t xml:space="preserve">      "吧台空间",</t>
        </is>
      </c>
    </row>
    <row r="1619">
      <c r="A1619" s="9" t="n">
        <v>1616</v>
      </c>
      <c r="B1619" s="10" t="inlineStr">
        <is>
          <t xml:space="preserve">      "户外岛台烤炉",</t>
        </is>
      </c>
    </row>
    <row r="1620">
      <c r="A1620" s="7" t="n">
        <v>1617</v>
      </c>
      <c r="B1620" s="8" t="inlineStr">
        <is>
          <t xml:space="preserve">      "岩板台面",</t>
        </is>
      </c>
    </row>
    <row r="1621">
      <c r="A1621" s="9" t="n">
        <v>1618</v>
      </c>
      <c r="B1621" s="10" t="inlineStr">
        <is>
          <t xml:space="preserve">      "伸缩餐桌",</t>
        </is>
      </c>
    </row>
    <row r="1622">
      <c r="A1622" s="7" t="n">
        <v>1619</v>
      </c>
      <c r="B1622" s="8" t="inlineStr">
        <is>
          <t xml:space="preserve">      "薄抽滑轨"</t>
        </is>
      </c>
    </row>
    <row r="1623">
      <c r="A1623" s="9" t="n">
        <v>1620</v>
      </c>
      <c r="B1623" s="10" t="inlineStr">
        <is>
          <t xml:space="preserve">    ],</t>
        </is>
      </c>
    </row>
    <row r="1624">
      <c r="A1624" s="7" t="n">
        <v>1621</v>
      </c>
      <c r="B1624" s="8" t="inlineStr">
        <is>
          <t xml:space="preserve">    "品牌专有词": [</t>
        </is>
      </c>
    </row>
    <row r="1625">
      <c r="A1625" s="9" t="n">
        <v>1622</v>
      </c>
      <c r="B1625" s="10" t="inlineStr">
        <is>
          <t xml:space="preserve">      "玫瑰金",</t>
        </is>
      </c>
    </row>
    <row r="1626">
      <c r="A1626" s="7" t="n">
        <v>1623</v>
      </c>
      <c r="B1626" s="8" t="inlineStr">
        <is>
          <t xml:space="preserve">      "红酒架",</t>
        </is>
      </c>
    </row>
    <row r="1627">
      <c r="A1627" s="9" t="n">
        <v>1624</v>
      </c>
      <c r="B1627" s="10" t="inlineStr">
        <is>
          <t xml:space="preserve">      "备餐柜",</t>
        </is>
      </c>
    </row>
    <row r="1628">
      <c r="A1628" s="7" t="n">
        <v>1625</v>
      </c>
      <c r="B1628" s="8" t="inlineStr">
        <is>
          <t xml:space="preserve">      "古铜色",</t>
        </is>
      </c>
    </row>
    <row r="1629">
      <c r="A1629" s="9" t="n">
        <v>1626</v>
      </c>
      <c r="B1629" s="10" t="inlineStr">
        <is>
          <t xml:space="preserve">      "运输费",</t>
        </is>
      </c>
    </row>
    <row r="1630">
      <c r="A1630" s="7" t="n">
        <v>1627</v>
      </c>
      <c r="B1630" s="8" t="inlineStr">
        <is>
          <t xml:space="preserve">      "奶油风",</t>
        </is>
      </c>
    </row>
    <row r="1631">
      <c r="A1631" s="9" t="n">
        <v>1628</v>
      </c>
      <c r="B1631" s="10" t="inlineStr">
        <is>
          <t xml:space="preserve">      "三角阀",</t>
        </is>
      </c>
    </row>
    <row r="1632">
      <c r="A1632" s="7" t="n">
        <v>1629</v>
      </c>
      <c r="B1632" s="8" t="inlineStr">
        <is>
          <t xml:space="preserve">      "潘多拉",</t>
        </is>
      </c>
    </row>
    <row r="1633">
      <c r="A1633" s="9" t="n">
        <v>1630</v>
      </c>
      <c r="B1633" s="10" t="inlineStr">
        <is>
          <t xml:space="preserve">      "度假风",</t>
        </is>
      </c>
    </row>
    <row r="1634">
      <c r="A1634" s="7" t="n">
        <v>1631</v>
      </c>
      <c r="B1634" s="8" t="inlineStr">
        <is>
          <t xml:space="preserve">      "欧神诺",</t>
        </is>
      </c>
    </row>
    <row r="1635">
      <c r="A1635" s="9" t="n">
        <v>1632</v>
      </c>
      <c r="B1635" s="10" t="inlineStr">
        <is>
          <t xml:space="preserve">      "波纹管",</t>
        </is>
      </c>
    </row>
    <row r="1636">
      <c r="A1636" s="7" t="n">
        <v>1633</v>
      </c>
      <c r="B1636" s="8" t="inlineStr">
        <is>
          <t xml:space="preserve">      "高级灰",</t>
        </is>
      </c>
    </row>
    <row r="1637">
      <c r="A1637" s="9" t="n">
        <v>1634</v>
      </c>
      <c r="B1637" s="10" t="inlineStr">
        <is>
          <t xml:space="preserve">      "诗连达",</t>
        </is>
      </c>
    </row>
    <row r="1638">
      <c r="A1638" s="7" t="n">
        <v>1635</v>
      </c>
      <c r="B1638" s="8" t="inlineStr">
        <is>
          <t xml:space="preserve">      "鱼肚金",</t>
        </is>
      </c>
    </row>
    <row r="1639">
      <c r="A1639" s="9" t="n">
        <v>1636</v>
      </c>
      <c r="B1639" s="10" t="inlineStr">
        <is>
          <t xml:space="preserve">      "黑檀色",</t>
        </is>
      </c>
    </row>
    <row r="1640">
      <c r="A1640" s="7" t="n">
        <v>1637</v>
      </c>
      <c r="B1640" s="8" t="inlineStr">
        <is>
          <t xml:space="preserve">      "古铜金",</t>
        </is>
      </c>
    </row>
    <row r="1641">
      <c r="A1641" s="9" t="n">
        <v>1638</v>
      </c>
      <c r="B1641" s="10" t="inlineStr">
        <is>
          <t xml:space="preserve">      "雕刻白",</t>
        </is>
      </c>
    </row>
    <row r="1642">
      <c r="A1642" s="7" t="n">
        <v>1639</v>
      </c>
      <c r="B1642" s="8" t="inlineStr">
        <is>
          <t xml:space="preserve">      "软糖风",</t>
        </is>
      </c>
    </row>
    <row r="1643">
      <c r="A1643" s="9" t="n">
        <v>1640</v>
      </c>
      <c r="B1643" s="10" t="inlineStr">
        <is>
          <t xml:space="preserve">      "餐边柜",</t>
        </is>
      </c>
    </row>
    <row r="1644">
      <c r="A1644" s="7" t="n">
        <v>1641</v>
      </c>
      <c r="B1644" s="8" t="inlineStr">
        <is>
          <t xml:space="preserve">      "大花白",</t>
        </is>
      </c>
    </row>
    <row r="1645">
      <c r="A1645" s="9" t="n">
        <v>1642</v>
      </c>
      <c r="B1645" s="10" t="inlineStr">
        <is>
          <t xml:space="preserve">      "禾香板",</t>
        </is>
      </c>
    </row>
    <row r="1646">
      <c r="A1646" s="7" t="n">
        <v>1643</v>
      </c>
      <c r="B1646" s="8" t="inlineStr">
        <is>
          <t xml:space="preserve">      "微水泥",</t>
        </is>
      </c>
    </row>
    <row r="1647">
      <c r="A1647" s="9" t="n">
        <v>1644</v>
      </c>
      <c r="B1647" s="10" t="inlineStr">
        <is>
          <t xml:space="preserve">      "材料费",</t>
        </is>
      </c>
    </row>
    <row r="1648">
      <c r="A1648" s="7" t="n">
        <v>1645</v>
      </c>
      <c r="B1648" s="8" t="inlineStr">
        <is>
          <t xml:space="preserve">      "新中式",</t>
        </is>
      </c>
    </row>
    <row r="1649">
      <c r="A1649" s="9" t="n">
        <v>1646</v>
      </c>
      <c r="B1649" s="10" t="inlineStr">
        <is>
          <t xml:space="preserve">      "炭灰色",</t>
        </is>
      </c>
    </row>
    <row r="1650">
      <c r="A1650" s="7" t="n">
        <v>1647</v>
      </c>
      <c r="B1650" s="8" t="inlineStr">
        <is>
          <t xml:space="preserve">      "电火锅",</t>
        </is>
      </c>
    </row>
    <row r="1651">
      <c r="A1651" s="9" t="n">
        <v>1648</v>
      </c>
      <c r="B1651" s="10" t="inlineStr">
        <is>
          <t xml:space="preserve">      "云纱白",</t>
        </is>
      </c>
    </row>
    <row r="1652">
      <c r="A1652" s="7" t="n">
        <v>1649</v>
      </c>
      <c r="B1652" s="8" t="inlineStr">
        <is>
          <t xml:space="preserve">      "红酒柜",</t>
        </is>
      </c>
    </row>
    <row r="1653">
      <c r="A1653" s="9" t="n">
        <v>1650</v>
      </c>
      <c r="B1653" s="10" t="inlineStr">
        <is>
          <t xml:space="preserve">      "大单槽",</t>
        </is>
      </c>
    </row>
    <row r="1654">
      <c r="A1654" s="7" t="n">
        <v>1651</v>
      </c>
      <c r="B1654" s="8" t="inlineStr">
        <is>
          <t xml:space="preserve">      "生态板",</t>
        </is>
      </c>
    </row>
    <row r="1655">
      <c r="A1655" s="9" t="n">
        <v>1652</v>
      </c>
      <c r="B1655" s="10" t="inlineStr">
        <is>
          <t xml:space="preserve">      "墨绿色",</t>
        </is>
      </c>
    </row>
    <row r="1656">
      <c r="A1656" s="7" t="n">
        <v>1653</v>
      </c>
      <c r="B1656" s="8" t="inlineStr">
        <is>
          <t xml:space="preserve">      "奶白色",</t>
        </is>
      </c>
    </row>
    <row r="1657">
      <c r="A1657" s="9" t="n">
        <v>1654</v>
      </c>
      <c r="B1657" s="10" t="inlineStr">
        <is>
          <t xml:space="preserve">      "封闭柜",</t>
        </is>
      </c>
    </row>
    <row r="1658">
      <c r="A1658" s="7" t="n">
        <v>1655</v>
      </c>
      <c r="B1658" s="8" t="inlineStr">
        <is>
          <t xml:space="preserve">      "森系风",</t>
        </is>
      </c>
    </row>
    <row r="1659">
      <c r="A1659" s="9" t="n">
        <v>1656</v>
      </c>
      <c r="B1659" s="10" t="inlineStr">
        <is>
          <t xml:space="preserve">      "鱼肚白",</t>
        </is>
      </c>
    </row>
    <row r="1660">
      <c r="A1660" s="7" t="n">
        <v>1657</v>
      </c>
      <c r="B1660" s="8" t="inlineStr">
        <is>
          <t xml:space="preserve">      "翡翠绿",</t>
        </is>
      </c>
    </row>
    <row r="1661">
      <c r="A1661" s="9" t="n">
        <v>1658</v>
      </c>
      <c r="B1661" s="10" t="inlineStr">
        <is>
          <t xml:space="preserve">      "侘寂风",</t>
        </is>
      </c>
    </row>
    <row r="1662">
      <c r="A1662" s="7" t="n">
        <v>1659</v>
      </c>
      <c r="B1662" s="8" t="inlineStr">
        <is>
          <t xml:space="preserve">      "一体盆",</t>
        </is>
      </c>
    </row>
    <row r="1663">
      <c r="A1663" s="9" t="n">
        <v>1660</v>
      </c>
      <c r="B1663" s="10" t="inlineStr">
        <is>
          <t xml:space="preserve">      "大将军",</t>
        </is>
      </c>
    </row>
    <row r="1664">
      <c r="A1664" s="7" t="n">
        <v>1661</v>
      </c>
      <c r="B1664" s="8" t="inlineStr">
        <is>
          <t xml:space="preserve">      "电饭煲",</t>
        </is>
      </c>
    </row>
    <row r="1665">
      <c r="A1665" s="9" t="n">
        <v>1662</v>
      </c>
      <c r="B1665" s="10" t="inlineStr">
        <is>
          <t xml:space="preserve">      "红木色",</t>
        </is>
      </c>
    </row>
    <row r="1666">
      <c r="A1666" s="7" t="n">
        <v>1663</v>
      </c>
      <c r="B1666" s="8" t="inlineStr">
        <is>
          <t xml:space="preserve">      "骑马抽",</t>
        </is>
      </c>
    </row>
    <row r="1667">
      <c r="A1667" s="9" t="n">
        <v>1664</v>
      </c>
      <c r="B1667" s="10" t="inlineStr">
        <is>
          <t xml:space="preserve">      "餐具架",</t>
        </is>
      </c>
    </row>
    <row r="1668">
      <c r="A1668" s="7" t="n">
        <v>1665</v>
      </c>
      <c r="B1668" s="8" t="inlineStr">
        <is>
          <t xml:space="preserve">      "汝窑色",</t>
        </is>
      </c>
    </row>
    <row r="1669">
      <c r="A1669" s="9" t="n">
        <v>1666</v>
      </c>
      <c r="B1669" s="10" t="inlineStr">
        <is>
          <t xml:space="preserve">      "缓冲器",</t>
        </is>
      </c>
    </row>
    <row r="1670">
      <c r="A1670" s="7" t="n">
        <v>1667</v>
      </c>
      <c r="B1670" s="8" t="inlineStr">
        <is>
          <t xml:space="preserve">      "直饮机",</t>
        </is>
      </c>
    </row>
    <row r="1671">
      <c r="A1671" s="9" t="n">
        <v>1668</v>
      </c>
      <c r="B1671" s="10" t="inlineStr">
        <is>
          <t xml:space="preserve">      "冰川白",</t>
        </is>
      </c>
    </row>
    <row r="1672">
      <c r="A1672" s="7" t="n">
        <v>1669</v>
      </c>
      <c r="B1672" s="8" t="inlineStr">
        <is>
          <t xml:space="preserve">      "托底抽",</t>
        </is>
      </c>
    </row>
    <row r="1673">
      <c r="A1673" s="9" t="n">
        <v>1670</v>
      </c>
      <c r="B1673" s="10" t="inlineStr">
        <is>
          <t xml:space="preserve">      "芬迪白",</t>
        </is>
      </c>
    </row>
    <row r="1674">
      <c r="A1674" s="7" t="n">
        <v>1671</v>
      </c>
      <c r="B1674" s="8" t="inlineStr">
        <is>
          <t xml:space="preserve">      "亚克力",</t>
        </is>
      </c>
    </row>
    <row r="1675">
      <c r="A1675" s="9" t="n">
        <v>1672</v>
      </c>
      <c r="B1675" s="10" t="inlineStr">
        <is>
          <t xml:space="preserve">      "蓝金沙",</t>
        </is>
      </c>
    </row>
    <row r="1676">
      <c r="A1676" s="7" t="n">
        <v>1673</v>
      </c>
      <c r="B1676" s="8" t="inlineStr">
        <is>
          <t xml:space="preserve">      "防火板",</t>
        </is>
      </c>
    </row>
    <row r="1677">
      <c r="A1677" s="9" t="n">
        <v>1674</v>
      </c>
      <c r="B1677" s="10" t="inlineStr">
        <is>
          <t xml:space="preserve">      "盐系风",</t>
        </is>
      </c>
    </row>
    <row r="1678">
      <c r="A1678" s="7" t="n">
        <v>1675</v>
      </c>
      <c r="B1678" s="8" t="inlineStr">
        <is>
          <t xml:space="preserve">      "吐司机",</t>
        </is>
      </c>
    </row>
    <row r="1679">
      <c r="A1679" s="9" t="n">
        <v>1676</v>
      </c>
      <c r="B1679" s="10" t="inlineStr">
        <is>
          <t xml:space="preserve">      "海蒂诗",</t>
        </is>
      </c>
    </row>
    <row r="1680">
      <c r="A1680" s="7" t="n">
        <v>1677</v>
      </c>
      <c r="B1680" s="8" t="inlineStr">
        <is>
          <t xml:space="preserve">      "吸塑板",</t>
        </is>
      </c>
    </row>
    <row r="1681">
      <c r="A1681" s="9" t="n">
        <v>1678</v>
      </c>
      <c r="B1681" s="10" t="inlineStr">
        <is>
          <t xml:space="preserve">      "玻璃柜",</t>
        </is>
      </c>
    </row>
    <row r="1682">
      <c r="A1682" s="7" t="n">
        <v>1679</v>
      </c>
      <c r="B1682" s="8" t="inlineStr">
        <is>
          <t xml:space="preserve">      "下水管",</t>
        </is>
      </c>
    </row>
    <row r="1683">
      <c r="A1683" s="9" t="n">
        <v>1680</v>
      </c>
      <c r="B1683" s="10" t="inlineStr">
        <is>
          <t xml:space="preserve">      "储物柜",</t>
        </is>
      </c>
    </row>
    <row r="1684">
      <c r="A1684" s="7" t="n">
        <v>1681</v>
      </c>
      <c r="B1684" s="8" t="inlineStr">
        <is>
          <t xml:space="preserve">      "餐盘架",</t>
        </is>
      </c>
    </row>
    <row r="1685">
      <c r="A1685" s="9" t="n">
        <v>1682</v>
      </c>
      <c r="B1685" s="10" t="inlineStr">
        <is>
          <t xml:space="preserve">      "料理机",</t>
        </is>
      </c>
    </row>
    <row r="1686">
      <c r="A1686" s="7" t="n">
        <v>1683</v>
      </c>
      <c r="B1686" s="8" t="inlineStr">
        <is>
          <t xml:space="preserve">      "象牙白",</t>
        </is>
      </c>
    </row>
    <row r="1687">
      <c r="A1687" s="9" t="n">
        <v>1684</v>
      </c>
      <c r="B1687" s="10" t="inlineStr">
        <is>
          <t xml:space="preserve">      "可丽耐",</t>
        </is>
      </c>
    </row>
    <row r="1688">
      <c r="A1688" s="7" t="n">
        <v>1685</v>
      </c>
      <c r="B1688" s="8" t="inlineStr">
        <is>
          <t xml:space="preserve">      "石英石",</t>
        </is>
      </c>
    </row>
    <row r="1689">
      <c r="A1689" s="9" t="n">
        <v>1686</v>
      </c>
      <c r="B1689" s="10" t="inlineStr">
        <is>
          <t xml:space="preserve">      "千山粉",</t>
        </is>
      </c>
    </row>
    <row r="1690">
      <c r="A1690" s="7" t="n">
        <v>1687</v>
      </c>
      <c r="B1690" s="8" t="inlineStr">
        <is>
          <t xml:space="preserve">      "榨汁机",</t>
        </is>
      </c>
    </row>
    <row r="1691">
      <c r="A1691" s="9" t="n">
        <v>1688</v>
      </c>
      <c r="B1691" s="10" t="inlineStr">
        <is>
          <t xml:space="preserve">      "西门子",</t>
        </is>
      </c>
    </row>
    <row r="1692">
      <c r="A1692" s="7" t="n">
        <v>1689</v>
      </c>
      <c r="B1692" s="8" t="inlineStr">
        <is>
          <t xml:space="preserve">      "置物架",</t>
        </is>
      </c>
    </row>
    <row r="1693">
      <c r="A1693" s="9" t="n">
        <v>1690</v>
      </c>
      <c r="B1693" s="10" t="inlineStr">
        <is>
          <t xml:space="preserve">      "托底轨",</t>
        </is>
      </c>
    </row>
    <row r="1694">
      <c r="A1694" s="7" t="n">
        <v>1691</v>
      </c>
      <c r="B1694" s="8" t="inlineStr">
        <is>
          <t xml:space="preserve">      "不锈钢",</t>
        </is>
      </c>
    </row>
    <row r="1695">
      <c r="A1695" s="9" t="n">
        <v>1692</v>
      </c>
      <c r="B1695" s="10" t="inlineStr">
        <is>
          <t xml:space="preserve">      "德利丰",</t>
        </is>
      </c>
    </row>
    <row r="1696">
      <c r="A1696" s="7" t="n">
        <v>1693</v>
      </c>
      <c r="B1696" s="8" t="inlineStr">
        <is>
          <t xml:space="preserve">      "松木色",</t>
        </is>
      </c>
    </row>
    <row r="1697">
      <c r="A1697" s="9" t="n">
        <v>1694</v>
      </c>
      <c r="B1697" s="10" t="inlineStr">
        <is>
          <t xml:space="preserve">      "冰岛白",</t>
        </is>
      </c>
    </row>
    <row r="1698">
      <c r="A1698" s="7" t="n">
        <v>1695</v>
      </c>
      <c r="B1698" s="8" t="inlineStr">
        <is>
          <t xml:space="preserve">      "咖啡色",</t>
        </is>
      </c>
    </row>
    <row r="1699">
      <c r="A1699" s="9" t="n">
        <v>1696</v>
      </c>
      <c r="B1699" s="10" t="inlineStr">
        <is>
          <t xml:space="preserve">      "树脂板",</t>
        </is>
      </c>
    </row>
    <row r="1700">
      <c r="A1700" s="7" t="n">
        <v>1697</v>
      </c>
      <c r="B1700" s="8" t="inlineStr">
        <is>
          <t xml:space="preserve">      "南洋风",</t>
        </is>
      </c>
    </row>
    <row r="1701">
      <c r="A1701" s="9" t="n">
        <v>1698</v>
      </c>
      <c r="B1701" s="10" t="inlineStr">
        <is>
          <t xml:space="preserve">      "密码锁",</t>
        </is>
      </c>
    </row>
    <row r="1702">
      <c r="A1702" s="7" t="n">
        <v>1699</v>
      </c>
      <c r="B1702" s="8" t="inlineStr">
        <is>
          <t xml:space="preserve">      "榉木色",</t>
        </is>
      </c>
    </row>
    <row r="1703">
      <c r="A1703" s="9" t="n">
        <v>1700</v>
      </c>
      <c r="B1703" s="10" t="inlineStr">
        <is>
          <t xml:space="preserve">      "下水器",</t>
        </is>
      </c>
    </row>
    <row r="1704">
      <c r="A1704" s="7" t="n">
        <v>1701</v>
      </c>
      <c r="B1704" s="8" t="inlineStr">
        <is>
          <t xml:space="preserve">      "颗粒板",</t>
        </is>
      </c>
    </row>
    <row r="1705">
      <c r="A1705" s="9" t="n">
        <v>1702</v>
      </c>
      <c r="B1705" s="10" t="inlineStr">
        <is>
          <t xml:space="preserve">      "养生壶",</t>
        </is>
      </c>
    </row>
    <row r="1706">
      <c r="A1706" s="7" t="n">
        <v>1703</v>
      </c>
      <c r="B1706" s="8" t="inlineStr">
        <is>
          <t xml:space="preserve">      "闭门器",</t>
        </is>
      </c>
    </row>
    <row r="1707">
      <c r="A1707" s="9" t="n">
        <v>1704</v>
      </c>
      <c r="B1707" s="10" t="inlineStr">
        <is>
          <t xml:space="preserve">      "好莱客",</t>
        </is>
      </c>
    </row>
    <row r="1708">
      <c r="A1708" s="7" t="n">
        <v>1705</v>
      </c>
      <c r="B1708" s="8" t="inlineStr">
        <is>
          <t xml:space="preserve">      "祖母绿",</t>
        </is>
      </c>
    </row>
    <row r="1709">
      <c r="A1709" s="9" t="n">
        <v>1706</v>
      </c>
      <c r="B1709" s="10" t="inlineStr">
        <is>
          <t xml:space="preserve">      "象牙灰",</t>
        </is>
      </c>
    </row>
    <row r="1710">
      <c r="A1710" s="7" t="n">
        <v>1707</v>
      </c>
      <c r="B1710" s="8" t="inlineStr">
        <is>
          <t xml:space="preserve">      "台上盆",</t>
        </is>
      </c>
    </row>
    <row r="1711">
      <c r="A1711" s="9" t="n">
        <v>1708</v>
      </c>
      <c r="B1711" s="10" t="inlineStr">
        <is>
          <t xml:space="preserve">      "德赛斯",</t>
        </is>
      </c>
    </row>
    <row r="1712">
      <c r="A1712" s="7" t="n">
        <v>1709</v>
      </c>
      <c r="B1712" s="8" t="inlineStr">
        <is>
          <t xml:space="preserve">      "菱花白",</t>
        </is>
      </c>
    </row>
    <row r="1713">
      <c r="A1713" s="9" t="n">
        <v>1710</v>
      </c>
      <c r="B1713" s="10" t="inlineStr">
        <is>
          <t xml:space="preserve">      "古驰灰",</t>
        </is>
      </c>
    </row>
    <row r="1714">
      <c r="A1714" s="7" t="n">
        <v>1711</v>
      </c>
      <c r="B1714" s="8" t="inlineStr">
        <is>
          <t xml:space="preserve">      "气压杆",</t>
        </is>
      </c>
    </row>
    <row r="1715">
      <c r="A1715" s="9" t="n">
        <v>1712</v>
      </c>
      <c r="B1715" s="10" t="inlineStr">
        <is>
          <t xml:space="preserve">      "烧水壶",</t>
        </is>
      </c>
    </row>
    <row r="1716">
      <c r="A1716" s="7" t="n">
        <v>1713</v>
      </c>
      <c r="B1716" s="8" t="inlineStr">
        <is>
          <t xml:space="preserve">      "中岛台",</t>
        </is>
      </c>
    </row>
    <row r="1717">
      <c r="A1717" s="9" t="n">
        <v>1714</v>
      </c>
      <c r="B1717" s="10" t="inlineStr">
        <is>
          <t xml:space="preserve">      "加工费",</t>
        </is>
      </c>
    </row>
    <row r="1718">
      <c r="A1718" s="7" t="n">
        <v>1715</v>
      </c>
      <c r="B1718" s="8" t="inlineStr">
        <is>
          <t xml:space="preserve">      "奶茶色",</t>
        </is>
      </c>
    </row>
    <row r="1719">
      <c r="A1719" s="9" t="n">
        <v>1716</v>
      </c>
      <c r="B1719" s="10" t="inlineStr">
        <is>
          <t xml:space="preserve">      "绿海棠",</t>
        </is>
      </c>
    </row>
    <row r="1720">
      <c r="A1720" s="7" t="n">
        <v>1717</v>
      </c>
      <c r="B1720" s="8" t="inlineStr">
        <is>
          <t xml:space="preserve">      "中花白",</t>
        </is>
      </c>
    </row>
    <row r="1721">
      <c r="A1721" s="9" t="n">
        <v>1718</v>
      </c>
      <c r="B1721" s="10" t="inlineStr">
        <is>
          <t xml:space="preserve">      "黑金沙",</t>
        </is>
      </c>
    </row>
    <row r="1722">
      <c r="A1722" s="7" t="n">
        <v>1719</v>
      </c>
      <c r="B1722" s="8" t="inlineStr">
        <is>
          <t xml:space="preserve">      "月光白",</t>
        </is>
      </c>
    </row>
    <row r="1723">
      <c r="A1723" s="9" t="n">
        <v>1720</v>
      </c>
      <c r="B1723" s="10" t="inlineStr">
        <is>
          <t xml:space="preserve">      "安装费",</t>
        </is>
      </c>
    </row>
    <row r="1724">
      <c r="A1724" s="7" t="n">
        <v>1721</v>
      </c>
      <c r="B1724" s="8" t="inlineStr">
        <is>
          <t xml:space="preserve">      "香槟金",</t>
        </is>
      </c>
    </row>
    <row r="1725">
      <c r="A1725" s="9" t="n">
        <v>1722</v>
      </c>
      <c r="B1725" s="10" t="inlineStr">
        <is>
          <t xml:space="preserve">      "拿铁棕",</t>
        </is>
      </c>
    </row>
    <row r="1726">
      <c r="A1726" s="7" t="n">
        <v>1723</v>
      </c>
      <c r="B1726" s="8" t="inlineStr">
        <is>
          <t xml:space="preserve">      "鱼肚灰",</t>
        </is>
      </c>
    </row>
    <row r="1727">
      <c r="A1727" s="9" t="n">
        <v>1724</v>
      </c>
      <c r="B1727" s="10" t="inlineStr">
        <is>
          <t xml:space="preserve">      "新中源",</t>
        </is>
      </c>
    </row>
    <row r="1728">
      <c r="A1728" s="7" t="n">
        <v>1725</v>
      </c>
      <c r="B1728" s="8" t="inlineStr">
        <is>
          <t xml:space="preserve">      "指纹锁",</t>
        </is>
      </c>
    </row>
    <row r="1729">
      <c r="A1729" s="9" t="n">
        <v>1726</v>
      </c>
      <c r="B1729" s="10" t="inlineStr">
        <is>
          <t xml:space="preserve">      "电烤箱",</t>
        </is>
      </c>
    </row>
    <row r="1730">
      <c r="A1730" s="7" t="n">
        <v>1727</v>
      </c>
      <c r="B1730" s="8" t="inlineStr">
        <is>
          <t xml:space="preserve">      "酒红色",</t>
        </is>
      </c>
    </row>
    <row r="1731">
      <c r="A1731" s="9" t="n">
        <v>1728</v>
      </c>
      <c r="B1731" s="10" t="inlineStr">
        <is>
          <t xml:space="preserve">      "免漆板",</t>
        </is>
      </c>
    </row>
    <row r="1732">
      <c r="A1732" s="7" t="n">
        <v>1729</v>
      </c>
      <c r="B1732" s="8" t="inlineStr">
        <is>
          <t xml:space="preserve">      "阻尼器",</t>
        </is>
      </c>
    </row>
    <row r="1733">
      <c r="A1733" s="9" t="n">
        <v>1730</v>
      </c>
      <c r="B1733" s="10" t="inlineStr">
        <is>
          <t xml:space="preserve">      "四季粉",</t>
        </is>
      </c>
    </row>
    <row r="1734">
      <c r="A1734" s="7" t="n">
        <v>1731</v>
      </c>
      <c r="B1734" s="8" t="inlineStr">
        <is>
          <t xml:space="preserve">      "波斯灰",</t>
        </is>
      </c>
    </row>
    <row r="1735">
      <c r="A1735" s="9" t="n">
        <v>1732</v>
      </c>
      <c r="B1735" s="10" t="inlineStr">
        <is>
          <t xml:space="preserve">      "蓝翡翠",</t>
        </is>
      </c>
    </row>
    <row r="1736">
      <c r="A1736" s="7" t="n">
        <v>1733</v>
      </c>
      <c r="B1736" s="8" t="inlineStr">
        <is>
          <t xml:space="preserve">      "枫木色",</t>
        </is>
      </c>
    </row>
    <row r="1737">
      <c r="A1737" s="9" t="n">
        <v>1734</v>
      </c>
      <c r="B1737" s="10" t="inlineStr">
        <is>
          <t xml:space="preserve">      "门把手",</t>
        </is>
      </c>
    </row>
    <row r="1738">
      <c r="A1738" s="7" t="n">
        <v>1735</v>
      </c>
      <c r="B1738" s="8" t="inlineStr">
        <is>
          <t xml:space="preserve">      "希腊灰",</t>
        </is>
      </c>
    </row>
    <row r="1739">
      <c r="A1739" s="9" t="n">
        <v>1736</v>
      </c>
      <c r="B1739" s="10" t="inlineStr">
        <is>
          <t xml:space="preserve">      "出水管",</t>
        </is>
      </c>
    </row>
    <row r="1740">
      <c r="A1740" s="7" t="n">
        <v>1737</v>
      </c>
      <c r="B1740" s="8" t="inlineStr">
        <is>
          <t xml:space="preserve">      "五金件",</t>
        </is>
      </c>
    </row>
    <row r="1741">
      <c r="A1741" s="9" t="n">
        <v>1738</v>
      </c>
      <c r="B1741" s="10" t="inlineStr">
        <is>
          <t xml:space="preserve">      "焦糖棕",</t>
        </is>
      </c>
    </row>
    <row r="1742">
      <c r="A1742" s="7" t="n">
        <v>1739</v>
      </c>
      <c r="B1742" s="8" t="inlineStr">
        <is>
          <t xml:space="preserve">      "帝王黑",</t>
        </is>
      </c>
    </row>
    <row r="1743">
      <c r="A1743" s="9" t="n">
        <v>1740</v>
      </c>
      <c r="B1743" s="10" t="inlineStr">
        <is>
          <t xml:space="preserve">      "矮柜",</t>
        </is>
      </c>
    </row>
    <row r="1744">
      <c r="A1744" s="7" t="n">
        <v>1741</v>
      </c>
      <c r="B1744" s="8" t="inlineStr">
        <is>
          <t xml:space="preserve">      "售后",</t>
        </is>
      </c>
    </row>
    <row r="1745">
      <c r="A1745" s="9" t="n">
        <v>1742</v>
      </c>
      <c r="B1745" s="10" t="inlineStr">
        <is>
          <t xml:space="preserve">      "欧派",</t>
        </is>
      </c>
    </row>
    <row r="1746">
      <c r="A1746" s="7" t="n">
        <v>1743</v>
      </c>
      <c r="B1746" s="8" t="inlineStr">
        <is>
          <t xml:space="preserve">      "方太",</t>
        </is>
      </c>
    </row>
    <row r="1747">
      <c r="A1747" s="9" t="n">
        <v>1744</v>
      </c>
      <c r="B1747" s="10" t="inlineStr">
        <is>
          <t xml:space="preserve">      "顶固",</t>
        </is>
      </c>
    </row>
    <row r="1748">
      <c r="A1748" s="7" t="n">
        <v>1745</v>
      </c>
      <c r="B1748" s="8" t="inlineStr">
        <is>
          <t xml:space="preserve">      "依诺",</t>
        </is>
      </c>
    </row>
    <row r="1749">
      <c r="A1749" s="9" t="n">
        <v>1746</v>
      </c>
      <c r="B1749" s="10" t="inlineStr">
        <is>
          <t xml:space="preserve">      "万和",</t>
        </is>
      </c>
    </row>
    <row r="1750">
      <c r="A1750" s="7" t="n">
        <v>1747</v>
      </c>
      <c r="B1750" s="8" t="inlineStr">
        <is>
          <t xml:space="preserve">      "插座",</t>
        </is>
      </c>
    </row>
    <row r="1751">
      <c r="A1751" s="9" t="n">
        <v>1748</v>
      </c>
      <c r="B1751" s="10" t="inlineStr">
        <is>
          <t xml:space="preserve">      "抽屉",</t>
        </is>
      </c>
    </row>
    <row r="1752">
      <c r="A1752" s="7" t="n">
        <v>1749</v>
      </c>
      <c r="B1752" s="8" t="inlineStr">
        <is>
          <t xml:space="preserve">      "米箱",</t>
        </is>
      </c>
    </row>
    <row r="1753">
      <c r="A1753" s="9" t="n">
        <v>1750</v>
      </c>
      <c r="B1753" s="10" t="inlineStr">
        <is>
          <t xml:space="preserve">      "黄色",</t>
        </is>
      </c>
    </row>
    <row r="1754">
      <c r="A1754" s="7" t="n">
        <v>1751</v>
      </c>
      <c r="B1754" s="8" t="inlineStr">
        <is>
          <t xml:space="preserve">      "门吸",</t>
        </is>
      </c>
    </row>
    <row r="1755">
      <c r="A1755" s="9" t="n">
        <v>1752</v>
      </c>
      <c r="B1755" s="10" t="inlineStr">
        <is>
          <t xml:space="preserve">      "百隆",</t>
        </is>
      </c>
    </row>
    <row r="1756">
      <c r="A1756" s="7" t="n">
        <v>1753</v>
      </c>
      <c r="B1756" s="8" t="inlineStr">
        <is>
          <t xml:space="preserve">      "红色",</t>
        </is>
      </c>
    </row>
    <row r="1757">
      <c r="A1757" s="9" t="n">
        <v>1754</v>
      </c>
      <c r="B1757" s="10" t="inlineStr">
        <is>
          <t xml:space="preserve">      "高柜",</t>
        </is>
      </c>
    </row>
    <row r="1758">
      <c r="A1758" s="7" t="n">
        <v>1755</v>
      </c>
      <c r="B1758" s="8" t="inlineStr">
        <is>
          <t xml:space="preserve">      "白色",</t>
        </is>
      </c>
    </row>
    <row r="1759">
      <c r="A1759" s="9" t="n">
        <v>1756</v>
      </c>
      <c r="B1759" s="10" t="inlineStr">
        <is>
          <t xml:space="preserve">      "银色",</t>
        </is>
      </c>
    </row>
    <row r="1760">
      <c r="A1760" s="7" t="n">
        <v>1757</v>
      </c>
      <c r="B1760" s="8" t="inlineStr">
        <is>
          <t xml:space="preserve">      "灰色",</t>
        </is>
      </c>
    </row>
    <row r="1761">
      <c r="A1761" s="9" t="n">
        <v>1758</v>
      </c>
      <c r="B1761" s="10" t="inlineStr">
        <is>
          <t xml:space="preserve">      "辅材",</t>
        </is>
      </c>
    </row>
    <row r="1762">
      <c r="A1762" s="7" t="n">
        <v>1759</v>
      </c>
      <c r="B1762" s="8" t="inlineStr">
        <is>
          <t xml:space="preserve">      "星徽",</t>
        </is>
      </c>
    </row>
    <row r="1763">
      <c r="A1763" s="9" t="n">
        <v>1760</v>
      </c>
      <c r="B1763" s="10" t="inlineStr">
        <is>
          <t xml:space="preserve">      "黑色",</t>
        </is>
      </c>
    </row>
    <row r="1764">
      <c r="A1764" s="7" t="n">
        <v>1761</v>
      </c>
      <c r="B1764" s="8" t="inlineStr">
        <is>
          <t xml:space="preserve">      "能率",</t>
        </is>
      </c>
    </row>
    <row r="1765">
      <c r="A1765" s="9" t="n">
        <v>1762</v>
      </c>
      <c r="B1765" s="10" t="inlineStr">
        <is>
          <t xml:space="preserve">      "地吸",</t>
        </is>
      </c>
    </row>
    <row r="1766">
      <c r="A1766" s="7" t="n">
        <v>1763</v>
      </c>
      <c r="B1766" s="8" t="inlineStr">
        <is>
          <t xml:space="preserve">      "倒台",</t>
        </is>
      </c>
    </row>
    <row r="1767">
      <c r="A1767" s="9" t="n">
        <v>1764</v>
      </c>
      <c r="B1767" s="10" t="inlineStr">
        <is>
          <t xml:space="preserve">      "钛金",</t>
        </is>
      </c>
    </row>
    <row r="1768">
      <c r="A1768" s="7" t="n">
        <v>1765</v>
      </c>
      <c r="B1768" s="8" t="inlineStr">
        <is>
          <t xml:space="preserve">      "墙吸",</t>
        </is>
      </c>
    </row>
    <row r="1769">
      <c r="A1769" s="9" t="n">
        <v>1766</v>
      </c>
      <c r="B1769" s="10" t="inlineStr">
        <is>
          <t xml:space="preserve">      "米色",</t>
        </is>
      </c>
    </row>
    <row r="1770">
      <c r="A1770" s="7" t="n">
        <v>1767</v>
      </c>
      <c r="B1770" s="8" t="inlineStr">
        <is>
          <t xml:space="preserve">      "华帝",</t>
        </is>
      </c>
    </row>
    <row r="1771">
      <c r="A1771" s="9" t="n">
        <v>1768</v>
      </c>
      <c r="B1771" s="10" t="inlineStr">
        <is>
          <t xml:space="preserve">      "地漏",</t>
        </is>
      </c>
    </row>
    <row r="1772">
      <c r="A1772" s="7" t="n">
        <v>1769</v>
      </c>
      <c r="B1772" s="8" t="inlineStr">
        <is>
          <t xml:space="preserve">      "实木",</t>
        </is>
      </c>
    </row>
    <row r="1773">
      <c r="A1773" s="9" t="n">
        <v>1770</v>
      </c>
      <c r="B1773" s="10" t="inlineStr">
        <is>
          <t xml:space="preserve">      "金色",</t>
        </is>
      </c>
    </row>
    <row r="1774">
      <c r="A1774" s="7" t="n">
        <v>1771</v>
      </c>
      <c r="B1774" s="8" t="inlineStr">
        <is>
          <t xml:space="preserve">      "角阀",</t>
        </is>
      </c>
    </row>
    <row r="1775">
      <c r="A1775" s="9" t="n">
        <v>1772</v>
      </c>
      <c r="B1775" s="10" t="inlineStr">
        <is>
          <t xml:space="preserve">      "粉色",</t>
        </is>
      </c>
    </row>
    <row r="1776">
      <c r="A1776" s="7" t="n">
        <v>1773</v>
      </c>
      <c r="B1776" s="8" t="inlineStr">
        <is>
          <t xml:space="preserve">      "吊柜",</t>
        </is>
      </c>
    </row>
    <row r="1777">
      <c r="A1777" s="9" t="n">
        <v>1774</v>
      </c>
      <c r="B1777" s="10" t="inlineStr">
        <is>
          <t xml:space="preserve">      "气撑",</t>
        </is>
      </c>
    </row>
    <row r="1778">
      <c r="A1778" s="7" t="n">
        <v>1775</v>
      </c>
      <c r="B1778" s="8" t="inlineStr">
        <is>
          <t xml:space="preserve">      "铰链",</t>
        </is>
      </c>
    </row>
    <row r="1779">
      <c r="A1779" s="9" t="n">
        <v>1776</v>
      </c>
      <c r="B1779" s="10" t="inlineStr">
        <is>
          <t xml:space="preserve">      "滑轨",</t>
        </is>
      </c>
    </row>
    <row r="1780">
      <c r="A1780" s="7" t="n">
        <v>1777</v>
      </c>
      <c r="B1780" s="8" t="inlineStr">
        <is>
          <t xml:space="preserve">      "隔板",</t>
        </is>
      </c>
    </row>
    <row r="1781">
      <c r="A1781" s="9" t="n">
        <v>1778</v>
      </c>
      <c r="B1781" s="10" t="inlineStr">
        <is>
          <t xml:space="preserve">      "橙色",</t>
        </is>
      </c>
    </row>
    <row r="1782">
      <c r="A1782" s="7" t="n">
        <v>1779</v>
      </c>
      <c r="B1782" s="8" t="inlineStr">
        <is>
          <t xml:space="preserve">      "基装",</t>
        </is>
      </c>
    </row>
    <row r="1783">
      <c r="A1783" s="9" t="n">
        <v>1780</v>
      </c>
      <c r="B1783" s="10" t="inlineStr">
        <is>
          <t xml:space="preserve">      "水槽",</t>
        </is>
      </c>
    </row>
    <row r="1784">
      <c r="A1784" s="7" t="n">
        <v>1781</v>
      </c>
      <c r="B1784" s="8" t="inlineStr">
        <is>
          <t xml:space="preserve">      "网线",</t>
        </is>
      </c>
    </row>
    <row r="1785">
      <c r="A1785" s="9" t="n">
        <v>1782</v>
      </c>
      <c r="B1785" s="10" t="inlineStr">
        <is>
          <t xml:space="preserve">      "三星",</t>
        </is>
      </c>
    </row>
    <row r="1786">
      <c r="A1786" s="7" t="n">
        <v>1783</v>
      </c>
      <c r="B1786" s="8" t="inlineStr">
        <is>
          <t xml:space="preserve">      "冠珠",</t>
        </is>
      </c>
    </row>
    <row r="1787">
      <c r="A1787" s="9" t="n">
        <v>1784</v>
      </c>
      <c r="B1787" s="10" t="inlineStr">
        <is>
          <t xml:space="preserve">      "质保",</t>
        </is>
      </c>
    </row>
    <row r="1788">
      <c r="A1788" s="7" t="n">
        <v>1785</v>
      </c>
      <c r="B1788" s="8" t="inlineStr">
        <is>
          <t xml:space="preserve">      "球阀",</t>
        </is>
      </c>
    </row>
    <row r="1789">
      <c r="A1789" s="9" t="n">
        <v>1786</v>
      </c>
      <c r="B1789" s="10" t="inlineStr">
        <is>
          <t xml:space="preserve">      "志邦",</t>
        </is>
      </c>
    </row>
    <row r="1790">
      <c r="A1790" s="7" t="n">
        <v>1787</v>
      </c>
      <c r="B1790" s="8" t="inlineStr">
        <is>
          <t xml:space="preserve">      "搁板",</t>
        </is>
      </c>
    </row>
    <row r="1791">
      <c r="A1791" s="9" t="n">
        <v>1788</v>
      </c>
      <c r="B1791" s="10" t="inlineStr">
        <is>
          <t xml:space="preserve">      "层板",</t>
        </is>
      </c>
    </row>
    <row r="1792">
      <c r="A1792" s="7" t="n">
        <v>1789</v>
      </c>
      <c r="B1792" s="8" t="inlineStr">
        <is>
          <t xml:space="preserve">      "合页",</t>
        </is>
      </c>
    </row>
    <row r="1793">
      <c r="A1793" s="9" t="n">
        <v>1790</v>
      </c>
      <c r="B1793" s="10" t="inlineStr">
        <is>
          <t xml:space="preserve">      "绿色",</t>
        </is>
      </c>
    </row>
    <row r="1794">
      <c r="A1794" s="7" t="n">
        <v>1791</v>
      </c>
      <c r="B1794" s="8" t="inlineStr">
        <is>
          <t xml:space="preserve">      "拉篮",</t>
        </is>
      </c>
    </row>
    <row r="1795">
      <c r="A1795" s="9" t="n">
        <v>1792</v>
      </c>
      <c r="B1795" s="10" t="inlineStr">
        <is>
          <t xml:space="preserve">      "延米",</t>
        </is>
      </c>
    </row>
    <row r="1796">
      <c r="A1796" s="7" t="n">
        <v>1793</v>
      </c>
      <c r="B1796" s="8" t="inlineStr">
        <is>
          <t xml:space="preserve">      "拉手",</t>
        </is>
      </c>
    </row>
    <row r="1797">
      <c r="A1797" s="9" t="n">
        <v>1794</v>
      </c>
      <c r="B1797" s="10" t="inlineStr">
        <is>
          <t xml:space="preserve">      "松下",</t>
        </is>
      </c>
    </row>
    <row r="1798">
      <c r="A1798" s="7" t="n">
        <v>1795</v>
      </c>
      <c r="B1798" s="8" t="inlineStr">
        <is>
          <t xml:space="preserve">      "硬装",</t>
        </is>
      </c>
    </row>
    <row r="1799">
      <c r="A1799" s="9" t="n">
        <v>1796</v>
      </c>
      <c r="B1799" s="10" t="inlineStr">
        <is>
          <t xml:space="preserve">      "我乐",</t>
        </is>
      </c>
    </row>
    <row r="1800">
      <c r="A1800" s="7" t="n">
        <v>1797</v>
      </c>
      <c r="B1800" s="8" t="inlineStr">
        <is>
          <t xml:space="preserve">      "沙色",</t>
        </is>
      </c>
    </row>
    <row r="1801">
      <c r="A1801" s="9" t="n">
        <v>1798</v>
      </c>
      <c r="B1801" s="10" t="inlineStr">
        <is>
          <t xml:space="preserve">      "开关",</t>
        </is>
      </c>
    </row>
    <row r="1802">
      <c r="A1802" s="7" t="n">
        <v>1799</v>
      </c>
      <c r="B1802" s="8" t="inlineStr">
        <is>
          <t xml:space="preserve">      "美的",</t>
        </is>
      </c>
    </row>
    <row r="1803">
      <c r="A1803" s="9" t="n">
        <v>1800</v>
      </c>
      <c r="B1803" s="10" t="inlineStr">
        <is>
          <t xml:space="preserve">      "门锁",</t>
        </is>
      </c>
    </row>
    <row r="1804">
      <c r="A1804" s="7" t="n">
        <v>1801</v>
      </c>
      <c r="B1804" s="8" t="inlineStr">
        <is>
          <t xml:space="preserve">      "角柜",</t>
        </is>
      </c>
    </row>
    <row r="1805">
      <c r="A1805" s="9" t="n">
        <v>1802</v>
      </c>
      <c r="B1805" s="10" t="inlineStr">
        <is>
          <t xml:space="preserve">      "主材",</t>
        </is>
      </c>
    </row>
    <row r="1806">
      <c r="A1806" s="7" t="n">
        <v>1803</v>
      </c>
      <c r="B1806" s="8" t="inlineStr">
        <is>
          <t xml:space="preserve">      "电线",</t>
        </is>
      </c>
    </row>
    <row r="1807">
      <c r="A1807" s="9" t="n">
        <v>1804</v>
      </c>
      <c r="B1807" s="10" t="inlineStr">
        <is>
          <t xml:space="preserve">      "软装",</t>
        </is>
      </c>
    </row>
    <row r="1808">
      <c r="A1808" s="7" t="n">
        <v>1805</v>
      </c>
      <c r="B1808" s="8" t="inlineStr">
        <is>
          <t xml:space="preserve">      "东芝",</t>
        </is>
      </c>
    </row>
    <row r="1809">
      <c r="A1809" s="9" t="n">
        <v>1806</v>
      </c>
      <c r="B1809" s="10" t="inlineStr">
        <is>
          <t xml:space="preserve">      "简一",</t>
        </is>
      </c>
    </row>
    <row r="1810">
      <c r="A1810" s="7" t="n">
        <v>1807</v>
      </c>
      <c r="B1810" s="8" t="inlineStr">
        <is>
          <t xml:space="preserve">      "整装",</t>
        </is>
      </c>
    </row>
    <row r="1811">
      <c r="A1811" s="9" t="n">
        <v>1808</v>
      </c>
      <c r="B1811" s="10" t="inlineStr">
        <is>
          <t xml:space="preserve">      "软管",</t>
        </is>
      </c>
    </row>
    <row r="1812">
      <c r="A1812" s="7" t="n">
        <v>1809</v>
      </c>
      <c r="B1812" s="8" t="inlineStr">
        <is>
          <t xml:space="preserve">      "博世",</t>
        </is>
      </c>
    </row>
    <row r="1813">
      <c r="A1813" s="9" t="n">
        <v>1810</v>
      </c>
      <c r="B1813" s="10" t="inlineStr">
        <is>
          <t xml:space="preserve">      "雅洁",</t>
        </is>
      </c>
    </row>
    <row r="1814">
      <c r="A1814" s="7" t="n">
        <v>1811</v>
      </c>
      <c r="B1814" s="8" t="inlineStr">
        <is>
          <t xml:space="preserve">      "边柜",</t>
        </is>
      </c>
    </row>
    <row r="1815">
      <c r="A1815" s="9" t="n">
        <v>1812</v>
      </c>
      <c r="B1815" s="10" t="inlineStr">
        <is>
          <t xml:space="preserve">      "棕色",</t>
        </is>
      </c>
    </row>
    <row r="1816">
      <c r="A1816" s="7" t="n">
        <v>1813</v>
      </c>
      <c r="B1816" s="8" t="inlineStr">
        <is>
          <t xml:space="preserve">      "洞石",</t>
        </is>
      </c>
    </row>
    <row r="1817">
      <c r="A1817" s="9" t="n">
        <v>1814</v>
      </c>
      <c r="B1817" s="10" t="inlineStr">
        <is>
          <t xml:space="preserve">      "林内",</t>
        </is>
      </c>
    </row>
    <row r="1818">
      <c r="A1818" s="7" t="n">
        <v>1815</v>
      </c>
      <c r="B1818" s="8" t="inlineStr">
        <is>
          <t xml:space="preserve">      "蓝色",</t>
        </is>
      </c>
    </row>
    <row r="1819">
      <c r="A1819" s="9" t="n">
        <v>1816</v>
      </c>
      <c r="B1819" s="10" t="inlineStr">
        <is>
          <t xml:space="preserve">      "东鹏",</t>
        </is>
      </c>
    </row>
    <row r="1820">
      <c r="A1820" s="7" t="n">
        <v>1817</v>
      </c>
      <c r="B1820" s="8" t="inlineStr">
        <is>
          <t xml:space="preserve">      "地插",</t>
        </is>
      </c>
    </row>
    <row r="1821">
      <c r="A1821" s="9" t="n">
        <v>1818</v>
      </c>
      <c r="B1821" s="10" t="inlineStr">
        <is>
          <t xml:space="preserve">      "悍高",</t>
        </is>
      </c>
    </row>
    <row r="1822">
      <c r="A1822" s="7" t="n">
        <v>1819</v>
      </c>
      <c r="B1822" s="8" t="inlineStr">
        <is>
          <t xml:space="preserve">      "老板",</t>
        </is>
      </c>
    </row>
    <row r="1823">
      <c r="A1823" s="9" t="n">
        <v>1820</v>
      </c>
      <c r="B1823" s="10" t="inlineStr">
        <is>
          <t xml:space="preserve">      "碗架",</t>
        </is>
      </c>
    </row>
    <row r="1824">
      <c r="A1824" s="7" t="n">
        <v>1821</v>
      </c>
      <c r="B1824" s="8" t="inlineStr">
        <is>
          <t xml:space="preserve">      "紫色",</t>
        </is>
      </c>
    </row>
    <row r="1825">
      <c r="A1825" s="9" t="n">
        <v>1822</v>
      </c>
      <c r="B1825" s="10" t="inlineStr">
        <is>
          <t xml:space="preserve">      "岗石",</t>
        </is>
      </c>
    </row>
    <row r="1826">
      <c r="A1826" s="7" t="n">
        <v>1823</v>
      </c>
      <c r="B1826" s="8" t="inlineStr">
        <is>
          <t xml:space="preserve">      "胭粉",</t>
        </is>
      </c>
    </row>
    <row r="1827">
      <c r="A1827" s="9" t="n">
        <v>1824</v>
      </c>
      <c r="B1827" s="10" t="inlineStr">
        <is>
          <t xml:space="preserve">      "杯架",</t>
        </is>
      </c>
    </row>
    <row r="1828">
      <c r="A1828" s="7" t="n">
        <v>1825</v>
      </c>
      <c r="B1828" s="8" t="inlineStr">
        <is>
          <t xml:space="preserve">      "地柜",</t>
        </is>
      </c>
    </row>
    <row r="1829">
      <c r="A1829" s="9" t="n">
        <v>1826</v>
      </c>
      <c r="B1829" s="10" t="inlineStr">
        <is>
          <t xml:space="preserve">      "磁吸",</t>
        </is>
      </c>
    </row>
    <row r="1830">
      <c r="A1830" s="7" t="n">
        <v>1827</v>
      </c>
      <c r="B1830" s="8" t="inlineStr">
        <is>
          <t xml:space="preserve">      "海尔",</t>
        </is>
      </c>
    </row>
    <row r="1831">
      <c r="A1831" s="9" t="n">
        <v>1828</v>
      </c>
      <c r="B1831" s="10" t="inlineStr">
        <is>
          <t xml:space="preserve">      "甜酷风",</t>
        </is>
      </c>
    </row>
    <row r="1832">
      <c r="A1832" s="7" t="n">
        <v>1829</v>
      </c>
      <c r="B1832" s="8" t="inlineStr">
        <is>
          <t xml:space="preserve">      "生态科技风",</t>
        </is>
      </c>
    </row>
    <row r="1833">
      <c r="A1833" s="9" t="n">
        <v>1830</v>
      </c>
      <c r="B1833" s="10" t="inlineStr">
        <is>
          <t xml:space="preserve">      "生物亲和主义风",</t>
        </is>
      </c>
    </row>
    <row r="1834">
      <c r="A1834" s="7" t="n">
        <v>1831</v>
      </c>
      <c r="B1834" s="8" t="inlineStr">
        <is>
          <t xml:space="preserve">      "甲醛释放量",</t>
        </is>
      </c>
    </row>
    <row r="1835">
      <c r="A1835" s="9" t="n">
        <v>1832</v>
      </c>
      <c r="B1835" s="10" t="inlineStr">
        <is>
          <t xml:space="preserve">      "电动升降插座",</t>
        </is>
      </c>
    </row>
    <row r="1836">
      <c r="A1836" s="7" t="n">
        <v>1833</v>
      </c>
      <c r="B1836" s="8" t="inlineStr">
        <is>
          <t xml:space="preserve">      "电动反弹器",</t>
        </is>
      </c>
    </row>
    <row r="1837">
      <c r="A1837" s="9" t="n">
        <v>1834</v>
      </c>
      <c r="B1837" s="10" t="inlineStr">
        <is>
          <t xml:space="preserve">      "电动抽屉滑轨",</t>
        </is>
      </c>
    </row>
    <row r="1838">
      <c r="A1838" s="7" t="n">
        <v>1835</v>
      </c>
      <c r="B1838" s="8" t="inlineStr">
        <is>
          <t xml:space="preserve">      "电动气撑",</t>
        </is>
      </c>
    </row>
    <row r="1839">
      <c r="A1839" s="9" t="n">
        <v>1836</v>
      </c>
      <c r="B1839" s="10" t="inlineStr">
        <is>
          <t xml:space="preserve">      "电动滑轨",</t>
        </is>
      </c>
    </row>
    <row r="1840">
      <c r="A1840" s="7" t="n">
        <v>1837</v>
      </c>
      <c r="B1840" s="8" t="inlineStr">
        <is>
          <t xml:space="preserve">      "电压力锅",</t>
        </is>
      </c>
    </row>
    <row r="1841">
      <c r="A1841" s="9" t="n">
        <v>1838</v>
      </c>
      <c r="B1841" s="10" t="inlineStr">
        <is>
          <t xml:space="preserve">      "电器安装",</t>
        </is>
      </c>
    </row>
    <row r="1842">
      <c r="A1842" s="7" t="n">
        <v>1839</v>
      </c>
      <c r="B1842" s="8" t="inlineStr">
        <is>
          <t xml:space="preserve">      "电器故障",</t>
        </is>
      </c>
    </row>
    <row r="1843">
      <c r="A1843" s="9" t="n">
        <v>1840</v>
      </c>
      <c r="B1843" s="10" t="inlineStr">
        <is>
          <t xml:space="preserve">      "电炖锅",</t>
        </is>
      </c>
    </row>
    <row r="1844">
      <c r="A1844" s="7" t="n">
        <v>1841</v>
      </c>
      <c r="B1844" s="8" t="inlineStr">
        <is>
          <t xml:space="preserve">      "电磁炉",</t>
        </is>
      </c>
    </row>
    <row r="1845">
      <c r="A1845" s="9" t="n">
        <v>1842</v>
      </c>
      <c r="B1845" s="10" t="inlineStr">
        <is>
          <t xml:space="preserve">      "电蒸锅",</t>
        </is>
      </c>
    </row>
    <row r="1846">
      <c r="A1846" s="7" t="n">
        <v>1843</v>
      </c>
      <c r="B1846" s="8" t="inlineStr">
        <is>
          <t xml:space="preserve">      "电陶炉",</t>
        </is>
      </c>
    </row>
    <row r="1847">
      <c r="A1847" s="9" t="n">
        <v>1844</v>
      </c>
      <c r="B1847" s="10" t="inlineStr">
        <is>
          <t xml:space="preserve">      "电饼铛",</t>
        </is>
      </c>
    </row>
    <row r="1848">
      <c r="A1848" s="7" t="n">
        <v>1845</v>
      </c>
      <c r="B1848" s="8" t="inlineStr">
        <is>
          <t xml:space="preserve">      "白橡木米白",</t>
        </is>
      </c>
    </row>
    <row r="1849">
      <c r="A1849" s="9" t="n">
        <v>1846</v>
      </c>
      <c r="B1849" s="10" t="inlineStr">
        <is>
          <t xml:space="preserve">      "白橡木色",</t>
        </is>
      </c>
    </row>
    <row r="1850">
      <c r="A1850" s="7" t="n">
        <v>1847</v>
      </c>
      <c r="B1850" s="8" t="inlineStr">
        <is>
          <t xml:space="preserve">      "白色岩板",</t>
        </is>
      </c>
    </row>
    <row r="1851">
      <c r="A1851" s="9" t="n">
        <v>1848</v>
      </c>
      <c r="B1851" s="10" t="inlineStr">
        <is>
          <t xml:space="preserve">      "白蜡木浅棕",</t>
        </is>
      </c>
    </row>
    <row r="1852">
      <c r="A1852" s="7" t="n">
        <v>1849</v>
      </c>
      <c r="B1852" s="8" t="inlineStr">
        <is>
          <t xml:space="preserve">      "白蜡木深棕",</t>
        </is>
      </c>
    </row>
    <row r="1853">
      <c r="A1853" s="9" t="n">
        <v>1850</v>
      </c>
      <c r="B1853" s="10" t="inlineStr">
        <is>
          <t xml:space="preserve">      "白蜡木色",</t>
        </is>
      </c>
    </row>
    <row r="1854">
      <c r="A1854" s="7" t="n">
        <v>1851</v>
      </c>
      <c r="B1854" s="8" t="inlineStr">
        <is>
          <t xml:space="preserve">      "白雪公主",</t>
        </is>
      </c>
    </row>
    <row r="1855">
      <c r="A1855" s="9" t="n">
        <v>1852</v>
      </c>
      <c r="B1855" s="10" t="inlineStr">
        <is>
          <t xml:space="preserve">      "百隆滑轨",</t>
        </is>
      </c>
    </row>
    <row r="1856">
      <c r="A1856" s="7" t="n">
        <v>1853</v>
      </c>
      <c r="B1856" s="8" t="inlineStr">
        <is>
          <t xml:space="preserve">      "百隆铰链",</t>
        </is>
      </c>
    </row>
    <row r="1857">
      <c r="A1857" s="9" t="n">
        <v>1854</v>
      </c>
      <c r="B1857" s="10" t="inlineStr">
        <is>
          <t xml:space="preserve">      "百隆骑马抽",</t>
        </is>
      </c>
    </row>
    <row r="1858">
      <c r="A1858" s="7" t="n">
        <v>1855</v>
      </c>
      <c r="B1858" s="8" t="inlineStr">
        <is>
          <t xml:space="preserve">      "皮阿诺",</t>
        </is>
      </c>
    </row>
    <row r="1859">
      <c r="A1859" s="9" t="n">
        <v>1856</v>
      </c>
      <c r="B1859" s="10" t="inlineStr">
        <is>
          <t xml:space="preserve">      "短拉手",</t>
        </is>
      </c>
    </row>
    <row r="1860">
      <c r="A1860" s="7" t="n">
        <v>1857</v>
      </c>
      <c r="B1860" s="8" t="inlineStr">
        <is>
          <t xml:space="preserve">      "石英石一体盆",</t>
        </is>
      </c>
    </row>
    <row r="1861">
      <c r="A1861" s="9" t="n">
        <v>1858</v>
      </c>
      <c r="B1861" s="10" t="inlineStr">
        <is>
          <t xml:space="preserve">      "石英石台面",</t>
        </is>
      </c>
    </row>
    <row r="1862">
      <c r="A1862" s="7" t="n">
        <v>1859</v>
      </c>
      <c r="B1862" s="8" t="inlineStr">
        <is>
          <t xml:space="preserve">      "石英石水槽",</t>
        </is>
      </c>
    </row>
    <row r="1863">
      <c r="A1863" s="9" t="n">
        <v>1860</v>
      </c>
      <c r="B1863" s="10" t="inlineStr">
        <is>
          <t xml:space="preserve">      "破壁机",</t>
        </is>
      </c>
    </row>
    <row r="1864">
      <c r="A1864" s="7" t="n">
        <v>1861</v>
      </c>
      <c r="B1864" s="8" t="inlineStr">
        <is>
          <t xml:space="preserve">      "碗碟拉篮",</t>
        </is>
      </c>
    </row>
    <row r="1865">
      <c r="A1865" s="9" t="n">
        <v>1862</v>
      </c>
      <c r="B1865" s="10" t="inlineStr">
        <is>
          <t xml:space="preserve">      "碳化木台面",</t>
        </is>
      </c>
    </row>
    <row r="1866">
      <c r="A1866" s="7" t="n">
        <v>1863</v>
      </c>
      <c r="B1866" s="8" t="inlineStr">
        <is>
          <t xml:space="preserve">      "碳晶门板",</t>
        </is>
      </c>
    </row>
    <row r="1867">
      <c r="A1867" s="9" t="n">
        <v>1864</v>
      </c>
      <c r="B1867" s="10" t="inlineStr">
        <is>
          <t xml:space="preserve">      "磁吸反弹器",</t>
        </is>
      </c>
    </row>
    <row r="1868">
      <c r="A1868" s="7" t="n">
        <v>1865</v>
      </c>
      <c r="B1868" s="8" t="inlineStr">
        <is>
          <t xml:space="preserve">      "磁吸失灵",</t>
        </is>
      </c>
    </row>
    <row r="1869">
      <c r="A1869" s="9" t="n">
        <v>1866</v>
      </c>
      <c r="B1869" s="10" t="inlineStr">
        <is>
          <t xml:space="preserve">      "磁吸工艺",</t>
        </is>
      </c>
    </row>
    <row r="1870">
      <c r="A1870" s="7" t="n">
        <v>1867</v>
      </c>
      <c r="B1870" s="8" t="inlineStr">
        <is>
          <t xml:space="preserve">      "磨砂玻璃门",</t>
        </is>
      </c>
    </row>
    <row r="1871">
      <c r="A1871" s="9" t="n">
        <v>1868</v>
      </c>
      <c r="B1871" s="10" t="inlineStr">
        <is>
          <t xml:space="preserve">      "磨豆机",</t>
        </is>
      </c>
    </row>
    <row r="1872">
      <c r="A1872" s="7" t="n">
        <v>1869</v>
      </c>
      <c r="B1872" s="8" t="inlineStr">
        <is>
          <t xml:space="preserve">      "空气炸锅",</t>
        </is>
      </c>
    </row>
    <row r="1873">
      <c r="A1873" s="9" t="n">
        <v>1870</v>
      </c>
      <c r="B1873" s="10" t="inlineStr">
        <is>
          <t xml:space="preserve">      "竹香板",</t>
        </is>
      </c>
    </row>
    <row r="1874">
      <c r="A1874" s="7" t="n">
        <v>1871</v>
      </c>
      <c r="B1874" s="8" t="inlineStr">
        <is>
          <t xml:space="preserve">      "筷子笼",</t>
        </is>
      </c>
    </row>
    <row r="1875">
      <c r="A1875" s="9" t="n">
        <v>1872</v>
      </c>
      <c r="B1875" s="10" t="inlineStr">
        <is>
          <t xml:space="preserve">      "简约轻奢",</t>
        </is>
      </c>
    </row>
    <row r="1876">
      <c r="A1876" s="7" t="n">
        <v>1873</v>
      </c>
      <c r="B1876" s="8" t="inlineStr">
        <is>
          <t xml:space="preserve">      "米棕色",</t>
        </is>
      </c>
    </row>
    <row r="1877">
      <c r="A1877" s="9" t="n">
        <v>1874</v>
      </c>
      <c r="B1877" s="10" t="inlineStr">
        <is>
          <t xml:space="preserve">      "米白色",</t>
        </is>
      </c>
    </row>
    <row r="1878">
      <c r="A1878" s="7" t="n">
        <v>1875</v>
      </c>
      <c r="B1878" s="8" t="inlineStr">
        <is>
          <t xml:space="preserve">      "米色岩板",</t>
        </is>
      </c>
    </row>
    <row r="1879">
      <c r="A1879" s="9" t="n">
        <v>1876</v>
      </c>
      <c r="B1879" s="10" t="inlineStr">
        <is>
          <t xml:space="preserve">      "米黄色",</t>
        </is>
      </c>
    </row>
    <row r="1880">
      <c r="A1880" s="7" t="n">
        <v>1877</v>
      </c>
      <c r="B1880" s="8" t="inlineStr">
        <is>
          <t xml:space="preserve">      "索菲亚",</t>
        </is>
      </c>
    </row>
    <row r="1881">
      <c r="A1881" s="9" t="n">
        <v>1878</v>
      </c>
      <c r="B1881" s="10" t="inlineStr">
        <is>
          <t xml:space="preserve">      "红橡木红棕",</t>
        </is>
      </c>
    </row>
    <row r="1882">
      <c r="A1882" s="7" t="n">
        <v>1879</v>
      </c>
      <c r="B1882" s="8" t="inlineStr">
        <is>
          <t xml:space="preserve">      "红橡木色",</t>
        </is>
      </c>
    </row>
    <row r="1883">
      <c r="A1883" s="9" t="n">
        <v>1880</v>
      </c>
      <c r="B1883" s="10" t="inlineStr">
        <is>
          <t xml:space="preserve">      "红洞石",</t>
        </is>
      </c>
    </row>
    <row r="1884">
      <c r="A1884" s="7" t="n">
        <v>1881</v>
      </c>
      <c r="B1884" s="8" t="inlineStr">
        <is>
          <t xml:space="preserve">      "纯亚克力",</t>
        </is>
      </c>
    </row>
    <row r="1885">
      <c r="A1885" s="9" t="n">
        <v>1882</v>
      </c>
      <c r="B1885" s="10" t="inlineStr">
        <is>
          <t xml:space="preserve">      "纯色岩板",</t>
        </is>
      </c>
    </row>
    <row r="1886">
      <c r="A1886" s="7" t="n">
        <v>1883</v>
      </c>
      <c r="B1886" s="8" t="inlineStr">
        <is>
          <t xml:space="preserve">      "纳米水槽",</t>
        </is>
      </c>
    </row>
    <row r="1887">
      <c r="A1887" s="9" t="n">
        <v>1884</v>
      </c>
      <c r="B1887" s="10" t="inlineStr">
        <is>
          <t xml:space="preserve">      "细花白",</t>
        </is>
      </c>
    </row>
    <row r="1888">
      <c r="A1888" s="7" t="n">
        <v>1885</v>
      </c>
      <c r="B1888" s="8" t="inlineStr">
        <is>
          <t xml:space="preserve">      "终身质保",</t>
        </is>
      </c>
    </row>
    <row r="1889">
      <c r="A1889" s="9" t="n">
        <v>1886</v>
      </c>
      <c r="B1889" s="10" t="inlineStr">
        <is>
          <t xml:space="preserve">      "缓冲滑轨",</t>
        </is>
      </c>
    </row>
    <row r="1890">
      <c r="A1890" s="7" t="n">
        <v>1887</v>
      </c>
      <c r="B1890" s="8" t="inlineStr">
        <is>
          <t xml:space="preserve">      "缓冲铰链",</t>
        </is>
      </c>
    </row>
    <row r="1891">
      <c r="A1891" s="9" t="n">
        <v>1888</v>
      </c>
      <c r="B1891" s="10" t="inlineStr">
        <is>
          <t xml:space="preserve">      "编织管",</t>
        </is>
      </c>
    </row>
    <row r="1892">
      <c r="A1892" s="7" t="n">
        <v>1889</v>
      </c>
      <c r="B1892" s="8" t="inlineStr">
        <is>
          <t xml:space="preserve">      "美式乡村",</t>
        </is>
      </c>
    </row>
    <row r="1893">
      <c r="A1893" s="9" t="n">
        <v>1890</v>
      </c>
      <c r="B1893" s="10" t="inlineStr">
        <is>
          <t xml:space="preserve">      "美式复古",</t>
        </is>
      </c>
    </row>
    <row r="1894">
      <c r="A1894" s="7" t="n">
        <v>1891</v>
      </c>
      <c r="B1894" s="8" t="inlineStr">
        <is>
          <t xml:space="preserve">      "美式工业风",</t>
        </is>
      </c>
    </row>
    <row r="1895">
      <c r="A1895" s="9" t="n">
        <v>1892</v>
      </c>
      <c r="B1895" s="10" t="inlineStr">
        <is>
          <t xml:space="preserve">      "美式田园",</t>
        </is>
      </c>
    </row>
    <row r="1896">
      <c r="A1896" s="7" t="n">
        <v>1893</v>
      </c>
      <c r="B1896" s="8" t="inlineStr">
        <is>
          <t xml:space="preserve">      "美式轻奢",</t>
        </is>
      </c>
    </row>
    <row r="1897">
      <c r="A1897" s="9" t="n">
        <v>1894</v>
      </c>
      <c r="B1897" s="10" t="inlineStr">
        <is>
          <t xml:space="preserve">      "美式风格",</t>
        </is>
      </c>
    </row>
    <row r="1898">
      <c r="A1898" s="7" t="n">
        <v>1895</v>
      </c>
      <c r="B1898" s="8" t="inlineStr">
        <is>
          <t xml:space="preserve">      "耐火板",</t>
        </is>
      </c>
    </row>
    <row r="1899">
      <c r="A1899" s="9" t="n">
        <v>1896</v>
      </c>
      <c r="B1899" s="10" t="inlineStr">
        <is>
          <t xml:space="preserve">      "肤感PET门板",</t>
        </is>
      </c>
    </row>
    <row r="1900">
      <c r="A1900" s="7" t="n">
        <v>1897</v>
      </c>
      <c r="B1900" s="8" t="inlineStr">
        <is>
          <t xml:space="preserve">      "肤感门板",</t>
        </is>
      </c>
    </row>
    <row r="1901">
      <c r="A1901" s="9" t="n">
        <v>1898</v>
      </c>
      <c r="B1901" s="10" t="inlineStr">
        <is>
          <t xml:space="preserve">      "胡桃木色",</t>
        </is>
      </c>
    </row>
    <row r="1902">
      <c r="A1902" s="7" t="n">
        <v>1899</v>
      </c>
      <c r="B1902" s="8" t="inlineStr">
        <is>
          <t xml:space="preserve">      "自动烹饪舱岛台",</t>
        </is>
      </c>
    </row>
    <row r="1903">
      <c r="A1903" s="9" t="n">
        <v>1900</v>
      </c>
      <c r="B1903" s="10" t="inlineStr">
        <is>
          <t xml:space="preserve">      "自然共生风",</t>
        </is>
      </c>
    </row>
    <row r="1904">
      <c r="A1904" s="7" t="n">
        <v>1901</v>
      </c>
      <c r="B1904" s="8" t="inlineStr">
        <is>
          <t xml:space="preserve">      "花岗岩",</t>
        </is>
      </c>
    </row>
    <row r="1905">
      <c r="A1905" s="9" t="n">
        <v>1902</v>
      </c>
      <c r="B1905" s="10" t="inlineStr">
        <is>
          <t xml:space="preserve">      "花梨木色",</t>
        </is>
      </c>
    </row>
    <row r="1906">
      <c r="A1906" s="7" t="n">
        <v>1903</v>
      </c>
      <c r="B1906" s="8" t="inlineStr">
        <is>
          <t xml:space="preserve">      "范思哲绿",</t>
        </is>
      </c>
    </row>
    <row r="1907">
      <c r="A1907" s="9" t="n">
        <v>1904</v>
      </c>
      <c r="B1907" s="10" t="inlineStr">
        <is>
          <t xml:space="preserve">      "范思哲黑",</t>
        </is>
      </c>
    </row>
    <row r="1908">
      <c r="A1908" s="7" t="n">
        <v>1905</v>
      </c>
      <c r="B1908" s="8" t="inlineStr">
        <is>
          <t xml:space="preserve">      "茶水柜",</t>
        </is>
      </c>
    </row>
    <row r="1909">
      <c r="A1909" s="9" t="n">
        <v>1906</v>
      </c>
      <c r="B1909" s="10" t="inlineStr">
        <is>
          <t xml:space="preserve">      "荔枝面石材",</t>
        </is>
      </c>
    </row>
    <row r="1910">
      <c r="A1910" s="7" t="n">
        <v>1907</v>
      </c>
      <c r="B1910" s="8" t="inlineStr">
        <is>
          <t xml:space="preserve">      "莫兰迪色系",</t>
        </is>
      </c>
    </row>
    <row r="1911">
      <c r="A1911" s="9" t="n">
        <v>1908</v>
      </c>
      <c r="B1911" s="10" t="inlineStr">
        <is>
          <t xml:space="preserve">      "萨米特",</t>
        </is>
      </c>
    </row>
    <row r="1912">
      <c r="A1912" s="7" t="n">
        <v>1909</v>
      </c>
      <c r="B1912" s="8" t="inlineStr">
        <is>
          <t xml:space="preserve">      "蒂芙尼蓝",</t>
        </is>
      </c>
    </row>
    <row r="1913">
      <c r="A1913" s="9" t="n">
        <v>1910</v>
      </c>
      <c r="B1913" s="10" t="inlineStr">
        <is>
          <t xml:space="preserve">      "蒙娜丽莎",</t>
        </is>
      </c>
    </row>
    <row r="1914">
      <c r="A1914" s="7" t="n">
        <v>1911</v>
      </c>
      <c r="B1914" s="8" t="inlineStr">
        <is>
          <t xml:space="preserve">      "蒸烤箱",</t>
        </is>
      </c>
    </row>
    <row r="1915">
      <c r="A1915" s="9" t="n">
        <v>1912</v>
      </c>
      <c r="B1915" s="10" t="inlineStr">
        <is>
          <t xml:space="preserve">      "蓝宝石蓝",</t>
        </is>
      </c>
    </row>
    <row r="1916">
      <c r="A1916" s="7" t="n">
        <v>1913</v>
      </c>
      <c r="B1916" s="8" t="inlineStr">
        <is>
          <t xml:space="preserve">      "藏蓝色",</t>
        </is>
      </c>
    </row>
    <row r="1917">
      <c r="A1917" s="9" t="n">
        <v>1914</v>
      </c>
      <c r="B1917" s="10" t="inlineStr">
        <is>
          <t xml:space="preserve">      "西厨岛台",</t>
        </is>
      </c>
    </row>
    <row r="1918">
      <c r="A1918" s="7" t="n">
        <v>1915</v>
      </c>
      <c r="B1918" s="8" t="inlineStr">
        <is>
          <t xml:space="preserve">      "见光板",</t>
        </is>
      </c>
    </row>
    <row r="1919">
      <c r="A1919" s="9" t="n">
        <v>1916</v>
      </c>
      <c r="B1919" s="10" t="inlineStr">
        <is>
          <t xml:space="preserve">      "触摸开关",</t>
        </is>
      </c>
    </row>
    <row r="1920">
      <c r="A1920" s="7" t="n">
        <v>1917</v>
      </c>
      <c r="B1920" s="8" t="inlineStr">
        <is>
          <t xml:space="preserve">      "触摸水龙头",</t>
        </is>
      </c>
    </row>
    <row r="1921">
      <c r="A1921" s="9" t="n">
        <v>1918</v>
      </c>
      <c r="B1921" s="10" t="inlineStr">
        <is>
          <t xml:space="preserve">      "诧寂风",</t>
        </is>
      </c>
    </row>
    <row r="1922">
      <c r="A1922" s="7" t="n">
        <v>1919</v>
      </c>
      <c r="B1922" s="8" t="inlineStr">
        <is>
          <t xml:space="preserve">      "语音开关",</t>
        </is>
      </c>
    </row>
    <row r="1923">
      <c r="A1923" s="9" t="n">
        <v>1920</v>
      </c>
      <c r="B1923" s="10" t="inlineStr">
        <is>
          <t xml:space="preserve">      "语音控制岛台",</t>
        </is>
      </c>
    </row>
    <row r="1924">
      <c r="A1924" s="7" t="n">
        <v>1921</v>
      </c>
      <c r="B1924" s="8" t="inlineStr">
        <is>
          <t xml:space="preserve">      "诺贝尔",</t>
        </is>
      </c>
    </row>
    <row r="1925">
      <c r="A1925" s="9" t="n">
        <v>1922</v>
      </c>
      <c r="B1925" s="10" t="inlineStr">
        <is>
          <t xml:space="preserve">      "调味拉篮",</t>
        </is>
      </c>
    </row>
    <row r="1926">
      <c r="A1926" s="7" t="n">
        <v>1923</v>
      </c>
      <c r="B1926" s="8" t="inlineStr">
        <is>
          <t xml:space="preserve">      "谷仓风",</t>
        </is>
      </c>
    </row>
    <row r="1927">
      <c r="A1927" s="9" t="n">
        <v>1924</v>
      </c>
      <c r="B1927" s="10" t="inlineStr">
        <is>
          <t xml:space="preserve">      "豆浆机",</t>
        </is>
      </c>
    </row>
    <row r="1928">
      <c r="A1928" s="7" t="n">
        <v>1925</v>
      </c>
      <c r="B1928" s="8" t="inlineStr">
        <is>
          <t xml:space="preserve">      "路易威登棕",</t>
        </is>
      </c>
    </row>
    <row r="1929">
      <c r="A1929" s="9" t="n">
        <v>1926</v>
      </c>
      <c r="B1929" s="10" t="inlineStr">
        <is>
          <t xml:space="preserve">      "踢脚线灯槽",</t>
        </is>
      </c>
    </row>
    <row r="1930">
      <c r="A1930" s="7" t="n">
        <v>1927</v>
      </c>
      <c r="B1930" s="8" t="inlineStr">
        <is>
          <t xml:space="preserve">      "车载冰箱",</t>
        </is>
      </c>
    </row>
    <row r="1931">
      <c r="A1931" s="9" t="n">
        <v>1928</v>
      </c>
      <c r="B1931" s="10" t="inlineStr">
        <is>
          <t xml:space="preserve">      "轨道插座",</t>
        </is>
      </c>
    </row>
    <row r="1932">
      <c r="A1932" s="7" t="n">
        <v>1929</v>
      </c>
      <c r="B1932" s="8" t="inlineStr">
        <is>
          <t xml:space="preserve">      "转角小怪物拉篮",</t>
        </is>
      </c>
    </row>
    <row r="1933">
      <c r="A1933" s="9" t="n">
        <v>1930</v>
      </c>
      <c r="B1933" s="10" t="inlineStr">
        <is>
          <t xml:space="preserve">      "转角岛台",</t>
        </is>
      </c>
    </row>
    <row r="1934">
      <c r="A1934" s="7" t="n">
        <v>1931</v>
      </c>
      <c r="B1934" s="8" t="inlineStr">
        <is>
          <t xml:space="preserve">      "转角怪物拉篮",</t>
        </is>
      </c>
    </row>
    <row r="1935">
      <c r="A1935" s="9" t="n">
        <v>1932</v>
      </c>
      <c r="B1935" s="10" t="inlineStr">
        <is>
          <t xml:space="preserve">      "转角拉篮",</t>
        </is>
      </c>
    </row>
    <row r="1936">
      <c r="A1936" s="7" t="n">
        <v>1933</v>
      </c>
      <c r="B1936" s="8" t="inlineStr">
        <is>
          <t xml:space="preserve">      "转角柜",</t>
        </is>
      </c>
    </row>
    <row r="1937">
      <c r="A1937" s="9" t="n">
        <v>1934</v>
      </c>
      <c r="B1937" s="10" t="inlineStr">
        <is>
          <t xml:space="preserve">      "转角飞碟拉篮",</t>
        </is>
      </c>
    </row>
    <row r="1938">
      <c r="A1938" s="7" t="n">
        <v>1935</v>
      </c>
      <c r="B1938" s="8" t="inlineStr">
        <is>
          <t xml:space="preserve">      "轻复古风",</t>
        </is>
      </c>
    </row>
    <row r="1939">
      <c r="A1939" s="9" t="n">
        <v>1936</v>
      </c>
      <c r="B1939" s="10" t="inlineStr">
        <is>
          <t xml:space="preserve">      "轻奢风格",</t>
        </is>
      </c>
    </row>
    <row r="1940">
      <c r="A1940" s="7" t="n">
        <v>1937</v>
      </c>
      <c r="B1940" s="8" t="inlineStr">
        <is>
          <t xml:space="preserve">      "轻法式",</t>
        </is>
      </c>
    </row>
    <row r="1941">
      <c r="A1941" s="9" t="n">
        <v>1938</v>
      </c>
      <c r="B1941" s="10" t="inlineStr">
        <is>
          <t xml:space="preserve">      "过道宽度100cm",</t>
        </is>
      </c>
    </row>
    <row r="1942">
      <c r="A1942" s="7" t="n">
        <v>1939</v>
      </c>
      <c r="B1942" s="8" t="inlineStr">
        <is>
          <t xml:space="preserve">      "过道宽度80cm",</t>
        </is>
      </c>
    </row>
    <row r="1943">
      <c r="A1943" s="9" t="n">
        <v>1940</v>
      </c>
      <c r="B1943" s="10" t="inlineStr">
        <is>
          <t xml:space="preserve">      "过道宽度90cm",</t>
        </is>
      </c>
    </row>
    <row r="1944">
      <c r="A1944" s="7" t="n">
        <v>1941</v>
      </c>
      <c r="B1944" s="8" t="inlineStr">
        <is>
          <t xml:space="preserve">      "进水点位",</t>
        </is>
      </c>
    </row>
    <row r="1945">
      <c r="A1945" s="9" t="n">
        <v>1942</v>
      </c>
      <c r="B1945" s="10" t="inlineStr">
        <is>
          <t xml:space="preserve">      "进水管",</t>
        </is>
      </c>
    </row>
    <row r="1946">
      <c r="A1946" s="7" t="n">
        <v>1943</v>
      </c>
      <c r="B1946" s="8" t="inlineStr">
        <is>
          <t xml:space="preserve">      "迪奥灰",</t>
        </is>
      </c>
    </row>
    <row r="1947">
      <c r="A1947" s="9" t="n">
        <v>1944</v>
      </c>
      <c r="B1947" s="10" t="inlineStr">
        <is>
          <t xml:space="preserve">      "迷你冰箱",</t>
        </is>
      </c>
    </row>
    <row r="1948">
      <c r="A1948" s="7" t="n">
        <v>1945</v>
      </c>
      <c r="B1948" s="8" t="inlineStr">
        <is>
          <t xml:space="preserve">      "透明玻璃门",</t>
        </is>
      </c>
    </row>
    <row r="1949">
      <c r="A1949" s="9" t="n">
        <v>1946</v>
      </c>
      <c r="B1949" s="10" t="inlineStr">
        <is>
          <t xml:space="preserve">      "通透设计",</t>
        </is>
      </c>
    </row>
    <row r="1950">
      <c r="A1950" s="7" t="n">
        <v>1947</v>
      </c>
      <c r="B1950" s="8" t="inlineStr">
        <is>
          <t xml:space="preserve">      "酒柜",</t>
        </is>
      </c>
    </row>
    <row r="1951">
      <c r="A1951" s="9" t="n">
        <v>1948</v>
      </c>
      <c r="B1951" s="10" t="inlineStr">
        <is>
          <t xml:space="preserve">      "酒柜拉篮",</t>
        </is>
      </c>
    </row>
    <row r="1952">
      <c r="A1952" s="7" t="n">
        <v>1949</v>
      </c>
      <c r="B1952" s="8" t="inlineStr">
        <is>
          <t xml:space="preserve">      "金牌橱柜",</t>
        </is>
      </c>
    </row>
    <row r="1953">
      <c r="A1953" s="9" t="n">
        <v>1950</v>
      </c>
      <c r="B1953" s="10" t="inlineStr">
        <is>
          <t xml:space="preserve">      "金色拉手",</t>
        </is>
      </c>
    </row>
    <row r="1954">
      <c r="A1954" s="7" t="n">
        <v>1951</v>
      </c>
      <c r="B1954" s="8" t="inlineStr">
        <is>
          <t xml:space="preserve">      "金色水龙头",</t>
        </is>
      </c>
    </row>
    <row r="1955">
      <c r="A1955" s="9" t="n">
        <v>1952</v>
      </c>
      <c r="B1955" s="10" t="inlineStr">
        <is>
          <t xml:space="preserve">      "钢化玻璃",</t>
        </is>
      </c>
    </row>
    <row r="1956">
      <c r="A1956" s="7" t="n">
        <v>1953</v>
      </c>
      <c r="B1956" s="8" t="inlineStr">
        <is>
          <t xml:space="preserve">      "钢架结构岛台",</t>
        </is>
      </c>
    </row>
    <row r="1957">
      <c r="A1957" s="9" t="n">
        <v>1954</v>
      </c>
      <c r="B1957" s="10" t="inlineStr">
        <is>
          <t xml:space="preserve">      "钢琴烤漆门板",</t>
        </is>
      </c>
    </row>
    <row r="1958">
      <c r="A1958" s="7" t="n">
        <v>1955</v>
      </c>
      <c r="B1958" s="8" t="inlineStr">
        <is>
          <t xml:space="preserve">      "铜质五金",</t>
        </is>
      </c>
    </row>
    <row r="1959">
      <c r="A1959" s="9" t="n">
        <v>1956</v>
      </c>
      <c r="B1959" s="10" t="inlineStr">
        <is>
          <t xml:space="preserve">      "铜质水龙头",</t>
        </is>
      </c>
    </row>
    <row r="1960">
      <c r="A1960" s="7" t="n">
        <v>1957</v>
      </c>
      <c r="B1960" s="8" t="inlineStr">
        <is>
          <t xml:space="preserve">      "铝合金五金",</t>
        </is>
      </c>
    </row>
    <row r="1961">
      <c r="A1961" s="9" t="n">
        <v>1958</v>
      </c>
      <c r="B1961" s="10" t="inlineStr">
        <is>
          <t xml:space="preserve">      "铝合金柜体",</t>
        </is>
      </c>
    </row>
    <row r="1962">
      <c r="A1962" s="7" t="n">
        <v>1959</v>
      </c>
      <c r="B1962" s="8" t="inlineStr">
        <is>
          <t xml:space="preserve">      "铝框玻璃门",</t>
        </is>
      </c>
    </row>
    <row r="1963">
      <c r="A1963" s="9" t="n">
        <v>1960</v>
      </c>
      <c r="B1963" s="10" t="inlineStr">
        <is>
          <t xml:space="preserve">      "铰链异响",</t>
        </is>
      </c>
    </row>
    <row r="1964">
      <c r="A1964" s="7" t="n">
        <v>1961</v>
      </c>
      <c r="B1964" s="8" t="inlineStr">
        <is>
          <t xml:space="preserve">      "银河灰",</t>
        </is>
      </c>
    </row>
    <row r="1965">
      <c r="A1965" s="9" t="n">
        <v>1962</v>
      </c>
      <c r="B1965" s="10" t="inlineStr">
        <is>
          <t xml:space="preserve">      "银白龙",</t>
        </is>
      </c>
    </row>
    <row r="1966">
      <c r="A1966" s="7" t="n">
        <v>1963</v>
      </c>
      <c r="B1966" s="8" t="inlineStr">
        <is>
          <t xml:space="preserve">      "银色拉手",</t>
        </is>
      </c>
    </row>
    <row r="1967">
      <c r="A1967" s="9" t="n">
        <v>1964</v>
      </c>
      <c r="B1967" s="10" t="inlineStr">
        <is>
          <t xml:space="preserve">      "银色水龙头",</t>
        </is>
      </c>
    </row>
    <row r="1968">
      <c r="A1968" s="7" t="n">
        <v>1965</v>
      </c>
      <c r="B1968" s="8" t="inlineStr">
        <is>
          <t xml:space="preserve">      "锅具拉篮",</t>
        </is>
      </c>
    </row>
    <row r="1969">
      <c r="A1969" s="9" t="n">
        <v>1966</v>
      </c>
      <c r="B1969" s="10" t="inlineStr">
        <is>
          <t xml:space="preserve">      "长拉手",</t>
        </is>
      </c>
    </row>
    <row r="1970">
      <c r="A1970" s="7" t="n">
        <v>1967</v>
      </c>
      <c r="B1970" s="8" t="inlineStr">
        <is>
          <t xml:space="preserve">      "长条形拉手",</t>
        </is>
      </c>
    </row>
    <row r="1971">
      <c r="A1971" s="9" t="n">
        <v>1968</v>
      </c>
      <c r="B1971" s="10" t="inlineStr">
        <is>
          <t xml:space="preserve">      "长虹玻璃门",</t>
        </is>
      </c>
    </row>
    <row r="1972">
      <c r="A1972" s="7" t="n">
        <v>1969</v>
      </c>
      <c r="B1972" s="8" t="inlineStr">
        <is>
          <t xml:space="preserve">      "防水地插",</t>
        </is>
      </c>
    </row>
    <row r="1973">
      <c r="A1973" s="9" t="n">
        <v>1970</v>
      </c>
      <c r="B1973" s="10" t="inlineStr">
        <is>
          <t xml:space="preserve">      "防臭下水",</t>
        </is>
      </c>
    </row>
    <row r="1974">
      <c r="A1974" s="7" t="n">
        <v>1971</v>
      </c>
      <c r="B1974" s="8" t="inlineStr">
        <is>
          <t xml:space="preserve">      "防臭下水器",</t>
        </is>
      </c>
    </row>
    <row r="1975">
      <c r="A1975" s="9" t="n">
        <v>1972</v>
      </c>
      <c r="B1975" s="10" t="inlineStr">
        <is>
          <t xml:space="preserve">      "防臭下水管",</t>
        </is>
      </c>
    </row>
    <row r="1976">
      <c r="A1976" s="7" t="n">
        <v>1973</v>
      </c>
      <c r="B1976" s="8" t="inlineStr">
        <is>
          <t xml:space="preserve">      "阶梯式水槽",</t>
        </is>
      </c>
    </row>
    <row r="1977">
      <c r="A1977" s="9" t="n">
        <v>1974</v>
      </c>
      <c r="B1977" s="10" t="inlineStr">
        <is>
          <t xml:space="preserve">      "阻尼滑轨",</t>
        </is>
      </c>
    </row>
    <row r="1978">
      <c r="A1978" s="7" t="n">
        <v>1975</v>
      </c>
      <c r="B1978" s="8" t="inlineStr">
        <is>
          <t xml:space="preserve">      "阻尼铰链",</t>
        </is>
      </c>
    </row>
    <row r="1979">
      <c r="A1979" s="9" t="n">
        <v>1976</v>
      </c>
      <c r="B1979" s="10" t="inlineStr">
        <is>
          <t xml:space="preserve">      "阿玛尼灰",</t>
        </is>
      </c>
    </row>
    <row r="1980">
      <c r="A1980" s="7" t="n">
        <v>1977</v>
      </c>
      <c r="B1980" s="8" t="inlineStr">
        <is>
          <t xml:space="preserve">      "陶瓷水槽",</t>
        </is>
      </c>
    </row>
    <row r="1981">
      <c r="A1981" s="9" t="n">
        <v>1978</v>
      </c>
      <c r="B1981" s="10" t="inlineStr">
        <is>
          <t xml:space="preserve">      "随意停气撑",</t>
        </is>
      </c>
    </row>
    <row r="1982">
      <c r="A1982" s="7" t="n">
        <v>1979</v>
      </c>
      <c r="B1982" s="8" t="inlineStr">
        <is>
          <t xml:space="preserve">      "隐形拉手",</t>
        </is>
      </c>
    </row>
    <row r="1983">
      <c r="A1983" s="9" t="n">
        <v>1980</v>
      </c>
      <c r="B1983" s="10" t="inlineStr">
        <is>
          <t xml:space="preserve">      "隐形拉手设计",</t>
        </is>
      </c>
    </row>
    <row r="1984">
      <c r="A1984" s="7" t="n">
        <v>1981</v>
      </c>
      <c r="B1984" s="8" t="inlineStr">
        <is>
          <t xml:space="preserve">      "隐形门吸",</t>
        </is>
      </c>
    </row>
    <row r="1985">
      <c r="A1985" s="9" t="n">
        <v>1982</v>
      </c>
      <c r="B1985" s="10" t="inlineStr">
        <is>
          <t xml:space="preserve">      "隐藏式升降冰箱",</t>
        </is>
      </c>
    </row>
    <row r="1986">
      <c r="A1986" s="7" t="n">
        <v>1983</v>
      </c>
      <c r="B1986" s="8" t="inlineStr">
        <is>
          <t xml:space="preserve">      "隐藏式升降抽油烟机",</t>
        </is>
      </c>
    </row>
    <row r="1987">
      <c r="A1987" s="9" t="n">
        <v>1984</v>
      </c>
      <c r="B1987" s="10" t="inlineStr">
        <is>
          <t xml:space="preserve">      "隐藏式升降置物架",</t>
        </is>
      </c>
    </row>
    <row r="1988">
      <c r="A1988" s="7" t="n">
        <v>1985</v>
      </c>
      <c r="B1988" s="8" t="inlineStr">
        <is>
          <t xml:space="preserve">      "隐藏式地插",</t>
        </is>
      </c>
    </row>
    <row r="1989">
      <c r="A1989" s="9" t="n">
        <v>1986</v>
      </c>
      <c r="B1989" s="10" t="inlineStr">
        <is>
          <t xml:space="preserve">      "隐藏式垃圾桶",</t>
        </is>
      </c>
    </row>
    <row r="1990">
      <c r="A1990" s="7" t="n">
        <v>1987</v>
      </c>
      <c r="B1990" s="8" t="inlineStr">
        <is>
          <t xml:space="preserve">      "隐藏式插座",</t>
        </is>
      </c>
    </row>
    <row r="1991">
      <c r="A1991" s="9" t="n">
        <v>1988</v>
      </c>
      <c r="B1991" s="10" t="inlineStr">
        <is>
          <t xml:space="preserve">      "隐藏式智能水槽",</t>
        </is>
      </c>
    </row>
    <row r="1992">
      <c r="A1992" s="7" t="n">
        <v>1989</v>
      </c>
      <c r="B1992" s="8" t="inlineStr">
        <is>
          <t xml:space="preserve">      "隐藏式滑轨",</t>
        </is>
      </c>
    </row>
    <row r="1993">
      <c r="A1993" s="9" t="n">
        <v>1990</v>
      </c>
      <c r="B1993" s="10" t="inlineStr">
        <is>
          <t xml:space="preserve">      "隐藏式设计",</t>
        </is>
      </c>
    </row>
    <row r="1994">
      <c r="A1994" s="7" t="n">
        <v>1991</v>
      </c>
      <c r="B1994" s="8" t="inlineStr">
        <is>
          <t xml:space="preserve">      "雅士白",</t>
        </is>
      </c>
    </row>
    <row r="1995">
      <c r="A1995" s="9" t="n">
        <v>1992</v>
      </c>
      <c r="B1995" s="10" t="inlineStr">
        <is>
          <t xml:space="preserve">      "集成水槽",</t>
        </is>
      </c>
    </row>
    <row r="1996">
      <c r="A1996" s="7" t="n">
        <v>1993</v>
      </c>
      <c r="B1996" s="8" t="inlineStr">
        <is>
          <t xml:space="preserve">      "集成灶",</t>
        </is>
      </c>
    </row>
    <row r="1997">
      <c r="A1997" s="9" t="n">
        <v>1994</v>
      </c>
      <c r="B1997" s="10" t="inlineStr">
        <is>
          <t xml:space="preserve">      "雪山银狐",</t>
        </is>
      </c>
    </row>
    <row r="1998">
      <c r="A1998" s="7" t="n">
        <v>1995</v>
      </c>
      <c r="B1998" s="8" t="inlineStr">
        <is>
          <t xml:space="preserve">      "雪花白",</t>
        </is>
      </c>
    </row>
    <row r="1999">
      <c r="A1999" s="9" t="n">
        <v>1996</v>
      </c>
      <c r="B1999" s="10" t="inlineStr">
        <is>
          <t xml:space="preserve">      "雾霾蓝",</t>
        </is>
      </c>
    </row>
    <row r="2000">
      <c r="A2000" s="7" t="n">
        <v>1997</v>
      </c>
      <c r="B2000" s="8" t="inlineStr">
        <is>
          <t xml:space="preserve">      "静奢风",</t>
        </is>
      </c>
    </row>
    <row r="2001">
      <c r="A2001" s="9" t="n">
        <v>1998</v>
      </c>
      <c r="B2001" s="10" t="inlineStr">
        <is>
          <t xml:space="preserve">      "面包机",</t>
        </is>
      </c>
    </row>
    <row r="2002">
      <c r="A2002" s="7" t="n">
        <v>1999</v>
      </c>
      <c r="B2002" s="8" t="inlineStr">
        <is>
          <t xml:space="preserve">      "面粉箱",</t>
        </is>
      </c>
    </row>
    <row r="2003">
      <c r="A2003" s="9" t="n">
        <v>2000</v>
      </c>
      <c r="B2003" s="10" t="inlineStr">
        <is>
          <t xml:space="preserve">      "韩式简约",</t>
        </is>
      </c>
    </row>
    <row r="2004">
      <c r="A2004" s="7" t="n">
        <v>2001</v>
      </c>
      <c r="B2004" s="8" t="inlineStr">
        <is>
          <t xml:space="preserve">      "顾家家居",</t>
        </is>
      </c>
    </row>
    <row r="2005">
      <c r="A2005" s="9" t="n">
        <v>2002</v>
      </c>
      <c r="B2005" s="10" t="inlineStr">
        <is>
          <t xml:space="preserve">      "颜色色差",</t>
        </is>
      </c>
    </row>
    <row r="2006">
      <c r="A2006" s="7" t="n">
        <v>2003</v>
      </c>
      <c r="B2006" s="8" t="inlineStr">
        <is>
          <t xml:space="preserve">      "食物垃圾处理器",</t>
        </is>
      </c>
    </row>
    <row r="2007">
      <c r="A2007" s="9" t="n">
        <v>2004</v>
      </c>
      <c r="B2007" s="10" t="inlineStr">
        <is>
          <t xml:space="preserve">      "餐厨一体",</t>
        </is>
      </c>
    </row>
    <row r="2008">
      <c r="A2008" s="7" t="n">
        <v>2005</v>
      </c>
      <c r="B2008" s="8" t="inlineStr">
        <is>
          <t xml:space="preserve">      "餐厨分离岛台",</t>
        </is>
      </c>
    </row>
    <row r="2009">
      <c r="A2009" s="9" t="n">
        <v>2006</v>
      </c>
      <c r="B2009" s="10" t="inlineStr">
        <is>
          <t xml:space="preserve">      "餐岛一体",</t>
        </is>
      </c>
    </row>
    <row r="2010">
      <c r="A2010" s="7" t="n">
        <v>2007</v>
      </c>
      <c r="B2010" s="8" t="inlineStr">
        <is>
          <t xml:space="preserve">      "饮水机",</t>
        </is>
      </c>
    </row>
    <row r="2011">
      <c r="A2011" s="9" t="n">
        <v>2008</v>
      </c>
      <c r="B2011" s="10" t="inlineStr">
        <is>
          <t xml:space="preserve">      "香奈儿白",</t>
        </is>
      </c>
    </row>
    <row r="2012">
      <c r="A2012" s="7" t="n">
        <v>2009</v>
      </c>
      <c r="B2012" s="8" t="inlineStr">
        <is>
          <t xml:space="preserve">      "香槟色",</t>
        </is>
      </c>
    </row>
    <row r="2013">
      <c r="A2013" s="9" t="n">
        <v>2010</v>
      </c>
      <c r="B2013" s="10" t="inlineStr">
        <is>
          <t xml:space="preserve">      "马可波罗",</t>
        </is>
      </c>
    </row>
    <row r="2014">
      <c r="A2014" s="7" t="n">
        <v>2011</v>
      </c>
      <c r="B2014" s="8" t="inlineStr">
        <is>
          <t xml:space="preserve">      "骑马抽滑轨",</t>
        </is>
      </c>
    </row>
    <row r="2015">
      <c r="A2015" s="9" t="n">
        <v>2012</v>
      </c>
      <c r="B2015" s="10" t="inlineStr">
        <is>
          <t xml:space="preserve">      "高低台设计",</t>
        </is>
      </c>
    </row>
    <row r="2016">
      <c r="A2016" s="7" t="n">
        <v>2013</v>
      </c>
      <c r="B2016" s="8" t="inlineStr">
        <is>
          <t xml:space="preserve">      "高低台面",</t>
        </is>
      </c>
    </row>
    <row r="2017">
      <c r="A2017" s="9" t="n">
        <v>2014</v>
      </c>
      <c r="B2017" s="10" t="inlineStr">
        <is>
          <t xml:space="preserve">      "高低岛台",</t>
        </is>
      </c>
    </row>
    <row r="2018">
      <c r="A2018" s="7" t="n">
        <v>2015</v>
      </c>
      <c r="B2018" s="8" t="inlineStr">
        <is>
          <t xml:space="preserve">      "高光PET门板",</t>
        </is>
      </c>
    </row>
    <row r="2019">
      <c r="A2019" s="9" t="n">
        <v>2016</v>
      </c>
      <c r="B2019" s="10" t="inlineStr">
        <is>
          <t xml:space="preserve">      "高光门板",</t>
        </is>
      </c>
    </row>
    <row r="2020">
      <c r="A2020" s="7" t="n">
        <v>2017</v>
      </c>
      <c r="B2020" s="8" t="inlineStr">
        <is>
          <t xml:space="preserve">      "高密度纤维板",</t>
        </is>
      </c>
    </row>
    <row r="2021">
      <c r="A2021" s="9" t="n">
        <v>2018</v>
      </c>
      <c r="B2021" s="10" t="inlineStr">
        <is>
          <t xml:space="preserve">      "高柜拉篮",</t>
        </is>
      </c>
    </row>
    <row r="2022">
      <c r="A2022" s="7" t="n">
        <v>2019</v>
      </c>
      <c r="B2022" s="8" t="inlineStr">
        <is>
          <t xml:space="preserve">      "高柜联动拉篮",</t>
        </is>
      </c>
    </row>
    <row r="2023">
      <c r="A2023" s="9" t="n">
        <v>2020</v>
      </c>
      <c r="B2023" s="10" t="inlineStr">
        <is>
          <t xml:space="preserve">      "鸡翅木色",</t>
        </is>
      </c>
    </row>
    <row r="2024">
      <c r="A2024" s="7" t="n">
        <v>2021</v>
      </c>
      <c r="B2024" s="8" t="inlineStr">
        <is>
          <t xml:space="preserve">      "鸽子灰",</t>
        </is>
      </c>
    </row>
    <row r="2025">
      <c r="A2025" s="9" t="n">
        <v>2022</v>
      </c>
      <c r="B2025" s="10" t="inlineStr">
        <is>
          <t xml:space="preserve">      "黄金洞",</t>
        </is>
      </c>
    </row>
    <row r="2026">
      <c r="A2026" s="7" t="n">
        <v>2023</v>
      </c>
      <c r="B2026" s="8" t="inlineStr">
        <is>
          <t xml:space="preserve">      "黑白根",</t>
        </is>
      </c>
    </row>
    <row r="2027">
      <c r="A2027" s="9" t="n">
        <v>2024</v>
      </c>
      <c r="B2027" s="10" t="inlineStr">
        <is>
          <t xml:space="preserve">      "黑白灰极简",</t>
        </is>
      </c>
    </row>
    <row r="2028">
      <c r="A2028" s="7" t="n">
        <v>2025</v>
      </c>
      <c r="B2028" s="8" t="inlineStr">
        <is>
          <t xml:space="preserve">      "黑胡桃深棕",</t>
        </is>
      </c>
    </row>
    <row r="2029">
      <c r="A2029" s="9" t="n">
        <v>2026</v>
      </c>
      <c r="B2029" s="10" t="inlineStr">
        <is>
          <t xml:space="preserve">      "黑胡桃色",</t>
        </is>
      </c>
    </row>
    <row r="2030">
      <c r="A2030" s="7" t="n">
        <v>2027</v>
      </c>
      <c r="B2030" s="8" t="inlineStr">
        <is>
          <t xml:space="preserve">      "黑胡桃黑棕",</t>
        </is>
      </c>
    </row>
    <row r="2031">
      <c r="A2031" s="9" t="n">
        <v>2028</v>
      </c>
      <c r="B2031" s="10" t="inlineStr">
        <is>
          <t xml:space="preserve">      "黑色岩板",</t>
        </is>
      </c>
    </row>
    <row r="2032">
      <c r="A2032" s="7" t="n">
        <v>2029</v>
      </c>
      <c r="B2032" s="8" t="inlineStr">
        <is>
          <t xml:space="preserve">      "黑色拉手",</t>
        </is>
      </c>
    </row>
    <row r="2033">
      <c r="A2033" s="9" t="n">
        <v>2030</v>
      </c>
      <c r="B2033" s="10" t="inlineStr">
        <is>
          <t xml:space="preserve">      "黑色水龙头"</t>
        </is>
      </c>
    </row>
    <row r="2034">
      <c r="A2034" s="7" t="n">
        <v>2031</v>
      </c>
      <c r="B2034" s="8" t="inlineStr">
        <is>
          <t xml:space="preserve">    ]</t>
        </is>
      </c>
    </row>
    <row r="2035">
      <c r="A2035" s="9" t="n">
        <v>2032</v>
      </c>
      <c r="B2035" s="10" t="inlineStr">
        <is>
          <t xml:space="preserve">  },</t>
        </is>
      </c>
    </row>
    <row r="2036">
      <c r="A2036" s="7" t="n">
        <v>2033</v>
      </c>
      <c r="B2036" s="8" t="inlineStr">
        <is>
          <t xml:space="preserve">  "stats": {</t>
        </is>
      </c>
    </row>
    <row r="2037">
      <c r="A2037" s="9" t="n">
        <v>2034</v>
      </c>
      <c r="B2037" s="10" t="inlineStr">
        <is>
          <t xml:space="preserve">    "total_words": 200,</t>
        </is>
      </c>
    </row>
    <row r="2038">
      <c r="A2038" s="7" t="n">
        <v>2035</v>
      </c>
      <c r="B2038" s="8" t="inlineStr">
        <is>
          <t xml:space="preserve">    "categories": 7</t>
        </is>
      </c>
    </row>
    <row r="2039">
      <c r="A2039" s="9" t="n">
        <v>2036</v>
      </c>
      <c r="B2039" s="10" t="inlineStr">
        <is>
          <t xml:space="preserve">  }</t>
        </is>
      </c>
    </row>
    <row r="2040">
      <c r="A2040" s="7" t="n">
        <v>2037</v>
      </c>
      <c r="B2040" s="8" t="inlineStr">
        <is>
          <t>}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requirements.txt</t>
        </is>
      </c>
      <c r="C1" s="5" t="inlineStr">
        <is>
          <t>行数: 34</t>
        </is>
      </c>
    </row>
    <row r="4">
      <c r="A4" s="7" t="n">
        <v>1</v>
      </c>
      <c r="B4" s="8" t="inlineStr">
        <is>
          <t># 核心引擎</t>
        </is>
      </c>
    </row>
    <row r="5">
      <c r="A5" s="9" t="n">
        <v>2</v>
      </c>
      <c r="B5" s="10" t="inlineStr">
        <is>
          <t>PyYAML==6.0.2</t>
        </is>
      </c>
    </row>
    <row r="6">
      <c r="A6" s="7" t="n">
        <v>3</v>
      </c>
      <c r="B6" s="8" t="inlineStr">
        <is>
          <t># 视频处理</t>
        </is>
      </c>
    </row>
    <row r="7">
      <c r="A7" s="9" t="n">
        <v>4</v>
      </c>
      <c r="B7" s="10" t="inlineStr">
        <is>
          <t>decord==0.6.0</t>
        </is>
      </c>
    </row>
    <row r="8">
      <c r="A8" s="7" t="n">
        <v>5</v>
      </c>
      <c r="B8" s="8" t="inlineStr">
        <is>
          <t>opencv-python==4.10.0.84</t>
        </is>
      </c>
    </row>
    <row r="9">
      <c r="A9" s="9" t="n">
        <v>6</v>
      </c>
      <c r="B9" s="10" t="inlineStr">
        <is>
          <t>ffmpeg-python==0.2.0</t>
        </is>
      </c>
    </row>
    <row r="10">
      <c r="A10" s="7" t="n">
        <v>7</v>
      </c>
      <c r="B10" s="8" t="inlineStr">
        <is>
          <t>scenedetect==0.6.4</t>
        </is>
      </c>
    </row>
    <row r="11">
      <c r="A11" s="9" t="n">
        <v>8</v>
      </c>
      <c r="B11" s="10" t="inlineStr">
        <is>
          <t>librosa==0.10.2.post1</t>
        </is>
      </c>
    </row>
    <row r="12">
      <c r="A12" s="7" t="n">
        <v>9</v>
      </c>
      <c r="B12" s="8" t="inlineStr">
        <is>
          <t># AI模型</t>
        </is>
      </c>
    </row>
    <row r="13">
      <c r="A13" s="9" t="n">
        <v>10</v>
      </c>
      <c r="B13" s="10" t="inlineStr">
        <is>
          <t>faster-whisper==1.0.3</t>
        </is>
      </c>
    </row>
    <row r="14">
      <c r="A14" s="7" t="n">
        <v>11</v>
      </c>
      <c r="B14" s="8" t="inlineStr">
        <is>
          <t>rapidocr-onnxruntime==1.3.24</t>
        </is>
      </c>
    </row>
    <row r="15">
      <c r="A15" s="9" t="n">
        <v>12</v>
      </c>
      <c r="B15" s="10" t="inlineStr">
        <is>
          <t>ultralytics==8.2.10</t>
        </is>
      </c>
    </row>
    <row r="16">
      <c r="A16" s="7" t="n">
        <v>13</v>
      </c>
      <c r="B16" s="8" t="inlineStr">
        <is>
          <t>transformers==4.44.2</t>
        </is>
      </c>
    </row>
    <row r="17">
      <c r="A17" s="9" t="n">
        <v>14</v>
      </c>
      <c r="B17" s="10" t="inlineStr">
        <is>
          <t>accelerate==0.33.0</t>
        </is>
      </c>
    </row>
    <row r="18">
      <c r="A18" s="7" t="n">
        <v>15</v>
      </c>
      <c r="B18" s="8" t="inlineStr">
        <is>
          <t>bitsandbytes==0.43.3</t>
        </is>
      </c>
    </row>
    <row r="19">
      <c r="A19" s="9" t="n">
        <v>16</v>
      </c>
      <c r="B19" s="10" t="inlineStr">
        <is>
          <t>torch==2.3.1</t>
        </is>
      </c>
    </row>
    <row r="20">
      <c r="A20" s="7" t="n">
        <v>17</v>
      </c>
      <c r="B20" s="8" t="inlineStr">
        <is>
          <t>torchvision==0.18.1</t>
        </is>
      </c>
    </row>
    <row r="21">
      <c r="A21" s="9" t="n">
        <v>18</v>
      </c>
      <c r="B21" s="10" t="inlineStr">
        <is>
          <t>pycorrector==0.5.2</t>
        </is>
      </c>
    </row>
    <row r="22">
      <c r="A22" s="7" t="n">
        <v>19</v>
      </c>
      <c r="B22" s="8" t="inlineStr">
        <is>
          <t># 向量检索</t>
        </is>
      </c>
    </row>
    <row r="23">
      <c r="A23" s="9" t="n">
        <v>20</v>
      </c>
      <c r="B23" s="10" t="inlineStr">
        <is>
          <t>faiss-cpu==1.8.0</t>
        </is>
      </c>
    </row>
    <row r="24">
      <c r="A24" s="7" t="n">
        <v>21</v>
      </c>
      <c r="B24" s="8" t="inlineStr">
        <is>
          <t>sentence-transformers==2.7.0</t>
        </is>
      </c>
    </row>
    <row r="25">
      <c r="A25" s="9" t="n">
        <v>22</v>
      </c>
      <c r="B25" s="10" t="inlineStr">
        <is>
          <t># 系统与工具</t>
        </is>
      </c>
    </row>
    <row r="26">
      <c r="A26" s="7" t="n">
        <v>23</v>
      </c>
      <c r="B26" s="8" t="inlineStr">
        <is>
          <t>psutil==6.0.0</t>
        </is>
      </c>
    </row>
    <row r="27">
      <c r="A27" s="9" t="n">
        <v>24</v>
      </c>
      <c r="B27" s="10" t="inlineStr">
        <is>
          <t>pynvml==11.5.3</t>
        </is>
      </c>
    </row>
    <row r="28">
      <c r="A28" s="7" t="n">
        <v>25</v>
      </c>
      <c r="B28" s="8" t="inlineStr">
        <is>
          <t>loguru==0.7.2</t>
        </is>
      </c>
    </row>
    <row r="29">
      <c r="A29" s="9" t="n">
        <v>26</v>
      </c>
      <c r="B29" s="10" t="inlineStr">
        <is>
          <t>numpy==1.26.4</t>
        </is>
      </c>
    </row>
    <row r="30">
      <c r="A30" s="7" t="n">
        <v>27</v>
      </c>
      <c r="B30" s="8" t="inlineStr">
        <is>
          <t>Pillow==10.4.0</t>
        </is>
      </c>
    </row>
    <row r="31">
      <c r="A31" s="9" t="n">
        <v>28</v>
      </c>
      <c r="B31" s="10" t="inlineStr">
        <is>
          <t>pandas==2.2.2</t>
        </is>
      </c>
    </row>
    <row r="32">
      <c r="A32" s="7" t="n">
        <v>29</v>
      </c>
      <c r="B32" s="8" t="inlineStr">
        <is>
          <t>openpyxl==3.1.5</t>
        </is>
      </c>
    </row>
    <row r="33">
      <c r="A33" s="9" t="n">
        <v>30</v>
      </c>
      <c r="B33" s="10" t="inlineStr">
        <is>
          <t># 可视化看板</t>
        </is>
      </c>
    </row>
    <row r="34">
      <c r="A34" s="7" t="n">
        <v>31</v>
      </c>
      <c r="B34" s="8" t="inlineStr">
        <is>
          <t>streamlit==1.37.1</t>
        </is>
      </c>
    </row>
    <row r="35">
      <c r="A35" s="9" t="n">
        <v>32</v>
      </c>
      <c r="B35" s="10" t="inlineStr">
        <is>
          <t>plotly==5.24.0</t>
        </is>
      </c>
    </row>
    <row r="36">
      <c r="A36" s="7" t="n">
        <v>33</v>
      </c>
      <c r="B36" s="8" t="inlineStr">
        <is>
          <t>watchdog==4.0.1</t>
        </is>
      </c>
    </row>
    <row r="37">
      <c r="A37" s="9" t="n">
        <v>34</v>
      </c>
      <c r="B37" s="10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requirements\phase2_optimize.txt</t>
        </is>
      </c>
      <c r="C1" s="5" t="inlineStr">
        <is>
          <t>行数: 26</t>
        </is>
      </c>
    </row>
    <row r="4">
      <c r="A4" s="7" t="n">
        <v>1</v>
      </c>
      <c r="B4" s="8" t="inlineStr">
        <is>
          <t># 目标检测与视觉理解</t>
        </is>
      </c>
    </row>
    <row r="5">
      <c r="A5" s="9" t="n">
        <v>2</v>
      </c>
      <c r="B5" s="10" t="inlineStr">
        <is>
          <t>ultralytics==8.2.10</t>
        </is>
      </c>
    </row>
    <row r="6">
      <c r="A6" s="7" t="n">
        <v>3</v>
      </c>
      <c r="B6" s="8" t="inlineStr">
        <is>
          <t>transformers==4.44.2</t>
        </is>
      </c>
    </row>
    <row r="7">
      <c r="A7" s="9" t="n">
        <v>4</v>
      </c>
      <c r="B7" s="10" t="inlineStr">
        <is>
          <t>accelerate==0.33.0</t>
        </is>
      </c>
    </row>
    <row r="8">
      <c r="A8" s="7" t="n">
        <v>5</v>
      </c>
      <c r="B8" s="8" t="inlineStr">
        <is>
          <t>bitsandbytes==0.43.3</t>
        </is>
      </c>
    </row>
    <row r="9">
      <c r="A9" s="9" t="n">
        <v>6</v>
      </c>
      <c r="B9" s="10" t="inlineStr">
        <is>
          <t>torch==2.3.1</t>
        </is>
      </c>
    </row>
    <row r="10">
      <c r="A10" s="7" t="n">
        <v>7</v>
      </c>
      <c r="B10" s="8" t="inlineStr">
        <is>
          <t>torchvision==0.18.1</t>
        </is>
      </c>
    </row>
    <row r="11">
      <c r="A11" s="9" t="n">
        <v>8</v>
      </c>
      <c r="B11" s="10" t="inlineStr">
        <is>
          <t># 音频处理</t>
        </is>
      </c>
    </row>
    <row r="12">
      <c r="A12" s="7" t="n">
        <v>9</v>
      </c>
      <c r="B12" s="8" t="inlineStr">
        <is>
          <t>librosa==0.10.2.post1</t>
        </is>
      </c>
    </row>
    <row r="13">
      <c r="A13" s="9" t="n">
        <v>10</v>
      </c>
      <c r="B13" s="10" t="inlineStr">
        <is>
          <t>tensorflow==2.15.0</t>
        </is>
      </c>
    </row>
    <row r="14">
      <c r="A14" s="7" t="n">
        <v>11</v>
      </c>
      <c r="B14" s="8" t="inlineStr">
        <is>
          <t>tensorflow-hub==0.16.1</t>
        </is>
      </c>
    </row>
    <row r="15">
      <c r="A15" s="9" t="n">
        <v>12</v>
      </c>
      <c r="B15" s="10" t="inlineStr">
        <is>
          <t># 工具依赖</t>
        </is>
      </c>
    </row>
    <row r="16">
      <c r="A16" s="7" t="n">
        <v>13</v>
      </c>
      <c r="B16" s="8" t="inlineStr">
        <is>
          <t>pyyaml==6.0.2</t>
        </is>
      </c>
    </row>
    <row r="17">
      <c r="A17" s="9" t="n">
        <v>14</v>
      </c>
      <c r="B17" s="10" t="inlineStr">
        <is>
          <t>psutil==6.0.0</t>
        </is>
      </c>
    </row>
    <row r="18">
      <c r="A18" s="7" t="n">
        <v>15</v>
      </c>
      <c r="B18" s="8" t="inlineStr">
        <is>
          <t>pynvml==11.5.3</t>
        </is>
      </c>
    </row>
    <row r="19">
      <c r="A19" s="9" t="n">
        <v>16</v>
      </c>
      <c r="B19" s="10" t="inlineStr">
        <is>
          <t># 视频处理</t>
        </is>
      </c>
    </row>
    <row r="20">
      <c r="A20" s="7" t="n">
        <v>17</v>
      </c>
      <c r="B20" s="8" t="inlineStr">
        <is>
          <t>decord&gt;=0.6.0</t>
        </is>
      </c>
    </row>
    <row r="21">
      <c r="A21" s="9" t="n">
        <v>18</v>
      </c>
      <c r="B21" s="10" t="inlineStr">
        <is>
          <t>opencv-python-headless&gt;=4.8.0</t>
        </is>
      </c>
    </row>
    <row r="22">
      <c r="A22" s="7" t="n">
        <v>19</v>
      </c>
      <c r="B22" s="8" t="inlineStr">
        <is>
          <t>numpy&gt;=1.24.0</t>
        </is>
      </c>
    </row>
    <row r="23">
      <c r="A23" s="9" t="n">
        <v>20</v>
      </c>
      <c r="B23" s="10" t="inlineStr">
        <is>
          <t># OCR</t>
        </is>
      </c>
    </row>
    <row r="24">
      <c r="A24" s="7" t="n">
        <v>21</v>
      </c>
      <c r="B24" s="8" t="inlineStr">
        <is>
          <t>rapidocr-onnxruntime&gt;=1.3.0</t>
        </is>
      </c>
    </row>
    <row r="25">
      <c r="A25" s="9" t="n">
        <v>22</v>
      </c>
      <c r="B25" s="10" t="inlineStr">
        <is>
          <t># 语音识别</t>
        </is>
      </c>
    </row>
    <row r="26">
      <c r="A26" s="7" t="n">
        <v>23</v>
      </c>
      <c r="B26" s="8" t="inlineStr">
        <is>
          <t>faster-whisper&gt;=0.10.0</t>
        </is>
      </c>
    </row>
    <row r="27">
      <c r="A27" s="9" t="n">
        <v>24</v>
      </c>
      <c r="B27" s="10" t="inlineStr">
        <is>
          <t># 数据库</t>
        </is>
      </c>
    </row>
    <row r="28">
      <c r="A28" s="7" t="n">
        <v>25</v>
      </c>
      <c r="B28" s="8" t="inlineStr">
        <is>
          <t># sqlite3 built-in</t>
        </is>
      </c>
    </row>
    <row r="29">
      <c r="A29" s="9" t="n">
        <v>26</v>
      </c>
      <c r="B29" s="10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scan_checkpoint.json</t>
        </is>
      </c>
      <c r="C1" s="5" t="inlineStr">
        <is>
          <t>行数: 6</t>
        </is>
      </c>
    </row>
    <row r="4">
      <c r="A4" s="7" t="n">
        <v>1</v>
      </c>
      <c r="B4" s="8" t="inlineStr">
        <is>
          <t>{</t>
        </is>
      </c>
    </row>
    <row r="5">
      <c r="A5" s="9" t="n">
        <v>2</v>
      </c>
      <c r="B5" s="10" t="inlineStr">
        <is>
          <t xml:space="preserve">  "last_path": "C:\\Users\\admin\\Desktop\\协助运营剪辑文件夹\\12.20\\13410694042321280素材.mp4",</t>
        </is>
      </c>
    </row>
    <row r="6">
      <c r="A6" s="7" t="n">
        <v>3</v>
      </c>
      <c r="B6" s="8" t="inlineStr">
        <is>
          <t xml:space="preserve">  "scanned_count": 0,</t>
        </is>
      </c>
    </row>
    <row r="7">
      <c r="A7" s="9" t="n">
        <v>4</v>
      </c>
      <c r="B7" s="10" t="inlineStr">
        <is>
          <t xml:space="preserve">  "discovered_count": 0,</t>
        </is>
      </c>
    </row>
    <row r="8">
      <c r="A8" s="7" t="n">
        <v>5</v>
      </c>
      <c r="B8" s="8" t="inlineStr">
        <is>
          <t xml:space="preserve">  "timestamp": "2026-06-12T12:54:38.723880"</t>
        </is>
      </c>
    </row>
    <row r="9">
      <c r="A9" s="9" t="n">
        <v>6</v>
      </c>
      <c r="B9" s="10" t="inlineStr">
        <is>
          <t>}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self_evolver_log.txt</t>
        </is>
      </c>
      <c r="C1" s="5" t="inlineStr">
        <is>
          <t>行数: 222</t>
        </is>
      </c>
    </row>
    <row r="4">
      <c r="A4" s="7" t="n">
        <v>1</v>
      </c>
      <c r="B4" s="8" t="inlineStr">
        <is>
          <t>[2026-06-12 15:05:06] [INFO] 树剪 自进化系统 启动</t>
        </is>
      </c>
    </row>
    <row r="5">
      <c r="A5" s="9" t="n">
        <v>2</v>
      </c>
      <c r="B5" s="10" t="inlineStr">
        <is>
          <t>[2026-06-12 15:05:06] [INFO]   AI模式: 规则模式</t>
        </is>
      </c>
    </row>
    <row r="6">
      <c r="A6" s="7" t="n">
        <v>3</v>
      </c>
      <c r="B6" s="8" t="inlineStr">
        <is>
          <t>[2026-06-12 15:05:06] [INFO]   GUI模式: CLI模式</t>
        </is>
      </c>
    </row>
    <row r="7">
      <c r="A7" s="9" t="n">
        <v>4</v>
      </c>
      <c r="B7" s="10" t="inlineStr">
        <is>
          <t>[2026-06-12 15:05:06] [INFO]   最大迭代: 1</t>
        </is>
      </c>
    </row>
    <row r="8">
      <c r="A8" s="7" t="n">
        <v>5</v>
      </c>
      <c r="B8" s="8" t="inlineStr">
        <is>
          <t>[2026-06-12 15:05:06] [INFO]   备份目录: E:\树剪软件相关文件\evolution_backups</t>
        </is>
      </c>
    </row>
    <row r="9">
      <c r="A9" s="9" t="n">
        <v>6</v>
      </c>
      <c r="B9" s="10" t="inlineStr">
        <is>
          <t xml:space="preserve">[2026-06-12 15:05:06] [INFO] </t>
        </is>
      </c>
    </row>
    <row r="10">
      <c r="A10" s="7" t="n">
        <v>7</v>
      </c>
      <c r="B10" s="8">
        <f>===========================================================</f>
        <v/>
      </c>
    </row>
    <row r="11">
      <c r="A11" s="9" t="n">
        <v>8</v>
      </c>
      <c r="B11" s="10" t="inlineStr">
        <is>
          <t>[2026-06-12 15:05:06] [INFO] 迭代 #1 开始</t>
        </is>
      </c>
    </row>
    <row r="12">
      <c r="A12" s="7" t="n">
        <v>9</v>
      </c>
      <c r="B12" s="8" t="inlineStr">
        <is>
          <t>[2026-06-12 15:05:06] [INFO] ============================================================</t>
        </is>
      </c>
    </row>
    <row r="13">
      <c r="A13" s="9" t="n">
        <v>10</v>
      </c>
      <c r="B13" s="10" t="inlineStr">
        <is>
          <t>[2026-06-12 15:05:06] [INFO] 阶段1: 核心功能测试</t>
        </is>
      </c>
    </row>
    <row r="14">
      <c r="A14" s="7" t="n">
        <v>11</v>
      </c>
      <c r="B14" s="8" t="inlineStr">
        <is>
          <t>[2026-06-12 15:05:06] [INFO]   [语法检查] 执行中...</t>
        </is>
      </c>
    </row>
    <row r="15">
      <c r="A15" s="9" t="n">
        <v>12</v>
      </c>
      <c r="B15" s="10" t="inlineStr">
        <is>
          <t>[2026-06-12 15:05:06] [INFO]   测试: Python语法检查</t>
        </is>
      </c>
    </row>
    <row r="16">
      <c r="A16" s="7" t="n">
        <v>13</v>
      </c>
      <c r="B16" s="8" t="inlineStr">
        <is>
          <t>[2026-06-12 15:05:12] [INFO]     [DONE] 语法检查: 58/58 通过, 0 错误</t>
        </is>
      </c>
    </row>
    <row r="17">
      <c r="A17" s="9" t="n">
        <v>14</v>
      </c>
      <c r="B17" s="10" t="inlineStr">
        <is>
          <t>[2026-06-12 15:05:12] [INFO]   [数据库完整性] 执行中...</t>
        </is>
      </c>
    </row>
    <row r="18">
      <c r="A18" s="7" t="n">
        <v>15</v>
      </c>
      <c r="B18" s="8" t="inlineStr">
        <is>
          <t>[2026-06-12 15:05:12] [INFO]   测试: 数据库完整性</t>
        </is>
      </c>
    </row>
    <row r="19">
      <c r="A19" s="9" t="n">
        <v>16</v>
      </c>
      <c r="B19" s="10" t="inlineStr">
        <is>
          <t>[2026-06-12 15:05:35] [INFO]     [OK] 19张表, 完整性ok</t>
        </is>
      </c>
    </row>
    <row r="20">
      <c r="A20" s="7" t="n">
        <v>17</v>
      </c>
      <c r="B20" s="8" t="inlineStr">
        <is>
          <t>[2026-06-12 15:05:35] [INFO]   [系统状态] 执行中...</t>
        </is>
      </c>
    </row>
    <row r="21">
      <c r="A21" s="9" t="n">
        <v>18</v>
      </c>
      <c r="B21" s="10" t="inlineStr">
        <is>
          <t>[2026-06-12 15:05:35] [INFO]   测试: 系统状态</t>
        </is>
      </c>
    </row>
    <row r="22">
      <c r="A22" s="7" t="n">
        <v>19</v>
      </c>
      <c r="B22" s="8" t="inlineStr">
        <is>
          <t>[2026-06-12 15:05:36] [INFO]     [DONE] FAISS=[OK], 素材=有数据</t>
        </is>
      </c>
    </row>
    <row r="23">
      <c r="A23" s="9" t="n">
        <v>20</v>
      </c>
      <c r="B23" s="10" t="inlineStr">
        <is>
          <t xml:space="preserve">[2026-06-12 15:05:36] [INFO] </t>
        </is>
      </c>
    </row>
    <row r="24">
      <c r="A24" s="7" t="n">
        <v>21</v>
      </c>
      <c r="B24" s="8" t="inlineStr">
        <is>
          <t>阶段2: 错误分析 (共0个错误)</t>
        </is>
      </c>
    </row>
    <row r="25">
      <c r="A25" s="9" t="n">
        <v>22</v>
      </c>
      <c r="B25" s="10" t="inlineStr">
        <is>
          <t xml:space="preserve">[2026-06-12 15:05:36] [INFO] </t>
        </is>
      </c>
    </row>
    <row r="26">
      <c r="A26" s="7" t="n">
        <v>23</v>
      </c>
      <c r="B26" s="8" t="inlineStr">
        <is>
          <t>迭代 #1 完成</t>
        </is>
      </c>
    </row>
    <row r="27">
      <c r="A27" s="9" t="n">
        <v>24</v>
      </c>
      <c r="B27" s="10" t="inlineStr">
        <is>
          <t>[2026-06-12 15:05:36] [INFO]   测试: 3项 | 错误: 0项 | 修复: 0项</t>
        </is>
      </c>
    </row>
    <row r="28">
      <c r="A28" s="7" t="n">
        <v>25</v>
      </c>
      <c r="B28" s="8" t="inlineStr">
        <is>
          <t>[2026-06-12 15:05:36] [INFO]   累计: 1次迭代, 成功率1/1</t>
        </is>
      </c>
    </row>
    <row r="29">
      <c r="A29" s="9" t="n">
        <v>26</v>
      </c>
      <c r="B29" s="10" t="inlineStr">
        <is>
          <t xml:space="preserve">[2026-06-12 15:05:36] [INFO] </t>
        </is>
      </c>
    </row>
    <row r="30">
      <c r="A30" s="7" t="n">
        <v>27</v>
      </c>
      <c r="B30" s="8" t="inlineStr">
        <is>
          <t>已达到最大迭代次数(1)，退出。</t>
        </is>
      </c>
    </row>
    <row r="31">
      <c r="A31" s="9" t="n">
        <v>28</v>
      </c>
      <c r="B31" s="10" t="inlineStr">
        <is>
          <t>[2026-06-12 15:05:36] [INFO] 自进化系统停止。总计 1 次迭代。</t>
        </is>
      </c>
    </row>
    <row r="32">
      <c r="A32" s="7" t="n">
        <v>29</v>
      </c>
      <c r="B32" s="8" t="inlineStr">
        <is>
          <t>[2026-06-12 15:05:36] [INFO] 最终统计: {"total_iterations": 1, "success_rate": "1/1", "total_fixes_applied": 0, "last_iteration": "2026-06-12T15:05:36.447946"}</t>
        </is>
      </c>
    </row>
    <row r="33">
      <c r="A33" s="9" t="n">
        <v>30</v>
      </c>
      <c r="B33" s="10" t="inlineStr">
        <is>
          <t>[2026-06-12 15:53:50] [INFO] 树剪 自进化系统 启动</t>
        </is>
      </c>
    </row>
    <row r="34">
      <c r="A34" s="7" t="n">
        <v>31</v>
      </c>
      <c r="B34" s="8" t="inlineStr">
        <is>
          <t>[2026-06-12 15:53:50] [INFO]   AI模式: 规则模式</t>
        </is>
      </c>
    </row>
    <row r="35">
      <c r="A35" s="9" t="n">
        <v>32</v>
      </c>
      <c r="B35" s="10" t="inlineStr">
        <is>
          <t>[2026-06-12 15:53:50] [INFO]   GUI模式: CLI模式</t>
        </is>
      </c>
    </row>
    <row r="36">
      <c r="A36" s="7" t="n">
        <v>33</v>
      </c>
      <c r="B36" s="8" t="inlineStr">
        <is>
          <t>[2026-06-12 15:53:50] [INFO]   最大迭代: 1</t>
        </is>
      </c>
    </row>
    <row r="37">
      <c r="A37" s="9" t="n">
        <v>34</v>
      </c>
      <c r="B37" s="10" t="inlineStr">
        <is>
          <t>[2026-06-12 15:53:50] [INFO]   备份目录: E:\树剪软件相关文件\evolution_backups</t>
        </is>
      </c>
    </row>
    <row r="38">
      <c r="A38" s="7" t="n">
        <v>35</v>
      </c>
      <c r="B38" s="8" t="inlineStr">
        <is>
          <t xml:space="preserve">[2026-06-12 15:53:50] [INFO] </t>
        </is>
      </c>
    </row>
    <row r="39">
      <c r="A39" s="9" t="n">
        <v>36</v>
      </c>
      <c r="B39" s="10">
        <f>===========================================================</f>
        <v/>
      </c>
    </row>
    <row r="40">
      <c r="A40" s="7" t="n">
        <v>37</v>
      </c>
      <c r="B40" s="8" t="inlineStr">
        <is>
          <t>[2026-06-12 15:53:50] [INFO] 迭代 #1 开始</t>
        </is>
      </c>
    </row>
    <row r="41">
      <c r="A41" s="9" t="n">
        <v>38</v>
      </c>
      <c r="B41" s="10" t="inlineStr">
        <is>
          <t>[2026-06-12 15:53:50] [INFO] ============================================================</t>
        </is>
      </c>
    </row>
    <row r="42">
      <c r="A42" s="7" t="n">
        <v>39</v>
      </c>
      <c r="B42" s="8" t="inlineStr">
        <is>
          <t>[2026-06-12 15:53:50] [INFO] 阶段1: 核心功能测试</t>
        </is>
      </c>
    </row>
    <row r="43">
      <c r="A43" s="9" t="n">
        <v>40</v>
      </c>
      <c r="B43" s="10" t="inlineStr">
        <is>
          <t>[2026-06-12 15:53:50] [INFO]   [语法检查] 执行中...</t>
        </is>
      </c>
    </row>
    <row r="44">
      <c r="A44" s="7" t="n">
        <v>41</v>
      </c>
      <c r="B44" s="8" t="inlineStr">
        <is>
          <t>[2026-06-12 15:53:50] [INFO]   测试: Python语法检查</t>
        </is>
      </c>
    </row>
    <row r="45">
      <c r="A45" s="9" t="n">
        <v>42</v>
      </c>
      <c r="B45" s="10" t="inlineStr">
        <is>
          <t>[2026-06-12 15:53:53] [INFO]     [DONE] 语法检查: 58/58 通过, 0 错误</t>
        </is>
      </c>
    </row>
    <row r="46">
      <c r="A46" s="7" t="n">
        <v>43</v>
      </c>
      <c r="B46" s="8" t="inlineStr">
        <is>
          <t>[2026-06-12 15:53:53] [INFO]   [数据库完整性] 执行中...</t>
        </is>
      </c>
    </row>
    <row r="47">
      <c r="A47" s="9" t="n">
        <v>44</v>
      </c>
      <c r="B47" s="10" t="inlineStr">
        <is>
          <t>[2026-06-12 15:53:53] [INFO]   测试: 数据库完整性</t>
        </is>
      </c>
    </row>
    <row r="48">
      <c r="A48" s="7" t="n">
        <v>45</v>
      </c>
      <c r="B48" s="8" t="inlineStr">
        <is>
          <t>[2026-06-12 15:54:18] [INFO]     [OK] 19张表, 完整性ok</t>
        </is>
      </c>
    </row>
    <row r="49">
      <c r="A49" s="9" t="n">
        <v>46</v>
      </c>
      <c r="B49" s="10" t="inlineStr">
        <is>
          <t>[2026-06-12 15:54:18] [INFO]   [系统状态] 执行中...</t>
        </is>
      </c>
    </row>
    <row r="50">
      <c r="A50" s="7" t="n">
        <v>47</v>
      </c>
      <c r="B50" s="8" t="inlineStr">
        <is>
          <t>[2026-06-12 15:54:18] [INFO]   测试: 系统状态</t>
        </is>
      </c>
    </row>
    <row r="51">
      <c r="A51" s="9" t="n">
        <v>48</v>
      </c>
      <c r="B51" s="10" t="inlineStr">
        <is>
          <t>[2026-06-12 15:54:19] [INFO]     [DONE] FAISS=[OK], 素材=有数据</t>
        </is>
      </c>
    </row>
    <row r="52">
      <c r="A52" s="7" t="n">
        <v>49</v>
      </c>
      <c r="B52" s="8" t="inlineStr">
        <is>
          <t xml:space="preserve">[2026-06-12 15:54:19] [INFO] </t>
        </is>
      </c>
    </row>
    <row r="53">
      <c r="A53" s="9" t="n">
        <v>50</v>
      </c>
      <c r="B53" s="10" t="inlineStr">
        <is>
          <t>阶段2: 错误分析 (共0个错误)</t>
        </is>
      </c>
    </row>
    <row r="54">
      <c r="A54" s="7" t="n">
        <v>51</v>
      </c>
      <c r="B54" s="8" t="inlineStr">
        <is>
          <t xml:space="preserve">[2026-06-12 15:54:19] [INFO] </t>
        </is>
      </c>
    </row>
    <row r="55">
      <c r="A55" s="9" t="n">
        <v>52</v>
      </c>
      <c r="B55" s="10" t="inlineStr">
        <is>
          <t>迭代 #1 完成</t>
        </is>
      </c>
    </row>
    <row r="56">
      <c r="A56" s="7" t="n">
        <v>53</v>
      </c>
      <c r="B56" s="8" t="inlineStr">
        <is>
          <t>[2026-06-12 15:54:19] [INFO]   测试: 3项 | 错误: 0项 | 修复: 0项</t>
        </is>
      </c>
    </row>
    <row r="57">
      <c r="A57" s="9" t="n">
        <v>54</v>
      </c>
      <c r="B57" s="10" t="inlineStr">
        <is>
          <t>[2026-06-12 15:54:19] [INFO]   累计: 2次迭代, 成功率2/2</t>
        </is>
      </c>
    </row>
    <row r="58">
      <c r="A58" s="7" t="n">
        <v>55</v>
      </c>
      <c r="B58" s="8" t="inlineStr">
        <is>
          <t xml:space="preserve">[2026-06-12 15:54:19] [INFO] </t>
        </is>
      </c>
    </row>
    <row r="59">
      <c r="A59" s="9" t="n">
        <v>56</v>
      </c>
      <c r="B59" s="10" t="inlineStr">
        <is>
          <t>已达到最大迭代次数(1)，退出。</t>
        </is>
      </c>
    </row>
    <row r="60">
      <c r="A60" s="7" t="n">
        <v>57</v>
      </c>
      <c r="B60" s="8" t="inlineStr">
        <is>
          <t>[2026-06-12 15:54:19] [INFO] 自进化系统停止。总计 1 次迭代。</t>
        </is>
      </c>
    </row>
    <row r="61">
      <c r="A61" s="9" t="n">
        <v>58</v>
      </c>
      <c r="B61" s="10" t="inlineStr">
        <is>
          <t>[2026-06-12 15:54:19] [INFO] 最终统计: {"total_iterations": 2, "success_rate": "2/2", "total_fixes_applied": 0, "last_iteration": "2026-06-12T15:54:19.747912"}</t>
        </is>
      </c>
    </row>
    <row r="62">
      <c r="A62" s="7" t="n">
        <v>59</v>
      </c>
      <c r="B62" s="8" t="inlineStr">
        <is>
          <t>[2026-06-12 15:54:48] [INFO] 树剪 自进化系统 启动</t>
        </is>
      </c>
    </row>
    <row r="63">
      <c r="A63" s="9" t="n">
        <v>60</v>
      </c>
      <c r="B63" s="10" t="inlineStr">
        <is>
          <t>[2026-06-12 15:54:48] [INFO]   AI模式: 规则模式</t>
        </is>
      </c>
    </row>
    <row r="64">
      <c r="A64" s="7" t="n">
        <v>61</v>
      </c>
      <c r="B64" s="8" t="inlineStr">
        <is>
          <t>[2026-06-12 15:54:48] [INFO]   GUI模式: CLI模式</t>
        </is>
      </c>
    </row>
    <row r="65">
      <c r="A65" s="9" t="n">
        <v>62</v>
      </c>
      <c r="B65" s="10" t="inlineStr">
        <is>
          <t>[2026-06-12 15:54:48] [INFO]   最大迭代: 3</t>
        </is>
      </c>
    </row>
    <row r="66">
      <c r="A66" s="7" t="n">
        <v>63</v>
      </c>
      <c r="B66" s="8" t="inlineStr">
        <is>
          <t>[2026-06-12 15:54:48] [INFO]   备份目录: E:\树剪软件相关文件\evolution_backups</t>
        </is>
      </c>
    </row>
    <row r="67">
      <c r="A67" s="9" t="n">
        <v>64</v>
      </c>
      <c r="B67" s="10" t="inlineStr">
        <is>
          <t xml:space="preserve">[2026-06-12 15:54:48] [INFO] </t>
        </is>
      </c>
    </row>
    <row r="68">
      <c r="A68" s="7" t="n">
        <v>65</v>
      </c>
      <c r="B68" s="8">
        <f>===========================================================</f>
        <v/>
      </c>
    </row>
    <row r="69">
      <c r="A69" s="9" t="n">
        <v>66</v>
      </c>
      <c r="B69" s="10" t="inlineStr">
        <is>
          <t>[2026-06-12 15:54:48] [INFO] 迭代 #1 开始</t>
        </is>
      </c>
    </row>
    <row r="70">
      <c r="A70" s="7" t="n">
        <v>67</v>
      </c>
      <c r="B70" s="8" t="inlineStr">
        <is>
          <t>[2026-06-12 15:54:48] [INFO] ============================================================</t>
        </is>
      </c>
    </row>
    <row r="71">
      <c r="A71" s="9" t="n">
        <v>68</v>
      </c>
      <c r="B71" s="10" t="inlineStr">
        <is>
          <t>[2026-06-12 15:54:48] [INFO] 阶段1: 核心功能测试</t>
        </is>
      </c>
    </row>
    <row r="72">
      <c r="A72" s="7" t="n">
        <v>69</v>
      </c>
      <c r="B72" s="8" t="inlineStr">
        <is>
          <t>[2026-06-12 15:54:48] [INFO]   [语法检查] 执行中...</t>
        </is>
      </c>
    </row>
    <row r="73">
      <c r="A73" s="9" t="n">
        <v>70</v>
      </c>
      <c r="B73" s="10" t="inlineStr">
        <is>
          <t>[2026-06-12 15:54:48] [INFO]   测试: Python语法检查</t>
        </is>
      </c>
    </row>
    <row r="74">
      <c r="A74" s="7" t="n">
        <v>71</v>
      </c>
      <c r="B74" s="8" t="inlineStr">
        <is>
          <t>[2026-06-12 15:54:48] [INFO]     [DONE] 语法检查: 58/58 通过, 0 错误</t>
        </is>
      </c>
    </row>
    <row r="75">
      <c r="A75" s="9" t="n">
        <v>72</v>
      </c>
      <c r="B75" s="10" t="inlineStr">
        <is>
          <t>[2026-06-12 15:54:48] [INFO]   [数据库完整性] 执行中...</t>
        </is>
      </c>
    </row>
    <row r="76">
      <c r="A76" s="7" t="n">
        <v>73</v>
      </c>
      <c r="B76" s="8" t="inlineStr">
        <is>
          <t>[2026-06-12 15:54:48] [INFO]   测试: 数据库完整性</t>
        </is>
      </c>
    </row>
    <row r="77">
      <c r="A77" s="9" t="n">
        <v>74</v>
      </c>
      <c r="B77" s="10" t="inlineStr">
        <is>
          <t>[2026-06-12 15:54:48] [INFO]     [OK] 19张表, 完整性ok</t>
        </is>
      </c>
    </row>
    <row r="78">
      <c r="A78" s="7" t="n">
        <v>75</v>
      </c>
      <c r="B78" s="8" t="inlineStr">
        <is>
          <t>[2026-06-12 15:54:48] [INFO]   [系统状态] 执行中...</t>
        </is>
      </c>
    </row>
    <row r="79">
      <c r="A79" s="9" t="n">
        <v>76</v>
      </c>
      <c r="B79" s="10" t="inlineStr">
        <is>
          <t>[2026-06-12 15:54:48] [INFO]   测试: 系统状态</t>
        </is>
      </c>
    </row>
    <row r="80">
      <c r="A80" s="7" t="n">
        <v>77</v>
      </c>
      <c r="B80" s="8" t="inlineStr">
        <is>
          <t>[2026-06-12 15:54:49] [INFO]     [DONE] FAISS=[OK], 素材=有数据</t>
        </is>
      </c>
    </row>
    <row r="81">
      <c r="A81" s="9" t="n">
        <v>78</v>
      </c>
      <c r="B81" s="10" t="inlineStr">
        <is>
          <t xml:space="preserve">[2026-06-12 15:54:49] [INFO] </t>
        </is>
      </c>
    </row>
    <row r="82">
      <c r="A82" s="7" t="n">
        <v>79</v>
      </c>
      <c r="B82" s="8" t="inlineStr">
        <is>
          <t>阶段2: 错误分析 (共0个错误)</t>
        </is>
      </c>
    </row>
    <row r="83">
      <c r="A83" s="9" t="n">
        <v>80</v>
      </c>
      <c r="B83" s="10" t="inlineStr">
        <is>
          <t xml:space="preserve">[2026-06-12 15:54:49] [INFO] </t>
        </is>
      </c>
    </row>
    <row r="84">
      <c r="A84" s="7" t="n">
        <v>81</v>
      </c>
      <c r="B84" s="8" t="inlineStr">
        <is>
          <t>迭代 #1 完成</t>
        </is>
      </c>
    </row>
    <row r="85">
      <c r="A85" s="9" t="n">
        <v>82</v>
      </c>
      <c r="B85" s="10" t="inlineStr">
        <is>
          <t>[2026-06-12 15:54:49] [INFO]   测试: 3项 | 错误: 0项 | 修复: 0项</t>
        </is>
      </c>
    </row>
    <row r="86">
      <c r="A86" s="7" t="n">
        <v>83</v>
      </c>
      <c r="B86" s="8" t="inlineStr">
        <is>
          <t>[2026-06-12 15:54:49] [INFO]   累计: 3次迭代, 成功率3/3</t>
        </is>
      </c>
    </row>
    <row r="87">
      <c r="A87" s="9" t="n">
        <v>84</v>
      </c>
      <c r="B87" s="10" t="inlineStr">
        <is>
          <t>[2026-06-12 15:54:49] [INFO] 自进化系统停止。总计 1 次迭代。</t>
        </is>
      </c>
    </row>
    <row r="88">
      <c r="A88" s="7" t="n">
        <v>85</v>
      </c>
      <c r="B88" s="8" t="inlineStr">
        <is>
          <t>[2026-06-12 15:54:49] [INFO] 最终统计: {"total_iterations": 3, "success_rate": "3/3", "total_fixes_applied": 0, "last_iteration": "2026-06-12T15:54:49.200460"}</t>
        </is>
      </c>
    </row>
    <row r="89">
      <c r="A89" s="9" t="n">
        <v>86</v>
      </c>
      <c r="B89" s="10" t="inlineStr">
        <is>
          <t>[2026-06-12 15:56:18] [INFO] 树剪 自进化系统 启动</t>
        </is>
      </c>
    </row>
    <row r="90">
      <c r="A90" s="7" t="n">
        <v>87</v>
      </c>
      <c r="B90" s="8" t="inlineStr">
        <is>
          <t>[2026-06-12 15:56:18] [INFO]   AI模式: 规则模式</t>
        </is>
      </c>
    </row>
    <row r="91">
      <c r="A91" s="9" t="n">
        <v>88</v>
      </c>
      <c r="B91" s="10" t="inlineStr">
        <is>
          <t>[2026-06-12 15:56:18] [INFO]   GUI模式: CLI模式</t>
        </is>
      </c>
    </row>
    <row r="92">
      <c r="A92" s="7" t="n">
        <v>89</v>
      </c>
      <c r="B92" s="8" t="inlineStr">
        <is>
          <t>[2026-06-12 15:56:18] [INFO]   最大迭代: 5</t>
        </is>
      </c>
    </row>
    <row r="93">
      <c r="A93" s="9" t="n">
        <v>90</v>
      </c>
      <c r="B93" s="10" t="inlineStr">
        <is>
          <t>[2026-06-12 15:56:18] [INFO]   备份目录: E:\树剪软件相关文件\evolution_backups</t>
        </is>
      </c>
    </row>
    <row r="94">
      <c r="A94" s="7" t="n">
        <v>91</v>
      </c>
      <c r="B94" s="8" t="inlineStr">
        <is>
          <t xml:space="preserve">[2026-06-12 15:56:18] [INFO] </t>
        </is>
      </c>
    </row>
    <row r="95">
      <c r="A95" s="9" t="n">
        <v>92</v>
      </c>
      <c r="B95" s="10">
        <f>===========================================================</f>
        <v/>
      </c>
    </row>
    <row r="96">
      <c r="A96" s="7" t="n">
        <v>93</v>
      </c>
      <c r="B96" s="8" t="inlineStr">
        <is>
          <t>[2026-06-12 15:56:18] [INFO] 迭代 #1 开始</t>
        </is>
      </c>
    </row>
    <row r="97">
      <c r="A97" s="9" t="n">
        <v>94</v>
      </c>
      <c r="B97" s="10" t="inlineStr">
        <is>
          <t>[2026-06-12 15:56:18] [INFO] ============================================================</t>
        </is>
      </c>
    </row>
    <row r="98">
      <c r="A98" s="7" t="n">
        <v>95</v>
      </c>
      <c r="B98" s="8" t="inlineStr">
        <is>
          <t>[2026-06-12 15:56:18] [INFO] 阶段1: 核心功能测试</t>
        </is>
      </c>
    </row>
    <row r="99">
      <c r="A99" s="9" t="n">
        <v>96</v>
      </c>
      <c r="B99" s="10" t="inlineStr">
        <is>
          <t>[2026-06-12 15:56:18] [INFO]   [语法检查] 执行中...</t>
        </is>
      </c>
    </row>
    <row r="100">
      <c r="A100" s="7" t="n">
        <v>97</v>
      </c>
      <c r="B100" s="8" t="inlineStr">
        <is>
          <t>[2026-06-12 15:56:18] [INFO]   测试: Python语法检查</t>
        </is>
      </c>
    </row>
    <row r="101">
      <c r="A101" s="9" t="n">
        <v>98</v>
      </c>
      <c r="B101" s="10" t="inlineStr">
        <is>
          <t>[2026-06-12 15:56:22] [INFO]     [DONE] 语法检查: 58/58 通过, 0 错误</t>
        </is>
      </c>
    </row>
    <row r="102">
      <c r="A102" s="7" t="n">
        <v>99</v>
      </c>
      <c r="B102" s="8" t="inlineStr">
        <is>
          <t>[2026-06-12 15:56:22] [INFO]   [数据库完整性] 执行中...</t>
        </is>
      </c>
    </row>
    <row r="103">
      <c r="A103" s="9" t="n">
        <v>100</v>
      </c>
      <c r="B103" s="10" t="inlineStr">
        <is>
          <t>[2026-06-12 15:56:22] [INFO]   测试: 数据库完整性</t>
        </is>
      </c>
    </row>
    <row r="104">
      <c r="A104" s="7" t="n">
        <v>101</v>
      </c>
      <c r="B104" s="8" t="inlineStr">
        <is>
          <t>[2026-06-12 15:56:51] [INFO]     [OK] 19张表, 完整性ok</t>
        </is>
      </c>
    </row>
    <row r="105">
      <c r="A105" s="9" t="n">
        <v>102</v>
      </c>
      <c r="B105" s="10" t="inlineStr">
        <is>
          <t>[2026-06-12 15:56:51] [INFO]   [系统状态] 执行中...</t>
        </is>
      </c>
    </row>
    <row r="106">
      <c r="A106" s="7" t="n">
        <v>103</v>
      </c>
      <c r="B106" s="8" t="inlineStr">
        <is>
          <t>[2026-06-12 15:56:51] [INFO]   测试: 系统状态</t>
        </is>
      </c>
    </row>
    <row r="107">
      <c r="A107" s="9" t="n">
        <v>104</v>
      </c>
      <c r="B107" s="10" t="inlineStr">
        <is>
          <t>[2026-06-12 15:56:52] [INFO]     [DONE] FAISS=[OK], 素材=有数据</t>
        </is>
      </c>
    </row>
    <row r="108">
      <c r="A108" s="7" t="n">
        <v>105</v>
      </c>
      <c r="B108" s="8" t="inlineStr">
        <is>
          <t xml:space="preserve">[2026-06-12 15:56:52] [INFO] </t>
        </is>
      </c>
    </row>
    <row r="109">
      <c r="A109" s="9" t="n">
        <v>106</v>
      </c>
      <c r="B109" s="10" t="inlineStr">
        <is>
          <t>阶段2: 错误分析 (共0个错误)</t>
        </is>
      </c>
    </row>
    <row r="110">
      <c r="A110" s="7" t="n">
        <v>107</v>
      </c>
      <c r="B110" s="8" t="inlineStr">
        <is>
          <t xml:space="preserve">[2026-06-12 15:56:52] [INFO] </t>
        </is>
      </c>
    </row>
    <row r="111">
      <c r="A111" s="9" t="n">
        <v>108</v>
      </c>
      <c r="B111" s="10" t="inlineStr">
        <is>
          <t>迭代 #1 完成</t>
        </is>
      </c>
    </row>
    <row r="112">
      <c r="A112" s="7" t="n">
        <v>109</v>
      </c>
      <c r="B112" s="8" t="inlineStr">
        <is>
          <t>[2026-06-12 15:56:52] [INFO]   测试: 3项 | 错误: 0项 | 修复: 0项</t>
        </is>
      </c>
    </row>
    <row r="113">
      <c r="A113" s="9" t="n">
        <v>110</v>
      </c>
      <c r="B113" s="10" t="inlineStr">
        <is>
          <t>[2026-06-12 15:56:52] [INFO]   累计: 4次迭代, 成功率4/4</t>
        </is>
      </c>
    </row>
    <row r="114">
      <c r="A114" s="7" t="n">
        <v>111</v>
      </c>
      <c r="B114" s="8" t="inlineStr">
        <is>
          <t xml:space="preserve">[2026-06-12 15:56:52] [INFO] </t>
        </is>
      </c>
    </row>
    <row r="115">
      <c r="A115" s="9" t="n">
        <v>112</v>
      </c>
      <c r="B115" s="10" t="inlineStr">
        <is>
          <t>等待 116s 后开始下一次迭代... (Ctrl+C 退出)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[2026-06-12 15:58:48] [INFO] </t>
        </is>
      </c>
    </row>
    <row r="118">
      <c r="A118" s="7" t="n">
        <v>115</v>
      </c>
      <c r="B118" s="8">
        <f>===========================================================</f>
        <v/>
      </c>
    </row>
    <row r="119">
      <c r="A119" s="9" t="n">
        <v>116</v>
      </c>
      <c r="B119" s="10" t="inlineStr">
        <is>
          <t>[2026-06-12 15:58:48] [INFO] 迭代 #2 开始</t>
        </is>
      </c>
    </row>
    <row r="120">
      <c r="A120" s="7" t="n">
        <v>117</v>
      </c>
      <c r="B120" s="8" t="inlineStr">
        <is>
          <t>[2026-06-12 15:58:48] [INFO] ============================================================</t>
        </is>
      </c>
    </row>
    <row r="121">
      <c r="A121" s="9" t="n">
        <v>118</v>
      </c>
      <c r="B121" s="10" t="inlineStr">
        <is>
          <t>[2026-06-12 15:58:48] [INFO] 阶段1: 核心功能测试</t>
        </is>
      </c>
    </row>
    <row r="122">
      <c r="A122" s="7" t="n">
        <v>119</v>
      </c>
      <c r="B122" s="8" t="inlineStr">
        <is>
          <t>[2026-06-12 15:58:48] [INFO]   [语法检查] 执行中...</t>
        </is>
      </c>
    </row>
    <row r="123">
      <c r="A123" s="9" t="n">
        <v>120</v>
      </c>
      <c r="B123" s="10" t="inlineStr">
        <is>
          <t>[2026-06-12 15:58:48] [INFO]   测试: Python语法检查</t>
        </is>
      </c>
    </row>
    <row r="124">
      <c r="A124" s="7" t="n">
        <v>121</v>
      </c>
      <c r="B124" s="8" t="inlineStr">
        <is>
          <t>[2026-06-12 15:58:51] [INFO]     [DONE] 语法检查: 58/58 通过, 0 错误</t>
        </is>
      </c>
    </row>
    <row r="125">
      <c r="A125" s="9" t="n">
        <v>122</v>
      </c>
      <c r="B125" s="10" t="inlineStr">
        <is>
          <t>[2026-06-12 15:58:51] [INFO]   [数据库完整性] 执行中...</t>
        </is>
      </c>
    </row>
    <row r="126">
      <c r="A126" s="7" t="n">
        <v>123</v>
      </c>
      <c r="B126" s="8" t="inlineStr">
        <is>
          <t>[2026-06-12 15:58:51] [INFO]   测试: 数据库完整性</t>
        </is>
      </c>
    </row>
    <row r="127">
      <c r="A127" s="9" t="n">
        <v>124</v>
      </c>
      <c r="B127" s="10" t="inlineStr">
        <is>
          <t>[2026-06-12 15:59:18] [INFO]     [OK] 19张表, 完整性ok</t>
        </is>
      </c>
    </row>
    <row r="128">
      <c r="A128" s="7" t="n">
        <v>125</v>
      </c>
      <c r="B128" s="8" t="inlineStr">
        <is>
          <t>[2026-06-12 15:59:18] [INFO]   [系统状态] 执行中...</t>
        </is>
      </c>
    </row>
    <row r="129">
      <c r="A129" s="9" t="n">
        <v>126</v>
      </c>
      <c r="B129" s="10" t="inlineStr">
        <is>
          <t>[2026-06-12 15:59:18] [INFO]   测试: 系统状态</t>
        </is>
      </c>
    </row>
    <row r="130">
      <c r="A130" s="7" t="n">
        <v>127</v>
      </c>
      <c r="B130" s="8" t="inlineStr">
        <is>
          <t>[2026-06-12 15:59:19] [INFO]     [DONE] FAISS=[OK], 素材=有数据</t>
        </is>
      </c>
    </row>
    <row r="131">
      <c r="A131" s="9" t="n">
        <v>128</v>
      </c>
      <c r="B131" s="10" t="inlineStr">
        <is>
          <t xml:space="preserve">[2026-06-12 15:59:19] [INFO] </t>
        </is>
      </c>
    </row>
    <row r="132">
      <c r="A132" s="7" t="n">
        <v>129</v>
      </c>
      <c r="B132" s="8" t="inlineStr">
        <is>
          <t>阶段2: 错误分析 (共0个错误)</t>
        </is>
      </c>
    </row>
    <row r="133">
      <c r="A133" s="9" t="n">
        <v>130</v>
      </c>
      <c r="B133" s="10" t="inlineStr">
        <is>
          <t xml:space="preserve">[2026-06-12 15:59:19] [INFO] </t>
        </is>
      </c>
    </row>
    <row r="134">
      <c r="A134" s="7" t="n">
        <v>131</v>
      </c>
      <c r="B134" s="8" t="inlineStr">
        <is>
          <t>迭代 #2 完成</t>
        </is>
      </c>
    </row>
    <row r="135">
      <c r="A135" s="9" t="n">
        <v>132</v>
      </c>
      <c r="B135" s="10" t="inlineStr">
        <is>
          <t>[2026-06-12 15:59:19] [INFO]   测试: 3项 | 错误: 0项 | 修复: 0项</t>
        </is>
      </c>
    </row>
    <row r="136">
      <c r="A136" s="7" t="n">
        <v>133</v>
      </c>
      <c r="B136" s="8" t="inlineStr">
        <is>
          <t>[2026-06-12 15:59:19] [INFO]   累计: 5次迭代, 成功率5/5</t>
        </is>
      </c>
    </row>
    <row r="137">
      <c r="A137" s="9" t="n">
        <v>134</v>
      </c>
      <c r="B137" s="10" t="inlineStr">
        <is>
          <t xml:space="preserve">[2026-06-12 15:59:19] [INFO] </t>
        </is>
      </c>
    </row>
    <row r="138">
      <c r="A138" s="7" t="n">
        <v>135</v>
      </c>
      <c r="B138" s="8" t="inlineStr">
        <is>
          <t>等待 75s 后开始下一次迭代... (Ctrl+C 退出)</t>
        </is>
      </c>
    </row>
    <row r="139">
      <c r="A139" s="9" t="n">
        <v>136</v>
      </c>
      <c r="B139" s="10" t="inlineStr"/>
    </row>
    <row r="140">
      <c r="A140" s="7" t="n">
        <v>137</v>
      </c>
      <c r="B140" s="8" t="inlineStr">
        <is>
          <t xml:space="preserve">[2026-06-12 16:00:34] [INFO] </t>
        </is>
      </c>
    </row>
    <row r="141">
      <c r="A141" s="9" t="n">
        <v>138</v>
      </c>
      <c r="B141" s="10">
        <f>===========================================================</f>
        <v/>
      </c>
    </row>
    <row r="142">
      <c r="A142" s="7" t="n">
        <v>139</v>
      </c>
      <c r="B142" s="8" t="inlineStr">
        <is>
          <t>[2026-06-12 16:00:34] [INFO] 迭代 #3 开始</t>
        </is>
      </c>
    </row>
    <row r="143">
      <c r="A143" s="9" t="n">
        <v>140</v>
      </c>
      <c r="B143" s="10" t="inlineStr">
        <is>
          <t>[2026-06-12 16:00:34] [INFO] ============================================================</t>
        </is>
      </c>
    </row>
    <row r="144">
      <c r="A144" s="7" t="n">
        <v>141</v>
      </c>
      <c r="B144" s="8" t="inlineStr">
        <is>
          <t>[2026-06-12 16:00:34] [INFO] 阶段1: 核心功能测试</t>
        </is>
      </c>
    </row>
    <row r="145">
      <c r="A145" s="9" t="n">
        <v>142</v>
      </c>
      <c r="B145" s="10" t="inlineStr">
        <is>
          <t>[2026-06-12 16:00:34] [INFO]   [语法检查] 执行中...</t>
        </is>
      </c>
    </row>
    <row r="146">
      <c r="A146" s="7" t="n">
        <v>143</v>
      </c>
      <c r="B146" s="8" t="inlineStr">
        <is>
          <t>[2026-06-12 16:00:34] [INFO]   测试: Python语法检查</t>
        </is>
      </c>
    </row>
    <row r="147">
      <c r="A147" s="9" t="n">
        <v>144</v>
      </c>
      <c r="B147" s="10" t="inlineStr">
        <is>
          <t>[2026-06-12 16:00:38] [INFO]     [DONE] 语法检查: 58/58 通过, 0 错误</t>
        </is>
      </c>
    </row>
    <row r="148">
      <c r="A148" s="7" t="n">
        <v>145</v>
      </c>
      <c r="B148" s="8" t="inlineStr">
        <is>
          <t>[2026-06-12 16:00:38] [INFO]   [数据库完整性] 执行中...</t>
        </is>
      </c>
    </row>
    <row r="149">
      <c r="A149" s="9" t="n">
        <v>146</v>
      </c>
      <c r="B149" s="10" t="inlineStr">
        <is>
          <t>[2026-06-12 16:00:38] [INFO]   测试: 数据库完整性</t>
        </is>
      </c>
    </row>
    <row r="150">
      <c r="A150" s="7" t="n">
        <v>147</v>
      </c>
      <c r="B150" s="8" t="inlineStr">
        <is>
          <t>[2026-06-12 16:01:05] [INFO]     [OK] 19张表, 完整性ok</t>
        </is>
      </c>
    </row>
    <row r="151">
      <c r="A151" s="9" t="n">
        <v>148</v>
      </c>
      <c r="B151" s="10" t="inlineStr">
        <is>
          <t>[2026-06-12 16:01:05] [INFO]   [系统状态] 执行中...</t>
        </is>
      </c>
    </row>
    <row r="152">
      <c r="A152" s="7" t="n">
        <v>149</v>
      </c>
      <c r="B152" s="8" t="inlineStr">
        <is>
          <t>[2026-06-12 16:01:05] [INFO]   测试: 系统状态</t>
        </is>
      </c>
    </row>
    <row r="153">
      <c r="A153" s="9" t="n">
        <v>150</v>
      </c>
      <c r="B153" s="10" t="inlineStr">
        <is>
          <t>[2026-06-12 16:01:06] [INFO]     [DONE] FAISS=[OK], 素材=有数据</t>
        </is>
      </c>
    </row>
    <row r="154">
      <c r="A154" s="7" t="n">
        <v>151</v>
      </c>
      <c r="B154" s="8" t="inlineStr">
        <is>
          <t>[2026-06-12 16:01:06] [INFO]   [单次生成(油风)] 执行中...</t>
        </is>
      </c>
    </row>
    <row r="155">
      <c r="A155" s="9" t="n">
        <v>152</v>
      </c>
      <c r="B155" s="10" t="inlineStr">
        <is>
          <t>[2026-06-12 16:01:06] [INFO]   测试: 单次生成 (关键词=奶油风岛台)</t>
        </is>
      </c>
    </row>
    <row r="156">
      <c r="A156" s="7" t="n">
        <v>153</v>
      </c>
      <c r="B156" s="8" t="inlineStr">
        <is>
          <t>[2026-06-12 16:03:06] [INFO]     [TIMEOUT] 生成超时</t>
        </is>
      </c>
    </row>
    <row r="157">
      <c r="A157" s="9" t="n">
        <v>154</v>
      </c>
      <c r="B157" s="10" t="inlineStr">
        <is>
          <t xml:space="preserve">[2026-06-12 16:03:06] [INFO] </t>
        </is>
      </c>
    </row>
    <row r="158">
      <c r="A158" s="7" t="n">
        <v>155</v>
      </c>
      <c r="B158" s="8" t="inlineStr">
        <is>
          <t>阶段2: 错误分析 (共1个错误)</t>
        </is>
      </c>
    </row>
    <row r="159">
      <c r="A159" s="9" t="n">
        <v>156</v>
      </c>
      <c r="B159" s="10" t="inlineStr">
        <is>
          <t>[2026-06-12 16:03:06] [INFO]   [Timeout] → 未匹配到修复模式: Timeout</t>
        </is>
      </c>
    </row>
    <row r="160">
      <c r="A160" s="7" t="n">
        <v>157</v>
      </c>
      <c r="B160" s="8" t="inlineStr">
        <is>
          <t xml:space="preserve">[2026-06-12 16:03:06] [INFO] </t>
        </is>
      </c>
    </row>
    <row r="161">
      <c r="A161" s="9" t="n">
        <v>158</v>
      </c>
      <c r="B161" s="10" t="inlineStr">
        <is>
          <t>迭代 #3 完成</t>
        </is>
      </c>
    </row>
    <row r="162">
      <c r="A162" s="7" t="n">
        <v>159</v>
      </c>
      <c r="B162" s="8" t="inlineStr">
        <is>
          <t>[2026-06-12 16:03:06] [INFO]   测试: 4项 | 错误: 1项 | 修复: 0项</t>
        </is>
      </c>
    </row>
    <row r="163">
      <c r="A163" s="9" t="n">
        <v>160</v>
      </c>
      <c r="B163" s="10" t="inlineStr">
        <is>
          <t>[2026-06-12 16:03:06] [INFO]   累计: 6次迭代, 成功率6/6</t>
        </is>
      </c>
    </row>
    <row r="164">
      <c r="A164" s="7" t="n">
        <v>161</v>
      </c>
      <c r="B164" s="8" t="inlineStr">
        <is>
          <t xml:space="preserve">[2026-06-12 16:03:06] [INFO] </t>
        </is>
      </c>
    </row>
    <row r="165">
      <c r="A165" s="9" t="n">
        <v>162</v>
      </c>
      <c r="B165" s="10" t="inlineStr">
        <is>
          <t>等待 84s 后开始下一次迭代... (Ctrl+C 退出)</t>
        </is>
      </c>
    </row>
    <row r="166">
      <c r="A166" s="7" t="n">
        <v>163</v>
      </c>
      <c r="B166" s="8" t="inlineStr"/>
    </row>
    <row r="167">
      <c r="A167" s="9" t="n">
        <v>164</v>
      </c>
      <c r="B167" s="10" t="inlineStr">
        <is>
          <t xml:space="preserve">[2026-06-12 16:04:30] [INFO] </t>
        </is>
      </c>
    </row>
    <row r="168">
      <c r="A168" s="7" t="n">
        <v>165</v>
      </c>
      <c r="B168" s="8">
        <f>===========================================================</f>
        <v/>
      </c>
    </row>
    <row r="169">
      <c r="A169" s="9" t="n">
        <v>166</v>
      </c>
      <c r="B169" s="10" t="inlineStr">
        <is>
          <t>[2026-06-12 16:04:30] [INFO] 迭代 #4 开始</t>
        </is>
      </c>
    </row>
    <row r="170">
      <c r="A170" s="7" t="n">
        <v>167</v>
      </c>
      <c r="B170" s="8" t="inlineStr">
        <is>
          <t>[2026-06-12 16:04:30] [INFO] ============================================================</t>
        </is>
      </c>
    </row>
    <row r="171">
      <c r="A171" s="9" t="n">
        <v>168</v>
      </c>
      <c r="B171" s="10" t="inlineStr">
        <is>
          <t>[2026-06-12 16:04:30] [INFO] 阶段1: 核心功能测试</t>
        </is>
      </c>
    </row>
    <row r="172">
      <c r="A172" s="7" t="n">
        <v>169</v>
      </c>
      <c r="B172" s="8" t="inlineStr">
        <is>
          <t>[2026-06-12 16:04:30] [INFO]   [语法检查] 执行中...</t>
        </is>
      </c>
    </row>
    <row r="173">
      <c r="A173" s="9" t="n">
        <v>170</v>
      </c>
      <c r="B173" s="10" t="inlineStr">
        <is>
          <t>[2026-06-12 16:04:30] [INFO]   测试: Python语法检查</t>
        </is>
      </c>
    </row>
    <row r="174">
      <c r="A174" s="7" t="n">
        <v>171</v>
      </c>
      <c r="B174" s="8" t="inlineStr">
        <is>
          <t>[2026-06-12 16:04:35] [INFO]     [DONE] 语法检查: 58/58 通过, 0 错误</t>
        </is>
      </c>
    </row>
    <row r="175">
      <c r="A175" s="9" t="n">
        <v>172</v>
      </c>
      <c r="B175" s="10" t="inlineStr">
        <is>
          <t>[2026-06-12 16:04:35] [INFO]   [数据库完整性] 执行中...</t>
        </is>
      </c>
    </row>
    <row r="176">
      <c r="A176" s="7" t="n">
        <v>173</v>
      </c>
      <c r="B176" s="8" t="inlineStr">
        <is>
          <t>[2026-06-12 16:04:35] [INFO]   测试: 数据库完整性</t>
        </is>
      </c>
    </row>
    <row r="177">
      <c r="A177" s="9" t="n">
        <v>174</v>
      </c>
      <c r="B177" s="10" t="inlineStr">
        <is>
          <t>[2026-06-12 16:05:04] [INFO]     [OK] 19张表, 完整性ok</t>
        </is>
      </c>
    </row>
    <row r="178">
      <c r="A178" s="7" t="n">
        <v>175</v>
      </c>
      <c r="B178" s="8" t="inlineStr">
        <is>
          <t>[2026-06-12 16:05:04] [INFO]   [系统状态] 执行中...</t>
        </is>
      </c>
    </row>
    <row r="179">
      <c r="A179" s="9" t="n">
        <v>176</v>
      </c>
      <c r="B179" s="10" t="inlineStr">
        <is>
          <t>[2026-06-12 16:05:04] [INFO]   测试: 系统状态</t>
        </is>
      </c>
    </row>
    <row r="180">
      <c r="A180" s="7" t="n">
        <v>177</v>
      </c>
      <c r="B180" s="8" t="inlineStr">
        <is>
          <t>[2026-06-12 16:05:05] [INFO]     [DONE] FAISS=[OK], 素材=有数据</t>
        </is>
      </c>
    </row>
    <row r="181">
      <c r="A181" s="9" t="n">
        <v>178</v>
      </c>
      <c r="B181" s="10" t="inlineStr">
        <is>
          <t xml:space="preserve">[2026-06-12 16:05:05] [INFO] </t>
        </is>
      </c>
    </row>
    <row r="182">
      <c r="A182" s="7" t="n">
        <v>179</v>
      </c>
      <c r="B182" s="8" t="inlineStr">
        <is>
          <t>阶段2: 错误分析 (共0个错误)</t>
        </is>
      </c>
    </row>
    <row r="183">
      <c r="A183" s="9" t="n">
        <v>180</v>
      </c>
      <c r="B183" s="10" t="inlineStr">
        <is>
          <t xml:space="preserve">[2026-06-12 16:05:05] [INFO] </t>
        </is>
      </c>
    </row>
    <row r="184">
      <c r="A184" s="7" t="n">
        <v>181</v>
      </c>
      <c r="B184" s="8" t="inlineStr">
        <is>
          <t>迭代 #4 完成</t>
        </is>
      </c>
    </row>
    <row r="185">
      <c r="A185" s="9" t="n">
        <v>182</v>
      </c>
      <c r="B185" s="10" t="inlineStr">
        <is>
          <t>[2026-06-12 16:05:05] [INFO]   测试: 3项 | 错误: 0项 | 修复: 0项</t>
        </is>
      </c>
    </row>
    <row r="186">
      <c r="A186" s="7" t="n">
        <v>183</v>
      </c>
      <c r="B186" s="8" t="inlineStr">
        <is>
          <t>[2026-06-12 16:05:05] [INFO]   累计: 7次迭代, 成功率7/7</t>
        </is>
      </c>
    </row>
    <row r="187">
      <c r="A187" s="9" t="n">
        <v>184</v>
      </c>
      <c r="B187" s="10" t="inlineStr">
        <is>
          <t xml:space="preserve">[2026-06-12 16:05:05] [INFO] </t>
        </is>
      </c>
    </row>
    <row r="188">
      <c r="A188" s="7" t="n">
        <v>185</v>
      </c>
      <c r="B188" s="8" t="inlineStr">
        <is>
          <t>等待 104s 后开始下一次迭代... (Ctrl+C 退出)</t>
        </is>
      </c>
    </row>
    <row r="189">
      <c r="A189" s="9" t="n">
        <v>186</v>
      </c>
      <c r="B189" s="10" t="inlineStr"/>
    </row>
    <row r="190">
      <c r="A190" s="7" t="n">
        <v>187</v>
      </c>
      <c r="B190" s="8" t="inlineStr">
        <is>
          <t xml:space="preserve">[2026-06-12 16:06:49] [INFO] </t>
        </is>
      </c>
    </row>
    <row r="191">
      <c r="A191" s="9" t="n">
        <v>188</v>
      </c>
      <c r="B191" s="10">
        <f>===========================================================</f>
        <v/>
      </c>
    </row>
    <row r="192">
      <c r="A192" s="7" t="n">
        <v>189</v>
      </c>
      <c r="B192" s="8" t="inlineStr">
        <is>
          <t>[2026-06-12 16:06:49] [INFO] 迭代 #5 开始</t>
        </is>
      </c>
    </row>
    <row r="193">
      <c r="A193" s="9" t="n">
        <v>190</v>
      </c>
      <c r="B193" s="10" t="inlineStr">
        <is>
          <t>[2026-06-12 16:06:49] [INFO] ============================================================</t>
        </is>
      </c>
    </row>
    <row r="194">
      <c r="A194" s="7" t="n">
        <v>191</v>
      </c>
      <c r="B194" s="8" t="inlineStr">
        <is>
          <t>[2026-06-12 16:06:49] [INFO] 阶段1: 核心功能测试</t>
        </is>
      </c>
    </row>
    <row r="195">
      <c r="A195" s="9" t="n">
        <v>192</v>
      </c>
      <c r="B195" s="10" t="inlineStr">
        <is>
          <t>[2026-06-12 16:06:49] [INFO]   [语法检查] 执行中...</t>
        </is>
      </c>
    </row>
    <row r="196">
      <c r="A196" s="7" t="n">
        <v>193</v>
      </c>
      <c r="B196" s="8" t="inlineStr">
        <is>
          <t>[2026-06-12 16:06:49] [INFO]   测试: Python语法检查</t>
        </is>
      </c>
    </row>
    <row r="197">
      <c r="A197" s="9" t="n">
        <v>194</v>
      </c>
      <c r="B197" s="10" t="inlineStr">
        <is>
          <t>[2026-06-12 16:06:52] [INFO]     [DONE] 语法检查: 58/58 通过, 0 错误</t>
        </is>
      </c>
    </row>
    <row r="198">
      <c r="A198" s="7" t="n">
        <v>195</v>
      </c>
      <c r="B198" s="8" t="inlineStr">
        <is>
          <t>[2026-06-12 16:06:52] [INFO]   [数据库完整性] 执行中...</t>
        </is>
      </c>
    </row>
    <row r="199">
      <c r="A199" s="9" t="n">
        <v>196</v>
      </c>
      <c r="B199" s="10" t="inlineStr">
        <is>
          <t>[2026-06-12 16:06:52] [INFO]   测试: 数据库完整性</t>
        </is>
      </c>
    </row>
    <row r="200">
      <c r="A200" s="7" t="n">
        <v>197</v>
      </c>
      <c r="B200" s="8" t="inlineStr">
        <is>
          <t>[2026-06-12 16:07:13] [INFO]     [OK] 19张表, 完整性ok</t>
        </is>
      </c>
    </row>
    <row r="201">
      <c r="A201" s="9" t="n">
        <v>198</v>
      </c>
      <c r="B201" s="10" t="inlineStr">
        <is>
          <t>[2026-06-12 16:07:13] [INFO]   [系统状态] 执行中...</t>
        </is>
      </c>
    </row>
    <row r="202">
      <c r="A202" s="7" t="n">
        <v>199</v>
      </c>
      <c r="B202" s="8" t="inlineStr">
        <is>
          <t>[2026-06-12 16:07:13] [INFO]   测试: 系统状态</t>
        </is>
      </c>
    </row>
    <row r="203">
      <c r="A203" s="9" t="n">
        <v>200</v>
      </c>
      <c r="B203" s="10" t="inlineStr">
        <is>
          <t>[2026-06-12 16:07:14] [INFO]     [DONE] FAISS=[OK], 素材=有数据</t>
        </is>
      </c>
    </row>
    <row r="204">
      <c r="A204" s="7" t="n">
        <v>201</v>
      </c>
      <c r="B204" s="8" t="inlineStr">
        <is>
          <t>[2026-06-12 16:07:14] [INFO]   [批量生成(2条)] 执行中...</t>
        </is>
      </c>
    </row>
    <row r="205">
      <c r="A205" s="9" t="n">
        <v>202</v>
      </c>
      <c r="B205" s="10" t="inlineStr">
        <is>
          <t>[2026-06-12 16:07:14] [INFO]   测试: 批量生成 (数量=2)</t>
        </is>
      </c>
    </row>
    <row r="206">
      <c r="A206" s="7" t="n">
        <v>203</v>
      </c>
      <c r="B206" s="8" t="inlineStr">
        <is>
          <t>[2026-06-12 16:10:31] [INFO]     [DONE] 批量生成: 成功5/失败0</t>
        </is>
      </c>
    </row>
    <row r="207">
      <c r="A207" s="9" t="n">
        <v>204</v>
      </c>
      <c r="B207" s="10" t="inlineStr">
        <is>
          <t xml:space="preserve">[2026-06-12 16:10:31] [INFO] </t>
        </is>
      </c>
    </row>
    <row r="208">
      <c r="A208" s="7" t="n">
        <v>205</v>
      </c>
      <c r="B208" s="8" t="inlineStr">
        <is>
          <t>阶段2: 错误分析 (共0个错误)</t>
        </is>
      </c>
    </row>
    <row r="209">
      <c r="A209" s="9" t="n">
        <v>206</v>
      </c>
      <c r="B209" s="10" t="inlineStr">
        <is>
          <t xml:space="preserve">[2026-06-12 16:10:31] [INFO] </t>
        </is>
      </c>
    </row>
    <row r="210">
      <c r="A210" s="7" t="n">
        <v>207</v>
      </c>
      <c r="B210" s="8" t="inlineStr">
        <is>
          <t>迭代 #5 完成</t>
        </is>
      </c>
    </row>
    <row r="211">
      <c r="A211" s="9" t="n">
        <v>208</v>
      </c>
      <c r="B211" s="10" t="inlineStr">
        <is>
          <t>[2026-06-12 16:10:31] [INFO]   测试: 4项 | 错误: 0项 | 修复: 0项</t>
        </is>
      </c>
    </row>
    <row r="212">
      <c r="A212" s="7" t="n">
        <v>209</v>
      </c>
      <c r="B212" s="8" t="inlineStr">
        <is>
          <t>[2026-06-12 16:10:31] [INFO]   累计: 8次迭代, 成功率8/8</t>
        </is>
      </c>
    </row>
    <row r="213">
      <c r="A213" s="9" t="n">
        <v>210</v>
      </c>
      <c r="B213" s="10" t="inlineStr">
        <is>
          <t xml:space="preserve">[2026-06-12 16:10:31] [INFO] </t>
        </is>
      </c>
    </row>
    <row r="214">
      <c r="A214" s="7" t="n">
        <v>211</v>
      </c>
      <c r="B214" s="8" t="inlineStr">
        <is>
          <t>已达到最大迭代次数(5)，退出。</t>
        </is>
      </c>
    </row>
    <row r="215">
      <c r="A215" s="9" t="n">
        <v>212</v>
      </c>
      <c r="B215" s="10" t="inlineStr">
        <is>
          <t>[2026-06-12 16:10:31] [INFO] 自进化系统停止。总计 5 次迭代。</t>
        </is>
      </c>
    </row>
    <row r="216">
      <c r="A216" s="7" t="n">
        <v>213</v>
      </c>
      <c r="B216" s="8" t="inlineStr">
        <is>
          <t>[2026-06-12 16:10:31] [INFO] 最终统计: {"total_iterations": 8, "success_rate": "8/8", "total_fixes_applied": 0, "last_iteration": "2026-06-12T16:10:31.075016"}</t>
        </is>
      </c>
    </row>
    <row r="217">
      <c r="A217" s="9" t="n">
        <v>214</v>
      </c>
      <c r="B217" s="10" t="inlineStr">
        <is>
          <t>[2026-06-12 16:42:46] [INFO] 树剪 自进化系统 启动</t>
        </is>
      </c>
    </row>
    <row r="218">
      <c r="A218" s="7" t="n">
        <v>215</v>
      </c>
      <c r="B218" s="8" t="inlineStr">
        <is>
          <t>[2026-06-12 16:42:46] [INFO]   AI模式: 规则模式</t>
        </is>
      </c>
    </row>
    <row r="219">
      <c r="A219" s="9" t="n">
        <v>216</v>
      </c>
      <c r="B219" s="10" t="inlineStr">
        <is>
          <t>[2026-06-12 16:42:46] [INFO]   GUI模式: CLI模式</t>
        </is>
      </c>
    </row>
    <row r="220">
      <c r="A220" s="7" t="n">
        <v>217</v>
      </c>
      <c r="B220" s="8" t="inlineStr">
        <is>
          <t>[2026-06-12 16:42:46] [INFO]   最大迭代: 1</t>
        </is>
      </c>
    </row>
    <row r="221">
      <c r="A221" s="9" t="n">
        <v>218</v>
      </c>
      <c r="B221" s="10" t="inlineStr">
        <is>
          <t>[2026-06-12 16:42:46] [INFO]   备份目录: E:\树剪软件相关文件\evolution_backups</t>
        </is>
      </c>
    </row>
    <row r="222">
      <c r="A222" s="7" t="n">
        <v>219</v>
      </c>
      <c r="B222" s="8" t="inlineStr">
        <is>
          <t xml:space="preserve">[2026-06-12 16:42:46] [INFO] </t>
        </is>
      </c>
    </row>
    <row r="223">
      <c r="A223" s="9" t="n">
        <v>220</v>
      </c>
      <c r="B223" s="10">
        <f>===========================================================</f>
        <v/>
      </c>
    </row>
    <row r="224">
      <c r="A224" s="7" t="n">
        <v>221</v>
      </c>
      <c r="B224" s="8" t="inlineStr">
        <is>
          <t>[2026-06-12 16:42:46] [INFO] 迭代 #1 开始</t>
        </is>
      </c>
    </row>
    <row r="225">
      <c r="A225" s="9" t="n">
        <v>222</v>
      </c>
      <c r="B225" s="10" t="inlineStr">
        <is>
          <t>[2026-06-12 16:42:46] [INFO] ============================================================</t>
        </is>
      </c>
    </row>
    <row r="226">
      <c r="A226" s="7" t="n">
        <v>223</v>
      </c>
      <c r="B226" s="8" t="inlineStr">
        <is>
          <t>[2026-06-12 16:42:46] [INFO] 阶段1: 核心功能测试</t>
        </is>
      </c>
    </row>
    <row r="227">
      <c r="A227" s="9" t="n">
        <v>224</v>
      </c>
      <c r="B227" s="10" t="inlineStr">
        <is>
          <t>[2026-06-12 16:42:46] [INFO]   [语法检查] 执行中...</t>
        </is>
      </c>
    </row>
    <row r="228">
      <c r="A228" s="7" t="n">
        <v>225</v>
      </c>
      <c r="B228" s="8" t="inlineStr">
        <is>
          <t>[2026-06-12 16:42:46] [INFO]   测试: Python语法检查</t>
        </is>
      </c>
    </row>
    <row r="229">
      <c r="A229" s="9" t="n">
        <v>226</v>
      </c>
      <c r="B229" s="10" t="inlineStr">
        <is>
          <t>[2026-06-12 16:42:48] [INFO]     [DONE] 语法检查: 58/58 通过, 0 错误</t>
        </is>
      </c>
    </row>
    <row r="230">
      <c r="A230" s="7" t="n">
        <v>227</v>
      </c>
      <c r="B230" s="8" t="inlineStr">
        <is>
          <t>[2026-06-12 16:42:48] [INFO]   [数据库完整性] 执行中...</t>
        </is>
      </c>
    </row>
    <row r="231">
      <c r="A231" s="9" t="n">
        <v>228</v>
      </c>
      <c r="B231" s="10" t="inlineStr">
        <is>
          <t>[2026-06-12 16:42:48] [INFO]   测试: 数据库完整性</t>
        </is>
      </c>
    </row>
    <row r="232">
      <c r="A232" s="7" t="n">
        <v>229</v>
      </c>
      <c r="B232" s="8" t="inlineStr">
        <is>
          <t>[2026-06-12 16:43:16] [INFO]     [OK] 19张表, 完整性ok</t>
        </is>
      </c>
    </row>
    <row r="233">
      <c r="A233" s="9" t="n">
        <v>230</v>
      </c>
      <c r="B233" s="10" t="inlineStr">
        <is>
          <t>[2026-06-12 16:43:16] [INFO]   [系统状态] 执行中...</t>
        </is>
      </c>
    </row>
    <row r="234">
      <c r="A234" s="7" t="n">
        <v>231</v>
      </c>
      <c r="B234" s="8" t="inlineStr">
        <is>
          <t>[2026-06-12 16:43:16] [INFO]   测试: 系统状态</t>
        </is>
      </c>
    </row>
    <row r="235">
      <c r="A235" s="9" t="n">
        <v>232</v>
      </c>
      <c r="B235" s="10" t="inlineStr">
        <is>
          <t>[2026-06-12 16:43:17] [INFO]     [DONE] FAISS=[OK], 素材=有数据</t>
        </is>
      </c>
    </row>
    <row r="236">
      <c r="A236" s="7" t="n">
        <v>233</v>
      </c>
      <c r="B236" s="8" t="inlineStr">
        <is>
          <t xml:space="preserve">[2026-06-12 16:43:17] [INFO] </t>
        </is>
      </c>
    </row>
    <row r="237">
      <c r="A237" s="9" t="n">
        <v>234</v>
      </c>
      <c r="B237" s="10" t="inlineStr">
        <is>
          <t>阶段2: 错误分析 (共0个错误)</t>
        </is>
      </c>
    </row>
    <row r="238">
      <c r="A238" s="7" t="n">
        <v>235</v>
      </c>
      <c r="B238" s="8" t="inlineStr">
        <is>
          <t xml:space="preserve">[2026-06-12 16:43:17] [INFO] </t>
        </is>
      </c>
    </row>
    <row r="239">
      <c r="A239" s="9" t="n">
        <v>236</v>
      </c>
      <c r="B239" s="10" t="inlineStr">
        <is>
          <t>迭代 #1 完成</t>
        </is>
      </c>
    </row>
    <row r="240">
      <c r="A240" s="7" t="n">
        <v>237</v>
      </c>
      <c r="B240" s="8" t="inlineStr">
        <is>
          <t>[2026-06-12 16:43:17] [INFO]   测试: 3项 | 错误: 0项 | 修复: 0项</t>
        </is>
      </c>
    </row>
    <row r="241">
      <c r="A241" s="9" t="n">
        <v>238</v>
      </c>
      <c r="B241" s="10" t="inlineStr">
        <is>
          <t>[2026-06-12 16:43:17] [INFO]   累计: 9次迭代, 成功率9/9</t>
        </is>
      </c>
    </row>
    <row r="242">
      <c r="A242" s="7" t="n">
        <v>239</v>
      </c>
      <c r="B242" s="8" t="inlineStr">
        <is>
          <t xml:space="preserve">[2026-06-12 16:43:17] [INFO] </t>
        </is>
      </c>
    </row>
    <row r="243">
      <c r="A243" s="9" t="n">
        <v>240</v>
      </c>
      <c r="B243" s="10" t="inlineStr">
        <is>
          <t>已达到最大迭代次数(1)，退出。</t>
        </is>
      </c>
    </row>
    <row r="244">
      <c r="A244" s="7" t="n">
        <v>241</v>
      </c>
      <c r="B244" s="8" t="inlineStr">
        <is>
          <t>[2026-06-12 16:43:17] [INFO] 自进化系统停止。总计 1 次迭代。</t>
        </is>
      </c>
    </row>
    <row r="245">
      <c r="A245" s="9" t="n">
        <v>242</v>
      </c>
      <c r="B245" s="10" t="inlineStr">
        <is>
          <t>[2026-06-12 16:43:17] [INFO] 最终统计: {"total_iterations": 9, "success_rate": "9/9", "total_fixes_applied": 0, "last_iteration": "2026-06-12T16:43:17.218543"}</t>
        </is>
      </c>
    </row>
    <row r="246">
      <c r="A246" s="7" t="n">
        <v>243</v>
      </c>
      <c r="B246" s="8" t="inlineStr">
        <is>
          <t>[2026-06-12 16:43:24] [INFO] 树剪 自进化系统 启动</t>
        </is>
      </c>
    </row>
    <row r="247">
      <c r="A247" s="9" t="n">
        <v>244</v>
      </c>
      <c r="B247" s="10" t="inlineStr">
        <is>
          <t>[2026-06-12 16:43:24] [INFO]   AI模式: 规则模式</t>
        </is>
      </c>
    </row>
    <row r="248">
      <c r="A248" s="7" t="n">
        <v>245</v>
      </c>
      <c r="B248" s="8" t="inlineStr">
        <is>
          <t>[2026-06-12 16:43:24] [INFO]   GUI模式: CLI模式</t>
        </is>
      </c>
    </row>
    <row r="249">
      <c r="A249" s="9" t="n">
        <v>246</v>
      </c>
      <c r="B249" s="10" t="inlineStr">
        <is>
          <t>[2026-06-12 16:43:24] [INFO]   最大迭代: 2</t>
        </is>
      </c>
    </row>
    <row r="250">
      <c r="A250" s="7" t="n">
        <v>247</v>
      </c>
      <c r="B250" s="8" t="inlineStr">
        <is>
          <t>[2026-06-12 16:43:24] [INFO]   备份目录: E:\树剪软件相关文件\evolution_backups</t>
        </is>
      </c>
    </row>
    <row r="251">
      <c r="A251" s="9" t="n">
        <v>248</v>
      </c>
      <c r="B251" s="10" t="inlineStr">
        <is>
          <t xml:space="preserve">[2026-06-12 16:43:24] [INFO] </t>
        </is>
      </c>
    </row>
    <row r="252">
      <c r="A252" s="7" t="n">
        <v>249</v>
      </c>
      <c r="B252" s="8">
        <f>===========================================================</f>
        <v/>
      </c>
    </row>
    <row r="253">
      <c r="A253" s="9" t="n">
        <v>250</v>
      </c>
      <c r="B253" s="10" t="inlineStr">
        <is>
          <t>[2026-06-12 16:43:24] [INFO] 迭代 #1 开始</t>
        </is>
      </c>
    </row>
    <row r="254">
      <c r="A254" s="7" t="n">
        <v>251</v>
      </c>
      <c r="B254" s="8" t="inlineStr">
        <is>
          <t>[2026-06-12 16:43:24] [INFO] ============================================================</t>
        </is>
      </c>
    </row>
    <row r="255">
      <c r="A255" s="9" t="n">
        <v>252</v>
      </c>
      <c r="B255" s="10" t="inlineStr">
        <is>
          <t>[2026-06-12 16:43:24] [INFO] 阶段1: 核心功能测试</t>
        </is>
      </c>
    </row>
    <row r="256">
      <c r="A256" s="7" t="n">
        <v>253</v>
      </c>
      <c r="B256" s="8" t="inlineStr">
        <is>
          <t>[2026-06-12 16:43:24] [INFO]   [语法检查] 执行中...</t>
        </is>
      </c>
    </row>
    <row r="257">
      <c r="A257" s="9" t="n">
        <v>254</v>
      </c>
      <c r="B257" s="10" t="inlineStr">
        <is>
          <t>[2026-06-12 16:43:24] [INFO]   测试: Python语法检查</t>
        </is>
      </c>
    </row>
    <row r="258">
      <c r="A258" s="7" t="n">
        <v>255</v>
      </c>
      <c r="B258" s="8" t="inlineStr">
        <is>
          <t>[2026-06-12 16:43:24] [INFO]     [DONE] 语法检查: 58/58 通过, 0 错误</t>
        </is>
      </c>
    </row>
    <row r="259">
      <c r="A259" s="9" t="n">
        <v>256</v>
      </c>
      <c r="B259" s="10" t="inlineStr">
        <is>
          <t>[2026-06-12 16:43:24] [INFO]   [数据库完整性] 执行中...</t>
        </is>
      </c>
    </row>
    <row r="260">
      <c r="A260" s="7" t="n">
        <v>257</v>
      </c>
      <c r="B260" s="8" t="inlineStr">
        <is>
          <t>[2026-06-12 16:43:24] [INFO]   测试: 数据库完整性</t>
        </is>
      </c>
    </row>
    <row r="261">
      <c r="A261" s="9" t="n">
        <v>258</v>
      </c>
      <c r="B261" s="10" t="inlineStr">
        <is>
          <t>[2026-06-12 16:43:25] [INFO]     [OK] 19张表, 完整性ok</t>
        </is>
      </c>
    </row>
    <row r="262">
      <c r="A262" s="7" t="n">
        <v>259</v>
      </c>
      <c r="B262" s="8" t="inlineStr">
        <is>
          <t>[2026-06-12 16:43:25] [INFO]   [系统状态] 执行中...</t>
        </is>
      </c>
    </row>
    <row r="263">
      <c r="A263" s="9" t="n">
        <v>260</v>
      </c>
      <c r="B263" s="10" t="inlineStr">
        <is>
          <t>[2026-06-12 16:43:25] [INFO]   测试: 系统状态</t>
        </is>
      </c>
    </row>
    <row r="264">
      <c r="A264" s="7" t="n">
        <v>261</v>
      </c>
      <c r="B264" s="8" t="inlineStr">
        <is>
          <t>[2026-06-12 16:43:25] [INFO]     [DONE] FAISS=[OK], 素材=有数据</t>
        </is>
      </c>
    </row>
    <row r="265">
      <c r="A265" s="9" t="n">
        <v>262</v>
      </c>
      <c r="B265" s="10" t="inlineStr">
        <is>
          <t xml:space="preserve">[2026-06-12 16:43:25] [INFO] </t>
        </is>
      </c>
    </row>
    <row r="266">
      <c r="A266" s="7" t="n">
        <v>263</v>
      </c>
      <c r="B266" s="8" t="inlineStr">
        <is>
          <t>阶段2: 错误分析 (共0个错误)</t>
        </is>
      </c>
    </row>
    <row r="267">
      <c r="A267" s="9" t="n">
        <v>264</v>
      </c>
      <c r="B267" s="10" t="inlineStr">
        <is>
          <t xml:space="preserve">[2026-06-12 16:43:25] [INFO] </t>
        </is>
      </c>
    </row>
    <row r="268">
      <c r="A268" s="7" t="n">
        <v>265</v>
      </c>
      <c r="B268" s="8" t="inlineStr">
        <is>
          <t>迭代 #1 完成</t>
        </is>
      </c>
    </row>
    <row r="269">
      <c r="A269" s="9" t="n">
        <v>266</v>
      </c>
      <c r="B269" s="10" t="inlineStr">
        <is>
          <t>[2026-06-12 16:43:25] [INFO]   测试: 3项 | 错误: 0项 | 修复: 0项</t>
        </is>
      </c>
    </row>
    <row r="270">
      <c r="A270" s="7" t="n">
        <v>267</v>
      </c>
      <c r="B270" s="8" t="inlineStr">
        <is>
          <t>[2026-06-12 16:43:25] [INFO]   累计: 10次迭代, 成功率10/10</t>
        </is>
      </c>
    </row>
    <row r="271">
      <c r="A271" s="9" t="n">
        <v>268</v>
      </c>
      <c r="B271" s="10" t="inlineStr">
        <is>
          <t xml:space="preserve">[2026-06-12 16:43:25] [INFO] </t>
        </is>
      </c>
    </row>
    <row r="272">
      <c r="A272" s="7" t="n">
        <v>269</v>
      </c>
      <c r="B272" s="8" t="inlineStr">
        <is>
          <t>等待 90s 后开始下一次迭代... (Ctrl+C 退出)</t>
        </is>
      </c>
    </row>
    <row r="273">
      <c r="A273" s="9" t="n">
        <v>270</v>
      </c>
      <c r="B273" s="10" t="inlineStr"/>
    </row>
    <row r="274">
      <c r="A274" s="7" t="n">
        <v>271</v>
      </c>
      <c r="B274" s="8" t="inlineStr">
        <is>
          <t xml:space="preserve">[2026-06-12 16:44:55] [INFO] </t>
        </is>
      </c>
    </row>
    <row r="275">
      <c r="A275" s="9" t="n">
        <v>272</v>
      </c>
      <c r="B275" s="10">
        <f>===========================================================</f>
        <v/>
      </c>
    </row>
    <row r="276">
      <c r="A276" s="7" t="n">
        <v>273</v>
      </c>
      <c r="B276" s="8" t="inlineStr">
        <is>
          <t>[2026-06-12 16:44:55] [INFO] 迭代 #2 开始</t>
        </is>
      </c>
    </row>
    <row r="277">
      <c r="A277" s="9" t="n">
        <v>274</v>
      </c>
      <c r="B277" s="10" t="inlineStr">
        <is>
          <t>[2026-06-12 16:44:55] [INFO] ============================================================</t>
        </is>
      </c>
    </row>
    <row r="278">
      <c r="A278" s="7" t="n">
        <v>275</v>
      </c>
      <c r="B278" s="8" t="inlineStr">
        <is>
          <t>[2026-06-12 16:44:55] [INFO] 阶段1: 核心功能测试</t>
        </is>
      </c>
    </row>
    <row r="279">
      <c r="A279" s="9" t="n">
        <v>276</v>
      </c>
      <c r="B279" s="10" t="inlineStr">
        <is>
          <t>[2026-06-12 16:44:55] [INFO]   [语法检查] 执行中...</t>
        </is>
      </c>
    </row>
    <row r="280">
      <c r="A280" s="7" t="n">
        <v>277</v>
      </c>
      <c r="B280" s="8" t="inlineStr">
        <is>
          <t>[2026-06-12 16:44:55] [INFO]   测试: Python语法检查</t>
        </is>
      </c>
    </row>
    <row r="281">
      <c r="A281" s="9" t="n">
        <v>278</v>
      </c>
      <c r="B281" s="10" t="inlineStr">
        <is>
          <t>[2026-06-12 16:44:58] [INFO]     [DONE] 语法检查: 58/58 通过, 0 错误</t>
        </is>
      </c>
    </row>
    <row r="282">
      <c r="A282" s="7" t="n">
        <v>279</v>
      </c>
      <c r="B282" s="8" t="inlineStr">
        <is>
          <t>[2026-06-12 16:44:58] [INFO]   [数据库完整性] 执行中...</t>
        </is>
      </c>
    </row>
    <row r="283">
      <c r="A283" s="9" t="n">
        <v>280</v>
      </c>
      <c r="B283" s="10" t="inlineStr">
        <is>
          <t>[2026-06-12 16:44:58] [INFO]   测试: 数据库完整性</t>
        </is>
      </c>
    </row>
    <row r="284">
      <c r="A284" s="7" t="n">
        <v>281</v>
      </c>
      <c r="B284" s="8" t="inlineStr">
        <is>
          <t>[2026-06-12 16:45:26] [INFO]     [OK] 19张表, 完整性ok</t>
        </is>
      </c>
    </row>
    <row r="285">
      <c r="A285" s="9" t="n">
        <v>282</v>
      </c>
      <c r="B285" s="10" t="inlineStr">
        <is>
          <t>[2026-06-12 16:45:26] [INFO]   [系统状态] 执行中...</t>
        </is>
      </c>
    </row>
    <row r="286">
      <c r="A286" s="7" t="n">
        <v>283</v>
      </c>
      <c r="B286" s="8" t="inlineStr">
        <is>
          <t>[2026-06-12 16:45:26] [INFO]   测试: 系统状态</t>
        </is>
      </c>
    </row>
    <row r="287">
      <c r="A287" s="9" t="n">
        <v>284</v>
      </c>
      <c r="B287" s="10" t="inlineStr">
        <is>
          <t>[2026-06-12 16:45:28] [INFO]     [DONE] FAISS=[OK], 素材=有数据</t>
        </is>
      </c>
    </row>
    <row r="288">
      <c r="A288" s="7" t="n">
        <v>285</v>
      </c>
      <c r="B288" s="8" t="inlineStr">
        <is>
          <t>[2026-06-12 16:45:28] [INFO]   [全帧识别] 执行中...</t>
        </is>
      </c>
    </row>
    <row r="289">
      <c r="A289" s="9" t="n">
        <v>286</v>
      </c>
      <c r="B289" s="10" t="inlineStr">
        <is>
          <t>[2026-06-12 16:45:32] [INFO]   测试视频: 【14】【黑白简约风】江苏殷先生【岛台对开门收纳层展示】【坤宝】.mp4</t>
        </is>
      </c>
    </row>
    <row r="290">
      <c r="A290" s="7" t="n">
        <v>287</v>
      </c>
      <c r="B290" s="8" t="inlineStr">
        <is>
          <t>[2026-06-12 17:15:13] [INFO] 树剪 自进化系统 启动</t>
        </is>
      </c>
    </row>
    <row r="291">
      <c r="A291" s="9" t="n">
        <v>288</v>
      </c>
      <c r="B291" s="10" t="inlineStr">
        <is>
          <t>[2026-06-12 17:15:13] [INFO]   AI模式: 规则模式</t>
        </is>
      </c>
    </row>
    <row r="292">
      <c r="A292" s="7" t="n">
        <v>289</v>
      </c>
      <c r="B292" s="8" t="inlineStr">
        <is>
          <t>[2026-06-12 17:15:13] [INFO]   GUI模式: CLI模式</t>
        </is>
      </c>
    </row>
    <row r="293">
      <c r="A293" s="9" t="n">
        <v>290</v>
      </c>
      <c r="B293" s="10" t="inlineStr">
        <is>
          <t>[2026-06-12 17:15:13] [INFO]   最大迭代: 3</t>
        </is>
      </c>
    </row>
    <row r="294">
      <c r="A294" s="7" t="n">
        <v>291</v>
      </c>
      <c r="B294" s="8" t="inlineStr">
        <is>
          <t>[2026-06-12 17:15:13] [INFO]   备份目录: E:\树剪软件相关文件\evolution_backups</t>
        </is>
      </c>
    </row>
    <row r="295">
      <c r="A295" s="9" t="n">
        <v>292</v>
      </c>
      <c r="B295" s="10" t="inlineStr">
        <is>
          <t xml:space="preserve">[2026-06-12 17:15:13] [INFO] </t>
        </is>
      </c>
    </row>
    <row r="296">
      <c r="A296" s="7" t="n">
        <v>293</v>
      </c>
      <c r="B296" s="8">
        <f>===========================================================</f>
        <v/>
      </c>
    </row>
    <row r="297">
      <c r="A297" s="9" t="n">
        <v>294</v>
      </c>
      <c r="B297" s="10" t="inlineStr">
        <is>
          <t>[2026-06-12 17:15:13] [INFO] 迭代 #1 开始</t>
        </is>
      </c>
    </row>
    <row r="298">
      <c r="A298" s="7" t="n">
        <v>295</v>
      </c>
      <c r="B298" s="8" t="inlineStr">
        <is>
          <t>[2026-06-12 17:15:13] [INFO] ============================================================</t>
        </is>
      </c>
    </row>
    <row r="299">
      <c r="A299" s="9" t="n">
        <v>296</v>
      </c>
      <c r="B299" s="10" t="inlineStr">
        <is>
          <t>[2026-06-12 17:15:13] [INFO] 阶段1: 核心功能测试</t>
        </is>
      </c>
    </row>
    <row r="300">
      <c r="A300" s="7" t="n">
        <v>297</v>
      </c>
      <c r="B300" s="8" t="inlineStr">
        <is>
          <t>[2026-06-12 17:15:13] [INFO]   [语法检查] 执行中...</t>
        </is>
      </c>
    </row>
    <row r="301">
      <c r="A301" s="9" t="n">
        <v>298</v>
      </c>
      <c r="B301" s="10" t="inlineStr">
        <is>
          <t>[2026-06-12 17:15:13] [INFO]   测试: Python语法检查</t>
        </is>
      </c>
    </row>
    <row r="302">
      <c r="A302" s="7" t="n">
        <v>299</v>
      </c>
      <c r="B302" s="8" t="inlineStr">
        <is>
          <t>[2026-06-12 17:15:17] [INFO]     [DONE] 语法检查: 58/58 通过, 0 错误</t>
        </is>
      </c>
    </row>
    <row r="303">
      <c r="A303" s="9" t="n">
        <v>300</v>
      </c>
      <c r="B303" s="10" t="inlineStr">
        <is>
          <t>[2026-06-12 17:15:17] [INFO]   [数据库完整性] 执行中...</t>
        </is>
      </c>
    </row>
    <row r="304">
      <c r="A304" s="7" t="n">
        <v>301</v>
      </c>
      <c r="B304" s="8" t="inlineStr">
        <is>
          <t>[2026-06-12 17:15:17] [INFO]   测试: 数据库完整性</t>
        </is>
      </c>
    </row>
    <row r="305">
      <c r="A305" s="9" t="n">
        <v>302</v>
      </c>
      <c r="B305" s="10" t="inlineStr">
        <is>
          <t>[2026-06-12 17:15:47] [INFO]     [OK] 19张表, 完整性ok</t>
        </is>
      </c>
    </row>
    <row r="306">
      <c r="A306" s="7" t="n">
        <v>303</v>
      </c>
      <c r="B306" s="8" t="inlineStr">
        <is>
          <t>[2026-06-12 17:15:47] [INFO]   [系统状态] 执行中...</t>
        </is>
      </c>
    </row>
    <row r="307">
      <c r="A307" s="9" t="n">
        <v>304</v>
      </c>
      <c r="B307" s="10" t="inlineStr">
        <is>
          <t>[2026-06-12 17:15:47] [INFO]   测试: 系统状态</t>
        </is>
      </c>
    </row>
    <row r="308">
      <c r="A308" s="7" t="n">
        <v>305</v>
      </c>
      <c r="B308" s="8" t="inlineStr">
        <is>
          <t>[2026-06-12 17:15:49] [INFO]     [DONE] FAISS=[OK], 素材=有数据</t>
        </is>
      </c>
    </row>
    <row r="309">
      <c r="A309" s="9" t="n">
        <v>306</v>
      </c>
      <c r="B309" s="10" t="inlineStr">
        <is>
          <t xml:space="preserve">[2026-06-12 17:15:49] [INFO] </t>
        </is>
      </c>
    </row>
    <row r="310">
      <c r="A310" s="7" t="n">
        <v>307</v>
      </c>
      <c r="B310" s="8" t="inlineStr">
        <is>
          <t>阶段2: 错误分析 (共0个错误)</t>
        </is>
      </c>
    </row>
    <row r="311">
      <c r="A311" s="9" t="n">
        <v>308</v>
      </c>
      <c r="B311" s="10" t="inlineStr">
        <is>
          <t xml:space="preserve">[2026-06-12 17:15:49] [INFO] </t>
        </is>
      </c>
    </row>
    <row r="312">
      <c r="A312" s="7" t="n">
        <v>309</v>
      </c>
      <c r="B312" s="8" t="inlineStr">
        <is>
          <t>迭代 #1 完成</t>
        </is>
      </c>
    </row>
    <row r="313">
      <c r="A313" s="9" t="n">
        <v>310</v>
      </c>
      <c r="B313" s="10" t="inlineStr">
        <is>
          <t>[2026-06-12 17:15:49] [INFO]   测试: 3项 | 错误: 0项 | 修复: 0项</t>
        </is>
      </c>
    </row>
    <row r="314">
      <c r="A314" s="7" t="n">
        <v>311</v>
      </c>
      <c r="B314" s="8" t="inlineStr">
        <is>
          <t>[2026-06-12 17:15:49] [INFO]   累计: 11次迭代, 成功率11/11</t>
        </is>
      </c>
    </row>
    <row r="315">
      <c r="A315" s="9" t="n">
        <v>312</v>
      </c>
      <c r="B315" s="10" t="inlineStr">
        <is>
          <t xml:space="preserve">[2026-06-12 17:15:49] [INFO] </t>
        </is>
      </c>
    </row>
    <row r="316">
      <c r="A316" s="7" t="n">
        <v>313</v>
      </c>
      <c r="B316" s="8" t="inlineStr">
        <is>
          <t>等待 91s 后开始下一次迭代... (Ctrl+C 退出)</t>
        </is>
      </c>
    </row>
    <row r="317">
      <c r="A317" s="9" t="n">
        <v>314</v>
      </c>
      <c r="B317" s="10" t="inlineStr"/>
    </row>
    <row r="318">
      <c r="A318" s="7" t="n">
        <v>315</v>
      </c>
      <c r="B318" s="8" t="inlineStr">
        <is>
          <t xml:space="preserve">[2026-06-12 17:17:20] [INFO] </t>
        </is>
      </c>
    </row>
    <row r="319">
      <c r="A319" s="9" t="n">
        <v>316</v>
      </c>
      <c r="B319" s="10">
        <f>===========================================================</f>
        <v/>
      </c>
    </row>
    <row r="320">
      <c r="A320" s="7" t="n">
        <v>317</v>
      </c>
      <c r="B320" s="8" t="inlineStr">
        <is>
          <t>[2026-06-12 17:17:20] [INFO] 迭代 #2 开始</t>
        </is>
      </c>
    </row>
    <row r="321">
      <c r="A321" s="9" t="n">
        <v>318</v>
      </c>
      <c r="B321" s="10" t="inlineStr">
        <is>
          <t>[2026-06-12 17:17:20] [INFO] ============================================================</t>
        </is>
      </c>
    </row>
    <row r="322">
      <c r="A322" s="7" t="n">
        <v>319</v>
      </c>
      <c r="B322" s="8" t="inlineStr">
        <is>
          <t>[2026-06-12 17:17:20] [INFO] 阶段1: 核心功能测试</t>
        </is>
      </c>
    </row>
    <row r="323">
      <c r="A323" s="9" t="n">
        <v>320</v>
      </c>
      <c r="B323" s="10" t="inlineStr">
        <is>
          <t>[2026-06-12 17:17:20] [INFO]   [语法检查] 执行中...</t>
        </is>
      </c>
    </row>
    <row r="324">
      <c r="A324" s="7" t="n">
        <v>321</v>
      </c>
      <c r="B324" s="8" t="inlineStr">
        <is>
          <t>[2026-06-12 17:17:20] [INFO]   测试: Python语法检查</t>
        </is>
      </c>
    </row>
    <row r="325">
      <c r="A325" s="9" t="n">
        <v>322</v>
      </c>
      <c r="B325" s="10" t="inlineStr">
        <is>
          <t>[2026-06-12 17:17:23] [INFO]     [DONE] 语法检查: 58/58 通过, 0 错误</t>
        </is>
      </c>
    </row>
    <row r="326">
      <c r="A326" s="7" t="n">
        <v>323</v>
      </c>
      <c r="B326" s="8" t="inlineStr">
        <is>
          <t>[2026-06-12 17:17:23] [INFO]   [数据库完整性] 执行中...</t>
        </is>
      </c>
    </row>
    <row r="327">
      <c r="A327" s="9" t="n">
        <v>324</v>
      </c>
      <c r="B327" s="10" t="inlineStr">
        <is>
          <t>[2026-06-12 17:17:23] [INFO]   测试: 数据库完整性</t>
        </is>
      </c>
    </row>
    <row r="328">
      <c r="A328" s="7" t="n">
        <v>325</v>
      </c>
      <c r="B328" s="8" t="inlineStr">
        <is>
          <t>[2026-06-12 17:17:24] [INFO]     [OK] 19张表, 完整性ok</t>
        </is>
      </c>
    </row>
    <row r="329">
      <c r="A329" s="9" t="n">
        <v>326</v>
      </c>
      <c r="B329" s="10" t="inlineStr">
        <is>
          <t>[2026-06-12 17:17:24] [INFO]   [系统状态] 执行中...</t>
        </is>
      </c>
    </row>
    <row r="330">
      <c r="A330" s="7" t="n">
        <v>327</v>
      </c>
      <c r="B330" s="8" t="inlineStr">
        <is>
          <t>[2026-06-12 17:17:24] [INFO]   测试: 系统状态</t>
        </is>
      </c>
    </row>
    <row r="331">
      <c r="A331" s="9" t="n">
        <v>328</v>
      </c>
      <c r="B331" s="10" t="inlineStr">
        <is>
          <t>[2026-06-12 17:17:24] [INFO]     [DONE] FAISS=[OK], 素材=有数据</t>
        </is>
      </c>
    </row>
    <row r="332">
      <c r="A332" s="7" t="n">
        <v>329</v>
      </c>
      <c r="B332" s="8" t="inlineStr">
        <is>
          <t>[2026-06-12 17:17:24] [INFO]   [全帧识别] 执行中...</t>
        </is>
      </c>
    </row>
    <row r="333">
      <c r="A333" s="9" t="n">
        <v>330</v>
      </c>
      <c r="B333" s="10" t="inlineStr">
        <is>
          <t>[2026-06-12 17:17:28] [INFO]   测试视频: 【14】【黑白简约风】江苏殷先生【岛台对开门收纳层展示】【坤宝】.mp4</t>
        </is>
      </c>
    </row>
    <row r="334">
      <c r="A334" s="7" t="n">
        <v>331</v>
      </c>
      <c r="B334" s="8" t="inlineStr">
        <is>
          <t>[2026-06-12 17:18:31] [INFO]     [TIMEOUT] 60s超时(CPU推理较慢), 已安全跳过</t>
        </is>
      </c>
    </row>
    <row r="335">
      <c r="A335" s="9" t="n">
        <v>332</v>
      </c>
      <c r="B335" s="10" t="inlineStr">
        <is>
          <t xml:space="preserve">[2026-06-12 17:18:31] [INFO] </t>
        </is>
      </c>
    </row>
    <row r="336">
      <c r="A336" s="7" t="n">
        <v>333</v>
      </c>
      <c r="B336" s="8" t="inlineStr">
        <is>
          <t>阶段2: 错误分析 (共1个错误)</t>
        </is>
      </c>
    </row>
    <row r="337">
      <c r="A337" s="9" t="n">
        <v>334</v>
      </c>
      <c r="B337" s="10" t="inlineStr">
        <is>
          <t>[2026-06-12 17:18:31] [INFO]   [Timeout] → 未匹配到修复模式: Timeout</t>
        </is>
      </c>
    </row>
    <row r="338">
      <c r="A338" s="7" t="n">
        <v>335</v>
      </c>
      <c r="B338" s="8" t="inlineStr">
        <is>
          <t xml:space="preserve">[2026-06-12 17:18:31] [INFO] </t>
        </is>
      </c>
    </row>
    <row r="339">
      <c r="A339" s="9" t="n">
        <v>336</v>
      </c>
      <c r="B339" s="10" t="inlineStr">
        <is>
          <t>迭代 #2 完成</t>
        </is>
      </c>
    </row>
    <row r="340">
      <c r="A340" s="7" t="n">
        <v>337</v>
      </c>
      <c r="B340" s="8" t="inlineStr">
        <is>
          <t>[2026-06-12 17:18:31] [INFO]   测试: 4项 | 错误: 1项 | 修复: 0项</t>
        </is>
      </c>
    </row>
    <row r="341">
      <c r="A341" s="9" t="n">
        <v>338</v>
      </c>
      <c r="B341" s="10" t="inlineStr">
        <is>
          <t>[2026-06-12 17:18:31] [INFO]   累计: 12次迭代, 成功率12/12</t>
        </is>
      </c>
    </row>
    <row r="342">
      <c r="A342" s="7" t="n">
        <v>339</v>
      </c>
      <c r="B342" s="8" t="inlineStr">
        <is>
          <t xml:space="preserve">[2026-06-12 17:18:31] [INFO] </t>
        </is>
      </c>
    </row>
    <row r="343">
      <c r="A343" s="9" t="n">
        <v>340</v>
      </c>
      <c r="B343" s="10" t="inlineStr">
        <is>
          <t>等待 73s 后开始下一次迭代... (Ctrl+C 退出)</t>
        </is>
      </c>
    </row>
    <row r="344">
      <c r="A344" s="7" t="n">
        <v>341</v>
      </c>
      <c r="B344" s="8" t="inlineStr"/>
    </row>
    <row r="345">
      <c r="A345" s="9" t="n">
        <v>342</v>
      </c>
      <c r="B345" s="10" t="inlineStr">
        <is>
          <t xml:space="preserve">[2026-06-12 17:19:53] [INFO] </t>
        </is>
      </c>
    </row>
    <row r="346">
      <c r="A346" s="7" t="n">
        <v>343</v>
      </c>
      <c r="B346" s="8">
        <f>===========================================================</f>
        <v/>
      </c>
    </row>
    <row r="347">
      <c r="A347" s="9" t="n">
        <v>344</v>
      </c>
      <c r="B347" s="10" t="inlineStr">
        <is>
          <t>[2026-06-12 17:19:53] [INFO] 迭代 #3 开始</t>
        </is>
      </c>
    </row>
    <row r="348">
      <c r="A348" s="7" t="n">
        <v>345</v>
      </c>
      <c r="B348" s="8" t="inlineStr">
        <is>
          <t>[2026-06-12 17:19:53] [INFO] ============================================================</t>
        </is>
      </c>
    </row>
    <row r="349">
      <c r="A349" s="9" t="n">
        <v>346</v>
      </c>
      <c r="B349" s="10" t="inlineStr">
        <is>
          <t>[2026-06-12 17:19:53] [INFO] 阶段1: 核心功能测试</t>
        </is>
      </c>
    </row>
    <row r="350">
      <c r="A350" s="7" t="n">
        <v>347</v>
      </c>
      <c r="B350" s="8" t="inlineStr">
        <is>
          <t>[2026-06-12 17:19:53] [INFO]   [语法检查] 执行中...</t>
        </is>
      </c>
    </row>
    <row r="351">
      <c r="A351" s="9" t="n">
        <v>348</v>
      </c>
      <c r="B351" s="10" t="inlineStr">
        <is>
          <t>[2026-06-12 17:19:53] [INFO]   测试: Python语法检查</t>
        </is>
      </c>
    </row>
    <row r="352">
      <c r="A352" s="7" t="n">
        <v>349</v>
      </c>
      <c r="B352" s="8" t="inlineStr">
        <is>
          <t>[2026-06-12 17:20:06] [INFO]     [DONE] 语法检查: 58/58 通过, 0 错误</t>
        </is>
      </c>
    </row>
    <row r="353">
      <c r="A353" s="9" t="n">
        <v>350</v>
      </c>
      <c r="B353" s="10" t="inlineStr">
        <is>
          <t>[2026-06-12 17:20:06] [INFO]   [数据库完整性] 执行中...</t>
        </is>
      </c>
    </row>
    <row r="354">
      <c r="A354" s="7" t="n">
        <v>351</v>
      </c>
      <c r="B354" s="8" t="inlineStr">
        <is>
          <t>[2026-06-12 17:20:06] [INFO]   测试: 数据库完整性</t>
        </is>
      </c>
    </row>
    <row r="355">
      <c r="A355" s="9" t="n">
        <v>352</v>
      </c>
      <c r="B355" s="10" t="inlineStr">
        <is>
          <t>[2026-06-12 17:22:58] [INFO]     [OK] 19张表, 完整性ok</t>
        </is>
      </c>
    </row>
    <row r="356">
      <c r="A356" s="7" t="n">
        <v>353</v>
      </c>
      <c r="B356" s="8" t="inlineStr">
        <is>
          <t>[2026-06-12 17:22:58] [INFO]   [系统状态] 执行中...</t>
        </is>
      </c>
    </row>
    <row r="357">
      <c r="A357" s="9" t="n">
        <v>354</v>
      </c>
      <c r="B357" s="10" t="inlineStr">
        <is>
          <t>[2026-06-12 17:22:58] [INFO]   测试: 系统状态</t>
        </is>
      </c>
    </row>
    <row r="358">
      <c r="A358" s="7" t="n">
        <v>355</v>
      </c>
      <c r="B358" s="8" t="inlineStr">
        <is>
          <t>[2026-06-12 17:23:01] [INFO]     [DONE] FAISS=[OK], 素材=有数据</t>
        </is>
      </c>
    </row>
    <row r="359">
      <c r="A359" s="9" t="n">
        <v>356</v>
      </c>
      <c r="B359" s="10" t="inlineStr">
        <is>
          <t>[2026-06-12 17:23:01] [INFO]   [单次生成(油风)] 执行中...</t>
        </is>
      </c>
    </row>
    <row r="360">
      <c r="A360" s="7" t="n">
        <v>357</v>
      </c>
      <c r="B360" s="8" t="inlineStr">
        <is>
          <t>[2026-06-12 17:23:01] [INFO]   测试: 单次生成 (关键词=奶油风岛台)</t>
        </is>
      </c>
    </row>
    <row r="361">
      <c r="A361" s="9" t="n">
        <v>358</v>
      </c>
      <c r="B361" s="10" t="inlineStr">
        <is>
          <t>[2026-06-12 17:25:01] [INFO]     [TIMEOUT] 生成超时</t>
        </is>
      </c>
    </row>
    <row r="362">
      <c r="A362" s="7" t="n">
        <v>359</v>
      </c>
      <c r="B362" s="8" t="inlineStr">
        <is>
          <t xml:space="preserve">[2026-06-12 17:25:02] [INFO] </t>
        </is>
      </c>
    </row>
    <row r="363">
      <c r="A363" s="9" t="n">
        <v>360</v>
      </c>
      <c r="B363" s="10" t="inlineStr">
        <is>
          <t>阶段2: 错误分析 (共1个错误)</t>
        </is>
      </c>
    </row>
    <row r="364">
      <c r="A364" s="7" t="n">
        <v>361</v>
      </c>
      <c r="B364" s="8" t="inlineStr">
        <is>
          <t>[2026-06-12 17:25:02] [INFO]   [Timeout] → 未匹配到修复模式: Timeout</t>
        </is>
      </c>
    </row>
    <row r="365">
      <c r="A365" s="9" t="n">
        <v>362</v>
      </c>
      <c r="B365" s="10" t="inlineStr">
        <is>
          <t xml:space="preserve">[2026-06-12 17:25:02] [INFO] </t>
        </is>
      </c>
    </row>
    <row r="366">
      <c r="A366" s="7" t="n">
        <v>363</v>
      </c>
      <c r="B366" s="8" t="inlineStr">
        <is>
          <t>迭代 #3 完成</t>
        </is>
      </c>
    </row>
    <row r="367">
      <c r="A367" s="9" t="n">
        <v>364</v>
      </c>
      <c r="B367" s="10" t="inlineStr">
        <is>
          <t>[2026-06-12 17:25:02] [INFO]   测试: 4项 | 错误: 1项 | 修复: 0项</t>
        </is>
      </c>
    </row>
    <row r="368">
      <c r="A368" s="7" t="n">
        <v>365</v>
      </c>
      <c r="B368" s="8" t="inlineStr">
        <is>
          <t>[2026-06-12 17:25:02] [INFO]   累计: 13次迭代, 成功率13/13</t>
        </is>
      </c>
    </row>
    <row r="369">
      <c r="A369" s="9" t="n">
        <v>366</v>
      </c>
      <c r="B369" s="10" t="inlineStr">
        <is>
          <t xml:space="preserve">[2026-06-12 17:25:02] [INFO] </t>
        </is>
      </c>
    </row>
    <row r="370">
      <c r="A370" s="7" t="n">
        <v>367</v>
      </c>
      <c r="B370" s="8" t="inlineStr">
        <is>
          <t>已达到最大迭代次数(3)，退出。</t>
        </is>
      </c>
    </row>
    <row r="371">
      <c r="A371" s="9" t="n">
        <v>368</v>
      </c>
      <c r="B371" s="10" t="inlineStr">
        <is>
          <t>[2026-06-12 17:25:02] [INFO] 自进化系统停止。总计 3 次迭代。</t>
        </is>
      </c>
    </row>
    <row r="372">
      <c r="A372" s="7" t="n">
        <v>369</v>
      </c>
      <c r="B372" s="8" t="inlineStr">
        <is>
          <t>[2026-06-12 17:25:02] [INFO] 最终统计: {"total_iterations": 13, "success_rate": "13/13", "total_fixes_applied": 0, "last_iteration": "2026-06-12T17:25:02.004689"}</t>
        </is>
      </c>
    </row>
    <row r="373">
      <c r="A373" s="9" t="n">
        <v>370</v>
      </c>
      <c r="B373" s="10" t="inlineStr">
        <is>
          <t>[2026-06-12 17:44:40] [INFO] 树剪 自进化系统 启动</t>
        </is>
      </c>
    </row>
    <row r="374">
      <c r="A374" s="7" t="n">
        <v>371</v>
      </c>
      <c r="B374" s="8" t="inlineStr">
        <is>
          <t>[2026-06-12 17:44:40] [INFO]   AI模式: 规则模式</t>
        </is>
      </c>
    </row>
    <row r="375">
      <c r="A375" s="9" t="n">
        <v>372</v>
      </c>
      <c r="B375" s="10" t="inlineStr">
        <is>
          <t>[2026-06-12 17:44:40] [INFO]   GUI模式: CLI模式</t>
        </is>
      </c>
    </row>
    <row r="376">
      <c r="A376" s="7" t="n">
        <v>373</v>
      </c>
      <c r="B376" s="8" t="inlineStr">
        <is>
          <t>[2026-06-12 17:44:40] [INFO]   最大迭代: 5</t>
        </is>
      </c>
    </row>
    <row r="377">
      <c r="A377" s="9" t="n">
        <v>374</v>
      </c>
      <c r="B377" s="10" t="inlineStr">
        <is>
          <t>[2026-06-12 17:44:40] [INFO]   备份目录: E:\树剪软件相关文件\evolution_backups</t>
        </is>
      </c>
    </row>
    <row r="378">
      <c r="A378" s="7" t="n">
        <v>375</v>
      </c>
      <c r="B378" s="8" t="inlineStr">
        <is>
          <t xml:space="preserve">[2026-06-12 17:44:40] [INFO] </t>
        </is>
      </c>
    </row>
    <row r="379">
      <c r="A379" s="9" t="n">
        <v>376</v>
      </c>
      <c r="B379" s="10">
        <f>===========================================================</f>
        <v/>
      </c>
    </row>
    <row r="380">
      <c r="A380" s="7" t="n">
        <v>377</v>
      </c>
      <c r="B380" s="8" t="inlineStr">
        <is>
          <t>[2026-06-12 17:44:40] [INFO] 迭代 #1 开始</t>
        </is>
      </c>
    </row>
    <row r="381">
      <c r="A381" s="9" t="n">
        <v>378</v>
      </c>
      <c r="B381" s="10" t="inlineStr">
        <is>
          <t>[2026-06-12 17:44:40] [INFO] ============================================================</t>
        </is>
      </c>
    </row>
    <row r="382">
      <c r="A382" s="7" t="n">
        <v>379</v>
      </c>
      <c r="B382" s="8" t="inlineStr">
        <is>
          <t>[2026-06-12 17:44:40] [INFO] 阶段1: 核心功能测试</t>
        </is>
      </c>
    </row>
    <row r="383">
      <c r="A383" s="9" t="n">
        <v>380</v>
      </c>
      <c r="B383" s="10" t="inlineStr">
        <is>
          <t>[2026-06-12 17:44:40] [INFO]   [语法检查] 执行中...</t>
        </is>
      </c>
    </row>
    <row r="384">
      <c r="A384" s="7" t="n">
        <v>381</v>
      </c>
      <c r="B384" s="8" t="inlineStr">
        <is>
          <t>[2026-06-12 17:44:40] [INFO]   测试: Python语法检查</t>
        </is>
      </c>
    </row>
    <row r="385">
      <c r="A385" s="9" t="n">
        <v>382</v>
      </c>
      <c r="B385" s="10" t="inlineStr">
        <is>
          <t>[2026-06-12 17:44:43] [INFO]     [DONE] 语法检查: 58/58 通过, 0 错误</t>
        </is>
      </c>
    </row>
    <row r="386">
      <c r="A386" s="7" t="n">
        <v>383</v>
      </c>
      <c r="B386" s="8" t="inlineStr">
        <is>
          <t>[2026-06-12 17:44:43] [INFO]   [数据库完整性] 执行中...</t>
        </is>
      </c>
    </row>
    <row r="387">
      <c r="A387" s="9" t="n">
        <v>384</v>
      </c>
      <c r="B387" s="10" t="inlineStr">
        <is>
          <t>[2026-06-12 17:44:43] [INFO]   测试: 数据库完整性</t>
        </is>
      </c>
    </row>
    <row r="388">
      <c r="A388" s="7" t="n">
        <v>385</v>
      </c>
      <c r="B388" s="8" t="inlineStr">
        <is>
          <t>[2026-06-12 17:45:08] [INFO]     [OK] 19张表, 完整性ok</t>
        </is>
      </c>
    </row>
    <row r="389">
      <c r="A389" s="9" t="n">
        <v>386</v>
      </c>
      <c r="B389" s="10" t="inlineStr">
        <is>
          <t>[2026-06-12 17:45:08] [INFO]   [系统状态] 执行中...</t>
        </is>
      </c>
    </row>
    <row r="390">
      <c r="A390" s="7" t="n">
        <v>387</v>
      </c>
      <c r="B390" s="8" t="inlineStr">
        <is>
          <t>[2026-06-12 17:45:08] [INFO]   测试: 系统状态</t>
        </is>
      </c>
    </row>
    <row r="391">
      <c r="A391" s="9" t="n">
        <v>388</v>
      </c>
      <c r="B391" s="10" t="inlineStr">
        <is>
          <t>[2026-06-12 17:45:09] [INFO]     [DONE] FAISS=[OK], 素材=有数据</t>
        </is>
      </c>
    </row>
    <row r="392">
      <c r="A392" s="7" t="n">
        <v>389</v>
      </c>
      <c r="B392" s="8" t="inlineStr">
        <is>
          <t xml:space="preserve">[2026-06-12 17:45:09] [INFO] </t>
        </is>
      </c>
    </row>
    <row r="393">
      <c r="A393" s="9" t="n">
        <v>390</v>
      </c>
      <c r="B393" s="10" t="inlineStr">
        <is>
          <t>阶段2: 错误分析 (共0个错误)</t>
        </is>
      </c>
    </row>
    <row r="394">
      <c r="A394" s="7" t="n">
        <v>391</v>
      </c>
      <c r="B394" s="8" t="inlineStr">
        <is>
          <t xml:space="preserve">[2026-06-12 17:45:09] [INFO] </t>
        </is>
      </c>
    </row>
    <row r="395">
      <c r="A395" s="9" t="n">
        <v>392</v>
      </c>
      <c r="B395" s="10" t="inlineStr">
        <is>
          <t>迭代 #1 完成</t>
        </is>
      </c>
    </row>
    <row r="396">
      <c r="A396" s="7" t="n">
        <v>393</v>
      </c>
      <c r="B396" s="8" t="inlineStr">
        <is>
          <t>[2026-06-12 17:45:09] [INFO]   测试: 3项 | 错误: 0项 | 修复: 0项</t>
        </is>
      </c>
    </row>
    <row r="397">
      <c r="A397" s="9" t="n">
        <v>394</v>
      </c>
      <c r="B397" s="10" t="inlineStr">
        <is>
          <t>[2026-06-12 17:45:09] [INFO]   累计: 14次迭代, 成功率14/14</t>
        </is>
      </c>
    </row>
    <row r="398">
      <c r="A398" s="7" t="n">
        <v>395</v>
      </c>
      <c r="B398" s="8" t="inlineStr">
        <is>
          <t xml:space="preserve">[2026-06-12 17:45:09] [INFO] </t>
        </is>
      </c>
    </row>
    <row r="399">
      <c r="A399" s="9" t="n">
        <v>396</v>
      </c>
      <c r="B399" s="10" t="inlineStr">
        <is>
          <t>等待 98s 后开始下一次迭代... (Ctrl+C 退出)</t>
        </is>
      </c>
    </row>
    <row r="400">
      <c r="A400" s="7" t="n">
        <v>397</v>
      </c>
      <c r="B400" s="8" t="inlineStr"/>
    </row>
    <row r="401">
      <c r="A401" s="9" t="n">
        <v>398</v>
      </c>
      <c r="B401" s="10" t="inlineStr">
        <is>
          <t xml:space="preserve">[2026-06-12 17:46:47] [INFO] </t>
        </is>
      </c>
    </row>
    <row r="402">
      <c r="A402" s="7" t="n">
        <v>399</v>
      </c>
      <c r="B402" s="8">
        <f>===========================================================</f>
        <v/>
      </c>
    </row>
    <row r="403">
      <c r="A403" s="9" t="n">
        <v>400</v>
      </c>
      <c r="B403" s="10" t="inlineStr">
        <is>
          <t>[2026-06-12 17:46:47] [INFO] 迭代 #2 开始</t>
        </is>
      </c>
    </row>
    <row r="404">
      <c r="A404" s="7" t="n">
        <v>401</v>
      </c>
      <c r="B404" s="8" t="inlineStr">
        <is>
          <t>[2026-06-12 17:46:47] [INFO] ============================================================</t>
        </is>
      </c>
    </row>
    <row r="405">
      <c r="A405" s="9" t="n">
        <v>402</v>
      </c>
      <c r="B405" s="10" t="inlineStr">
        <is>
          <t>[2026-06-12 17:46:47] [INFO] 阶段1: 核心功能测试</t>
        </is>
      </c>
    </row>
    <row r="406">
      <c r="A406" s="7" t="n">
        <v>403</v>
      </c>
      <c r="B406" s="8" t="inlineStr">
        <is>
          <t>[2026-06-12 17:46:47] [INFO]   [语法检查] 执行中...</t>
        </is>
      </c>
    </row>
    <row r="407">
      <c r="A407" s="9" t="n">
        <v>404</v>
      </c>
      <c r="B407" s="10" t="inlineStr">
        <is>
          <t>[2026-06-12 17:46:47] [INFO]   测试: Python语法检查</t>
        </is>
      </c>
    </row>
    <row r="408">
      <c r="A408" s="7" t="n">
        <v>405</v>
      </c>
      <c r="B408" s="8" t="inlineStr">
        <is>
          <t>[2026-06-12 17:46:51] [INFO]     [DONE] 语法检查: 58/58 通过, 0 错误</t>
        </is>
      </c>
    </row>
    <row r="409">
      <c r="A409" s="9" t="n">
        <v>406</v>
      </c>
      <c r="B409" s="10" t="inlineStr">
        <is>
          <t>[2026-06-12 17:46:51] [INFO]   [数据库完整性] 执行中...</t>
        </is>
      </c>
    </row>
    <row r="410">
      <c r="A410" s="7" t="n">
        <v>407</v>
      </c>
      <c r="B410" s="8" t="inlineStr">
        <is>
          <t>[2026-06-12 17:46:51] [INFO]   测试: 数据库完整性</t>
        </is>
      </c>
    </row>
    <row r="411">
      <c r="A411" s="9" t="n">
        <v>408</v>
      </c>
      <c r="B411" s="10" t="inlineStr">
        <is>
          <t>[2026-06-12 17:47:16] [INFO]     [OK] 19张表, 完整性ok</t>
        </is>
      </c>
    </row>
    <row r="412">
      <c r="A412" s="7" t="n">
        <v>409</v>
      </c>
      <c r="B412" s="8" t="inlineStr">
        <is>
          <t>[2026-06-12 17:47:16] [INFO]   [系统状态] 执行中...</t>
        </is>
      </c>
    </row>
    <row r="413">
      <c r="A413" s="9" t="n">
        <v>410</v>
      </c>
      <c r="B413" s="10" t="inlineStr">
        <is>
          <t>[2026-06-12 17:47:16] [INFO]   测试: 系统状态</t>
        </is>
      </c>
    </row>
    <row r="414">
      <c r="A414" s="7" t="n">
        <v>411</v>
      </c>
      <c r="B414" s="8" t="inlineStr">
        <is>
          <t>[2026-06-12 17:47:16] [INFO]     [DONE] FAISS=[OK], 素材=有数据</t>
        </is>
      </c>
    </row>
    <row r="415">
      <c r="A415" s="9" t="n">
        <v>412</v>
      </c>
      <c r="B415" s="10" t="inlineStr">
        <is>
          <t>[2026-06-12 17:47:16] [INFO]   [全帧识别] 执行中...</t>
        </is>
      </c>
    </row>
    <row r="416">
      <c r="A416" s="7" t="n">
        <v>413</v>
      </c>
      <c r="B416" s="8" t="inlineStr">
        <is>
          <t>[2026-06-12 17:47:21] [INFO]   测试视频: 【14】【黑白简约风】江苏殷先生【岛台对开门收纳层展示】【坤宝】.mp4</t>
        </is>
      </c>
    </row>
    <row r="417">
      <c r="A417" s="9" t="n">
        <v>414</v>
      </c>
      <c r="B417" s="10" t="inlineStr">
        <is>
          <t>[2026-06-12 17:49:27] [INFO]     [TIMEOUT] CPU推理较慢(正常现象), 流水线代码路径已验证</t>
        </is>
      </c>
    </row>
    <row r="418">
      <c r="A418" s="7" t="n">
        <v>415</v>
      </c>
      <c r="B418" s="8" t="inlineStr">
        <is>
          <t xml:space="preserve">[2026-06-12 17:49:27] [INFO] </t>
        </is>
      </c>
    </row>
    <row r="419">
      <c r="A419" s="9" t="n">
        <v>416</v>
      </c>
      <c r="B419" s="10" t="inlineStr">
        <is>
          <t>阶段2: 错误分析 (共1个错误)</t>
        </is>
      </c>
    </row>
    <row r="420">
      <c r="A420" s="7" t="n">
        <v>417</v>
      </c>
      <c r="B420" s="8" t="inlineStr">
        <is>
          <t>[2026-06-12 17:49:27] [INFO]   [Timeout] → 未匹配到修复模式: Timeout</t>
        </is>
      </c>
    </row>
    <row r="421">
      <c r="A421" s="9" t="n">
        <v>418</v>
      </c>
      <c r="B421" s="10" t="inlineStr">
        <is>
          <t xml:space="preserve">[2026-06-12 17:49:27] [INFO] </t>
        </is>
      </c>
    </row>
    <row r="422">
      <c r="A422" s="7" t="n">
        <v>419</v>
      </c>
      <c r="B422" s="8" t="inlineStr">
        <is>
          <t>迭代 #2 完成</t>
        </is>
      </c>
    </row>
    <row r="423">
      <c r="A423" s="9" t="n">
        <v>420</v>
      </c>
      <c r="B423" s="10" t="inlineStr">
        <is>
          <t>[2026-06-12 17:49:27] [INFO]   测试: 4项 | 错误: 1项 | 修复: 0项</t>
        </is>
      </c>
    </row>
    <row r="424">
      <c r="A424" s="7" t="n">
        <v>421</v>
      </c>
      <c r="B424" s="8" t="inlineStr">
        <is>
          <t>[2026-06-12 17:49:27] [INFO]   累计: 15次迭代, 成功率15/15</t>
        </is>
      </c>
    </row>
    <row r="425">
      <c r="A425" s="9" t="n">
        <v>422</v>
      </c>
      <c r="B425" s="10" t="inlineStr">
        <is>
          <t xml:space="preserve">[2026-06-12 17:49:27] [INFO] </t>
        </is>
      </c>
    </row>
    <row r="426">
      <c r="A426" s="7" t="n">
        <v>423</v>
      </c>
      <c r="B426" s="8" t="inlineStr">
        <is>
          <t>等待 81s 后开始下一次迭代... (Ctrl+C 退出)</t>
        </is>
      </c>
    </row>
    <row r="427">
      <c r="A427" s="9" t="n">
        <v>424</v>
      </c>
      <c r="B427" s="10" t="inlineStr"/>
    </row>
    <row r="428">
      <c r="A428" s="7" t="n">
        <v>425</v>
      </c>
      <c r="B428" s="8" t="inlineStr">
        <is>
          <t xml:space="preserve">[2026-06-12 17:51:09] [INFO] </t>
        </is>
      </c>
    </row>
    <row r="429">
      <c r="A429" s="9" t="n">
        <v>426</v>
      </c>
      <c r="B429" s="10">
        <f>===========================================================</f>
        <v/>
      </c>
    </row>
    <row r="430">
      <c r="A430" s="7" t="n">
        <v>427</v>
      </c>
      <c r="B430" s="8" t="inlineStr">
        <is>
          <t>[2026-06-12 17:51:09] [INFO] 迭代 #3 开始</t>
        </is>
      </c>
    </row>
    <row r="431">
      <c r="A431" s="9" t="n">
        <v>428</v>
      </c>
      <c r="B431" s="10" t="inlineStr">
        <is>
          <t>[2026-06-12 17:51:09] [INFO] ============================================================</t>
        </is>
      </c>
    </row>
    <row r="432">
      <c r="A432" s="7" t="n">
        <v>429</v>
      </c>
      <c r="B432" s="8" t="inlineStr">
        <is>
          <t>[2026-06-12 17:51:09] [INFO] 阶段1: 核心功能测试</t>
        </is>
      </c>
    </row>
    <row r="433">
      <c r="A433" s="9" t="n">
        <v>430</v>
      </c>
      <c r="B433" s="10" t="inlineStr">
        <is>
          <t>[2026-06-12 17:51:09] [INFO]   [语法检查] 执行中...</t>
        </is>
      </c>
    </row>
    <row r="434">
      <c r="A434" s="7" t="n">
        <v>431</v>
      </c>
      <c r="B434" s="8" t="inlineStr">
        <is>
          <t>[2026-06-12 17:51:09] [INFO]   测试: Python语法检查</t>
        </is>
      </c>
    </row>
    <row r="435">
      <c r="A435" s="9" t="n">
        <v>432</v>
      </c>
      <c r="B435" s="10" t="inlineStr">
        <is>
          <t>[2026-06-12 17:51:12] [INFO]     [DONE] 语法检查: 58/58 通过, 0 错误</t>
        </is>
      </c>
    </row>
    <row r="436">
      <c r="A436" s="7" t="n">
        <v>433</v>
      </c>
      <c r="B436" s="8" t="inlineStr">
        <is>
          <t>[2026-06-12 17:51:12] [INFO]   [数据库完整性] 执行中...</t>
        </is>
      </c>
    </row>
    <row r="437">
      <c r="A437" s="9" t="n">
        <v>434</v>
      </c>
      <c r="B437" s="10" t="inlineStr">
        <is>
          <t>[2026-06-12 17:51:12] [INFO]   测试: 数据库完整性</t>
        </is>
      </c>
    </row>
    <row r="438">
      <c r="A438" s="7" t="n">
        <v>435</v>
      </c>
      <c r="B438" s="8" t="inlineStr">
        <is>
          <t>[2026-06-12 17:51:47] [INFO]     [OK] 19张表, 完整性ok</t>
        </is>
      </c>
    </row>
    <row r="439">
      <c r="A439" s="9" t="n">
        <v>436</v>
      </c>
      <c r="B439" s="10" t="inlineStr">
        <is>
          <t>[2026-06-12 17:51:47] [INFO]   [系统状态] 执行中...</t>
        </is>
      </c>
    </row>
    <row r="440">
      <c r="A440" s="7" t="n">
        <v>437</v>
      </c>
      <c r="B440" s="8" t="inlineStr">
        <is>
          <t>[2026-06-12 17:51:47] [INFO]   测试: 系统状态</t>
        </is>
      </c>
    </row>
    <row r="441">
      <c r="A441" s="9" t="n">
        <v>438</v>
      </c>
      <c r="B441" s="10" t="inlineStr">
        <is>
          <t>[2026-06-12 17:51:48] [INFO]     [DONE] FAISS=[OK], 素材=有数据</t>
        </is>
      </c>
    </row>
    <row r="442">
      <c r="A442" s="7" t="n">
        <v>439</v>
      </c>
      <c r="B442" s="8" t="inlineStr">
        <is>
          <t>[2026-06-12 17:51:48] [INFO]   [单次生成(油风)] 执行中...</t>
        </is>
      </c>
    </row>
    <row r="443">
      <c r="A443" s="9" t="n">
        <v>440</v>
      </c>
      <c r="B443" s="10" t="inlineStr">
        <is>
          <t>[2026-06-12 17:51:48] [INFO]   测试: 单次生成 (关键词=奶油风岛台)</t>
        </is>
      </c>
    </row>
    <row r="444">
      <c r="A444" s="7" t="n">
        <v>441</v>
      </c>
      <c r="B444" s="8" t="inlineStr">
        <is>
          <t>[2026-06-12 17:53:48] [INFO]     [TIMEOUT] 生成超时</t>
        </is>
      </c>
    </row>
    <row r="445">
      <c r="A445" s="9" t="n">
        <v>442</v>
      </c>
      <c r="B445" s="10" t="inlineStr">
        <is>
          <t xml:space="preserve">[2026-06-12 17:53:49] [INFO] </t>
        </is>
      </c>
    </row>
    <row r="446">
      <c r="A446" s="7" t="n">
        <v>443</v>
      </c>
      <c r="B446" s="8" t="inlineStr">
        <is>
          <t>阶段2: 错误分析 (共1个错误)</t>
        </is>
      </c>
    </row>
    <row r="447">
      <c r="A447" s="9" t="n">
        <v>444</v>
      </c>
      <c r="B447" s="10" t="inlineStr">
        <is>
          <t>[2026-06-12 17:53:49] [INFO]   [Timeout] → 未匹配到修复模式: Timeout</t>
        </is>
      </c>
    </row>
    <row r="448">
      <c r="A448" s="7" t="n">
        <v>445</v>
      </c>
      <c r="B448" s="8" t="inlineStr">
        <is>
          <t xml:space="preserve">[2026-06-12 17:53:49] [INFO] </t>
        </is>
      </c>
    </row>
    <row r="449">
      <c r="A449" s="9" t="n">
        <v>446</v>
      </c>
      <c r="B449" s="10" t="inlineStr">
        <is>
          <t>迭代 #3 完成</t>
        </is>
      </c>
    </row>
    <row r="450">
      <c r="A450" s="7" t="n">
        <v>447</v>
      </c>
      <c r="B450" s="8" t="inlineStr">
        <is>
          <t>[2026-06-12 17:53:49] [INFO]   测试: 4项 | 错误: 1项 | 修复: 0项</t>
        </is>
      </c>
    </row>
    <row r="451">
      <c r="A451" s="9" t="n">
        <v>448</v>
      </c>
      <c r="B451" s="10" t="inlineStr">
        <is>
          <t>[2026-06-12 17:53:49] [INFO]   累计: 16次迭代, 成功率16/16</t>
        </is>
      </c>
    </row>
    <row r="452">
      <c r="A452" s="7" t="n">
        <v>449</v>
      </c>
      <c r="B452" s="8" t="inlineStr">
        <is>
          <t xml:space="preserve">[2026-06-12 17:53:49] [INFO] </t>
        </is>
      </c>
    </row>
    <row r="453">
      <c r="A453" s="9" t="n">
        <v>450</v>
      </c>
      <c r="B453" s="10" t="inlineStr">
        <is>
          <t>等待 93s 后开始下一次迭代... (Ctrl+C 退出)</t>
        </is>
      </c>
    </row>
    <row r="454">
      <c r="A454" s="7" t="n">
        <v>451</v>
      </c>
      <c r="B454" s="8" t="inlineStr"/>
    </row>
    <row r="455">
      <c r="A455" s="9" t="n">
        <v>452</v>
      </c>
      <c r="B455" s="10" t="inlineStr">
        <is>
          <t xml:space="preserve">[2026-06-12 17:55:22] [INFO] </t>
        </is>
      </c>
    </row>
    <row r="456">
      <c r="A456" s="7" t="n">
        <v>453</v>
      </c>
      <c r="B456" s="8">
        <f>===========================================================</f>
        <v/>
      </c>
    </row>
    <row r="457">
      <c r="A457" s="9" t="n">
        <v>454</v>
      </c>
      <c r="B457" s="10" t="inlineStr">
        <is>
          <t>[2026-06-12 17:55:22] [INFO] 迭代 #4 开始</t>
        </is>
      </c>
    </row>
    <row r="458">
      <c r="A458" s="7" t="n">
        <v>455</v>
      </c>
      <c r="B458" s="8" t="inlineStr">
        <is>
          <t>[2026-06-12 17:55:22] [INFO] ============================================================</t>
        </is>
      </c>
    </row>
    <row r="459">
      <c r="A459" s="9" t="n">
        <v>456</v>
      </c>
      <c r="B459" s="10" t="inlineStr">
        <is>
          <t>[2026-06-12 17:55:22] [INFO] 阶段1: 核心功能测试</t>
        </is>
      </c>
    </row>
    <row r="460">
      <c r="A460" s="7" t="n">
        <v>457</v>
      </c>
      <c r="B460" s="8" t="inlineStr">
        <is>
          <t>[2026-06-12 17:55:22] [INFO]   [语法检查] 执行中...</t>
        </is>
      </c>
    </row>
    <row r="461">
      <c r="A461" s="9" t="n">
        <v>458</v>
      </c>
      <c r="B461" s="10" t="inlineStr">
        <is>
          <t>[2026-06-12 17:55:22] [INFO]   测试: Python语法检查</t>
        </is>
      </c>
    </row>
    <row r="462">
      <c r="A462" s="7" t="n">
        <v>459</v>
      </c>
      <c r="B462" s="8" t="inlineStr">
        <is>
          <t>[2026-06-12 17:55:25] [INFO]     [DONE] 语法检查: 58/58 通过, 0 错误</t>
        </is>
      </c>
    </row>
    <row r="463">
      <c r="A463" s="9" t="n">
        <v>460</v>
      </c>
      <c r="B463" s="10" t="inlineStr">
        <is>
          <t>[2026-06-12 17:55:25] [INFO]   [数据库完整性] 执行中...</t>
        </is>
      </c>
    </row>
    <row r="464">
      <c r="A464" s="7" t="n">
        <v>461</v>
      </c>
      <c r="B464" s="8" t="inlineStr">
        <is>
          <t>[2026-06-12 17:55:25] [INFO]   测试: 数据库完整性</t>
        </is>
      </c>
    </row>
    <row r="465">
      <c r="A465" s="9" t="n">
        <v>462</v>
      </c>
      <c r="B465" s="10" t="inlineStr">
        <is>
          <t>[2026-06-12 17:55:54] [INFO]     [OK] 19张表, 完整性ok</t>
        </is>
      </c>
    </row>
    <row r="466">
      <c r="A466" s="7" t="n">
        <v>463</v>
      </c>
      <c r="B466" s="8" t="inlineStr">
        <is>
          <t>[2026-06-12 17:55:54] [INFO]   [系统状态] 执行中...</t>
        </is>
      </c>
    </row>
    <row r="467">
      <c r="A467" s="9" t="n">
        <v>464</v>
      </c>
      <c r="B467" s="10" t="inlineStr">
        <is>
          <t>[2026-06-12 17:55:54] [INFO]   测试: 系统状态</t>
        </is>
      </c>
    </row>
    <row r="468">
      <c r="A468" s="7" t="n">
        <v>465</v>
      </c>
      <c r="B468" s="8" t="inlineStr">
        <is>
          <t>[2026-06-12 17:55:55] [INFO]     [DONE] FAISS=[OK], 素材=有数据</t>
        </is>
      </c>
    </row>
    <row r="469">
      <c r="A469" s="9" t="n">
        <v>466</v>
      </c>
      <c r="B469" s="10" t="inlineStr">
        <is>
          <t>[2026-06-12 17:55:55] [INFO]   [全帧识别] 执行中...</t>
        </is>
      </c>
    </row>
    <row r="470">
      <c r="A470" s="7" t="n">
        <v>467</v>
      </c>
      <c r="B470" s="8" t="inlineStr">
        <is>
          <t>[2026-06-12 17:55:59] [INFO]   测试视频: 【14】【黑白简约风】江苏殷先生【岛台对开门收纳层展示】【坤宝】.mp4</t>
        </is>
      </c>
    </row>
    <row r="471">
      <c r="A471" s="9" t="n">
        <v>468</v>
      </c>
      <c r="B471" s="10" t="inlineStr">
        <is>
          <t>[2026-06-12 17:58:05] [INFO]     [TIMEOUT] CPU推理较慢(正常现象), 流水线代码路径已验证</t>
        </is>
      </c>
    </row>
    <row r="472">
      <c r="A472" s="7" t="n">
        <v>469</v>
      </c>
      <c r="B472" s="8" t="inlineStr">
        <is>
          <t xml:space="preserve">[2026-06-12 17:58:05] [INFO] </t>
        </is>
      </c>
    </row>
    <row r="473">
      <c r="A473" s="9" t="n">
        <v>470</v>
      </c>
      <c r="B473" s="10" t="inlineStr">
        <is>
          <t>阶段2: 错误分析 (共1个错误)</t>
        </is>
      </c>
    </row>
    <row r="474">
      <c r="A474" s="7" t="n">
        <v>471</v>
      </c>
      <c r="B474" s="8" t="inlineStr">
        <is>
          <t>[2026-06-12 17:58:05] [INFO]   [Timeout] → 未匹配到修复模式: Timeout</t>
        </is>
      </c>
    </row>
    <row r="475">
      <c r="A475" s="9" t="n">
        <v>472</v>
      </c>
      <c r="B475" s="10" t="inlineStr">
        <is>
          <t xml:space="preserve">[2026-06-12 17:58:05] [INFO] </t>
        </is>
      </c>
    </row>
    <row r="476">
      <c r="A476" s="7" t="n">
        <v>473</v>
      </c>
      <c r="B476" s="8" t="inlineStr">
        <is>
          <t>迭代 #4 完成</t>
        </is>
      </c>
    </row>
    <row r="477">
      <c r="A477" s="9" t="n">
        <v>474</v>
      </c>
      <c r="B477" s="10" t="inlineStr">
        <is>
          <t>[2026-06-12 17:58:05] [INFO]   测试: 4项 | 错误: 1项 | 修复: 0项</t>
        </is>
      </c>
    </row>
    <row r="478">
      <c r="A478" s="7" t="n">
        <v>475</v>
      </c>
      <c r="B478" s="8" t="inlineStr">
        <is>
          <t>[2026-06-12 17:58:05] [INFO]   累计: 17次迭代, 成功率17/17</t>
        </is>
      </c>
    </row>
    <row r="479">
      <c r="A479" s="9" t="n">
        <v>476</v>
      </c>
      <c r="B479" s="10" t="inlineStr">
        <is>
          <t xml:space="preserve">[2026-06-12 17:58:05] [INFO] </t>
        </is>
      </c>
    </row>
    <row r="480">
      <c r="A480" s="7" t="n">
        <v>477</v>
      </c>
      <c r="B480" s="8" t="inlineStr">
        <is>
          <t>等待 120s 后开始下一次迭代... (Ctrl+C 退出)</t>
        </is>
      </c>
    </row>
    <row r="481">
      <c r="A481" s="9" t="n">
        <v>478</v>
      </c>
      <c r="B481" s="10" t="inlineStr"/>
    </row>
    <row r="482">
      <c r="A482" s="7" t="n">
        <v>479</v>
      </c>
      <c r="B482" s="8" t="inlineStr">
        <is>
          <t xml:space="preserve">[2026-06-12 18:00:35] [INFO] </t>
        </is>
      </c>
    </row>
    <row r="483">
      <c r="A483" s="9" t="n">
        <v>480</v>
      </c>
      <c r="B483" s="10">
        <f>===========================================================</f>
        <v/>
      </c>
    </row>
    <row r="484">
      <c r="A484" s="7" t="n">
        <v>481</v>
      </c>
      <c r="B484" s="8" t="inlineStr">
        <is>
          <t>[2026-06-12 18:00:35] [INFO] 迭代 #5 开始</t>
        </is>
      </c>
    </row>
    <row r="485">
      <c r="A485" s="9" t="n">
        <v>482</v>
      </c>
      <c r="B485" s="10" t="inlineStr">
        <is>
          <t>[2026-06-12 18:00:35] [INFO] ============================================================</t>
        </is>
      </c>
    </row>
    <row r="486">
      <c r="A486" s="7" t="n">
        <v>483</v>
      </c>
      <c r="B486" s="8" t="inlineStr">
        <is>
          <t>[2026-06-12 18:00:35] [INFO] 阶段1: 核心功能测试</t>
        </is>
      </c>
    </row>
    <row r="487">
      <c r="A487" s="9" t="n">
        <v>484</v>
      </c>
      <c r="B487" s="10" t="inlineStr">
        <is>
          <t>[2026-06-12 18:00:35] [INFO]   [语法检查] 执行中...</t>
        </is>
      </c>
    </row>
    <row r="488">
      <c r="A488" s="7" t="n">
        <v>485</v>
      </c>
      <c r="B488" s="8" t="inlineStr">
        <is>
          <t>[2026-06-12 18:00:35] [INFO]   测试: Python语法检查</t>
        </is>
      </c>
    </row>
    <row r="489">
      <c r="A489" s="9" t="n">
        <v>486</v>
      </c>
      <c r="B489" s="10" t="inlineStr">
        <is>
          <t>[2026-06-12 18:00:49] [INFO]     [DONE] 语法检查: 58/58 通过, 0 错误</t>
        </is>
      </c>
    </row>
    <row r="490">
      <c r="A490" s="7" t="n">
        <v>487</v>
      </c>
      <c r="B490" s="8" t="inlineStr">
        <is>
          <t>[2026-06-12 18:00:49] [INFO]   [数据库完整性] 执行中...</t>
        </is>
      </c>
    </row>
    <row r="491">
      <c r="A491" s="9" t="n">
        <v>488</v>
      </c>
      <c r="B491" s="10" t="inlineStr">
        <is>
          <t>[2026-06-12 18:00:49] [INFO]   测试: 数据库完整性</t>
        </is>
      </c>
    </row>
    <row r="492">
      <c r="A492" s="7" t="n">
        <v>489</v>
      </c>
      <c r="B492" s="8" t="inlineStr">
        <is>
          <t>[2026-06-12 18:02:25] [INFO]     [OK] 19张表, 完整性ok</t>
        </is>
      </c>
    </row>
    <row r="493">
      <c r="A493" s="9" t="n">
        <v>490</v>
      </c>
      <c r="B493" s="10" t="inlineStr">
        <is>
          <t>[2026-06-12 18:02:25] [INFO]   [系统状态] 执行中...</t>
        </is>
      </c>
    </row>
    <row r="494">
      <c r="A494" s="7" t="n">
        <v>491</v>
      </c>
      <c r="B494" s="8" t="inlineStr">
        <is>
          <t>[2026-06-12 18:02:25] [INFO]   测试: 系统状态</t>
        </is>
      </c>
    </row>
    <row r="495">
      <c r="A495" s="9" t="n">
        <v>492</v>
      </c>
      <c r="B495" s="10" t="inlineStr">
        <is>
          <t>[2026-06-12 18:02:27] [INFO]     [DONE] FAISS=[OK], 素材=有数据</t>
        </is>
      </c>
    </row>
    <row r="496">
      <c r="A496" s="7" t="n">
        <v>493</v>
      </c>
      <c r="B496" s="8" t="inlineStr">
        <is>
          <t>[2026-06-12 18:02:27] [INFO]   [批量生成(2条)] 执行中...</t>
        </is>
      </c>
    </row>
    <row r="497">
      <c r="A497" s="9" t="n">
        <v>494</v>
      </c>
      <c r="B497" s="10" t="inlineStr">
        <is>
          <t>[2026-06-12 18:02:27] [INFO]   测试: 批量生成 (数量=2)</t>
        </is>
      </c>
    </row>
    <row r="498">
      <c r="A498" s="7" t="n">
        <v>495</v>
      </c>
      <c r="B498" s="8" t="inlineStr">
        <is>
          <t>[2026-06-12 18:04:33] [INFO]     [DONE] 批量生成: 成功6/失败0</t>
        </is>
      </c>
    </row>
    <row r="499">
      <c r="A499" s="9" t="n">
        <v>496</v>
      </c>
      <c r="B499" s="10" t="inlineStr">
        <is>
          <t xml:space="preserve">[2026-06-12 18:04:33] [INFO] </t>
        </is>
      </c>
    </row>
    <row r="500">
      <c r="A500" s="7" t="n">
        <v>497</v>
      </c>
      <c r="B500" s="8" t="inlineStr">
        <is>
          <t>阶段2: 错误分析 (共0个错误)</t>
        </is>
      </c>
    </row>
    <row r="501">
      <c r="A501" s="9" t="n">
        <v>498</v>
      </c>
      <c r="B501" s="10" t="inlineStr">
        <is>
          <t xml:space="preserve">[2026-06-12 18:04:33] [INFO] </t>
        </is>
      </c>
    </row>
    <row r="502">
      <c r="A502" s="7" t="n">
        <v>499</v>
      </c>
      <c r="B502" s="8" t="inlineStr">
        <is>
          <t>迭代 #5 完成</t>
        </is>
      </c>
    </row>
    <row r="503">
      <c r="A503" s="9" t="n">
        <v>500</v>
      </c>
      <c r="B503" s="10" t="inlineStr">
        <is>
          <t>[2026-06-12 18:04:33] [INFO]   测试: 4项 | 错误: 0项 | 修复: 0项</t>
        </is>
      </c>
    </row>
    <row r="504">
      <c r="A504" s="7" t="n">
        <v>501</v>
      </c>
      <c r="B504" s="8" t="inlineStr">
        <is>
          <t>[2026-06-12 18:04:33] [INFO]   累计: 18次迭代, 成功率18/18</t>
        </is>
      </c>
    </row>
    <row r="505">
      <c r="A505" s="9" t="n">
        <v>502</v>
      </c>
      <c r="B505" s="10" t="inlineStr">
        <is>
          <t xml:space="preserve">[2026-06-12 18:04:33] [INFO] </t>
        </is>
      </c>
    </row>
    <row r="506">
      <c r="A506" s="7" t="n">
        <v>503</v>
      </c>
      <c r="B506" s="8" t="inlineStr">
        <is>
          <t>已达到最大迭代次数(5)，退出。</t>
        </is>
      </c>
    </row>
    <row r="507">
      <c r="A507" s="9" t="n">
        <v>504</v>
      </c>
      <c r="B507" s="10" t="inlineStr">
        <is>
          <t>[2026-06-12 18:04:33] [INFO] 自进化系统停止。总计 5 次迭代。</t>
        </is>
      </c>
    </row>
    <row r="508">
      <c r="A508" s="7" t="n">
        <v>505</v>
      </c>
      <c r="B508" s="8" t="inlineStr">
        <is>
          <t>[2026-06-12 18:04:33] [INFO] 最终统计: {"total_iterations": 18, "success_rate": "18/18", "total_fixes_applied": 0, "last_iteration": "2026-06-12T18:04:33.682546"}</t>
        </is>
      </c>
    </row>
    <row r="509">
      <c r="A509" s="9" t="n">
        <v>506</v>
      </c>
      <c r="B509" s="10" t="inlineStr">
        <is>
          <t>[2026-06-12 22:15:01] [INFO] 树剪 自进化系统 启动</t>
        </is>
      </c>
    </row>
    <row r="510">
      <c r="A510" s="7" t="n">
        <v>507</v>
      </c>
      <c r="B510" s="8" t="inlineStr">
        <is>
          <t>[2026-06-12 22:15:01] [INFO]   AI模式: 规则模式</t>
        </is>
      </c>
    </row>
    <row r="511">
      <c r="A511" s="9" t="n">
        <v>508</v>
      </c>
      <c r="B511" s="10" t="inlineStr">
        <is>
          <t>[2026-06-12 22:15:01] [INFO]   GUI模式: CLI模式</t>
        </is>
      </c>
    </row>
    <row r="512">
      <c r="A512" s="7" t="n">
        <v>509</v>
      </c>
      <c r="B512" s="8" t="inlineStr">
        <is>
          <t>[2026-06-12 22:15:01] [INFO]   最大迭代: 1</t>
        </is>
      </c>
    </row>
    <row r="513">
      <c r="A513" s="9" t="n">
        <v>510</v>
      </c>
      <c r="B513" s="10" t="inlineStr">
        <is>
          <t>[2026-06-12 22:15:01] [INFO]   备份目录: E:\树剪软件相关文件\evolution_backups</t>
        </is>
      </c>
    </row>
    <row r="514">
      <c r="A514" s="7" t="n">
        <v>511</v>
      </c>
      <c r="B514" s="8" t="inlineStr">
        <is>
          <t xml:space="preserve">[2026-06-12 22:15:01] [INFO] </t>
        </is>
      </c>
    </row>
    <row r="515">
      <c r="A515" s="9" t="n">
        <v>512</v>
      </c>
      <c r="B515" s="10">
        <f>===========================================================</f>
        <v/>
      </c>
    </row>
    <row r="516">
      <c r="A516" s="7" t="n">
        <v>513</v>
      </c>
      <c r="B516" s="8" t="inlineStr">
        <is>
          <t>[2026-06-12 22:15:01] [INFO] 迭代 #1 开始</t>
        </is>
      </c>
    </row>
    <row r="517">
      <c r="A517" s="9" t="n">
        <v>514</v>
      </c>
      <c r="B517" s="10" t="inlineStr">
        <is>
          <t>[2026-06-12 22:15:01] [INFO] ============================================================</t>
        </is>
      </c>
    </row>
    <row r="518">
      <c r="A518" s="7" t="n">
        <v>515</v>
      </c>
      <c r="B518" s="8" t="inlineStr">
        <is>
          <t>[2026-06-12 22:15:01] [INFO] 阶段1: 核心功能测试</t>
        </is>
      </c>
    </row>
    <row r="519">
      <c r="A519" s="9" t="n">
        <v>516</v>
      </c>
      <c r="B519" s="10" t="inlineStr">
        <is>
          <t>[2026-06-12 22:15:01] [INFO]   [语法检查] 执行中...</t>
        </is>
      </c>
    </row>
    <row r="520">
      <c r="A520" s="7" t="n">
        <v>517</v>
      </c>
      <c r="B520" s="8" t="inlineStr">
        <is>
          <t>[2026-06-12 22:15:01] [INFO]   测试: Python语法检查</t>
        </is>
      </c>
    </row>
    <row r="521">
      <c r="A521" s="9" t="n">
        <v>518</v>
      </c>
      <c r="B521" s="10" t="inlineStr">
        <is>
          <t>[2026-06-12 22:15:01] [INFO]     [DONE] 语法检查: 58/58 通过, 0 错误</t>
        </is>
      </c>
    </row>
    <row r="522">
      <c r="A522" s="7" t="n">
        <v>519</v>
      </c>
      <c r="B522" s="8" t="inlineStr">
        <is>
          <t>[2026-06-12 22:15:01] [INFO]   [数据库完整性] 执行中...</t>
        </is>
      </c>
    </row>
    <row r="523">
      <c r="A523" s="9" t="n">
        <v>520</v>
      </c>
      <c r="B523" s="10" t="inlineStr">
        <is>
          <t>[2026-06-12 22:15:01] [INFO]   测试: 数据库完整性</t>
        </is>
      </c>
    </row>
    <row r="524">
      <c r="A524" s="7" t="n">
        <v>521</v>
      </c>
      <c r="B524" s="8" t="inlineStr">
        <is>
          <t>[2026-06-12 22:15:02] [INFO]     [OK] 19张表, 完整性ok</t>
        </is>
      </c>
    </row>
    <row r="525">
      <c r="A525" s="9" t="n">
        <v>522</v>
      </c>
      <c r="B525" s="10" t="inlineStr">
        <is>
          <t>[2026-06-12 22:15:02] [INFO]   [系统状态] 执行中...</t>
        </is>
      </c>
    </row>
    <row r="526">
      <c r="A526" s="7" t="n">
        <v>523</v>
      </c>
      <c r="B526" s="8" t="inlineStr">
        <is>
          <t>[2026-06-12 22:15:02] [INFO]   测试: 系统状态</t>
        </is>
      </c>
    </row>
    <row r="527">
      <c r="A527" s="9" t="n">
        <v>524</v>
      </c>
      <c r="B527" s="10" t="inlineStr">
        <is>
          <t>[2026-06-12 22:15:02] [INFO]     [DONE] FAISS=[OK], 素材=有数据</t>
        </is>
      </c>
    </row>
    <row r="528">
      <c r="A528" s="7" t="n">
        <v>525</v>
      </c>
      <c r="B528" s="8" t="inlineStr">
        <is>
          <t xml:space="preserve">[2026-06-12 22:15:02] [INFO] </t>
        </is>
      </c>
    </row>
    <row r="529">
      <c r="A529" s="9" t="n">
        <v>526</v>
      </c>
      <c r="B529" s="10" t="inlineStr">
        <is>
          <t>阶段2: 错误分析 (共0个错误)</t>
        </is>
      </c>
    </row>
    <row r="530">
      <c r="A530" s="7" t="n">
        <v>527</v>
      </c>
      <c r="B530" s="8" t="inlineStr">
        <is>
          <t xml:space="preserve">[2026-06-12 22:15:02] [INFO] </t>
        </is>
      </c>
    </row>
    <row r="531">
      <c r="A531" s="9" t="n">
        <v>528</v>
      </c>
      <c r="B531" s="10" t="inlineStr">
        <is>
          <t>迭代 #1 完成</t>
        </is>
      </c>
    </row>
    <row r="532">
      <c r="A532" s="7" t="n">
        <v>529</v>
      </c>
      <c r="B532" s="8" t="inlineStr">
        <is>
          <t>[2026-06-12 22:15:02] [INFO]   测试: 3项 | 错误: 0项 | 修复: 0项</t>
        </is>
      </c>
    </row>
    <row r="533">
      <c r="A533" s="9" t="n">
        <v>530</v>
      </c>
      <c r="B533" s="10" t="inlineStr">
        <is>
          <t>[2026-06-12 22:15:02] [INFO]   累计: 19次迭代, 成功率19/19</t>
        </is>
      </c>
    </row>
    <row r="534">
      <c r="A534" s="7" t="n">
        <v>531</v>
      </c>
      <c r="B534" s="8" t="inlineStr">
        <is>
          <t xml:space="preserve">[2026-06-12 22:15:02] [INFO] </t>
        </is>
      </c>
    </row>
    <row r="535">
      <c r="A535" s="9" t="n">
        <v>532</v>
      </c>
      <c r="B535" s="10" t="inlineStr">
        <is>
          <t>已达到最大迭代次数(1)，退出。</t>
        </is>
      </c>
    </row>
    <row r="536">
      <c r="A536" s="7" t="n">
        <v>533</v>
      </c>
      <c r="B536" s="8" t="inlineStr">
        <is>
          <t>[2026-06-12 22:15:02] [INFO] 自进化系统停止。总计 1 次迭代。</t>
        </is>
      </c>
    </row>
    <row r="537">
      <c r="A537" s="9" t="n">
        <v>534</v>
      </c>
      <c r="B537" s="10" t="inlineStr">
        <is>
          <t>[2026-06-12 22:15:02] [INFO] 最终统计: {"total_iterations": 19, "success_rate": "19/19", "total_fixes_applied": 0, "last_iteration": "2026-06-12T22:15:02.778010"}</t>
        </is>
      </c>
    </row>
    <row r="538">
      <c r="A538" s="7" t="n">
        <v>535</v>
      </c>
      <c r="B538" s="8" t="inlineStr">
        <is>
          <t>[2026-06-12 22:40:58] [INFO] 树剪 自进化系统 启动</t>
        </is>
      </c>
    </row>
    <row r="539">
      <c r="A539" s="9" t="n">
        <v>536</v>
      </c>
      <c r="B539" s="10" t="inlineStr">
        <is>
          <t>[2026-06-12 22:40:58] [INFO]   AI模式: 规则模式</t>
        </is>
      </c>
    </row>
    <row r="540">
      <c r="A540" s="7" t="n">
        <v>537</v>
      </c>
      <c r="B540" s="8" t="inlineStr">
        <is>
          <t>[2026-06-12 22:40:58] [INFO]   GUI模式: CLI模式</t>
        </is>
      </c>
    </row>
    <row r="541">
      <c r="A541" s="9" t="n">
        <v>538</v>
      </c>
      <c r="B541" s="10" t="inlineStr">
        <is>
          <t>[2026-06-12 22:40:58] [INFO]   最大迭代: 1</t>
        </is>
      </c>
    </row>
    <row r="542">
      <c r="A542" s="7" t="n">
        <v>539</v>
      </c>
      <c r="B542" s="8" t="inlineStr">
        <is>
          <t>[2026-06-12 22:40:58] [INFO]   备份目录: E:\树剪软件相关文件\evolution_backups</t>
        </is>
      </c>
    </row>
    <row r="543">
      <c r="A543" s="9" t="n">
        <v>540</v>
      </c>
      <c r="B543" s="10" t="inlineStr">
        <is>
          <t xml:space="preserve">[2026-06-12 22:40:58] [INFO] </t>
        </is>
      </c>
    </row>
    <row r="544">
      <c r="A544" s="7" t="n">
        <v>541</v>
      </c>
      <c r="B544" s="8">
        <f>===========================================================</f>
        <v/>
      </c>
    </row>
    <row r="545">
      <c r="A545" s="9" t="n">
        <v>542</v>
      </c>
      <c r="B545" s="10" t="inlineStr">
        <is>
          <t>[2026-06-12 22:40:58] [INFO] 迭代 #1 开始</t>
        </is>
      </c>
    </row>
    <row r="546">
      <c r="A546" s="7" t="n">
        <v>543</v>
      </c>
      <c r="B546" s="8" t="inlineStr">
        <is>
          <t>[2026-06-12 22:40:58] [INFO] ============================================================</t>
        </is>
      </c>
    </row>
    <row r="547">
      <c r="A547" s="9" t="n">
        <v>544</v>
      </c>
      <c r="B547" s="10" t="inlineStr">
        <is>
          <t>[2026-06-12 22:40:58] [INFO] 阶段1: 核心功能测试</t>
        </is>
      </c>
    </row>
    <row r="548">
      <c r="A548" s="7" t="n">
        <v>545</v>
      </c>
      <c r="B548" s="8" t="inlineStr">
        <is>
          <t>[2026-06-12 22:40:58] [INFO]   [语法检查] 执行中...</t>
        </is>
      </c>
    </row>
    <row r="549">
      <c r="A549" s="9" t="n">
        <v>546</v>
      </c>
      <c r="B549" s="10" t="inlineStr">
        <is>
          <t>[2026-06-12 22:40:58] [INFO]   测试: Python语法检查</t>
        </is>
      </c>
    </row>
    <row r="550">
      <c r="A550" s="7" t="n">
        <v>547</v>
      </c>
      <c r="B550" s="8" t="inlineStr">
        <is>
          <t>[2026-06-12 22:40:59] [INFO]     [DONE] 语法检查: 59/59 通过, 0 错误</t>
        </is>
      </c>
    </row>
    <row r="551">
      <c r="A551" s="9" t="n">
        <v>548</v>
      </c>
      <c r="B551" s="10" t="inlineStr">
        <is>
          <t>[2026-06-12 22:40:59] [INFO]   [数据库完整性] 执行中...</t>
        </is>
      </c>
    </row>
    <row r="552">
      <c r="A552" s="7" t="n">
        <v>549</v>
      </c>
      <c r="B552" s="8" t="inlineStr">
        <is>
          <t>[2026-06-12 22:40:59] [INFO]   测试: 数据库完整性</t>
        </is>
      </c>
    </row>
    <row r="553">
      <c r="A553" s="9" t="n">
        <v>550</v>
      </c>
      <c r="B553" s="10" t="inlineStr">
        <is>
          <t>[2026-06-12 22:40:59] [INFO]     [OK] 19张表, 完整性ok</t>
        </is>
      </c>
    </row>
    <row r="554">
      <c r="A554" s="7" t="n">
        <v>551</v>
      </c>
      <c r="B554" s="8" t="inlineStr">
        <is>
          <t>[2026-06-12 22:40:59] [INFO]   [系统状态] 执行中...</t>
        </is>
      </c>
    </row>
    <row r="555">
      <c r="A555" s="9" t="n">
        <v>552</v>
      </c>
      <c r="B555" s="10" t="inlineStr">
        <is>
          <t>[2026-06-12 22:40:59] [INFO]   测试: 系统状态</t>
        </is>
      </c>
    </row>
    <row r="556">
      <c r="A556" s="7" t="n">
        <v>553</v>
      </c>
      <c r="B556" s="8" t="inlineStr">
        <is>
          <t>[2026-06-12 22:40:59] [INFO]     [DONE] FAISS=[OK], 素材=有数据</t>
        </is>
      </c>
    </row>
    <row r="557">
      <c r="A557" s="9" t="n">
        <v>554</v>
      </c>
      <c r="B557" s="10" t="inlineStr">
        <is>
          <t xml:space="preserve">[2026-06-12 22:40:59] [INFO] </t>
        </is>
      </c>
    </row>
    <row r="558">
      <c r="A558" s="7" t="n">
        <v>555</v>
      </c>
      <c r="B558" s="8" t="inlineStr">
        <is>
          <t>阶段2: 错误分析 (共0个错误)</t>
        </is>
      </c>
    </row>
    <row r="559">
      <c r="A559" s="9" t="n">
        <v>556</v>
      </c>
      <c r="B559" s="10" t="inlineStr">
        <is>
          <t xml:space="preserve">[2026-06-12 22:40:59] [INFO] </t>
        </is>
      </c>
    </row>
    <row r="560">
      <c r="A560" s="7" t="n">
        <v>557</v>
      </c>
      <c r="B560" s="8" t="inlineStr">
        <is>
          <t>迭代 #1 完成</t>
        </is>
      </c>
    </row>
    <row r="561">
      <c r="A561" s="9" t="n">
        <v>558</v>
      </c>
      <c r="B561" s="10" t="inlineStr">
        <is>
          <t>[2026-06-12 22:40:59] [INFO]   测试: 3项 | 错误: 0项 | 修复: 0项</t>
        </is>
      </c>
    </row>
    <row r="562">
      <c r="A562" s="7" t="n">
        <v>559</v>
      </c>
      <c r="B562" s="8" t="inlineStr">
        <is>
          <t>[2026-06-12 22:40:59] [INFO]   累计: 20次迭代, 成功率20/20</t>
        </is>
      </c>
    </row>
    <row r="563">
      <c r="A563" s="9" t="n">
        <v>560</v>
      </c>
      <c r="B563" s="10" t="inlineStr">
        <is>
          <t xml:space="preserve">[2026-06-12 22:40:59] [INFO] </t>
        </is>
      </c>
    </row>
    <row r="564">
      <c r="A564" s="7" t="n">
        <v>561</v>
      </c>
      <c r="B564" s="8" t="inlineStr">
        <is>
          <t>已达到最大迭代次数(1)，退出。</t>
        </is>
      </c>
    </row>
    <row r="565">
      <c r="A565" s="9" t="n">
        <v>562</v>
      </c>
      <c r="B565" s="10" t="inlineStr">
        <is>
          <t>[2026-06-12 22:40:59] [INFO] 自进化系统停止。总计 1 次迭代。</t>
        </is>
      </c>
    </row>
    <row r="566">
      <c r="A566" s="7" t="n">
        <v>563</v>
      </c>
      <c r="B566" s="8" t="inlineStr">
        <is>
          <t>[2026-06-12 22:40:59] [INFO] 最终统计: {"total_iterations": 20, "success_rate": "20/20", "total_fixes_applied": 0, "last_iteration": "2026-06-12T22:40:59.722057"}</t>
        </is>
      </c>
    </row>
    <row r="567">
      <c r="A567" s="9" t="n">
        <v>564</v>
      </c>
      <c r="B567" s="10" t="inlineStr">
        <is>
          <t>[2026-06-12 23:27:37] [INFO] 树剪 自进化系统 启动</t>
        </is>
      </c>
    </row>
    <row r="568">
      <c r="A568" s="7" t="n">
        <v>565</v>
      </c>
      <c r="B568" s="8" t="inlineStr">
        <is>
          <t>[2026-06-12 23:27:37] [INFO]   AI模式: 规则模式</t>
        </is>
      </c>
    </row>
    <row r="569">
      <c r="A569" s="9" t="n">
        <v>566</v>
      </c>
      <c r="B569" s="10" t="inlineStr">
        <is>
          <t>[2026-06-12 23:27:37] [INFO]   GUI模式: CLI模式</t>
        </is>
      </c>
    </row>
    <row r="570">
      <c r="A570" s="7" t="n">
        <v>567</v>
      </c>
      <c r="B570" s="8" t="inlineStr">
        <is>
          <t>[2026-06-12 23:27:37] [INFO]   最大迭代: 1</t>
        </is>
      </c>
    </row>
    <row r="571">
      <c r="A571" s="9" t="n">
        <v>568</v>
      </c>
      <c r="B571" s="10" t="inlineStr">
        <is>
          <t>[2026-06-12 23:27:37] [INFO]   备份目录: E:\树剪软件相关文件\evolution_backups</t>
        </is>
      </c>
    </row>
    <row r="572">
      <c r="A572" s="7" t="n">
        <v>569</v>
      </c>
      <c r="B572" s="8" t="inlineStr">
        <is>
          <t xml:space="preserve">[2026-06-12 23:27:37] [INFO] </t>
        </is>
      </c>
    </row>
    <row r="573">
      <c r="A573" s="9" t="n">
        <v>570</v>
      </c>
      <c r="B573" s="10">
        <f>===========================================================</f>
        <v/>
      </c>
    </row>
    <row r="574">
      <c r="A574" s="7" t="n">
        <v>571</v>
      </c>
      <c r="B574" s="8" t="inlineStr">
        <is>
          <t>[2026-06-12 23:27:37] [INFO] 迭代 #1 开始</t>
        </is>
      </c>
    </row>
    <row r="575">
      <c r="A575" s="9" t="n">
        <v>572</v>
      </c>
      <c r="B575" s="10" t="inlineStr">
        <is>
          <t>[2026-06-12 23:27:37] [INFO] ============================================================</t>
        </is>
      </c>
    </row>
    <row r="576">
      <c r="A576" s="7" t="n">
        <v>573</v>
      </c>
      <c r="B576" s="8" t="inlineStr">
        <is>
          <t>[2026-06-12 23:27:37] [INFO] 阶段1: 核心功能测试</t>
        </is>
      </c>
    </row>
    <row r="577">
      <c r="A577" s="9" t="n">
        <v>574</v>
      </c>
      <c r="B577" s="10" t="inlineStr">
        <is>
          <t>[2026-06-12 23:27:37] [INFO]   [语法检查] 执行中...</t>
        </is>
      </c>
    </row>
    <row r="578">
      <c r="A578" s="7" t="n">
        <v>575</v>
      </c>
      <c r="B578" s="8" t="inlineStr">
        <is>
          <t>[2026-06-12 23:27:37] [INFO]   测试: Python语法检查</t>
        </is>
      </c>
    </row>
    <row r="579">
      <c r="A579" s="9" t="n">
        <v>576</v>
      </c>
      <c r="B579" s="10" t="inlineStr">
        <is>
          <t>[2026-06-12 23:27:38] [INFO]     [DONE] 语法检查: 59/59 通过, 0 错误</t>
        </is>
      </c>
    </row>
    <row r="580">
      <c r="A580" s="7" t="n">
        <v>577</v>
      </c>
      <c r="B580" s="8" t="inlineStr">
        <is>
          <t>[2026-06-12 23:27:38] [INFO]   [数据库完整性] 执行中...</t>
        </is>
      </c>
    </row>
    <row r="581">
      <c r="A581" s="9" t="n">
        <v>578</v>
      </c>
      <c r="B581" s="10" t="inlineStr">
        <is>
          <t>[2026-06-12 23:27:38] [INFO]   测试: 数据库完整性</t>
        </is>
      </c>
    </row>
    <row r="582">
      <c r="A582" s="7" t="n">
        <v>579</v>
      </c>
      <c r="B582" s="8" t="inlineStr">
        <is>
          <t>[2026-06-12 23:27:38] [INFO]     [OK] 20张表, 完整性ok</t>
        </is>
      </c>
    </row>
    <row r="583">
      <c r="A583" s="9" t="n">
        <v>580</v>
      </c>
      <c r="B583" s="10" t="inlineStr">
        <is>
          <t>[2026-06-12 23:27:38] [INFO]   [系统状态] 执行中...</t>
        </is>
      </c>
    </row>
    <row r="584">
      <c r="A584" s="7" t="n">
        <v>581</v>
      </c>
      <c r="B584" s="8" t="inlineStr">
        <is>
          <t>[2026-06-12 23:27:38] [INFO]   测试: 系统状态</t>
        </is>
      </c>
    </row>
    <row r="585">
      <c r="A585" s="9" t="n">
        <v>582</v>
      </c>
      <c r="B585" s="10" t="inlineStr">
        <is>
          <t>[2026-06-12 23:27:39] [INFO]     [DONE] FAISS=[OK], 素材=有数据</t>
        </is>
      </c>
    </row>
    <row r="586">
      <c r="A586" s="7" t="n">
        <v>583</v>
      </c>
      <c r="B586" s="8" t="inlineStr">
        <is>
          <t xml:space="preserve">[2026-06-12 23:27:39] [INFO] </t>
        </is>
      </c>
    </row>
    <row r="587">
      <c r="A587" s="9" t="n">
        <v>584</v>
      </c>
      <c r="B587" s="10" t="inlineStr">
        <is>
          <t>阶段2: 错误分析 (共0个错误)</t>
        </is>
      </c>
    </row>
    <row r="588">
      <c r="A588" s="7" t="n">
        <v>585</v>
      </c>
      <c r="B588" s="8" t="inlineStr">
        <is>
          <t xml:space="preserve">[2026-06-12 23:27:39] [INFO] </t>
        </is>
      </c>
    </row>
    <row r="589">
      <c r="A589" s="9" t="n">
        <v>586</v>
      </c>
      <c r="B589" s="10" t="inlineStr">
        <is>
          <t>迭代 #1 完成</t>
        </is>
      </c>
    </row>
    <row r="590">
      <c r="A590" s="7" t="n">
        <v>587</v>
      </c>
      <c r="B590" s="8" t="inlineStr">
        <is>
          <t>[2026-06-12 23:27:39] [INFO]   测试: 3项 | 错误: 0项 | 修复: 0项</t>
        </is>
      </c>
    </row>
    <row r="591">
      <c r="A591" s="9" t="n">
        <v>588</v>
      </c>
      <c r="B591" s="10" t="inlineStr">
        <is>
          <t>[2026-06-12 23:27:39] [INFO]   累计: 21次迭代, 成功率21/21</t>
        </is>
      </c>
    </row>
    <row r="592">
      <c r="A592" s="7" t="n">
        <v>589</v>
      </c>
      <c r="B592" s="8" t="inlineStr">
        <is>
          <t xml:space="preserve">[2026-06-12 23:27:39] [INFO] </t>
        </is>
      </c>
    </row>
    <row r="593">
      <c r="A593" s="9" t="n">
        <v>590</v>
      </c>
      <c r="B593" s="10" t="inlineStr">
        <is>
          <t>已达到最大迭代次数(1)，退出。</t>
        </is>
      </c>
    </row>
    <row r="594">
      <c r="A594" s="7" t="n">
        <v>591</v>
      </c>
      <c r="B594" s="8" t="inlineStr">
        <is>
          <t>[2026-06-12 23:27:39] [INFO] 自进化系统停止。总计 1 次迭代。</t>
        </is>
      </c>
    </row>
    <row r="595">
      <c r="A595" s="9" t="n">
        <v>592</v>
      </c>
      <c r="B595" s="10" t="inlineStr">
        <is>
          <t>[2026-06-12 23:27:39] [INFO] 最终统计: {"total_iterations": 21, "success_rate": "21/21", "total_fixes_applied": 0, "last_iteration": "2026-06-12T23:27:39.149681"}</t>
        </is>
      </c>
    </row>
    <row r="596">
      <c r="A596" s="7" t="n">
        <v>593</v>
      </c>
      <c r="B596" s="8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ui\folder_cache.json</t>
        </is>
      </c>
      <c r="C1" s="5" t="inlineStr">
        <is>
          <t>行数: 1</t>
        </is>
      </c>
    </row>
    <row r="4">
      <c r="A4" s="7" t="n">
        <v>1</v>
      </c>
      <c r="B4" s="8" t="inlineStr">
        <is>
          <t>{"ts": 1781095929.3978002, "folders": [{"name": "【04】造型展示", "count": 1960}, {"name": "【02】尺寸展示", "count": 843}, {"name": "【02】下层抽屉", "count": 570}, {"name": "【04】对开间收纳", "count": 534}, {"name": "【05】公牛轨道插座", "count": 466}, {"name": "【01】上层薄抽", "count": 417}, {"name": "【03】颜色展示", "count": 343}, {"name": "已发视频一", "count": 209}, {"name": "【26】材质细节展示", "count": 184}, {"name": "【23】钢结构", "count": 147}, {"name": "【18】海棠角", "count": 132}, {"name": "【10】岛台餐桌一体", "count": 131}, {"name": "已发视频二", "count": 118}, {"name": "【10】内嵌水槽", "count": 81}, {"name": "【21】伸缩功能", "count": 76}, {"name": "【03】开放抽屉", "count": 68}, {"name": "【20】连纹", "count": 50}, {"name": "【27】单面柜储物", "count": 43}, {"name": "【13】T型岩板腿", "count": 34}, {"name": "【29】圆弧设计", "count": 32}, {"name": "【05】生活化展示", "count": 31}, {"name": "【06】内嵌烤箱", "count": 28}, {"name": "【12】灯带", "count": 28}, {"name": "【07】狗不干我干干", "count": 26}, {"name": "【14】T型亚克力腿", "count": 25}, {"name": "【15】一字型岩板腿", "count": 18}, {"name": "【06】空镜响指转场", "count": 18}, {"name": "【36】内嵌蒸烤一体", "count": 13}, {"name": "已发视频三（洗稿）", "count": 13}, {"name": "已发视频.2", "count": 12}, {"name": "【16】水波纹亚克力腿", "count": 11}, {"name": "【28】音标轨道插座", "count": 11}, {"name": "已发视频.1", "count": 8}, {"name": "【11】煮茶器", "count": 7}, {"name": "【25】水磨边设计", "count": 7}, {"name": "【31】岩板内嵌设计", "count": 7}, {"name": "【33】吧台空间", "count": 6}, {"name": "【24】岩板台面耐造", "count": 5}, {"name": "【07】内嵌电烤箱", "count": 4}, {"name": "【35】内嵌冰箱", "count": 4}, {"name": "【09】内嵌酒柜", "count": 3}, {"name": "【19】拉篮", "count": 3}, {"name": "【34】UB克轨道插座", "count": 3}, {"name": "【38】户外岛台烤炉", "count": 3}, {"name": "【17】渐变亚克力腿", "count": 2}, {"name": "【32】镂空腰线设计", "count": 2}, {"name": "【08】可视面全贴岩板的岛台", "count": 2}, {"name": "【09】改稿设计", "count": 2}, {"name": "【12】齐屏设计", "count": 2}, {"name": "【37】岩板折边工艺", "count": 1}, {"name": "【11】物流追踪", "count": 1}]}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ui\folder_selection.json</t>
        </is>
      </c>
      <c r="C1" s="5" t="inlineStr">
        <is>
          <t>行数: 1</t>
        </is>
      </c>
    </row>
    <row r="4">
      <c r="A4" s="7" t="n">
        <v>1</v>
      </c>
      <c r="B4" s="8" t="inlineStr">
        <is>
          <t>{"selected": [], "ts": 1781086794.5042048}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ui\generate_log.txt</t>
        </is>
      </c>
      <c r="C1" s="5" t="inlineStr">
        <is>
          <t>行数: 11</t>
        </is>
      </c>
    </row>
    <row r="4">
      <c r="A4" s="7" t="n">
        <v>1</v>
      </c>
      <c r="B4" s="8" t="inlineStr"/>
    </row>
    <row r="5">
      <c r="A5" s="9" t="n">
        <v>2</v>
      </c>
      <c r="B5" s="10">
        <f>== 2026-06-10T18:13:54 ===</f>
        <v/>
      </c>
    </row>
    <row r="6">
      <c r="A6" s="7" t="n">
        <v>3</v>
      </c>
      <c r="B6" s="8" t="inlineStr">
        <is>
          <t>开始 / Start: kw=岩板台面耐造 / Rock Panel, speed=1.1x, folders=0</t>
        </is>
      </c>
    </row>
    <row r="7">
      <c r="A7" s="9" t="n">
        <v>4</v>
      </c>
      <c r="B7" s="10" t="inlineStr">
        <is>
          <t>完成 / DONE: C:\Users\admin\AppData\Local\JianyingPro\User Data\Projects\com.lveditor.draft\20260610_181354_岩板台面耐造Rock_树剪</t>
        </is>
      </c>
    </row>
    <row r="8">
      <c r="A8" s="7" t="n">
        <v>5</v>
      </c>
      <c r="B8" s="8" t="inlineStr"/>
    </row>
    <row r="9">
      <c r="A9" s="9" t="n">
        <v>6</v>
      </c>
      <c r="B9" s="10" t="inlineStr"/>
    </row>
    <row r="10">
      <c r="A10" s="7" t="n">
        <v>7</v>
      </c>
      <c r="B10" s="8">
        <f>== 2026-06-10T18:20:24 ===</f>
        <v/>
      </c>
    </row>
    <row r="11">
      <c r="A11" s="9" t="n">
        <v>8</v>
      </c>
      <c r="B11" s="10" t="inlineStr">
        <is>
          <t>开始 / Start: kw=岩板台面耐造 / Rock Panel, speed=1.1x, folders=0</t>
        </is>
      </c>
    </row>
    <row r="12">
      <c r="A12" s="7" t="n">
        <v>9</v>
      </c>
      <c r="B12" s="8" t="inlineStr">
        <is>
          <t>完成 / DONE: C:\Users\admin\AppData\Local\JianyingPro\User Data\Projects\com.lveditor.draft\20260610_182024_岩板台面耐造Rock_树剪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ui\recent_kw.json</t>
        </is>
      </c>
      <c r="C1" s="5" t="inlineStr">
        <is>
          <t>行数: 1</t>
        </is>
      </c>
    </row>
    <row r="4">
      <c r="A4" s="7" t="n">
        <v>1</v>
      </c>
      <c r="B4" s="8" t="inlineStr">
        <is>
          <t>["岛台功能", "岩板台面耐造", "入户产品介绍", "海棠角", "伸缩功能", "岛台款式选择", "原木风岛台", "轨道插座", "岩板台面耐造 / Rock Panel"]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upgrade_log.txt</t>
        </is>
      </c>
      <c r="C1" s="5" t="inlineStr">
        <is>
          <t>行数: 69</t>
        </is>
      </c>
    </row>
    <row r="4">
      <c r="A4" s="7" t="n">
        <v>1</v>
      </c>
      <c r="B4" s="8" t="inlineStr">
        <is>
          <t>[11:45:08] [INFO] ============================================================</t>
        </is>
      </c>
    </row>
    <row r="5">
      <c r="A5" s="9" t="n">
        <v>2</v>
      </c>
      <c r="B5" s="10" t="inlineStr">
        <is>
          <t>[11:45:08] [INFO]   树剪 TreeCut — 自动升级 v10.3 → v10.4-beta</t>
        </is>
      </c>
    </row>
    <row r="6">
      <c r="A6" s="7" t="n">
        <v>3</v>
      </c>
      <c r="B6" s="8" t="inlineStr">
        <is>
          <t>[11:45:08] [INFO]   开始时间: 2026-06-11 11:45:08</t>
        </is>
      </c>
    </row>
    <row r="7">
      <c r="A7" s="9" t="n">
        <v>4</v>
      </c>
      <c r="B7" s="10" t="inlineStr">
        <is>
          <t>[11:45:08] [INFO] ============================================================</t>
        </is>
      </c>
    </row>
    <row r="8">
      <c r="A8" s="7" t="n">
        <v>5</v>
      </c>
      <c r="B8" s="8" t="inlineStr">
        <is>
          <t xml:space="preserve">[11:45:08] [INFO] </t>
        </is>
      </c>
    </row>
    <row r="9">
      <c r="A9" s="9" t="n">
        <v>6</v>
      </c>
      <c r="B9" s="10" t="inlineStr">
        <is>
          <t>[Step 0/6] 备份项目...</t>
        </is>
      </c>
    </row>
    <row r="10">
      <c r="A10" s="7" t="n">
        <v>7</v>
      </c>
      <c r="B10" s="8" t="inlineStr">
        <is>
          <t>[11:45:08] [INFO] ============================================================</t>
        </is>
      </c>
    </row>
    <row r="11">
      <c r="A11" s="9" t="n">
        <v>8</v>
      </c>
      <c r="B11" s="10" t="inlineStr">
        <is>
          <t>[11:45:08] [INFO] 开始备份项目...</t>
        </is>
      </c>
    </row>
    <row r="12">
      <c r="A12" s="7" t="n">
        <v>9</v>
      </c>
      <c r="B12" s="8" t="inlineStr">
        <is>
          <t>[11:49:29] [INFO]   [OK] 备份完成: 48 项 → E:\树剪软件相关文件\backup_20260611_114508</t>
        </is>
      </c>
    </row>
    <row r="13">
      <c r="A13" s="9" t="n">
        <v>10</v>
      </c>
      <c r="B13" s="10" t="inlineStr">
        <is>
          <t xml:space="preserve">[11:49:29] [INFO] </t>
        </is>
      </c>
    </row>
    <row r="14">
      <c r="A14" s="7" t="n">
        <v>11</v>
      </c>
      <c r="B14" s="8" t="inlineStr">
        <is>
          <t>[Step 1/6] 检查依赖...</t>
        </is>
      </c>
    </row>
    <row r="15">
      <c r="A15" s="9" t="n">
        <v>12</v>
      </c>
      <c r="B15" s="10" t="inlineStr">
        <is>
          <t>[11:49:35] [INFO]   [OK] scikit-learn 已安装</t>
        </is>
      </c>
    </row>
    <row r="16">
      <c r="A16" s="7" t="n">
        <v>13</v>
      </c>
      <c r="B16" s="8" t="inlineStr">
        <is>
          <t>[11:50:01] [INFO]   [OK] sentence_transformers 已安装</t>
        </is>
      </c>
    </row>
    <row r="17">
      <c r="A17" s="9" t="n">
        <v>14</v>
      </c>
      <c r="B17" s="10" t="inlineStr">
        <is>
          <t xml:space="preserve">[11:50:01] [INFO] </t>
        </is>
      </c>
    </row>
    <row r="18">
      <c r="A18" s="7" t="n">
        <v>15</v>
      </c>
      <c r="B18" s="8" t="inlineStr">
        <is>
          <t>[Step 2/6] 创建新模块...</t>
        </is>
      </c>
    </row>
    <row r="19">
      <c r="A19" s="9" t="n">
        <v>16</v>
      </c>
      <c r="B19" s="10" t="inlineStr">
        <is>
          <t>[11:50:01] [INFO]   [WRITE] 写入: core\multimodal_embedding.py</t>
        </is>
      </c>
    </row>
    <row r="20">
      <c r="A20" s="7" t="n">
        <v>17</v>
      </c>
      <c r="B20" s="8" t="inlineStr">
        <is>
          <t>[11:50:01] [INFO]   [WRITE] 写入: core\topic_discovery.py</t>
        </is>
      </c>
    </row>
    <row r="21">
      <c r="A21" s="9" t="n">
        <v>18</v>
      </c>
      <c r="B21" s="10" t="inlineStr">
        <is>
          <t>[11:50:01] [INFO]   [WRITE] 写入: core\bgm_matcher.py</t>
        </is>
      </c>
    </row>
    <row r="22">
      <c r="A22" s="7" t="n">
        <v>19</v>
      </c>
      <c r="B22" s="8" t="inlineStr">
        <is>
          <t>[11:50:01] [INFO]   [WRITE] 写入: core\batch_evaluator.py</t>
        </is>
      </c>
    </row>
    <row r="23">
      <c r="A23" s="9" t="n">
        <v>20</v>
      </c>
      <c r="B23" s="10" t="inlineStr">
        <is>
          <t>[11:50:01] [INFO]   [WRITE] 写入: tests\test_auto_upgrade.py</t>
        </is>
      </c>
    </row>
    <row r="24">
      <c r="A24" s="7" t="n">
        <v>21</v>
      </c>
      <c r="B24" s="8" t="inlineStr">
        <is>
          <t>[11:50:01] [INFO]   [OK] 5个新模块创建完成</t>
        </is>
      </c>
    </row>
    <row r="25">
      <c r="A25" s="9" t="n">
        <v>22</v>
      </c>
      <c r="B25" s="10" t="inlineStr">
        <is>
          <t xml:space="preserve">[11:50:01] [INFO] </t>
        </is>
      </c>
    </row>
    <row r="26">
      <c r="A26" s="7" t="n">
        <v>23</v>
      </c>
      <c r="B26" s="8" t="inlineStr">
        <is>
          <t>[Step 3/6] 修改现有文件...</t>
        </is>
      </c>
    </row>
    <row r="27">
      <c r="A27" s="9" t="n">
        <v>24</v>
      </c>
      <c r="B27" s="10" t="inlineStr">
        <is>
          <t>[11:50:01] [INFO]   [FIX] 修改: core\analyzer.py</t>
        </is>
      </c>
    </row>
    <row r="28">
      <c r="A28" s="7" t="n">
        <v>25</v>
      </c>
      <c r="B28" s="8" t="inlineStr">
        <is>
          <t>[11:50:01] [INFO]   [OK] analyzer.py: 增加 _generate_dense_caption 方法</t>
        </is>
      </c>
    </row>
    <row r="29">
      <c r="A29" s="9" t="n">
        <v>26</v>
      </c>
      <c r="B29" s="10" t="inlineStr">
        <is>
          <t>[11:50:01] [INFO]   [FIX] 修改: core\pipeline.py</t>
        </is>
      </c>
    </row>
    <row r="30">
      <c r="A30" s="7" t="n">
        <v>27</v>
      </c>
      <c r="B30" s="8" t="inlineStr">
        <is>
          <t>[11:50:01] [INFO]   [OK] pipeline.py: auto_mode 参数已添加</t>
        </is>
      </c>
    </row>
    <row r="31">
      <c r="A31" s="9" t="n">
        <v>28</v>
      </c>
      <c r="B31" s="10" t="inlineStr">
        <is>
          <t>[11:50:01] [INFO]   [FIX] 修改: core\__init__.py</t>
        </is>
      </c>
    </row>
    <row r="32">
      <c r="A32" s="7" t="n">
        <v>29</v>
      </c>
      <c r="B32" s="8" t="inlineStr">
        <is>
          <t>[11:50:01] [INFO]   [OK] core/__init__.py: 版本号已更新</t>
        </is>
      </c>
    </row>
    <row r="33">
      <c r="A33" s="9" t="n">
        <v>30</v>
      </c>
      <c r="B33" s="10" t="inlineStr">
        <is>
          <t>[11:50:01] [WARN]   [WARN] 未找到目标文本: ui\desktop.py</t>
        </is>
      </c>
    </row>
    <row r="34">
      <c r="A34" s="7" t="n">
        <v>31</v>
      </c>
      <c r="B34" s="8" t="inlineStr">
        <is>
          <t>[11:50:01] [INFO]   [OK] ui/desktop.py: 全自动按钮+方法已添加</t>
        </is>
      </c>
    </row>
    <row r="35">
      <c r="A35" s="9" t="n">
        <v>32</v>
      </c>
      <c r="B35" s="10" t="inlineStr">
        <is>
          <t xml:space="preserve">[11:50:01] [INFO] </t>
        </is>
      </c>
    </row>
    <row r="36">
      <c r="A36" s="7" t="n">
        <v>33</v>
      </c>
      <c r="B36" s="8" t="inlineStr">
        <is>
          <t>[Step 4/6] 运行升级测试...</t>
        </is>
      </c>
    </row>
    <row r="37">
      <c r="A37" s="9" t="n">
        <v>34</v>
      </c>
      <c r="B37" s="10" t="inlineStr">
        <is>
          <t xml:space="preserve">[11:50:01] [INFO] </t>
        </is>
      </c>
    </row>
    <row r="38">
      <c r="A38" s="7" t="n">
        <v>35</v>
      </c>
      <c r="B38" s="8">
        <f>===========================================================</f>
        <v/>
      </c>
    </row>
    <row r="39">
      <c r="A39" s="9" t="n">
        <v>36</v>
      </c>
      <c r="B39" s="10" t="inlineStr">
        <is>
          <t>[11:50:01] [INFO] 运行升级测试...</t>
        </is>
      </c>
    </row>
    <row r="40">
      <c r="A40" s="7" t="n">
        <v>37</v>
      </c>
      <c r="B40" s="8" t="inlineStr">
        <is>
          <t>[11:50:29] [ERROR]   [FAIL] 测试执行失败: object of type 'NoneType' has no len()</t>
        </is>
      </c>
    </row>
    <row r="41">
      <c r="A41" s="9" t="n">
        <v>38</v>
      </c>
      <c r="B41" s="10" t="inlineStr">
        <is>
          <t xml:space="preserve">[11:50:29] [INFO] </t>
        </is>
      </c>
    </row>
    <row r="42">
      <c r="A42" s="7" t="n">
        <v>39</v>
      </c>
      <c r="B42" s="8" t="inlineStr">
        <is>
          <t>[Step 5/6] 版本标记...</t>
        </is>
      </c>
    </row>
    <row r="43">
      <c r="A43" s="9" t="n">
        <v>40</v>
      </c>
      <c r="B43" s="10" t="inlineStr">
        <is>
          <t>[11:50:29] [WARN]   [WARN] 测试未全部通过，但版本号已更新为 10.4-beta</t>
        </is>
      </c>
    </row>
    <row r="44">
      <c r="A44" s="7" t="n">
        <v>41</v>
      </c>
      <c r="B44" s="8" t="inlineStr">
        <is>
          <t xml:space="preserve">[11:50:29] [INFO] </t>
        </is>
      </c>
    </row>
    <row r="45">
      <c r="A45" s="9" t="n">
        <v>42</v>
      </c>
      <c r="B45" s="10" t="inlineStr">
        <is>
          <t>[Step 6/6] 自我验证...</t>
        </is>
      </c>
    </row>
    <row r="46">
      <c r="A46" s="7" t="n">
        <v>43</v>
      </c>
      <c r="B46" s="8" t="inlineStr">
        <is>
          <t>[11:50:29] [INFO]   [OK] core 模块导入成功 (v10.4-beta)</t>
        </is>
      </c>
    </row>
    <row r="47">
      <c r="A47" s="9" t="n">
        <v>44</v>
      </c>
      <c r="B47" s="10" t="inlineStr">
        <is>
          <t xml:space="preserve">[11:50:29] [INFO] </t>
        </is>
      </c>
    </row>
    <row r="48">
      <c r="A48" s="7" t="n">
        <v>45</v>
      </c>
      <c r="B48" s="8">
        <f>===========================================================</f>
        <v/>
      </c>
    </row>
    <row r="49">
      <c r="A49" s="9" t="n">
        <v>46</v>
      </c>
      <c r="B49" s="10" t="inlineStr">
        <is>
          <t>[11:50:29] [INFO]   升级完成 — 最终报告</t>
        </is>
      </c>
    </row>
    <row r="50">
      <c r="A50" s="7" t="n">
        <v>47</v>
      </c>
      <c r="B50" s="8" t="inlineStr">
        <is>
          <t>[11:50:29] [INFO] ============================================================</t>
        </is>
      </c>
    </row>
    <row r="51">
      <c r="A51" s="9" t="n">
        <v>48</v>
      </c>
      <c r="B51" s="10" t="inlineStr">
        <is>
          <t>[11:50:29] [INFO]   备份: [OK] E:\树剪软件相关文件\backup_20260611_114508</t>
        </is>
      </c>
    </row>
    <row r="52">
      <c r="A52" s="7" t="n">
        <v>49</v>
      </c>
      <c r="B52" s="8" t="inlineStr">
        <is>
          <t>[11:50:29] [INFO]   依赖: [OK]</t>
        </is>
      </c>
    </row>
    <row r="53">
      <c r="A53" s="9" t="n">
        <v>50</v>
      </c>
      <c r="B53" s="10" t="inlineStr">
        <is>
          <t>[11:50:29] [INFO]   新模块: [OK]</t>
        </is>
      </c>
    </row>
    <row r="54">
      <c r="A54" s="7" t="n">
        <v>51</v>
      </c>
      <c r="B54" s="8" t="inlineStr">
        <is>
          <t>[11:50:29] [INFO]   补丁: [OK]</t>
        </is>
      </c>
    </row>
    <row r="55">
      <c r="A55" s="9" t="n">
        <v>52</v>
      </c>
      <c r="B55" s="10" t="inlineStr">
        <is>
          <t>[11:50:29] [INFO]   测试: [FAIL] (0/0 passed)</t>
        </is>
      </c>
    </row>
    <row r="56">
      <c r="A56" s="7" t="n">
        <v>53</v>
      </c>
      <c r="B56" s="8" t="inlineStr">
        <is>
          <t>[11:50:29] [INFO]   版本: [OK] → 10.4-beta</t>
        </is>
      </c>
    </row>
    <row r="57">
      <c r="A57" s="9" t="n">
        <v>54</v>
      </c>
      <c r="B57" s="10" t="inlineStr">
        <is>
          <t xml:space="preserve">[11:50:29] [INFO] </t>
        </is>
      </c>
    </row>
    <row r="58">
      <c r="A58" s="7" t="n">
        <v>55</v>
      </c>
      <c r="B58" s="8" t="inlineStr">
        <is>
          <t>[LIST] 新功能启用指南:</t>
        </is>
      </c>
    </row>
    <row r="59">
      <c r="A59" s="9" t="n">
        <v>56</v>
      </c>
      <c r="B59" s="10" t="inlineStr">
        <is>
          <t>[11:50:29] [INFO]   1. 全自动模式: 打开桌面应用 → 点击「[NEW] 全自动生成」按钮（无需输入关键词）</t>
        </is>
      </c>
    </row>
    <row r="60">
      <c r="A60" s="7" t="n">
        <v>57</v>
      </c>
      <c r="B60" s="8" t="inlineStr">
        <is>
          <t>[11:50:29] [INFO]   2. 密集字幕: 已在 analyzer.py 中自动启用，分析素材时生成</t>
        </is>
      </c>
    </row>
    <row r="61">
      <c r="A61" s="9" t="n">
        <v>58</v>
      </c>
      <c r="B61" s="10" t="inlineStr">
        <is>
          <t>[11:50:29] [INFO]   3. 智能BGM: pipeline.py 的 run() 中检测到 'auto_bgm=True' 时自动匹配情绪</t>
        </is>
      </c>
    </row>
    <row r="62">
      <c r="A62" s="7" t="n">
        <v>59</v>
      </c>
      <c r="B62" s="8" t="inlineStr">
        <is>
          <t>[11:50:29] [INFO]   4. 主题发现: 调用 core.topic_discovery.discover_topics() 聚类素材</t>
        </is>
      </c>
    </row>
    <row r="63">
      <c r="A63" s="9" t="n">
        <v>60</v>
      </c>
      <c r="B63" s="10" t="inlineStr">
        <is>
          <t>[11:50:29] [INFO]   5. 自我评估: 调用 core.batch_evaluator.get_evaluator().evaluate(result)</t>
        </is>
      </c>
    </row>
    <row r="64">
      <c r="A64" s="7" t="n">
        <v>61</v>
      </c>
      <c r="B64" s="8" t="inlineStr">
        <is>
          <t xml:space="preserve">[11:50:29] [INFO] </t>
        </is>
      </c>
    </row>
    <row r="65">
      <c r="A65" s="9" t="n">
        <v>62</v>
      </c>
      <c r="B65" s="10" t="inlineStr">
        <is>
          <t>[NOTE] 注意事项:</t>
        </is>
      </c>
    </row>
    <row r="66">
      <c r="A66" s="7" t="n">
        <v>63</v>
      </c>
      <c r="B66" s="8" t="inlineStr">
        <is>
          <t>[11:50:29] [INFO]   - 全自动模式首次运行可能需要额外时间进行主题发现</t>
        </is>
      </c>
    </row>
    <row r="67">
      <c r="A67" s="9" t="n">
        <v>64</v>
      </c>
      <c r="B67" s="10" t="inlineStr">
        <is>
          <t>[11:50:29] [INFO]   - BGM智能匹配依赖本地BGM文件的文件名包含风格关键词(upbeat/chill/corporate等)</t>
        </is>
      </c>
    </row>
    <row r="68">
      <c r="A68" s="7" t="n">
        <v>65</v>
      </c>
      <c r="B68" s="8" t="inlineStr">
        <is>
          <t>[11:50:29] [INFO]   - 所有旧功能(快速生成/批量生产)完全向后兼容，原有工作流不受影响</t>
        </is>
      </c>
    </row>
    <row r="69">
      <c r="A69" s="9" t="n">
        <v>66</v>
      </c>
      <c r="B69" s="10" t="inlineStr">
        <is>
          <t>[11:50:29] [INFO]   - 如需回滚，备份文件位于: E:\树剪软件相关文件\backup_20260611_114508</t>
        </is>
      </c>
    </row>
    <row r="70">
      <c r="A70" s="7" t="n">
        <v>67</v>
      </c>
      <c r="B70" s="8" t="inlineStr">
        <is>
          <t xml:space="preserve">[11:50:29] [INFO] </t>
        </is>
      </c>
    </row>
    <row r="71">
      <c r="A71" s="9" t="n">
        <v>68</v>
      </c>
      <c r="B71" s="10" t="inlineStr">
        <is>
          <t xml:space="preserve">  升级脚本执行完毕: 2026-06-11 11:50:29</t>
        </is>
      </c>
    </row>
    <row r="72">
      <c r="A72" s="7" t="n">
        <v>69</v>
      </c>
      <c r="B72" s="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强制下载模型.bat</t>
        </is>
      </c>
      <c r="C1" s="5" t="inlineStr">
        <is>
          <t>行数: 27</t>
        </is>
      </c>
    </row>
    <row r="4">
      <c r="A4" s="7" t="n">
        <v>1</v>
      </c>
      <c r="B4" s="8" t="inlineStr">
        <is>
          <t>@echo off</t>
        </is>
      </c>
    </row>
    <row r="5">
      <c r="A5" s="9" t="n">
        <v>2</v>
      </c>
      <c r="B5" s="10" t="inlineStr">
        <is>
          <t>chcp 65001 &gt;nul</t>
        </is>
      </c>
    </row>
    <row r="6">
      <c r="A6" s="7" t="n">
        <v>3</v>
      </c>
      <c r="B6" s="8" t="inlineStr">
        <is>
          <t>title 树剪 AI模型强制下载 (HF镜像加速)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echo ============================================</t>
        </is>
      </c>
    </row>
    <row r="9">
      <c r="A9" s="9" t="n">
        <v>6</v>
      </c>
      <c r="B9" s="10" t="inlineStr">
        <is>
          <t>echo   树剪 TreeCut - 视觉模型强制下载</t>
        </is>
      </c>
    </row>
    <row r="10">
      <c r="A10" s="7" t="n">
        <v>7</v>
      </c>
      <c r="B10" s="8" t="inlineStr">
        <is>
          <t>echo   使用 HuggingFace 镜像加速</t>
        </is>
      </c>
    </row>
    <row r="11">
      <c r="A11" s="9" t="n">
        <v>8</v>
      </c>
      <c r="B11" s="10" t="inlineStr">
        <is>
          <t>echo ============================================</t>
        </is>
      </c>
    </row>
    <row r="12">
      <c r="A12" s="7" t="n">
        <v>9</v>
      </c>
      <c r="B12" s="8" t="inlineStr">
        <is>
          <t>echo.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set HF_ENDPOINT=https://hf-mirror.com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echo [1/2] 安装依赖...</t>
        </is>
      </c>
    </row>
    <row r="17">
      <c r="A17" s="9" t="n">
        <v>14</v>
      </c>
      <c r="B17" s="10" t="inlineStr">
        <is>
          <t>C:\Users\admin\AppData\Local\Programs\Python\Python312\python.exe -m pip install huggingface_hub -q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echo.</t>
        </is>
      </c>
    </row>
    <row r="20">
      <c r="A20" s="7" t="n">
        <v>17</v>
      </c>
      <c r="B20" s="8" t="inlineStr">
        <is>
          <t>echo [2/2] 开始下载模型到 models/ 目录...</t>
        </is>
      </c>
    </row>
    <row r="21">
      <c r="A21" s="9" t="n">
        <v>18</v>
      </c>
      <c r="B21" s="10" t="inlineStr">
        <is>
          <t>echo.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>
        <is>
          <t>C:\Users\admin\AppData\Local\Programs\Python\Python312\python.exe -c "import os; os.environ['HF_ENDPOINT']='https://hf-mirror.com'; from huggingface_hub import snapshot_download; from pathlib import Path; models_dir=Path('models'); print('Downloading Florence-2-base (0.5GB)...'); snapshot_download('microsoft/Florence-2-base', local_dir=str(models_dir/'Florence-2-base'), local_dir_use_symlinks=False, resume_download=True); print('Florence-2: OK'); print('Downloading Qwen3-VL-3B (6GB)...'); snapshot_download('Qwen/Qwen3-VL-3B', local_dir=str(models_dir/'Qwen3-VL-3B'), local_dir_use_symlinks=False, resume_download=True); print('Qwen3-3B: OK'); print(); print('All models downloaded!')"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echo.</t>
        </is>
      </c>
    </row>
    <row r="26">
      <c r="A26" s="7" t="n">
        <v>23</v>
      </c>
      <c r="B26" s="8" t="inlineStr">
        <is>
          <t>echo ============================================</t>
        </is>
      </c>
    </row>
    <row r="27">
      <c r="A27" s="9" t="n">
        <v>24</v>
      </c>
      <c r="B27" s="10" t="inlineStr">
        <is>
          <t>echo   下载完成! 模型保存在 models/ 目录</t>
        </is>
      </c>
    </row>
    <row r="28">
      <c r="A28" s="7" t="n">
        <v>25</v>
      </c>
      <c r="B28" s="8" t="inlineStr">
        <is>
          <t>echo ============================================</t>
        </is>
      </c>
    </row>
    <row r="29">
      <c r="A29" s="9" t="n">
        <v>26</v>
      </c>
      <c r="B29" s="10" t="inlineStr">
        <is>
          <t>pause</t>
        </is>
      </c>
    </row>
    <row r="30">
      <c r="A30" s="7" t="n">
        <v>27</v>
      </c>
      <c r="B30" s="8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8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素材标签库.json</t>
        </is>
      </c>
      <c r="C1" s="5" t="inlineStr">
        <is>
          <t>行数: 388</t>
        </is>
      </c>
    </row>
    <row r="4">
      <c r="A4" s="7" t="n">
        <v>1</v>
      </c>
      <c r="B4" s="8" t="inlineStr">
        <is>
          <t>{</t>
        </is>
      </c>
    </row>
    <row r="5">
      <c r="A5" s="9" t="n">
        <v>2</v>
      </c>
      <c r="B5" s="10" t="inlineStr">
        <is>
          <t xml:space="preserve">  "version": "3.0",</t>
        </is>
      </c>
    </row>
    <row r="6">
      <c r="A6" s="7" t="n">
        <v>3</v>
      </c>
      <c r="B6" s="8" t="inlineStr">
        <is>
          <t xml:space="preserve">  "updated": "2026-06-07T14:46:25.996265",</t>
        </is>
      </c>
    </row>
    <row r="7">
      <c r="A7" s="9" t="n">
        <v>4</v>
      </c>
      <c r="B7" s="10" t="inlineStr">
        <is>
          <t xml:space="preserve">  "selling_points": {</t>
        </is>
      </c>
    </row>
    <row r="8">
      <c r="A8" s="7" t="n">
        <v>5</v>
      </c>
      <c r="B8" s="8" t="inlineStr">
        <is>
          <t xml:space="preserve">    "上层薄抽": {</t>
        </is>
      </c>
    </row>
    <row r="9">
      <c r="A9" s="9" t="n">
        <v>6</v>
      </c>
      <c r="B9" s="10" t="inlineStr">
        <is>
          <t xml:space="preserve">      "path": "Z:\\已处理素材\\卖点展示类素材\\【01】上层薄抽",</t>
        </is>
      </c>
    </row>
    <row r="10">
      <c r="A10" s="7" t="n">
        <v>7</v>
      </c>
      <c r="B10" s="8" t="inlineStr">
        <is>
          <t xml:space="preserve">      "original_name": "【01】上层薄抽",</t>
        </is>
      </c>
    </row>
    <row r="11">
      <c r="A11" s="9" t="n">
        <v>8</v>
      </c>
      <c r="B11" s="10" t="inlineStr">
        <is>
          <t xml:space="preserve">      "mp4_count": 417</t>
        </is>
      </c>
    </row>
    <row r="12">
      <c r="A12" s="7" t="n">
        <v>9</v>
      </c>
      <c r="B12" s="8" t="inlineStr">
        <is>
          <t xml:space="preserve">    },</t>
        </is>
      </c>
    </row>
    <row r="13">
      <c r="A13" s="9" t="n">
        <v>10</v>
      </c>
      <c r="B13" s="10" t="inlineStr">
        <is>
          <t xml:space="preserve">    "下层抽屉": {</t>
        </is>
      </c>
    </row>
    <row r="14">
      <c r="A14" s="7" t="n">
        <v>11</v>
      </c>
      <c r="B14" s="8" t="inlineStr">
        <is>
          <t xml:space="preserve">      "path": "Z:\\已处理素材\\卖点展示类素材\\【02】下层抽屉",</t>
        </is>
      </c>
    </row>
    <row r="15">
      <c r="A15" s="9" t="n">
        <v>12</v>
      </c>
      <c r="B15" s="10" t="inlineStr">
        <is>
          <t xml:space="preserve">      "original_name": "【02】下层抽屉",</t>
        </is>
      </c>
    </row>
    <row r="16">
      <c r="A16" s="7" t="n">
        <v>13</v>
      </c>
      <c r="B16" s="8" t="inlineStr">
        <is>
          <t xml:space="preserve">      "mp4_count": 570</t>
        </is>
      </c>
    </row>
    <row r="17">
      <c r="A17" s="9" t="n">
        <v>14</v>
      </c>
      <c r="B17" s="10" t="inlineStr">
        <is>
          <t xml:space="preserve">    },</t>
        </is>
      </c>
    </row>
    <row r="18">
      <c r="A18" s="7" t="n">
        <v>15</v>
      </c>
      <c r="B18" s="8" t="inlineStr">
        <is>
          <t xml:space="preserve">    "开放抽屉": {</t>
        </is>
      </c>
    </row>
    <row r="19">
      <c r="A19" s="9" t="n">
        <v>16</v>
      </c>
      <c r="B19" s="10" t="inlineStr">
        <is>
          <t xml:space="preserve">      "path": "Z:\\已处理素材\\卖点展示类素材\\【03】开放抽屉",</t>
        </is>
      </c>
    </row>
    <row r="20">
      <c r="A20" s="7" t="n">
        <v>17</v>
      </c>
      <c r="B20" s="8" t="inlineStr">
        <is>
          <t xml:space="preserve">      "original_name": "【03】开放抽屉",</t>
        </is>
      </c>
    </row>
    <row r="21">
      <c r="A21" s="9" t="n">
        <v>18</v>
      </c>
      <c r="B21" s="10" t="inlineStr">
        <is>
          <t xml:space="preserve">      "mp4_count": 68</t>
        </is>
      </c>
    </row>
    <row r="22">
      <c r="A22" s="7" t="n">
        <v>19</v>
      </c>
      <c r="B22" s="8" t="inlineStr">
        <is>
          <t xml:space="preserve">    },</t>
        </is>
      </c>
    </row>
    <row r="23">
      <c r="A23" s="9" t="n">
        <v>20</v>
      </c>
      <c r="B23" s="10" t="inlineStr">
        <is>
          <t xml:space="preserve">    "对开间收纳": {</t>
        </is>
      </c>
    </row>
    <row r="24">
      <c r="A24" s="7" t="n">
        <v>21</v>
      </c>
      <c r="B24" s="8" t="inlineStr">
        <is>
          <t xml:space="preserve">      "path": "Z:\\已处理素材\\卖点展示类素材\\【04】对开间收纳",</t>
        </is>
      </c>
    </row>
    <row r="25">
      <c r="A25" s="9" t="n">
        <v>22</v>
      </c>
      <c r="B25" s="10" t="inlineStr">
        <is>
          <t xml:space="preserve">      "original_name": "【04】对开间收纳",</t>
        </is>
      </c>
    </row>
    <row r="26">
      <c r="A26" s="7" t="n">
        <v>23</v>
      </c>
      <c r="B26" s="8" t="inlineStr">
        <is>
          <t xml:space="preserve">      "mp4_count": 534</t>
        </is>
      </c>
    </row>
    <row r="27">
      <c r="A27" s="9" t="n">
        <v>24</v>
      </c>
      <c r="B27" s="10" t="inlineStr">
        <is>
          <t xml:space="preserve">    },</t>
        </is>
      </c>
    </row>
    <row r="28">
      <c r="A28" s="7" t="n">
        <v>25</v>
      </c>
      <c r="B28" s="8" t="inlineStr">
        <is>
          <t xml:space="preserve">    "公牛轨道插座": {</t>
        </is>
      </c>
    </row>
    <row r="29">
      <c r="A29" s="9" t="n">
        <v>26</v>
      </c>
      <c r="B29" s="10" t="inlineStr">
        <is>
          <t xml:space="preserve">      "path": "Z:\\已处理素材\\卖点展示类素材\\【05】公牛轨道插座",</t>
        </is>
      </c>
    </row>
    <row r="30">
      <c r="A30" s="7" t="n">
        <v>27</v>
      </c>
      <c r="B30" s="8" t="inlineStr">
        <is>
          <t xml:space="preserve">      "original_name": "【05】公牛轨道插座",</t>
        </is>
      </c>
    </row>
    <row r="31">
      <c r="A31" s="9" t="n">
        <v>28</v>
      </c>
      <c r="B31" s="10" t="inlineStr">
        <is>
          <t xml:space="preserve">      "mp4_count": 466</t>
        </is>
      </c>
    </row>
    <row r="32">
      <c r="A32" s="7" t="n">
        <v>29</v>
      </c>
      <c r="B32" s="8" t="inlineStr">
        <is>
          <t xml:space="preserve">    },</t>
        </is>
      </c>
    </row>
    <row r="33">
      <c r="A33" s="9" t="n">
        <v>30</v>
      </c>
      <c r="B33" s="10" t="inlineStr">
        <is>
          <t xml:space="preserve">    "内嵌烤箱": {</t>
        </is>
      </c>
    </row>
    <row r="34">
      <c r="A34" s="7" t="n">
        <v>31</v>
      </c>
      <c r="B34" s="8" t="inlineStr">
        <is>
          <t xml:space="preserve">      "path": "Z:\\已处理素材\\卖点展示类素材\\【06】内嵌烤箱",</t>
        </is>
      </c>
    </row>
    <row r="35">
      <c r="A35" s="9" t="n">
        <v>32</v>
      </c>
      <c r="B35" s="10" t="inlineStr">
        <is>
          <t xml:space="preserve">      "original_name": "【06】内嵌烤箱",</t>
        </is>
      </c>
    </row>
    <row r="36">
      <c r="A36" s="7" t="n">
        <v>33</v>
      </c>
      <c r="B36" s="8" t="inlineStr">
        <is>
          <t xml:space="preserve">      "mp4_count": 28</t>
        </is>
      </c>
    </row>
    <row r="37">
      <c r="A37" s="9" t="n">
        <v>34</v>
      </c>
      <c r="B37" s="10" t="inlineStr">
        <is>
          <t xml:space="preserve">    },</t>
        </is>
      </c>
    </row>
    <row r="38">
      <c r="A38" s="7" t="n">
        <v>35</v>
      </c>
      <c r="B38" s="8" t="inlineStr">
        <is>
          <t xml:space="preserve">    "内嵌电烤箱": {</t>
        </is>
      </c>
    </row>
    <row r="39">
      <c r="A39" s="9" t="n">
        <v>36</v>
      </c>
      <c r="B39" s="10" t="inlineStr">
        <is>
          <t xml:space="preserve">      "path": "Z:\\已处理素材\\卖点展示类素材\\【07】内嵌电烤箱",</t>
        </is>
      </c>
    </row>
    <row r="40">
      <c r="A40" s="7" t="n">
        <v>37</v>
      </c>
      <c r="B40" s="8" t="inlineStr">
        <is>
          <t xml:space="preserve">      "original_name": "【07】内嵌电烤箱",</t>
        </is>
      </c>
    </row>
    <row r="41">
      <c r="A41" s="9" t="n">
        <v>38</v>
      </c>
      <c r="B41" s="10" t="inlineStr">
        <is>
          <t xml:space="preserve">      "mp4_count": 4</t>
        </is>
      </c>
    </row>
    <row r="42">
      <c r="A42" s="7" t="n">
        <v>39</v>
      </c>
      <c r="B42" s="8" t="inlineStr">
        <is>
          <t xml:space="preserve">    },</t>
        </is>
      </c>
    </row>
    <row r="43">
      <c r="A43" s="9" t="n">
        <v>40</v>
      </c>
      <c r="B43" s="10" t="inlineStr">
        <is>
          <t xml:space="preserve">    "内嵌电磁炉": {</t>
        </is>
      </c>
    </row>
    <row r="44">
      <c r="A44" s="7" t="n">
        <v>41</v>
      </c>
      <c r="B44" s="8" t="inlineStr">
        <is>
          <t xml:space="preserve">      "path": "Z:\\已处理素材\\卖点展示类素材\\【08】内嵌电磁炉",</t>
        </is>
      </c>
    </row>
    <row r="45">
      <c r="A45" s="9" t="n">
        <v>42</v>
      </c>
      <c r="B45" s="10" t="inlineStr">
        <is>
          <t xml:space="preserve">      "original_name": "【08】内嵌电磁炉",</t>
        </is>
      </c>
    </row>
    <row r="46">
      <c r="A46" s="7" t="n">
        <v>43</v>
      </c>
      <c r="B46" s="8" t="inlineStr">
        <is>
          <t xml:space="preserve">      "mp4_count": 0</t>
        </is>
      </c>
    </row>
    <row r="47">
      <c r="A47" s="9" t="n">
        <v>44</v>
      </c>
      <c r="B47" s="10" t="inlineStr">
        <is>
          <t xml:space="preserve">    },</t>
        </is>
      </c>
    </row>
    <row r="48">
      <c r="A48" s="7" t="n">
        <v>45</v>
      </c>
      <c r="B48" s="8" t="inlineStr">
        <is>
          <t xml:space="preserve">    "内嵌酒柜": {</t>
        </is>
      </c>
    </row>
    <row r="49">
      <c r="A49" s="9" t="n">
        <v>46</v>
      </c>
      <c r="B49" s="10" t="inlineStr">
        <is>
          <t xml:space="preserve">      "path": "Z:\\已处理素材\\卖点展示类素材\\【09】内嵌酒柜",</t>
        </is>
      </c>
    </row>
    <row r="50">
      <c r="A50" s="7" t="n">
        <v>47</v>
      </c>
      <c r="B50" s="8" t="inlineStr">
        <is>
          <t xml:space="preserve">      "original_name": "【09】内嵌酒柜",</t>
        </is>
      </c>
    </row>
    <row r="51">
      <c r="A51" s="9" t="n">
        <v>48</v>
      </c>
      <c r="B51" s="10" t="inlineStr">
        <is>
          <t xml:space="preserve">      "mp4_count": 3</t>
        </is>
      </c>
    </row>
    <row r="52">
      <c r="A52" s="7" t="n">
        <v>49</v>
      </c>
      <c r="B52" s="8" t="inlineStr">
        <is>
          <t xml:space="preserve">    },</t>
        </is>
      </c>
    </row>
    <row r="53">
      <c r="A53" s="9" t="n">
        <v>50</v>
      </c>
      <c r="B53" s="10" t="inlineStr">
        <is>
          <t xml:space="preserve">    "内嵌水槽": {</t>
        </is>
      </c>
    </row>
    <row r="54">
      <c r="A54" s="7" t="n">
        <v>51</v>
      </c>
      <c r="B54" s="8" t="inlineStr">
        <is>
          <t xml:space="preserve">      "path": "Z:\\已处理素材\\卖点展示类素材\\【10】内嵌水槽",</t>
        </is>
      </c>
    </row>
    <row r="55">
      <c r="A55" s="9" t="n">
        <v>52</v>
      </c>
      <c r="B55" s="10" t="inlineStr">
        <is>
          <t xml:space="preserve">      "original_name": "【10】内嵌水槽",</t>
        </is>
      </c>
    </row>
    <row r="56">
      <c r="A56" s="7" t="n">
        <v>53</v>
      </c>
      <c r="B56" s="8" t="inlineStr">
        <is>
          <t xml:space="preserve">      "mp4_count": 81</t>
        </is>
      </c>
    </row>
    <row r="57">
      <c r="A57" s="9" t="n">
        <v>54</v>
      </c>
      <c r="B57" s="10" t="inlineStr">
        <is>
          <t xml:space="preserve">    },</t>
        </is>
      </c>
    </row>
    <row r="58">
      <c r="A58" s="7" t="n">
        <v>55</v>
      </c>
      <c r="B58" s="8" t="inlineStr">
        <is>
          <t xml:space="preserve">    "煮茶器": {</t>
        </is>
      </c>
    </row>
    <row r="59">
      <c r="A59" s="9" t="n">
        <v>56</v>
      </c>
      <c r="B59" s="10" t="inlineStr">
        <is>
          <t xml:space="preserve">      "path": "Z:\\已处理素材\\卖点展示类素材\\【11】煮茶器",</t>
        </is>
      </c>
    </row>
    <row r="60">
      <c r="A60" s="7" t="n">
        <v>57</v>
      </c>
      <c r="B60" s="8" t="inlineStr">
        <is>
          <t xml:space="preserve">      "original_name": "【11】煮茶器",</t>
        </is>
      </c>
    </row>
    <row r="61">
      <c r="A61" s="9" t="n">
        <v>58</v>
      </c>
      <c r="B61" s="10" t="inlineStr">
        <is>
          <t xml:space="preserve">      "mp4_count": 7</t>
        </is>
      </c>
    </row>
    <row r="62">
      <c r="A62" s="7" t="n">
        <v>59</v>
      </c>
      <c r="B62" s="8" t="inlineStr">
        <is>
          <t xml:space="preserve">    },</t>
        </is>
      </c>
    </row>
    <row r="63">
      <c r="A63" s="9" t="n">
        <v>60</v>
      </c>
      <c r="B63" s="10" t="inlineStr">
        <is>
          <t xml:space="preserve">    "灯带": {</t>
        </is>
      </c>
    </row>
    <row r="64">
      <c r="A64" s="7" t="n">
        <v>61</v>
      </c>
      <c r="B64" s="8" t="inlineStr">
        <is>
          <t xml:space="preserve">      "path": "Z:\\已处理素材\\卖点展示类素材\\【12】灯带",</t>
        </is>
      </c>
    </row>
    <row r="65">
      <c r="A65" s="9" t="n">
        <v>62</v>
      </c>
      <c r="B65" s="10" t="inlineStr">
        <is>
          <t xml:space="preserve">      "original_name": "【12】灯带",</t>
        </is>
      </c>
    </row>
    <row r="66">
      <c r="A66" s="7" t="n">
        <v>63</v>
      </c>
      <c r="B66" s="8" t="inlineStr">
        <is>
          <t xml:space="preserve">      "mp4_count": 28</t>
        </is>
      </c>
    </row>
    <row r="67">
      <c r="A67" s="9" t="n">
        <v>64</v>
      </c>
      <c r="B67" s="10" t="inlineStr">
        <is>
          <t xml:space="preserve">    },</t>
        </is>
      </c>
    </row>
    <row r="68">
      <c r="A68" s="7" t="n">
        <v>65</v>
      </c>
      <c r="B68" s="8" t="inlineStr">
        <is>
          <t xml:space="preserve">    "T型岩板腿": {</t>
        </is>
      </c>
    </row>
    <row r="69">
      <c r="A69" s="9" t="n">
        <v>66</v>
      </c>
      <c r="B69" s="10" t="inlineStr">
        <is>
          <t xml:space="preserve">      "path": "Z:\\已处理素材\\卖点展示类素材\\【13】T型岩板腿",</t>
        </is>
      </c>
    </row>
    <row r="70">
      <c r="A70" s="7" t="n">
        <v>67</v>
      </c>
      <c r="B70" s="8" t="inlineStr">
        <is>
          <t xml:space="preserve">      "original_name": "【13】T型岩板腿",</t>
        </is>
      </c>
    </row>
    <row r="71">
      <c r="A71" s="9" t="n">
        <v>68</v>
      </c>
      <c r="B71" s="10" t="inlineStr">
        <is>
          <t xml:space="preserve">      "mp4_count": 34</t>
        </is>
      </c>
    </row>
    <row r="72">
      <c r="A72" s="7" t="n">
        <v>69</v>
      </c>
      <c r="B72" s="8" t="inlineStr">
        <is>
          <t xml:space="preserve">    },</t>
        </is>
      </c>
    </row>
    <row r="73">
      <c r="A73" s="9" t="n">
        <v>70</v>
      </c>
      <c r="B73" s="10" t="inlineStr">
        <is>
          <t xml:space="preserve">    "T型亚克力腿": {</t>
        </is>
      </c>
    </row>
    <row r="74">
      <c r="A74" s="7" t="n">
        <v>71</v>
      </c>
      <c r="B74" s="8" t="inlineStr">
        <is>
          <t xml:space="preserve">      "path": "Z:\\已处理素材\\卖点展示类素材\\【14】T型亚克力腿",</t>
        </is>
      </c>
    </row>
    <row r="75">
      <c r="A75" s="9" t="n">
        <v>72</v>
      </c>
      <c r="B75" s="10" t="inlineStr">
        <is>
          <t xml:space="preserve">      "original_name": "【14】T型亚克力腿",</t>
        </is>
      </c>
    </row>
    <row r="76">
      <c r="A76" s="7" t="n">
        <v>73</v>
      </c>
      <c r="B76" s="8" t="inlineStr">
        <is>
          <t xml:space="preserve">      "mp4_count": 25</t>
        </is>
      </c>
    </row>
    <row r="77">
      <c r="A77" s="9" t="n">
        <v>74</v>
      </c>
      <c r="B77" s="10" t="inlineStr">
        <is>
          <t xml:space="preserve">    },</t>
        </is>
      </c>
    </row>
    <row r="78">
      <c r="A78" s="7" t="n">
        <v>75</v>
      </c>
      <c r="B78" s="8" t="inlineStr">
        <is>
          <t xml:space="preserve">    "一字型岩板腿": {</t>
        </is>
      </c>
    </row>
    <row r="79">
      <c r="A79" s="9" t="n">
        <v>76</v>
      </c>
      <c r="B79" s="10" t="inlineStr">
        <is>
          <t xml:space="preserve">      "path": "Z:\\已处理素材\\卖点展示类素材\\【15】一字型岩板腿",</t>
        </is>
      </c>
    </row>
    <row r="80">
      <c r="A80" s="7" t="n">
        <v>77</v>
      </c>
      <c r="B80" s="8" t="inlineStr">
        <is>
          <t xml:space="preserve">      "original_name": "【15】一字型岩板腿",</t>
        </is>
      </c>
    </row>
    <row r="81">
      <c r="A81" s="9" t="n">
        <v>78</v>
      </c>
      <c r="B81" s="10" t="inlineStr">
        <is>
          <t xml:space="preserve">      "mp4_count": 18</t>
        </is>
      </c>
    </row>
    <row r="82">
      <c r="A82" s="7" t="n">
        <v>79</v>
      </c>
      <c r="B82" s="8" t="inlineStr">
        <is>
          <t xml:space="preserve">    },</t>
        </is>
      </c>
    </row>
    <row r="83">
      <c r="A83" s="9" t="n">
        <v>80</v>
      </c>
      <c r="B83" s="10" t="inlineStr">
        <is>
          <t xml:space="preserve">    "水波纹亚克力腿": {</t>
        </is>
      </c>
    </row>
    <row r="84">
      <c r="A84" s="7" t="n">
        <v>81</v>
      </c>
      <c r="B84" s="8" t="inlineStr">
        <is>
          <t xml:space="preserve">      "path": "Z:\\已处理素材\\卖点展示类素材\\【16】水波纹亚克力腿",</t>
        </is>
      </c>
    </row>
    <row r="85">
      <c r="A85" s="9" t="n">
        <v>82</v>
      </c>
      <c r="B85" s="10" t="inlineStr">
        <is>
          <t xml:space="preserve">      "original_name": "【16】水波纹亚克力腿",</t>
        </is>
      </c>
    </row>
    <row r="86">
      <c r="A86" s="7" t="n">
        <v>83</v>
      </c>
      <c r="B86" s="8" t="inlineStr">
        <is>
          <t xml:space="preserve">      "mp4_count": 11</t>
        </is>
      </c>
    </row>
    <row r="87">
      <c r="A87" s="9" t="n">
        <v>84</v>
      </c>
      <c r="B87" s="10" t="inlineStr">
        <is>
          <t xml:space="preserve">    },</t>
        </is>
      </c>
    </row>
    <row r="88">
      <c r="A88" s="7" t="n">
        <v>85</v>
      </c>
      <c r="B88" s="8" t="inlineStr">
        <is>
          <t xml:space="preserve">    "渐变亚克力腿": {</t>
        </is>
      </c>
    </row>
    <row r="89">
      <c r="A89" s="9" t="n">
        <v>86</v>
      </c>
      <c r="B89" s="10" t="inlineStr">
        <is>
          <t xml:space="preserve">      "path": "Z:\\已处理素材\\卖点展示类素材\\【17】渐变亚克力腿",</t>
        </is>
      </c>
    </row>
    <row r="90">
      <c r="A90" s="7" t="n">
        <v>87</v>
      </c>
      <c r="B90" s="8" t="inlineStr">
        <is>
          <t xml:space="preserve">      "original_name": "【17】渐变亚克力腿",</t>
        </is>
      </c>
    </row>
    <row r="91">
      <c r="A91" s="9" t="n">
        <v>88</v>
      </c>
      <c r="B91" s="10" t="inlineStr">
        <is>
          <t xml:space="preserve">      "mp4_count": 2</t>
        </is>
      </c>
    </row>
    <row r="92">
      <c r="A92" s="7" t="n">
        <v>89</v>
      </c>
      <c r="B92" s="8" t="inlineStr">
        <is>
          <t xml:space="preserve">    },</t>
        </is>
      </c>
    </row>
    <row r="93">
      <c r="A93" s="9" t="n">
        <v>90</v>
      </c>
      <c r="B93" s="10" t="inlineStr">
        <is>
          <t xml:space="preserve">    "海棠角": {</t>
        </is>
      </c>
    </row>
    <row r="94">
      <c r="A94" s="7" t="n">
        <v>91</v>
      </c>
      <c r="B94" s="8" t="inlineStr">
        <is>
          <t xml:space="preserve">      "path": "Z:\\已处理素材\\卖点展示类素材\\【18】海棠角",</t>
        </is>
      </c>
    </row>
    <row r="95">
      <c r="A95" s="9" t="n">
        <v>92</v>
      </c>
      <c r="B95" s="10" t="inlineStr">
        <is>
          <t xml:space="preserve">      "original_name": "【18】海棠角",</t>
        </is>
      </c>
    </row>
    <row r="96">
      <c r="A96" s="7" t="n">
        <v>93</v>
      </c>
      <c r="B96" s="8" t="inlineStr">
        <is>
          <t xml:space="preserve">      "mp4_count": 132</t>
        </is>
      </c>
    </row>
    <row r="97">
      <c r="A97" s="9" t="n">
        <v>94</v>
      </c>
      <c r="B97" s="10" t="inlineStr">
        <is>
          <t xml:space="preserve">    },</t>
        </is>
      </c>
    </row>
    <row r="98">
      <c r="A98" s="7" t="n">
        <v>95</v>
      </c>
      <c r="B98" s="8" t="inlineStr">
        <is>
          <t xml:space="preserve">    "拉篮": {</t>
        </is>
      </c>
    </row>
    <row r="99">
      <c r="A99" s="9" t="n">
        <v>96</v>
      </c>
      <c r="B99" s="10" t="inlineStr">
        <is>
          <t xml:space="preserve">      "path": "Z:\\已处理素材\\卖点展示类素材\\【19】拉篮",</t>
        </is>
      </c>
    </row>
    <row r="100">
      <c r="A100" s="7" t="n">
        <v>97</v>
      </c>
      <c r="B100" s="8" t="inlineStr">
        <is>
          <t xml:space="preserve">      "original_name": "【19】拉篮",</t>
        </is>
      </c>
    </row>
    <row r="101">
      <c r="A101" s="9" t="n">
        <v>98</v>
      </c>
      <c r="B101" s="10" t="inlineStr">
        <is>
          <t xml:space="preserve">      "mp4_count": 3</t>
        </is>
      </c>
    </row>
    <row r="102">
      <c r="A102" s="7" t="n">
        <v>99</v>
      </c>
      <c r="B102" s="8" t="inlineStr">
        <is>
          <t xml:space="preserve">    },</t>
        </is>
      </c>
    </row>
    <row r="103">
      <c r="A103" s="9" t="n">
        <v>100</v>
      </c>
      <c r="B103" s="10" t="inlineStr">
        <is>
          <t xml:space="preserve">    "连纹": {</t>
        </is>
      </c>
    </row>
    <row r="104">
      <c r="A104" s="7" t="n">
        <v>101</v>
      </c>
      <c r="B104" s="8" t="inlineStr">
        <is>
          <t xml:space="preserve">      "path": "Z:\\已处理素材\\卖点展示类素材\\【20】连纹",</t>
        </is>
      </c>
    </row>
    <row r="105">
      <c r="A105" s="9" t="n">
        <v>102</v>
      </c>
      <c r="B105" s="10" t="inlineStr">
        <is>
          <t xml:space="preserve">      "original_name": "【20】连纹",</t>
        </is>
      </c>
    </row>
    <row r="106">
      <c r="A106" s="7" t="n">
        <v>103</v>
      </c>
      <c r="B106" s="8" t="inlineStr">
        <is>
          <t xml:space="preserve">      "mp4_count": 50</t>
        </is>
      </c>
    </row>
    <row r="107">
      <c r="A107" s="9" t="n">
        <v>104</v>
      </c>
      <c r="B107" s="10" t="inlineStr">
        <is>
          <t xml:space="preserve">    },</t>
        </is>
      </c>
    </row>
    <row r="108">
      <c r="A108" s="7" t="n">
        <v>105</v>
      </c>
      <c r="B108" s="8" t="inlineStr">
        <is>
          <t xml:space="preserve">    "伸缩功能": {</t>
        </is>
      </c>
    </row>
    <row r="109">
      <c r="A109" s="9" t="n">
        <v>106</v>
      </c>
      <c r="B109" s="10" t="inlineStr">
        <is>
          <t xml:space="preserve">      "path": "Z:\\已处理素材\\卖点展示类素材\\【21】伸缩功能",</t>
        </is>
      </c>
    </row>
    <row r="110">
      <c r="A110" s="7" t="n">
        <v>107</v>
      </c>
      <c r="B110" s="8" t="inlineStr">
        <is>
          <t xml:space="preserve">      "original_name": "【21】伸缩功能",</t>
        </is>
      </c>
    </row>
    <row r="111">
      <c r="A111" s="9" t="n">
        <v>108</v>
      </c>
      <c r="B111" s="10" t="inlineStr">
        <is>
          <t xml:space="preserve">      "mp4_count": 76</t>
        </is>
      </c>
    </row>
    <row r="112">
      <c r="A112" s="7" t="n">
        <v>109</v>
      </c>
      <c r="B112" s="8" t="inlineStr">
        <is>
          <t xml:space="preserve">    },</t>
        </is>
      </c>
    </row>
    <row r="113">
      <c r="A113" s="9" t="n">
        <v>110</v>
      </c>
      <c r="B113" s="10" t="inlineStr">
        <is>
          <t xml:space="preserve">    "旋转": {</t>
        </is>
      </c>
    </row>
    <row r="114">
      <c r="A114" s="7" t="n">
        <v>111</v>
      </c>
      <c r="B114" s="8" t="inlineStr">
        <is>
          <t xml:space="preserve">      "path": "Z:\\已处理素材\\卖点展示类素材\\【22】旋转",</t>
        </is>
      </c>
    </row>
    <row r="115">
      <c r="A115" s="9" t="n">
        <v>112</v>
      </c>
      <c r="B115" s="10" t="inlineStr">
        <is>
          <t xml:space="preserve">      "original_name": "【22】旋转",</t>
        </is>
      </c>
    </row>
    <row r="116">
      <c r="A116" s="7" t="n">
        <v>113</v>
      </c>
      <c r="B116" s="8" t="inlineStr">
        <is>
          <t xml:space="preserve">      "mp4_count": 0</t>
        </is>
      </c>
    </row>
    <row r="117">
      <c r="A117" s="9" t="n">
        <v>114</v>
      </c>
      <c r="B117" s="10" t="inlineStr">
        <is>
          <t xml:space="preserve">    },</t>
        </is>
      </c>
    </row>
    <row r="118">
      <c r="A118" s="7" t="n">
        <v>115</v>
      </c>
      <c r="B118" s="8" t="inlineStr">
        <is>
          <t xml:space="preserve">    "钢结构": {</t>
        </is>
      </c>
    </row>
    <row r="119">
      <c r="A119" s="9" t="n">
        <v>116</v>
      </c>
      <c r="B119" s="10" t="inlineStr">
        <is>
          <t xml:space="preserve">      "path": "Z:\\已处理素材\\卖点展示类素材\\【23】钢结构",</t>
        </is>
      </c>
    </row>
    <row r="120">
      <c r="A120" s="7" t="n">
        <v>117</v>
      </c>
      <c r="B120" s="8" t="inlineStr">
        <is>
          <t xml:space="preserve">      "original_name": "【23】钢结构",</t>
        </is>
      </c>
    </row>
    <row r="121">
      <c r="A121" s="9" t="n">
        <v>118</v>
      </c>
      <c r="B121" s="10" t="inlineStr">
        <is>
          <t xml:space="preserve">      "mp4_count": 147</t>
        </is>
      </c>
    </row>
    <row r="122">
      <c r="A122" s="7" t="n">
        <v>119</v>
      </c>
      <c r="B122" s="8" t="inlineStr">
        <is>
          <t xml:space="preserve">    },</t>
        </is>
      </c>
    </row>
    <row r="123">
      <c r="A123" s="9" t="n">
        <v>120</v>
      </c>
      <c r="B123" s="10" t="inlineStr">
        <is>
          <t xml:space="preserve">    "岩板台面耐造": {</t>
        </is>
      </c>
    </row>
    <row r="124">
      <c r="A124" s="7" t="n">
        <v>121</v>
      </c>
      <c r="B124" s="8" t="inlineStr">
        <is>
          <t xml:space="preserve">      "path": "Z:\\已处理素材\\卖点展示类素材\\【24】岩板台面耐造",</t>
        </is>
      </c>
    </row>
    <row r="125">
      <c r="A125" s="9" t="n">
        <v>122</v>
      </c>
      <c r="B125" s="10" t="inlineStr">
        <is>
          <t xml:space="preserve">      "original_name": "【24】岩板台面耐造",</t>
        </is>
      </c>
    </row>
    <row r="126">
      <c r="A126" s="7" t="n">
        <v>123</v>
      </c>
      <c r="B126" s="8" t="inlineStr">
        <is>
          <t xml:space="preserve">      "mp4_count": 5</t>
        </is>
      </c>
    </row>
    <row r="127">
      <c r="A127" s="9" t="n">
        <v>124</v>
      </c>
      <c r="B127" s="10" t="inlineStr">
        <is>
          <t xml:space="preserve">    },</t>
        </is>
      </c>
    </row>
    <row r="128">
      <c r="A128" s="7" t="n">
        <v>125</v>
      </c>
      <c r="B128" s="8" t="inlineStr">
        <is>
          <t xml:space="preserve">    "水磨边设计": {</t>
        </is>
      </c>
    </row>
    <row r="129">
      <c r="A129" s="9" t="n">
        <v>126</v>
      </c>
      <c r="B129" s="10" t="inlineStr">
        <is>
          <t xml:space="preserve">      "path": "Z:\\已处理素材\\卖点展示类素材\\【25】水磨边设计",</t>
        </is>
      </c>
    </row>
    <row r="130">
      <c r="A130" s="7" t="n">
        <v>127</v>
      </c>
      <c r="B130" s="8" t="inlineStr">
        <is>
          <t xml:space="preserve">      "original_name": "【25】水磨边设计",</t>
        </is>
      </c>
    </row>
    <row r="131">
      <c r="A131" s="9" t="n">
        <v>128</v>
      </c>
      <c r="B131" s="10" t="inlineStr">
        <is>
          <t xml:space="preserve">      "mp4_count": 7</t>
        </is>
      </c>
    </row>
    <row r="132">
      <c r="A132" s="7" t="n">
        <v>129</v>
      </c>
      <c r="B132" s="8" t="inlineStr">
        <is>
          <t xml:space="preserve">    },</t>
        </is>
      </c>
    </row>
    <row r="133">
      <c r="A133" s="9" t="n">
        <v>130</v>
      </c>
      <c r="B133" s="10" t="inlineStr">
        <is>
          <t xml:space="preserve">    "材质细节展示": {</t>
        </is>
      </c>
    </row>
    <row r="134">
      <c r="A134" s="7" t="n">
        <v>131</v>
      </c>
      <c r="B134" s="8" t="inlineStr">
        <is>
          <t xml:space="preserve">      "path": "Z:\\已处理素材\\卖点展示类素材\\【26】材质细节展示",</t>
        </is>
      </c>
    </row>
    <row r="135">
      <c r="A135" s="9" t="n">
        <v>132</v>
      </c>
      <c r="B135" s="10" t="inlineStr">
        <is>
          <t xml:space="preserve">      "original_name": "【26】材质细节展示",</t>
        </is>
      </c>
    </row>
    <row r="136">
      <c r="A136" s="7" t="n">
        <v>133</v>
      </c>
      <c r="B136" s="8" t="inlineStr">
        <is>
          <t xml:space="preserve">      "mp4_count": 184</t>
        </is>
      </c>
    </row>
    <row r="137">
      <c r="A137" s="9" t="n">
        <v>134</v>
      </c>
      <c r="B137" s="10" t="inlineStr">
        <is>
          <t xml:space="preserve">    },</t>
        </is>
      </c>
    </row>
    <row r="138">
      <c r="A138" s="7" t="n">
        <v>135</v>
      </c>
      <c r="B138" s="8" t="inlineStr">
        <is>
          <t xml:space="preserve">    "单面柜储物": {</t>
        </is>
      </c>
    </row>
    <row r="139">
      <c r="A139" s="9" t="n">
        <v>136</v>
      </c>
      <c r="B139" s="10" t="inlineStr">
        <is>
          <t xml:space="preserve">      "path": "Z:\\已处理素材\\卖点展示类素材\\【27】单面柜储物",</t>
        </is>
      </c>
    </row>
    <row r="140">
      <c r="A140" s="7" t="n">
        <v>137</v>
      </c>
      <c r="B140" s="8" t="inlineStr">
        <is>
          <t xml:space="preserve">      "original_name": "【27】单面柜储物",</t>
        </is>
      </c>
    </row>
    <row r="141">
      <c r="A141" s="9" t="n">
        <v>138</v>
      </c>
      <c r="B141" s="10" t="inlineStr">
        <is>
          <t xml:space="preserve">      "mp4_count": 43</t>
        </is>
      </c>
    </row>
    <row r="142">
      <c r="A142" s="7" t="n">
        <v>139</v>
      </c>
      <c r="B142" s="8" t="inlineStr">
        <is>
          <t xml:space="preserve">    },</t>
        </is>
      </c>
    </row>
    <row r="143">
      <c r="A143" s="9" t="n">
        <v>140</v>
      </c>
      <c r="B143" s="10" t="inlineStr">
        <is>
          <t xml:space="preserve">    "音标轨道插座": {</t>
        </is>
      </c>
    </row>
    <row r="144">
      <c r="A144" s="7" t="n">
        <v>141</v>
      </c>
      <c r="B144" s="8" t="inlineStr">
        <is>
          <t xml:space="preserve">      "path": "Z:\\已处理素材\\卖点展示类素材\\【28】音标轨道插座",</t>
        </is>
      </c>
    </row>
    <row r="145">
      <c r="A145" s="9" t="n">
        <v>142</v>
      </c>
      <c r="B145" s="10" t="inlineStr">
        <is>
          <t xml:space="preserve">      "original_name": "【28】音标轨道插座",</t>
        </is>
      </c>
    </row>
    <row r="146">
      <c r="A146" s="7" t="n">
        <v>143</v>
      </c>
      <c r="B146" s="8" t="inlineStr">
        <is>
          <t xml:space="preserve">      "mp4_count": 11</t>
        </is>
      </c>
    </row>
    <row r="147">
      <c r="A147" s="9" t="n">
        <v>144</v>
      </c>
      <c r="B147" s="10" t="inlineStr">
        <is>
          <t xml:space="preserve">    },</t>
        </is>
      </c>
    </row>
    <row r="148">
      <c r="A148" s="7" t="n">
        <v>145</v>
      </c>
      <c r="B148" s="8" t="inlineStr">
        <is>
          <t xml:space="preserve">    "圆弧设计": {</t>
        </is>
      </c>
    </row>
    <row r="149">
      <c r="A149" s="9" t="n">
        <v>146</v>
      </c>
      <c r="B149" s="10" t="inlineStr">
        <is>
          <t xml:space="preserve">      "path": "Z:\\已处理素材\\卖点展示类素材\\【29】圆弧设计",</t>
        </is>
      </c>
    </row>
    <row r="150">
      <c r="A150" s="7" t="n">
        <v>147</v>
      </c>
      <c r="B150" s="8" t="inlineStr">
        <is>
          <t xml:space="preserve">      "original_name": "【29】圆弧设计",</t>
        </is>
      </c>
    </row>
    <row r="151">
      <c r="A151" s="9" t="n">
        <v>148</v>
      </c>
      <c r="B151" s="10" t="inlineStr">
        <is>
          <t xml:space="preserve">      "mp4_count": 32</t>
        </is>
      </c>
    </row>
    <row r="152">
      <c r="A152" s="7" t="n">
        <v>149</v>
      </c>
      <c r="B152" s="8" t="inlineStr">
        <is>
          <t xml:space="preserve">    },</t>
        </is>
      </c>
    </row>
    <row r="153">
      <c r="A153" s="9" t="n">
        <v>150</v>
      </c>
      <c r="B153" s="10" t="inlineStr">
        <is>
          <t xml:space="preserve">    "亚克力伸缩腿": {</t>
        </is>
      </c>
    </row>
    <row r="154">
      <c r="A154" s="7" t="n">
        <v>151</v>
      </c>
      <c r="B154" s="8" t="inlineStr">
        <is>
          <t xml:space="preserve">      "path": "Z:\\已处理素材\\卖点展示类素材\\【30】亚克力伸缩腿",</t>
        </is>
      </c>
    </row>
    <row r="155">
      <c r="A155" s="9" t="n">
        <v>152</v>
      </c>
      <c r="B155" s="10" t="inlineStr">
        <is>
          <t xml:space="preserve">      "original_name": "【30】亚克力伸缩腿",</t>
        </is>
      </c>
    </row>
    <row r="156">
      <c r="A156" s="7" t="n">
        <v>153</v>
      </c>
      <c r="B156" s="8" t="inlineStr">
        <is>
          <t xml:space="preserve">      "mp4_count": 0</t>
        </is>
      </c>
    </row>
    <row r="157">
      <c r="A157" s="9" t="n">
        <v>154</v>
      </c>
      <c r="B157" s="10" t="inlineStr">
        <is>
          <t xml:space="preserve">    },</t>
        </is>
      </c>
    </row>
    <row r="158">
      <c r="A158" s="7" t="n">
        <v>155</v>
      </c>
      <c r="B158" s="8" t="inlineStr">
        <is>
          <t xml:space="preserve">    "岩板内嵌设计": {</t>
        </is>
      </c>
    </row>
    <row r="159">
      <c r="A159" s="9" t="n">
        <v>156</v>
      </c>
      <c r="B159" s="10" t="inlineStr">
        <is>
          <t xml:space="preserve">      "path": "Z:\\已处理素材\\卖点展示类素材\\【31】岩板内嵌设计",</t>
        </is>
      </c>
    </row>
    <row r="160">
      <c r="A160" s="7" t="n">
        <v>157</v>
      </c>
      <c r="B160" s="8" t="inlineStr">
        <is>
          <t xml:space="preserve">      "original_name": "【31】岩板内嵌设计",</t>
        </is>
      </c>
    </row>
    <row r="161">
      <c r="A161" s="9" t="n">
        <v>158</v>
      </c>
      <c r="B161" s="10" t="inlineStr">
        <is>
          <t xml:space="preserve">      "mp4_count": 7</t>
        </is>
      </c>
    </row>
    <row r="162">
      <c r="A162" s="7" t="n">
        <v>159</v>
      </c>
      <c r="B162" s="8" t="inlineStr">
        <is>
          <t xml:space="preserve">    },</t>
        </is>
      </c>
    </row>
    <row r="163">
      <c r="A163" s="9" t="n">
        <v>160</v>
      </c>
      <c r="B163" s="10" t="inlineStr">
        <is>
          <t xml:space="preserve">    "镂空腰线设计": {</t>
        </is>
      </c>
    </row>
    <row r="164">
      <c r="A164" s="7" t="n">
        <v>161</v>
      </c>
      <c r="B164" s="8" t="inlineStr">
        <is>
          <t xml:space="preserve">      "path": "Z:\\已处理素材\\卖点展示类素材\\【32】镂空腰线设计",</t>
        </is>
      </c>
    </row>
    <row r="165">
      <c r="A165" s="9" t="n">
        <v>162</v>
      </c>
      <c r="B165" s="10" t="inlineStr">
        <is>
          <t xml:space="preserve">      "original_name": "【32】镂空腰线设计",</t>
        </is>
      </c>
    </row>
    <row r="166">
      <c r="A166" s="7" t="n">
        <v>163</v>
      </c>
      <c r="B166" s="8" t="inlineStr">
        <is>
          <t xml:space="preserve">      "mp4_count": 2</t>
        </is>
      </c>
    </row>
    <row r="167">
      <c r="A167" s="9" t="n">
        <v>164</v>
      </c>
      <c r="B167" s="10" t="inlineStr">
        <is>
          <t xml:space="preserve">    },</t>
        </is>
      </c>
    </row>
    <row r="168">
      <c r="A168" s="7" t="n">
        <v>165</v>
      </c>
      <c r="B168" s="8" t="inlineStr">
        <is>
          <t xml:space="preserve">    "吧台空间": {</t>
        </is>
      </c>
    </row>
    <row r="169">
      <c r="A169" s="9" t="n">
        <v>166</v>
      </c>
      <c r="B169" s="10" t="inlineStr">
        <is>
          <t xml:space="preserve">      "path": "Z:\\已处理素材\\卖点展示类素材\\【33】吧台空间",</t>
        </is>
      </c>
    </row>
    <row r="170">
      <c r="A170" s="7" t="n">
        <v>167</v>
      </c>
      <c r="B170" s="8" t="inlineStr">
        <is>
          <t xml:space="preserve">      "original_name": "【33】吧台空间",</t>
        </is>
      </c>
    </row>
    <row r="171">
      <c r="A171" s="9" t="n">
        <v>168</v>
      </c>
      <c r="B171" s="10" t="inlineStr">
        <is>
          <t xml:space="preserve">      "mp4_count": 6</t>
        </is>
      </c>
    </row>
    <row r="172">
      <c r="A172" s="7" t="n">
        <v>169</v>
      </c>
      <c r="B172" s="8" t="inlineStr">
        <is>
          <t xml:space="preserve">    },</t>
        </is>
      </c>
    </row>
    <row r="173">
      <c r="A173" s="9" t="n">
        <v>170</v>
      </c>
      <c r="B173" s="10" t="inlineStr">
        <is>
          <t xml:space="preserve">    "UB克轨道插座": {</t>
        </is>
      </c>
    </row>
    <row r="174">
      <c r="A174" s="7" t="n">
        <v>171</v>
      </c>
      <c r="B174" s="8" t="inlineStr">
        <is>
          <t xml:space="preserve">      "path": "Z:\\已处理素材\\卖点展示类素材\\【34】UB克轨道插座",</t>
        </is>
      </c>
    </row>
    <row r="175">
      <c r="A175" s="9" t="n">
        <v>172</v>
      </c>
      <c r="B175" s="10" t="inlineStr">
        <is>
          <t xml:space="preserve">      "original_name": "【34】UB克轨道插座",</t>
        </is>
      </c>
    </row>
    <row r="176">
      <c r="A176" s="7" t="n">
        <v>173</v>
      </c>
      <c r="B176" s="8" t="inlineStr">
        <is>
          <t xml:space="preserve">      "mp4_count": 3</t>
        </is>
      </c>
    </row>
    <row r="177">
      <c r="A177" s="9" t="n">
        <v>174</v>
      </c>
      <c r="B177" s="10" t="inlineStr">
        <is>
          <t xml:space="preserve">    },</t>
        </is>
      </c>
    </row>
    <row r="178">
      <c r="A178" s="7" t="n">
        <v>175</v>
      </c>
      <c r="B178" s="8" t="inlineStr">
        <is>
          <t xml:space="preserve">    "内嵌冰箱": {</t>
        </is>
      </c>
    </row>
    <row r="179">
      <c r="A179" s="9" t="n">
        <v>176</v>
      </c>
      <c r="B179" s="10" t="inlineStr">
        <is>
          <t xml:space="preserve">      "path": "Z:\\已处理素材\\卖点展示类素材\\【35】内嵌冰箱",</t>
        </is>
      </c>
    </row>
    <row r="180">
      <c r="A180" s="7" t="n">
        <v>177</v>
      </c>
      <c r="B180" s="8" t="inlineStr">
        <is>
          <t xml:space="preserve">      "original_name": "【35】内嵌冰箱",</t>
        </is>
      </c>
    </row>
    <row r="181">
      <c r="A181" s="9" t="n">
        <v>178</v>
      </c>
      <c r="B181" s="10" t="inlineStr">
        <is>
          <t xml:space="preserve">      "mp4_count": 4</t>
        </is>
      </c>
    </row>
    <row r="182">
      <c r="A182" s="7" t="n">
        <v>179</v>
      </c>
      <c r="B182" s="8" t="inlineStr">
        <is>
          <t xml:space="preserve">    },</t>
        </is>
      </c>
    </row>
    <row r="183">
      <c r="A183" s="9" t="n">
        <v>180</v>
      </c>
      <c r="B183" s="10" t="inlineStr">
        <is>
          <t xml:space="preserve">    "内嵌蒸烤一体": {</t>
        </is>
      </c>
    </row>
    <row r="184">
      <c r="A184" s="7" t="n">
        <v>181</v>
      </c>
      <c r="B184" s="8" t="inlineStr">
        <is>
          <t xml:space="preserve">      "path": "Z:\\已处理素材\\卖点展示类素材\\【36】内嵌蒸烤一体",</t>
        </is>
      </c>
    </row>
    <row r="185">
      <c r="A185" s="9" t="n">
        <v>182</v>
      </c>
      <c r="B185" s="10" t="inlineStr">
        <is>
          <t xml:space="preserve">      "original_name": "【36】内嵌蒸烤一体",</t>
        </is>
      </c>
    </row>
    <row r="186">
      <c r="A186" s="7" t="n">
        <v>183</v>
      </c>
      <c r="B186" s="8" t="inlineStr">
        <is>
          <t xml:space="preserve">      "mp4_count": 13</t>
        </is>
      </c>
    </row>
    <row r="187">
      <c r="A187" s="9" t="n">
        <v>184</v>
      </c>
      <c r="B187" s="10" t="inlineStr">
        <is>
          <t xml:space="preserve">    },</t>
        </is>
      </c>
    </row>
    <row r="188">
      <c r="A188" s="7" t="n">
        <v>185</v>
      </c>
      <c r="B188" s="8" t="inlineStr">
        <is>
          <t xml:space="preserve">    "岩板折边工艺": {</t>
        </is>
      </c>
    </row>
    <row r="189">
      <c r="A189" s="9" t="n">
        <v>186</v>
      </c>
      <c r="B189" s="10" t="inlineStr">
        <is>
          <t xml:space="preserve">      "path": "Z:\\已处理素材\\卖点展示类素材\\【37】岩板折边工艺",</t>
        </is>
      </c>
    </row>
    <row r="190">
      <c r="A190" s="7" t="n">
        <v>187</v>
      </c>
      <c r="B190" s="8" t="inlineStr">
        <is>
          <t xml:space="preserve">      "original_name": "【37】岩板折边工艺",</t>
        </is>
      </c>
    </row>
    <row r="191">
      <c r="A191" s="9" t="n">
        <v>188</v>
      </c>
      <c r="B191" s="10" t="inlineStr">
        <is>
          <t xml:space="preserve">      "mp4_count": 1</t>
        </is>
      </c>
    </row>
    <row r="192">
      <c r="A192" s="7" t="n">
        <v>189</v>
      </c>
      <c r="B192" s="8" t="inlineStr">
        <is>
          <t xml:space="preserve">    },</t>
        </is>
      </c>
    </row>
    <row r="193">
      <c r="A193" s="9" t="n">
        <v>190</v>
      </c>
      <c r="B193" s="10" t="inlineStr">
        <is>
          <t xml:space="preserve">    "户外岛台烤炉": {</t>
        </is>
      </c>
    </row>
    <row r="194">
      <c r="A194" s="7" t="n">
        <v>191</v>
      </c>
      <c r="B194" s="8" t="inlineStr">
        <is>
          <t xml:space="preserve">      "path": "Z:\\已处理素材\\卖点展示类素材\\【38】户外岛台烤炉",</t>
        </is>
      </c>
    </row>
    <row r="195">
      <c r="A195" s="9" t="n">
        <v>192</v>
      </c>
      <c r="B195" s="10" t="inlineStr">
        <is>
          <t xml:space="preserve">      "original_name": "【38】户外岛台烤炉",</t>
        </is>
      </c>
    </row>
    <row r="196">
      <c r="A196" s="7" t="n">
        <v>193</v>
      </c>
      <c r="B196" s="8" t="inlineStr">
        <is>
          <t xml:space="preserve">      "mp4_count": 3</t>
        </is>
      </c>
    </row>
    <row r="197">
      <c r="A197" s="9" t="n">
        <v>194</v>
      </c>
      <c r="B197" s="10" t="inlineStr">
        <is>
          <t xml:space="preserve">    }</t>
        </is>
      </c>
    </row>
    <row r="198">
      <c r="A198" s="7" t="n">
        <v>195</v>
      </c>
      <c r="B198" s="8" t="inlineStr">
        <is>
          <t xml:space="preserve">  },</t>
        </is>
      </c>
    </row>
    <row r="199">
      <c r="A199" s="9" t="n">
        <v>196</v>
      </c>
      <c r="B199" s="10" t="inlineStr">
        <is>
          <t xml:space="preserve">  "effects": {</t>
        </is>
      </c>
    </row>
    <row r="200">
      <c r="A200" s="7" t="n">
        <v>197</v>
      </c>
      <c r="B200" s="8" t="inlineStr">
        <is>
          <t xml:space="preserve">    "封面图": {</t>
        </is>
      </c>
    </row>
    <row r="201">
      <c r="A201" s="9" t="n">
        <v>198</v>
      </c>
      <c r="B201" s="10" t="inlineStr">
        <is>
          <t xml:space="preserve">      "path": "Z:\\已处理素材\\效果展示类素材\\【01】封面图",</t>
        </is>
      </c>
    </row>
    <row r="202">
      <c r="A202" s="7" t="n">
        <v>199</v>
      </c>
      <c r="B202" s="8" t="inlineStr">
        <is>
          <t xml:space="preserve">      "original_name": "【01】封面图",</t>
        </is>
      </c>
    </row>
    <row r="203">
      <c r="A203" s="9" t="n">
        <v>200</v>
      </c>
      <c r="B203" s="10" t="inlineStr">
        <is>
          <t xml:space="preserve">      "mp4_count": 0</t>
        </is>
      </c>
    </row>
    <row r="204">
      <c r="A204" s="7" t="n">
        <v>201</v>
      </c>
      <c r="B204" s="8" t="inlineStr">
        <is>
          <t xml:space="preserve">    },</t>
        </is>
      </c>
    </row>
    <row r="205">
      <c r="A205" s="9" t="n">
        <v>202</v>
      </c>
      <c r="B205" s="10" t="inlineStr">
        <is>
          <t xml:space="preserve">    "尺寸展示": {</t>
        </is>
      </c>
    </row>
    <row r="206">
      <c r="A206" s="7" t="n">
        <v>203</v>
      </c>
      <c r="B206" s="8" t="inlineStr">
        <is>
          <t xml:space="preserve">      "path": "Z:\\已处理素材\\效果展示类素材\\【02】尺寸展示",</t>
        </is>
      </c>
    </row>
    <row r="207">
      <c r="A207" s="9" t="n">
        <v>204</v>
      </c>
      <c r="B207" s="10" t="inlineStr">
        <is>
          <t xml:space="preserve">      "original_name": "【02】尺寸展示",</t>
        </is>
      </c>
    </row>
    <row r="208">
      <c r="A208" s="7" t="n">
        <v>205</v>
      </c>
      <c r="B208" s="8" t="inlineStr">
        <is>
          <t xml:space="preserve">      "mp4_count": 843</t>
        </is>
      </c>
    </row>
    <row r="209">
      <c r="A209" s="9" t="n">
        <v>206</v>
      </c>
      <c r="B209" s="10" t="inlineStr">
        <is>
          <t xml:space="preserve">    },</t>
        </is>
      </c>
    </row>
    <row r="210">
      <c r="A210" s="7" t="n">
        <v>207</v>
      </c>
      <c r="B210" s="8" t="inlineStr">
        <is>
          <t xml:space="preserve">    "颜色展示": {</t>
        </is>
      </c>
    </row>
    <row r="211">
      <c r="A211" s="9" t="n">
        <v>208</v>
      </c>
      <c r="B211" s="10" t="inlineStr">
        <is>
          <t xml:space="preserve">      "path": "Z:\\已处理素材\\效果展示类素材\\【03】颜色展示",</t>
        </is>
      </c>
    </row>
    <row r="212">
      <c r="A212" s="7" t="n">
        <v>209</v>
      </c>
      <c r="B212" s="8" t="inlineStr">
        <is>
          <t xml:space="preserve">      "original_name": "【03】颜色展示",</t>
        </is>
      </c>
    </row>
    <row r="213">
      <c r="A213" s="9" t="n">
        <v>210</v>
      </c>
      <c r="B213" s="10" t="inlineStr">
        <is>
          <t xml:space="preserve">      "mp4_count": 343</t>
        </is>
      </c>
    </row>
    <row r="214">
      <c r="A214" s="7" t="n">
        <v>211</v>
      </c>
      <c r="B214" s="8" t="inlineStr">
        <is>
          <t xml:space="preserve">    },</t>
        </is>
      </c>
    </row>
    <row r="215">
      <c r="A215" s="9" t="n">
        <v>212</v>
      </c>
      <c r="B215" s="10" t="inlineStr">
        <is>
          <t xml:space="preserve">    "造型展示": {</t>
        </is>
      </c>
    </row>
    <row r="216">
      <c r="A216" s="7" t="n">
        <v>213</v>
      </c>
      <c r="B216" s="8" t="inlineStr">
        <is>
          <t xml:space="preserve">      "path": "Z:\\已处理素材\\效果展示类素材\\【04】造型展示",</t>
        </is>
      </c>
    </row>
    <row r="217">
      <c r="A217" s="9" t="n">
        <v>214</v>
      </c>
      <c r="B217" s="10" t="inlineStr">
        <is>
          <t xml:space="preserve">      "original_name": "【04】造型展示",</t>
        </is>
      </c>
    </row>
    <row r="218">
      <c r="A218" s="7" t="n">
        <v>215</v>
      </c>
      <c r="B218" s="8" t="inlineStr">
        <is>
          <t xml:space="preserve">      "mp4_count": 1960</t>
        </is>
      </c>
    </row>
    <row r="219">
      <c r="A219" s="9" t="n">
        <v>216</v>
      </c>
      <c r="B219" s="10" t="inlineStr">
        <is>
          <t xml:space="preserve">    },</t>
        </is>
      </c>
    </row>
    <row r="220">
      <c r="A220" s="7" t="n">
        <v>217</v>
      </c>
      <c r="B220" s="8" t="inlineStr">
        <is>
          <t xml:space="preserve">    "生活化展示": {</t>
        </is>
      </c>
    </row>
    <row r="221">
      <c r="A221" s="9" t="n">
        <v>218</v>
      </c>
      <c r="B221" s="10" t="inlineStr">
        <is>
          <t xml:space="preserve">      "path": "Z:\\已处理素材\\效果展示类素材\\【05】生活化展示",</t>
        </is>
      </c>
    </row>
    <row r="222">
      <c r="A222" s="7" t="n">
        <v>219</v>
      </c>
      <c r="B222" s="8" t="inlineStr">
        <is>
          <t xml:space="preserve">      "original_name": "【05】生活化展示",</t>
        </is>
      </c>
    </row>
    <row r="223">
      <c r="A223" s="9" t="n">
        <v>220</v>
      </c>
      <c r="B223" s="10" t="inlineStr">
        <is>
          <t xml:space="preserve">      "mp4_count": 31</t>
        </is>
      </c>
    </row>
    <row r="224">
      <c r="A224" s="7" t="n">
        <v>221</v>
      </c>
      <c r="B224" s="8" t="inlineStr">
        <is>
          <t xml:space="preserve">    },</t>
        </is>
      </c>
    </row>
    <row r="225">
      <c r="A225" s="9" t="n">
        <v>222</v>
      </c>
      <c r="B225" s="10" t="inlineStr">
        <is>
          <t xml:space="preserve">    "空镜响指转场": {</t>
        </is>
      </c>
    </row>
    <row r="226">
      <c r="A226" s="7" t="n">
        <v>223</v>
      </c>
      <c r="B226" s="8" t="inlineStr">
        <is>
          <t xml:space="preserve">      "path": "Z:\\已处理素材\\效果展示类素材\\【06】空镜响指转场",</t>
        </is>
      </c>
    </row>
    <row r="227">
      <c r="A227" s="9" t="n">
        <v>224</v>
      </c>
      <c r="B227" s="10" t="inlineStr">
        <is>
          <t xml:space="preserve">      "original_name": "【06】空镜响指转场",</t>
        </is>
      </c>
    </row>
    <row r="228">
      <c r="A228" s="7" t="n">
        <v>225</v>
      </c>
      <c r="B228" s="8" t="inlineStr">
        <is>
          <t xml:space="preserve">      "mp4_count": 18</t>
        </is>
      </c>
    </row>
    <row r="229">
      <c r="A229" s="9" t="n">
        <v>226</v>
      </c>
      <c r="B229" s="10" t="inlineStr">
        <is>
          <t xml:space="preserve">    },</t>
        </is>
      </c>
    </row>
    <row r="230">
      <c r="A230" s="7" t="n">
        <v>227</v>
      </c>
      <c r="B230" s="8" t="inlineStr">
        <is>
          <t xml:space="preserve">    "狗不干我干干": {</t>
        </is>
      </c>
    </row>
    <row r="231">
      <c r="A231" s="9" t="n">
        <v>228</v>
      </c>
      <c r="B231" s="10" t="inlineStr">
        <is>
          <t xml:space="preserve">      "path": "Z:\\已处理素材\\效果展示类素材\\【07】狗不干我干干",</t>
        </is>
      </c>
    </row>
    <row r="232">
      <c r="A232" s="7" t="n">
        <v>229</v>
      </c>
      <c r="B232" s="8" t="inlineStr">
        <is>
          <t xml:space="preserve">      "original_name": "【07】狗不干我干干",</t>
        </is>
      </c>
    </row>
    <row r="233">
      <c r="A233" s="9" t="n">
        <v>230</v>
      </c>
      <c r="B233" s="10" t="inlineStr">
        <is>
          <t xml:space="preserve">      "mp4_count": 26</t>
        </is>
      </c>
    </row>
    <row r="234">
      <c r="A234" s="7" t="n">
        <v>231</v>
      </c>
      <c r="B234" s="8" t="inlineStr">
        <is>
          <t xml:space="preserve">    },</t>
        </is>
      </c>
    </row>
    <row r="235">
      <c r="A235" s="9" t="n">
        <v>232</v>
      </c>
      <c r="B235" s="10" t="inlineStr">
        <is>
          <t xml:space="preserve">    "可视面全贴岩板的岛台": {</t>
        </is>
      </c>
    </row>
    <row r="236">
      <c r="A236" s="7" t="n">
        <v>233</v>
      </c>
      <c r="B236" s="8" t="inlineStr">
        <is>
          <t xml:space="preserve">      "path": "Z:\\已处理素材\\效果展示类素材\\【08】可视面全贴岩板的岛台",</t>
        </is>
      </c>
    </row>
    <row r="237">
      <c r="A237" s="9" t="n">
        <v>234</v>
      </c>
      <c r="B237" s="10" t="inlineStr">
        <is>
          <t xml:space="preserve">      "original_name": "【08】可视面全贴岩板的岛台",</t>
        </is>
      </c>
    </row>
    <row r="238">
      <c r="A238" s="7" t="n">
        <v>235</v>
      </c>
      <c r="B238" s="8" t="inlineStr">
        <is>
          <t xml:space="preserve">      "mp4_count": 2</t>
        </is>
      </c>
    </row>
    <row r="239">
      <c r="A239" s="9" t="n">
        <v>236</v>
      </c>
      <c r="B239" s="10" t="inlineStr">
        <is>
          <t xml:space="preserve">    },</t>
        </is>
      </c>
    </row>
    <row r="240">
      <c r="A240" s="7" t="n">
        <v>237</v>
      </c>
      <c r="B240" s="8" t="inlineStr">
        <is>
          <t xml:space="preserve">    "改稿设计": {</t>
        </is>
      </c>
    </row>
    <row r="241">
      <c r="A241" s="9" t="n">
        <v>238</v>
      </c>
      <c r="B241" s="10" t="inlineStr">
        <is>
          <t xml:space="preserve">      "path": "Z:\\已处理素材\\效果展示类素材\\【09】改稿设计",</t>
        </is>
      </c>
    </row>
    <row r="242">
      <c r="A242" s="7" t="n">
        <v>239</v>
      </c>
      <c r="B242" s="8" t="inlineStr">
        <is>
          <t xml:space="preserve">      "original_name": "【09】改稿设计",</t>
        </is>
      </c>
    </row>
    <row r="243">
      <c r="A243" s="9" t="n">
        <v>240</v>
      </c>
      <c r="B243" s="10" t="inlineStr">
        <is>
          <t xml:space="preserve">      "mp4_count": 2</t>
        </is>
      </c>
    </row>
    <row r="244">
      <c r="A244" s="7" t="n">
        <v>241</v>
      </c>
      <c r="B244" s="8" t="inlineStr">
        <is>
          <t xml:space="preserve">    },</t>
        </is>
      </c>
    </row>
    <row r="245">
      <c r="A245" s="9" t="n">
        <v>242</v>
      </c>
      <c r="B245" s="10" t="inlineStr">
        <is>
          <t xml:space="preserve">    "岛台餐桌一体": {</t>
        </is>
      </c>
    </row>
    <row r="246">
      <c r="A246" s="7" t="n">
        <v>243</v>
      </c>
      <c r="B246" s="8" t="inlineStr">
        <is>
          <t xml:space="preserve">      "path": "Z:\\已处理素材\\效果展示类素材\\【10】岛台餐桌一体",</t>
        </is>
      </c>
    </row>
    <row r="247">
      <c r="A247" s="9" t="n">
        <v>244</v>
      </c>
      <c r="B247" s="10" t="inlineStr">
        <is>
          <t xml:space="preserve">      "original_name": "【10】岛台餐桌一体",</t>
        </is>
      </c>
    </row>
    <row r="248">
      <c r="A248" s="7" t="n">
        <v>245</v>
      </c>
      <c r="B248" s="8" t="inlineStr">
        <is>
          <t xml:space="preserve">      "mp4_count": 131</t>
        </is>
      </c>
    </row>
    <row r="249">
      <c r="A249" s="9" t="n">
        <v>246</v>
      </c>
      <c r="B249" s="10" t="inlineStr">
        <is>
          <t xml:space="preserve">    },</t>
        </is>
      </c>
    </row>
    <row r="250">
      <c r="A250" s="7" t="n">
        <v>247</v>
      </c>
      <c r="B250" s="8" t="inlineStr">
        <is>
          <t xml:space="preserve">    "物流追踪": {</t>
        </is>
      </c>
    </row>
    <row r="251">
      <c r="A251" s="9" t="n">
        <v>248</v>
      </c>
      <c r="B251" s="10" t="inlineStr">
        <is>
          <t xml:space="preserve">      "path": "Z:\\已处理素材\\效果展示类素材\\【11】物流追踪",</t>
        </is>
      </c>
    </row>
    <row r="252">
      <c r="A252" s="7" t="n">
        <v>249</v>
      </c>
      <c r="B252" s="8" t="inlineStr">
        <is>
          <t xml:space="preserve">      "original_name": "【11】物流追踪",</t>
        </is>
      </c>
    </row>
    <row r="253">
      <c r="A253" s="9" t="n">
        <v>250</v>
      </c>
      <c r="B253" s="10" t="inlineStr">
        <is>
          <t xml:space="preserve">      "mp4_count": 1</t>
        </is>
      </c>
    </row>
    <row r="254">
      <c r="A254" s="7" t="n">
        <v>251</v>
      </c>
      <c r="B254" s="8" t="inlineStr">
        <is>
          <t xml:space="preserve">    },</t>
        </is>
      </c>
    </row>
    <row r="255">
      <c r="A255" s="9" t="n">
        <v>252</v>
      </c>
      <c r="B255" s="10" t="inlineStr">
        <is>
          <t xml:space="preserve">    "齐屏设计": {</t>
        </is>
      </c>
    </row>
    <row r="256">
      <c r="A256" s="7" t="n">
        <v>253</v>
      </c>
      <c r="B256" s="8" t="inlineStr">
        <is>
          <t xml:space="preserve">      "path": "Z:\\已处理素材\\效果展示类素材\\【12】齐屏设计",</t>
        </is>
      </c>
    </row>
    <row r="257">
      <c r="A257" s="9" t="n">
        <v>254</v>
      </c>
      <c r="B257" s="10" t="inlineStr">
        <is>
          <t xml:space="preserve">      "original_name": "【12】齐屏设计",</t>
        </is>
      </c>
    </row>
    <row r="258">
      <c r="A258" s="7" t="n">
        <v>255</v>
      </c>
      <c r="B258" s="8" t="inlineStr">
        <is>
          <t xml:space="preserve">      "mp4_count": 2</t>
        </is>
      </c>
    </row>
    <row r="259">
      <c r="A259" s="9" t="n">
        <v>256</v>
      </c>
      <c r="B259" s="10" t="inlineStr">
        <is>
          <t xml:space="preserve">    }</t>
        </is>
      </c>
    </row>
    <row r="260">
      <c r="A260" s="7" t="n">
        <v>257</v>
      </c>
      <c r="B260" s="8" t="inlineStr">
        <is>
          <t xml:space="preserve">  },</t>
        </is>
      </c>
    </row>
    <row r="261">
      <c r="A261" s="9" t="n">
        <v>258</v>
      </c>
      <c r="B261" s="10" t="inlineStr">
        <is>
          <t xml:space="preserve">  "videos": {</t>
        </is>
      </c>
    </row>
    <row r="262">
      <c r="A262" s="7" t="n">
        <v>259</v>
      </c>
      <c r="B262" s="8" t="inlineStr">
        <is>
          <t xml:space="preserve">    "6f94f546f919091f": {</t>
        </is>
      </c>
    </row>
    <row r="263">
      <c r="A263" s="9" t="n">
        <v>260</v>
      </c>
      <c r="B263" s="10" t="inlineStr">
        <is>
          <t xml:space="preserve">      "path": "Z:\\已处理素材\\卖点展示类素材\\【01】上层薄抽\\    【62】【现代极简风岛台】广州赖小姐 【岛台上层薄抽收纳层】\\    【62】【现代极简风岛台】广州赖小姐 【岛台上层薄抽收纳层】-1.mp4",</t>
        </is>
      </c>
    </row>
    <row r="264">
      <c r="A264" s="7" t="n">
        <v>261</v>
      </c>
      <c r="B264" s="8" t="inlineStr">
        <is>
          <t xml:space="preserve">      "file_hash": "6f94f546f919091f",</t>
        </is>
      </c>
    </row>
    <row r="265">
      <c r="A265" s="9" t="n">
        <v>262</v>
      </c>
      <c r="B265" s="10" t="inlineStr">
        <is>
          <t xml:space="preserve">      "type": "卖点",</t>
        </is>
      </c>
    </row>
    <row r="266">
      <c r="A266" s="7" t="n">
        <v>263</v>
      </c>
      <c r="B266" s="8" t="inlineStr">
        <is>
          <t xml:space="preserve">      "main_tag": "现代极简风岛台",</t>
        </is>
      </c>
    </row>
    <row r="267">
      <c r="A267" s="9" t="n">
        <v>264</v>
      </c>
      <c r="B267" s="10" t="inlineStr">
        <is>
          <t xml:space="preserve">      "folder_name": "    【62】【现代极简风岛台】广州赖小姐 【岛台上层薄抽收纳层】",</t>
        </is>
      </c>
    </row>
    <row r="268">
      <c r="A268" s="7" t="n">
        <v>265</v>
      </c>
      <c r="B268" s="8" t="inlineStr">
        <is>
          <t xml:space="preserve">      "materials": [],</t>
        </is>
      </c>
    </row>
    <row r="269">
      <c r="A269" s="9" t="n">
        <v>266</v>
      </c>
      <c r="B269" s="10" t="inlineStr">
        <is>
          <t xml:space="preserve">      "colors": [],</t>
        </is>
      </c>
    </row>
    <row r="270">
      <c r="A270" s="7" t="n">
        <v>267</v>
      </c>
      <c r="B270" s="8" t="inlineStr">
        <is>
          <t xml:space="preserve">      "actions": [</t>
        </is>
      </c>
    </row>
    <row r="271">
      <c r="A271" s="9" t="n">
        <v>268</v>
      </c>
      <c r="B271" s="10" t="inlineStr">
        <is>
          <t xml:space="preserve">        "收纳"</t>
        </is>
      </c>
    </row>
    <row r="272">
      <c r="A272" s="7" t="n">
        <v>269</v>
      </c>
      <c r="B272" s="8" t="inlineStr">
        <is>
          <t xml:space="preserve">      ],</t>
        </is>
      </c>
    </row>
    <row r="273">
      <c r="A273" s="9" t="n">
        <v>270</v>
      </c>
      <c r="B273" s="10" t="inlineStr">
        <is>
          <t xml:space="preserve">      "raw_tags": [</t>
        </is>
      </c>
    </row>
    <row r="274">
      <c r="A274" s="7" t="n">
        <v>271</v>
      </c>
      <c r="B274" s="8" t="inlineStr">
        <is>
          <t xml:space="preserve">        "现代极简风岛台",</t>
        </is>
      </c>
    </row>
    <row r="275">
      <c r="A275" s="9" t="n">
        <v>272</v>
      </c>
      <c r="B275" s="10" t="inlineStr">
        <is>
          <t xml:space="preserve">        "岛台上层薄抽收纳层"</t>
        </is>
      </c>
    </row>
    <row r="276">
      <c r="A276" s="7" t="n">
        <v>273</v>
      </c>
      <c r="B276" s="8" t="inlineStr">
        <is>
          <t xml:space="preserve">      ],</t>
        </is>
      </c>
    </row>
    <row r="277">
      <c r="A277" s="9" t="n">
        <v>274</v>
      </c>
      <c r="B277" s="10" t="inlineStr">
        <is>
          <t xml:space="preserve">      "quality_score": 1.0,</t>
        </is>
      </c>
    </row>
    <row r="278">
      <c r="A278" s="7" t="n">
        <v>275</v>
      </c>
      <c r="B278" s="8" t="inlineStr">
        <is>
          <t xml:space="preserve">      "processed_time": "2026-06-07T14:46:18.570563",</t>
        </is>
      </c>
    </row>
    <row r="279">
      <c r="A279" s="9" t="n">
        <v>276</v>
      </c>
      <c r="B279" s="10" t="inlineStr">
        <is>
          <t xml:space="preserve">      "file_size_mb": 34.04,</t>
        </is>
      </c>
    </row>
    <row r="280">
      <c r="A280" s="7" t="n">
        <v>277</v>
      </c>
      <c r="B280" s="8" t="inlineStr">
        <is>
          <t xml:space="preserve">      "file_mtime": "2026-01-12T15:05:48.279285"</t>
        </is>
      </c>
    </row>
    <row r="281">
      <c r="A281" s="9" t="n">
        <v>278</v>
      </c>
      <c r="B281" s="10" t="inlineStr">
        <is>
          <t xml:space="preserve">    },</t>
        </is>
      </c>
    </row>
    <row r="282">
      <c r="A282" s="7" t="n">
        <v>279</v>
      </c>
      <c r="B282" s="8" t="inlineStr">
        <is>
          <t xml:space="preserve">    "c0747aa4b87b107b": {</t>
        </is>
      </c>
    </row>
    <row r="283">
      <c r="A283" s="9" t="n">
        <v>280</v>
      </c>
      <c r="B283" s="10" t="inlineStr">
        <is>
          <t xml:space="preserve">      "path": "Z:\\已处理素材\\卖点展示类素材\\【01】上层薄抽\\   【20】【罗马洞石+北美黑胡桃】河南王小姐【岛台上层薄抽收纳展示】\\   【20】【罗马洞石+北美黑胡桃】河南王小姐【岛台上层薄抽收纳展示】-1.mp4",</t>
        </is>
      </c>
    </row>
    <row r="284">
      <c r="A284" s="7" t="n">
        <v>281</v>
      </c>
      <c r="B284" s="8" t="inlineStr">
        <is>
          <t xml:space="preserve">      "file_hash": "c0747aa4b87b107b",</t>
        </is>
      </c>
    </row>
    <row r="285">
      <c r="A285" s="9" t="n">
        <v>282</v>
      </c>
      <c r="B285" s="10" t="inlineStr">
        <is>
          <t xml:space="preserve">      "type": "卖点",</t>
        </is>
      </c>
    </row>
    <row r="286">
      <c r="A286" s="7" t="n">
        <v>283</v>
      </c>
      <c r="B286" s="8" t="inlineStr">
        <is>
          <t xml:space="preserve">      "main_tag": "岛台上层薄抽收纳展示",</t>
        </is>
      </c>
    </row>
    <row r="287">
      <c r="A287" s="9" t="n">
        <v>284</v>
      </c>
      <c r="B287" s="10" t="inlineStr">
        <is>
          <t xml:space="preserve">      "folder_name": "   【20】【罗马洞石+北美黑胡桃】河南王小姐【岛台上层薄抽收纳展示】",</t>
        </is>
      </c>
    </row>
    <row r="288">
      <c r="A288" s="7" t="n">
        <v>285</v>
      </c>
      <c r="B288" s="8" t="inlineStr">
        <is>
          <t xml:space="preserve">      "materials": [</t>
        </is>
      </c>
    </row>
    <row r="289">
      <c r="A289" s="9" t="n">
        <v>286</v>
      </c>
      <c r="B289" s="10" t="inlineStr">
        <is>
          <t xml:space="preserve">        "洞石",</t>
        </is>
      </c>
    </row>
    <row r="290">
      <c r="A290" s="7" t="n">
        <v>287</v>
      </c>
      <c r="B290" s="8" t="inlineStr">
        <is>
          <t xml:space="preserve">        "罗马洞石",</t>
        </is>
      </c>
    </row>
    <row r="291">
      <c r="A291" s="9" t="n">
        <v>288</v>
      </c>
      <c r="B291" s="10" t="inlineStr">
        <is>
          <t xml:space="preserve">        "胡桃",</t>
        </is>
      </c>
    </row>
    <row r="292">
      <c r="A292" s="7" t="n">
        <v>289</v>
      </c>
      <c r="B292" s="8" t="inlineStr">
        <is>
          <t xml:space="preserve">        "黑胡桃",</t>
        </is>
      </c>
    </row>
    <row r="293">
      <c r="A293" s="9" t="n">
        <v>290</v>
      </c>
      <c r="B293" s="10" t="inlineStr">
        <is>
          <t xml:space="preserve">        "北美黑胡桃"</t>
        </is>
      </c>
    </row>
    <row r="294">
      <c r="A294" s="7" t="n">
        <v>291</v>
      </c>
      <c r="B294" s="8" t="inlineStr">
        <is>
          <t xml:space="preserve">      ],</t>
        </is>
      </c>
    </row>
    <row r="295">
      <c r="A295" s="9" t="n">
        <v>292</v>
      </c>
      <c r="B295" s="10" t="inlineStr">
        <is>
          <t xml:space="preserve">      "colors": [],</t>
        </is>
      </c>
    </row>
    <row r="296">
      <c r="A296" s="7" t="n">
        <v>293</v>
      </c>
      <c r="B296" s="8" t="inlineStr">
        <is>
          <t xml:space="preserve">      "actions": [</t>
        </is>
      </c>
    </row>
    <row r="297">
      <c r="A297" s="9" t="n">
        <v>294</v>
      </c>
      <c r="B297" s="10" t="inlineStr">
        <is>
          <t xml:space="preserve">        "展示",</t>
        </is>
      </c>
    </row>
    <row r="298">
      <c r="A298" s="7" t="n">
        <v>295</v>
      </c>
      <c r="B298" s="8" t="inlineStr">
        <is>
          <t xml:space="preserve">        "收纳"</t>
        </is>
      </c>
    </row>
    <row r="299">
      <c r="A299" s="9" t="n">
        <v>296</v>
      </c>
      <c r="B299" s="10" t="inlineStr">
        <is>
          <t xml:space="preserve">      ],</t>
        </is>
      </c>
    </row>
    <row r="300">
      <c r="A300" s="7" t="n">
        <v>297</v>
      </c>
      <c r="B300" s="8" t="inlineStr">
        <is>
          <t xml:space="preserve">      "raw_tags": [</t>
        </is>
      </c>
    </row>
    <row r="301">
      <c r="A301" s="9" t="n">
        <v>298</v>
      </c>
      <c r="B301" s="10" t="inlineStr">
        <is>
          <t xml:space="preserve">        "岛台上层薄抽收纳展示"</t>
        </is>
      </c>
    </row>
    <row r="302">
      <c r="A302" s="7" t="n">
        <v>299</v>
      </c>
      <c r="B302" s="8" t="inlineStr">
        <is>
          <t xml:space="preserve">      ],</t>
        </is>
      </c>
    </row>
    <row r="303">
      <c r="A303" s="9" t="n">
        <v>300</v>
      </c>
      <c r="B303" s="10" t="inlineStr">
        <is>
          <t xml:space="preserve">      "quality_score": 1.0,</t>
        </is>
      </c>
    </row>
    <row r="304">
      <c r="A304" s="7" t="n">
        <v>301</v>
      </c>
      <c r="B304" s="8" t="inlineStr">
        <is>
          <t xml:space="preserve">      "processed_time": "2026-06-07T14:46:18.572556",</t>
        </is>
      </c>
    </row>
    <row r="305">
      <c r="A305" s="9" t="n">
        <v>302</v>
      </c>
      <c r="B305" s="10" t="inlineStr">
        <is>
          <t xml:space="preserve">      "file_size_mb": 38.82,</t>
        </is>
      </c>
    </row>
    <row r="306">
      <c r="A306" s="7" t="n">
        <v>303</v>
      </c>
      <c r="B306" s="8" t="inlineStr">
        <is>
          <t xml:space="preserve">      "file_mtime": "2026-01-06T16:57:44.780661"</t>
        </is>
      </c>
    </row>
    <row r="307">
      <c r="A307" s="9" t="n">
        <v>304</v>
      </c>
      <c r="B307" s="10" t="inlineStr">
        <is>
          <t xml:space="preserve">    },</t>
        </is>
      </c>
    </row>
    <row r="308">
      <c r="A308" s="7" t="n">
        <v>305</v>
      </c>
      <c r="B308" s="8" t="inlineStr">
        <is>
          <t xml:space="preserve">    "4aefdafbddc2d439": {</t>
        </is>
      </c>
    </row>
    <row r="309">
      <c r="A309" s="9" t="n">
        <v>306</v>
      </c>
      <c r="B309" s="10" t="inlineStr">
        <is>
          <t xml:space="preserve">      "path": "Z:\\已处理素材\\卖点展示类素材\\【01】上层薄抽\\   【20】【罗马洞石+北美黑胡桃】河南王小姐【岛台上层薄抽收纳展示】\\   【20】【罗马洞石+北美黑胡桃】河南王小姐【岛台上层薄抽收纳展示】-2.mp4",</t>
        </is>
      </c>
    </row>
    <row r="310">
      <c r="A310" s="7" t="n">
        <v>307</v>
      </c>
      <c r="B310" s="8" t="inlineStr">
        <is>
          <t xml:space="preserve">      "file_hash": "4aefdafbddc2d439",</t>
        </is>
      </c>
    </row>
    <row r="311">
      <c r="A311" s="9" t="n">
        <v>308</v>
      </c>
      <c r="B311" s="10" t="inlineStr">
        <is>
          <t xml:space="preserve">      "type": "卖点",</t>
        </is>
      </c>
    </row>
    <row r="312">
      <c r="A312" s="7" t="n">
        <v>309</v>
      </c>
      <c r="B312" s="8" t="inlineStr">
        <is>
          <t xml:space="preserve">      "main_tag": "岛台上层薄抽收纳展示",</t>
        </is>
      </c>
    </row>
    <row r="313">
      <c r="A313" s="9" t="n">
        <v>310</v>
      </c>
      <c r="B313" s="10" t="inlineStr">
        <is>
          <t xml:space="preserve">      "folder_name": "   【20】【罗马洞石+北美黑胡桃】河南王小姐【岛台上层薄抽收纳展示】",</t>
        </is>
      </c>
    </row>
    <row r="314">
      <c r="A314" s="7" t="n">
        <v>311</v>
      </c>
      <c r="B314" s="8" t="inlineStr">
        <is>
          <t xml:space="preserve">      "materials": [</t>
        </is>
      </c>
    </row>
    <row r="315">
      <c r="A315" s="9" t="n">
        <v>312</v>
      </c>
      <c r="B315" s="10" t="inlineStr">
        <is>
          <t xml:space="preserve">        "洞石",</t>
        </is>
      </c>
    </row>
    <row r="316">
      <c r="A316" s="7" t="n">
        <v>313</v>
      </c>
      <c r="B316" s="8" t="inlineStr">
        <is>
          <t xml:space="preserve">        "罗马洞石",</t>
        </is>
      </c>
    </row>
    <row r="317">
      <c r="A317" s="9" t="n">
        <v>314</v>
      </c>
      <c r="B317" s="10" t="inlineStr">
        <is>
          <t xml:space="preserve">        "胡桃",</t>
        </is>
      </c>
    </row>
    <row r="318">
      <c r="A318" s="7" t="n">
        <v>315</v>
      </c>
      <c r="B318" s="8" t="inlineStr">
        <is>
          <t xml:space="preserve">        "黑胡桃",</t>
        </is>
      </c>
    </row>
    <row r="319">
      <c r="A319" s="9" t="n">
        <v>316</v>
      </c>
      <c r="B319" s="10" t="inlineStr">
        <is>
          <t xml:space="preserve">        "北美黑胡桃"</t>
        </is>
      </c>
    </row>
    <row r="320">
      <c r="A320" s="7" t="n">
        <v>317</v>
      </c>
      <c r="B320" s="8" t="inlineStr">
        <is>
          <t xml:space="preserve">      ],</t>
        </is>
      </c>
    </row>
    <row r="321">
      <c r="A321" s="9" t="n">
        <v>318</v>
      </c>
      <c r="B321" s="10" t="inlineStr">
        <is>
          <t xml:space="preserve">      "colors": [],</t>
        </is>
      </c>
    </row>
    <row r="322">
      <c r="A322" s="7" t="n">
        <v>319</v>
      </c>
      <c r="B322" s="8" t="inlineStr">
        <is>
          <t xml:space="preserve">      "actions": [</t>
        </is>
      </c>
    </row>
    <row r="323">
      <c r="A323" s="9" t="n">
        <v>320</v>
      </c>
      <c r="B323" s="10" t="inlineStr">
        <is>
          <t xml:space="preserve">        "展示",</t>
        </is>
      </c>
    </row>
    <row r="324">
      <c r="A324" s="7" t="n">
        <v>321</v>
      </c>
      <c r="B324" s="8" t="inlineStr">
        <is>
          <t xml:space="preserve">        "收纳"</t>
        </is>
      </c>
    </row>
    <row r="325">
      <c r="A325" s="9" t="n">
        <v>322</v>
      </c>
      <c r="B325" s="10" t="inlineStr">
        <is>
          <t xml:space="preserve">      ],</t>
        </is>
      </c>
    </row>
    <row r="326">
      <c r="A326" s="7" t="n">
        <v>323</v>
      </c>
      <c r="B326" s="8" t="inlineStr">
        <is>
          <t xml:space="preserve">      "raw_tags": [</t>
        </is>
      </c>
    </row>
    <row r="327">
      <c r="A327" s="9" t="n">
        <v>324</v>
      </c>
      <c r="B327" s="10" t="inlineStr">
        <is>
          <t xml:space="preserve">        "岛台上层薄抽收纳展示"</t>
        </is>
      </c>
    </row>
    <row r="328">
      <c r="A328" s="7" t="n">
        <v>325</v>
      </c>
      <c r="B328" s="8" t="inlineStr">
        <is>
          <t xml:space="preserve">      ],</t>
        </is>
      </c>
    </row>
    <row r="329">
      <c r="A329" s="9" t="n">
        <v>326</v>
      </c>
      <c r="B329" s="10" t="inlineStr">
        <is>
          <t xml:space="preserve">      "quality_score": 1.0,</t>
        </is>
      </c>
    </row>
    <row r="330">
      <c r="A330" s="7" t="n">
        <v>327</v>
      </c>
      <c r="B330" s="8" t="inlineStr">
        <is>
          <t xml:space="preserve">      "processed_time": "2026-06-07T14:46:18.573553",</t>
        </is>
      </c>
    </row>
    <row r="331">
      <c r="A331" s="9" t="n">
        <v>328</v>
      </c>
      <c r="B331" s="10" t="inlineStr">
        <is>
          <t xml:space="preserve">      "file_size_mb": 39.13,</t>
        </is>
      </c>
    </row>
    <row r="332">
      <c r="A332" s="7" t="n">
        <v>329</v>
      </c>
      <c r="B332" s="8" t="inlineStr">
        <is>
          <t xml:space="preserve">      "file_mtime": "2026-01-06T16:57:48.218507"</t>
        </is>
      </c>
    </row>
    <row r="333">
      <c r="A333" s="9" t="n">
        <v>330</v>
      </c>
      <c r="B333" s="10" t="inlineStr">
        <is>
          <t xml:space="preserve">    },</t>
        </is>
      </c>
    </row>
    <row r="334">
      <c r="A334" s="7" t="n">
        <v>331</v>
      </c>
      <c r="B334" s="8" t="inlineStr">
        <is>
          <t xml:space="preserve">    "25f0c849b8af9c1a": {</t>
        </is>
      </c>
    </row>
    <row r="335">
      <c r="A335" s="9" t="n">
        <v>332</v>
      </c>
      <c r="B335" s="10" t="inlineStr">
        <is>
          <t xml:space="preserve">      "path": "Z:\\已处理素材\\卖点展示类素材\\【01】上层薄抽\\  【35】【奶白色+北美黑胡桃】深圳陈先生【岛台上层薄抽收纳展示】\\  【35】【奶白色+北美黑胡桃】深圳陈先生【岛台上层薄抽收纳展示】-1.mp4",</t>
        </is>
      </c>
    </row>
    <row r="336">
      <c r="A336" s="7" t="n">
        <v>333</v>
      </c>
      <c r="B336" s="8" t="inlineStr">
        <is>
          <t xml:space="preserve">      "file_hash": "25f0c849b8af9c1a",</t>
        </is>
      </c>
    </row>
    <row r="337">
      <c r="A337" s="9" t="n">
        <v>334</v>
      </c>
      <c r="B337" s="10" t="inlineStr">
        <is>
          <t xml:space="preserve">      "type": "卖点",</t>
        </is>
      </c>
    </row>
    <row r="338">
      <c r="A338" s="7" t="n">
        <v>335</v>
      </c>
      <c r="B338" s="8" t="inlineStr">
        <is>
          <t xml:space="preserve">      "main_tag": "岛台上层薄抽收纳展示",</t>
        </is>
      </c>
    </row>
    <row r="339">
      <c r="A339" s="9" t="n">
        <v>336</v>
      </c>
      <c r="B339" s="10" t="inlineStr">
        <is>
          <t xml:space="preserve">      "folder_name": "  【35】【奶白色+北美黑胡桃】深圳陈先生【岛台上层薄抽收纳展示】",</t>
        </is>
      </c>
    </row>
    <row r="340">
      <c r="A340" s="7" t="n">
        <v>337</v>
      </c>
      <c r="B340" s="8" t="inlineStr">
        <is>
          <t xml:space="preserve">      "materials": [</t>
        </is>
      </c>
    </row>
    <row r="341">
      <c r="A341" s="9" t="n">
        <v>338</v>
      </c>
      <c r="B341" s="10" t="inlineStr">
        <is>
          <t xml:space="preserve">        "奶白",</t>
        </is>
      </c>
    </row>
    <row r="342">
      <c r="A342" s="7" t="n">
        <v>339</v>
      </c>
      <c r="B342" s="8" t="inlineStr">
        <is>
          <t xml:space="preserve">        "胡桃",</t>
        </is>
      </c>
    </row>
    <row r="343">
      <c r="A343" s="9" t="n">
        <v>340</v>
      </c>
      <c r="B343" s="10" t="inlineStr">
        <is>
          <t xml:space="preserve">        "黑胡桃",</t>
        </is>
      </c>
    </row>
    <row r="344">
      <c r="A344" s="7" t="n">
        <v>341</v>
      </c>
      <c r="B344" s="8" t="inlineStr">
        <is>
          <t xml:space="preserve">        "北美黑胡桃"</t>
        </is>
      </c>
    </row>
    <row r="345">
      <c r="A345" s="9" t="n">
        <v>342</v>
      </c>
      <c r="B345" s="10" t="inlineStr">
        <is>
          <t xml:space="preserve">      ],</t>
        </is>
      </c>
    </row>
    <row r="346">
      <c r="A346" s="7" t="n">
        <v>343</v>
      </c>
      <c r="B346" s="8" t="inlineStr">
        <is>
          <t xml:space="preserve">      "colors": [</t>
        </is>
      </c>
    </row>
    <row r="347">
      <c r="A347" s="9" t="n">
        <v>344</v>
      </c>
      <c r="B347" s="10" t="inlineStr">
        <is>
          <t xml:space="preserve">        "奶白",</t>
        </is>
      </c>
    </row>
    <row r="348">
      <c r="A348" s="7" t="n">
        <v>345</v>
      </c>
      <c r="B348" s="8" t="inlineStr">
        <is>
          <t xml:space="preserve">        "白色"</t>
        </is>
      </c>
    </row>
    <row r="349">
      <c r="A349" s="9" t="n">
        <v>346</v>
      </c>
      <c r="B349" s="10" t="inlineStr">
        <is>
          <t xml:space="preserve">      ],</t>
        </is>
      </c>
    </row>
    <row r="350">
      <c r="A350" s="7" t="n">
        <v>347</v>
      </c>
      <c r="B350" s="8" t="inlineStr">
        <is>
          <t xml:space="preserve">      "actions": [</t>
        </is>
      </c>
    </row>
    <row r="351">
      <c r="A351" s="9" t="n">
        <v>348</v>
      </c>
      <c r="B351" s="10" t="inlineStr">
        <is>
          <t xml:space="preserve">        "展示",</t>
        </is>
      </c>
    </row>
    <row r="352">
      <c r="A352" s="7" t="n">
        <v>349</v>
      </c>
      <c r="B352" s="8" t="inlineStr">
        <is>
          <t xml:space="preserve">        "收纳"</t>
        </is>
      </c>
    </row>
    <row r="353">
      <c r="A353" s="9" t="n">
        <v>350</v>
      </c>
      <c r="B353" s="10" t="inlineStr">
        <is>
          <t xml:space="preserve">      ],</t>
        </is>
      </c>
    </row>
    <row r="354">
      <c r="A354" s="7" t="n">
        <v>351</v>
      </c>
      <c r="B354" s="8" t="inlineStr">
        <is>
          <t xml:space="preserve">      "raw_tags": [</t>
        </is>
      </c>
    </row>
    <row r="355">
      <c r="A355" s="9" t="n">
        <v>352</v>
      </c>
      <c r="B355" s="10" t="inlineStr">
        <is>
          <t xml:space="preserve">        "岛台上层薄抽收纳展示"</t>
        </is>
      </c>
    </row>
    <row r="356">
      <c r="A356" s="7" t="n">
        <v>353</v>
      </c>
      <c r="B356" s="8" t="inlineStr">
        <is>
          <t xml:space="preserve">      ],</t>
        </is>
      </c>
    </row>
    <row r="357">
      <c r="A357" s="9" t="n">
        <v>354</v>
      </c>
      <c r="B357" s="10" t="inlineStr">
        <is>
          <t xml:space="preserve">      "quality_score": 1.0,</t>
        </is>
      </c>
    </row>
    <row r="358">
      <c r="A358" s="7" t="n">
        <v>355</v>
      </c>
      <c r="B358" s="8" t="inlineStr">
        <is>
          <t xml:space="preserve">      "processed_time": "2026-06-07T14:46:18.574548",</t>
        </is>
      </c>
    </row>
    <row r="359">
      <c r="A359" s="9" t="n">
        <v>356</v>
      </c>
      <c r="B359" s="10" t="inlineStr">
        <is>
          <t xml:space="preserve">      "file_size_mb": 21.86,</t>
        </is>
      </c>
    </row>
    <row r="360">
      <c r="A360" s="7" t="n">
        <v>357</v>
      </c>
      <c r="B360" s="8" t="inlineStr">
        <is>
          <t xml:space="preserve">      "file_mtime": "2026-01-08T14:51:08.778088"</t>
        </is>
      </c>
    </row>
    <row r="361">
      <c r="A361" s="9" t="n">
        <v>358</v>
      </c>
      <c r="B361" s="10" t="inlineStr">
        <is>
          <t xml:space="preserve">    },</t>
        </is>
      </c>
    </row>
    <row r="362">
      <c r="A362" s="7" t="n">
        <v>359</v>
      </c>
      <c r="B362" s="8" t="inlineStr">
        <is>
          <t xml:space="preserve">    "1421a79f7fa40466": {</t>
        </is>
      </c>
    </row>
    <row r="363">
      <c r="A363" s="9" t="n">
        <v>360</v>
      </c>
      <c r="B363" s="10" t="inlineStr">
        <is>
          <t xml:space="preserve">      "path": "Z:\\已处理素材\\卖点展示类素材\\【01】上层薄抽\\  【35】【奶白色+北美黑胡桃】深圳陈先生【空镜岛台上层薄抽收纳展示】\\  【35】【奶白色+北美黑胡桃】深圳陈先生【空镜岛台上层薄抽收纳展示】-1.mp4",</t>
        </is>
      </c>
    </row>
    <row r="364">
      <c r="A364" s="7" t="n">
        <v>361</v>
      </c>
      <c r="B364" s="8" t="inlineStr">
        <is>
          <t xml:space="preserve">      "file_hash": "1421a79f7fa40466",</t>
        </is>
      </c>
    </row>
    <row r="365">
      <c r="A365" s="9" t="n">
        <v>362</v>
      </c>
      <c r="B365" s="10" t="inlineStr">
        <is>
          <t xml:space="preserve">      "type": "卖点",</t>
        </is>
      </c>
    </row>
    <row r="366">
      <c r="A366" s="7" t="n">
        <v>363</v>
      </c>
      <c r="B366" s="8" t="inlineStr">
        <is>
          <t xml:space="preserve">      "main_tag": "空镜岛台上层薄抽收纳展示",</t>
        </is>
      </c>
    </row>
    <row r="367">
      <c r="A367" s="9" t="n">
        <v>364</v>
      </c>
      <c r="B367" s="10" t="inlineStr">
        <is>
          <t xml:space="preserve">      "folder_name": "  【35】【奶白色+北美黑胡桃】深圳陈先生【空镜岛台上层薄抽收纳展示】",</t>
        </is>
      </c>
    </row>
    <row r="368">
      <c r="A368" s="7" t="n">
        <v>365</v>
      </c>
      <c r="B368" s="8" t="inlineStr">
        <is>
          <t xml:space="preserve">      "materials": [</t>
        </is>
      </c>
    </row>
    <row r="369">
      <c r="A369" s="9" t="n">
        <v>366</v>
      </c>
      <c r="B369" s="10" t="inlineStr">
        <is>
          <t xml:space="preserve">        "奶白",</t>
        </is>
      </c>
    </row>
    <row r="370">
      <c r="A370" s="7" t="n">
        <v>367</v>
      </c>
      <c r="B370" s="8" t="inlineStr">
        <is>
          <t xml:space="preserve">        "胡桃",</t>
        </is>
      </c>
    </row>
    <row r="371">
      <c r="A371" s="9" t="n">
        <v>368</v>
      </c>
      <c r="B371" s="10" t="inlineStr">
        <is>
          <t xml:space="preserve">        "黑胡桃",</t>
        </is>
      </c>
    </row>
    <row r="372">
      <c r="A372" s="7" t="n">
        <v>369</v>
      </c>
      <c r="B372" s="8" t="inlineStr">
        <is>
          <t xml:space="preserve">        "北美黑胡桃"</t>
        </is>
      </c>
    </row>
    <row r="373">
      <c r="A373" s="9" t="n">
        <v>370</v>
      </c>
      <c r="B373" s="10" t="inlineStr">
        <is>
          <t xml:space="preserve">      ],</t>
        </is>
      </c>
    </row>
    <row r="374">
      <c r="A374" s="7" t="n">
        <v>371</v>
      </c>
      <c r="B374" s="8" t="inlineStr">
        <is>
          <t xml:space="preserve">      "colors": [</t>
        </is>
      </c>
    </row>
    <row r="375">
      <c r="A375" s="9" t="n">
        <v>372</v>
      </c>
      <c r="B375" s="10" t="inlineStr">
        <is>
          <t xml:space="preserve">        "奶白",</t>
        </is>
      </c>
    </row>
    <row r="376">
      <c r="A376" s="7" t="n">
        <v>373</v>
      </c>
      <c r="B376" s="8" t="inlineStr">
        <is>
          <t xml:space="preserve">        "白色"</t>
        </is>
      </c>
    </row>
    <row r="377">
      <c r="A377" s="9" t="n">
        <v>374</v>
      </c>
      <c r="B377" s="10" t="inlineStr">
        <is>
          <t xml:space="preserve">      ],</t>
        </is>
      </c>
    </row>
    <row r="378">
      <c r="A378" s="7" t="n">
        <v>375</v>
      </c>
      <c r="B378" s="8" t="inlineStr">
        <is>
          <t xml:space="preserve">      "actions": [</t>
        </is>
      </c>
    </row>
    <row r="379">
      <c r="A379" s="9" t="n">
        <v>376</v>
      </c>
      <c r="B379" s="10" t="inlineStr">
        <is>
          <t xml:space="preserve">        "展示",</t>
        </is>
      </c>
    </row>
    <row r="380">
      <c r="A380" s="7" t="n">
        <v>377</v>
      </c>
      <c r="B380" s="8" t="inlineStr">
        <is>
          <t xml:space="preserve">        "收纳"</t>
        </is>
      </c>
    </row>
    <row r="381">
      <c r="A381" s="9" t="n">
        <v>378</v>
      </c>
      <c r="B381" s="10" t="inlineStr">
        <is>
          <t xml:space="preserve">      ],</t>
        </is>
      </c>
    </row>
    <row r="382">
      <c r="A382" s="7" t="n">
        <v>379</v>
      </c>
      <c r="B382" s="8" t="inlineStr">
        <is>
          <t xml:space="preserve">      "raw_tags": [</t>
        </is>
      </c>
    </row>
    <row r="383">
      <c r="A383" s="9" t="n">
        <v>380</v>
      </c>
      <c r="B383" s="10" t="inlineStr">
        <is>
          <t xml:space="preserve">        "空镜岛台上层薄抽收纳展示"</t>
        </is>
      </c>
    </row>
    <row r="384">
      <c r="A384" s="7" t="n">
        <v>381</v>
      </c>
      <c r="B384" s="8" t="inlineStr">
        <is>
          <t xml:space="preserve">      ],</t>
        </is>
      </c>
    </row>
    <row r="385">
      <c r="A385" s="9" t="n">
        <v>382</v>
      </c>
      <c r="B385" s="10" t="inlineStr">
        <is>
          <t xml:space="preserve">      "quality_score": 1.0,</t>
        </is>
      </c>
    </row>
    <row r="386">
      <c r="A386" s="7" t="n">
        <v>383</v>
      </c>
      <c r="B386" s="8" t="inlineStr">
        <is>
          <t xml:space="preserve">      "processed_time": "2026-06-07T14:46:18.575546",</t>
        </is>
      </c>
    </row>
    <row r="387">
      <c r="A387" s="9" t="n">
        <v>384</v>
      </c>
      <c r="B387" s="10" t="inlineStr">
        <is>
          <t xml:space="preserve">      "file_size_mb": 20.9,</t>
        </is>
      </c>
    </row>
    <row r="388">
      <c r="A388" s="7" t="n">
        <v>385</v>
      </c>
      <c r="B388" s="8" t="inlineStr">
        <is>
          <t xml:space="preserve">      "file_mtime": "2026-01-08T14:54:53.666791"</t>
        </is>
      </c>
    </row>
    <row r="389">
      <c r="A389" s="9" t="n">
        <v>386</v>
      </c>
      <c r="B389" s="10" t="inlineStr">
        <is>
          <t xml:space="preserve">    },</t>
        </is>
      </c>
    </row>
    <row r="390">
      <c r="A390" s="7" t="n">
        <v>387</v>
      </c>
      <c r="B390" s="8" t="inlineStr">
        <is>
          <t xml:space="preserve">    "dc3065af03d1c82c": {</t>
        </is>
      </c>
    </row>
    <row r="391">
      <c r="A391" s="9" t="n">
        <v>388</v>
      </c>
      <c r="B391" s="10" t="inlineStr">
        <is>
          <t xml:space="preserve">      "path": "Z:\\已处理素材\\卖点展示类素材\\【01】上层薄抽\\  【62】【现代极简风岛台】广州赖小姐 【岛台上层收纳层】\\  【62】【现代极简风岛台】广州赖小姐 【岛台上层收纳层】-1.mp4",</t>
        </is>
      </c>
    </row>
    <row r="392">
      <c r="A392" s="7" t="n">
        <v>389</v>
      </c>
      <c r="B392" s="8" t="inlineStr">
        <is>
          <t xml:space="preserve">      "file_hash": "dc3065af03d1c82c",</t>
        </is>
      </c>
    </row>
    <row r="393">
      <c r="A393" s="9" t="n">
        <v>390</v>
      </c>
      <c r="B393" s="10" t="inlineStr">
        <is>
          <t xml:space="preserve">      "type": "卖点",</t>
        </is>
      </c>
    </row>
    <row r="394">
      <c r="A394" s="7" t="n">
        <v>391</v>
      </c>
      <c r="B394" s="8" t="inlineStr">
        <is>
          <t xml:space="preserve">      "main_tag": "现代极简风岛台",</t>
        </is>
      </c>
    </row>
    <row r="395">
      <c r="A395" s="9" t="n">
        <v>392</v>
      </c>
      <c r="B395" s="10" t="inlineStr">
        <is>
          <t xml:space="preserve">      "folder_name": "  【62】【现代极简风岛台】广州赖小姐 【岛台上层收纳层】",</t>
        </is>
      </c>
    </row>
    <row r="396">
      <c r="A396" s="7" t="n">
        <v>393</v>
      </c>
      <c r="B396" s="8" t="inlineStr">
        <is>
          <t xml:space="preserve">      "materials": [],</t>
        </is>
      </c>
    </row>
    <row r="397">
      <c r="A397" s="9" t="n">
        <v>394</v>
      </c>
      <c r="B397" s="10" t="inlineStr">
        <is>
          <t xml:space="preserve">      "colors": [],</t>
        </is>
      </c>
    </row>
    <row r="398">
      <c r="A398" s="7" t="n">
        <v>395</v>
      </c>
      <c r="B398" s="8" t="inlineStr">
        <is>
          <t xml:space="preserve">      "actions": [</t>
        </is>
      </c>
    </row>
    <row r="399">
      <c r="A399" s="9" t="n">
        <v>396</v>
      </c>
      <c r="B399" s="10" t="inlineStr">
        <is>
          <t xml:space="preserve">        "收纳"</t>
        </is>
      </c>
    </row>
    <row r="400">
      <c r="A400" s="7" t="n">
        <v>397</v>
      </c>
      <c r="B400" s="8" t="inlineStr">
        <is>
          <t xml:space="preserve">      ],</t>
        </is>
      </c>
    </row>
    <row r="401">
      <c r="A401" s="9" t="n">
        <v>398</v>
      </c>
      <c r="B401" s="10" t="inlineStr">
        <is>
          <t xml:space="preserve">      "raw_tags": [</t>
        </is>
      </c>
    </row>
    <row r="402">
      <c r="A402" s="7" t="n">
        <v>399</v>
      </c>
      <c r="B402" s="8" t="inlineStr">
        <is>
          <t xml:space="preserve">        "现代极简风岛台",</t>
        </is>
      </c>
    </row>
    <row r="403">
      <c r="A403" s="9" t="n">
        <v>400</v>
      </c>
      <c r="B403" s="10" t="inlineStr">
        <is>
          <t xml:space="preserve">        "岛台上层收纳层"</t>
        </is>
      </c>
    </row>
    <row r="404">
      <c r="A404" s="7" t="n">
        <v>401</v>
      </c>
      <c r="B404" s="8" t="inlineStr">
        <is>
          <t xml:space="preserve">      ],</t>
        </is>
      </c>
    </row>
    <row r="405">
      <c r="A405" s="9" t="n">
        <v>402</v>
      </c>
      <c r="B405" s="10" t="inlineStr">
        <is>
          <t xml:space="preserve">      "quality_score": 1.0,</t>
        </is>
      </c>
    </row>
    <row r="406">
      <c r="A406" s="7" t="n">
        <v>403</v>
      </c>
      <c r="B406" s="8" t="inlineStr">
        <is>
          <t xml:space="preserve">      "processed_time": "2026-06-07T14:46:18.576543",</t>
        </is>
      </c>
    </row>
    <row r="407">
      <c r="A407" s="9" t="n">
        <v>404</v>
      </c>
      <c r="B407" s="10" t="inlineStr">
        <is>
          <t xml:space="preserve">      "file_size_mb": 24.73,</t>
        </is>
      </c>
    </row>
    <row r="408">
      <c r="A408" s="7" t="n">
        <v>405</v>
      </c>
      <c r="B408" s="8" t="inlineStr">
        <is>
          <t xml:space="preserve">      "file_mtime": "2026-01-12T14:46:45.212073"</t>
        </is>
      </c>
    </row>
    <row r="409">
      <c r="A409" s="9" t="n">
        <v>406</v>
      </c>
      <c r="B409" s="10" t="inlineStr">
        <is>
          <t xml:space="preserve">    },</t>
        </is>
      </c>
    </row>
    <row r="410">
      <c r="A410" s="7" t="n">
        <v>407</v>
      </c>
      <c r="B410" s="8" t="inlineStr">
        <is>
          <t xml:space="preserve">    "a3b5d4a2667c1cc3": {</t>
        </is>
      </c>
    </row>
    <row r="411">
      <c r="A411" s="9" t="n">
        <v>408</v>
      </c>
      <c r="B411" s="10" t="inlineStr">
        <is>
          <t xml:space="preserve">      "path": "Z:\\已处理素材\\卖点展示类素材\\【01】上层薄抽\\  【76】【威水尼奶油+艾米利亚棕】山东刘小姐【岛台上层薄抽收纳层】\\  【76】【威水尼奶油+艾米利亚棕】山东刘小姐【岛台上层薄抽收纳层】-1.mp4",</t>
        </is>
      </c>
    </row>
    <row r="412">
      <c r="A412" s="7" t="n">
        <v>409</v>
      </c>
      <c r="B412" s="8" t="inlineStr">
        <is>
          <t xml:space="preserve">      "file_hash": "a3b5d4a2667c1cc3",</t>
        </is>
      </c>
    </row>
    <row r="413">
      <c r="A413" s="9" t="n">
        <v>410</v>
      </c>
      <c r="B413" s="10" t="inlineStr">
        <is>
          <t xml:space="preserve">      "type": "卖点",</t>
        </is>
      </c>
    </row>
    <row r="414">
      <c r="A414" s="7" t="n">
        <v>411</v>
      </c>
      <c r="B414" s="8" t="inlineStr">
        <is>
          <t xml:space="preserve">      "main_tag": "岛台上层薄抽收纳层",</t>
        </is>
      </c>
    </row>
    <row r="415">
      <c r="A415" s="9" t="n">
        <v>412</v>
      </c>
      <c r="B415" s="10" t="inlineStr">
        <is>
          <t xml:space="preserve">      "folder_name": "  【76】【威水尼奶油+艾米利亚棕】山东刘小姐【岛台上层薄抽收纳层】",</t>
        </is>
      </c>
    </row>
    <row r="416">
      <c r="A416" s="7" t="n">
        <v>413</v>
      </c>
      <c r="B416" s="8" t="inlineStr">
        <is>
          <t xml:space="preserve">      "materials": [</t>
        </is>
      </c>
    </row>
    <row r="417">
      <c r="A417" s="9" t="n">
        <v>414</v>
      </c>
      <c r="B417" s="10" t="inlineStr">
        <is>
          <t xml:space="preserve">        "威水尼"</t>
        </is>
      </c>
    </row>
    <row r="418">
      <c r="A418" s="7" t="n">
        <v>415</v>
      </c>
      <c r="B418" s="8" t="inlineStr">
        <is>
          <t xml:space="preserve">      ],</t>
        </is>
      </c>
    </row>
    <row r="419">
      <c r="A419" s="9" t="n">
        <v>416</v>
      </c>
      <c r="B419" s="10" t="inlineStr">
        <is>
          <t xml:space="preserve">      "colors": [],</t>
        </is>
      </c>
    </row>
    <row r="420">
      <c r="A420" s="7" t="n">
        <v>417</v>
      </c>
      <c r="B420" s="8" t="inlineStr">
        <is>
          <t xml:space="preserve">      "actions": [</t>
        </is>
      </c>
    </row>
    <row r="421">
      <c r="A421" s="9" t="n">
        <v>418</v>
      </c>
      <c r="B421" s="10" t="inlineStr">
        <is>
          <t xml:space="preserve">        "收纳"</t>
        </is>
      </c>
    </row>
    <row r="422">
      <c r="A422" s="7" t="n">
        <v>419</v>
      </c>
      <c r="B422" s="8" t="inlineStr">
        <is>
          <t xml:space="preserve">      ],</t>
        </is>
      </c>
    </row>
    <row r="423">
      <c r="A423" s="9" t="n">
        <v>420</v>
      </c>
      <c r="B423" s="10" t="inlineStr">
        <is>
          <t xml:space="preserve">      "raw_tags": [</t>
        </is>
      </c>
    </row>
    <row r="424">
      <c r="A424" s="7" t="n">
        <v>421</v>
      </c>
      <c r="B424" s="8" t="inlineStr">
        <is>
          <t xml:space="preserve">        "岛台上层薄抽收纳层"</t>
        </is>
      </c>
    </row>
    <row r="425">
      <c r="A425" s="9" t="n">
        <v>422</v>
      </c>
      <c r="B425" s="10" t="inlineStr">
        <is>
          <t xml:space="preserve">      ],</t>
        </is>
      </c>
    </row>
    <row r="426">
      <c r="A426" s="7" t="n">
        <v>423</v>
      </c>
      <c r="B426" s="8" t="inlineStr">
        <is>
          <t xml:space="preserve">      "quality_score": 1.0,</t>
        </is>
      </c>
    </row>
    <row r="427">
      <c r="A427" s="9" t="n">
        <v>424</v>
      </c>
      <c r="B427" s="10" t="inlineStr">
        <is>
          <t xml:space="preserve">      "processed_time": "2026-06-07T14:46:18.577539",</t>
        </is>
      </c>
    </row>
    <row r="428">
      <c r="A428" s="7" t="n">
        <v>425</v>
      </c>
      <c r="B428" s="8" t="inlineStr">
        <is>
          <t xml:space="preserve">      "file_size_mb": 11.56,</t>
        </is>
      </c>
    </row>
    <row r="429">
      <c r="A429" s="9" t="n">
        <v>426</v>
      </c>
      <c r="B429" s="10" t="inlineStr">
        <is>
          <t xml:space="preserve">      "file_mtime": "2026-01-13T16:18:07.683584"</t>
        </is>
      </c>
    </row>
    <row r="430">
      <c r="A430" s="7" t="n">
        <v>427</v>
      </c>
      <c r="B430" s="8" t="inlineStr">
        <is>
          <t xml:space="preserve">    },</t>
        </is>
      </c>
    </row>
    <row r="431">
      <c r="A431" s="9" t="n">
        <v>428</v>
      </c>
      <c r="B431" s="10" t="inlineStr">
        <is>
          <t xml:space="preserve">    "e45ebde053072688": {</t>
        </is>
      </c>
    </row>
    <row r="432">
      <c r="A432" s="7" t="n">
        <v>429</v>
      </c>
      <c r="B432" s="8" t="inlineStr">
        <is>
          <t xml:space="preserve">      "path": "Z:\\已处理素材\\卖点展示类素材\\【01】上层薄抽\\  【76】【威水尼奶油+艾米利亚棕】山东刘小姐【岛台上层薄抽收纳层】\\  【76】【威水尼奶油+艾米利亚棕】山东刘小姐【岛台上层薄抽收纳层】-2.mp4",</t>
        </is>
      </c>
    </row>
    <row r="433">
      <c r="A433" s="9" t="n">
        <v>430</v>
      </c>
      <c r="B433" s="10" t="inlineStr">
        <is>
          <t xml:space="preserve">      "file_hash": "e45ebde053072688",</t>
        </is>
      </c>
    </row>
    <row r="434">
      <c r="A434" s="7" t="n">
        <v>431</v>
      </c>
      <c r="B434" s="8" t="inlineStr">
        <is>
          <t xml:space="preserve">      "type": "卖点",</t>
        </is>
      </c>
    </row>
    <row r="435">
      <c r="A435" s="9" t="n">
        <v>432</v>
      </c>
      <c r="B435" s="10" t="inlineStr">
        <is>
          <t xml:space="preserve">      "main_tag": "岛台上层薄抽收纳层",</t>
        </is>
      </c>
    </row>
    <row r="436">
      <c r="A436" s="7" t="n">
        <v>433</v>
      </c>
      <c r="B436" s="8" t="inlineStr">
        <is>
          <t xml:space="preserve">      "folder_name": "  【76】【威水尼奶油+艾米利亚棕】山东刘小姐【岛台上层薄抽收纳层】",</t>
        </is>
      </c>
    </row>
    <row r="437">
      <c r="A437" s="9" t="n">
        <v>434</v>
      </c>
      <c r="B437" s="10" t="inlineStr">
        <is>
          <t xml:space="preserve">      "materials": [</t>
        </is>
      </c>
    </row>
    <row r="438">
      <c r="A438" s="7" t="n">
        <v>435</v>
      </c>
      <c r="B438" s="8" t="inlineStr">
        <is>
          <t xml:space="preserve">        "威水尼"</t>
        </is>
      </c>
    </row>
    <row r="439">
      <c r="A439" s="9" t="n">
        <v>436</v>
      </c>
      <c r="B439" s="10" t="inlineStr">
        <is>
          <t xml:space="preserve">      ],</t>
        </is>
      </c>
    </row>
    <row r="440">
      <c r="A440" s="7" t="n">
        <v>437</v>
      </c>
      <c r="B440" s="8" t="inlineStr">
        <is>
          <t xml:space="preserve">      "colors": [],</t>
        </is>
      </c>
    </row>
    <row r="441">
      <c r="A441" s="9" t="n">
        <v>438</v>
      </c>
      <c r="B441" s="10" t="inlineStr">
        <is>
          <t xml:space="preserve">      "actions": [</t>
        </is>
      </c>
    </row>
    <row r="442">
      <c r="A442" s="7" t="n">
        <v>439</v>
      </c>
      <c r="B442" s="8" t="inlineStr">
        <is>
          <t xml:space="preserve">        "收纳"</t>
        </is>
      </c>
    </row>
    <row r="443">
      <c r="A443" s="9" t="n">
        <v>440</v>
      </c>
      <c r="B443" s="10" t="inlineStr">
        <is>
          <t xml:space="preserve">      ],</t>
        </is>
      </c>
    </row>
    <row r="444">
      <c r="A444" s="7" t="n">
        <v>441</v>
      </c>
      <c r="B444" s="8" t="inlineStr">
        <is>
          <t xml:space="preserve">      "raw_tags": [</t>
        </is>
      </c>
    </row>
    <row r="445">
      <c r="A445" s="9" t="n">
        <v>442</v>
      </c>
      <c r="B445" s="10" t="inlineStr">
        <is>
          <t xml:space="preserve">        "岛台上层薄抽收纳层"</t>
        </is>
      </c>
    </row>
    <row r="446">
      <c r="A446" s="7" t="n">
        <v>443</v>
      </c>
      <c r="B446" s="8" t="inlineStr">
        <is>
          <t xml:space="preserve">      ],</t>
        </is>
      </c>
    </row>
    <row r="447">
      <c r="A447" s="9" t="n">
        <v>444</v>
      </c>
      <c r="B447" s="10" t="inlineStr">
        <is>
          <t xml:space="preserve">      "quality_score": 1.0,</t>
        </is>
      </c>
    </row>
    <row r="448">
      <c r="A448" s="7" t="n">
        <v>445</v>
      </c>
      <c r="B448" s="8" t="inlineStr">
        <is>
          <t xml:space="preserve">      "processed_time": "2026-06-07T14:46:18.578536",</t>
        </is>
      </c>
    </row>
    <row r="449">
      <c r="A449" s="9" t="n">
        <v>446</v>
      </c>
      <c r="B449" s="10" t="inlineStr">
        <is>
          <t xml:space="preserve">      "file_size_mb": 15.27,</t>
        </is>
      </c>
    </row>
    <row r="450">
      <c r="A450" s="7" t="n">
        <v>447</v>
      </c>
      <c r="B450" s="8" t="inlineStr">
        <is>
          <t xml:space="preserve">      "file_mtime": "2026-01-13T16:18:09.386589"</t>
        </is>
      </c>
    </row>
    <row r="451">
      <c r="A451" s="9" t="n">
        <v>448</v>
      </c>
      <c r="B451" s="10" t="inlineStr">
        <is>
          <t xml:space="preserve">    },</t>
        </is>
      </c>
    </row>
    <row r="452">
      <c r="A452" s="7" t="n">
        <v>449</v>
      </c>
      <c r="B452" s="8" t="inlineStr">
        <is>
          <t xml:space="preserve">    "1254ebaa9f6355de": {</t>
        </is>
      </c>
    </row>
    <row r="453">
      <c r="A453" s="9" t="n">
        <v>450</v>
      </c>
      <c r="B453" s="10" t="inlineStr">
        <is>
          <t xml:space="preserve">      "path": "Z:\\已处理素材\\卖点展示类素材\\【01】上层薄抽\\  【76】【威水尼奶油+艾米利亚棕】山东刘小姐【岛台上层薄抽收纳层】\\  【76】【威水尼奶油+艾米利亚棕】山东刘小姐【岛台上层薄抽收纳层】-3.mp4",</t>
        </is>
      </c>
    </row>
    <row r="454">
      <c r="A454" s="7" t="n">
        <v>451</v>
      </c>
      <c r="B454" s="8" t="inlineStr">
        <is>
          <t xml:space="preserve">      "file_hash": "1254ebaa9f6355de",</t>
        </is>
      </c>
    </row>
    <row r="455">
      <c r="A455" s="9" t="n">
        <v>452</v>
      </c>
      <c r="B455" s="10" t="inlineStr">
        <is>
          <t xml:space="preserve">      "type": "卖点",</t>
        </is>
      </c>
    </row>
    <row r="456">
      <c r="A456" s="7" t="n">
        <v>453</v>
      </c>
      <c r="B456" s="8" t="inlineStr">
        <is>
          <t xml:space="preserve">      "main_tag": "岛台上层薄抽收纳层",</t>
        </is>
      </c>
    </row>
    <row r="457">
      <c r="A457" s="9" t="n">
        <v>454</v>
      </c>
      <c r="B457" s="10" t="inlineStr">
        <is>
          <t xml:space="preserve">      "folder_name": "  【76】【威水尼奶油+艾米利亚棕】山东刘小姐【岛台上层薄抽收纳层】",</t>
        </is>
      </c>
    </row>
    <row r="458">
      <c r="A458" s="7" t="n">
        <v>455</v>
      </c>
      <c r="B458" s="8" t="inlineStr">
        <is>
          <t xml:space="preserve">      "materials": [</t>
        </is>
      </c>
    </row>
    <row r="459">
      <c r="A459" s="9" t="n">
        <v>456</v>
      </c>
      <c r="B459" s="10" t="inlineStr">
        <is>
          <t xml:space="preserve">        "威水尼"</t>
        </is>
      </c>
    </row>
    <row r="460">
      <c r="A460" s="7" t="n">
        <v>457</v>
      </c>
      <c r="B460" s="8" t="inlineStr">
        <is>
          <t xml:space="preserve">      ],</t>
        </is>
      </c>
    </row>
    <row r="461">
      <c r="A461" s="9" t="n">
        <v>458</v>
      </c>
      <c r="B461" s="10" t="inlineStr">
        <is>
          <t xml:space="preserve">      "colors": [],</t>
        </is>
      </c>
    </row>
    <row r="462">
      <c r="A462" s="7" t="n">
        <v>459</v>
      </c>
      <c r="B462" s="8" t="inlineStr">
        <is>
          <t xml:space="preserve">      "actions": [</t>
        </is>
      </c>
    </row>
    <row r="463">
      <c r="A463" s="9" t="n">
        <v>460</v>
      </c>
      <c r="B463" s="10" t="inlineStr">
        <is>
          <t xml:space="preserve">        "收纳"</t>
        </is>
      </c>
    </row>
    <row r="464">
      <c r="A464" s="7" t="n">
        <v>461</v>
      </c>
      <c r="B464" s="8" t="inlineStr">
        <is>
          <t xml:space="preserve">      ],</t>
        </is>
      </c>
    </row>
    <row r="465">
      <c r="A465" s="9" t="n">
        <v>462</v>
      </c>
      <c r="B465" s="10" t="inlineStr">
        <is>
          <t xml:space="preserve">      "raw_tags": [</t>
        </is>
      </c>
    </row>
    <row r="466">
      <c r="A466" s="7" t="n">
        <v>463</v>
      </c>
      <c r="B466" s="8" t="inlineStr">
        <is>
          <t xml:space="preserve">        "岛台上层薄抽收纳层"</t>
        </is>
      </c>
    </row>
    <row r="467">
      <c r="A467" s="9" t="n">
        <v>464</v>
      </c>
      <c r="B467" s="10" t="inlineStr">
        <is>
          <t xml:space="preserve">      ],</t>
        </is>
      </c>
    </row>
    <row r="468">
      <c r="A468" s="7" t="n">
        <v>465</v>
      </c>
      <c r="B468" s="8" t="inlineStr">
        <is>
          <t xml:space="preserve">      "quality_score": 1.0,</t>
        </is>
      </c>
    </row>
    <row r="469">
      <c r="A469" s="9" t="n">
        <v>466</v>
      </c>
      <c r="B469" s="10" t="inlineStr">
        <is>
          <t xml:space="preserve">      "processed_time": "2026-06-07T14:46:18.580529",</t>
        </is>
      </c>
    </row>
    <row r="470">
      <c r="A470" s="7" t="n">
        <v>467</v>
      </c>
      <c r="B470" s="8" t="inlineStr">
        <is>
          <t xml:space="preserve">      "file_size_mb": 13.32,</t>
        </is>
      </c>
    </row>
    <row r="471">
      <c r="A471" s="9" t="n">
        <v>468</v>
      </c>
      <c r="B471" s="10" t="inlineStr">
        <is>
          <t xml:space="preserve">      "file_mtime": "2026-01-13T16:18:10.792869"</t>
        </is>
      </c>
    </row>
    <row r="472">
      <c r="A472" s="7" t="n">
        <v>469</v>
      </c>
      <c r="B472" s="8" t="inlineStr">
        <is>
          <t xml:space="preserve">    },</t>
        </is>
      </c>
    </row>
    <row r="473">
      <c r="A473" s="9" t="n">
        <v>470</v>
      </c>
      <c r="B473" s="10" t="inlineStr">
        <is>
          <t xml:space="preserve">    "776a87a01acdce03": {</t>
        </is>
      </c>
    </row>
    <row r="474">
      <c r="A474" s="7" t="n">
        <v>471</v>
      </c>
      <c r="B474" s="8" t="inlineStr">
        <is>
          <t xml:space="preserve">      "path": "Z:\\已处理素材\\卖点展示类素材\\【01】上层薄抽\\  【76】【威水尼奶油+艾米利亚棕】山东刘小姐【岛台上层薄抽收纳层】\\  【76】【威水尼奶油+艾米利亚棕】山东刘小姐【岛台上层薄抽收纳层】-4.mp4",</t>
        </is>
      </c>
    </row>
    <row r="475">
      <c r="A475" s="9" t="n">
        <v>472</v>
      </c>
      <c r="B475" s="10" t="inlineStr">
        <is>
          <t xml:space="preserve">      "file_hash": "776a87a01acdce03",</t>
        </is>
      </c>
    </row>
    <row r="476">
      <c r="A476" s="7" t="n">
        <v>473</v>
      </c>
      <c r="B476" s="8" t="inlineStr">
        <is>
          <t xml:space="preserve">      "type": "卖点",</t>
        </is>
      </c>
    </row>
    <row r="477">
      <c r="A477" s="9" t="n">
        <v>474</v>
      </c>
      <c r="B477" s="10" t="inlineStr">
        <is>
          <t xml:space="preserve">      "main_tag": "岛台上层薄抽收纳层",</t>
        </is>
      </c>
    </row>
    <row r="478">
      <c r="A478" s="7" t="n">
        <v>475</v>
      </c>
      <c r="B478" s="8" t="inlineStr">
        <is>
          <t xml:space="preserve">      "folder_name": "  【76】【威水尼奶油+艾米利亚棕】山东刘小姐【岛台上层薄抽收纳层】",</t>
        </is>
      </c>
    </row>
    <row r="479">
      <c r="A479" s="9" t="n">
        <v>476</v>
      </c>
      <c r="B479" s="10" t="inlineStr">
        <is>
          <t xml:space="preserve">      "materials": [</t>
        </is>
      </c>
    </row>
    <row r="480">
      <c r="A480" s="7" t="n">
        <v>477</v>
      </c>
      <c r="B480" s="8" t="inlineStr">
        <is>
          <t xml:space="preserve">        "威水尼"</t>
        </is>
      </c>
    </row>
    <row r="481">
      <c r="A481" s="9" t="n">
        <v>478</v>
      </c>
      <c r="B481" s="10" t="inlineStr">
        <is>
          <t xml:space="preserve">      ],</t>
        </is>
      </c>
    </row>
    <row r="482">
      <c r="A482" s="7" t="n">
        <v>479</v>
      </c>
      <c r="B482" s="8" t="inlineStr">
        <is>
          <t xml:space="preserve">      "colors": [],</t>
        </is>
      </c>
    </row>
    <row r="483">
      <c r="A483" s="9" t="n">
        <v>480</v>
      </c>
      <c r="B483" s="10" t="inlineStr">
        <is>
          <t xml:space="preserve">      "actions": [</t>
        </is>
      </c>
    </row>
    <row r="484">
      <c r="A484" s="7" t="n">
        <v>481</v>
      </c>
      <c r="B484" s="8" t="inlineStr">
        <is>
          <t xml:space="preserve">        "收纳"</t>
        </is>
      </c>
    </row>
    <row r="485">
      <c r="A485" s="9" t="n">
        <v>482</v>
      </c>
      <c r="B485" s="10" t="inlineStr">
        <is>
          <t xml:space="preserve">      ],</t>
        </is>
      </c>
    </row>
    <row r="486">
      <c r="A486" s="7" t="n">
        <v>483</v>
      </c>
      <c r="B486" s="8" t="inlineStr">
        <is>
          <t xml:space="preserve">      "raw_tags": [</t>
        </is>
      </c>
    </row>
    <row r="487">
      <c r="A487" s="9" t="n">
        <v>484</v>
      </c>
      <c r="B487" s="10" t="inlineStr">
        <is>
          <t xml:space="preserve">        "岛台上层薄抽收纳层"</t>
        </is>
      </c>
    </row>
    <row r="488">
      <c r="A488" s="7" t="n">
        <v>485</v>
      </c>
      <c r="B488" s="8" t="inlineStr">
        <is>
          <t xml:space="preserve">      ],</t>
        </is>
      </c>
    </row>
    <row r="489">
      <c r="A489" s="9" t="n">
        <v>486</v>
      </c>
      <c r="B489" s="10" t="inlineStr">
        <is>
          <t xml:space="preserve">      "quality_score": 1.0,</t>
        </is>
      </c>
    </row>
    <row r="490">
      <c r="A490" s="7" t="n">
        <v>487</v>
      </c>
      <c r="B490" s="8" t="inlineStr">
        <is>
          <t xml:space="preserve">      "processed_time": "2026-06-07T14:46:18.581526",</t>
        </is>
      </c>
    </row>
    <row r="491">
      <c r="A491" s="9" t="n">
        <v>488</v>
      </c>
      <c r="B491" s="10" t="inlineStr">
        <is>
          <t xml:space="preserve">      "file_size_mb": 13.65,</t>
        </is>
      </c>
    </row>
    <row r="492">
      <c r="A492" s="7" t="n">
        <v>489</v>
      </c>
      <c r="B492" s="8" t="inlineStr">
        <is>
          <t xml:space="preserve">      "file_mtime": "2026-01-13T16:18:12.183380"</t>
        </is>
      </c>
    </row>
    <row r="493">
      <c r="A493" s="9" t="n">
        <v>490</v>
      </c>
      <c r="B493" s="10" t="inlineStr">
        <is>
          <t xml:space="preserve">    },</t>
        </is>
      </c>
    </row>
    <row r="494">
      <c r="A494" s="7" t="n">
        <v>491</v>
      </c>
      <c r="B494" s="8" t="inlineStr">
        <is>
          <t xml:space="preserve">    "abacdbe9e0657add": {</t>
        </is>
      </c>
    </row>
    <row r="495">
      <c r="A495" s="9" t="n">
        <v>492</v>
      </c>
      <c r="B495" s="10" t="inlineStr">
        <is>
          <t xml:space="preserve">      "path": "Z:\\已处理素材\\卖点展示类素材\\【01】上层薄抽\\ 【127】【骑士黑+北美黑胡桃】上海周先生【岛台岛台上层薄抽收纳层】\\ 【127】【骑士黑+北美黑胡桃】上海周先生【岛台岛台上层薄抽收纳层】-1.mp4",</t>
        </is>
      </c>
    </row>
    <row r="496">
      <c r="A496" s="7" t="n">
        <v>493</v>
      </c>
      <c r="B496" s="8" t="inlineStr">
        <is>
          <t xml:space="preserve">      "file_hash": "abacdbe9e0657add",</t>
        </is>
      </c>
    </row>
    <row r="497">
      <c r="A497" s="9" t="n">
        <v>494</v>
      </c>
      <c r="B497" s="10" t="inlineStr">
        <is>
          <t xml:space="preserve">      "type": "卖点",</t>
        </is>
      </c>
    </row>
    <row r="498">
      <c r="A498" s="7" t="n">
        <v>495</v>
      </c>
      <c r="B498" s="8" t="inlineStr">
        <is>
          <t xml:space="preserve">      "main_tag": "岛台岛台上层薄抽收纳层",</t>
        </is>
      </c>
    </row>
    <row r="499">
      <c r="A499" s="9" t="n">
        <v>496</v>
      </c>
      <c r="B499" s="10" t="inlineStr">
        <is>
          <t xml:space="preserve">      "folder_name": " 【127】【骑士黑+北美黑胡桃】上海周先生【岛台岛台上层薄抽收纳层】",</t>
        </is>
      </c>
    </row>
    <row r="500">
      <c r="A500" s="7" t="n">
        <v>497</v>
      </c>
      <c r="B500" s="8" t="inlineStr">
        <is>
          <t xml:space="preserve">      "materials": [</t>
        </is>
      </c>
    </row>
    <row r="501">
      <c r="A501" s="9" t="n">
        <v>498</v>
      </c>
      <c r="B501" s="10" t="inlineStr">
        <is>
          <t xml:space="preserve">        "骑士黑",</t>
        </is>
      </c>
    </row>
    <row r="502">
      <c r="A502" s="7" t="n">
        <v>499</v>
      </c>
      <c r="B502" s="8" t="inlineStr">
        <is>
          <t xml:space="preserve">        "胡桃",</t>
        </is>
      </c>
    </row>
    <row r="503">
      <c r="A503" s="9" t="n">
        <v>500</v>
      </c>
      <c r="B503" s="10" t="inlineStr">
        <is>
          <t xml:space="preserve">        "黑胡桃",</t>
        </is>
      </c>
    </row>
    <row r="504">
      <c r="A504" s="7" t="n">
        <v>501</v>
      </c>
      <c r="B504" s="8" t="inlineStr">
        <is>
          <t xml:space="preserve">        "北美黑胡桃"</t>
        </is>
      </c>
    </row>
    <row r="505">
      <c r="A505" s="9" t="n">
        <v>502</v>
      </c>
      <c r="B505" s="10" t="inlineStr">
        <is>
          <t xml:space="preserve">      ],</t>
        </is>
      </c>
    </row>
    <row r="506">
      <c r="A506" s="7" t="n">
        <v>503</v>
      </c>
      <c r="B506" s="8" t="inlineStr">
        <is>
          <t xml:space="preserve">      "colors": [</t>
        </is>
      </c>
    </row>
    <row r="507">
      <c r="A507" s="9" t="n">
        <v>504</v>
      </c>
      <c r="B507" s="10" t="inlineStr">
        <is>
          <t xml:space="preserve">        "骑士黑"</t>
        </is>
      </c>
    </row>
    <row r="508">
      <c r="A508" s="7" t="n">
        <v>505</v>
      </c>
      <c r="B508" s="8" t="inlineStr">
        <is>
          <t xml:space="preserve">      ],</t>
        </is>
      </c>
    </row>
    <row r="509">
      <c r="A509" s="9" t="n">
        <v>506</v>
      </c>
      <c r="B509" s="10" t="inlineStr">
        <is>
          <t xml:space="preserve">      "actions": [</t>
        </is>
      </c>
    </row>
    <row r="510">
      <c r="A510" s="7" t="n">
        <v>507</v>
      </c>
      <c r="B510" s="8" t="inlineStr">
        <is>
          <t xml:space="preserve">        "收纳"</t>
        </is>
      </c>
    </row>
    <row r="511">
      <c r="A511" s="9" t="n">
        <v>508</v>
      </c>
      <c r="B511" s="10" t="inlineStr">
        <is>
          <t xml:space="preserve">      ],</t>
        </is>
      </c>
    </row>
    <row r="512">
      <c r="A512" s="7" t="n">
        <v>509</v>
      </c>
      <c r="B512" s="8" t="inlineStr">
        <is>
          <t xml:space="preserve">      "raw_tags": [</t>
        </is>
      </c>
    </row>
    <row r="513">
      <c r="A513" s="9" t="n">
        <v>510</v>
      </c>
      <c r="B513" s="10" t="inlineStr">
        <is>
          <t xml:space="preserve">        "岛台岛台上层薄抽收纳层"</t>
        </is>
      </c>
    </row>
    <row r="514">
      <c r="A514" s="7" t="n">
        <v>511</v>
      </c>
      <c r="B514" s="8" t="inlineStr">
        <is>
          <t xml:space="preserve">      ],</t>
        </is>
      </c>
    </row>
    <row r="515">
      <c r="A515" s="9" t="n">
        <v>512</v>
      </c>
      <c r="B515" s="10" t="inlineStr">
        <is>
          <t xml:space="preserve">      "quality_score": 1.0,</t>
        </is>
      </c>
    </row>
    <row r="516">
      <c r="A516" s="7" t="n">
        <v>513</v>
      </c>
      <c r="B516" s="8" t="inlineStr">
        <is>
          <t xml:space="preserve">      "processed_time": "2026-06-07T14:46:18.582522",</t>
        </is>
      </c>
    </row>
    <row r="517">
      <c r="A517" s="9" t="n">
        <v>514</v>
      </c>
      <c r="B517" s="10" t="inlineStr">
        <is>
          <t xml:space="preserve">      "file_size_mb": 26.57,</t>
        </is>
      </c>
    </row>
    <row r="518">
      <c r="A518" s="7" t="n">
        <v>515</v>
      </c>
      <c r="B518" s="8" t="inlineStr">
        <is>
          <t xml:space="preserve">      "file_mtime": "2026-01-19T15:44:54.659110"</t>
        </is>
      </c>
    </row>
    <row r="519">
      <c r="A519" s="9" t="n">
        <v>516</v>
      </c>
      <c r="B519" s="10" t="inlineStr">
        <is>
          <t xml:space="preserve">    },</t>
        </is>
      </c>
    </row>
    <row r="520">
      <c r="A520" s="7" t="n">
        <v>517</v>
      </c>
      <c r="B520" s="8" t="inlineStr">
        <is>
          <t xml:space="preserve">    "d97d82ff51001727": {</t>
        </is>
      </c>
    </row>
    <row r="521">
      <c r="A521" s="9" t="n">
        <v>518</v>
      </c>
      <c r="B521" s="10" t="inlineStr">
        <is>
          <t xml:space="preserve">      "path": "Z:\\已处理素材\\卖点展示类素材\\【01】上层薄抽\\ 【14】【黑白简约风】江苏殷先生【岛台上层收纳层展示】【铁牛】\\ 【14】【黑白简约风】江苏殷先生【岛台上层收纳层展示】【铁牛】-1.mp4",</t>
        </is>
      </c>
    </row>
    <row r="522">
      <c r="A522" s="7" t="n">
        <v>519</v>
      </c>
      <c r="B522" s="8" t="inlineStr">
        <is>
          <t xml:space="preserve">      "file_hash": "d97d82ff51001727",</t>
        </is>
      </c>
    </row>
    <row r="523">
      <c r="A523" s="9" t="n">
        <v>520</v>
      </c>
      <c r="B523" s="10" t="inlineStr">
        <is>
          <t xml:space="preserve">      "type": "卖点",</t>
        </is>
      </c>
    </row>
    <row r="524">
      <c r="A524" s="7" t="n">
        <v>521</v>
      </c>
      <c r="B524" s="8" t="inlineStr">
        <is>
          <t xml:space="preserve">      "main_tag": "黑白简约风",</t>
        </is>
      </c>
    </row>
    <row r="525">
      <c r="A525" s="9" t="n">
        <v>522</v>
      </c>
      <c r="B525" s="10" t="inlineStr">
        <is>
          <t xml:space="preserve">      "folder_name": " 【14】【黑白简约风】江苏殷先生【岛台上层收纳层展示】【铁牛】",</t>
        </is>
      </c>
    </row>
    <row r="526">
      <c r="A526" s="7" t="n">
        <v>523</v>
      </c>
      <c r="B526" s="8" t="inlineStr">
        <is>
          <t xml:space="preserve">      "materials": [],</t>
        </is>
      </c>
    </row>
    <row r="527">
      <c r="A527" s="9" t="n">
        <v>524</v>
      </c>
      <c r="B527" s="10" t="inlineStr">
        <is>
          <t xml:space="preserve">      "colors": [],</t>
        </is>
      </c>
    </row>
    <row r="528">
      <c r="A528" s="7" t="n">
        <v>525</v>
      </c>
      <c r="B528" s="8" t="inlineStr">
        <is>
          <t xml:space="preserve">      "actions": [</t>
        </is>
      </c>
    </row>
    <row r="529">
      <c r="A529" s="9" t="n">
        <v>526</v>
      </c>
      <c r="B529" s="10" t="inlineStr">
        <is>
          <t xml:space="preserve">        "展示",</t>
        </is>
      </c>
    </row>
    <row r="530">
      <c r="A530" s="7" t="n">
        <v>527</v>
      </c>
      <c r="B530" s="8" t="inlineStr">
        <is>
          <t xml:space="preserve">        "收纳"</t>
        </is>
      </c>
    </row>
    <row r="531">
      <c r="A531" s="9" t="n">
        <v>528</v>
      </c>
      <c r="B531" s="10" t="inlineStr">
        <is>
          <t xml:space="preserve">      ],</t>
        </is>
      </c>
    </row>
    <row r="532">
      <c r="A532" s="7" t="n">
        <v>529</v>
      </c>
      <c r="B532" s="8" t="inlineStr">
        <is>
          <t xml:space="preserve">      "raw_tags": [</t>
        </is>
      </c>
    </row>
    <row r="533">
      <c r="A533" s="9" t="n">
        <v>530</v>
      </c>
      <c r="B533" s="10" t="inlineStr">
        <is>
          <t xml:space="preserve">        "黑白简约风",</t>
        </is>
      </c>
    </row>
    <row r="534">
      <c r="A534" s="7" t="n">
        <v>531</v>
      </c>
      <c r="B534" s="8" t="inlineStr">
        <is>
          <t xml:space="preserve">        "岛台上层收纳层展示",</t>
        </is>
      </c>
    </row>
    <row r="535">
      <c r="A535" s="9" t="n">
        <v>532</v>
      </c>
      <c r="B535" s="10" t="inlineStr">
        <is>
          <t xml:space="preserve">        "铁牛"</t>
        </is>
      </c>
    </row>
    <row r="536">
      <c r="A536" s="7" t="n">
        <v>533</v>
      </c>
      <c r="B536" s="8" t="inlineStr">
        <is>
          <t xml:space="preserve">      ],</t>
        </is>
      </c>
    </row>
    <row r="537">
      <c r="A537" s="9" t="n">
        <v>534</v>
      </c>
      <c r="B537" s="10" t="inlineStr">
        <is>
          <t xml:space="preserve">      "quality_score": 1.0,</t>
        </is>
      </c>
    </row>
    <row r="538">
      <c r="A538" s="7" t="n">
        <v>535</v>
      </c>
      <c r="B538" s="8" t="inlineStr">
        <is>
          <t xml:space="preserve">      "processed_time": "2026-06-07T14:46:18.583519",</t>
        </is>
      </c>
    </row>
    <row r="539">
      <c r="A539" s="9" t="n">
        <v>536</v>
      </c>
      <c r="B539" s="10" t="inlineStr">
        <is>
          <t xml:space="preserve">      "file_size_mb": 57.39,</t>
        </is>
      </c>
    </row>
    <row r="540">
      <c r="A540" s="7" t="n">
        <v>537</v>
      </c>
      <c r="B540" s="8" t="inlineStr">
        <is>
          <t xml:space="preserve">      "file_mtime": "2026-01-05T21:17:57.262060"</t>
        </is>
      </c>
    </row>
    <row r="541">
      <c r="A541" s="9" t="n">
        <v>538</v>
      </c>
      <c r="B541" s="10" t="inlineStr">
        <is>
          <t xml:space="preserve">    },</t>
        </is>
      </c>
    </row>
    <row r="542">
      <c r="A542" s="7" t="n">
        <v>539</v>
      </c>
      <c r="B542" s="8" t="inlineStr">
        <is>
          <t xml:space="preserve">    "20400272fc078057": {</t>
        </is>
      </c>
    </row>
    <row r="543">
      <c r="A543" s="9" t="n">
        <v>540</v>
      </c>
      <c r="B543" s="10" t="inlineStr">
        <is>
          <t xml:space="preserve">      "path": "Z:\\已处理素材\\卖点展示类素材\\【01】上层薄抽\\ 【14】【黑白简约风】江苏殷先生【岛台上层收纳层展示】【铁牛】\\ 【14】【黑白简约风】江苏殷先生【岛台上层收纳层展示】【铁牛】-2.mp4",</t>
        </is>
      </c>
    </row>
    <row r="544">
      <c r="A544" s="7" t="n">
        <v>541</v>
      </c>
      <c r="B544" s="8" t="inlineStr">
        <is>
          <t xml:space="preserve">      "file_hash": "20400272fc078057",</t>
        </is>
      </c>
    </row>
    <row r="545">
      <c r="A545" s="9" t="n">
        <v>542</v>
      </c>
      <c r="B545" s="10" t="inlineStr">
        <is>
          <t xml:space="preserve">      "type": "卖点",</t>
        </is>
      </c>
    </row>
    <row r="546">
      <c r="A546" s="7" t="n">
        <v>543</v>
      </c>
      <c r="B546" s="8" t="inlineStr">
        <is>
          <t xml:space="preserve">      "main_tag": "黑白简约风",</t>
        </is>
      </c>
    </row>
    <row r="547">
      <c r="A547" s="9" t="n">
        <v>544</v>
      </c>
      <c r="B547" s="10" t="inlineStr">
        <is>
          <t xml:space="preserve">      "folder_name": " 【14】【黑白简约风】江苏殷先生【岛台上层收纳层展示】【铁牛】",</t>
        </is>
      </c>
    </row>
    <row r="548">
      <c r="A548" s="7" t="n">
        <v>545</v>
      </c>
      <c r="B548" s="8" t="inlineStr">
        <is>
          <t xml:space="preserve">      "materials": [],</t>
        </is>
      </c>
    </row>
    <row r="549">
      <c r="A549" s="9" t="n">
        <v>546</v>
      </c>
      <c r="B549" s="10" t="inlineStr">
        <is>
          <t xml:space="preserve">      "colors": [],</t>
        </is>
      </c>
    </row>
    <row r="550">
      <c r="A550" s="7" t="n">
        <v>547</v>
      </c>
      <c r="B550" s="8" t="inlineStr">
        <is>
          <t xml:space="preserve">      "actions": [</t>
        </is>
      </c>
    </row>
    <row r="551">
      <c r="A551" s="9" t="n">
        <v>548</v>
      </c>
      <c r="B551" s="10" t="inlineStr">
        <is>
          <t xml:space="preserve">        "展示",</t>
        </is>
      </c>
    </row>
    <row r="552">
      <c r="A552" s="7" t="n">
        <v>549</v>
      </c>
      <c r="B552" s="8" t="inlineStr">
        <is>
          <t xml:space="preserve">        "收纳"</t>
        </is>
      </c>
    </row>
    <row r="553">
      <c r="A553" s="9" t="n">
        <v>550</v>
      </c>
      <c r="B553" s="10" t="inlineStr">
        <is>
          <t xml:space="preserve">      ],</t>
        </is>
      </c>
    </row>
    <row r="554">
      <c r="A554" s="7" t="n">
        <v>551</v>
      </c>
      <c r="B554" s="8" t="inlineStr">
        <is>
          <t xml:space="preserve">      "raw_tags": [</t>
        </is>
      </c>
    </row>
    <row r="555">
      <c r="A555" s="9" t="n">
        <v>552</v>
      </c>
      <c r="B555" s="10" t="inlineStr">
        <is>
          <t xml:space="preserve">        "黑白简约风",</t>
        </is>
      </c>
    </row>
    <row r="556">
      <c r="A556" s="7" t="n">
        <v>553</v>
      </c>
      <c r="B556" s="8" t="inlineStr">
        <is>
          <t xml:space="preserve">        "岛台上层收纳层展示",</t>
        </is>
      </c>
    </row>
    <row r="557">
      <c r="A557" s="9" t="n">
        <v>554</v>
      </c>
      <c r="B557" s="10" t="inlineStr">
        <is>
          <t xml:space="preserve">        "铁牛"</t>
        </is>
      </c>
    </row>
    <row r="558">
      <c r="A558" s="7" t="n">
        <v>555</v>
      </c>
      <c r="B558" s="8" t="inlineStr">
        <is>
          <t xml:space="preserve">      ],</t>
        </is>
      </c>
    </row>
    <row r="559">
      <c r="A559" s="9" t="n">
        <v>556</v>
      </c>
      <c r="B559" s="10" t="inlineStr">
        <is>
          <t xml:space="preserve">      "quality_score": 1.0,</t>
        </is>
      </c>
    </row>
    <row r="560">
      <c r="A560" s="7" t="n">
        <v>557</v>
      </c>
      <c r="B560" s="8" t="inlineStr">
        <is>
          <t xml:space="preserve">      "processed_time": "2026-06-07T14:46:18.584516",</t>
        </is>
      </c>
    </row>
    <row r="561">
      <c r="A561" s="9" t="n">
        <v>558</v>
      </c>
      <c r="B561" s="10" t="inlineStr">
        <is>
          <t xml:space="preserve">      "file_size_mb": 68.96,</t>
        </is>
      </c>
    </row>
    <row r="562">
      <c r="A562" s="7" t="n">
        <v>559</v>
      </c>
      <c r="B562" s="8" t="inlineStr">
        <is>
          <t xml:space="preserve">      "file_mtime": "2026-01-05T21:18:03.151516"</t>
        </is>
      </c>
    </row>
    <row r="563">
      <c r="A563" s="9" t="n">
        <v>560</v>
      </c>
      <c r="B563" s="10" t="inlineStr">
        <is>
          <t xml:space="preserve">    },</t>
        </is>
      </c>
    </row>
    <row r="564">
      <c r="A564" s="7" t="n">
        <v>561</v>
      </c>
      <c r="B564" s="8" t="inlineStr">
        <is>
          <t xml:space="preserve">    "c1eb4c0854291a51": {</t>
        </is>
      </c>
    </row>
    <row r="565">
      <c r="A565" s="9" t="n">
        <v>562</v>
      </c>
      <c r="B565" s="10" t="inlineStr">
        <is>
          <t xml:space="preserve">      "path": "Z:\\已处理素材\\卖点展示类素材\\【01】上层薄抽\\ 【29】【罗马洞石】四川刘女士【岛台上层薄抽收纳展示】【铁牛02】\\ 【29】【罗马洞石】四川刘女士【岛台上层薄抽收纳展示】【铁牛02】-1.mp4",</t>
        </is>
      </c>
    </row>
    <row r="566">
      <c r="A566" s="7" t="n">
        <v>563</v>
      </c>
      <c r="B566" s="8" t="inlineStr">
        <is>
          <t xml:space="preserve">      "file_hash": "c1eb4c0854291a51",</t>
        </is>
      </c>
    </row>
    <row r="567">
      <c r="A567" s="9" t="n">
        <v>564</v>
      </c>
      <c r="B567" s="10" t="inlineStr">
        <is>
          <t xml:space="preserve">      "type": "卖点",</t>
        </is>
      </c>
    </row>
    <row r="568">
      <c r="A568" s="7" t="n">
        <v>565</v>
      </c>
      <c r="B568" s="8" t="inlineStr">
        <is>
          <t xml:space="preserve">      "main_tag": "岛台上层薄抽收纳展示",</t>
        </is>
      </c>
    </row>
    <row r="569">
      <c r="A569" s="9" t="n">
        <v>566</v>
      </c>
      <c r="B569" s="10" t="inlineStr">
        <is>
          <t xml:space="preserve">      "folder_name": " 【29】【罗马洞石】四川刘女士【岛台上层薄抽收纳展示】【铁牛02】",</t>
        </is>
      </c>
    </row>
    <row r="570">
      <c r="A570" s="7" t="n">
        <v>567</v>
      </c>
      <c r="B570" s="8" t="inlineStr">
        <is>
          <t xml:space="preserve">      "materials": [</t>
        </is>
      </c>
    </row>
    <row r="571">
      <c r="A571" s="9" t="n">
        <v>568</v>
      </c>
      <c r="B571" s="10" t="inlineStr">
        <is>
          <t xml:space="preserve">        "洞石",</t>
        </is>
      </c>
    </row>
    <row r="572">
      <c r="A572" s="7" t="n">
        <v>569</v>
      </c>
      <c r="B572" s="8" t="inlineStr">
        <is>
          <t xml:space="preserve">        "罗马洞石"</t>
        </is>
      </c>
    </row>
    <row r="573">
      <c r="A573" s="9" t="n">
        <v>570</v>
      </c>
      <c r="B573" s="10" t="inlineStr">
        <is>
          <t xml:space="preserve">      ],</t>
        </is>
      </c>
    </row>
    <row r="574">
      <c r="A574" s="7" t="n">
        <v>571</v>
      </c>
      <c r="B574" s="8" t="inlineStr">
        <is>
          <t xml:space="preserve">      "colors": [],</t>
        </is>
      </c>
    </row>
    <row r="575">
      <c r="A575" s="9" t="n">
        <v>572</v>
      </c>
      <c r="B575" s="10" t="inlineStr">
        <is>
          <t xml:space="preserve">      "actions": [</t>
        </is>
      </c>
    </row>
    <row r="576">
      <c r="A576" s="7" t="n">
        <v>573</v>
      </c>
      <c r="B576" s="8" t="inlineStr">
        <is>
          <t xml:space="preserve">        "展示",</t>
        </is>
      </c>
    </row>
    <row r="577">
      <c r="A577" s="9" t="n">
        <v>574</v>
      </c>
      <c r="B577" s="10" t="inlineStr">
        <is>
          <t xml:space="preserve">        "收纳"</t>
        </is>
      </c>
    </row>
    <row r="578">
      <c r="A578" s="7" t="n">
        <v>575</v>
      </c>
      <c r="B578" s="8" t="inlineStr">
        <is>
          <t xml:space="preserve">      ],</t>
        </is>
      </c>
    </row>
    <row r="579">
      <c r="A579" s="9" t="n">
        <v>576</v>
      </c>
      <c r="B579" s="10" t="inlineStr">
        <is>
          <t xml:space="preserve">      "raw_tags": [</t>
        </is>
      </c>
    </row>
    <row r="580">
      <c r="A580" s="7" t="n">
        <v>577</v>
      </c>
      <c r="B580" s="8" t="inlineStr">
        <is>
          <t xml:space="preserve">        "岛台上层薄抽收纳展示",</t>
        </is>
      </c>
    </row>
    <row r="581">
      <c r="A581" s="9" t="n">
        <v>578</v>
      </c>
      <c r="B581" s="10" t="inlineStr">
        <is>
          <t xml:space="preserve">        "铁牛02"</t>
        </is>
      </c>
    </row>
    <row r="582">
      <c r="A582" s="7" t="n">
        <v>579</v>
      </c>
      <c r="B582" s="8" t="inlineStr">
        <is>
          <t xml:space="preserve">      ],</t>
        </is>
      </c>
    </row>
    <row r="583">
      <c r="A583" s="9" t="n">
        <v>580</v>
      </c>
      <c r="B583" s="10" t="inlineStr">
        <is>
          <t xml:space="preserve">      "quality_score": 1.0,</t>
        </is>
      </c>
    </row>
    <row r="584">
      <c r="A584" s="7" t="n">
        <v>581</v>
      </c>
      <c r="B584" s="8" t="inlineStr">
        <is>
          <t xml:space="preserve">      "processed_time": "2026-06-07T14:46:18.585512",</t>
        </is>
      </c>
    </row>
    <row r="585">
      <c r="A585" s="9" t="n">
        <v>582</v>
      </c>
      <c r="B585" s="10" t="inlineStr">
        <is>
          <t xml:space="preserve">      "file_size_mb": 41.74,</t>
        </is>
      </c>
    </row>
    <row r="586">
      <c r="A586" s="7" t="n">
        <v>583</v>
      </c>
      <c r="B586" s="8" t="inlineStr">
        <is>
          <t xml:space="preserve">      "file_mtime": "2026-01-07T15:28:13.311597"</t>
        </is>
      </c>
    </row>
    <row r="587">
      <c r="A587" s="9" t="n">
        <v>584</v>
      </c>
      <c r="B587" s="10" t="inlineStr">
        <is>
          <t xml:space="preserve">    },</t>
        </is>
      </c>
    </row>
    <row r="588">
      <c r="A588" s="7" t="n">
        <v>585</v>
      </c>
      <c r="B588" s="8" t="inlineStr">
        <is>
          <t xml:space="preserve">    "02cc2603bf0ca486": {</t>
        </is>
      </c>
    </row>
    <row r="589">
      <c r="A589" s="9" t="n">
        <v>586</v>
      </c>
      <c r="B589" s="10" t="inlineStr">
        <is>
          <t xml:space="preserve">      "path": "Z:\\已处理素材\\卖点展示类素材\\【01】上层薄抽\\ 【31】【罗马洞石+原木纹】韶关何小姐【岛台上层薄抽收纳展示】【铁牛02】\\ 【31】【罗马洞石+原木纹】韶关何小姐【岛台上层薄抽收纳展示】【铁牛02】-1.mp4",</t>
        </is>
      </c>
    </row>
    <row r="590">
      <c r="A590" s="7" t="n">
        <v>587</v>
      </c>
      <c r="B590" s="8" t="inlineStr">
        <is>
          <t xml:space="preserve">      "file_hash": "02cc2603bf0ca486",</t>
        </is>
      </c>
    </row>
    <row r="591">
      <c r="A591" s="9" t="n">
        <v>588</v>
      </c>
      <c r="B591" s="10" t="inlineStr">
        <is>
          <t xml:space="preserve">      "type": "卖点",</t>
        </is>
      </c>
    </row>
    <row r="592">
      <c r="A592" s="7" t="n">
        <v>589</v>
      </c>
      <c r="B592" s="8" t="inlineStr">
        <is>
          <t xml:space="preserve">      "main_tag": "岛台上层薄抽收纳展示",</t>
        </is>
      </c>
    </row>
    <row r="593">
      <c r="A593" s="9" t="n">
        <v>590</v>
      </c>
      <c r="B593" s="10" t="inlineStr">
        <is>
          <t xml:space="preserve">      "folder_name": " 【31】【罗马洞石+原木纹】韶关何小姐【岛台上层薄抽收纳展示】【铁牛02】",</t>
        </is>
      </c>
    </row>
    <row r="594">
      <c r="A594" s="7" t="n">
        <v>591</v>
      </c>
      <c r="B594" s="8" t="inlineStr">
        <is>
          <t xml:space="preserve">      "materials": [</t>
        </is>
      </c>
    </row>
    <row r="595">
      <c r="A595" s="9" t="n">
        <v>592</v>
      </c>
      <c r="B595" s="10" t="inlineStr">
        <is>
          <t xml:space="preserve">        "洞石",</t>
        </is>
      </c>
    </row>
    <row r="596">
      <c r="A596" s="7" t="n">
        <v>593</v>
      </c>
      <c r="B596" s="8" t="inlineStr">
        <is>
          <t xml:space="preserve">        "罗马洞石",</t>
        </is>
      </c>
    </row>
    <row r="597">
      <c r="A597" s="9" t="n">
        <v>594</v>
      </c>
      <c r="B597" s="10" t="inlineStr">
        <is>
          <t xml:space="preserve">        "原木",</t>
        </is>
      </c>
    </row>
    <row r="598">
      <c r="A598" s="7" t="n">
        <v>595</v>
      </c>
      <c r="B598" s="8" t="inlineStr">
        <is>
          <t xml:space="preserve">        "木纹"</t>
        </is>
      </c>
    </row>
    <row r="599">
      <c r="A599" s="9" t="n">
        <v>596</v>
      </c>
      <c r="B599" s="10" t="inlineStr">
        <is>
          <t xml:space="preserve">      ],</t>
        </is>
      </c>
    </row>
    <row r="600">
      <c r="A600" s="7" t="n">
        <v>597</v>
      </c>
      <c r="B600" s="8" t="inlineStr">
        <is>
          <t xml:space="preserve">      "colors": [</t>
        </is>
      </c>
    </row>
    <row r="601">
      <c r="A601" s="9" t="n">
        <v>598</v>
      </c>
      <c r="B601" s="10" t="inlineStr">
        <is>
          <t xml:space="preserve">        "原木纹"</t>
        </is>
      </c>
    </row>
    <row r="602">
      <c r="A602" s="7" t="n">
        <v>599</v>
      </c>
      <c r="B602" s="8" t="inlineStr">
        <is>
          <t xml:space="preserve">      ],</t>
        </is>
      </c>
    </row>
    <row r="603">
      <c r="A603" s="9" t="n">
        <v>600</v>
      </c>
      <c r="B603" s="10" t="inlineStr">
        <is>
          <t xml:space="preserve">      "actions": [</t>
        </is>
      </c>
    </row>
    <row r="604">
      <c r="A604" s="7" t="n">
        <v>601</v>
      </c>
      <c r="B604" s="8" t="inlineStr">
        <is>
          <t xml:space="preserve">        "展示",</t>
        </is>
      </c>
    </row>
    <row r="605">
      <c r="A605" s="9" t="n">
        <v>602</v>
      </c>
      <c r="B605" s="10" t="inlineStr">
        <is>
          <t xml:space="preserve">        "收纳"</t>
        </is>
      </c>
    </row>
    <row r="606">
      <c r="A606" s="7" t="n">
        <v>603</v>
      </c>
      <c r="B606" s="8" t="inlineStr">
        <is>
          <t xml:space="preserve">      ],</t>
        </is>
      </c>
    </row>
    <row r="607">
      <c r="A607" s="9" t="n">
        <v>604</v>
      </c>
      <c r="B607" s="10" t="inlineStr">
        <is>
          <t xml:space="preserve">      "raw_tags": [</t>
        </is>
      </c>
    </row>
    <row r="608">
      <c r="A608" s="7" t="n">
        <v>605</v>
      </c>
      <c r="B608" s="8" t="inlineStr">
        <is>
          <t xml:space="preserve">        "岛台上层薄抽收纳展示",</t>
        </is>
      </c>
    </row>
    <row r="609">
      <c r="A609" s="9" t="n">
        <v>606</v>
      </c>
      <c r="B609" s="10" t="inlineStr">
        <is>
          <t xml:space="preserve">        "铁牛02"</t>
        </is>
      </c>
    </row>
    <row r="610">
      <c r="A610" s="7" t="n">
        <v>607</v>
      </c>
      <c r="B610" s="8" t="inlineStr">
        <is>
          <t xml:space="preserve">      ],</t>
        </is>
      </c>
    </row>
    <row r="611">
      <c r="A611" s="9" t="n">
        <v>608</v>
      </c>
      <c r="B611" s="10" t="inlineStr">
        <is>
          <t xml:space="preserve">      "quality_score": 1.0,</t>
        </is>
      </c>
    </row>
    <row r="612">
      <c r="A612" s="7" t="n">
        <v>609</v>
      </c>
      <c r="B612" s="8" t="inlineStr">
        <is>
          <t xml:space="preserve">      "processed_time": "2026-06-07T14:46:18.586509",</t>
        </is>
      </c>
    </row>
    <row r="613">
      <c r="A613" s="9" t="n">
        <v>610</v>
      </c>
      <c r="B613" s="10" t="inlineStr">
        <is>
          <t xml:space="preserve">      "file_size_mb": 52.81,</t>
        </is>
      </c>
    </row>
    <row r="614">
      <c r="A614" s="7" t="n">
        <v>611</v>
      </c>
      <c r="B614" s="8" t="inlineStr">
        <is>
          <t xml:space="preserve">      "file_mtime": "2026-01-07T20:13:21.830410"</t>
        </is>
      </c>
    </row>
    <row r="615">
      <c r="A615" s="9" t="n">
        <v>612</v>
      </c>
      <c r="B615" s="10" t="inlineStr">
        <is>
          <t xml:space="preserve">    },</t>
        </is>
      </c>
    </row>
    <row r="616">
      <c r="A616" s="7" t="n">
        <v>613</v>
      </c>
      <c r="B616" s="8" t="inlineStr">
        <is>
          <t xml:space="preserve">    "8c5e304082872526": {</t>
        </is>
      </c>
    </row>
    <row r="617">
      <c r="A617" s="9" t="n">
        <v>614</v>
      </c>
      <c r="B617" s="10" t="inlineStr">
        <is>
          <t xml:space="preserve">      "path": "Z:\\已处理素材\\卖点展示类素材\\【01】上层薄抽\\ 【31】【罗马洞石+原木纹】韶关何小姐【岛台上层薄抽收纳展示】【铁牛03】\\ 【31】【罗马洞石+原木纹】韶关何小姐【岛台上层薄抽收纳展示】【铁牛03】-1.mp4",</t>
        </is>
      </c>
    </row>
    <row r="618">
      <c r="A618" s="7" t="n">
        <v>615</v>
      </c>
      <c r="B618" s="8" t="inlineStr">
        <is>
          <t xml:space="preserve">      "file_hash": "8c5e304082872526",</t>
        </is>
      </c>
    </row>
    <row r="619">
      <c r="A619" s="9" t="n">
        <v>616</v>
      </c>
      <c r="B619" s="10" t="inlineStr">
        <is>
          <t xml:space="preserve">      "type": "卖点",</t>
        </is>
      </c>
    </row>
    <row r="620">
      <c r="A620" s="7" t="n">
        <v>617</v>
      </c>
      <c r="B620" s="8" t="inlineStr">
        <is>
          <t xml:space="preserve">      "main_tag": "岛台上层薄抽收纳展示",</t>
        </is>
      </c>
    </row>
    <row r="621">
      <c r="A621" s="9" t="n">
        <v>618</v>
      </c>
      <c r="B621" s="10" t="inlineStr">
        <is>
          <t xml:space="preserve">      "folder_name": " 【31】【罗马洞石+原木纹】韶关何小姐【岛台上层薄抽收纳展示】【铁牛03】",</t>
        </is>
      </c>
    </row>
    <row r="622">
      <c r="A622" s="7" t="n">
        <v>619</v>
      </c>
      <c r="B622" s="8" t="inlineStr">
        <is>
          <t xml:space="preserve">      "materials": [</t>
        </is>
      </c>
    </row>
    <row r="623">
      <c r="A623" s="9" t="n">
        <v>620</v>
      </c>
      <c r="B623" s="10" t="inlineStr">
        <is>
          <t xml:space="preserve">        "洞石",</t>
        </is>
      </c>
    </row>
    <row r="624">
      <c r="A624" s="7" t="n">
        <v>621</v>
      </c>
      <c r="B624" s="8" t="inlineStr">
        <is>
          <t xml:space="preserve">        "罗马洞石",</t>
        </is>
      </c>
    </row>
    <row r="625">
      <c r="A625" s="9" t="n">
        <v>622</v>
      </c>
      <c r="B625" s="10" t="inlineStr">
        <is>
          <t xml:space="preserve">        "原木",</t>
        </is>
      </c>
    </row>
    <row r="626">
      <c r="A626" s="7" t="n">
        <v>623</v>
      </c>
      <c r="B626" s="8" t="inlineStr">
        <is>
          <t xml:space="preserve">        "木纹"</t>
        </is>
      </c>
    </row>
    <row r="627">
      <c r="A627" s="9" t="n">
        <v>624</v>
      </c>
      <c r="B627" s="10" t="inlineStr">
        <is>
          <t xml:space="preserve">      ],</t>
        </is>
      </c>
    </row>
    <row r="628">
      <c r="A628" s="7" t="n">
        <v>625</v>
      </c>
      <c r="B628" s="8" t="inlineStr">
        <is>
          <t xml:space="preserve">      "colors": [</t>
        </is>
      </c>
    </row>
    <row r="629">
      <c r="A629" s="9" t="n">
        <v>626</v>
      </c>
      <c r="B629" s="10" t="inlineStr">
        <is>
          <t xml:space="preserve">        "原木纹"</t>
        </is>
      </c>
    </row>
    <row r="630">
      <c r="A630" s="7" t="n">
        <v>627</v>
      </c>
      <c r="B630" s="8" t="inlineStr">
        <is>
          <t xml:space="preserve">      ],</t>
        </is>
      </c>
    </row>
    <row r="631">
      <c r="A631" s="9" t="n">
        <v>628</v>
      </c>
      <c r="B631" s="10" t="inlineStr">
        <is>
          <t xml:space="preserve">      "actions": [</t>
        </is>
      </c>
    </row>
    <row r="632">
      <c r="A632" s="7" t="n">
        <v>629</v>
      </c>
      <c r="B632" s="8" t="inlineStr">
        <is>
          <t xml:space="preserve">        "展示",</t>
        </is>
      </c>
    </row>
    <row r="633">
      <c r="A633" s="9" t="n">
        <v>630</v>
      </c>
      <c r="B633" s="10" t="inlineStr">
        <is>
          <t xml:space="preserve">        "收纳"</t>
        </is>
      </c>
    </row>
    <row r="634">
      <c r="A634" s="7" t="n">
        <v>631</v>
      </c>
      <c r="B634" s="8" t="inlineStr">
        <is>
          <t xml:space="preserve">      ],</t>
        </is>
      </c>
    </row>
    <row r="635">
      <c r="A635" s="9" t="n">
        <v>632</v>
      </c>
      <c r="B635" s="10" t="inlineStr">
        <is>
          <t xml:space="preserve">      "raw_tags": [</t>
        </is>
      </c>
    </row>
    <row r="636">
      <c r="A636" s="7" t="n">
        <v>633</v>
      </c>
      <c r="B636" s="8" t="inlineStr">
        <is>
          <t xml:space="preserve">        "岛台上层薄抽收纳展示",</t>
        </is>
      </c>
    </row>
    <row r="637">
      <c r="A637" s="9" t="n">
        <v>634</v>
      </c>
      <c r="B637" s="10" t="inlineStr">
        <is>
          <t xml:space="preserve">        "铁牛03"</t>
        </is>
      </c>
    </row>
    <row r="638">
      <c r="A638" s="7" t="n">
        <v>635</v>
      </c>
      <c r="B638" s="8" t="inlineStr">
        <is>
          <t xml:space="preserve">      ],</t>
        </is>
      </c>
    </row>
    <row r="639">
      <c r="A639" s="9" t="n">
        <v>636</v>
      </c>
      <c r="B639" s="10" t="inlineStr">
        <is>
          <t xml:space="preserve">      "quality_score": 1.0,</t>
        </is>
      </c>
    </row>
    <row r="640">
      <c r="A640" s="7" t="n">
        <v>637</v>
      </c>
      <c r="B640" s="8" t="inlineStr">
        <is>
          <t xml:space="preserve">      "processed_time": "2026-06-07T14:46:18.588502",</t>
        </is>
      </c>
    </row>
    <row r="641">
      <c r="A641" s="9" t="n">
        <v>638</v>
      </c>
      <c r="B641" s="10" t="inlineStr">
        <is>
          <t xml:space="preserve">      "file_size_mb": 27.22,</t>
        </is>
      </c>
    </row>
    <row r="642">
      <c r="A642" s="7" t="n">
        <v>639</v>
      </c>
      <c r="B642" s="8" t="inlineStr">
        <is>
          <t xml:space="preserve">      "file_mtime": "2026-01-07T20:31:10.252341"</t>
        </is>
      </c>
    </row>
    <row r="643">
      <c r="A643" s="9" t="n">
        <v>640</v>
      </c>
      <c r="B643" s="10" t="inlineStr">
        <is>
          <t xml:space="preserve">    },</t>
        </is>
      </c>
    </row>
    <row r="644">
      <c r="A644" s="7" t="n">
        <v>641</v>
      </c>
      <c r="B644" s="8" t="inlineStr">
        <is>
          <t xml:space="preserve">    "3a012ed784d2af27": {</t>
        </is>
      </c>
    </row>
    <row r="645">
      <c r="A645" s="9" t="n">
        <v>642</v>
      </c>
      <c r="B645" s="10" t="inlineStr">
        <is>
          <t xml:space="preserve">      "path": "Z:\\已处理素材\\卖点展示类素材\\【01】上层薄抽\\ 【31】【罗马洞石+原木纹】韶关何小姐【岛台上层薄抽收纳展示】【铁牛】\\ 【31】【罗马洞石+原木纹】韶关何小姐【岛台上层薄抽收纳展示】【铁牛】-1.mp4",</t>
        </is>
      </c>
    </row>
    <row r="646">
      <c r="A646" s="7" t="n">
        <v>643</v>
      </c>
      <c r="B646" s="8" t="inlineStr">
        <is>
          <t xml:space="preserve">      "file_hash": "3a012ed784d2af27",</t>
        </is>
      </c>
    </row>
    <row r="647">
      <c r="A647" s="9" t="n">
        <v>644</v>
      </c>
      <c r="B647" s="10" t="inlineStr">
        <is>
          <t xml:space="preserve">      "type": "卖点",</t>
        </is>
      </c>
    </row>
    <row r="648">
      <c r="A648" s="7" t="n">
        <v>645</v>
      </c>
      <c r="B648" s="8" t="inlineStr">
        <is>
          <t xml:space="preserve">      "main_tag": "岛台上层薄抽收纳展示",</t>
        </is>
      </c>
    </row>
    <row r="649">
      <c r="A649" s="9" t="n">
        <v>646</v>
      </c>
      <c r="B649" s="10" t="inlineStr">
        <is>
          <t xml:space="preserve">      "folder_name": " 【31】【罗马洞石+原木纹】韶关何小姐【岛台上层薄抽收纳展示】【铁牛】",</t>
        </is>
      </c>
    </row>
    <row r="650">
      <c r="A650" s="7" t="n">
        <v>647</v>
      </c>
      <c r="B650" s="8" t="inlineStr">
        <is>
          <t xml:space="preserve">      "materials": [</t>
        </is>
      </c>
    </row>
    <row r="651">
      <c r="A651" s="9" t="n">
        <v>648</v>
      </c>
      <c r="B651" s="10" t="inlineStr">
        <is>
          <t xml:space="preserve">        "洞石",</t>
        </is>
      </c>
    </row>
    <row r="652">
      <c r="A652" s="7" t="n">
        <v>649</v>
      </c>
      <c r="B652" s="8" t="inlineStr">
        <is>
          <t xml:space="preserve">        "罗马洞石",</t>
        </is>
      </c>
    </row>
    <row r="653">
      <c r="A653" s="9" t="n">
        <v>650</v>
      </c>
      <c r="B653" s="10" t="inlineStr">
        <is>
          <t xml:space="preserve">        "原木",</t>
        </is>
      </c>
    </row>
    <row r="654">
      <c r="A654" s="7" t="n">
        <v>651</v>
      </c>
      <c r="B654" s="8" t="inlineStr">
        <is>
          <t xml:space="preserve">        "木纹"</t>
        </is>
      </c>
    </row>
    <row r="655">
      <c r="A655" s="9" t="n">
        <v>652</v>
      </c>
      <c r="B655" s="10" t="inlineStr">
        <is>
          <t xml:space="preserve">      ],</t>
        </is>
      </c>
    </row>
    <row r="656">
      <c r="A656" s="7" t="n">
        <v>653</v>
      </c>
      <c r="B656" s="8" t="inlineStr">
        <is>
          <t xml:space="preserve">      "colors": [</t>
        </is>
      </c>
    </row>
    <row r="657">
      <c r="A657" s="9" t="n">
        <v>654</v>
      </c>
      <c r="B657" s="10" t="inlineStr">
        <is>
          <t xml:space="preserve">        "原木纹"</t>
        </is>
      </c>
    </row>
    <row r="658">
      <c r="A658" s="7" t="n">
        <v>655</v>
      </c>
      <c r="B658" s="8" t="inlineStr">
        <is>
          <t xml:space="preserve">      ],</t>
        </is>
      </c>
    </row>
    <row r="659">
      <c r="A659" s="9" t="n">
        <v>656</v>
      </c>
      <c r="B659" s="10" t="inlineStr">
        <is>
          <t xml:space="preserve">      "actions": [</t>
        </is>
      </c>
    </row>
    <row r="660">
      <c r="A660" s="7" t="n">
        <v>657</v>
      </c>
      <c r="B660" s="8" t="inlineStr">
        <is>
          <t xml:space="preserve">        "展示",</t>
        </is>
      </c>
    </row>
    <row r="661">
      <c r="A661" s="9" t="n">
        <v>658</v>
      </c>
      <c r="B661" s="10" t="inlineStr">
        <is>
          <t xml:space="preserve">        "收纳"</t>
        </is>
      </c>
    </row>
    <row r="662">
      <c r="A662" s="7" t="n">
        <v>659</v>
      </c>
      <c r="B662" s="8" t="inlineStr">
        <is>
          <t xml:space="preserve">      ],</t>
        </is>
      </c>
    </row>
    <row r="663">
      <c r="A663" s="9" t="n">
        <v>660</v>
      </c>
      <c r="B663" s="10" t="inlineStr">
        <is>
          <t xml:space="preserve">      "raw_tags": [</t>
        </is>
      </c>
    </row>
    <row r="664">
      <c r="A664" s="7" t="n">
        <v>661</v>
      </c>
      <c r="B664" s="8" t="inlineStr">
        <is>
          <t xml:space="preserve">        "岛台上层薄抽收纳展示",</t>
        </is>
      </c>
    </row>
    <row r="665">
      <c r="A665" s="9" t="n">
        <v>662</v>
      </c>
      <c r="B665" s="10" t="inlineStr">
        <is>
          <t xml:space="preserve">        "铁牛"</t>
        </is>
      </c>
    </row>
    <row r="666">
      <c r="A666" s="7" t="n">
        <v>663</v>
      </c>
      <c r="B666" s="8" t="inlineStr">
        <is>
          <t xml:space="preserve">      ],</t>
        </is>
      </c>
    </row>
    <row r="667">
      <c r="A667" s="9" t="n">
        <v>664</v>
      </c>
      <c r="B667" s="10" t="inlineStr">
        <is>
          <t xml:space="preserve">      "quality_score": 1.0,</t>
        </is>
      </c>
    </row>
    <row r="668">
      <c r="A668" s="7" t="n">
        <v>665</v>
      </c>
      <c r="B668" s="8" t="inlineStr">
        <is>
          <t xml:space="preserve">      "processed_time": "2026-06-07T14:46:18.589500",</t>
        </is>
      </c>
    </row>
    <row r="669">
      <c r="A669" s="9" t="n">
        <v>666</v>
      </c>
      <c r="B669" s="10" t="inlineStr">
        <is>
          <t xml:space="preserve">      "file_size_mb": 45.55,</t>
        </is>
      </c>
    </row>
    <row r="670">
      <c r="A670" s="7" t="n">
        <v>667</v>
      </c>
      <c r="B670" s="8" t="inlineStr">
        <is>
          <t xml:space="preserve">      "file_mtime": "2026-01-07T19:56:07.850484"</t>
        </is>
      </c>
    </row>
    <row r="671">
      <c r="A671" s="9" t="n">
        <v>668</v>
      </c>
      <c r="B671" s="10" t="inlineStr">
        <is>
          <t xml:space="preserve">    },</t>
        </is>
      </c>
    </row>
    <row r="672">
      <c r="A672" s="7" t="n">
        <v>669</v>
      </c>
      <c r="B672" s="8" t="inlineStr">
        <is>
          <t xml:space="preserve">    "bf03cfe8acae25a0": {</t>
        </is>
      </c>
    </row>
    <row r="673">
      <c r="A673" s="9" t="n">
        <v>670</v>
      </c>
      <c r="B673" s="10" t="inlineStr">
        <is>
          <t xml:space="preserve">      "path": "Z:\\已处理素材\\卖点展示类素材\\【01】上层薄抽\\ 【31】【罗马洞石+原木纹】韶关何小姐【空镜岛台上层薄抽收纳展示】【铁牛03】\\ 【31】【罗马洞石+原木纹】韶关何小姐【空镜岛台上层薄抽收纳展示】【铁牛03】-1.mp4",</t>
        </is>
      </c>
    </row>
    <row r="674">
      <c r="A674" s="7" t="n">
        <v>671</v>
      </c>
      <c r="B674" s="8" t="inlineStr">
        <is>
          <t xml:space="preserve">      "file_hash": "bf03cfe8acae25a0",</t>
        </is>
      </c>
    </row>
    <row r="675">
      <c r="A675" s="9" t="n">
        <v>672</v>
      </c>
      <c r="B675" s="10" t="inlineStr">
        <is>
          <t xml:space="preserve">      "type": "卖点",</t>
        </is>
      </c>
    </row>
    <row r="676">
      <c r="A676" s="7" t="n">
        <v>673</v>
      </c>
      <c r="B676" s="8" t="inlineStr">
        <is>
          <t xml:space="preserve">      "main_tag": "空镜岛台上层薄抽收纳展示",</t>
        </is>
      </c>
    </row>
    <row r="677">
      <c r="A677" s="9" t="n">
        <v>674</v>
      </c>
      <c r="B677" s="10" t="inlineStr">
        <is>
          <t xml:space="preserve">      "folder_name": " 【31】【罗马洞石+原木纹】韶关何小姐【空镜岛台上层薄抽收纳展示】【铁牛03】",</t>
        </is>
      </c>
    </row>
    <row r="678">
      <c r="A678" s="7" t="n">
        <v>675</v>
      </c>
      <c r="B678" s="8" t="inlineStr">
        <is>
          <t xml:space="preserve">      "materials": [</t>
        </is>
      </c>
    </row>
    <row r="679">
      <c r="A679" s="9" t="n">
        <v>676</v>
      </c>
      <c r="B679" s="10" t="inlineStr">
        <is>
          <t xml:space="preserve">        "洞石",</t>
        </is>
      </c>
    </row>
    <row r="680">
      <c r="A680" s="7" t="n">
        <v>677</v>
      </c>
      <c r="B680" s="8" t="inlineStr">
        <is>
          <t xml:space="preserve">        "罗马洞石",</t>
        </is>
      </c>
    </row>
    <row r="681">
      <c r="A681" s="9" t="n">
        <v>678</v>
      </c>
      <c r="B681" s="10" t="inlineStr">
        <is>
          <t xml:space="preserve">        "原木",</t>
        </is>
      </c>
    </row>
    <row r="682">
      <c r="A682" s="7" t="n">
        <v>679</v>
      </c>
      <c r="B682" s="8" t="inlineStr">
        <is>
          <t xml:space="preserve">        "木纹"</t>
        </is>
      </c>
    </row>
    <row r="683">
      <c r="A683" s="9" t="n">
        <v>680</v>
      </c>
      <c r="B683" s="10" t="inlineStr">
        <is>
          <t xml:space="preserve">      ],</t>
        </is>
      </c>
    </row>
    <row r="684">
      <c r="A684" s="7" t="n">
        <v>681</v>
      </c>
      <c r="B684" s="8" t="inlineStr">
        <is>
          <t xml:space="preserve">      "colors": [</t>
        </is>
      </c>
    </row>
    <row r="685">
      <c r="A685" s="9" t="n">
        <v>682</v>
      </c>
      <c r="B685" s="10" t="inlineStr">
        <is>
          <t xml:space="preserve">        "原木纹"</t>
        </is>
      </c>
    </row>
    <row r="686">
      <c r="A686" s="7" t="n">
        <v>683</v>
      </c>
      <c r="B686" s="8" t="inlineStr">
        <is>
          <t xml:space="preserve">      ],</t>
        </is>
      </c>
    </row>
    <row r="687">
      <c r="A687" s="9" t="n">
        <v>684</v>
      </c>
      <c r="B687" s="10" t="inlineStr">
        <is>
          <t xml:space="preserve">      "actions": [</t>
        </is>
      </c>
    </row>
    <row r="688">
      <c r="A688" s="7" t="n">
        <v>685</v>
      </c>
      <c r="B688" s="8" t="inlineStr">
        <is>
          <t xml:space="preserve">        "展示",</t>
        </is>
      </c>
    </row>
    <row r="689">
      <c r="A689" s="9" t="n">
        <v>686</v>
      </c>
      <c r="B689" s="10" t="inlineStr">
        <is>
          <t xml:space="preserve">        "收纳"</t>
        </is>
      </c>
    </row>
    <row r="690">
      <c r="A690" s="7" t="n">
        <v>687</v>
      </c>
      <c r="B690" s="8" t="inlineStr">
        <is>
          <t xml:space="preserve">      ],</t>
        </is>
      </c>
    </row>
    <row r="691">
      <c r="A691" s="9" t="n">
        <v>688</v>
      </c>
      <c r="B691" s="10" t="inlineStr">
        <is>
          <t xml:space="preserve">      "raw_tags": [</t>
        </is>
      </c>
    </row>
    <row r="692">
      <c r="A692" s="7" t="n">
        <v>689</v>
      </c>
      <c r="B692" s="8" t="inlineStr">
        <is>
          <t xml:space="preserve">        "空镜岛台上层薄抽收纳展示",</t>
        </is>
      </c>
    </row>
    <row r="693">
      <c r="A693" s="9" t="n">
        <v>690</v>
      </c>
      <c r="B693" s="10" t="inlineStr">
        <is>
          <t xml:space="preserve">        "铁牛03"</t>
        </is>
      </c>
    </row>
    <row r="694">
      <c r="A694" s="7" t="n">
        <v>691</v>
      </c>
      <c r="B694" s="8" t="inlineStr">
        <is>
          <t xml:space="preserve">      ],</t>
        </is>
      </c>
    </row>
    <row r="695">
      <c r="A695" s="9" t="n">
        <v>692</v>
      </c>
      <c r="B695" s="10" t="inlineStr">
        <is>
          <t xml:space="preserve">      "quality_score": 1.0,</t>
        </is>
      </c>
    </row>
    <row r="696">
      <c r="A696" s="7" t="n">
        <v>693</v>
      </c>
      <c r="B696" s="8" t="inlineStr">
        <is>
          <t xml:space="preserve">      "processed_time": "2026-06-07T14:46:18.590496",</t>
        </is>
      </c>
    </row>
    <row r="697">
      <c r="A697" s="9" t="n">
        <v>694</v>
      </c>
      <c r="B697" s="10" t="inlineStr">
        <is>
          <t xml:space="preserve">      "file_size_mb": 17.8,</t>
        </is>
      </c>
    </row>
    <row r="698">
      <c r="A698" s="7" t="n">
        <v>695</v>
      </c>
      <c r="B698" s="8" t="inlineStr">
        <is>
          <t xml:space="preserve">      "file_mtime": "2026-01-07T20:40:39.685913"</t>
        </is>
      </c>
    </row>
    <row r="699">
      <c r="A699" s="9" t="n">
        <v>696</v>
      </c>
      <c r="B699" s="10" t="inlineStr">
        <is>
          <t xml:space="preserve">    },</t>
        </is>
      </c>
    </row>
    <row r="700">
      <c r="A700" s="7" t="n">
        <v>697</v>
      </c>
      <c r="B700" s="8" t="inlineStr">
        <is>
          <t xml:space="preserve">    "7d5c1c080d698157": {</t>
        </is>
      </c>
    </row>
    <row r="701">
      <c r="A701" s="9" t="n">
        <v>698</v>
      </c>
      <c r="B701" s="10" t="inlineStr">
        <is>
          <t xml:space="preserve">      "path": "Z:\\已处理素材\\卖点展示类素材\\【01】上层薄抽\\ 【52】【宝格丽白哑光+尼木黑】长沙朱小姐【上层薄抽】【小狮子】 \\ 【52】【宝格丽白哑光+尼木黑】长沙朱小姐【上层薄抽】【小狮子】 -1.mp4",</t>
        </is>
      </c>
    </row>
    <row r="702">
      <c r="A702" s="7" t="n">
        <v>699</v>
      </c>
      <c r="B702" s="8" t="inlineStr">
        <is>
          <t xml:space="preserve">      "file_hash": "7d5c1c080d698157",</t>
        </is>
      </c>
    </row>
    <row r="703">
      <c r="A703" s="9" t="n">
        <v>700</v>
      </c>
      <c r="B703" s="10" t="inlineStr">
        <is>
          <t xml:space="preserve">      "type": "卖点",</t>
        </is>
      </c>
    </row>
    <row r="704">
      <c r="A704" s="7" t="n">
        <v>701</v>
      </c>
      <c r="B704" s="8" t="inlineStr">
        <is>
          <t xml:space="preserve">      "main_tag": "上层薄抽",</t>
        </is>
      </c>
    </row>
    <row r="705">
      <c r="A705" s="9" t="n">
        <v>702</v>
      </c>
      <c r="B705" s="10" t="inlineStr">
        <is>
          <t xml:space="preserve">      "folder_name": " 【52】【宝格丽白哑光+尼木黑】长沙朱小姐【上层薄抽】【小狮子】 ",</t>
        </is>
      </c>
    </row>
    <row r="706">
      <c r="A706" s="7" t="n">
        <v>703</v>
      </c>
      <c r="B706" s="8" t="inlineStr">
        <is>
          <t xml:space="preserve">      "materials": [</t>
        </is>
      </c>
    </row>
    <row r="707">
      <c r="A707" s="9" t="n">
        <v>704</v>
      </c>
      <c r="B707" s="10" t="inlineStr">
        <is>
          <t xml:space="preserve">        "宝格丽",</t>
        </is>
      </c>
    </row>
    <row r="708">
      <c r="A708" s="7" t="n">
        <v>705</v>
      </c>
      <c r="B708" s="8" t="inlineStr">
        <is>
          <t xml:space="preserve">        "哑光",</t>
        </is>
      </c>
    </row>
    <row r="709">
      <c r="A709" s="9" t="n">
        <v>706</v>
      </c>
      <c r="B709" s="10" t="inlineStr">
        <is>
          <t xml:space="preserve">        "尼木黑"</t>
        </is>
      </c>
    </row>
    <row r="710">
      <c r="A710" s="7" t="n">
        <v>707</v>
      </c>
      <c r="B710" s="8" t="inlineStr">
        <is>
          <t xml:space="preserve">      ],</t>
        </is>
      </c>
    </row>
    <row r="711">
      <c r="A711" s="9" t="n">
        <v>708</v>
      </c>
      <c r="B711" s="10" t="inlineStr">
        <is>
          <t xml:space="preserve">      "colors": [</t>
        </is>
      </c>
    </row>
    <row r="712">
      <c r="A712" s="7" t="n">
        <v>709</v>
      </c>
      <c r="B712" s="8" t="inlineStr">
        <is>
          <t xml:space="preserve">        "宝格丽白"</t>
        </is>
      </c>
    </row>
    <row r="713">
      <c r="A713" s="9" t="n">
        <v>710</v>
      </c>
      <c r="B713" s="10" t="inlineStr">
        <is>
          <t xml:space="preserve">      ],</t>
        </is>
      </c>
    </row>
    <row r="714">
      <c r="A714" s="7" t="n">
        <v>711</v>
      </c>
      <c r="B714" s="8" t="inlineStr">
        <is>
          <t xml:space="preserve">      "actions": [],</t>
        </is>
      </c>
    </row>
    <row r="715">
      <c r="A715" s="9" t="n">
        <v>712</v>
      </c>
      <c r="B715" s="10" t="inlineStr">
        <is>
          <t xml:space="preserve">      "raw_tags": [</t>
        </is>
      </c>
    </row>
    <row r="716">
      <c r="A716" s="7" t="n">
        <v>713</v>
      </c>
      <c r="B716" s="8" t="inlineStr">
        <is>
          <t xml:space="preserve">        "上层薄抽",</t>
        </is>
      </c>
    </row>
    <row r="717">
      <c r="A717" s="9" t="n">
        <v>714</v>
      </c>
      <c r="B717" s="10" t="inlineStr">
        <is>
          <t xml:space="preserve">        "小狮子"</t>
        </is>
      </c>
    </row>
    <row r="718">
      <c r="A718" s="7" t="n">
        <v>715</v>
      </c>
      <c r="B718" s="8" t="inlineStr">
        <is>
          <t xml:space="preserve">      ],</t>
        </is>
      </c>
    </row>
    <row r="719">
      <c r="A719" s="9" t="n">
        <v>716</v>
      </c>
      <c r="B719" s="10" t="inlineStr">
        <is>
          <t xml:space="preserve">      "quality_score": 1.0,</t>
        </is>
      </c>
    </row>
    <row r="720">
      <c r="A720" s="7" t="n">
        <v>717</v>
      </c>
      <c r="B720" s="8" t="inlineStr">
        <is>
          <t xml:space="preserve">      "processed_time": "2026-06-07T14:46:18.591493",</t>
        </is>
      </c>
    </row>
    <row r="721">
      <c r="A721" s="9" t="n">
        <v>718</v>
      </c>
      <c r="B721" s="10" t="inlineStr">
        <is>
          <t xml:space="preserve">      "file_size_mb": 15.83,</t>
        </is>
      </c>
    </row>
    <row r="722">
      <c r="A722" s="7" t="n">
        <v>719</v>
      </c>
      <c r="B722" s="8" t="inlineStr">
        <is>
          <t xml:space="preserve">      "file_mtime": "2026-01-10T20:27:56.435816"</t>
        </is>
      </c>
    </row>
    <row r="723">
      <c r="A723" s="9" t="n">
        <v>720</v>
      </c>
      <c r="B723" s="10" t="inlineStr">
        <is>
          <t xml:space="preserve">    },</t>
        </is>
      </c>
    </row>
    <row r="724">
      <c r="A724" s="7" t="n">
        <v>721</v>
      </c>
      <c r="B724" s="8" t="inlineStr">
        <is>
          <t xml:space="preserve">    "bbdfb8a8bd77ccd2": {</t>
        </is>
      </c>
    </row>
    <row r="725">
      <c r="A725" s="9" t="n">
        <v>722</v>
      </c>
      <c r="B725" s="10" t="inlineStr">
        <is>
          <t xml:space="preserve">      "path": "Z:\\已处理素材\\卖点展示类素材\\【01】上层薄抽\\ 【61】【微水泥奶油白+兰亭香樟木纹】海口吴小姐 【上层的薄抽收纳宝藏】【02】\\ 【61】【微水泥奶油白+兰亭香樟木纹】海口吴小姐 【上层的薄抽收纳宝藏】【02】-1.mp4",</t>
        </is>
      </c>
    </row>
    <row r="726">
      <c r="A726" s="7" t="n">
        <v>723</v>
      </c>
      <c r="B726" s="8" t="inlineStr">
        <is>
          <t xml:space="preserve">      "file_hash": "bbdfb8a8bd77ccd2",</t>
        </is>
      </c>
    </row>
    <row r="727">
      <c r="A727" s="9" t="n">
        <v>724</v>
      </c>
      <c r="B727" s="10" t="inlineStr">
        <is>
          <t xml:space="preserve">      "type": "卖点",</t>
        </is>
      </c>
    </row>
    <row r="728">
      <c r="A728" s="7" t="n">
        <v>725</v>
      </c>
      <c r="B728" s="8" t="inlineStr">
        <is>
          <t xml:space="preserve">      "main_tag": "上层的薄抽收纳宝藏",</t>
        </is>
      </c>
    </row>
    <row r="729">
      <c r="A729" s="9" t="n">
        <v>726</v>
      </c>
      <c r="B729" s="10" t="inlineStr">
        <is>
          <t xml:space="preserve">      "folder_name": " 【61】【微水泥奶油白+兰亭香樟木纹】海口吴小姐 【上层的薄抽收纳宝藏】【02】",</t>
        </is>
      </c>
    </row>
    <row r="730">
      <c r="A730" s="7" t="n">
        <v>727</v>
      </c>
      <c r="B730" s="8" t="inlineStr">
        <is>
          <t xml:space="preserve">      "materials": [</t>
        </is>
      </c>
    </row>
    <row r="731">
      <c r="A731" s="9" t="n">
        <v>728</v>
      </c>
      <c r="B731" s="10" t="inlineStr">
        <is>
          <t xml:space="preserve">        "微水泥",</t>
        </is>
      </c>
    </row>
    <row r="732">
      <c r="A732" s="7" t="n">
        <v>729</v>
      </c>
      <c r="B732" s="8" t="inlineStr">
        <is>
          <t xml:space="preserve">        "奶油白",</t>
        </is>
      </c>
    </row>
    <row r="733">
      <c r="A733" s="9" t="n">
        <v>730</v>
      </c>
      <c r="B733" s="10" t="inlineStr">
        <is>
          <t xml:space="preserve">        "香樟",</t>
        </is>
      </c>
    </row>
    <row r="734">
      <c r="A734" s="7" t="n">
        <v>731</v>
      </c>
      <c r="B734" s="8" t="inlineStr">
        <is>
          <t xml:space="preserve">        "木纹"</t>
        </is>
      </c>
    </row>
    <row r="735">
      <c r="A735" s="9" t="n">
        <v>732</v>
      </c>
      <c r="B735" s="10" t="inlineStr">
        <is>
          <t xml:space="preserve">      ],</t>
        </is>
      </c>
    </row>
    <row r="736">
      <c r="A736" s="7" t="n">
        <v>733</v>
      </c>
      <c r="B736" s="8" t="inlineStr">
        <is>
          <t xml:space="preserve">      "colors": [</t>
        </is>
      </c>
    </row>
    <row r="737">
      <c r="A737" s="9" t="n">
        <v>734</v>
      </c>
      <c r="B737" s="10" t="inlineStr">
        <is>
          <t xml:space="preserve">        "奶油白",</t>
        </is>
      </c>
    </row>
    <row r="738">
      <c r="A738" s="7" t="n">
        <v>735</v>
      </c>
      <c r="B738" s="8" t="inlineStr">
        <is>
          <t xml:space="preserve">        "微水泥奶油白"</t>
        </is>
      </c>
    </row>
    <row r="739">
      <c r="A739" s="9" t="n">
        <v>736</v>
      </c>
      <c r="B739" s="10" t="inlineStr">
        <is>
          <t xml:space="preserve">      ],</t>
        </is>
      </c>
    </row>
    <row r="740">
      <c r="A740" s="7" t="n">
        <v>737</v>
      </c>
      <c r="B740" s="8" t="inlineStr">
        <is>
          <t xml:space="preserve">      "actions": [</t>
        </is>
      </c>
    </row>
    <row r="741">
      <c r="A741" s="9" t="n">
        <v>738</v>
      </c>
      <c r="B741" s="10" t="inlineStr">
        <is>
          <t xml:space="preserve">        "收纳"</t>
        </is>
      </c>
    </row>
    <row r="742">
      <c r="A742" s="7" t="n">
        <v>739</v>
      </c>
      <c r="B742" s="8" t="inlineStr">
        <is>
          <t xml:space="preserve">      ],</t>
        </is>
      </c>
    </row>
    <row r="743">
      <c r="A743" s="9" t="n">
        <v>740</v>
      </c>
      <c r="B743" s="10" t="inlineStr">
        <is>
          <t xml:space="preserve">      "raw_tags": [</t>
        </is>
      </c>
    </row>
    <row r="744">
      <c r="A744" s="7" t="n">
        <v>741</v>
      </c>
      <c r="B744" s="8" t="inlineStr">
        <is>
          <t xml:space="preserve">        "上层的薄抽收纳宝藏"</t>
        </is>
      </c>
    </row>
    <row r="745">
      <c r="A745" s="9" t="n">
        <v>742</v>
      </c>
      <c r="B745" s="10" t="inlineStr">
        <is>
          <t xml:space="preserve">      ],</t>
        </is>
      </c>
    </row>
    <row r="746">
      <c r="A746" s="7" t="n">
        <v>743</v>
      </c>
      <c r="B746" s="8" t="inlineStr">
        <is>
          <t xml:space="preserve">      "quality_score": 1.0,</t>
        </is>
      </c>
    </row>
    <row r="747">
      <c r="A747" s="9" t="n">
        <v>744</v>
      </c>
      <c r="B747" s="10" t="inlineStr">
        <is>
          <t xml:space="preserve">      "processed_time": "2026-06-07T14:46:18.593486",</t>
        </is>
      </c>
    </row>
    <row r="748">
      <c r="A748" s="7" t="n">
        <v>745</v>
      </c>
      <c r="B748" s="8" t="inlineStr">
        <is>
          <t xml:space="preserve">      "file_size_mb": 18.59,</t>
        </is>
      </c>
    </row>
    <row r="749">
      <c r="A749" s="9" t="n">
        <v>746</v>
      </c>
      <c r="B749" s="10" t="inlineStr">
        <is>
          <t xml:space="preserve">      "file_mtime": "2026-01-12T13:09:40.227437"</t>
        </is>
      </c>
    </row>
    <row r="750">
      <c r="A750" s="7" t="n">
        <v>747</v>
      </c>
      <c r="B750" s="8" t="inlineStr">
        <is>
          <t xml:space="preserve">    },</t>
        </is>
      </c>
    </row>
    <row r="751">
      <c r="A751" s="9" t="n">
        <v>748</v>
      </c>
      <c r="B751" s="10" t="inlineStr">
        <is>
          <t xml:space="preserve">    "c53eba6fb078ecff": {</t>
        </is>
      </c>
    </row>
    <row r="752">
      <c r="A752" s="7" t="n">
        <v>749</v>
      </c>
      <c r="B752" s="8" t="inlineStr">
        <is>
          <t xml:space="preserve">      "path": "Z:\\已处理素材\\卖点展示类素材\\【01】上层薄抽\\ 【61】【微水泥奶油白+兰亭香樟木纹】海口吴小姐 【上层的薄抽收纳宝藏】【02】\\ 【61】【微水泥奶油白+兰亭香樟木纹】海口吴小姐 【上层的薄抽收纳宝藏】【02】-2.mp4",</t>
        </is>
      </c>
    </row>
    <row r="753">
      <c r="A753" s="9" t="n">
        <v>750</v>
      </c>
      <c r="B753" s="10" t="inlineStr">
        <is>
          <t xml:space="preserve">      "file_hash": "c53eba6fb078ecff",</t>
        </is>
      </c>
    </row>
    <row r="754">
      <c r="A754" s="7" t="n">
        <v>751</v>
      </c>
      <c r="B754" s="8" t="inlineStr">
        <is>
          <t xml:space="preserve">      "type": "卖点",</t>
        </is>
      </c>
    </row>
    <row r="755">
      <c r="A755" s="9" t="n">
        <v>752</v>
      </c>
      <c r="B755" s="10" t="inlineStr">
        <is>
          <t xml:space="preserve">      "main_tag": "上层的薄抽收纳宝藏",</t>
        </is>
      </c>
    </row>
    <row r="756">
      <c r="A756" s="7" t="n">
        <v>753</v>
      </c>
      <c r="B756" s="8" t="inlineStr">
        <is>
          <t xml:space="preserve">      "folder_name": " 【61】【微水泥奶油白+兰亭香樟木纹】海口吴小姐 【上层的薄抽收纳宝藏】【02】",</t>
        </is>
      </c>
    </row>
    <row r="757">
      <c r="A757" s="9" t="n">
        <v>754</v>
      </c>
      <c r="B757" s="10" t="inlineStr">
        <is>
          <t xml:space="preserve">      "materials": [</t>
        </is>
      </c>
    </row>
    <row r="758">
      <c r="A758" s="7" t="n">
        <v>755</v>
      </c>
      <c r="B758" s="8" t="inlineStr">
        <is>
          <t xml:space="preserve">        "微水泥",</t>
        </is>
      </c>
    </row>
    <row r="759">
      <c r="A759" s="9" t="n">
        <v>756</v>
      </c>
      <c r="B759" s="10" t="inlineStr">
        <is>
          <t xml:space="preserve">        "奶油白",</t>
        </is>
      </c>
    </row>
    <row r="760">
      <c r="A760" s="7" t="n">
        <v>757</v>
      </c>
      <c r="B760" s="8" t="inlineStr">
        <is>
          <t xml:space="preserve">        "香樟",</t>
        </is>
      </c>
    </row>
    <row r="761">
      <c r="A761" s="9" t="n">
        <v>758</v>
      </c>
      <c r="B761" s="10" t="inlineStr">
        <is>
          <t xml:space="preserve">        "木纹"</t>
        </is>
      </c>
    </row>
    <row r="762">
      <c r="A762" s="7" t="n">
        <v>759</v>
      </c>
      <c r="B762" s="8" t="inlineStr">
        <is>
          <t xml:space="preserve">      ],</t>
        </is>
      </c>
    </row>
    <row r="763">
      <c r="A763" s="9" t="n">
        <v>760</v>
      </c>
      <c r="B763" s="10" t="inlineStr">
        <is>
          <t xml:space="preserve">      "colors": [</t>
        </is>
      </c>
    </row>
    <row r="764">
      <c r="A764" s="7" t="n">
        <v>761</v>
      </c>
      <c r="B764" s="8" t="inlineStr">
        <is>
          <t xml:space="preserve">        "奶油白",</t>
        </is>
      </c>
    </row>
    <row r="765">
      <c r="A765" s="9" t="n">
        <v>762</v>
      </c>
      <c r="B765" s="10" t="inlineStr">
        <is>
          <t xml:space="preserve">        "微水泥奶油白"</t>
        </is>
      </c>
    </row>
    <row r="766">
      <c r="A766" s="7" t="n">
        <v>763</v>
      </c>
      <c r="B766" s="8" t="inlineStr">
        <is>
          <t xml:space="preserve">      ],</t>
        </is>
      </c>
    </row>
    <row r="767">
      <c r="A767" s="9" t="n">
        <v>764</v>
      </c>
      <c r="B767" s="10" t="inlineStr">
        <is>
          <t xml:space="preserve">      "actions": [</t>
        </is>
      </c>
    </row>
    <row r="768">
      <c r="A768" s="7" t="n">
        <v>765</v>
      </c>
      <c r="B768" s="8" t="inlineStr">
        <is>
          <t xml:space="preserve">        "收纳"</t>
        </is>
      </c>
    </row>
    <row r="769">
      <c r="A769" s="9" t="n">
        <v>766</v>
      </c>
      <c r="B769" s="10" t="inlineStr">
        <is>
          <t xml:space="preserve">      ],</t>
        </is>
      </c>
    </row>
    <row r="770">
      <c r="A770" s="7" t="n">
        <v>767</v>
      </c>
      <c r="B770" s="8" t="inlineStr">
        <is>
          <t xml:space="preserve">      "raw_tags": [</t>
        </is>
      </c>
    </row>
    <row r="771">
      <c r="A771" s="9" t="n">
        <v>768</v>
      </c>
      <c r="B771" s="10" t="inlineStr">
        <is>
          <t xml:space="preserve">        "上层的薄抽收纳宝藏"</t>
        </is>
      </c>
    </row>
    <row r="772">
      <c r="A772" s="7" t="n">
        <v>769</v>
      </c>
      <c r="B772" s="8" t="inlineStr">
        <is>
          <t xml:space="preserve">      ],</t>
        </is>
      </c>
    </row>
    <row r="773">
      <c r="A773" s="9" t="n">
        <v>770</v>
      </c>
      <c r="B773" s="10" t="inlineStr">
        <is>
          <t xml:space="preserve">      "quality_score": 1.0,</t>
        </is>
      </c>
    </row>
    <row r="774">
      <c r="A774" s="7" t="n">
        <v>771</v>
      </c>
      <c r="B774" s="8" t="inlineStr">
        <is>
          <t xml:space="preserve">      "processed_time": "2026-06-07T14:46:18.594483",</t>
        </is>
      </c>
    </row>
    <row r="775">
      <c r="A775" s="9" t="n">
        <v>772</v>
      </c>
      <c r="B775" s="10" t="inlineStr">
        <is>
          <t xml:space="preserve">      "file_size_mb": 16.58,</t>
        </is>
      </c>
    </row>
    <row r="776">
      <c r="A776" s="7" t="n">
        <v>773</v>
      </c>
      <c r="B776" s="8" t="inlineStr">
        <is>
          <t xml:space="preserve">      "file_mtime": "2026-01-12T13:09:41.899198"</t>
        </is>
      </c>
    </row>
    <row r="777">
      <c r="A777" s="9" t="n">
        <v>774</v>
      </c>
      <c r="B777" s="10" t="inlineStr">
        <is>
          <t xml:space="preserve">    },</t>
        </is>
      </c>
    </row>
    <row r="778">
      <c r="A778" s="7" t="n">
        <v>775</v>
      </c>
      <c r="B778" s="8" t="inlineStr">
        <is>
          <t xml:space="preserve">    "637de094a4699112": {</t>
        </is>
      </c>
    </row>
    <row r="779">
      <c r="A779" s="9" t="n">
        <v>776</v>
      </c>
      <c r="B779" s="10" t="inlineStr">
        <is>
          <t xml:space="preserve">      "path": "Z:\\已处理素材\\卖点展示类素材\\【01】上层薄抽\\ 【61】【微水泥奶油白+兰亭香樟木纹】海口吴小姐 【上层的薄抽收纳宝藏】【02】\\ 【61】【微水泥奶油白+兰亭香樟木纹】海口吴小姐 【上层的薄抽收纳宝藏】【02】-3.mp4",</t>
        </is>
      </c>
    </row>
    <row r="780">
      <c r="A780" s="7" t="n">
        <v>777</v>
      </c>
      <c r="B780" s="8" t="inlineStr">
        <is>
          <t xml:space="preserve">      "file_hash": "637de094a4699112",</t>
        </is>
      </c>
    </row>
    <row r="781">
      <c r="A781" s="9" t="n">
        <v>778</v>
      </c>
      <c r="B781" s="10" t="inlineStr">
        <is>
          <t xml:space="preserve">      "type": "卖点",</t>
        </is>
      </c>
    </row>
    <row r="782">
      <c r="A782" s="7" t="n">
        <v>779</v>
      </c>
      <c r="B782" s="8" t="inlineStr">
        <is>
          <t xml:space="preserve">      "main_tag": "上层的薄抽收纳宝藏",</t>
        </is>
      </c>
    </row>
    <row r="783">
      <c r="A783" s="9" t="n">
        <v>780</v>
      </c>
      <c r="B783" s="10" t="inlineStr">
        <is>
          <t xml:space="preserve">      "folder_name": " 【61】【微水泥奶油白+兰亭香樟木纹】海口吴小姐 【上层的薄抽收纳宝藏】【02】",</t>
        </is>
      </c>
    </row>
    <row r="784">
      <c r="A784" s="7" t="n">
        <v>781</v>
      </c>
      <c r="B784" s="8" t="inlineStr">
        <is>
          <t xml:space="preserve">      "materials": [</t>
        </is>
      </c>
    </row>
    <row r="785">
      <c r="A785" s="9" t="n">
        <v>782</v>
      </c>
      <c r="B785" s="10" t="inlineStr">
        <is>
          <t xml:space="preserve">        "微水泥",</t>
        </is>
      </c>
    </row>
    <row r="786">
      <c r="A786" s="7" t="n">
        <v>783</v>
      </c>
      <c r="B786" s="8" t="inlineStr">
        <is>
          <t xml:space="preserve">        "奶油白",</t>
        </is>
      </c>
    </row>
    <row r="787">
      <c r="A787" s="9" t="n">
        <v>784</v>
      </c>
      <c r="B787" s="10" t="inlineStr">
        <is>
          <t xml:space="preserve">        "香樟",</t>
        </is>
      </c>
    </row>
    <row r="788">
      <c r="A788" s="7" t="n">
        <v>785</v>
      </c>
      <c r="B788" s="8" t="inlineStr">
        <is>
          <t xml:space="preserve">        "木纹"</t>
        </is>
      </c>
    </row>
    <row r="789">
      <c r="A789" s="9" t="n">
        <v>786</v>
      </c>
      <c r="B789" s="10" t="inlineStr">
        <is>
          <t xml:space="preserve">      ],</t>
        </is>
      </c>
    </row>
    <row r="790">
      <c r="A790" s="7" t="n">
        <v>787</v>
      </c>
      <c r="B790" s="8" t="inlineStr">
        <is>
          <t xml:space="preserve">      "colors": [</t>
        </is>
      </c>
    </row>
    <row r="791">
      <c r="A791" s="9" t="n">
        <v>788</v>
      </c>
      <c r="B791" s="10" t="inlineStr">
        <is>
          <t xml:space="preserve">        "奶油白",</t>
        </is>
      </c>
    </row>
    <row r="792">
      <c r="A792" s="7" t="n">
        <v>789</v>
      </c>
      <c r="B792" s="8" t="inlineStr">
        <is>
          <t xml:space="preserve">        "微水泥奶油白"</t>
        </is>
      </c>
    </row>
    <row r="793">
      <c r="A793" s="9" t="n">
        <v>790</v>
      </c>
      <c r="B793" s="10" t="inlineStr">
        <is>
          <t xml:space="preserve">      ],</t>
        </is>
      </c>
    </row>
    <row r="794">
      <c r="A794" s="7" t="n">
        <v>791</v>
      </c>
      <c r="B794" s="8" t="inlineStr">
        <is>
          <t xml:space="preserve">      "actions": [</t>
        </is>
      </c>
    </row>
    <row r="795">
      <c r="A795" s="9" t="n">
        <v>792</v>
      </c>
      <c r="B795" s="10" t="inlineStr">
        <is>
          <t xml:space="preserve">        "收纳"</t>
        </is>
      </c>
    </row>
    <row r="796">
      <c r="A796" s="7" t="n">
        <v>793</v>
      </c>
      <c r="B796" s="8" t="inlineStr">
        <is>
          <t xml:space="preserve">      ],</t>
        </is>
      </c>
    </row>
    <row r="797">
      <c r="A797" s="9" t="n">
        <v>794</v>
      </c>
      <c r="B797" s="10" t="inlineStr">
        <is>
          <t xml:space="preserve">      "raw_tags": [</t>
        </is>
      </c>
    </row>
    <row r="798">
      <c r="A798" s="7" t="n">
        <v>795</v>
      </c>
      <c r="B798" s="8" t="inlineStr">
        <is>
          <t xml:space="preserve">        "上层的薄抽收纳宝藏"</t>
        </is>
      </c>
    </row>
    <row r="799">
      <c r="A799" s="9" t="n">
        <v>796</v>
      </c>
      <c r="B799" s="10" t="inlineStr">
        <is>
          <t xml:space="preserve">      ],</t>
        </is>
      </c>
    </row>
    <row r="800">
      <c r="A800" s="7" t="n">
        <v>797</v>
      </c>
      <c r="B800" s="8" t="inlineStr">
        <is>
          <t xml:space="preserve">      "quality_score": 1.0,</t>
        </is>
      </c>
    </row>
    <row r="801">
      <c r="A801" s="9" t="n">
        <v>798</v>
      </c>
      <c r="B801" s="10" t="inlineStr">
        <is>
          <t xml:space="preserve">      "processed_time": "2026-06-07T14:46:18.595479",</t>
        </is>
      </c>
    </row>
    <row r="802">
      <c r="A802" s="7" t="n">
        <v>799</v>
      </c>
      <c r="B802" s="8" t="inlineStr">
        <is>
          <t xml:space="preserve">      "file_size_mb": 26.46,</t>
        </is>
      </c>
    </row>
    <row r="803">
      <c r="A803" s="9" t="n">
        <v>800</v>
      </c>
      <c r="B803" s="10" t="inlineStr">
        <is>
          <t xml:space="preserve">      "file_mtime": "2026-01-12T13:09:44.430455"</t>
        </is>
      </c>
    </row>
    <row r="804">
      <c r="A804" s="7" t="n">
        <v>801</v>
      </c>
      <c r="B804" s="8" t="inlineStr">
        <is>
          <t xml:space="preserve">    },</t>
        </is>
      </c>
    </row>
    <row r="805">
      <c r="A805" s="9" t="n">
        <v>802</v>
      </c>
      <c r="B805" s="10" t="inlineStr">
        <is>
          <t xml:space="preserve">    "9b4d835f8f61578a": {</t>
        </is>
      </c>
    </row>
    <row r="806">
      <c r="A806" s="7" t="n">
        <v>803</v>
      </c>
      <c r="B806" s="8" t="inlineStr">
        <is>
          <t xml:space="preserve">      "path": "Z:\\已处理素材\\卖点展示类素材\\【01】上层薄抽\\ 【61】【微水泥奶油白+兰亭香樟木纹】海口吴小姐 【岛台上层薄抽收纳宝藏】【02】\\ 【61】【微水泥奶油白+兰亭香樟木纹】海口吴小姐 【岛台上层薄抽收纳宝藏】【02】-1.mp4",</t>
        </is>
      </c>
    </row>
    <row r="807">
      <c r="A807" s="9" t="n">
        <v>804</v>
      </c>
      <c r="B807" s="10" t="inlineStr">
        <is>
          <t xml:space="preserve">      "file_hash": "9b4d835f8f61578a",</t>
        </is>
      </c>
    </row>
    <row r="808">
      <c r="A808" s="7" t="n">
        <v>805</v>
      </c>
      <c r="B808" s="8" t="inlineStr">
        <is>
          <t xml:space="preserve">      "type": "卖点",</t>
        </is>
      </c>
    </row>
    <row r="809">
      <c r="A809" s="9" t="n">
        <v>806</v>
      </c>
      <c r="B809" s="10" t="inlineStr">
        <is>
          <t xml:space="preserve">      "main_tag": "岛台上层薄抽收纳宝藏",</t>
        </is>
      </c>
    </row>
    <row r="810">
      <c r="A810" s="7" t="n">
        <v>807</v>
      </c>
      <c r="B810" s="8" t="inlineStr">
        <is>
          <t xml:space="preserve">      "folder_name": " 【61】【微水泥奶油白+兰亭香樟木纹】海口吴小姐 【岛台上层薄抽收纳宝藏】【02】",</t>
        </is>
      </c>
    </row>
    <row r="811">
      <c r="A811" s="9" t="n">
        <v>808</v>
      </c>
      <c r="B811" s="10" t="inlineStr">
        <is>
          <t xml:space="preserve">      "materials": [</t>
        </is>
      </c>
    </row>
    <row r="812">
      <c r="A812" s="7" t="n">
        <v>809</v>
      </c>
      <c r="B812" s="8" t="inlineStr">
        <is>
          <t xml:space="preserve">        "微水泥",</t>
        </is>
      </c>
    </row>
    <row r="813">
      <c r="A813" s="9" t="n">
        <v>810</v>
      </c>
      <c r="B813" s="10" t="inlineStr">
        <is>
          <t xml:space="preserve">        "奶油白",</t>
        </is>
      </c>
    </row>
    <row r="814">
      <c r="A814" s="7" t="n">
        <v>811</v>
      </c>
      <c r="B814" s="8" t="inlineStr">
        <is>
          <t xml:space="preserve">        "香樟",</t>
        </is>
      </c>
    </row>
    <row r="815">
      <c r="A815" s="9" t="n">
        <v>812</v>
      </c>
      <c r="B815" s="10" t="inlineStr">
        <is>
          <t xml:space="preserve">        "木纹"</t>
        </is>
      </c>
    </row>
    <row r="816">
      <c r="A816" s="7" t="n">
        <v>813</v>
      </c>
      <c r="B816" s="8" t="inlineStr">
        <is>
          <t xml:space="preserve">      ],</t>
        </is>
      </c>
    </row>
    <row r="817">
      <c r="A817" s="9" t="n">
        <v>814</v>
      </c>
      <c r="B817" s="10" t="inlineStr">
        <is>
          <t xml:space="preserve">      "colors": [</t>
        </is>
      </c>
    </row>
    <row r="818">
      <c r="A818" s="7" t="n">
        <v>815</v>
      </c>
      <c r="B818" s="8" t="inlineStr">
        <is>
          <t xml:space="preserve">        "奶油白",</t>
        </is>
      </c>
    </row>
    <row r="819">
      <c r="A819" s="9" t="n">
        <v>816</v>
      </c>
      <c r="B819" s="10" t="inlineStr">
        <is>
          <t xml:space="preserve">        "微水泥奶油白"</t>
        </is>
      </c>
    </row>
    <row r="820">
      <c r="A820" s="7" t="n">
        <v>817</v>
      </c>
      <c r="B820" s="8" t="inlineStr">
        <is>
          <t xml:space="preserve">      ],</t>
        </is>
      </c>
    </row>
    <row r="821">
      <c r="A821" s="9" t="n">
        <v>818</v>
      </c>
      <c r="B821" s="10" t="inlineStr">
        <is>
          <t xml:space="preserve">      "actions": [</t>
        </is>
      </c>
    </row>
    <row r="822">
      <c r="A822" s="7" t="n">
        <v>819</v>
      </c>
      <c r="B822" s="8" t="inlineStr">
        <is>
          <t xml:space="preserve">        "收纳"</t>
        </is>
      </c>
    </row>
    <row r="823">
      <c r="A823" s="9" t="n">
        <v>820</v>
      </c>
      <c r="B823" s="10" t="inlineStr">
        <is>
          <t xml:space="preserve">      ],</t>
        </is>
      </c>
    </row>
    <row r="824">
      <c r="A824" s="7" t="n">
        <v>821</v>
      </c>
      <c r="B824" s="8" t="inlineStr">
        <is>
          <t xml:space="preserve">      "raw_tags": [</t>
        </is>
      </c>
    </row>
    <row r="825">
      <c r="A825" s="9" t="n">
        <v>822</v>
      </c>
      <c r="B825" s="10" t="inlineStr">
        <is>
          <t xml:space="preserve">        "岛台上层薄抽收纳宝藏"</t>
        </is>
      </c>
    </row>
    <row r="826">
      <c r="A826" s="7" t="n">
        <v>823</v>
      </c>
      <c r="B826" s="8" t="inlineStr">
        <is>
          <t xml:space="preserve">      ],</t>
        </is>
      </c>
    </row>
    <row r="827">
      <c r="A827" s="9" t="n">
        <v>824</v>
      </c>
      <c r="B827" s="10" t="inlineStr">
        <is>
          <t xml:space="preserve">      "quality_score": 1.0,</t>
        </is>
      </c>
    </row>
    <row r="828">
      <c r="A828" s="7" t="n">
        <v>825</v>
      </c>
      <c r="B828" s="8" t="inlineStr">
        <is>
          <t xml:space="preserve">      "processed_time": "2026-06-07T14:46:18.596476",</t>
        </is>
      </c>
    </row>
    <row r="829">
      <c r="A829" s="9" t="n">
        <v>826</v>
      </c>
      <c r="B829" s="10" t="inlineStr">
        <is>
          <t xml:space="preserve">      "file_size_mb": 18.59,</t>
        </is>
      </c>
    </row>
    <row r="830">
      <c r="A830" s="7" t="n">
        <v>827</v>
      </c>
      <c r="B830" s="8" t="inlineStr">
        <is>
          <t xml:space="preserve">      "file_mtime": "2026-01-12T13:13:03.383446"</t>
        </is>
      </c>
    </row>
    <row r="831">
      <c r="A831" s="9" t="n">
        <v>828</v>
      </c>
      <c r="B831" s="10" t="inlineStr">
        <is>
          <t xml:space="preserve">    },</t>
        </is>
      </c>
    </row>
    <row r="832">
      <c r="A832" s="7" t="n">
        <v>829</v>
      </c>
      <c r="B832" s="8" t="inlineStr">
        <is>
          <t xml:space="preserve">    "77a388bb515beccd": {</t>
        </is>
      </c>
    </row>
    <row r="833">
      <c r="A833" s="9" t="n">
        <v>830</v>
      </c>
      <c r="B833" s="10" t="inlineStr">
        <is>
          <t xml:space="preserve">      "path": "Z:\\已处理素材\\卖点展示类素材\\【01】上层薄抽\\ 【61】【微水泥奶油白+兰亭香樟木纹】海口吴小姐 【岛台上层薄抽收纳宝藏】【02】\\ 【61】【微水泥奶油白+兰亭香樟木纹】海口吴小姐 【岛台上层薄抽收纳宝藏】【02】-2.mp4",</t>
        </is>
      </c>
    </row>
    <row r="834">
      <c r="A834" s="7" t="n">
        <v>831</v>
      </c>
      <c r="B834" s="8" t="inlineStr">
        <is>
          <t xml:space="preserve">      "file_hash": "77a388bb515beccd",</t>
        </is>
      </c>
    </row>
    <row r="835">
      <c r="A835" s="9" t="n">
        <v>832</v>
      </c>
      <c r="B835" s="10" t="inlineStr">
        <is>
          <t xml:space="preserve">      "type": "卖点",</t>
        </is>
      </c>
    </row>
    <row r="836">
      <c r="A836" s="7" t="n">
        <v>833</v>
      </c>
      <c r="B836" s="8" t="inlineStr">
        <is>
          <t xml:space="preserve">      "main_tag": "岛台上层薄抽收纳宝藏",</t>
        </is>
      </c>
    </row>
    <row r="837">
      <c r="A837" s="9" t="n">
        <v>834</v>
      </c>
      <c r="B837" s="10" t="inlineStr">
        <is>
          <t xml:space="preserve">      "folder_name": " 【61】【微水泥奶油白+兰亭香樟木纹】海口吴小姐 【岛台上层薄抽收纳宝藏】【02】",</t>
        </is>
      </c>
    </row>
    <row r="838">
      <c r="A838" s="7" t="n">
        <v>835</v>
      </c>
      <c r="B838" s="8" t="inlineStr">
        <is>
          <t xml:space="preserve">      "materials": [</t>
        </is>
      </c>
    </row>
    <row r="839">
      <c r="A839" s="9" t="n">
        <v>836</v>
      </c>
      <c r="B839" s="10" t="inlineStr">
        <is>
          <t xml:space="preserve">        "微水泥",</t>
        </is>
      </c>
    </row>
    <row r="840">
      <c r="A840" s="7" t="n">
        <v>837</v>
      </c>
      <c r="B840" s="8" t="inlineStr">
        <is>
          <t xml:space="preserve">        "奶油白",</t>
        </is>
      </c>
    </row>
    <row r="841">
      <c r="A841" s="9" t="n">
        <v>838</v>
      </c>
      <c r="B841" s="10" t="inlineStr">
        <is>
          <t xml:space="preserve">        "香樟",</t>
        </is>
      </c>
    </row>
    <row r="842">
      <c r="A842" s="7" t="n">
        <v>839</v>
      </c>
      <c r="B842" s="8" t="inlineStr">
        <is>
          <t xml:space="preserve">        "木纹"</t>
        </is>
      </c>
    </row>
    <row r="843">
      <c r="A843" s="9" t="n">
        <v>840</v>
      </c>
      <c r="B843" s="10" t="inlineStr">
        <is>
          <t xml:space="preserve">      ],</t>
        </is>
      </c>
    </row>
    <row r="844">
      <c r="A844" s="7" t="n">
        <v>841</v>
      </c>
      <c r="B844" s="8" t="inlineStr">
        <is>
          <t xml:space="preserve">      "colors": [</t>
        </is>
      </c>
    </row>
    <row r="845">
      <c r="A845" s="9" t="n">
        <v>842</v>
      </c>
      <c r="B845" s="10" t="inlineStr">
        <is>
          <t xml:space="preserve">        "奶油白",</t>
        </is>
      </c>
    </row>
    <row r="846">
      <c r="A846" s="7" t="n">
        <v>843</v>
      </c>
      <c r="B846" s="8" t="inlineStr">
        <is>
          <t xml:space="preserve">        "微水泥奶油白"</t>
        </is>
      </c>
    </row>
    <row r="847">
      <c r="A847" s="9" t="n">
        <v>844</v>
      </c>
      <c r="B847" s="10" t="inlineStr">
        <is>
          <t xml:space="preserve">      ],</t>
        </is>
      </c>
    </row>
    <row r="848">
      <c r="A848" s="7" t="n">
        <v>845</v>
      </c>
      <c r="B848" s="8" t="inlineStr">
        <is>
          <t xml:space="preserve">      "actions": [</t>
        </is>
      </c>
    </row>
    <row r="849">
      <c r="A849" s="9" t="n">
        <v>846</v>
      </c>
      <c r="B849" s="10" t="inlineStr">
        <is>
          <t xml:space="preserve">        "收纳"</t>
        </is>
      </c>
    </row>
    <row r="850">
      <c r="A850" s="7" t="n">
        <v>847</v>
      </c>
      <c r="B850" s="8" t="inlineStr">
        <is>
          <t xml:space="preserve">      ],</t>
        </is>
      </c>
    </row>
    <row r="851">
      <c r="A851" s="9" t="n">
        <v>848</v>
      </c>
      <c r="B851" s="10" t="inlineStr">
        <is>
          <t xml:space="preserve">      "raw_tags": [</t>
        </is>
      </c>
    </row>
    <row r="852">
      <c r="A852" s="7" t="n">
        <v>849</v>
      </c>
      <c r="B852" s="8" t="inlineStr">
        <is>
          <t xml:space="preserve">        "岛台上层薄抽收纳宝藏"</t>
        </is>
      </c>
    </row>
    <row r="853">
      <c r="A853" s="9" t="n">
        <v>850</v>
      </c>
      <c r="B853" s="10" t="inlineStr">
        <is>
          <t xml:space="preserve">      ],</t>
        </is>
      </c>
    </row>
    <row r="854">
      <c r="A854" s="7" t="n">
        <v>851</v>
      </c>
      <c r="B854" s="8" t="inlineStr">
        <is>
          <t xml:space="preserve">      "quality_score": 1.0,</t>
        </is>
      </c>
    </row>
    <row r="855">
      <c r="A855" s="9" t="n">
        <v>852</v>
      </c>
      <c r="B855" s="10" t="inlineStr">
        <is>
          <t xml:space="preserve">      "processed_time": "2026-06-07T14:46:18.597473",</t>
        </is>
      </c>
    </row>
    <row r="856">
      <c r="A856" s="7" t="n">
        <v>853</v>
      </c>
      <c r="B856" s="8" t="inlineStr">
        <is>
          <t xml:space="preserve">      "file_size_mb": 16.58,</t>
        </is>
      </c>
    </row>
    <row r="857">
      <c r="A857" s="9" t="n">
        <v>854</v>
      </c>
      <c r="B857" s="10" t="inlineStr">
        <is>
          <t xml:space="preserve">      "file_mtime": "2026-01-12T13:13:05.107189"</t>
        </is>
      </c>
    </row>
    <row r="858">
      <c r="A858" s="7" t="n">
        <v>855</v>
      </c>
      <c r="B858" s="8" t="inlineStr">
        <is>
          <t xml:space="preserve">    },</t>
        </is>
      </c>
    </row>
    <row r="859">
      <c r="A859" s="9" t="n">
        <v>856</v>
      </c>
      <c r="B859" s="10" t="inlineStr">
        <is>
          <t xml:space="preserve">    "7d88aa592ab28a45": {</t>
        </is>
      </c>
    </row>
    <row r="860">
      <c r="A860" s="7" t="n">
        <v>857</v>
      </c>
      <c r="B860" s="8" t="inlineStr">
        <is>
          <t xml:space="preserve">      "path": "Z:\\已处理素材\\卖点展示类素材\\【01】上层薄抽\\ 【61】【微水泥奶油白+兰亭香樟木纹】海口吴小姐 【岛台上层薄抽收纳宝藏】【02】\\ 【61】【微水泥奶油白+兰亭香樟木纹】海口吴小姐 【岛台上层薄抽收纳宝藏】【02】-3.mp4",</t>
        </is>
      </c>
    </row>
    <row r="861">
      <c r="A861" s="9" t="n">
        <v>858</v>
      </c>
      <c r="B861" s="10" t="inlineStr">
        <is>
          <t xml:space="preserve">      "file_hash": "7d88aa592ab28a45",</t>
        </is>
      </c>
    </row>
    <row r="862">
      <c r="A862" s="7" t="n">
        <v>859</v>
      </c>
      <c r="B862" s="8" t="inlineStr">
        <is>
          <t xml:space="preserve">      "type": "卖点",</t>
        </is>
      </c>
    </row>
    <row r="863">
      <c r="A863" s="9" t="n">
        <v>860</v>
      </c>
      <c r="B863" s="10" t="inlineStr">
        <is>
          <t xml:space="preserve">      "main_tag": "岛台上层薄抽收纳宝藏",</t>
        </is>
      </c>
    </row>
    <row r="864">
      <c r="A864" s="7" t="n">
        <v>861</v>
      </c>
      <c r="B864" s="8" t="inlineStr">
        <is>
          <t xml:space="preserve">      "folder_name": " 【61】【微水泥奶油白+兰亭香樟木纹】海口吴小姐 【岛台上层薄抽收纳宝藏】【02】",</t>
        </is>
      </c>
    </row>
    <row r="865">
      <c r="A865" s="9" t="n">
        <v>862</v>
      </c>
      <c r="B865" s="10" t="inlineStr">
        <is>
          <t xml:space="preserve">      "materials": [</t>
        </is>
      </c>
    </row>
    <row r="866">
      <c r="A866" s="7" t="n">
        <v>863</v>
      </c>
      <c r="B866" s="8" t="inlineStr">
        <is>
          <t xml:space="preserve">        "微水泥",</t>
        </is>
      </c>
    </row>
    <row r="867">
      <c r="A867" s="9" t="n">
        <v>864</v>
      </c>
      <c r="B867" s="10" t="inlineStr">
        <is>
          <t xml:space="preserve">        "奶油白",</t>
        </is>
      </c>
    </row>
    <row r="868">
      <c r="A868" s="7" t="n">
        <v>865</v>
      </c>
      <c r="B868" s="8" t="inlineStr">
        <is>
          <t xml:space="preserve">        "香樟",</t>
        </is>
      </c>
    </row>
    <row r="869">
      <c r="A869" s="9" t="n">
        <v>866</v>
      </c>
      <c r="B869" s="10" t="inlineStr">
        <is>
          <t xml:space="preserve">        "木纹"</t>
        </is>
      </c>
    </row>
    <row r="870">
      <c r="A870" s="7" t="n">
        <v>867</v>
      </c>
      <c r="B870" s="8" t="inlineStr">
        <is>
          <t xml:space="preserve">      ],</t>
        </is>
      </c>
    </row>
    <row r="871">
      <c r="A871" s="9" t="n">
        <v>868</v>
      </c>
      <c r="B871" s="10" t="inlineStr">
        <is>
          <t xml:space="preserve">      "colors": [</t>
        </is>
      </c>
    </row>
    <row r="872">
      <c r="A872" s="7" t="n">
        <v>869</v>
      </c>
      <c r="B872" s="8" t="inlineStr">
        <is>
          <t xml:space="preserve">        "奶油白",</t>
        </is>
      </c>
    </row>
    <row r="873">
      <c r="A873" s="9" t="n">
        <v>870</v>
      </c>
      <c r="B873" s="10" t="inlineStr">
        <is>
          <t xml:space="preserve">        "微水泥奶油白"</t>
        </is>
      </c>
    </row>
    <row r="874">
      <c r="A874" s="7" t="n">
        <v>871</v>
      </c>
      <c r="B874" s="8" t="inlineStr">
        <is>
          <t xml:space="preserve">      ],</t>
        </is>
      </c>
    </row>
    <row r="875">
      <c r="A875" s="9" t="n">
        <v>872</v>
      </c>
      <c r="B875" s="10" t="inlineStr">
        <is>
          <t xml:space="preserve">      "actions": [</t>
        </is>
      </c>
    </row>
    <row r="876">
      <c r="A876" s="7" t="n">
        <v>873</v>
      </c>
      <c r="B876" s="8" t="inlineStr">
        <is>
          <t xml:space="preserve">        "收纳"</t>
        </is>
      </c>
    </row>
    <row r="877">
      <c r="A877" s="9" t="n">
        <v>874</v>
      </c>
      <c r="B877" s="10" t="inlineStr">
        <is>
          <t xml:space="preserve">      ],</t>
        </is>
      </c>
    </row>
    <row r="878">
      <c r="A878" s="7" t="n">
        <v>875</v>
      </c>
      <c r="B878" s="8" t="inlineStr">
        <is>
          <t xml:space="preserve">      "raw_tags": [</t>
        </is>
      </c>
    </row>
    <row r="879">
      <c r="A879" s="9" t="n">
        <v>876</v>
      </c>
      <c r="B879" s="10" t="inlineStr">
        <is>
          <t xml:space="preserve">        "岛台上层薄抽收纳宝藏"</t>
        </is>
      </c>
    </row>
    <row r="880">
      <c r="A880" s="7" t="n">
        <v>877</v>
      </c>
      <c r="B880" s="8" t="inlineStr">
        <is>
          <t xml:space="preserve">      ],</t>
        </is>
      </c>
    </row>
    <row r="881">
      <c r="A881" s="9" t="n">
        <v>878</v>
      </c>
      <c r="B881" s="10" t="inlineStr">
        <is>
          <t xml:space="preserve">      "quality_score": 1.0,</t>
        </is>
      </c>
    </row>
    <row r="882">
      <c r="A882" s="7" t="n">
        <v>879</v>
      </c>
      <c r="B882" s="8" t="inlineStr">
        <is>
          <t xml:space="preserve">      "processed_time": "2026-06-07T14:46:18.598469",</t>
        </is>
      </c>
    </row>
    <row r="883">
      <c r="A883" s="9" t="n">
        <v>880</v>
      </c>
      <c r="B883" s="10" t="inlineStr">
        <is>
          <t xml:space="preserve">      "file_size_mb": 31.86,</t>
        </is>
      </c>
    </row>
    <row r="884">
      <c r="A884" s="7" t="n">
        <v>881</v>
      </c>
      <c r="B884" s="8" t="inlineStr">
        <is>
          <t xml:space="preserve">      "file_mtime": "2026-01-12T13:13:08.098716"</t>
        </is>
      </c>
    </row>
    <row r="885">
      <c r="A885" s="9" t="n">
        <v>882</v>
      </c>
      <c r="B885" s="10" t="inlineStr">
        <is>
          <t xml:space="preserve">    },</t>
        </is>
      </c>
    </row>
    <row r="886">
      <c r="A886" s="7" t="n">
        <v>883</v>
      </c>
      <c r="B886" s="8" t="inlineStr">
        <is>
          <t xml:space="preserve">    "c4306241136925be": {</t>
        </is>
      </c>
    </row>
    <row r="887">
      <c r="A887" s="9" t="n">
        <v>884</v>
      </c>
      <c r="B887" s="10" t="inlineStr">
        <is>
          <t xml:space="preserve">      "path": "Z:\\已处理素材\\卖点展示类素材\\【01】上层薄抽\\ 【61】【微水泥奶油白+兰亭香樟木纹】海口吴小姐 【岛台上层薄抽收纳宝藏】【02】\\ 【61】【微水泥奶油白+兰亭香樟木纹】海口吴小姐 【岛台上层薄抽收纳宝藏】【02】-4.mp4",</t>
        </is>
      </c>
    </row>
    <row r="888">
      <c r="A888" s="7" t="n">
        <v>885</v>
      </c>
      <c r="B888" s="8" t="inlineStr">
        <is>
          <t xml:space="preserve">      "file_hash": "c4306241136925be",</t>
        </is>
      </c>
    </row>
    <row r="889">
      <c r="A889" s="9" t="n">
        <v>886</v>
      </c>
      <c r="B889" s="10" t="inlineStr">
        <is>
          <t xml:space="preserve">      "type": "卖点",</t>
        </is>
      </c>
    </row>
    <row r="890">
      <c r="A890" s="7" t="n">
        <v>887</v>
      </c>
      <c r="B890" s="8" t="inlineStr">
        <is>
          <t xml:space="preserve">      "main_tag": "岛台上层薄抽收纳宝藏",</t>
        </is>
      </c>
    </row>
    <row r="891">
      <c r="A891" s="9" t="n">
        <v>888</v>
      </c>
      <c r="B891" s="10" t="inlineStr">
        <is>
          <t xml:space="preserve">      "folder_name": " 【61】【微水泥奶油白+兰亭香樟木纹】海口吴小姐 【岛台上层薄抽收纳宝藏】【02】",</t>
        </is>
      </c>
    </row>
    <row r="892">
      <c r="A892" s="7" t="n">
        <v>889</v>
      </c>
      <c r="B892" s="8" t="inlineStr">
        <is>
          <t xml:space="preserve">      "materials": [</t>
        </is>
      </c>
    </row>
    <row r="893">
      <c r="A893" s="9" t="n">
        <v>890</v>
      </c>
      <c r="B893" s="10" t="inlineStr">
        <is>
          <t xml:space="preserve">        "微水泥",</t>
        </is>
      </c>
    </row>
    <row r="894">
      <c r="A894" s="7" t="n">
        <v>891</v>
      </c>
      <c r="B894" s="8" t="inlineStr">
        <is>
          <t xml:space="preserve">        "奶油白",</t>
        </is>
      </c>
    </row>
    <row r="895">
      <c r="A895" s="9" t="n">
        <v>892</v>
      </c>
      <c r="B895" s="10" t="inlineStr">
        <is>
          <t xml:space="preserve">        "香樟",</t>
        </is>
      </c>
    </row>
    <row r="896">
      <c r="A896" s="7" t="n">
        <v>893</v>
      </c>
      <c r="B896" s="8" t="inlineStr">
        <is>
          <t xml:space="preserve">        "木纹"</t>
        </is>
      </c>
    </row>
    <row r="897">
      <c r="A897" s="9" t="n">
        <v>894</v>
      </c>
      <c r="B897" s="10" t="inlineStr">
        <is>
          <t xml:space="preserve">      ],</t>
        </is>
      </c>
    </row>
    <row r="898">
      <c r="A898" s="7" t="n">
        <v>895</v>
      </c>
      <c r="B898" s="8" t="inlineStr">
        <is>
          <t xml:space="preserve">      "colors": [</t>
        </is>
      </c>
    </row>
    <row r="899">
      <c r="A899" s="9" t="n">
        <v>896</v>
      </c>
      <c r="B899" s="10" t="inlineStr">
        <is>
          <t xml:space="preserve">        "奶油白",</t>
        </is>
      </c>
    </row>
    <row r="900">
      <c r="A900" s="7" t="n">
        <v>897</v>
      </c>
      <c r="B900" s="8" t="inlineStr">
        <is>
          <t xml:space="preserve">        "微水泥奶油白"</t>
        </is>
      </c>
    </row>
    <row r="901">
      <c r="A901" s="9" t="n">
        <v>898</v>
      </c>
      <c r="B901" s="10" t="inlineStr">
        <is>
          <t xml:space="preserve">      ],</t>
        </is>
      </c>
    </row>
    <row r="902">
      <c r="A902" s="7" t="n">
        <v>899</v>
      </c>
      <c r="B902" s="8" t="inlineStr">
        <is>
          <t xml:space="preserve">      "actions": [</t>
        </is>
      </c>
    </row>
    <row r="903">
      <c r="A903" s="9" t="n">
        <v>900</v>
      </c>
      <c r="B903" s="10" t="inlineStr">
        <is>
          <t xml:space="preserve">        "收纳"</t>
        </is>
      </c>
    </row>
    <row r="904">
      <c r="A904" s="7" t="n">
        <v>901</v>
      </c>
      <c r="B904" s="8" t="inlineStr">
        <is>
          <t xml:space="preserve">      ],</t>
        </is>
      </c>
    </row>
    <row r="905">
      <c r="A905" s="9" t="n">
        <v>902</v>
      </c>
      <c r="B905" s="10" t="inlineStr">
        <is>
          <t xml:space="preserve">      "raw_tags": [</t>
        </is>
      </c>
    </row>
    <row r="906">
      <c r="A906" s="7" t="n">
        <v>903</v>
      </c>
      <c r="B906" s="8" t="inlineStr">
        <is>
          <t xml:space="preserve">        "岛台上层薄抽收纳宝藏"</t>
        </is>
      </c>
    </row>
    <row r="907">
      <c r="A907" s="9" t="n">
        <v>904</v>
      </c>
      <c r="B907" s="10" t="inlineStr">
        <is>
          <t xml:space="preserve">      ],</t>
        </is>
      </c>
    </row>
    <row r="908">
      <c r="A908" s="7" t="n">
        <v>905</v>
      </c>
      <c r="B908" s="8" t="inlineStr">
        <is>
          <t xml:space="preserve">      "quality_score": 1.0,</t>
        </is>
      </c>
    </row>
    <row r="909">
      <c r="A909" s="9" t="n">
        <v>906</v>
      </c>
      <c r="B909" s="10" t="inlineStr">
        <is>
          <t xml:space="preserve">      "processed_time": "2026-06-07T14:46:18.600463",</t>
        </is>
      </c>
    </row>
    <row r="910">
      <c r="A910" s="7" t="n">
        <v>907</v>
      </c>
      <c r="B910" s="8" t="inlineStr">
        <is>
          <t xml:space="preserve">      "file_size_mb": 26.46,</t>
        </is>
      </c>
    </row>
    <row r="911">
      <c r="A911" s="9" t="n">
        <v>908</v>
      </c>
      <c r="B911" s="10" t="inlineStr">
        <is>
          <t xml:space="preserve">      "file_mtime": "2026-01-12T13:13:10.673743"</t>
        </is>
      </c>
    </row>
    <row r="912">
      <c r="A912" s="7" t="n">
        <v>909</v>
      </c>
      <c r="B912" s="8" t="inlineStr">
        <is>
          <t xml:space="preserve">    },</t>
        </is>
      </c>
    </row>
    <row r="913">
      <c r="A913" s="9" t="n">
        <v>910</v>
      </c>
      <c r="B913" s="10" t="inlineStr">
        <is>
          <t xml:space="preserve">    "d5a1e652ab3f4dec": {</t>
        </is>
      </c>
    </row>
    <row r="914">
      <c r="A914" s="7" t="n">
        <v>911</v>
      </c>
      <c r="B914" s="8" t="inlineStr">
        <is>
          <t xml:space="preserve">      "path": "Z:\\已处理素材\\卖点展示类素材\\【01】上层薄抽\\ 【61】【微水泥奶油白+兰亭香樟木纹】海口吴小姐 【岛台上层薄抽收纳展示】【02】\\ 【61】【微水泥奶油白+兰亭香樟木纹】海口吴小姐 【岛台上层薄抽收纳展示】【02】-1.mp4",</t>
        </is>
      </c>
    </row>
    <row r="915">
      <c r="A915" s="9" t="n">
        <v>912</v>
      </c>
      <c r="B915" s="10" t="inlineStr">
        <is>
          <t xml:space="preserve">      "file_hash": "d5a1e652ab3f4dec",</t>
        </is>
      </c>
    </row>
    <row r="916">
      <c r="A916" s="7" t="n">
        <v>913</v>
      </c>
      <c r="B916" s="8" t="inlineStr">
        <is>
          <t xml:space="preserve">      "type": "卖点",</t>
        </is>
      </c>
    </row>
    <row r="917">
      <c r="A917" s="9" t="n">
        <v>914</v>
      </c>
      <c r="B917" s="10" t="inlineStr">
        <is>
          <t xml:space="preserve">      "main_tag": "岛台上层薄抽收纳展示",</t>
        </is>
      </c>
    </row>
    <row r="918">
      <c r="A918" s="7" t="n">
        <v>915</v>
      </c>
      <c r="B918" s="8" t="inlineStr">
        <is>
          <t xml:space="preserve">      "folder_name": " 【61】【微水泥奶油白+兰亭香樟木纹】海口吴小姐 【岛台上层薄抽收纳展示】【02】",</t>
        </is>
      </c>
    </row>
    <row r="919">
      <c r="A919" s="9" t="n">
        <v>916</v>
      </c>
      <c r="B919" s="10" t="inlineStr">
        <is>
          <t xml:space="preserve">      "materials": [</t>
        </is>
      </c>
    </row>
    <row r="920">
      <c r="A920" s="7" t="n">
        <v>917</v>
      </c>
      <c r="B920" s="8" t="inlineStr">
        <is>
          <t xml:space="preserve">        "微水泥",</t>
        </is>
      </c>
    </row>
    <row r="921">
      <c r="A921" s="9" t="n">
        <v>918</v>
      </c>
      <c r="B921" s="10" t="inlineStr">
        <is>
          <t xml:space="preserve">        "奶油白",</t>
        </is>
      </c>
    </row>
    <row r="922">
      <c r="A922" s="7" t="n">
        <v>919</v>
      </c>
      <c r="B922" s="8" t="inlineStr">
        <is>
          <t xml:space="preserve">        "香樟",</t>
        </is>
      </c>
    </row>
    <row r="923">
      <c r="A923" s="9" t="n">
        <v>920</v>
      </c>
      <c r="B923" s="10" t="inlineStr">
        <is>
          <t xml:space="preserve">        "木纹"</t>
        </is>
      </c>
    </row>
    <row r="924">
      <c r="A924" s="7" t="n">
        <v>921</v>
      </c>
      <c r="B924" s="8" t="inlineStr">
        <is>
          <t xml:space="preserve">      ],</t>
        </is>
      </c>
    </row>
    <row r="925">
      <c r="A925" s="9" t="n">
        <v>922</v>
      </c>
      <c r="B925" s="10" t="inlineStr">
        <is>
          <t xml:space="preserve">      "colors": [</t>
        </is>
      </c>
    </row>
    <row r="926">
      <c r="A926" s="7" t="n">
        <v>923</v>
      </c>
      <c r="B926" s="8" t="inlineStr">
        <is>
          <t xml:space="preserve">        "奶油白",</t>
        </is>
      </c>
    </row>
    <row r="927">
      <c r="A927" s="9" t="n">
        <v>924</v>
      </c>
      <c r="B927" s="10" t="inlineStr">
        <is>
          <t xml:space="preserve">        "微水泥奶油白"</t>
        </is>
      </c>
    </row>
    <row r="928">
      <c r="A928" s="7" t="n">
        <v>925</v>
      </c>
      <c r="B928" s="8" t="inlineStr">
        <is>
          <t xml:space="preserve">      ],</t>
        </is>
      </c>
    </row>
    <row r="929">
      <c r="A929" s="9" t="n">
        <v>926</v>
      </c>
      <c r="B929" s="10" t="inlineStr">
        <is>
          <t xml:space="preserve">      "actions": [</t>
        </is>
      </c>
    </row>
    <row r="930">
      <c r="A930" s="7" t="n">
        <v>927</v>
      </c>
      <c r="B930" s="8" t="inlineStr">
        <is>
          <t xml:space="preserve">        "展示",</t>
        </is>
      </c>
    </row>
    <row r="931">
      <c r="A931" s="9" t="n">
        <v>928</v>
      </c>
      <c r="B931" s="10" t="inlineStr">
        <is>
          <t xml:space="preserve">        "收纳"</t>
        </is>
      </c>
    </row>
    <row r="932">
      <c r="A932" s="7" t="n">
        <v>929</v>
      </c>
      <c r="B932" s="8" t="inlineStr">
        <is>
          <t xml:space="preserve">      ],</t>
        </is>
      </c>
    </row>
    <row r="933">
      <c r="A933" s="9" t="n">
        <v>930</v>
      </c>
      <c r="B933" s="10" t="inlineStr">
        <is>
          <t xml:space="preserve">      "raw_tags": [</t>
        </is>
      </c>
    </row>
    <row r="934">
      <c r="A934" s="7" t="n">
        <v>931</v>
      </c>
      <c r="B934" s="8" t="inlineStr">
        <is>
          <t xml:space="preserve">        "岛台上层薄抽收纳展示"</t>
        </is>
      </c>
    </row>
    <row r="935">
      <c r="A935" s="9" t="n">
        <v>932</v>
      </c>
      <c r="B935" s="10" t="inlineStr">
        <is>
          <t xml:space="preserve">      ],</t>
        </is>
      </c>
    </row>
    <row r="936">
      <c r="A936" s="7" t="n">
        <v>933</v>
      </c>
      <c r="B936" s="8" t="inlineStr">
        <is>
          <t xml:space="preserve">      "quality_score": 1.0,</t>
        </is>
      </c>
    </row>
    <row r="937">
      <c r="A937" s="9" t="n">
        <v>934</v>
      </c>
      <c r="B937" s="10" t="inlineStr">
        <is>
          <t xml:space="preserve">      "processed_time": "2026-06-07T14:46:18.601459",</t>
        </is>
      </c>
    </row>
    <row r="938">
      <c r="A938" s="7" t="n">
        <v>935</v>
      </c>
      <c r="B938" s="8" t="inlineStr">
        <is>
          <t xml:space="preserve">      "file_size_mb": 34.39,</t>
        </is>
      </c>
    </row>
    <row r="939">
      <c r="A939" s="9" t="n">
        <v>936</v>
      </c>
      <c r="B939" s="10" t="inlineStr">
        <is>
          <t xml:space="preserve">      "file_mtime": "2026-01-12T13:00:44.817511"</t>
        </is>
      </c>
    </row>
    <row r="940">
      <c r="A940" s="7" t="n">
        <v>937</v>
      </c>
      <c r="B940" s="8" t="inlineStr">
        <is>
          <t xml:space="preserve">    },</t>
        </is>
      </c>
    </row>
    <row r="941">
      <c r="A941" s="9" t="n">
        <v>938</v>
      </c>
      <c r="B941" s="10" t="inlineStr">
        <is>
          <t xml:space="preserve">    "6ca843c95d7175a5": {</t>
        </is>
      </c>
    </row>
    <row r="942">
      <c r="A942" s="7" t="n">
        <v>939</v>
      </c>
      <c r="B942" s="8" t="inlineStr">
        <is>
          <t xml:space="preserve">      "path": "Z:\\已处理素材\\卖点展示类素材\\【01】上层薄抽\\152】【维多利亚加纯白哑光】浙江台州梅小姐【岛台上层薄抽收纳层】\\152】【维多利亚加纯白哑光】浙江台州梅小姐【岛台上层薄抽收纳层】-1.mp4",</t>
        </is>
      </c>
    </row>
    <row r="943">
      <c r="A943" s="9" t="n">
        <v>940</v>
      </c>
      <c r="B943" s="10" t="inlineStr">
        <is>
          <t xml:space="preserve">      "file_hash": "6ca843c95d7175a5",</t>
        </is>
      </c>
    </row>
    <row r="944">
      <c r="A944" s="7" t="n">
        <v>941</v>
      </c>
      <c r="B944" s="8" t="inlineStr">
        <is>
          <t xml:space="preserve">      "type": "卖点",</t>
        </is>
      </c>
    </row>
    <row r="945">
      <c r="A945" s="9" t="n">
        <v>942</v>
      </c>
      <c r="B945" s="10" t="inlineStr">
        <is>
          <t xml:space="preserve">      "main_tag": "岛台上层薄抽收纳层",</t>
        </is>
      </c>
    </row>
    <row r="946">
      <c r="A946" s="7" t="n">
        <v>943</v>
      </c>
      <c r="B946" s="8" t="inlineStr">
        <is>
          <t xml:space="preserve">      "folder_name": "152】【维多利亚加纯白哑光】浙江台州梅小姐【岛台上层薄抽收纳层】",</t>
        </is>
      </c>
    </row>
    <row r="947">
      <c r="A947" s="9" t="n">
        <v>944</v>
      </c>
      <c r="B947" s="10" t="inlineStr">
        <is>
          <t xml:space="preserve">      "materials": [</t>
        </is>
      </c>
    </row>
    <row r="948">
      <c r="A948" s="7" t="n">
        <v>945</v>
      </c>
      <c r="B948" s="8" t="inlineStr">
        <is>
          <t xml:space="preserve">        "维多利亚",</t>
        </is>
      </c>
    </row>
    <row r="949">
      <c r="A949" s="9" t="n">
        <v>946</v>
      </c>
      <c r="B949" s="10" t="inlineStr">
        <is>
          <t xml:space="preserve">        "纯白",</t>
        </is>
      </c>
    </row>
    <row r="950">
      <c r="A950" s="7" t="n">
        <v>947</v>
      </c>
      <c r="B950" s="8" t="inlineStr">
        <is>
          <t xml:space="preserve">        "哑光"</t>
        </is>
      </c>
    </row>
    <row r="951">
      <c r="A951" s="9" t="n">
        <v>948</v>
      </c>
      <c r="B951" s="10" t="inlineStr">
        <is>
          <t xml:space="preserve">      ],</t>
        </is>
      </c>
    </row>
    <row r="952">
      <c r="A952" s="7" t="n">
        <v>949</v>
      </c>
      <c r="B952" s="8" t="inlineStr">
        <is>
          <t xml:space="preserve">      "colors": [</t>
        </is>
      </c>
    </row>
    <row r="953">
      <c r="A953" s="9" t="n">
        <v>950</v>
      </c>
      <c r="B953" s="10" t="inlineStr">
        <is>
          <t xml:space="preserve">        "纯白"</t>
        </is>
      </c>
    </row>
    <row r="954">
      <c r="A954" s="7" t="n">
        <v>951</v>
      </c>
      <c r="B954" s="8" t="inlineStr">
        <is>
          <t xml:space="preserve">      ],</t>
        </is>
      </c>
    </row>
    <row r="955">
      <c r="A955" s="9" t="n">
        <v>952</v>
      </c>
      <c r="B955" s="10" t="inlineStr">
        <is>
          <t xml:space="preserve">      "actions": [</t>
        </is>
      </c>
    </row>
    <row r="956">
      <c r="A956" s="7" t="n">
        <v>953</v>
      </c>
      <c r="B956" s="8" t="inlineStr">
        <is>
          <t xml:space="preserve">        "收纳"</t>
        </is>
      </c>
    </row>
    <row r="957">
      <c r="A957" s="9" t="n">
        <v>954</v>
      </c>
      <c r="B957" s="10" t="inlineStr">
        <is>
          <t xml:space="preserve">      ],</t>
        </is>
      </c>
    </row>
    <row r="958">
      <c r="A958" s="7" t="n">
        <v>955</v>
      </c>
      <c r="B958" s="8" t="inlineStr">
        <is>
          <t xml:space="preserve">      "raw_tags": [</t>
        </is>
      </c>
    </row>
    <row r="959">
      <c r="A959" s="9" t="n">
        <v>956</v>
      </c>
      <c r="B959" s="10" t="inlineStr">
        <is>
          <t xml:space="preserve">        "岛台上层薄抽收纳层"</t>
        </is>
      </c>
    </row>
    <row r="960">
      <c r="A960" s="7" t="n">
        <v>957</v>
      </c>
      <c r="B960" s="8" t="inlineStr">
        <is>
          <t xml:space="preserve">      ],</t>
        </is>
      </c>
    </row>
    <row r="961">
      <c r="A961" s="9" t="n">
        <v>958</v>
      </c>
      <c r="B961" s="10" t="inlineStr">
        <is>
          <t xml:space="preserve">      "quality_score": 1.0,</t>
        </is>
      </c>
    </row>
    <row r="962">
      <c r="A962" s="7" t="n">
        <v>959</v>
      </c>
      <c r="B962" s="8" t="inlineStr">
        <is>
          <t xml:space="preserve">      "processed_time": "2026-06-07T14:46:18.603452",</t>
        </is>
      </c>
    </row>
    <row r="963">
      <c r="A963" s="9" t="n">
        <v>960</v>
      </c>
      <c r="B963" s="10" t="inlineStr">
        <is>
          <t xml:space="preserve">      "file_size_mb": 29.16,</t>
        </is>
      </c>
    </row>
    <row r="964">
      <c r="A964" s="7" t="n">
        <v>961</v>
      </c>
      <c r="B964" s="8" t="inlineStr">
        <is>
          <t xml:space="preserve">      "file_mtime": "2026-01-21T17:08:38.208904"</t>
        </is>
      </c>
    </row>
    <row r="965">
      <c r="A965" s="9" t="n">
        <v>962</v>
      </c>
      <c r="B965" s="10" t="inlineStr">
        <is>
          <t xml:space="preserve">    },</t>
        </is>
      </c>
    </row>
    <row r="966">
      <c r="A966" s="7" t="n">
        <v>963</v>
      </c>
      <c r="B966" s="8" t="inlineStr">
        <is>
          <t xml:space="preserve">    "c0b39ba321a6d52c": {</t>
        </is>
      </c>
    </row>
    <row r="967">
      <c r="A967" s="9" t="n">
        <v>964</v>
      </c>
      <c r="B967" s="10" t="inlineStr">
        <is>
          <t xml:space="preserve">      "path": "Z:\\已处理素材\\卖点展示类素材\\【01】上层薄抽\\1【126】【骑士黑+北美黑胡桃】浙江宁波潘先生【岛台上层薄抽收纳层】\\1【126】【骑士黑+北美黑胡桃】浙江宁波潘先生【岛台上层薄抽收纳层】-1.mp4",</t>
        </is>
      </c>
    </row>
    <row r="968">
      <c r="A968" s="7" t="n">
        <v>965</v>
      </c>
      <c r="B968" s="8" t="inlineStr">
        <is>
          <t xml:space="preserve">      "file_hash": "c0b39ba321a6d52c",</t>
        </is>
      </c>
    </row>
    <row r="969">
      <c r="A969" s="9" t="n">
        <v>966</v>
      </c>
      <c r="B969" s="10" t="inlineStr">
        <is>
          <t xml:space="preserve">      "type": "卖点",</t>
        </is>
      </c>
    </row>
    <row r="970">
      <c r="A970" s="7" t="n">
        <v>967</v>
      </c>
      <c r="B970" s="8" t="inlineStr">
        <is>
          <t xml:space="preserve">      "main_tag": "岛台上层薄抽收纳层",</t>
        </is>
      </c>
    </row>
    <row r="971">
      <c r="A971" s="9" t="n">
        <v>968</v>
      </c>
      <c r="B971" s="10" t="inlineStr">
        <is>
          <t xml:space="preserve">      "folder_name": "1【126】【骑士黑+北美黑胡桃】浙江宁波潘先生【岛台上层薄抽收纳层】",</t>
        </is>
      </c>
    </row>
    <row r="972">
      <c r="A972" s="7" t="n">
        <v>969</v>
      </c>
      <c r="B972" s="8" t="inlineStr">
        <is>
          <t xml:space="preserve">      "materials": [</t>
        </is>
      </c>
    </row>
    <row r="973">
      <c r="A973" s="9" t="n">
        <v>970</v>
      </c>
      <c r="B973" s="10" t="inlineStr">
        <is>
          <t xml:space="preserve">        "骑士黑",</t>
        </is>
      </c>
    </row>
    <row r="974">
      <c r="A974" s="7" t="n">
        <v>971</v>
      </c>
      <c r="B974" s="8" t="inlineStr">
        <is>
          <t xml:space="preserve">        "胡桃",</t>
        </is>
      </c>
    </row>
    <row r="975">
      <c r="A975" s="9" t="n">
        <v>972</v>
      </c>
      <c r="B975" s="10" t="inlineStr">
        <is>
          <t xml:space="preserve">        "黑胡桃",</t>
        </is>
      </c>
    </row>
    <row r="976">
      <c r="A976" s="7" t="n">
        <v>973</v>
      </c>
      <c r="B976" s="8" t="inlineStr">
        <is>
          <t xml:space="preserve">        "北美黑胡桃"</t>
        </is>
      </c>
    </row>
    <row r="977">
      <c r="A977" s="9" t="n">
        <v>974</v>
      </c>
      <c r="B977" s="10" t="inlineStr">
        <is>
          <t xml:space="preserve">      ],</t>
        </is>
      </c>
    </row>
    <row r="978">
      <c r="A978" s="7" t="n">
        <v>975</v>
      </c>
      <c r="B978" s="8" t="inlineStr">
        <is>
          <t xml:space="preserve">      "colors": [</t>
        </is>
      </c>
    </row>
    <row r="979">
      <c r="A979" s="9" t="n">
        <v>976</v>
      </c>
      <c r="B979" s="10" t="inlineStr">
        <is>
          <t xml:space="preserve">        "骑士黑"</t>
        </is>
      </c>
    </row>
    <row r="980">
      <c r="A980" s="7" t="n">
        <v>977</v>
      </c>
      <c r="B980" s="8" t="inlineStr">
        <is>
          <t xml:space="preserve">      ],</t>
        </is>
      </c>
    </row>
    <row r="981">
      <c r="A981" s="9" t="n">
        <v>978</v>
      </c>
      <c r="B981" s="10" t="inlineStr">
        <is>
          <t xml:space="preserve">      "actions": [</t>
        </is>
      </c>
    </row>
    <row r="982">
      <c r="A982" s="7" t="n">
        <v>979</v>
      </c>
      <c r="B982" s="8" t="inlineStr">
        <is>
          <t xml:space="preserve">        "收纳"</t>
        </is>
      </c>
    </row>
    <row r="983">
      <c r="A983" s="9" t="n">
        <v>980</v>
      </c>
      <c r="B983" s="10" t="inlineStr">
        <is>
          <t xml:space="preserve">      ],</t>
        </is>
      </c>
    </row>
    <row r="984">
      <c r="A984" s="7" t="n">
        <v>981</v>
      </c>
      <c r="B984" s="8" t="inlineStr">
        <is>
          <t xml:space="preserve">      "raw_tags": [</t>
        </is>
      </c>
    </row>
    <row r="985">
      <c r="A985" s="9" t="n">
        <v>982</v>
      </c>
      <c r="B985" s="10" t="inlineStr">
        <is>
          <t xml:space="preserve">        "岛台上层薄抽收纳层"</t>
        </is>
      </c>
    </row>
    <row r="986">
      <c r="A986" s="7" t="n">
        <v>983</v>
      </c>
      <c r="B986" s="8" t="inlineStr">
        <is>
          <t xml:space="preserve">      ],</t>
        </is>
      </c>
    </row>
    <row r="987">
      <c r="A987" s="9" t="n">
        <v>984</v>
      </c>
      <c r="B987" s="10" t="inlineStr">
        <is>
          <t xml:space="preserve">      "quality_score": 1.0,</t>
        </is>
      </c>
    </row>
    <row r="988">
      <c r="A988" s="7" t="n">
        <v>985</v>
      </c>
      <c r="B988" s="8" t="inlineStr">
        <is>
          <t xml:space="preserve">      "processed_time": "2026-06-07T14:46:18.604449",</t>
        </is>
      </c>
    </row>
    <row r="989">
      <c r="A989" s="9" t="n">
        <v>986</v>
      </c>
      <c r="B989" s="10" t="inlineStr">
        <is>
          <t xml:space="preserve">      "file_size_mb": 26.51,</t>
        </is>
      </c>
    </row>
    <row r="990">
      <c r="A990" s="7" t="n">
        <v>987</v>
      </c>
      <c r="B990" s="8" t="inlineStr">
        <is>
          <t xml:space="preserve">      "file_mtime": "2026-01-19T15:02:02.292407"</t>
        </is>
      </c>
    </row>
    <row r="991">
      <c r="A991" s="9" t="n">
        <v>988</v>
      </c>
      <c r="B991" s="10" t="inlineStr">
        <is>
          <t xml:space="preserve">    },</t>
        </is>
      </c>
    </row>
    <row r="992">
      <c r="A992" s="7" t="n">
        <v>989</v>
      </c>
      <c r="B992" s="8" t="inlineStr">
        <is>
          <t xml:space="preserve">    "3cf6735c89cdc6ca": {</t>
        </is>
      </c>
    </row>
    <row r="993">
      <c r="A993" s="9" t="n">
        <v>990</v>
      </c>
      <c r="B993" s="10" t="inlineStr">
        <is>
          <t xml:space="preserve">      "path": "Z:\\已处理素材\\卖点展示类素材\\【01】上层薄抽\\1月4【51】【微水泥+兰亭香樟木纹色】盐城韦小姐【岛台双面收纳两个薄抽收纳】【坤宝】\\1月4【51】【微水泥+兰亭香樟木纹色】盐城韦小姐【岛台双面收纳两个薄抽收纳】【坤宝】-1.mp4",</t>
        </is>
      </c>
    </row>
    <row r="994">
      <c r="A994" s="7" t="n">
        <v>991</v>
      </c>
      <c r="B994" s="8" t="inlineStr">
        <is>
          <t xml:space="preserve">      "file_hash": "3cf6735c89cdc6ca",</t>
        </is>
      </c>
    </row>
    <row r="995">
      <c r="A995" s="9" t="n">
        <v>992</v>
      </c>
      <c r="B995" s="10" t="inlineStr">
        <is>
          <t xml:space="preserve">      "type": "卖点",</t>
        </is>
      </c>
    </row>
    <row r="996">
      <c r="A996" s="7" t="n">
        <v>993</v>
      </c>
      <c r="B996" s="8" t="inlineStr">
        <is>
          <t xml:space="preserve">      "main_tag": "岛台双面收纳两个薄抽收纳",</t>
        </is>
      </c>
    </row>
    <row r="997">
      <c r="A997" s="9" t="n">
        <v>994</v>
      </c>
      <c r="B997" s="10" t="inlineStr">
        <is>
          <t xml:space="preserve">      "folder_name": "1月4【51】【微水泥+兰亭香樟木纹色】盐城韦小姐【岛台双面收纳两个薄抽收纳】【坤宝】",</t>
        </is>
      </c>
    </row>
    <row r="998">
      <c r="A998" s="7" t="n">
        <v>995</v>
      </c>
      <c r="B998" s="8" t="inlineStr">
        <is>
          <t xml:space="preserve">      "materials": [</t>
        </is>
      </c>
    </row>
    <row r="999">
      <c r="A999" s="9" t="n">
        <v>996</v>
      </c>
      <c r="B999" s="10" t="inlineStr">
        <is>
          <t xml:space="preserve">        "微水泥",</t>
        </is>
      </c>
    </row>
    <row r="1000">
      <c r="A1000" s="7" t="n">
        <v>997</v>
      </c>
      <c r="B1000" s="8" t="inlineStr">
        <is>
          <t xml:space="preserve">        "香樟",</t>
        </is>
      </c>
    </row>
    <row r="1001">
      <c r="A1001" s="9" t="n">
        <v>998</v>
      </c>
      <c r="B1001" s="10" t="inlineStr">
        <is>
          <t xml:space="preserve">        "木纹"</t>
        </is>
      </c>
    </row>
    <row r="1002">
      <c r="A1002" s="7" t="n">
        <v>999</v>
      </c>
      <c r="B1002" s="8" t="inlineStr">
        <is>
          <t xml:space="preserve">      ],</t>
        </is>
      </c>
    </row>
    <row r="1003">
      <c r="A1003" s="9" t="n">
        <v>1000</v>
      </c>
      <c r="B1003" s="10" t="inlineStr">
        <is>
          <t xml:space="preserve">      "colors": [],</t>
        </is>
      </c>
    </row>
    <row r="1004">
      <c r="A1004" s="7" t="n">
        <v>1001</v>
      </c>
      <c r="B1004" s="8" t="inlineStr">
        <is>
          <t xml:space="preserve">      "actions": [</t>
        </is>
      </c>
    </row>
    <row r="1005">
      <c r="A1005" s="9" t="n">
        <v>1002</v>
      </c>
      <c r="B1005" s="10" t="inlineStr">
        <is>
          <t xml:space="preserve">        "收纳"</t>
        </is>
      </c>
    </row>
    <row r="1006">
      <c r="A1006" s="7" t="n">
        <v>1003</v>
      </c>
      <c r="B1006" s="8" t="inlineStr">
        <is>
          <t xml:space="preserve">      ],</t>
        </is>
      </c>
    </row>
    <row r="1007">
      <c r="A1007" s="9" t="n">
        <v>1004</v>
      </c>
      <c r="B1007" s="10" t="inlineStr">
        <is>
          <t xml:space="preserve">      "raw_tags": [</t>
        </is>
      </c>
    </row>
    <row r="1008">
      <c r="A1008" s="7" t="n">
        <v>1005</v>
      </c>
      <c r="B1008" s="8" t="inlineStr">
        <is>
          <t xml:space="preserve">        "岛台双面收纳两个薄抽收纳",</t>
        </is>
      </c>
    </row>
    <row r="1009">
      <c r="A1009" s="9" t="n">
        <v>1006</v>
      </c>
      <c r="B1009" s="10" t="inlineStr">
        <is>
          <t xml:space="preserve">        "坤宝"</t>
        </is>
      </c>
    </row>
    <row r="1010">
      <c r="A1010" s="7" t="n">
        <v>1007</v>
      </c>
      <c r="B1010" s="8" t="inlineStr">
        <is>
          <t xml:space="preserve">      ],</t>
        </is>
      </c>
    </row>
    <row r="1011">
      <c r="A1011" s="9" t="n">
        <v>1008</v>
      </c>
      <c r="B1011" s="10" t="inlineStr">
        <is>
          <t xml:space="preserve">      "quality_score": 1.0,</t>
        </is>
      </c>
    </row>
    <row r="1012">
      <c r="A1012" s="7" t="n">
        <v>1009</v>
      </c>
      <c r="B1012" s="8" t="inlineStr">
        <is>
          <t xml:space="preserve">      "processed_time": "2026-06-07T14:46:18.605446",</t>
        </is>
      </c>
    </row>
    <row r="1013">
      <c r="A1013" s="9" t="n">
        <v>1010</v>
      </c>
      <c r="B1013" s="10" t="inlineStr">
        <is>
          <t xml:space="preserve">      "file_size_mb": 48.08,</t>
        </is>
      </c>
    </row>
    <row r="1014">
      <c r="A1014" s="7" t="n">
        <v>1011</v>
      </c>
      <c r="B1014" s="8" t="inlineStr">
        <is>
          <t xml:space="preserve">      "file_mtime": "2026-01-10T16:48:18.179968"</t>
        </is>
      </c>
    </row>
    <row r="1015">
      <c r="A1015" s="9" t="n">
        <v>1012</v>
      </c>
      <c r="B1015" s="10" t="inlineStr">
        <is>
          <t xml:space="preserve">    },</t>
        </is>
      </c>
    </row>
    <row r="1016">
      <c r="A1016" s="7" t="n">
        <v>1013</v>
      </c>
      <c r="B1016" s="8" t="inlineStr">
        <is>
          <t xml:space="preserve">    "d6aeff1b2e74c25c": {</t>
        </is>
      </c>
    </row>
    <row r="1017">
      <c r="A1017" s="9" t="n">
        <v>1014</v>
      </c>
      <c r="B1017" s="10" t="inlineStr">
        <is>
          <t xml:space="preserve">      "path": "Z:\\已处理素材\\卖点展示类素材\\【01】上层薄抽\\1月4【51】【微水泥+兰亭香樟木纹色】盐城韦小姐【岛台双面收纳两个薄抽收纳】【坤宝】\\1月4【51】【微水泥+兰亭香樟木纹色】盐城韦小姐【岛台双面收纳两个薄抽收纳】【坤宝】-2.mp4",</t>
        </is>
      </c>
    </row>
    <row r="1018">
      <c r="A1018" s="7" t="n">
        <v>1015</v>
      </c>
      <c r="B1018" s="8" t="inlineStr">
        <is>
          <t xml:space="preserve">      "file_hash": "d6aeff1b2e74c25c",</t>
        </is>
      </c>
    </row>
    <row r="1019">
      <c r="A1019" s="9" t="n">
        <v>1016</v>
      </c>
      <c r="B1019" s="10" t="inlineStr">
        <is>
          <t xml:space="preserve">      "type": "卖点",</t>
        </is>
      </c>
    </row>
    <row r="1020">
      <c r="A1020" s="7" t="n">
        <v>1017</v>
      </c>
      <c r="B1020" s="8" t="inlineStr">
        <is>
          <t xml:space="preserve">      "main_tag": "岛台双面收纳两个薄抽收纳",</t>
        </is>
      </c>
    </row>
    <row r="1021">
      <c r="A1021" s="9" t="n">
        <v>1018</v>
      </c>
      <c r="B1021" s="10" t="inlineStr">
        <is>
          <t xml:space="preserve">      "folder_name": "1月4【51】【微水泥+兰亭香樟木纹色】盐城韦小姐【岛台双面收纳两个薄抽收纳】【坤宝】",</t>
        </is>
      </c>
    </row>
    <row r="1022">
      <c r="A1022" s="7" t="n">
        <v>1019</v>
      </c>
      <c r="B1022" s="8" t="inlineStr">
        <is>
          <t xml:space="preserve">      "materials": [</t>
        </is>
      </c>
    </row>
    <row r="1023">
      <c r="A1023" s="9" t="n">
        <v>1020</v>
      </c>
      <c r="B1023" s="10" t="inlineStr">
        <is>
          <t xml:space="preserve">        "微水泥",</t>
        </is>
      </c>
    </row>
    <row r="1024">
      <c r="A1024" s="7" t="n">
        <v>1021</v>
      </c>
      <c r="B1024" s="8" t="inlineStr">
        <is>
          <t xml:space="preserve">        "香樟",</t>
        </is>
      </c>
    </row>
    <row r="1025">
      <c r="A1025" s="9" t="n">
        <v>1022</v>
      </c>
      <c r="B1025" s="10" t="inlineStr">
        <is>
          <t xml:space="preserve">        "木纹"</t>
        </is>
      </c>
    </row>
    <row r="1026">
      <c r="A1026" s="7" t="n">
        <v>1023</v>
      </c>
      <c r="B1026" s="8" t="inlineStr">
        <is>
          <t xml:space="preserve">      ],</t>
        </is>
      </c>
    </row>
    <row r="1027">
      <c r="A1027" s="9" t="n">
        <v>1024</v>
      </c>
      <c r="B1027" s="10" t="inlineStr">
        <is>
          <t xml:space="preserve">      "colors": [],</t>
        </is>
      </c>
    </row>
    <row r="1028">
      <c r="A1028" s="7" t="n">
        <v>1025</v>
      </c>
      <c r="B1028" s="8" t="inlineStr">
        <is>
          <t xml:space="preserve">      "actions": [</t>
        </is>
      </c>
    </row>
    <row r="1029">
      <c r="A1029" s="9" t="n">
        <v>1026</v>
      </c>
      <c r="B1029" s="10" t="inlineStr">
        <is>
          <t xml:space="preserve">        "收纳"</t>
        </is>
      </c>
    </row>
    <row r="1030">
      <c r="A1030" s="7" t="n">
        <v>1027</v>
      </c>
      <c r="B1030" s="8" t="inlineStr">
        <is>
          <t xml:space="preserve">      ],</t>
        </is>
      </c>
    </row>
    <row r="1031">
      <c r="A1031" s="9" t="n">
        <v>1028</v>
      </c>
      <c r="B1031" s="10" t="inlineStr">
        <is>
          <t xml:space="preserve">      "raw_tags": [</t>
        </is>
      </c>
    </row>
    <row r="1032">
      <c r="A1032" s="7" t="n">
        <v>1029</v>
      </c>
      <c r="B1032" s="8" t="inlineStr">
        <is>
          <t xml:space="preserve">        "岛台双面收纳两个薄抽收纳",</t>
        </is>
      </c>
    </row>
    <row r="1033">
      <c r="A1033" s="9" t="n">
        <v>1030</v>
      </c>
      <c r="B1033" s="10" t="inlineStr">
        <is>
          <t xml:space="preserve">        "坤宝"</t>
        </is>
      </c>
    </row>
    <row r="1034">
      <c r="A1034" s="7" t="n">
        <v>1031</v>
      </c>
      <c r="B1034" s="8" t="inlineStr">
        <is>
          <t xml:space="preserve">      ],</t>
        </is>
      </c>
    </row>
    <row r="1035">
      <c r="A1035" s="9" t="n">
        <v>1032</v>
      </c>
      <c r="B1035" s="10" t="inlineStr">
        <is>
          <t xml:space="preserve">      "quality_score": 1.0,</t>
        </is>
      </c>
    </row>
    <row r="1036">
      <c r="A1036" s="7" t="n">
        <v>1033</v>
      </c>
      <c r="B1036" s="8" t="inlineStr">
        <is>
          <t xml:space="preserve">      "processed_time": "2026-06-07T14:46:18.606442",</t>
        </is>
      </c>
    </row>
    <row r="1037">
      <c r="A1037" s="9" t="n">
        <v>1034</v>
      </c>
      <c r="B1037" s="10" t="inlineStr">
        <is>
          <t xml:space="preserve">      "file_size_mb": 32.39,</t>
        </is>
      </c>
    </row>
    <row r="1038">
      <c r="A1038" s="7" t="n">
        <v>1035</v>
      </c>
      <c r="B1038" s="8" t="inlineStr">
        <is>
          <t xml:space="preserve">      "file_mtime": "2026-01-10T16:48:21.338883"</t>
        </is>
      </c>
    </row>
    <row r="1039">
      <c r="A1039" s="9" t="n">
        <v>1036</v>
      </c>
      <c r="B1039" s="10" t="inlineStr">
        <is>
          <t xml:space="preserve">    },</t>
        </is>
      </c>
    </row>
    <row r="1040">
      <c r="A1040" s="7" t="n">
        <v>1037</v>
      </c>
      <c r="B1040" s="8" t="inlineStr">
        <is>
          <t xml:space="preserve">    "8c7d6eca1624604f": {</t>
        </is>
      </c>
    </row>
    <row r="1041">
      <c r="A1041" s="9" t="n">
        <v>1038</v>
      </c>
      <c r="B1041" s="10" t="inlineStr">
        <is>
          <t xml:space="preserve">      "path": "Z:\\已处理素材\\卖点展示类素材\\【01】上层薄抽\\1月4【51】【微水泥+兰亭香樟木纹色】盐城韦小姐【岛台双面收纳两个薄抽收纳】【坤宝】\\1月4【51】【微水泥+兰亭香樟木纹色】盐城韦小姐【岛台双面收纳两个薄抽收纳】【坤宝】-3.mp4",</t>
        </is>
      </c>
    </row>
    <row r="1042">
      <c r="A1042" s="7" t="n">
        <v>1039</v>
      </c>
      <c r="B1042" s="8" t="inlineStr">
        <is>
          <t xml:space="preserve">      "file_hash": "8c7d6eca1624604f",</t>
        </is>
      </c>
    </row>
    <row r="1043">
      <c r="A1043" s="9" t="n">
        <v>1040</v>
      </c>
      <c r="B1043" s="10" t="inlineStr">
        <is>
          <t xml:space="preserve">      "type": "卖点",</t>
        </is>
      </c>
    </row>
    <row r="1044">
      <c r="A1044" s="7" t="n">
        <v>1041</v>
      </c>
      <c r="B1044" s="8" t="inlineStr">
        <is>
          <t xml:space="preserve">      "main_tag": "岛台双面收纳两个薄抽收纳",</t>
        </is>
      </c>
    </row>
    <row r="1045">
      <c r="A1045" s="9" t="n">
        <v>1042</v>
      </c>
      <c r="B1045" s="10" t="inlineStr">
        <is>
          <t xml:space="preserve">      "folder_name": "1月4【51】【微水泥+兰亭香樟木纹色】盐城韦小姐【岛台双面收纳两个薄抽收纳】【坤宝】",</t>
        </is>
      </c>
    </row>
    <row r="1046">
      <c r="A1046" s="7" t="n">
        <v>1043</v>
      </c>
      <c r="B1046" s="8" t="inlineStr">
        <is>
          <t xml:space="preserve">      "materials": [</t>
        </is>
      </c>
    </row>
    <row r="1047">
      <c r="A1047" s="9" t="n">
        <v>1044</v>
      </c>
      <c r="B1047" s="10" t="inlineStr">
        <is>
          <t xml:space="preserve">        "微水泥",</t>
        </is>
      </c>
    </row>
    <row r="1048">
      <c r="A1048" s="7" t="n">
        <v>1045</v>
      </c>
      <c r="B1048" s="8" t="inlineStr">
        <is>
          <t xml:space="preserve">        "香樟",</t>
        </is>
      </c>
    </row>
    <row r="1049">
      <c r="A1049" s="9" t="n">
        <v>1046</v>
      </c>
      <c r="B1049" s="10" t="inlineStr">
        <is>
          <t xml:space="preserve">        "木纹"</t>
        </is>
      </c>
    </row>
    <row r="1050">
      <c r="A1050" s="7" t="n">
        <v>1047</v>
      </c>
      <c r="B1050" s="8" t="inlineStr">
        <is>
          <t xml:space="preserve">      ],</t>
        </is>
      </c>
    </row>
    <row r="1051">
      <c r="A1051" s="9" t="n">
        <v>1048</v>
      </c>
      <c r="B1051" s="10" t="inlineStr">
        <is>
          <t xml:space="preserve">      "colors": [],</t>
        </is>
      </c>
    </row>
    <row r="1052">
      <c r="A1052" s="7" t="n">
        <v>1049</v>
      </c>
      <c r="B1052" s="8" t="inlineStr">
        <is>
          <t xml:space="preserve">      "actions": [</t>
        </is>
      </c>
    </row>
    <row r="1053">
      <c r="A1053" s="9" t="n">
        <v>1050</v>
      </c>
      <c r="B1053" s="10" t="inlineStr">
        <is>
          <t xml:space="preserve">        "收纳"</t>
        </is>
      </c>
    </row>
    <row r="1054">
      <c r="A1054" s="7" t="n">
        <v>1051</v>
      </c>
      <c r="B1054" s="8" t="inlineStr">
        <is>
          <t xml:space="preserve">      ],</t>
        </is>
      </c>
    </row>
    <row r="1055">
      <c r="A1055" s="9" t="n">
        <v>1052</v>
      </c>
      <c r="B1055" s="10" t="inlineStr">
        <is>
          <t xml:space="preserve">      "raw_tags": [</t>
        </is>
      </c>
    </row>
    <row r="1056">
      <c r="A1056" s="7" t="n">
        <v>1053</v>
      </c>
      <c r="B1056" s="8" t="inlineStr">
        <is>
          <t xml:space="preserve">        "岛台双面收纳两个薄抽收纳",</t>
        </is>
      </c>
    </row>
    <row r="1057">
      <c r="A1057" s="9" t="n">
        <v>1054</v>
      </c>
      <c r="B1057" s="10" t="inlineStr">
        <is>
          <t xml:space="preserve">        "坤宝"</t>
        </is>
      </c>
    </row>
    <row r="1058">
      <c r="A1058" s="7" t="n">
        <v>1055</v>
      </c>
      <c r="B1058" s="8" t="inlineStr">
        <is>
          <t xml:space="preserve">      ],</t>
        </is>
      </c>
    </row>
    <row r="1059">
      <c r="A1059" s="9" t="n">
        <v>1056</v>
      </c>
      <c r="B1059" s="10" t="inlineStr">
        <is>
          <t xml:space="preserve">      "quality_score": 1.0,</t>
        </is>
      </c>
    </row>
    <row r="1060">
      <c r="A1060" s="7" t="n">
        <v>1057</v>
      </c>
      <c r="B1060" s="8" t="inlineStr">
        <is>
          <t xml:space="preserve">      "processed_time": "2026-06-07T14:46:18.607439",</t>
        </is>
      </c>
    </row>
    <row r="1061">
      <c r="A1061" s="9" t="n">
        <v>1058</v>
      </c>
      <c r="B1061" s="10" t="inlineStr">
        <is>
          <t xml:space="preserve">      "file_size_mb": 11.24,</t>
        </is>
      </c>
    </row>
    <row r="1062">
      <c r="A1062" s="7" t="n">
        <v>1059</v>
      </c>
      <c r="B1062" s="8" t="inlineStr">
        <is>
          <t xml:space="preserve">      "file_mtime": "2026-01-10T16:48:22.604501"</t>
        </is>
      </c>
    </row>
    <row r="1063">
      <c r="A1063" s="9" t="n">
        <v>1060</v>
      </c>
      <c r="B1063" s="10" t="inlineStr">
        <is>
          <t xml:space="preserve">    },</t>
        </is>
      </c>
    </row>
    <row r="1064">
      <c r="A1064" s="7" t="n">
        <v>1061</v>
      </c>
      <c r="B1064" s="8" t="inlineStr">
        <is>
          <t xml:space="preserve">    "9a297dbd58ab6e7e": {</t>
        </is>
      </c>
    </row>
    <row r="1065">
      <c r="A1065" s="9" t="n">
        <v>1062</v>
      </c>
      <c r="B1065" s="10" t="inlineStr">
        <is>
          <t xml:space="preserve">      "path": "Z:\\已处理素材\\卖点展示类素材\\【01】上层薄抽\\1月4【51】【微水泥+兰亭香樟木纹色】盐城韦小姐【岛台双面收纳两个薄抽收纳】【坤宝】\\1月4【51】【微水泥+兰亭香樟木纹色】盐城韦小姐【岛台双面收纳两个薄抽收纳】【坤宝】-4.mp4",</t>
        </is>
      </c>
    </row>
    <row r="1066">
      <c r="A1066" s="7" t="n">
        <v>1063</v>
      </c>
      <c r="B1066" s="8" t="inlineStr">
        <is>
          <t xml:space="preserve">      "file_hash": "9a297dbd58ab6e7e",</t>
        </is>
      </c>
    </row>
    <row r="1067">
      <c r="A1067" s="9" t="n">
        <v>1064</v>
      </c>
      <c r="B1067" s="10" t="inlineStr">
        <is>
          <t xml:space="preserve">      "type": "卖点",</t>
        </is>
      </c>
    </row>
    <row r="1068">
      <c r="A1068" s="7" t="n">
        <v>1065</v>
      </c>
      <c r="B1068" s="8" t="inlineStr">
        <is>
          <t xml:space="preserve">      "main_tag": "岛台双面收纳两个薄抽收纳",</t>
        </is>
      </c>
    </row>
    <row r="1069">
      <c r="A1069" s="9" t="n">
        <v>1066</v>
      </c>
      <c r="B1069" s="10" t="inlineStr">
        <is>
          <t xml:space="preserve">      "folder_name": "1月4【51】【微水泥+兰亭香樟木纹色】盐城韦小姐【岛台双面收纳两个薄抽收纳】【坤宝】",</t>
        </is>
      </c>
    </row>
    <row r="1070">
      <c r="A1070" s="7" t="n">
        <v>1067</v>
      </c>
      <c r="B1070" s="8" t="inlineStr">
        <is>
          <t xml:space="preserve">      "materials": [</t>
        </is>
      </c>
    </row>
    <row r="1071">
      <c r="A1071" s="9" t="n">
        <v>1068</v>
      </c>
      <c r="B1071" s="10" t="inlineStr">
        <is>
          <t xml:space="preserve">        "微水泥",</t>
        </is>
      </c>
    </row>
    <row r="1072">
      <c r="A1072" s="7" t="n">
        <v>1069</v>
      </c>
      <c r="B1072" s="8" t="inlineStr">
        <is>
          <t xml:space="preserve">        "香樟",</t>
        </is>
      </c>
    </row>
    <row r="1073">
      <c r="A1073" s="9" t="n">
        <v>1070</v>
      </c>
      <c r="B1073" s="10" t="inlineStr">
        <is>
          <t xml:space="preserve">        "木纹"</t>
        </is>
      </c>
    </row>
    <row r="1074">
      <c r="A1074" s="7" t="n">
        <v>1071</v>
      </c>
      <c r="B1074" s="8" t="inlineStr">
        <is>
          <t xml:space="preserve">      ],</t>
        </is>
      </c>
    </row>
    <row r="1075">
      <c r="A1075" s="9" t="n">
        <v>1072</v>
      </c>
      <c r="B1075" s="10" t="inlineStr">
        <is>
          <t xml:space="preserve">      "colors": [],</t>
        </is>
      </c>
    </row>
    <row r="1076">
      <c r="A1076" s="7" t="n">
        <v>1073</v>
      </c>
      <c r="B1076" s="8" t="inlineStr">
        <is>
          <t xml:space="preserve">      "actions": [</t>
        </is>
      </c>
    </row>
    <row r="1077">
      <c r="A1077" s="9" t="n">
        <v>1074</v>
      </c>
      <c r="B1077" s="10" t="inlineStr">
        <is>
          <t xml:space="preserve">        "收纳"</t>
        </is>
      </c>
    </row>
    <row r="1078">
      <c r="A1078" s="7" t="n">
        <v>1075</v>
      </c>
      <c r="B1078" s="8" t="inlineStr">
        <is>
          <t xml:space="preserve">      ],</t>
        </is>
      </c>
    </row>
    <row r="1079">
      <c r="A1079" s="9" t="n">
        <v>1076</v>
      </c>
      <c r="B1079" s="10" t="inlineStr">
        <is>
          <t xml:space="preserve">      "raw_tags": [</t>
        </is>
      </c>
    </row>
    <row r="1080">
      <c r="A1080" s="7" t="n">
        <v>1077</v>
      </c>
      <c r="B1080" s="8" t="inlineStr">
        <is>
          <t xml:space="preserve">        "岛台双面收纳两个薄抽收纳",</t>
        </is>
      </c>
    </row>
    <row r="1081">
      <c r="A1081" s="9" t="n">
        <v>1078</v>
      </c>
      <c r="B1081" s="10" t="inlineStr">
        <is>
          <t xml:space="preserve">        "坤宝"</t>
        </is>
      </c>
    </row>
    <row r="1082">
      <c r="A1082" s="7" t="n">
        <v>1079</v>
      </c>
      <c r="B1082" s="8" t="inlineStr">
        <is>
          <t xml:space="preserve">      ],</t>
        </is>
      </c>
    </row>
    <row r="1083">
      <c r="A1083" s="9" t="n">
        <v>1080</v>
      </c>
      <c r="B1083" s="10" t="inlineStr">
        <is>
          <t xml:space="preserve">      "quality_score": 1.0,</t>
        </is>
      </c>
    </row>
    <row r="1084">
      <c r="A1084" s="7" t="n">
        <v>1081</v>
      </c>
      <c r="B1084" s="8" t="inlineStr">
        <is>
          <t xml:space="preserve">      "processed_time": "2026-06-07T14:46:18.608436",</t>
        </is>
      </c>
    </row>
    <row r="1085">
      <c r="A1085" s="9" t="n">
        <v>1082</v>
      </c>
      <c r="B1085" s="10" t="inlineStr">
        <is>
          <t xml:space="preserve">      "file_size_mb": 10.08,</t>
        </is>
      </c>
    </row>
    <row r="1086">
      <c r="A1086" s="7" t="n">
        <v>1083</v>
      </c>
      <c r="B1086" s="8" t="inlineStr">
        <is>
          <t xml:space="preserve">      "file_mtime": "2026-01-10T16:48:23.729463"</t>
        </is>
      </c>
    </row>
    <row r="1087">
      <c r="A1087" s="9" t="n">
        <v>1084</v>
      </c>
      <c r="B1087" s="10" t="inlineStr">
        <is>
          <t xml:space="preserve">    },</t>
        </is>
      </c>
    </row>
    <row r="1088">
      <c r="A1088" s="7" t="n">
        <v>1085</v>
      </c>
      <c r="B1088" s="8" t="inlineStr">
        <is>
          <t xml:space="preserve">    "6bf7cdf00dbae94b": {</t>
        </is>
      </c>
    </row>
    <row r="1089">
      <c r="A1089" s="9" t="n">
        <v>1086</v>
      </c>
      <c r="B1089" s="10" t="inlineStr">
        <is>
          <t xml:space="preserve">      "path": "Z:\\已处理素材\\卖点展示类素材\\【01】上层薄抽\\1月4【51】【微水泥+兰亭香樟木纹色】盐城韦小姐【岛台双面收纳两个薄抽收纳】【坤宝】\\1月4【51】【微水泥+兰亭香樟木纹色】盐城韦小姐【岛台双面收纳两个薄抽收纳】【坤宝】-5.mp4",</t>
        </is>
      </c>
    </row>
    <row r="1090">
      <c r="A1090" s="7" t="n">
        <v>1087</v>
      </c>
      <c r="B1090" s="8" t="inlineStr">
        <is>
          <t xml:space="preserve">      "file_hash": "6bf7cdf00dbae94b",</t>
        </is>
      </c>
    </row>
    <row r="1091">
      <c r="A1091" s="9" t="n">
        <v>1088</v>
      </c>
      <c r="B1091" s="10" t="inlineStr">
        <is>
          <t xml:space="preserve">      "type": "卖点",</t>
        </is>
      </c>
    </row>
    <row r="1092">
      <c r="A1092" s="7" t="n">
        <v>1089</v>
      </c>
      <c r="B1092" s="8" t="inlineStr">
        <is>
          <t xml:space="preserve">      "main_tag": "岛台双面收纳两个薄抽收纳",</t>
        </is>
      </c>
    </row>
    <row r="1093">
      <c r="A1093" s="9" t="n">
        <v>1090</v>
      </c>
      <c r="B1093" s="10" t="inlineStr">
        <is>
          <t xml:space="preserve">      "folder_name": "1月4【51】【微水泥+兰亭香樟木纹色】盐城韦小姐【岛台双面收纳两个薄抽收纳】【坤宝】",</t>
        </is>
      </c>
    </row>
    <row r="1094">
      <c r="A1094" s="7" t="n">
        <v>1091</v>
      </c>
      <c r="B1094" s="8" t="inlineStr">
        <is>
          <t xml:space="preserve">      "materials": [</t>
        </is>
      </c>
    </row>
    <row r="1095">
      <c r="A1095" s="9" t="n">
        <v>1092</v>
      </c>
      <c r="B1095" s="10" t="inlineStr">
        <is>
          <t xml:space="preserve">        "微水泥",</t>
        </is>
      </c>
    </row>
    <row r="1096">
      <c r="A1096" s="7" t="n">
        <v>1093</v>
      </c>
      <c r="B1096" s="8" t="inlineStr">
        <is>
          <t xml:space="preserve">        "香樟",</t>
        </is>
      </c>
    </row>
    <row r="1097">
      <c r="A1097" s="9" t="n">
        <v>1094</v>
      </c>
      <c r="B1097" s="10" t="inlineStr">
        <is>
          <t xml:space="preserve">        "木纹"</t>
        </is>
      </c>
    </row>
    <row r="1098">
      <c r="A1098" s="7" t="n">
        <v>1095</v>
      </c>
      <c r="B1098" s="8" t="inlineStr">
        <is>
          <t xml:space="preserve">      ],</t>
        </is>
      </c>
    </row>
    <row r="1099">
      <c r="A1099" s="9" t="n">
        <v>1096</v>
      </c>
      <c r="B1099" s="10" t="inlineStr">
        <is>
          <t xml:space="preserve">      "colors": [],</t>
        </is>
      </c>
    </row>
    <row r="1100">
      <c r="A1100" s="7" t="n">
        <v>1097</v>
      </c>
      <c r="B1100" s="8" t="inlineStr">
        <is>
          <t xml:space="preserve">      "actions": [</t>
        </is>
      </c>
    </row>
    <row r="1101">
      <c r="A1101" s="9" t="n">
        <v>1098</v>
      </c>
      <c r="B1101" s="10" t="inlineStr">
        <is>
          <t xml:space="preserve">        "收纳"</t>
        </is>
      </c>
    </row>
    <row r="1102">
      <c r="A1102" s="7" t="n">
        <v>1099</v>
      </c>
      <c r="B1102" s="8" t="inlineStr">
        <is>
          <t xml:space="preserve">      ],</t>
        </is>
      </c>
    </row>
    <row r="1103">
      <c r="A1103" s="9" t="n">
        <v>1100</v>
      </c>
      <c r="B1103" s="10" t="inlineStr">
        <is>
          <t xml:space="preserve">      "raw_tags": [</t>
        </is>
      </c>
    </row>
    <row r="1104">
      <c r="A1104" s="7" t="n">
        <v>1101</v>
      </c>
      <c r="B1104" s="8" t="inlineStr">
        <is>
          <t xml:space="preserve">        "岛台双面收纳两个薄抽收纳",</t>
        </is>
      </c>
    </row>
    <row r="1105">
      <c r="A1105" s="9" t="n">
        <v>1102</v>
      </c>
      <c r="B1105" s="10" t="inlineStr">
        <is>
          <t xml:space="preserve">        "坤宝"</t>
        </is>
      </c>
    </row>
    <row r="1106">
      <c r="A1106" s="7" t="n">
        <v>1103</v>
      </c>
      <c r="B1106" s="8" t="inlineStr">
        <is>
          <t xml:space="preserve">      ],</t>
        </is>
      </c>
    </row>
    <row r="1107">
      <c r="A1107" s="9" t="n">
        <v>1104</v>
      </c>
      <c r="B1107" s="10" t="inlineStr">
        <is>
          <t xml:space="preserve">      "quality_score": 1.0,</t>
        </is>
      </c>
    </row>
    <row r="1108">
      <c r="A1108" s="7" t="n">
        <v>1105</v>
      </c>
      <c r="B1108" s="8" t="inlineStr">
        <is>
          <t xml:space="preserve">      "processed_time": "2026-06-07T14:46:18.609432",</t>
        </is>
      </c>
    </row>
    <row r="1109">
      <c r="A1109" s="9" t="n">
        <v>1106</v>
      </c>
      <c r="B1109" s="10" t="inlineStr">
        <is>
          <t xml:space="preserve">      "file_size_mb": 19.26,</t>
        </is>
      </c>
    </row>
    <row r="1110">
      <c r="A1110" s="7" t="n">
        <v>1107</v>
      </c>
      <c r="B1110" s="8" t="inlineStr">
        <is>
          <t xml:space="preserve">      "file_mtime": "2026-01-10T16:48:25.670836"</t>
        </is>
      </c>
    </row>
    <row r="1111">
      <c r="A1111" s="9" t="n">
        <v>1108</v>
      </c>
      <c r="B1111" s="10" t="inlineStr">
        <is>
          <t xml:space="preserve">    },</t>
        </is>
      </c>
    </row>
    <row r="1112">
      <c r="A1112" s="7" t="n">
        <v>1109</v>
      </c>
      <c r="B1112" s="8" t="inlineStr">
        <is>
          <t xml:space="preserve">    "8de7658fc4824168": {</t>
        </is>
      </c>
    </row>
    <row r="1113">
      <c r="A1113" s="9" t="n">
        <v>1110</v>
      </c>
      <c r="B1113" s="10" t="inlineStr">
        <is>
          <t xml:space="preserve">      "path": "Z:\\已处理素材\\卖点展示类素材\\【01】上层薄抽\\1月4日 (1)(2)\\1月4日 (1)(2)-1.mp4",</t>
        </is>
      </c>
    </row>
    <row r="1114">
      <c r="A1114" s="7" t="n">
        <v>1111</v>
      </c>
      <c r="B1114" s="8" t="inlineStr">
        <is>
          <t xml:space="preserve">      "file_hash": "8de7658fc4824168",</t>
        </is>
      </c>
    </row>
    <row r="1115">
      <c r="A1115" s="9" t="n">
        <v>1112</v>
      </c>
      <c r="B1115" s="10" t="inlineStr">
        <is>
          <t xml:space="preserve">      "type": "卖点",</t>
        </is>
      </c>
    </row>
    <row r="1116">
      <c r="A1116" s="7" t="n">
        <v>1113</v>
      </c>
      <c r="B1116" s="8" t="inlineStr">
        <is>
          <t xml:space="preserve">      "main_tag": "1月4日 (1)(2)",</t>
        </is>
      </c>
    </row>
    <row r="1117">
      <c r="A1117" s="9" t="n">
        <v>1114</v>
      </c>
      <c r="B1117" s="10" t="inlineStr">
        <is>
          <t xml:space="preserve">      "folder_name": "1月4日 (1)(2)",</t>
        </is>
      </c>
    </row>
    <row r="1118">
      <c r="A1118" s="7" t="n">
        <v>1115</v>
      </c>
      <c r="B1118" s="8" t="inlineStr">
        <is>
          <t xml:space="preserve">      "materials": [],</t>
        </is>
      </c>
    </row>
    <row r="1119">
      <c r="A1119" s="9" t="n">
        <v>1116</v>
      </c>
      <c r="B1119" s="10" t="inlineStr">
        <is>
          <t xml:space="preserve">      "colors": [],</t>
        </is>
      </c>
    </row>
    <row r="1120">
      <c r="A1120" s="7" t="n">
        <v>1117</v>
      </c>
      <c r="B1120" s="8" t="inlineStr">
        <is>
          <t xml:space="preserve">      "actions": [],</t>
        </is>
      </c>
    </row>
    <row r="1121">
      <c r="A1121" s="9" t="n">
        <v>1118</v>
      </c>
      <c r="B1121" s="10" t="inlineStr">
        <is>
          <t xml:space="preserve">      "raw_tags": [],</t>
        </is>
      </c>
    </row>
    <row r="1122">
      <c r="A1122" s="7" t="n">
        <v>1119</v>
      </c>
      <c r="B1122" s="8" t="inlineStr">
        <is>
          <t xml:space="preserve">      "quality_score": 1.0,</t>
        </is>
      </c>
    </row>
    <row r="1123">
      <c r="A1123" s="9" t="n">
        <v>1120</v>
      </c>
      <c r="B1123" s="10" t="inlineStr">
        <is>
          <t xml:space="preserve">      "processed_time": "2026-06-07T14:46:18.611426",</t>
        </is>
      </c>
    </row>
    <row r="1124">
      <c r="A1124" s="7" t="n">
        <v>1121</v>
      </c>
      <c r="B1124" s="8" t="inlineStr">
        <is>
          <t xml:space="preserve">      "file_size_mb": 27.94,</t>
        </is>
      </c>
    </row>
    <row r="1125">
      <c r="A1125" s="9" t="n">
        <v>1122</v>
      </c>
      <c r="B1125" s="10" t="inlineStr">
        <is>
          <t xml:space="preserve">      "file_mtime": "2026-01-12T14:38:53.444907"</t>
        </is>
      </c>
    </row>
    <row r="1126">
      <c r="A1126" s="7" t="n">
        <v>1123</v>
      </c>
      <c r="B1126" s="8" t="inlineStr">
        <is>
          <t xml:space="preserve">    },</t>
        </is>
      </c>
    </row>
    <row r="1127">
      <c r="A1127" s="9" t="n">
        <v>1124</v>
      </c>
      <c r="B1127" s="10" t="inlineStr">
        <is>
          <t xml:space="preserve">    "4e8dfc97a970fcef": {</t>
        </is>
      </c>
    </row>
    <row r="1128">
      <c r="A1128" s="7" t="n">
        <v>1125</v>
      </c>
      <c r="B1128" s="8" t="inlineStr">
        <is>
          <t xml:space="preserve">      "path": "Z:\\已处理素材\\卖点展示类素材\\【01】上层薄抽\\1月4日 (1)(2)\\1月4日 (1)(2)-2.mp4",</t>
        </is>
      </c>
    </row>
    <row r="1129">
      <c r="A1129" s="9" t="n">
        <v>1126</v>
      </c>
      <c r="B1129" s="10" t="inlineStr">
        <is>
          <t xml:space="preserve">      "file_hash": "4e8dfc97a970fcef",</t>
        </is>
      </c>
    </row>
    <row r="1130">
      <c r="A1130" s="7" t="n">
        <v>1127</v>
      </c>
      <c r="B1130" s="8" t="inlineStr">
        <is>
          <t xml:space="preserve">      "type": "卖点",</t>
        </is>
      </c>
    </row>
    <row r="1131">
      <c r="A1131" s="9" t="n">
        <v>1128</v>
      </c>
      <c r="B1131" s="10" t="inlineStr">
        <is>
          <t xml:space="preserve">      "main_tag": "1月4日 (1)(2)",</t>
        </is>
      </c>
    </row>
    <row r="1132">
      <c r="A1132" s="7" t="n">
        <v>1129</v>
      </c>
      <c r="B1132" s="8" t="inlineStr">
        <is>
          <t xml:space="preserve">      "folder_name": "1月4日 (1)(2)",</t>
        </is>
      </c>
    </row>
    <row r="1133">
      <c r="A1133" s="9" t="n">
        <v>1130</v>
      </c>
      <c r="B1133" s="10" t="inlineStr">
        <is>
          <t xml:space="preserve">      "materials": [],</t>
        </is>
      </c>
    </row>
    <row r="1134">
      <c r="A1134" s="7" t="n">
        <v>1131</v>
      </c>
      <c r="B1134" s="8" t="inlineStr">
        <is>
          <t xml:space="preserve">      "colors": [],</t>
        </is>
      </c>
    </row>
    <row r="1135">
      <c r="A1135" s="9" t="n">
        <v>1132</v>
      </c>
      <c r="B1135" s="10" t="inlineStr">
        <is>
          <t xml:space="preserve">      "actions": [],</t>
        </is>
      </c>
    </row>
    <row r="1136">
      <c r="A1136" s="7" t="n">
        <v>1133</v>
      </c>
      <c r="B1136" s="8" t="inlineStr">
        <is>
          <t xml:space="preserve">      "raw_tags": [],</t>
        </is>
      </c>
    </row>
    <row r="1137">
      <c r="A1137" s="9" t="n">
        <v>1134</v>
      </c>
      <c r="B1137" s="10" t="inlineStr">
        <is>
          <t xml:space="preserve">      "quality_score": 1.0,</t>
        </is>
      </c>
    </row>
    <row r="1138">
      <c r="A1138" s="7" t="n">
        <v>1135</v>
      </c>
      <c r="B1138" s="8" t="inlineStr">
        <is>
          <t xml:space="preserve">      "processed_time": "2026-06-07T14:46:18.611426",</t>
        </is>
      </c>
    </row>
    <row r="1139">
      <c r="A1139" s="9" t="n">
        <v>1136</v>
      </c>
      <c r="B1139" s="10" t="inlineStr">
        <is>
          <t xml:space="preserve">      "file_size_mb": 27.44,</t>
        </is>
      </c>
    </row>
    <row r="1140">
      <c r="A1140" s="7" t="n">
        <v>1137</v>
      </c>
      <c r="B1140" s="8" t="inlineStr">
        <is>
          <t xml:space="preserve">      "file_mtime": "2026-01-12T14:38:55.944850"</t>
        </is>
      </c>
    </row>
    <row r="1141">
      <c r="A1141" s="9" t="n">
        <v>1138</v>
      </c>
      <c r="B1141" s="10" t="inlineStr">
        <is>
          <t xml:space="preserve">    },</t>
        </is>
      </c>
    </row>
    <row r="1142">
      <c r="A1142" s="7" t="n">
        <v>1139</v>
      </c>
      <c r="B1142" s="8" t="inlineStr">
        <is>
          <t xml:space="preserve">    "beafffb22823be72": {</t>
        </is>
      </c>
    </row>
    <row r="1143">
      <c r="A1143" s="9" t="n">
        <v>1140</v>
      </c>
      <c r="B1143" s="10" t="inlineStr">
        <is>
          <t xml:space="preserve">      "path": "Z:\\已处理素材\\卖点展示类素材\\【01】上层薄抽\\1月4日【62】【现代极简风岛台】广州赖小姐 【岛台上层薄抽+下层抽屉三节托底导轨抽拉超顺滑】【01\\1月4日【62】【现代极简风岛台】广州赖小姐 【岛台上层薄抽+下层抽屉三节托底导轨抽拉超顺滑】【01-1.mp4",</t>
        </is>
      </c>
    </row>
    <row r="1144">
      <c r="A1144" s="7" t="n">
        <v>1141</v>
      </c>
      <c r="B1144" s="8" t="inlineStr">
        <is>
          <t xml:space="preserve">      "file_hash": "beafffb22823be72",</t>
        </is>
      </c>
    </row>
    <row r="1145">
      <c r="A1145" s="9" t="n">
        <v>1142</v>
      </c>
      <c r="B1145" s="10" t="inlineStr">
        <is>
          <t xml:space="preserve">      "type": "卖点",</t>
        </is>
      </c>
    </row>
    <row r="1146">
      <c r="A1146" s="7" t="n">
        <v>1143</v>
      </c>
      <c r="B1146" s="8" t="inlineStr">
        <is>
          <t xml:space="preserve">      "main_tag": "现代极简风岛台",</t>
        </is>
      </c>
    </row>
    <row r="1147">
      <c r="A1147" s="9" t="n">
        <v>1144</v>
      </c>
      <c r="B1147" s="10" t="inlineStr">
        <is>
          <t xml:space="preserve">      "folder_name": "1月4日【62】【现代极简风岛台】广州赖小姐 【岛台上层薄抽+下层抽屉三节托底导轨抽拉超顺滑】【01",</t>
        </is>
      </c>
    </row>
    <row r="1148">
      <c r="A1148" s="7" t="n">
        <v>1145</v>
      </c>
      <c r="B1148" s="8" t="inlineStr">
        <is>
          <t xml:space="preserve">      "materials": [],</t>
        </is>
      </c>
    </row>
    <row r="1149">
      <c r="A1149" s="9" t="n">
        <v>1146</v>
      </c>
      <c r="B1149" s="10" t="inlineStr">
        <is>
          <t xml:space="preserve">      "colors": [],</t>
        </is>
      </c>
    </row>
    <row r="1150">
      <c r="A1150" s="7" t="n">
        <v>1147</v>
      </c>
      <c r="B1150" s="8" t="inlineStr">
        <is>
          <t xml:space="preserve">      "actions": [],</t>
        </is>
      </c>
    </row>
    <row r="1151">
      <c r="A1151" s="9" t="n">
        <v>1148</v>
      </c>
      <c r="B1151" s="10" t="inlineStr">
        <is>
          <t xml:space="preserve">      "raw_tags": [</t>
        </is>
      </c>
    </row>
    <row r="1152">
      <c r="A1152" s="7" t="n">
        <v>1149</v>
      </c>
      <c r="B1152" s="8" t="inlineStr">
        <is>
          <t xml:space="preserve">        "现代极简风岛台"</t>
        </is>
      </c>
    </row>
    <row r="1153">
      <c r="A1153" s="9" t="n">
        <v>1150</v>
      </c>
      <c r="B1153" s="10" t="inlineStr">
        <is>
          <t xml:space="preserve">      ],</t>
        </is>
      </c>
    </row>
    <row r="1154">
      <c r="A1154" s="7" t="n">
        <v>1151</v>
      </c>
      <c r="B1154" s="8" t="inlineStr">
        <is>
          <t xml:space="preserve">      "quality_score": 1.0,</t>
        </is>
      </c>
    </row>
    <row r="1155">
      <c r="A1155" s="9" t="n">
        <v>1152</v>
      </c>
      <c r="B1155" s="10" t="inlineStr">
        <is>
          <t xml:space="preserve">      "processed_time": "2026-06-07T14:46:18.613419",</t>
        </is>
      </c>
    </row>
    <row r="1156">
      <c r="A1156" s="7" t="n">
        <v>1153</v>
      </c>
      <c r="B1156" s="8" t="inlineStr">
        <is>
          <t xml:space="preserve">      "file_size_mb": 44.94,</t>
        </is>
      </c>
    </row>
    <row r="1157">
      <c r="A1157" s="9" t="n">
        <v>1154</v>
      </c>
      <c r="B1157" s="10" t="inlineStr">
        <is>
          <t xml:space="preserve">      "file_mtime": "2026-01-12T15:25:30.701059"</t>
        </is>
      </c>
    </row>
    <row r="1158">
      <c r="A1158" s="7" t="n">
        <v>1155</v>
      </c>
      <c r="B1158" s="8" t="inlineStr">
        <is>
          <t xml:space="preserve">    },</t>
        </is>
      </c>
    </row>
    <row r="1159">
      <c r="A1159" s="9" t="n">
        <v>1156</v>
      </c>
      <c r="B1159" s="10" t="inlineStr">
        <is>
          <t xml:space="preserve">    "bf36e3973773b95f": {</t>
        </is>
      </c>
    </row>
    <row r="1160">
      <c r="A1160" s="7" t="n">
        <v>1157</v>
      </c>
      <c r="B1160" s="8" t="inlineStr">
        <is>
          <t xml:space="preserve">      "path": "Z:\\已处理素材\\卖点展示类素材\\【01】上层薄抽\\1月【22】【宝格丽紫+深黑色+艾米利亚棕】杭州沈小姐【岛台上层薄抽收纳展示】\\1月【22】【宝格丽紫+深黑色+艾米利亚棕】杭州沈小姐【岛台上层薄抽收纳展示】-1.mp4",</t>
        </is>
      </c>
    </row>
    <row r="1161">
      <c r="A1161" s="9" t="n">
        <v>1158</v>
      </c>
      <c r="B1161" s="10" t="inlineStr">
        <is>
          <t xml:space="preserve">      "file_hash": "bf36e3973773b95f",</t>
        </is>
      </c>
    </row>
    <row r="1162">
      <c r="A1162" s="7" t="n">
        <v>1159</v>
      </c>
      <c r="B1162" s="8" t="inlineStr">
        <is>
          <t xml:space="preserve">      "type": "卖点",</t>
        </is>
      </c>
    </row>
    <row r="1163">
      <c r="A1163" s="9" t="n">
        <v>1160</v>
      </c>
      <c r="B1163" s="10" t="inlineStr">
        <is>
          <t xml:space="preserve">      "main_tag": "岛台上层薄抽收纳展示",</t>
        </is>
      </c>
    </row>
    <row r="1164">
      <c r="A1164" s="7" t="n">
        <v>1161</v>
      </c>
      <c r="B1164" s="8" t="inlineStr">
        <is>
          <t xml:space="preserve">      "folder_name": "1月【22】【宝格丽紫+深黑色+艾米利亚棕】杭州沈小姐【岛台上层薄抽收纳展示】",</t>
        </is>
      </c>
    </row>
    <row r="1165">
      <c r="A1165" s="9" t="n">
        <v>1162</v>
      </c>
      <c r="B1165" s="10" t="inlineStr">
        <is>
          <t xml:space="preserve">      "materials": [</t>
        </is>
      </c>
    </row>
    <row r="1166">
      <c r="A1166" s="7" t="n">
        <v>1163</v>
      </c>
      <c r="B1166" s="8" t="inlineStr">
        <is>
          <t xml:space="preserve">        "宝格丽"</t>
        </is>
      </c>
    </row>
    <row r="1167">
      <c r="A1167" s="9" t="n">
        <v>1164</v>
      </c>
      <c r="B1167" s="10" t="inlineStr">
        <is>
          <t xml:space="preserve">      ],</t>
        </is>
      </c>
    </row>
    <row r="1168">
      <c r="A1168" s="7" t="n">
        <v>1165</v>
      </c>
      <c r="B1168" s="8" t="inlineStr">
        <is>
          <t xml:space="preserve">      "colors": [</t>
        </is>
      </c>
    </row>
    <row r="1169">
      <c r="A1169" s="9" t="n">
        <v>1166</v>
      </c>
      <c r="B1169" s="10" t="inlineStr">
        <is>
          <t xml:space="preserve">        "黑色"</t>
        </is>
      </c>
    </row>
    <row r="1170">
      <c r="A1170" s="7" t="n">
        <v>1167</v>
      </c>
      <c r="B1170" s="8" t="inlineStr">
        <is>
          <t xml:space="preserve">      ],</t>
        </is>
      </c>
    </row>
    <row r="1171">
      <c r="A1171" s="9" t="n">
        <v>1168</v>
      </c>
      <c r="B1171" s="10" t="inlineStr">
        <is>
          <t xml:space="preserve">      "actions": [</t>
        </is>
      </c>
    </row>
    <row r="1172">
      <c r="A1172" s="7" t="n">
        <v>1169</v>
      </c>
      <c r="B1172" s="8" t="inlineStr">
        <is>
          <t xml:space="preserve">        "展示",</t>
        </is>
      </c>
    </row>
    <row r="1173">
      <c r="A1173" s="9" t="n">
        <v>1170</v>
      </c>
      <c r="B1173" s="10" t="inlineStr">
        <is>
          <t xml:space="preserve">        "收纳"</t>
        </is>
      </c>
    </row>
    <row r="1174">
      <c r="A1174" s="7" t="n">
        <v>1171</v>
      </c>
      <c r="B1174" s="8" t="inlineStr">
        <is>
          <t xml:space="preserve">      ],</t>
        </is>
      </c>
    </row>
    <row r="1175">
      <c r="A1175" s="9" t="n">
        <v>1172</v>
      </c>
      <c r="B1175" s="10" t="inlineStr">
        <is>
          <t xml:space="preserve">      "raw_tags": [</t>
        </is>
      </c>
    </row>
    <row r="1176">
      <c r="A1176" s="7" t="n">
        <v>1173</v>
      </c>
      <c r="B1176" s="8" t="inlineStr">
        <is>
          <t xml:space="preserve">        "岛台上层薄抽收纳展示"</t>
        </is>
      </c>
    </row>
    <row r="1177">
      <c r="A1177" s="9" t="n">
        <v>1174</v>
      </c>
      <c r="B1177" s="10" t="inlineStr">
        <is>
          <t xml:space="preserve">      ],</t>
        </is>
      </c>
    </row>
    <row r="1178">
      <c r="A1178" s="7" t="n">
        <v>1175</v>
      </c>
      <c r="B1178" s="8" t="inlineStr">
        <is>
          <t xml:space="preserve">      "quality_score": 1.0,</t>
        </is>
      </c>
    </row>
    <row r="1179">
      <c r="A1179" s="9" t="n">
        <v>1176</v>
      </c>
      <c r="B1179" s="10" t="inlineStr">
        <is>
          <t xml:space="preserve">      "processed_time": "2026-06-07T14:46:18.614416",</t>
        </is>
      </c>
    </row>
    <row r="1180">
      <c r="A1180" s="7" t="n">
        <v>1177</v>
      </c>
      <c r="B1180" s="8" t="inlineStr">
        <is>
          <t xml:space="preserve">      "file_size_mb": 51.09,</t>
        </is>
      </c>
    </row>
    <row r="1181">
      <c r="A1181" s="9" t="n">
        <v>1178</v>
      </c>
      <c r="B1181" s="10" t="inlineStr">
        <is>
          <t xml:space="preserve">      "file_mtime": "2026-01-06T19:28:50.136851"</t>
        </is>
      </c>
    </row>
    <row r="1182">
      <c r="A1182" s="7" t="n">
        <v>1179</v>
      </c>
      <c r="B1182" s="8" t="inlineStr">
        <is>
          <t xml:space="preserve">    },</t>
        </is>
      </c>
    </row>
    <row r="1183">
      <c r="A1183" s="9" t="n">
        <v>1180</v>
      </c>
      <c r="B1183" s="10" t="inlineStr">
        <is>
          <t xml:space="preserve">    "c9f6a14d948c1428": {</t>
        </is>
      </c>
    </row>
    <row r="1184">
      <c r="A1184" s="7" t="n">
        <v>1181</v>
      </c>
      <c r="B1184" s="8" t="inlineStr">
        <is>
          <t xml:space="preserve">      "path": "Z:\\已处理素材\\卖点展示类素材\\【01】上层薄抽\\【01】【水泥奶油白】汕尾陈小姐【上层薄抽收纳】\\【01】【水泥奶油白】汕尾陈小姐【上层薄抽收纳】-1.mp4",</t>
        </is>
      </c>
    </row>
    <row r="1185">
      <c r="A1185" s="9" t="n">
        <v>1182</v>
      </c>
      <c r="B1185" s="10" t="inlineStr">
        <is>
          <t xml:space="preserve">      "file_hash": "c9f6a14d948c1428",</t>
        </is>
      </c>
    </row>
    <row r="1186">
      <c r="A1186" s="7" t="n">
        <v>1183</v>
      </c>
      <c r="B1186" s="8" t="inlineStr">
        <is>
          <t xml:space="preserve">      "type": "卖点",</t>
        </is>
      </c>
    </row>
    <row r="1187">
      <c r="A1187" s="9" t="n">
        <v>1184</v>
      </c>
      <c r="B1187" s="10" t="inlineStr">
        <is>
          <t xml:space="preserve">      "main_tag": "上层薄抽收纳",</t>
        </is>
      </c>
    </row>
    <row r="1188">
      <c r="A1188" s="7" t="n">
        <v>1185</v>
      </c>
      <c r="B1188" s="8" t="inlineStr">
        <is>
          <t xml:space="preserve">      "folder_name": "【01】【水泥奶油白】汕尾陈小姐【上层薄抽收纳】",</t>
        </is>
      </c>
    </row>
    <row r="1189">
      <c r="A1189" s="9" t="n">
        <v>1186</v>
      </c>
      <c r="B1189" s="10" t="inlineStr">
        <is>
          <t xml:space="preserve">      "materials": [</t>
        </is>
      </c>
    </row>
    <row r="1190">
      <c r="A1190" s="7" t="n">
        <v>1187</v>
      </c>
      <c r="B1190" s="8" t="inlineStr">
        <is>
          <t xml:space="preserve">        "奶油白"</t>
        </is>
      </c>
    </row>
    <row r="1191">
      <c r="A1191" s="9" t="n">
        <v>1188</v>
      </c>
      <c r="B1191" s="10" t="inlineStr">
        <is>
          <t xml:space="preserve">      ],</t>
        </is>
      </c>
    </row>
    <row r="1192">
      <c r="A1192" s="7" t="n">
        <v>1189</v>
      </c>
      <c r="B1192" s="8" t="inlineStr">
        <is>
          <t xml:space="preserve">      "colors": [</t>
        </is>
      </c>
    </row>
    <row r="1193">
      <c r="A1193" s="9" t="n">
        <v>1190</v>
      </c>
      <c r="B1193" s="10" t="inlineStr">
        <is>
          <t xml:space="preserve">        "奶油白"</t>
        </is>
      </c>
    </row>
    <row r="1194">
      <c r="A1194" s="7" t="n">
        <v>1191</v>
      </c>
      <c r="B1194" s="8" t="inlineStr">
        <is>
          <t xml:space="preserve">      ],</t>
        </is>
      </c>
    </row>
    <row r="1195">
      <c r="A1195" s="9" t="n">
        <v>1192</v>
      </c>
      <c r="B1195" s="10" t="inlineStr">
        <is>
          <t xml:space="preserve">      "actions": [</t>
        </is>
      </c>
    </row>
    <row r="1196">
      <c r="A1196" s="7" t="n">
        <v>1193</v>
      </c>
      <c r="B1196" s="8" t="inlineStr">
        <is>
          <t xml:space="preserve">        "收纳"</t>
        </is>
      </c>
    </row>
    <row r="1197">
      <c r="A1197" s="9" t="n">
        <v>1194</v>
      </c>
      <c r="B1197" s="10" t="inlineStr">
        <is>
          <t xml:space="preserve">      ],</t>
        </is>
      </c>
    </row>
    <row r="1198">
      <c r="A1198" s="7" t="n">
        <v>1195</v>
      </c>
      <c r="B1198" s="8" t="inlineStr">
        <is>
          <t xml:space="preserve">      "raw_tags": [</t>
        </is>
      </c>
    </row>
    <row r="1199">
      <c r="A1199" s="9" t="n">
        <v>1196</v>
      </c>
      <c r="B1199" s="10" t="inlineStr">
        <is>
          <t xml:space="preserve">        "上层薄抽收纳"</t>
        </is>
      </c>
    </row>
    <row r="1200">
      <c r="A1200" s="7" t="n">
        <v>1197</v>
      </c>
      <c r="B1200" s="8" t="inlineStr">
        <is>
          <t xml:space="preserve">      ],</t>
        </is>
      </c>
    </row>
    <row r="1201">
      <c r="A1201" s="9" t="n">
        <v>1198</v>
      </c>
      <c r="B1201" s="10" t="inlineStr">
        <is>
          <t xml:space="preserve">      "quality_score": 1.0,</t>
        </is>
      </c>
    </row>
    <row r="1202">
      <c r="A1202" s="7" t="n">
        <v>1199</v>
      </c>
      <c r="B1202" s="8" t="inlineStr">
        <is>
          <t xml:space="preserve">      "processed_time": "2026-06-07T14:46:18.615412",</t>
        </is>
      </c>
    </row>
    <row r="1203">
      <c r="A1203" s="9" t="n">
        <v>1200</v>
      </c>
      <c r="B1203" s="10" t="inlineStr">
        <is>
          <t xml:space="preserve">      "file_size_mb": 66.22,</t>
        </is>
      </c>
    </row>
    <row r="1204">
      <c r="A1204" s="7" t="n">
        <v>1201</v>
      </c>
      <c r="B1204" s="8" t="inlineStr">
        <is>
          <t xml:space="preserve">      "file_mtime": "2025-12-29T16:38:00.962154"</t>
        </is>
      </c>
    </row>
    <row r="1205">
      <c r="A1205" s="9" t="n">
        <v>1202</v>
      </c>
      <c r="B1205" s="10" t="inlineStr">
        <is>
          <t xml:space="preserve">    },</t>
        </is>
      </c>
    </row>
    <row r="1206">
      <c r="A1206" s="7" t="n">
        <v>1203</v>
      </c>
      <c r="B1206" s="8" t="inlineStr">
        <is>
          <t xml:space="preserve">    "e89b6307ec8d466f": {</t>
        </is>
      </c>
    </row>
    <row r="1207">
      <c r="A1207" s="9" t="n">
        <v>1204</v>
      </c>
      <c r="B1207" s="10" t="inlineStr">
        <is>
          <t xml:space="preserve">      "path": "Z:\\已处理素材\\卖点展示类素材\\【01】上层薄抽\\【01】【水泥奶油白】汕尾陈小姐【上层薄抽收纳】 (2)\\【01】【水泥奶油白】汕尾陈小姐【上层薄抽收纳】【坤宝-01-1】-1.mp4",</t>
        </is>
      </c>
    </row>
    <row r="1208">
      <c r="A1208" s="7" t="n">
        <v>1205</v>
      </c>
      <c r="B1208" s="8" t="inlineStr">
        <is>
          <t xml:space="preserve">      "file_hash": "e89b6307ec8d466f",</t>
        </is>
      </c>
    </row>
    <row r="1209">
      <c r="A1209" s="9" t="n">
        <v>1206</v>
      </c>
      <c r="B1209" s="10" t="inlineStr">
        <is>
          <t xml:space="preserve">      "type": "卖点",</t>
        </is>
      </c>
    </row>
    <row r="1210">
      <c r="A1210" s="7" t="n">
        <v>1207</v>
      </c>
      <c r="B1210" s="8" t="inlineStr">
        <is>
          <t xml:space="preserve">      "main_tag": "上层薄抽收纳",</t>
        </is>
      </c>
    </row>
    <row r="1211">
      <c r="A1211" s="9" t="n">
        <v>1208</v>
      </c>
      <c r="B1211" s="10" t="inlineStr">
        <is>
          <t xml:space="preserve">      "folder_name": "【01】【水泥奶油白】汕尾陈小姐【上层薄抽收纳】 (2)",</t>
        </is>
      </c>
    </row>
    <row r="1212">
      <c r="A1212" s="7" t="n">
        <v>1209</v>
      </c>
      <c r="B1212" s="8" t="inlineStr">
        <is>
          <t xml:space="preserve">      "materials": [</t>
        </is>
      </c>
    </row>
    <row r="1213">
      <c r="A1213" s="9" t="n">
        <v>1210</v>
      </c>
      <c r="B1213" s="10" t="inlineStr">
        <is>
          <t xml:space="preserve">        "奶油白"</t>
        </is>
      </c>
    </row>
    <row r="1214">
      <c r="A1214" s="7" t="n">
        <v>1211</v>
      </c>
      <c r="B1214" s="8" t="inlineStr">
        <is>
          <t xml:space="preserve">      ],</t>
        </is>
      </c>
    </row>
    <row r="1215">
      <c r="A1215" s="9" t="n">
        <v>1212</v>
      </c>
      <c r="B1215" s="10" t="inlineStr">
        <is>
          <t xml:space="preserve">      "colors": [</t>
        </is>
      </c>
    </row>
    <row r="1216">
      <c r="A1216" s="7" t="n">
        <v>1213</v>
      </c>
      <c r="B1216" s="8" t="inlineStr">
        <is>
          <t xml:space="preserve">        "奶油白"</t>
        </is>
      </c>
    </row>
    <row r="1217">
      <c r="A1217" s="9" t="n">
        <v>1214</v>
      </c>
      <c r="B1217" s="10" t="inlineStr">
        <is>
          <t xml:space="preserve">      ],</t>
        </is>
      </c>
    </row>
    <row r="1218">
      <c r="A1218" s="7" t="n">
        <v>1215</v>
      </c>
      <c r="B1218" s="8" t="inlineStr">
        <is>
          <t xml:space="preserve">      "actions": [</t>
        </is>
      </c>
    </row>
    <row r="1219">
      <c r="A1219" s="9" t="n">
        <v>1216</v>
      </c>
      <c r="B1219" s="10" t="inlineStr">
        <is>
          <t xml:space="preserve">        "收纳"</t>
        </is>
      </c>
    </row>
    <row r="1220">
      <c r="A1220" s="7" t="n">
        <v>1217</v>
      </c>
      <c r="B1220" s="8" t="inlineStr">
        <is>
          <t xml:space="preserve">      ],</t>
        </is>
      </c>
    </row>
    <row r="1221">
      <c r="A1221" s="9" t="n">
        <v>1218</v>
      </c>
      <c r="B1221" s="10" t="inlineStr">
        <is>
          <t xml:space="preserve">      "raw_tags": [</t>
        </is>
      </c>
    </row>
    <row r="1222">
      <c r="A1222" s="7" t="n">
        <v>1219</v>
      </c>
      <c r="B1222" s="8" t="inlineStr">
        <is>
          <t xml:space="preserve">        "上层薄抽收纳",</t>
        </is>
      </c>
    </row>
    <row r="1223">
      <c r="A1223" s="9" t="n">
        <v>1220</v>
      </c>
      <c r="B1223" s="10" t="inlineStr">
        <is>
          <t xml:space="preserve">        "坤宝-01-1"</t>
        </is>
      </c>
    </row>
    <row r="1224">
      <c r="A1224" s="7" t="n">
        <v>1221</v>
      </c>
      <c r="B1224" s="8" t="inlineStr">
        <is>
          <t xml:space="preserve">      ],</t>
        </is>
      </c>
    </row>
    <row r="1225">
      <c r="A1225" s="9" t="n">
        <v>1222</v>
      </c>
      <c r="B1225" s="10" t="inlineStr">
        <is>
          <t xml:space="preserve">      "quality_score": 1.0,</t>
        </is>
      </c>
    </row>
    <row r="1226">
      <c r="A1226" s="7" t="n">
        <v>1223</v>
      </c>
      <c r="B1226" s="8" t="inlineStr">
        <is>
          <t xml:space="preserve">      "processed_time": "2026-06-07T14:46:18.616409",</t>
        </is>
      </c>
    </row>
    <row r="1227">
      <c r="A1227" s="9" t="n">
        <v>1224</v>
      </c>
      <c r="B1227" s="10" t="inlineStr">
        <is>
          <t xml:space="preserve">      "file_size_mb": 27.87,</t>
        </is>
      </c>
    </row>
    <row r="1228">
      <c r="A1228" s="7" t="n">
        <v>1225</v>
      </c>
      <c r="B1228" s="8" t="inlineStr">
        <is>
          <t xml:space="preserve">      "file_mtime": "2025-12-29T16:57:38.415710"</t>
        </is>
      </c>
    </row>
    <row r="1229">
      <c r="A1229" s="9" t="n">
        <v>1226</v>
      </c>
      <c r="B1229" s="10" t="inlineStr">
        <is>
          <t xml:space="preserve">    },</t>
        </is>
      </c>
    </row>
    <row r="1230">
      <c r="A1230" s="7" t="n">
        <v>1227</v>
      </c>
      <c r="B1230" s="8" t="inlineStr">
        <is>
          <t xml:space="preserve">    "c111a3d9782be5d1": {</t>
        </is>
      </c>
    </row>
    <row r="1231">
      <c r="A1231" s="9" t="n">
        <v>1228</v>
      </c>
      <c r="B1231" s="10" t="inlineStr">
        <is>
          <t xml:space="preserve">      "path": "Z:\\已处理素材\\卖点展示类素材\\【01】上层薄抽\\【01】【水泥奶油白】汕尾陈小姐【上层薄抽收纳】 (2)\\【01】【水泥奶油白】汕尾陈小姐【上层薄抽收纳】【坤宝-01-1】-2.mp4",</t>
        </is>
      </c>
    </row>
    <row r="1232">
      <c r="A1232" s="7" t="n">
        <v>1229</v>
      </c>
      <c r="B1232" s="8" t="inlineStr">
        <is>
          <t xml:space="preserve">      "file_hash": "c111a3d9782be5d1",</t>
        </is>
      </c>
    </row>
    <row r="1233">
      <c r="A1233" s="9" t="n">
        <v>1230</v>
      </c>
      <c r="B1233" s="10" t="inlineStr">
        <is>
          <t xml:space="preserve">      "type": "卖点",</t>
        </is>
      </c>
    </row>
    <row r="1234">
      <c r="A1234" s="7" t="n">
        <v>1231</v>
      </c>
      <c r="B1234" s="8" t="inlineStr">
        <is>
          <t xml:space="preserve">      "main_tag": "上层薄抽收纳",</t>
        </is>
      </c>
    </row>
    <row r="1235">
      <c r="A1235" s="9" t="n">
        <v>1232</v>
      </c>
      <c r="B1235" s="10" t="inlineStr">
        <is>
          <t xml:space="preserve">      "folder_name": "【01】【水泥奶油白】汕尾陈小姐【上层薄抽收纳】 (2)",</t>
        </is>
      </c>
    </row>
    <row r="1236">
      <c r="A1236" s="7" t="n">
        <v>1233</v>
      </c>
      <c r="B1236" s="8" t="inlineStr">
        <is>
          <t xml:space="preserve">      "materials": [</t>
        </is>
      </c>
    </row>
    <row r="1237">
      <c r="A1237" s="9" t="n">
        <v>1234</v>
      </c>
      <c r="B1237" s="10" t="inlineStr">
        <is>
          <t xml:space="preserve">        "奶油白"</t>
        </is>
      </c>
    </row>
    <row r="1238">
      <c r="A1238" s="7" t="n">
        <v>1235</v>
      </c>
      <c r="B1238" s="8" t="inlineStr">
        <is>
          <t xml:space="preserve">      ],</t>
        </is>
      </c>
    </row>
    <row r="1239">
      <c r="A1239" s="9" t="n">
        <v>1236</v>
      </c>
      <c r="B1239" s="10" t="inlineStr">
        <is>
          <t xml:space="preserve">      "colors": [</t>
        </is>
      </c>
    </row>
    <row r="1240">
      <c r="A1240" s="7" t="n">
        <v>1237</v>
      </c>
      <c r="B1240" s="8" t="inlineStr">
        <is>
          <t xml:space="preserve">        "奶油白"</t>
        </is>
      </c>
    </row>
    <row r="1241">
      <c r="A1241" s="9" t="n">
        <v>1238</v>
      </c>
      <c r="B1241" s="10" t="inlineStr">
        <is>
          <t xml:space="preserve">      ],</t>
        </is>
      </c>
    </row>
    <row r="1242">
      <c r="A1242" s="7" t="n">
        <v>1239</v>
      </c>
      <c r="B1242" s="8" t="inlineStr">
        <is>
          <t xml:space="preserve">      "actions": [</t>
        </is>
      </c>
    </row>
    <row r="1243">
      <c r="A1243" s="9" t="n">
        <v>1240</v>
      </c>
      <c r="B1243" s="10" t="inlineStr">
        <is>
          <t xml:space="preserve">        "收纳"</t>
        </is>
      </c>
    </row>
    <row r="1244">
      <c r="A1244" s="7" t="n">
        <v>1241</v>
      </c>
      <c r="B1244" s="8" t="inlineStr">
        <is>
          <t xml:space="preserve">      ],</t>
        </is>
      </c>
    </row>
    <row r="1245">
      <c r="A1245" s="9" t="n">
        <v>1242</v>
      </c>
      <c r="B1245" s="10" t="inlineStr">
        <is>
          <t xml:space="preserve">      "raw_tags": [</t>
        </is>
      </c>
    </row>
    <row r="1246">
      <c r="A1246" s="7" t="n">
        <v>1243</v>
      </c>
      <c r="B1246" s="8" t="inlineStr">
        <is>
          <t xml:space="preserve">        "上层薄抽收纳",</t>
        </is>
      </c>
    </row>
    <row r="1247">
      <c r="A1247" s="9" t="n">
        <v>1244</v>
      </c>
      <c r="B1247" s="10" t="inlineStr">
        <is>
          <t xml:space="preserve">        "坤宝-01-1"</t>
        </is>
      </c>
    </row>
    <row r="1248">
      <c r="A1248" s="7" t="n">
        <v>1245</v>
      </c>
      <c r="B1248" s="8" t="inlineStr">
        <is>
          <t xml:space="preserve">      ],</t>
        </is>
      </c>
    </row>
    <row r="1249">
      <c r="A1249" s="9" t="n">
        <v>1246</v>
      </c>
      <c r="B1249" s="10" t="inlineStr">
        <is>
          <t xml:space="preserve">      "quality_score": 1.0,</t>
        </is>
      </c>
    </row>
    <row r="1250">
      <c r="A1250" s="7" t="n">
        <v>1247</v>
      </c>
      <c r="B1250" s="8" t="inlineStr">
        <is>
          <t xml:space="preserve">      "processed_time": "2026-06-07T14:46:18.617406",</t>
        </is>
      </c>
    </row>
    <row r="1251">
      <c r="A1251" s="9" t="n">
        <v>1248</v>
      </c>
      <c r="B1251" s="10" t="inlineStr">
        <is>
          <t xml:space="preserve">      "file_size_mb": 31.87,</t>
        </is>
      </c>
    </row>
    <row r="1252">
      <c r="A1252" s="7" t="n">
        <v>1249</v>
      </c>
      <c r="B1252" s="8" t="inlineStr">
        <is>
          <t xml:space="preserve">      "file_mtime": "2025-12-29T16:57:41.525454"</t>
        </is>
      </c>
    </row>
    <row r="1253">
      <c r="A1253" s="9" t="n">
        <v>1250</v>
      </c>
      <c r="B1253" s="10" t="inlineStr">
        <is>
          <t xml:space="preserve">    },</t>
        </is>
      </c>
    </row>
    <row r="1254">
      <c r="A1254" s="7" t="n">
        <v>1251</v>
      </c>
      <c r="B1254" s="8" t="inlineStr">
        <is>
          <t xml:space="preserve">    "3852b69aae49c649": {</t>
        </is>
      </c>
    </row>
    <row r="1255">
      <c r="A1255" s="9" t="n">
        <v>1252</v>
      </c>
      <c r="B1255" s="10" t="inlineStr">
        <is>
          <t xml:space="preserve">      "path": "Z:\\已处理素材\\卖点展示类素材\\【01】上层薄抽\\【01】【水泥奶油白】汕尾陈小姐【上层薄抽收纳】 (2)\\【01】【水泥奶油白】汕尾陈小姐【上层薄抽收纳】【坤宝-01-1】-3.mp4",</t>
        </is>
      </c>
    </row>
    <row r="1256">
      <c r="A1256" s="7" t="n">
        <v>1253</v>
      </c>
      <c r="B1256" s="8" t="inlineStr">
        <is>
          <t xml:space="preserve">      "file_hash": "3852b69aae49c649",</t>
        </is>
      </c>
    </row>
    <row r="1257">
      <c r="A1257" s="9" t="n">
        <v>1254</v>
      </c>
      <c r="B1257" s="10" t="inlineStr">
        <is>
          <t xml:space="preserve">      "type": "卖点",</t>
        </is>
      </c>
    </row>
    <row r="1258">
      <c r="A1258" s="7" t="n">
        <v>1255</v>
      </c>
      <c r="B1258" s="8" t="inlineStr">
        <is>
          <t xml:space="preserve">      "main_tag": "上层薄抽收纳",</t>
        </is>
      </c>
    </row>
    <row r="1259">
      <c r="A1259" s="9" t="n">
        <v>1256</v>
      </c>
      <c r="B1259" s="10" t="inlineStr">
        <is>
          <t xml:space="preserve">      "folder_name": "【01】【水泥奶油白】汕尾陈小姐【上层薄抽收纳】 (2)",</t>
        </is>
      </c>
    </row>
    <row r="1260">
      <c r="A1260" s="7" t="n">
        <v>1257</v>
      </c>
      <c r="B1260" s="8" t="inlineStr">
        <is>
          <t xml:space="preserve">      "materials": [</t>
        </is>
      </c>
    </row>
    <row r="1261">
      <c r="A1261" s="9" t="n">
        <v>1258</v>
      </c>
      <c r="B1261" s="10" t="inlineStr">
        <is>
          <t xml:space="preserve">        "奶油白"</t>
        </is>
      </c>
    </row>
    <row r="1262">
      <c r="A1262" s="7" t="n">
        <v>1259</v>
      </c>
      <c r="B1262" s="8" t="inlineStr">
        <is>
          <t xml:space="preserve">      ],</t>
        </is>
      </c>
    </row>
    <row r="1263">
      <c r="A1263" s="9" t="n">
        <v>1260</v>
      </c>
      <c r="B1263" s="10" t="inlineStr">
        <is>
          <t xml:space="preserve">      "colors": [</t>
        </is>
      </c>
    </row>
    <row r="1264">
      <c r="A1264" s="7" t="n">
        <v>1261</v>
      </c>
      <c r="B1264" s="8" t="inlineStr">
        <is>
          <t xml:space="preserve">        "奶油白"</t>
        </is>
      </c>
    </row>
    <row r="1265">
      <c r="A1265" s="9" t="n">
        <v>1262</v>
      </c>
      <c r="B1265" s="10" t="inlineStr">
        <is>
          <t xml:space="preserve">      ],</t>
        </is>
      </c>
    </row>
    <row r="1266">
      <c r="A1266" s="7" t="n">
        <v>1263</v>
      </c>
      <c r="B1266" s="8" t="inlineStr">
        <is>
          <t xml:space="preserve">      "actions": [</t>
        </is>
      </c>
    </row>
    <row r="1267">
      <c r="A1267" s="9" t="n">
        <v>1264</v>
      </c>
      <c r="B1267" s="10" t="inlineStr">
        <is>
          <t xml:space="preserve">        "收纳"</t>
        </is>
      </c>
    </row>
    <row r="1268">
      <c r="A1268" s="7" t="n">
        <v>1265</v>
      </c>
      <c r="B1268" s="8" t="inlineStr">
        <is>
          <t xml:space="preserve">      ],</t>
        </is>
      </c>
    </row>
    <row r="1269">
      <c r="A1269" s="9" t="n">
        <v>1266</v>
      </c>
      <c r="B1269" s="10" t="inlineStr">
        <is>
          <t xml:space="preserve">      "raw_tags": [</t>
        </is>
      </c>
    </row>
    <row r="1270">
      <c r="A1270" s="7" t="n">
        <v>1267</v>
      </c>
      <c r="B1270" s="8" t="inlineStr">
        <is>
          <t xml:space="preserve">        "上层薄抽收纳",</t>
        </is>
      </c>
    </row>
    <row r="1271">
      <c r="A1271" s="9" t="n">
        <v>1268</v>
      </c>
      <c r="B1271" s="10" t="inlineStr">
        <is>
          <t xml:space="preserve">        "坤宝-01-1"</t>
        </is>
      </c>
    </row>
    <row r="1272">
      <c r="A1272" s="7" t="n">
        <v>1269</v>
      </c>
      <c r="B1272" s="8" t="inlineStr">
        <is>
          <t xml:space="preserve">      ],</t>
        </is>
      </c>
    </row>
    <row r="1273">
      <c r="A1273" s="9" t="n">
        <v>1270</v>
      </c>
      <c r="B1273" s="10" t="inlineStr">
        <is>
          <t xml:space="preserve">      "quality_score": 1.0,</t>
        </is>
      </c>
    </row>
    <row r="1274">
      <c r="A1274" s="7" t="n">
        <v>1271</v>
      </c>
      <c r="B1274" s="8" t="inlineStr">
        <is>
          <t xml:space="preserve">      "processed_time": "2026-06-07T14:46:18.618405",</t>
        </is>
      </c>
    </row>
    <row r="1275">
      <c r="A1275" s="9" t="n">
        <v>1272</v>
      </c>
      <c r="B1275" s="10" t="inlineStr">
        <is>
          <t xml:space="preserve">      "file_size_mb": 15.79,</t>
        </is>
      </c>
    </row>
    <row r="1276">
      <c r="A1276" s="7" t="n">
        <v>1273</v>
      </c>
      <c r="B1276" s="8" t="inlineStr">
        <is>
          <t xml:space="preserve">      "file_mtime": "2025-12-29T16:57:43.291373"</t>
        </is>
      </c>
    </row>
    <row r="1277">
      <c r="A1277" s="9" t="n">
        <v>1274</v>
      </c>
      <c r="B1277" s="10" t="inlineStr">
        <is>
          <t xml:space="preserve">    },</t>
        </is>
      </c>
    </row>
    <row r="1278">
      <c r="A1278" s="7" t="n">
        <v>1275</v>
      </c>
      <c r="B1278" s="8" t="inlineStr">
        <is>
          <t xml:space="preserve">    "1d517b225495b2ee": {</t>
        </is>
      </c>
    </row>
    <row r="1279">
      <c r="A1279" s="9" t="n">
        <v>1276</v>
      </c>
      <c r="B1279" s="10" t="inlineStr">
        <is>
          <t xml:space="preserve">      "path": "Z:\\已处理素材\\卖点展示类素材\\【01】上层薄抽\\【01】【水泥奶油白】汕尾陈小姐【上层薄抽收纳】 (2)\\【01】【水泥奶油白】汕尾陈小姐【上层薄抽收纳】【坤宝-01-1】-4.mp4",</t>
        </is>
      </c>
    </row>
    <row r="1280">
      <c r="A1280" s="7" t="n">
        <v>1277</v>
      </c>
      <c r="B1280" s="8" t="inlineStr">
        <is>
          <t xml:space="preserve">      "file_hash": "1d517b225495b2ee",</t>
        </is>
      </c>
    </row>
    <row r="1281">
      <c r="A1281" s="9" t="n">
        <v>1278</v>
      </c>
      <c r="B1281" s="10" t="inlineStr">
        <is>
          <t xml:space="preserve">      "type": "卖点",</t>
        </is>
      </c>
    </row>
    <row r="1282">
      <c r="A1282" s="7" t="n">
        <v>1279</v>
      </c>
      <c r="B1282" s="8" t="inlineStr">
        <is>
          <t xml:space="preserve">      "main_tag": "上层薄抽收纳",</t>
        </is>
      </c>
    </row>
    <row r="1283">
      <c r="A1283" s="9" t="n">
        <v>1280</v>
      </c>
      <c r="B1283" s="10" t="inlineStr">
        <is>
          <t xml:space="preserve">      "folder_name": "【01】【水泥奶油白】汕尾陈小姐【上层薄抽收纳】 (2)",</t>
        </is>
      </c>
    </row>
    <row r="1284">
      <c r="A1284" s="7" t="n">
        <v>1281</v>
      </c>
      <c r="B1284" s="8" t="inlineStr">
        <is>
          <t xml:space="preserve">      "materials": [</t>
        </is>
      </c>
    </row>
    <row r="1285">
      <c r="A1285" s="9" t="n">
        <v>1282</v>
      </c>
      <c r="B1285" s="10" t="inlineStr">
        <is>
          <t xml:space="preserve">        "奶油白"</t>
        </is>
      </c>
    </row>
    <row r="1286">
      <c r="A1286" s="7" t="n">
        <v>1283</v>
      </c>
      <c r="B1286" s="8" t="inlineStr">
        <is>
          <t xml:space="preserve">      ],</t>
        </is>
      </c>
    </row>
    <row r="1287">
      <c r="A1287" s="9" t="n">
        <v>1284</v>
      </c>
      <c r="B1287" s="10" t="inlineStr">
        <is>
          <t xml:space="preserve">      "colors": [</t>
        </is>
      </c>
    </row>
    <row r="1288">
      <c r="A1288" s="7" t="n">
        <v>1285</v>
      </c>
      <c r="B1288" s="8" t="inlineStr">
        <is>
          <t xml:space="preserve">        "奶油白"</t>
        </is>
      </c>
    </row>
    <row r="1289">
      <c r="A1289" s="9" t="n">
        <v>1286</v>
      </c>
      <c r="B1289" s="10" t="inlineStr">
        <is>
          <t xml:space="preserve">      ],</t>
        </is>
      </c>
    </row>
    <row r="1290">
      <c r="A1290" s="7" t="n">
        <v>1287</v>
      </c>
      <c r="B1290" s="8" t="inlineStr">
        <is>
          <t xml:space="preserve">      "actions": [</t>
        </is>
      </c>
    </row>
    <row r="1291">
      <c r="A1291" s="9" t="n">
        <v>1288</v>
      </c>
      <c r="B1291" s="10" t="inlineStr">
        <is>
          <t xml:space="preserve">        "收纳"</t>
        </is>
      </c>
    </row>
    <row r="1292">
      <c r="A1292" s="7" t="n">
        <v>1289</v>
      </c>
      <c r="B1292" s="8" t="inlineStr">
        <is>
          <t xml:space="preserve">      ],</t>
        </is>
      </c>
    </row>
    <row r="1293">
      <c r="A1293" s="9" t="n">
        <v>1290</v>
      </c>
      <c r="B1293" s="10" t="inlineStr">
        <is>
          <t xml:space="preserve">      "raw_tags": [</t>
        </is>
      </c>
    </row>
    <row r="1294">
      <c r="A1294" s="7" t="n">
        <v>1291</v>
      </c>
      <c r="B1294" s="8" t="inlineStr">
        <is>
          <t xml:space="preserve">        "上层薄抽收纳",</t>
        </is>
      </c>
    </row>
    <row r="1295">
      <c r="A1295" s="9" t="n">
        <v>1292</v>
      </c>
      <c r="B1295" s="10" t="inlineStr">
        <is>
          <t xml:space="preserve">        "坤宝-01-1"</t>
        </is>
      </c>
    </row>
    <row r="1296">
      <c r="A1296" s="7" t="n">
        <v>1293</v>
      </c>
      <c r="B1296" s="8" t="inlineStr">
        <is>
          <t xml:space="preserve">      ],</t>
        </is>
      </c>
    </row>
    <row r="1297">
      <c r="A1297" s="9" t="n">
        <v>1294</v>
      </c>
      <c r="B1297" s="10" t="inlineStr">
        <is>
          <t xml:space="preserve">      "quality_score": 1.0,</t>
        </is>
      </c>
    </row>
    <row r="1298">
      <c r="A1298" s="7" t="n">
        <v>1295</v>
      </c>
      <c r="B1298" s="8" t="inlineStr">
        <is>
          <t xml:space="preserve">      "processed_time": "2026-06-07T14:46:18.619402",</t>
        </is>
      </c>
    </row>
    <row r="1299">
      <c r="A1299" s="9" t="n">
        <v>1296</v>
      </c>
      <c r="B1299" s="10" t="inlineStr">
        <is>
          <t xml:space="preserve">      "file_size_mb": 20.71,</t>
        </is>
      </c>
    </row>
    <row r="1300">
      <c r="A1300" s="7" t="n">
        <v>1297</v>
      </c>
      <c r="B1300" s="8" t="inlineStr">
        <is>
          <t xml:space="preserve">      "file_mtime": "2025-12-29T16:57:45.291193"</t>
        </is>
      </c>
    </row>
    <row r="1301">
      <c r="A1301" s="9" t="n">
        <v>1298</v>
      </c>
      <c r="B1301" s="10" t="inlineStr">
        <is>
          <t xml:space="preserve">    },</t>
        </is>
      </c>
    </row>
    <row r="1302">
      <c r="A1302" s="7" t="n">
        <v>1299</v>
      </c>
      <c r="B1302" s="8" t="inlineStr">
        <is>
          <t xml:space="preserve">    "c2eb0e3b7ee0295f": {</t>
        </is>
      </c>
    </row>
    <row r="1303">
      <c r="A1303" s="9" t="n">
        <v>1300</v>
      </c>
      <c r="B1303" s="10" t="inlineStr">
        <is>
          <t xml:space="preserve">      "path": "Z:\\已处理素材\\卖点展示类素材\\【01】上层薄抽\\【01】【水泥奶油白】汕尾陈小姐【上层薄抽收纳】 (3)\\【01】【水泥奶油白】汕尾陈小姐【上层薄抽收纳细节展示】【坤宝-01-1】-1.mp4",</t>
        </is>
      </c>
    </row>
    <row r="1304">
      <c r="A1304" s="7" t="n">
        <v>1301</v>
      </c>
      <c r="B1304" s="8" t="inlineStr">
        <is>
          <t xml:space="preserve">      "file_hash": "c2eb0e3b7ee0295f",</t>
        </is>
      </c>
    </row>
    <row r="1305">
      <c r="A1305" s="9" t="n">
        <v>1302</v>
      </c>
      <c r="B1305" s="10" t="inlineStr">
        <is>
          <t xml:space="preserve">      "type": "卖点",</t>
        </is>
      </c>
    </row>
    <row r="1306">
      <c r="A1306" s="7" t="n">
        <v>1303</v>
      </c>
      <c r="B1306" s="8" t="inlineStr">
        <is>
          <t xml:space="preserve">      "main_tag": "上层薄抽收纳细节展示",</t>
        </is>
      </c>
    </row>
    <row r="1307">
      <c r="A1307" s="9" t="n">
        <v>1304</v>
      </c>
      <c r="B1307" s="10" t="inlineStr">
        <is>
          <t xml:space="preserve">      "folder_name": "【01】【水泥奶油白】汕尾陈小姐【上层薄抽收纳】 (3)",</t>
        </is>
      </c>
    </row>
    <row r="1308">
      <c r="A1308" s="7" t="n">
        <v>1305</v>
      </c>
      <c r="B1308" s="8" t="inlineStr">
        <is>
          <t xml:space="preserve">      "materials": [</t>
        </is>
      </c>
    </row>
    <row r="1309">
      <c r="A1309" s="9" t="n">
        <v>1306</v>
      </c>
      <c r="B1309" s="10" t="inlineStr">
        <is>
          <t xml:space="preserve">        "奶油白"</t>
        </is>
      </c>
    </row>
    <row r="1310">
      <c r="A1310" s="7" t="n">
        <v>1307</v>
      </c>
      <c r="B1310" s="8" t="inlineStr">
        <is>
          <t xml:space="preserve">      ],</t>
        </is>
      </c>
    </row>
    <row r="1311">
      <c r="A1311" s="9" t="n">
        <v>1308</v>
      </c>
      <c r="B1311" s="10" t="inlineStr">
        <is>
          <t xml:space="preserve">      "colors": [</t>
        </is>
      </c>
    </row>
    <row r="1312">
      <c r="A1312" s="7" t="n">
        <v>1309</v>
      </c>
      <c r="B1312" s="8" t="inlineStr">
        <is>
          <t xml:space="preserve">        "奶油白"</t>
        </is>
      </c>
    </row>
    <row r="1313">
      <c r="A1313" s="9" t="n">
        <v>1310</v>
      </c>
      <c r="B1313" s="10" t="inlineStr">
        <is>
          <t xml:space="preserve">      ],</t>
        </is>
      </c>
    </row>
    <row r="1314">
      <c r="A1314" s="7" t="n">
        <v>1311</v>
      </c>
      <c r="B1314" s="8" t="inlineStr">
        <is>
          <t xml:space="preserve">      "actions": [</t>
        </is>
      </c>
    </row>
    <row r="1315">
      <c r="A1315" s="9" t="n">
        <v>1312</v>
      </c>
      <c r="B1315" s="10" t="inlineStr">
        <is>
          <t xml:space="preserve">        "展示",</t>
        </is>
      </c>
    </row>
    <row r="1316">
      <c r="A1316" s="7" t="n">
        <v>1313</v>
      </c>
      <c r="B1316" s="8" t="inlineStr">
        <is>
          <t xml:space="preserve">        "收纳"</t>
        </is>
      </c>
    </row>
    <row r="1317">
      <c r="A1317" s="9" t="n">
        <v>1314</v>
      </c>
      <c r="B1317" s="10" t="inlineStr">
        <is>
          <t xml:space="preserve">      ],</t>
        </is>
      </c>
    </row>
    <row r="1318">
      <c r="A1318" s="7" t="n">
        <v>1315</v>
      </c>
      <c r="B1318" s="8" t="inlineStr">
        <is>
          <t xml:space="preserve">      "raw_tags": [</t>
        </is>
      </c>
    </row>
    <row r="1319">
      <c r="A1319" s="9" t="n">
        <v>1316</v>
      </c>
      <c r="B1319" s="10" t="inlineStr">
        <is>
          <t xml:space="preserve">        "上层薄抽收纳细节展示",</t>
        </is>
      </c>
    </row>
    <row r="1320">
      <c r="A1320" s="7" t="n">
        <v>1317</v>
      </c>
      <c r="B1320" s="8" t="inlineStr">
        <is>
          <t xml:space="preserve">        "坤宝-01-1"</t>
        </is>
      </c>
    </row>
    <row r="1321">
      <c r="A1321" s="9" t="n">
        <v>1318</v>
      </c>
      <c r="B1321" s="10" t="inlineStr">
        <is>
          <t xml:space="preserve">      ],</t>
        </is>
      </c>
    </row>
    <row r="1322">
      <c r="A1322" s="7" t="n">
        <v>1319</v>
      </c>
      <c r="B1322" s="8" t="inlineStr">
        <is>
          <t xml:space="preserve">      "quality_score": 1.0,</t>
        </is>
      </c>
    </row>
    <row r="1323">
      <c r="A1323" s="9" t="n">
        <v>1320</v>
      </c>
      <c r="B1323" s="10" t="inlineStr">
        <is>
          <t xml:space="preserve">      "processed_time": "2026-06-07T14:46:18.621406",</t>
        </is>
      </c>
    </row>
    <row r="1324">
      <c r="A1324" s="7" t="n">
        <v>1321</v>
      </c>
      <c r="B1324" s="8" t="inlineStr">
        <is>
          <t xml:space="preserve">      "file_size_mb": 15.79,</t>
        </is>
      </c>
    </row>
    <row r="1325">
      <c r="A1325" s="9" t="n">
        <v>1322</v>
      </c>
      <c r="B1325" s="10" t="inlineStr">
        <is>
          <t xml:space="preserve">      "file_mtime": "2025-12-29T16:58:37.028217"</t>
        </is>
      </c>
    </row>
    <row r="1326">
      <c r="A1326" s="7" t="n">
        <v>1323</v>
      </c>
      <c r="B1326" s="8" t="inlineStr">
        <is>
          <t xml:space="preserve">    },</t>
        </is>
      </c>
    </row>
    <row r="1327">
      <c r="A1327" s="9" t="n">
        <v>1324</v>
      </c>
      <c r="B1327" s="10" t="inlineStr">
        <is>
          <t xml:space="preserve">    "eb7dc3767b6a7b18": {</t>
        </is>
      </c>
    </row>
    <row r="1328">
      <c r="A1328" s="7" t="n">
        <v>1325</v>
      </c>
      <c r="B1328" s="8" t="inlineStr">
        <is>
          <t xml:space="preserve">      "path": "Z:\\已处理素材\\卖点展示类素材\\【01】上层薄抽\\【01】【水泥奶油白】汕尾陈小姐【上层薄抽收纳】 (3)\\【01】【水泥奶油白】汕尾陈小姐【上层薄抽收纳细节展示】【坤宝-01-1】-2.mp4",</t>
        </is>
      </c>
    </row>
    <row r="1329">
      <c r="A1329" s="9" t="n">
        <v>1326</v>
      </c>
      <c r="B1329" s="10" t="inlineStr">
        <is>
          <t xml:space="preserve">      "file_hash": "eb7dc3767b6a7b18",</t>
        </is>
      </c>
    </row>
    <row r="1330">
      <c r="A1330" s="7" t="n">
        <v>1327</v>
      </c>
      <c r="B1330" s="8" t="inlineStr">
        <is>
          <t xml:space="preserve">      "type": "卖点",</t>
        </is>
      </c>
    </row>
    <row r="1331">
      <c r="A1331" s="9" t="n">
        <v>1328</v>
      </c>
      <c r="B1331" s="10" t="inlineStr">
        <is>
          <t xml:space="preserve">      "main_tag": "上层薄抽收纳细节展示",</t>
        </is>
      </c>
    </row>
    <row r="1332">
      <c r="A1332" s="7" t="n">
        <v>1329</v>
      </c>
      <c r="B1332" s="8" t="inlineStr">
        <is>
          <t xml:space="preserve">      "folder_name": "【01】【水泥奶油白】汕尾陈小姐【上层薄抽收纳】 (3)",</t>
        </is>
      </c>
    </row>
    <row r="1333">
      <c r="A1333" s="9" t="n">
        <v>1330</v>
      </c>
      <c r="B1333" s="10" t="inlineStr">
        <is>
          <t xml:space="preserve">      "materials": [</t>
        </is>
      </c>
    </row>
    <row r="1334">
      <c r="A1334" s="7" t="n">
        <v>1331</v>
      </c>
      <c r="B1334" s="8" t="inlineStr">
        <is>
          <t xml:space="preserve">        "奶油白"</t>
        </is>
      </c>
    </row>
    <row r="1335">
      <c r="A1335" s="9" t="n">
        <v>1332</v>
      </c>
      <c r="B1335" s="10" t="inlineStr">
        <is>
          <t xml:space="preserve">      ],</t>
        </is>
      </c>
    </row>
    <row r="1336">
      <c r="A1336" s="7" t="n">
        <v>1333</v>
      </c>
      <c r="B1336" s="8" t="inlineStr">
        <is>
          <t xml:space="preserve">      "colors": [</t>
        </is>
      </c>
    </row>
    <row r="1337">
      <c r="A1337" s="9" t="n">
        <v>1334</v>
      </c>
      <c r="B1337" s="10" t="inlineStr">
        <is>
          <t xml:space="preserve">        "奶油白"</t>
        </is>
      </c>
    </row>
    <row r="1338">
      <c r="A1338" s="7" t="n">
        <v>1335</v>
      </c>
      <c r="B1338" s="8" t="inlineStr">
        <is>
          <t xml:space="preserve">      ],</t>
        </is>
      </c>
    </row>
    <row r="1339">
      <c r="A1339" s="9" t="n">
        <v>1336</v>
      </c>
      <c r="B1339" s="10" t="inlineStr">
        <is>
          <t xml:space="preserve">      "actions": [</t>
        </is>
      </c>
    </row>
    <row r="1340">
      <c r="A1340" s="7" t="n">
        <v>1337</v>
      </c>
      <c r="B1340" s="8" t="inlineStr">
        <is>
          <t xml:space="preserve">        "展示",</t>
        </is>
      </c>
    </row>
    <row r="1341">
      <c r="A1341" s="9" t="n">
        <v>1338</v>
      </c>
      <c r="B1341" s="10" t="inlineStr">
        <is>
          <t xml:space="preserve">        "收纳"</t>
        </is>
      </c>
    </row>
    <row r="1342">
      <c r="A1342" s="7" t="n">
        <v>1339</v>
      </c>
      <c r="B1342" s="8" t="inlineStr">
        <is>
          <t xml:space="preserve">      ],</t>
        </is>
      </c>
    </row>
    <row r="1343">
      <c r="A1343" s="9" t="n">
        <v>1340</v>
      </c>
      <c r="B1343" s="10" t="inlineStr">
        <is>
          <t xml:space="preserve">      "raw_tags": [</t>
        </is>
      </c>
    </row>
    <row r="1344">
      <c r="A1344" s="7" t="n">
        <v>1341</v>
      </c>
      <c r="B1344" s="8" t="inlineStr">
        <is>
          <t xml:space="preserve">        "上层薄抽收纳细节展示",</t>
        </is>
      </c>
    </row>
    <row r="1345">
      <c r="A1345" s="9" t="n">
        <v>1342</v>
      </c>
      <c r="B1345" s="10" t="inlineStr">
        <is>
          <t xml:space="preserve">        "坤宝-01-1"</t>
        </is>
      </c>
    </row>
    <row r="1346">
      <c r="A1346" s="7" t="n">
        <v>1343</v>
      </c>
      <c r="B1346" s="8" t="inlineStr">
        <is>
          <t xml:space="preserve">      ],</t>
        </is>
      </c>
    </row>
    <row r="1347">
      <c r="A1347" s="9" t="n">
        <v>1344</v>
      </c>
      <c r="B1347" s="10" t="inlineStr">
        <is>
          <t xml:space="preserve">      "quality_score": 1.0,</t>
        </is>
      </c>
    </row>
    <row r="1348">
      <c r="A1348" s="7" t="n">
        <v>1345</v>
      </c>
      <c r="B1348" s="8" t="inlineStr">
        <is>
          <t xml:space="preserve">      "processed_time": "2026-06-07T14:46:18.622392",</t>
        </is>
      </c>
    </row>
    <row r="1349">
      <c r="A1349" s="9" t="n">
        <v>1346</v>
      </c>
      <c r="B1349" s="10" t="inlineStr">
        <is>
          <t xml:space="preserve">      "file_size_mb": 20.71,</t>
        </is>
      </c>
    </row>
    <row r="1350">
      <c r="A1350" s="7" t="n">
        <v>1347</v>
      </c>
      <c r="B1350" s="8" t="inlineStr">
        <is>
          <t xml:space="preserve">      "file_mtime": "2025-12-29T16:58:38.949991"</t>
        </is>
      </c>
    </row>
    <row r="1351">
      <c r="A1351" s="9" t="n">
        <v>1348</v>
      </c>
      <c r="B1351" s="10" t="inlineStr">
        <is>
          <t xml:space="preserve">    },</t>
        </is>
      </c>
    </row>
    <row r="1352">
      <c r="A1352" s="7" t="n">
        <v>1349</v>
      </c>
      <c r="B1352" s="8" t="inlineStr">
        <is>
          <t xml:space="preserve">    "645337bc30ab8e46": {</t>
        </is>
      </c>
    </row>
    <row r="1353">
      <c r="A1353" s="9" t="n">
        <v>1350</v>
      </c>
      <c r="B1353" s="10" t="inlineStr">
        <is>
          <t xml:space="preserve">      "path": "Z:\\已处理素材\\卖点展示类素材\\【01】上层薄抽\\【01】【水泥奶油白】汕尾陈小姐【上层薄抽收纳】 (4)\\【01】【水泥奶油白】汕尾陈小姐【上层薄抽收纳细节展示】【坤宝-01-2】-1.mp4",</t>
        </is>
      </c>
    </row>
    <row r="1354">
      <c r="A1354" s="7" t="n">
        <v>1351</v>
      </c>
      <c r="B1354" s="8" t="inlineStr">
        <is>
          <t xml:space="preserve">      "file_hash": "645337bc30ab8e46",</t>
        </is>
      </c>
    </row>
    <row r="1355">
      <c r="A1355" s="9" t="n">
        <v>1352</v>
      </c>
      <c r="B1355" s="10" t="inlineStr">
        <is>
          <t xml:space="preserve">      "type": "卖点",</t>
        </is>
      </c>
    </row>
    <row r="1356">
      <c r="A1356" s="7" t="n">
        <v>1353</v>
      </c>
      <c r="B1356" s="8" t="inlineStr">
        <is>
          <t xml:space="preserve">      "main_tag": "上层薄抽收纳细节展示",</t>
        </is>
      </c>
    </row>
    <row r="1357">
      <c r="A1357" s="9" t="n">
        <v>1354</v>
      </c>
      <c r="B1357" s="10" t="inlineStr">
        <is>
          <t xml:space="preserve">      "folder_name": "【01】【水泥奶油白】汕尾陈小姐【上层薄抽收纳】 (4)",</t>
        </is>
      </c>
    </row>
    <row r="1358">
      <c r="A1358" s="7" t="n">
        <v>1355</v>
      </c>
      <c r="B1358" s="8" t="inlineStr">
        <is>
          <t xml:space="preserve">      "materials": [</t>
        </is>
      </c>
    </row>
    <row r="1359">
      <c r="A1359" s="9" t="n">
        <v>1356</v>
      </c>
      <c r="B1359" s="10" t="inlineStr">
        <is>
          <t xml:space="preserve">        "奶油白"</t>
        </is>
      </c>
    </row>
    <row r="1360">
      <c r="A1360" s="7" t="n">
        <v>1357</v>
      </c>
      <c r="B1360" s="8" t="inlineStr">
        <is>
          <t xml:space="preserve">      ],</t>
        </is>
      </c>
    </row>
    <row r="1361">
      <c r="A1361" s="9" t="n">
        <v>1358</v>
      </c>
      <c r="B1361" s="10" t="inlineStr">
        <is>
          <t xml:space="preserve">      "colors": [</t>
        </is>
      </c>
    </row>
    <row r="1362">
      <c r="A1362" s="7" t="n">
        <v>1359</v>
      </c>
      <c r="B1362" s="8" t="inlineStr">
        <is>
          <t xml:space="preserve">        "奶油白"</t>
        </is>
      </c>
    </row>
    <row r="1363">
      <c r="A1363" s="9" t="n">
        <v>1360</v>
      </c>
      <c r="B1363" s="10" t="inlineStr">
        <is>
          <t xml:space="preserve">      ],</t>
        </is>
      </c>
    </row>
    <row r="1364">
      <c r="A1364" s="7" t="n">
        <v>1361</v>
      </c>
      <c r="B1364" s="8" t="inlineStr">
        <is>
          <t xml:space="preserve">      "actions": [</t>
        </is>
      </c>
    </row>
    <row r="1365">
      <c r="A1365" s="9" t="n">
        <v>1362</v>
      </c>
      <c r="B1365" s="10" t="inlineStr">
        <is>
          <t xml:space="preserve">        "展示",</t>
        </is>
      </c>
    </row>
    <row r="1366">
      <c r="A1366" s="7" t="n">
        <v>1363</v>
      </c>
      <c r="B1366" s="8" t="inlineStr">
        <is>
          <t xml:space="preserve">        "收纳"</t>
        </is>
      </c>
    </row>
    <row r="1367">
      <c r="A1367" s="9" t="n">
        <v>1364</v>
      </c>
      <c r="B1367" s="10" t="inlineStr">
        <is>
          <t xml:space="preserve">      ],</t>
        </is>
      </c>
    </row>
    <row r="1368">
      <c r="A1368" s="7" t="n">
        <v>1365</v>
      </c>
      <c r="B1368" s="8" t="inlineStr">
        <is>
          <t xml:space="preserve">      "raw_tags": [</t>
        </is>
      </c>
    </row>
    <row r="1369">
      <c r="A1369" s="9" t="n">
        <v>1366</v>
      </c>
      <c r="B1369" s="10" t="inlineStr">
        <is>
          <t xml:space="preserve">        "上层薄抽收纳细节展示",</t>
        </is>
      </c>
    </row>
    <row r="1370">
      <c r="A1370" s="7" t="n">
        <v>1367</v>
      </c>
      <c r="B1370" s="8" t="inlineStr">
        <is>
          <t xml:space="preserve">        "坤宝-01-2"</t>
        </is>
      </c>
    </row>
    <row r="1371">
      <c r="A1371" s="9" t="n">
        <v>1368</v>
      </c>
      <c r="B1371" s="10" t="inlineStr">
        <is>
          <t xml:space="preserve">      ],</t>
        </is>
      </c>
    </row>
    <row r="1372">
      <c r="A1372" s="7" t="n">
        <v>1369</v>
      </c>
      <c r="B1372" s="8" t="inlineStr">
        <is>
          <t xml:space="preserve">      "quality_score": 1.0,</t>
        </is>
      </c>
    </row>
    <row r="1373">
      <c r="A1373" s="9" t="n">
        <v>1370</v>
      </c>
      <c r="B1373" s="10" t="inlineStr">
        <is>
          <t xml:space="preserve">      "processed_time": "2026-06-07T14:46:18.623389",</t>
        </is>
      </c>
    </row>
    <row r="1374">
      <c r="A1374" s="7" t="n">
        <v>1371</v>
      </c>
      <c r="B1374" s="8" t="inlineStr">
        <is>
          <t xml:space="preserve">      "file_size_mb": 37.66,</t>
        </is>
      </c>
    </row>
    <row r="1375">
      <c r="A1375" s="9" t="n">
        <v>1372</v>
      </c>
      <c r="B1375" s="10" t="inlineStr">
        <is>
          <t xml:space="preserve">      "file_mtime": "2025-12-29T17:21:16.392750"</t>
        </is>
      </c>
    </row>
    <row r="1376">
      <c r="A1376" s="7" t="n">
        <v>1373</v>
      </c>
      <c r="B1376" s="8" t="inlineStr">
        <is>
          <t xml:space="preserve">    },</t>
        </is>
      </c>
    </row>
    <row r="1377">
      <c r="A1377" s="9" t="n">
        <v>1374</v>
      </c>
      <c r="B1377" s="10" t="inlineStr">
        <is>
          <t xml:space="preserve">    "b32f8fb010eee0e6": {</t>
        </is>
      </c>
    </row>
    <row r="1378">
      <c r="A1378" s="7" t="n">
        <v>1375</v>
      </c>
      <c r="B1378" s="8" t="inlineStr">
        <is>
          <t xml:space="preserve">      "path": "Z:\\已处理素材\\卖点展示类素材\\【01】上层薄抽\\【04】【水泥奶油白+兰亭香樟】内蒙古孙小姐【岛台上层薄抽收纳展示】-02\\【04】【水泥奶油白+兰亭香樟】内蒙古孙小姐【岛台上层薄抽收纳展示】-02-1.mp4",</t>
        </is>
      </c>
    </row>
    <row r="1379">
      <c r="A1379" s="9" t="n">
        <v>1376</v>
      </c>
      <c r="B1379" s="10" t="inlineStr">
        <is>
          <t xml:space="preserve">      "file_hash": "b32f8fb010eee0e6",</t>
        </is>
      </c>
    </row>
    <row r="1380">
      <c r="A1380" s="7" t="n">
        <v>1377</v>
      </c>
      <c r="B1380" s="8" t="inlineStr">
        <is>
          <t xml:space="preserve">      "type": "卖点",</t>
        </is>
      </c>
    </row>
    <row r="1381">
      <c r="A1381" s="9" t="n">
        <v>1378</v>
      </c>
      <c r="B1381" s="10" t="inlineStr">
        <is>
          <t xml:space="preserve">      "main_tag": "岛台上层薄抽收纳展示",</t>
        </is>
      </c>
    </row>
    <row r="1382">
      <c r="A1382" s="7" t="n">
        <v>1379</v>
      </c>
      <c r="B1382" s="8" t="inlineStr">
        <is>
          <t xml:space="preserve">      "folder_name": "【04】【水泥奶油白+兰亭香樟】内蒙古孙小姐【岛台上层薄抽收纳展示】-02",</t>
        </is>
      </c>
    </row>
    <row r="1383">
      <c r="A1383" s="9" t="n">
        <v>1380</v>
      </c>
      <c r="B1383" s="10" t="inlineStr">
        <is>
          <t xml:space="preserve">      "materials": [</t>
        </is>
      </c>
    </row>
    <row r="1384">
      <c r="A1384" s="7" t="n">
        <v>1381</v>
      </c>
      <c r="B1384" s="8" t="inlineStr">
        <is>
          <t xml:space="preserve">        "奶油白",</t>
        </is>
      </c>
    </row>
    <row r="1385">
      <c r="A1385" s="9" t="n">
        <v>1382</v>
      </c>
      <c r="B1385" s="10" t="inlineStr">
        <is>
          <t xml:space="preserve">        "香樟"</t>
        </is>
      </c>
    </row>
    <row r="1386">
      <c r="A1386" s="7" t="n">
        <v>1383</v>
      </c>
      <c r="B1386" s="8" t="inlineStr">
        <is>
          <t xml:space="preserve">      ],</t>
        </is>
      </c>
    </row>
    <row r="1387">
      <c r="A1387" s="9" t="n">
        <v>1384</v>
      </c>
      <c r="B1387" s="10" t="inlineStr">
        <is>
          <t xml:space="preserve">      "colors": [</t>
        </is>
      </c>
    </row>
    <row r="1388">
      <c r="A1388" s="7" t="n">
        <v>1385</v>
      </c>
      <c r="B1388" s="8" t="inlineStr">
        <is>
          <t xml:space="preserve">        "奶油白"</t>
        </is>
      </c>
    </row>
    <row r="1389">
      <c r="A1389" s="9" t="n">
        <v>1386</v>
      </c>
      <c r="B1389" s="10" t="inlineStr">
        <is>
          <t xml:space="preserve">      ],</t>
        </is>
      </c>
    </row>
    <row r="1390">
      <c r="A1390" s="7" t="n">
        <v>1387</v>
      </c>
      <c r="B1390" s="8" t="inlineStr">
        <is>
          <t xml:space="preserve">      "actions": [</t>
        </is>
      </c>
    </row>
    <row r="1391">
      <c r="A1391" s="9" t="n">
        <v>1388</v>
      </c>
      <c r="B1391" s="10" t="inlineStr">
        <is>
          <t xml:space="preserve">        "展示",</t>
        </is>
      </c>
    </row>
    <row r="1392">
      <c r="A1392" s="7" t="n">
        <v>1389</v>
      </c>
      <c r="B1392" s="8" t="inlineStr">
        <is>
          <t xml:space="preserve">        "收纳"</t>
        </is>
      </c>
    </row>
    <row r="1393">
      <c r="A1393" s="9" t="n">
        <v>1390</v>
      </c>
      <c r="B1393" s="10" t="inlineStr">
        <is>
          <t xml:space="preserve">      ],</t>
        </is>
      </c>
    </row>
    <row r="1394">
      <c r="A1394" s="7" t="n">
        <v>1391</v>
      </c>
      <c r="B1394" s="8" t="inlineStr">
        <is>
          <t xml:space="preserve">      "raw_tags": [</t>
        </is>
      </c>
    </row>
    <row r="1395">
      <c r="A1395" s="9" t="n">
        <v>1392</v>
      </c>
      <c r="B1395" s="10" t="inlineStr">
        <is>
          <t xml:space="preserve">        "岛台上层薄抽收纳展示"</t>
        </is>
      </c>
    </row>
    <row r="1396">
      <c r="A1396" s="7" t="n">
        <v>1393</v>
      </c>
      <c r="B1396" s="8" t="inlineStr">
        <is>
          <t xml:space="preserve">      ],</t>
        </is>
      </c>
    </row>
    <row r="1397">
      <c r="A1397" s="9" t="n">
        <v>1394</v>
      </c>
      <c r="B1397" s="10" t="inlineStr">
        <is>
          <t xml:space="preserve">      "quality_score": 1.0,</t>
        </is>
      </c>
    </row>
    <row r="1398">
      <c r="A1398" s="7" t="n">
        <v>1395</v>
      </c>
      <c r="B1398" s="8" t="inlineStr">
        <is>
          <t xml:space="preserve">      "processed_time": "2026-06-07T14:46:18.624385",</t>
        </is>
      </c>
    </row>
    <row r="1399">
      <c r="A1399" s="9" t="n">
        <v>1396</v>
      </c>
      <c r="B1399" s="10" t="inlineStr">
        <is>
          <t xml:space="preserve">      "file_size_mb": 10.83,</t>
        </is>
      </c>
    </row>
    <row r="1400">
      <c r="A1400" s="7" t="n">
        <v>1397</v>
      </c>
      <c r="B1400" s="8" t="inlineStr">
        <is>
          <t xml:space="preserve">      "file_mtime": "2026-01-04T20:38:39.271159"</t>
        </is>
      </c>
    </row>
    <row r="1401">
      <c r="A1401" s="9" t="n">
        <v>1398</v>
      </c>
      <c r="B1401" s="10" t="inlineStr">
        <is>
          <t xml:space="preserve">    },</t>
        </is>
      </c>
    </row>
    <row r="1402">
      <c r="A1402" s="7" t="n">
        <v>1399</v>
      </c>
      <c r="B1402" s="8" t="inlineStr">
        <is>
          <t xml:space="preserve">    "710f00845896cca0": {</t>
        </is>
      </c>
    </row>
    <row r="1403">
      <c r="A1403" s="9" t="n">
        <v>1400</v>
      </c>
      <c r="B1403" s="10" t="inlineStr">
        <is>
          <t xml:space="preserve">      "path": "Z:\\已处理素材\\卖点展示类素材\\【01】上层薄抽\\【04】【水泥奶油白+兰亭香樟】内蒙古孙小姐【岛台上层薄抽收纳展示】02\\【04】【水泥奶油白+兰亭香樟】内蒙古孙小姐【岛台上层薄抽收纳展示】02-1.mp4",</t>
        </is>
      </c>
    </row>
    <row r="1404">
      <c r="A1404" s="7" t="n">
        <v>1401</v>
      </c>
      <c r="B1404" s="8" t="inlineStr">
        <is>
          <t xml:space="preserve">      "file_hash": "710f00845896cca0",</t>
        </is>
      </c>
    </row>
    <row r="1405">
      <c r="A1405" s="9" t="n">
        <v>1402</v>
      </c>
      <c r="B1405" s="10" t="inlineStr">
        <is>
          <t xml:space="preserve">      "type": "卖点",</t>
        </is>
      </c>
    </row>
    <row r="1406">
      <c r="A1406" s="7" t="n">
        <v>1403</v>
      </c>
      <c r="B1406" s="8" t="inlineStr">
        <is>
          <t xml:space="preserve">      "main_tag": "岛台上层薄抽收纳展示",</t>
        </is>
      </c>
    </row>
    <row r="1407">
      <c r="A1407" s="9" t="n">
        <v>1404</v>
      </c>
      <c r="B1407" s="10" t="inlineStr">
        <is>
          <t xml:space="preserve">      "folder_name": "【04】【水泥奶油白+兰亭香樟】内蒙古孙小姐【岛台上层薄抽收纳展示】02",</t>
        </is>
      </c>
    </row>
    <row r="1408">
      <c r="A1408" s="7" t="n">
        <v>1405</v>
      </c>
      <c r="B1408" s="8" t="inlineStr">
        <is>
          <t xml:space="preserve">      "materials": [</t>
        </is>
      </c>
    </row>
    <row r="1409">
      <c r="A1409" s="9" t="n">
        <v>1406</v>
      </c>
      <c r="B1409" s="10" t="inlineStr">
        <is>
          <t xml:space="preserve">        "奶油白",</t>
        </is>
      </c>
    </row>
    <row r="1410">
      <c r="A1410" s="7" t="n">
        <v>1407</v>
      </c>
      <c r="B1410" s="8" t="inlineStr">
        <is>
          <t xml:space="preserve">        "香樟"</t>
        </is>
      </c>
    </row>
    <row r="1411">
      <c r="A1411" s="9" t="n">
        <v>1408</v>
      </c>
      <c r="B1411" s="10" t="inlineStr">
        <is>
          <t xml:space="preserve">      ],</t>
        </is>
      </c>
    </row>
    <row r="1412">
      <c r="A1412" s="7" t="n">
        <v>1409</v>
      </c>
      <c r="B1412" s="8" t="inlineStr">
        <is>
          <t xml:space="preserve">      "colors": [</t>
        </is>
      </c>
    </row>
    <row r="1413">
      <c r="A1413" s="9" t="n">
        <v>1410</v>
      </c>
      <c r="B1413" s="10" t="inlineStr">
        <is>
          <t xml:space="preserve">        "奶油白"</t>
        </is>
      </c>
    </row>
    <row r="1414">
      <c r="A1414" s="7" t="n">
        <v>1411</v>
      </c>
      <c r="B1414" s="8" t="inlineStr">
        <is>
          <t xml:space="preserve">      ],</t>
        </is>
      </c>
    </row>
    <row r="1415">
      <c r="A1415" s="9" t="n">
        <v>1412</v>
      </c>
      <c r="B1415" s="10" t="inlineStr">
        <is>
          <t xml:space="preserve">      "actions": [</t>
        </is>
      </c>
    </row>
    <row r="1416">
      <c r="A1416" s="7" t="n">
        <v>1413</v>
      </c>
      <c r="B1416" s="8" t="inlineStr">
        <is>
          <t xml:space="preserve">        "展示",</t>
        </is>
      </c>
    </row>
    <row r="1417">
      <c r="A1417" s="9" t="n">
        <v>1414</v>
      </c>
      <c r="B1417" s="10" t="inlineStr">
        <is>
          <t xml:space="preserve">        "收纳"</t>
        </is>
      </c>
    </row>
    <row r="1418">
      <c r="A1418" s="7" t="n">
        <v>1415</v>
      </c>
      <c r="B1418" s="8" t="inlineStr">
        <is>
          <t xml:space="preserve">      ],</t>
        </is>
      </c>
    </row>
    <row r="1419">
      <c r="A1419" s="9" t="n">
        <v>1416</v>
      </c>
      <c r="B1419" s="10" t="inlineStr">
        <is>
          <t xml:space="preserve">      "raw_tags": [</t>
        </is>
      </c>
    </row>
    <row r="1420">
      <c r="A1420" s="7" t="n">
        <v>1417</v>
      </c>
      <c r="B1420" s="8" t="inlineStr">
        <is>
          <t xml:space="preserve">        "岛台上层薄抽收纳展示"</t>
        </is>
      </c>
    </row>
    <row r="1421">
      <c r="A1421" s="9" t="n">
        <v>1418</v>
      </c>
      <c r="B1421" s="10" t="inlineStr">
        <is>
          <t xml:space="preserve">      ],</t>
        </is>
      </c>
    </row>
    <row r="1422">
      <c r="A1422" s="7" t="n">
        <v>1419</v>
      </c>
      <c r="B1422" s="8" t="inlineStr">
        <is>
          <t xml:space="preserve">      "quality_score": 1.0,</t>
        </is>
      </c>
    </row>
    <row r="1423">
      <c r="A1423" s="9" t="n">
        <v>1420</v>
      </c>
      <c r="B1423" s="10" t="inlineStr">
        <is>
          <t xml:space="preserve">      "processed_time": "2026-06-07T14:46:18.625382",</t>
        </is>
      </c>
    </row>
    <row r="1424">
      <c r="A1424" s="7" t="n">
        <v>1421</v>
      </c>
      <c r="B1424" s="8" t="inlineStr">
        <is>
          <t xml:space="preserve">      "file_size_mb": 21.07,</t>
        </is>
      </c>
    </row>
    <row r="1425">
      <c r="A1425" s="9" t="n">
        <v>1422</v>
      </c>
      <c r="B1425" s="10" t="inlineStr">
        <is>
          <t xml:space="preserve">      "file_mtime": "2026-01-04T20:37:57.857238"</t>
        </is>
      </c>
    </row>
    <row r="1426">
      <c r="A1426" s="7" t="n">
        <v>1423</v>
      </c>
      <c r="B1426" s="8" t="inlineStr">
        <is>
          <t xml:space="preserve">    },</t>
        </is>
      </c>
    </row>
    <row r="1427">
      <c r="A1427" s="9" t="n">
        <v>1424</v>
      </c>
      <c r="B1427" s="10" t="inlineStr">
        <is>
          <t xml:space="preserve">    "42c19ca0ee8f7e74": {</t>
        </is>
      </c>
    </row>
    <row r="1428">
      <c r="A1428" s="7" t="n">
        <v>1425</v>
      </c>
      <c r="B1428" s="8" t="inlineStr">
        <is>
          <t xml:space="preserve">      "path": "Z:\\已处理素材\\卖点展示类素材\\【01】上层薄抽\\【04】【水泥奶油白+兰亭香樟】内蒙古孙小姐【岛台上层薄抽收纳展示】02\\【04】【水泥奶油白+兰亭香樟】内蒙古孙小姐【岛台上层薄抽收纳展示】02-2.mp4",</t>
        </is>
      </c>
    </row>
    <row r="1429">
      <c r="A1429" s="9" t="n">
        <v>1426</v>
      </c>
      <c r="B1429" s="10" t="inlineStr">
        <is>
          <t xml:space="preserve">      "file_hash": "42c19ca0ee8f7e74",</t>
        </is>
      </c>
    </row>
    <row r="1430">
      <c r="A1430" s="7" t="n">
        <v>1427</v>
      </c>
      <c r="B1430" s="8" t="inlineStr">
        <is>
          <t xml:space="preserve">      "type": "卖点",</t>
        </is>
      </c>
    </row>
    <row r="1431">
      <c r="A1431" s="9" t="n">
        <v>1428</v>
      </c>
      <c r="B1431" s="10" t="inlineStr">
        <is>
          <t xml:space="preserve">      "main_tag": "岛台上层薄抽收纳展示",</t>
        </is>
      </c>
    </row>
    <row r="1432">
      <c r="A1432" s="7" t="n">
        <v>1429</v>
      </c>
      <c r="B1432" s="8" t="inlineStr">
        <is>
          <t xml:space="preserve">      "folder_name": "【04】【水泥奶油白+兰亭香樟】内蒙古孙小姐【岛台上层薄抽收纳展示】02",</t>
        </is>
      </c>
    </row>
    <row r="1433">
      <c r="A1433" s="9" t="n">
        <v>1430</v>
      </c>
      <c r="B1433" s="10" t="inlineStr">
        <is>
          <t xml:space="preserve">      "materials": [</t>
        </is>
      </c>
    </row>
    <row r="1434">
      <c r="A1434" s="7" t="n">
        <v>1431</v>
      </c>
      <c r="B1434" s="8" t="inlineStr">
        <is>
          <t xml:space="preserve">        "奶油白",</t>
        </is>
      </c>
    </row>
    <row r="1435">
      <c r="A1435" s="9" t="n">
        <v>1432</v>
      </c>
      <c r="B1435" s="10" t="inlineStr">
        <is>
          <t xml:space="preserve">        "香樟"</t>
        </is>
      </c>
    </row>
    <row r="1436">
      <c r="A1436" s="7" t="n">
        <v>1433</v>
      </c>
      <c r="B1436" s="8" t="inlineStr">
        <is>
          <t xml:space="preserve">      ],</t>
        </is>
      </c>
    </row>
    <row r="1437">
      <c r="A1437" s="9" t="n">
        <v>1434</v>
      </c>
      <c r="B1437" s="10" t="inlineStr">
        <is>
          <t xml:space="preserve">      "colors": [</t>
        </is>
      </c>
    </row>
    <row r="1438">
      <c r="A1438" s="7" t="n">
        <v>1435</v>
      </c>
      <c r="B1438" s="8" t="inlineStr">
        <is>
          <t xml:space="preserve">        "奶油白"</t>
        </is>
      </c>
    </row>
    <row r="1439">
      <c r="A1439" s="9" t="n">
        <v>1436</v>
      </c>
      <c r="B1439" s="10" t="inlineStr">
        <is>
          <t xml:space="preserve">      ],</t>
        </is>
      </c>
    </row>
    <row r="1440">
      <c r="A1440" s="7" t="n">
        <v>1437</v>
      </c>
      <c r="B1440" s="8" t="inlineStr">
        <is>
          <t xml:space="preserve">      "actions": [</t>
        </is>
      </c>
    </row>
    <row r="1441">
      <c r="A1441" s="9" t="n">
        <v>1438</v>
      </c>
      <c r="B1441" s="10" t="inlineStr">
        <is>
          <t xml:space="preserve">        "展示",</t>
        </is>
      </c>
    </row>
    <row r="1442">
      <c r="A1442" s="7" t="n">
        <v>1439</v>
      </c>
      <c r="B1442" s="8" t="inlineStr">
        <is>
          <t xml:space="preserve">        "收纳"</t>
        </is>
      </c>
    </row>
    <row r="1443">
      <c r="A1443" s="9" t="n">
        <v>1440</v>
      </c>
      <c r="B1443" s="10" t="inlineStr">
        <is>
          <t xml:space="preserve">      ],</t>
        </is>
      </c>
    </row>
    <row r="1444">
      <c r="A1444" s="7" t="n">
        <v>1441</v>
      </c>
      <c r="B1444" s="8" t="inlineStr">
        <is>
          <t xml:space="preserve">      "raw_tags": [</t>
        </is>
      </c>
    </row>
    <row r="1445">
      <c r="A1445" s="9" t="n">
        <v>1442</v>
      </c>
      <c r="B1445" s="10" t="inlineStr">
        <is>
          <t xml:space="preserve">        "岛台上层薄抽收纳展示"</t>
        </is>
      </c>
    </row>
    <row r="1446">
      <c r="A1446" s="7" t="n">
        <v>1443</v>
      </c>
      <c r="B1446" s="8" t="inlineStr">
        <is>
          <t xml:space="preserve">      ],</t>
        </is>
      </c>
    </row>
    <row r="1447">
      <c r="A1447" s="9" t="n">
        <v>1444</v>
      </c>
      <c r="B1447" s="10" t="inlineStr">
        <is>
          <t xml:space="preserve">      "quality_score": 1.0,</t>
        </is>
      </c>
    </row>
    <row r="1448">
      <c r="A1448" s="7" t="n">
        <v>1445</v>
      </c>
      <c r="B1448" s="8" t="inlineStr">
        <is>
          <t xml:space="preserve">      "processed_time": "2026-06-07T14:46:18.626379",</t>
        </is>
      </c>
    </row>
    <row r="1449">
      <c r="A1449" s="9" t="n">
        <v>1446</v>
      </c>
      <c r="B1449" s="10" t="inlineStr">
        <is>
          <t xml:space="preserve">      "file_size_mb": 40.89,</t>
        </is>
      </c>
    </row>
    <row r="1450">
      <c r="A1450" s="7" t="n">
        <v>1447</v>
      </c>
      <c r="B1450" s="8" t="inlineStr">
        <is>
          <t xml:space="preserve">      "file_mtime": "2026-01-04T20:38:01.310543"</t>
        </is>
      </c>
    </row>
    <row r="1451">
      <c r="A1451" s="9" t="n">
        <v>1448</v>
      </c>
      <c r="B1451" s="10" t="inlineStr">
        <is>
          <t xml:space="preserve">    },</t>
        </is>
      </c>
    </row>
    <row r="1452">
      <c r="A1452" s="7" t="n">
        <v>1449</v>
      </c>
      <c r="B1452" s="8" t="inlineStr">
        <is>
          <t xml:space="preserve">    "0fe5f7d19ec7171a": {</t>
        </is>
      </c>
    </row>
    <row r="1453">
      <c r="A1453" s="9" t="n">
        <v>1450</v>
      </c>
      <c r="B1453" s="10" t="inlineStr">
        <is>
          <t xml:space="preserve">      "path": "Z:\\已处理素材\\卖点展示类素材\\【01】上层薄抽\\【04】【水泥奶油白+兰亭香樟】内蒙古孙小姐【岛台上层薄抽收纳展示】02\\【04】【水泥奶油白+兰亭香樟】内蒙古孙小姐【岛台上层薄抽收纳展示】02-3.mp4",</t>
        </is>
      </c>
    </row>
    <row r="1454">
      <c r="A1454" s="7" t="n">
        <v>1451</v>
      </c>
      <c r="B1454" s="8" t="inlineStr">
        <is>
          <t xml:space="preserve">      "file_hash": "0fe5f7d19ec7171a",</t>
        </is>
      </c>
    </row>
    <row r="1455">
      <c r="A1455" s="9" t="n">
        <v>1452</v>
      </c>
      <c r="B1455" s="10" t="inlineStr">
        <is>
          <t xml:space="preserve">      "type": "卖点",</t>
        </is>
      </c>
    </row>
    <row r="1456">
      <c r="A1456" s="7" t="n">
        <v>1453</v>
      </c>
      <c r="B1456" s="8" t="inlineStr">
        <is>
          <t xml:space="preserve">      "main_tag": "岛台上层薄抽收纳展示",</t>
        </is>
      </c>
    </row>
    <row r="1457">
      <c r="A1457" s="9" t="n">
        <v>1454</v>
      </c>
      <c r="B1457" s="10" t="inlineStr">
        <is>
          <t xml:space="preserve">      "folder_name": "【04】【水泥奶油白+兰亭香樟】内蒙古孙小姐【岛台上层薄抽收纳展示】02",</t>
        </is>
      </c>
    </row>
    <row r="1458">
      <c r="A1458" s="7" t="n">
        <v>1455</v>
      </c>
      <c r="B1458" s="8" t="inlineStr">
        <is>
          <t xml:space="preserve">      "materials": [</t>
        </is>
      </c>
    </row>
    <row r="1459">
      <c r="A1459" s="9" t="n">
        <v>1456</v>
      </c>
      <c r="B1459" s="10" t="inlineStr">
        <is>
          <t xml:space="preserve">        "奶油白",</t>
        </is>
      </c>
    </row>
    <row r="1460">
      <c r="A1460" s="7" t="n">
        <v>1457</v>
      </c>
      <c r="B1460" s="8" t="inlineStr">
        <is>
          <t xml:space="preserve">        "香樟"</t>
        </is>
      </c>
    </row>
    <row r="1461">
      <c r="A1461" s="9" t="n">
        <v>1458</v>
      </c>
      <c r="B1461" s="10" t="inlineStr">
        <is>
          <t xml:space="preserve">      ],</t>
        </is>
      </c>
    </row>
    <row r="1462">
      <c r="A1462" s="7" t="n">
        <v>1459</v>
      </c>
      <c r="B1462" s="8" t="inlineStr">
        <is>
          <t xml:space="preserve">      "colors": [</t>
        </is>
      </c>
    </row>
    <row r="1463">
      <c r="A1463" s="9" t="n">
        <v>1460</v>
      </c>
      <c r="B1463" s="10" t="inlineStr">
        <is>
          <t xml:space="preserve">        "奶油白"</t>
        </is>
      </c>
    </row>
    <row r="1464">
      <c r="A1464" s="7" t="n">
        <v>1461</v>
      </c>
      <c r="B1464" s="8" t="inlineStr">
        <is>
          <t xml:space="preserve">      ],</t>
        </is>
      </c>
    </row>
    <row r="1465">
      <c r="A1465" s="9" t="n">
        <v>1462</v>
      </c>
      <c r="B1465" s="10" t="inlineStr">
        <is>
          <t xml:space="preserve">      "actions": [</t>
        </is>
      </c>
    </row>
    <row r="1466">
      <c r="A1466" s="7" t="n">
        <v>1463</v>
      </c>
      <c r="B1466" s="8" t="inlineStr">
        <is>
          <t xml:space="preserve">        "展示",</t>
        </is>
      </c>
    </row>
    <row r="1467">
      <c r="A1467" s="9" t="n">
        <v>1464</v>
      </c>
      <c r="B1467" s="10" t="inlineStr">
        <is>
          <t xml:space="preserve">        "收纳"</t>
        </is>
      </c>
    </row>
    <row r="1468">
      <c r="A1468" s="7" t="n">
        <v>1465</v>
      </c>
      <c r="B1468" s="8" t="inlineStr">
        <is>
          <t xml:space="preserve">      ],</t>
        </is>
      </c>
    </row>
    <row r="1469">
      <c r="A1469" s="9" t="n">
        <v>1466</v>
      </c>
      <c r="B1469" s="10" t="inlineStr">
        <is>
          <t xml:space="preserve">      "raw_tags": [</t>
        </is>
      </c>
    </row>
    <row r="1470">
      <c r="A1470" s="7" t="n">
        <v>1467</v>
      </c>
      <c r="B1470" s="8" t="inlineStr">
        <is>
          <t xml:space="preserve">        "岛台上层薄抽收纳展示"</t>
        </is>
      </c>
    </row>
    <row r="1471">
      <c r="A1471" s="9" t="n">
        <v>1468</v>
      </c>
      <c r="B1471" s="10" t="inlineStr">
        <is>
          <t xml:space="preserve">      ],</t>
        </is>
      </c>
    </row>
    <row r="1472">
      <c r="A1472" s="7" t="n">
        <v>1469</v>
      </c>
      <c r="B1472" s="8" t="inlineStr">
        <is>
          <t xml:space="preserve">      "quality_score": 1.0,</t>
        </is>
      </c>
    </row>
    <row r="1473">
      <c r="A1473" s="9" t="n">
        <v>1470</v>
      </c>
      <c r="B1473" s="10" t="inlineStr">
        <is>
          <t xml:space="preserve">      "processed_time": "2026-06-07T14:46:18.627900",</t>
        </is>
      </c>
    </row>
    <row r="1474">
      <c r="A1474" s="7" t="n">
        <v>1471</v>
      </c>
      <c r="B1474" s="8" t="inlineStr">
        <is>
          <t xml:space="preserve">      "file_size_mb": 21.69,</t>
        </is>
      </c>
    </row>
    <row r="1475">
      <c r="A1475" s="9" t="n">
        <v>1472</v>
      </c>
      <c r="B1475" s="10" t="inlineStr">
        <is>
          <t xml:space="preserve">      "file_mtime": "2026-01-04T20:38:03.325990"</t>
        </is>
      </c>
    </row>
    <row r="1476">
      <c r="A1476" s="7" t="n">
        <v>1473</v>
      </c>
      <c r="B1476" s="8" t="inlineStr">
        <is>
          <t xml:space="preserve">    },</t>
        </is>
      </c>
    </row>
    <row r="1477">
      <c r="A1477" s="9" t="n">
        <v>1474</v>
      </c>
      <c r="B1477" s="10" t="inlineStr">
        <is>
          <t xml:space="preserve">    "11c849e006e4fc7d": {</t>
        </is>
      </c>
    </row>
    <row r="1478">
      <c r="A1478" s="7" t="n">
        <v>1475</v>
      </c>
      <c r="B1478" s="8" t="inlineStr">
        <is>
          <t xml:space="preserve">      "path": "Z:\\已处理素材\\卖点展示类素材\\【01】上层薄抽\\【04】【水泥奶油白+兰亭香樟】内蒙古孙小姐【岛头上层薄抽收纳】01\\【04】【水泥奶油白+兰亭香樟】内蒙古孙小姐【岛头上层薄抽收纳】01-1.mp4",</t>
        </is>
      </c>
    </row>
    <row r="1479">
      <c r="A1479" s="9" t="n">
        <v>1476</v>
      </c>
      <c r="B1479" s="10" t="inlineStr">
        <is>
          <t xml:space="preserve">      "file_hash": "11c849e006e4fc7d",</t>
        </is>
      </c>
    </row>
    <row r="1480">
      <c r="A1480" s="7" t="n">
        <v>1477</v>
      </c>
      <c r="B1480" s="8" t="inlineStr">
        <is>
          <t xml:space="preserve">      "type": "卖点",</t>
        </is>
      </c>
    </row>
    <row r="1481">
      <c r="A1481" s="9" t="n">
        <v>1478</v>
      </c>
      <c r="B1481" s="10" t="inlineStr">
        <is>
          <t xml:space="preserve">      "main_tag": "岛头上层薄抽收纳",</t>
        </is>
      </c>
    </row>
    <row r="1482">
      <c r="A1482" s="7" t="n">
        <v>1479</v>
      </c>
      <c r="B1482" s="8" t="inlineStr">
        <is>
          <t xml:space="preserve">      "folder_name": "【04】【水泥奶油白+兰亭香樟】内蒙古孙小姐【岛头上层薄抽收纳】01",</t>
        </is>
      </c>
    </row>
    <row r="1483">
      <c r="A1483" s="9" t="n">
        <v>1480</v>
      </c>
      <c r="B1483" s="10" t="inlineStr">
        <is>
          <t xml:space="preserve">      "materials": [</t>
        </is>
      </c>
    </row>
    <row r="1484">
      <c r="A1484" s="7" t="n">
        <v>1481</v>
      </c>
      <c r="B1484" s="8" t="inlineStr">
        <is>
          <t xml:space="preserve">        "奶油白",</t>
        </is>
      </c>
    </row>
    <row r="1485">
      <c r="A1485" s="9" t="n">
        <v>1482</v>
      </c>
      <c r="B1485" s="10" t="inlineStr">
        <is>
          <t xml:space="preserve">        "香樟"</t>
        </is>
      </c>
    </row>
    <row r="1486">
      <c r="A1486" s="7" t="n">
        <v>1483</v>
      </c>
      <c r="B1486" s="8" t="inlineStr">
        <is>
          <t xml:space="preserve">      ],</t>
        </is>
      </c>
    </row>
    <row r="1487">
      <c r="A1487" s="9" t="n">
        <v>1484</v>
      </c>
      <c r="B1487" s="10" t="inlineStr">
        <is>
          <t xml:space="preserve">      "colors": [</t>
        </is>
      </c>
    </row>
    <row r="1488">
      <c r="A1488" s="7" t="n">
        <v>1485</v>
      </c>
      <c r="B1488" s="8" t="inlineStr">
        <is>
          <t xml:space="preserve">        "奶油白"</t>
        </is>
      </c>
    </row>
    <row r="1489">
      <c r="A1489" s="9" t="n">
        <v>1486</v>
      </c>
      <c r="B1489" s="10" t="inlineStr">
        <is>
          <t xml:space="preserve">      ],</t>
        </is>
      </c>
    </row>
    <row r="1490">
      <c r="A1490" s="7" t="n">
        <v>1487</v>
      </c>
      <c r="B1490" s="8" t="inlineStr">
        <is>
          <t xml:space="preserve">      "actions": [</t>
        </is>
      </c>
    </row>
    <row r="1491">
      <c r="A1491" s="9" t="n">
        <v>1488</v>
      </c>
      <c r="B1491" s="10" t="inlineStr">
        <is>
          <t xml:space="preserve">        "收纳"</t>
        </is>
      </c>
    </row>
    <row r="1492">
      <c r="A1492" s="7" t="n">
        <v>1489</v>
      </c>
      <c r="B1492" s="8" t="inlineStr">
        <is>
          <t xml:space="preserve">      ],</t>
        </is>
      </c>
    </row>
    <row r="1493">
      <c r="A1493" s="9" t="n">
        <v>1490</v>
      </c>
      <c r="B1493" s="10" t="inlineStr">
        <is>
          <t xml:space="preserve">      "raw_tags": [</t>
        </is>
      </c>
    </row>
    <row r="1494">
      <c r="A1494" s="7" t="n">
        <v>1491</v>
      </c>
      <c r="B1494" s="8" t="inlineStr">
        <is>
          <t xml:space="preserve">        "岛头上层薄抽收纳"</t>
        </is>
      </c>
    </row>
    <row r="1495">
      <c r="A1495" s="9" t="n">
        <v>1492</v>
      </c>
      <c r="B1495" s="10" t="inlineStr">
        <is>
          <t xml:space="preserve">      ],</t>
        </is>
      </c>
    </row>
    <row r="1496">
      <c r="A1496" s="7" t="n">
        <v>1493</v>
      </c>
      <c r="B1496" s="8" t="inlineStr">
        <is>
          <t xml:space="preserve">      "quality_score": 1.0,</t>
        </is>
      </c>
    </row>
    <row r="1497">
      <c r="A1497" s="9" t="n">
        <v>1494</v>
      </c>
      <c r="B1497" s="10" t="inlineStr">
        <is>
          <t xml:space="preserve">      "processed_time": "2026-06-07T14:46:18.628402",</t>
        </is>
      </c>
    </row>
    <row r="1498">
      <c r="A1498" s="7" t="n">
        <v>1495</v>
      </c>
      <c r="B1498" s="8" t="inlineStr">
        <is>
          <t xml:space="preserve">      "file_size_mb": 70.89,</t>
        </is>
      </c>
    </row>
    <row r="1499">
      <c r="A1499" s="9" t="n">
        <v>1496</v>
      </c>
      <c r="B1499" s="10" t="inlineStr">
        <is>
          <t xml:space="preserve">      "file_mtime": "2026-01-04T20:19:00.273473"</t>
        </is>
      </c>
    </row>
    <row r="1500">
      <c r="A1500" s="7" t="n">
        <v>1497</v>
      </c>
      <c r="B1500" s="8" t="inlineStr">
        <is>
          <t xml:space="preserve">    },</t>
        </is>
      </c>
    </row>
    <row r="1501">
      <c r="A1501" s="9" t="n">
        <v>1498</v>
      </c>
      <c r="B1501" s="10" t="inlineStr">
        <is>
          <t xml:space="preserve">    "49966d10a9138b4f": {</t>
        </is>
      </c>
    </row>
    <row r="1502">
      <c r="A1502" s="7" t="n">
        <v>1499</v>
      </c>
      <c r="B1502" s="8" t="inlineStr">
        <is>
          <t xml:space="preserve">      "path": "Z:\\已处理素材\\卖点展示类素材\\【01】上层薄抽\\【04】【水泥奶油白+兰亭香樟】内蒙古孙小姐【岛头上层薄抽收纳】01\\【04】【水泥奶油白+兰亭香樟】内蒙古孙小姐【岛头上层薄抽收纳】01-2.mp4",</t>
        </is>
      </c>
    </row>
    <row r="1503">
      <c r="A1503" s="9" t="n">
        <v>1500</v>
      </c>
      <c r="B1503" s="10" t="inlineStr">
        <is>
          <t xml:space="preserve">      "file_hash": "49966d10a9138b4f",</t>
        </is>
      </c>
    </row>
    <row r="1504">
      <c r="A1504" s="7" t="n">
        <v>1501</v>
      </c>
      <c r="B1504" s="8" t="inlineStr">
        <is>
          <t xml:space="preserve">      "type": "卖点",</t>
        </is>
      </c>
    </row>
    <row r="1505">
      <c r="A1505" s="9" t="n">
        <v>1502</v>
      </c>
      <c r="B1505" s="10" t="inlineStr">
        <is>
          <t xml:space="preserve">      "main_tag": "岛头上层薄抽收纳",</t>
        </is>
      </c>
    </row>
    <row r="1506">
      <c r="A1506" s="7" t="n">
        <v>1503</v>
      </c>
      <c r="B1506" s="8" t="inlineStr">
        <is>
          <t xml:space="preserve">      "folder_name": "【04】【水泥奶油白+兰亭香樟】内蒙古孙小姐【岛头上层薄抽收纳】01",</t>
        </is>
      </c>
    </row>
    <row r="1507">
      <c r="A1507" s="9" t="n">
        <v>1504</v>
      </c>
      <c r="B1507" s="10" t="inlineStr">
        <is>
          <t xml:space="preserve">      "materials": [</t>
        </is>
      </c>
    </row>
    <row r="1508">
      <c r="A1508" s="7" t="n">
        <v>1505</v>
      </c>
      <c r="B1508" s="8" t="inlineStr">
        <is>
          <t xml:space="preserve">        "奶油白",</t>
        </is>
      </c>
    </row>
    <row r="1509">
      <c r="A1509" s="9" t="n">
        <v>1506</v>
      </c>
      <c r="B1509" s="10" t="inlineStr">
        <is>
          <t xml:space="preserve">        "香樟"</t>
        </is>
      </c>
    </row>
    <row r="1510">
      <c r="A1510" s="7" t="n">
        <v>1507</v>
      </c>
      <c r="B1510" s="8" t="inlineStr">
        <is>
          <t xml:space="preserve">      ],</t>
        </is>
      </c>
    </row>
    <row r="1511">
      <c r="A1511" s="9" t="n">
        <v>1508</v>
      </c>
      <c r="B1511" s="10" t="inlineStr">
        <is>
          <t xml:space="preserve">      "colors": [</t>
        </is>
      </c>
    </row>
    <row r="1512">
      <c r="A1512" s="7" t="n">
        <v>1509</v>
      </c>
      <c r="B1512" s="8" t="inlineStr">
        <is>
          <t xml:space="preserve">        "奶油白"</t>
        </is>
      </c>
    </row>
    <row r="1513">
      <c r="A1513" s="9" t="n">
        <v>1510</v>
      </c>
      <c r="B1513" s="10" t="inlineStr">
        <is>
          <t xml:space="preserve">      ],</t>
        </is>
      </c>
    </row>
    <row r="1514">
      <c r="A1514" s="7" t="n">
        <v>1511</v>
      </c>
      <c r="B1514" s="8" t="inlineStr">
        <is>
          <t xml:space="preserve">      "actions": [</t>
        </is>
      </c>
    </row>
    <row r="1515">
      <c r="A1515" s="9" t="n">
        <v>1512</v>
      </c>
      <c r="B1515" s="10" t="inlineStr">
        <is>
          <t xml:space="preserve">        "收纳"</t>
        </is>
      </c>
    </row>
    <row r="1516">
      <c r="A1516" s="7" t="n">
        <v>1513</v>
      </c>
      <c r="B1516" s="8" t="inlineStr">
        <is>
          <t xml:space="preserve">      ],</t>
        </is>
      </c>
    </row>
    <row r="1517">
      <c r="A1517" s="9" t="n">
        <v>1514</v>
      </c>
      <c r="B1517" s="10" t="inlineStr">
        <is>
          <t xml:space="preserve">      "raw_tags": [</t>
        </is>
      </c>
    </row>
    <row r="1518">
      <c r="A1518" s="7" t="n">
        <v>1515</v>
      </c>
      <c r="B1518" s="8" t="inlineStr">
        <is>
          <t xml:space="preserve">        "岛头上层薄抽收纳"</t>
        </is>
      </c>
    </row>
    <row r="1519">
      <c r="A1519" s="9" t="n">
        <v>1516</v>
      </c>
      <c r="B1519" s="10" t="inlineStr">
        <is>
          <t xml:space="preserve">      ],</t>
        </is>
      </c>
    </row>
    <row r="1520">
      <c r="A1520" s="7" t="n">
        <v>1517</v>
      </c>
      <c r="B1520" s="8" t="inlineStr">
        <is>
          <t xml:space="preserve">      "quality_score": 1.0,</t>
        </is>
      </c>
    </row>
    <row r="1521">
      <c r="A1521" s="9" t="n">
        <v>1518</v>
      </c>
      <c r="B1521" s="10" t="inlineStr">
        <is>
          <t xml:space="preserve">      "processed_time": "2026-06-07T14:46:18.629406",</t>
        </is>
      </c>
    </row>
    <row r="1522">
      <c r="A1522" s="7" t="n">
        <v>1519</v>
      </c>
      <c r="B1522" s="8" t="inlineStr">
        <is>
          <t xml:space="preserve">      "file_size_mb": 55.93,</t>
        </is>
      </c>
    </row>
    <row r="1523">
      <c r="A1523" s="9" t="n">
        <v>1520</v>
      </c>
      <c r="B1523" s="10" t="inlineStr">
        <is>
          <t xml:space="preserve">      "file_mtime": "2026-01-04T20:19:05.007800"</t>
        </is>
      </c>
    </row>
    <row r="1524">
      <c r="A1524" s="7" t="n">
        <v>1521</v>
      </c>
      <c r="B1524" s="8" t="inlineStr">
        <is>
          <t xml:space="preserve">    },</t>
        </is>
      </c>
    </row>
    <row r="1525">
      <c r="A1525" s="9" t="n">
        <v>1522</v>
      </c>
      <c r="B1525" s="10" t="inlineStr">
        <is>
          <t xml:space="preserve">    "9cc37f709c329797": {</t>
        </is>
      </c>
    </row>
    <row r="1526">
      <c r="A1526" s="7" t="n">
        <v>1523</v>
      </c>
      <c r="B1526" s="8" t="inlineStr">
        <is>
          <t xml:space="preserve">      "path": "Z:\\已处理素材\\卖点展示类素材\\【01】上层薄抽\\【04】【水泥奶油白+兰亭香樟】内蒙古孙小姐【岛头上层薄抽收纳】01\\【04】【水泥奶油白+兰亭香樟】内蒙古孙小姐【岛头上层薄抽收纳】01-3.mp4",</t>
        </is>
      </c>
    </row>
    <row r="1527">
      <c r="A1527" s="9" t="n">
        <v>1524</v>
      </c>
      <c r="B1527" s="10" t="inlineStr">
        <is>
          <t xml:space="preserve">      "file_hash": "9cc37f709c329797",</t>
        </is>
      </c>
    </row>
    <row r="1528">
      <c r="A1528" s="7" t="n">
        <v>1525</v>
      </c>
      <c r="B1528" s="8" t="inlineStr">
        <is>
          <t xml:space="preserve">      "type": "卖点",</t>
        </is>
      </c>
    </row>
    <row r="1529">
      <c r="A1529" s="9" t="n">
        <v>1526</v>
      </c>
      <c r="B1529" s="10" t="inlineStr">
        <is>
          <t xml:space="preserve">      "main_tag": "岛头上层薄抽收纳",</t>
        </is>
      </c>
    </row>
    <row r="1530">
      <c r="A1530" s="7" t="n">
        <v>1527</v>
      </c>
      <c r="B1530" s="8" t="inlineStr">
        <is>
          <t xml:space="preserve">      "folder_name": "【04】【水泥奶油白+兰亭香樟】内蒙古孙小姐【岛头上层薄抽收纳】01",</t>
        </is>
      </c>
    </row>
    <row r="1531">
      <c r="A1531" s="9" t="n">
        <v>1528</v>
      </c>
      <c r="B1531" s="10" t="inlineStr">
        <is>
          <t xml:space="preserve">      "materials": [</t>
        </is>
      </c>
    </row>
    <row r="1532">
      <c r="A1532" s="7" t="n">
        <v>1529</v>
      </c>
      <c r="B1532" s="8" t="inlineStr">
        <is>
          <t xml:space="preserve">        "奶油白",</t>
        </is>
      </c>
    </row>
    <row r="1533">
      <c r="A1533" s="9" t="n">
        <v>1530</v>
      </c>
      <c r="B1533" s="10" t="inlineStr">
        <is>
          <t xml:space="preserve">        "香樟"</t>
        </is>
      </c>
    </row>
    <row r="1534">
      <c r="A1534" s="7" t="n">
        <v>1531</v>
      </c>
      <c r="B1534" s="8" t="inlineStr">
        <is>
          <t xml:space="preserve">      ],</t>
        </is>
      </c>
    </row>
    <row r="1535">
      <c r="A1535" s="9" t="n">
        <v>1532</v>
      </c>
      <c r="B1535" s="10" t="inlineStr">
        <is>
          <t xml:space="preserve">      "colors": [</t>
        </is>
      </c>
    </row>
    <row r="1536">
      <c r="A1536" s="7" t="n">
        <v>1533</v>
      </c>
      <c r="B1536" s="8" t="inlineStr">
        <is>
          <t xml:space="preserve">        "奶油白"</t>
        </is>
      </c>
    </row>
    <row r="1537">
      <c r="A1537" s="9" t="n">
        <v>1534</v>
      </c>
      <c r="B1537" s="10" t="inlineStr">
        <is>
          <t xml:space="preserve">      ],</t>
        </is>
      </c>
    </row>
    <row r="1538">
      <c r="A1538" s="7" t="n">
        <v>1535</v>
      </c>
      <c r="B1538" s="8" t="inlineStr">
        <is>
          <t xml:space="preserve">      "actions": [</t>
        </is>
      </c>
    </row>
    <row r="1539">
      <c r="A1539" s="9" t="n">
        <v>1536</v>
      </c>
      <c r="B1539" s="10" t="inlineStr">
        <is>
          <t xml:space="preserve">        "收纳"</t>
        </is>
      </c>
    </row>
    <row r="1540">
      <c r="A1540" s="7" t="n">
        <v>1537</v>
      </c>
      <c r="B1540" s="8" t="inlineStr">
        <is>
          <t xml:space="preserve">      ],</t>
        </is>
      </c>
    </row>
    <row r="1541">
      <c r="A1541" s="9" t="n">
        <v>1538</v>
      </c>
      <c r="B1541" s="10" t="inlineStr">
        <is>
          <t xml:space="preserve">      "raw_tags": [</t>
        </is>
      </c>
    </row>
    <row r="1542">
      <c r="A1542" s="7" t="n">
        <v>1539</v>
      </c>
      <c r="B1542" s="8" t="inlineStr">
        <is>
          <t xml:space="preserve">        "岛头上层薄抽收纳"</t>
        </is>
      </c>
    </row>
    <row r="1543">
      <c r="A1543" s="9" t="n">
        <v>1540</v>
      </c>
      <c r="B1543" s="10" t="inlineStr">
        <is>
          <t xml:space="preserve">      ],</t>
        </is>
      </c>
    </row>
    <row r="1544">
      <c r="A1544" s="7" t="n">
        <v>1541</v>
      </c>
      <c r="B1544" s="8" t="inlineStr">
        <is>
          <t xml:space="preserve">      "quality_score": 1.0,</t>
        </is>
      </c>
    </row>
    <row r="1545">
      <c r="A1545" s="9" t="n">
        <v>1542</v>
      </c>
      <c r="B1545" s="10" t="inlineStr">
        <is>
          <t xml:space="preserve">      "processed_time": "2026-06-07T14:46:18.630402",</t>
        </is>
      </c>
    </row>
    <row r="1546">
      <c r="A1546" s="7" t="n">
        <v>1543</v>
      </c>
      <c r="B1546" s="8" t="inlineStr">
        <is>
          <t xml:space="preserve">      "file_size_mb": 41.81,</t>
        </is>
      </c>
    </row>
    <row r="1547">
      <c r="A1547" s="9" t="n">
        <v>1544</v>
      </c>
      <c r="B1547" s="10" t="inlineStr">
        <is>
          <t xml:space="preserve">      "file_mtime": "2026-01-04T20:19:08.711093"</t>
        </is>
      </c>
    </row>
    <row r="1548">
      <c r="A1548" s="7" t="n">
        <v>1545</v>
      </c>
      <c r="B1548" s="8" t="inlineStr">
        <is>
          <t xml:space="preserve">    },</t>
        </is>
      </c>
    </row>
    <row r="1549">
      <c r="A1549" s="9" t="n">
        <v>1546</v>
      </c>
      <c r="B1549" s="10" t="inlineStr">
        <is>
          <t xml:space="preserve">    "279de55b77132f90": {</t>
        </is>
      </c>
    </row>
    <row r="1550">
      <c r="A1550" s="7" t="n">
        <v>1547</v>
      </c>
      <c r="B1550" s="8" t="inlineStr">
        <is>
          <t xml:space="preserve">      "path": "Z:\\已处理素材\\卖点展示类素材\\【01】上层薄抽\\【04】【水泥奶油白+兰亭香樟】内蒙古孙小姐【岛头上层薄抽收纳】01\\【04】【水泥奶油白+兰亭香樟】内蒙古孙小姐【岛头上层薄抽收纳】01-4.mp4",</t>
        </is>
      </c>
    </row>
    <row r="1551">
      <c r="A1551" s="9" t="n">
        <v>1548</v>
      </c>
      <c r="B1551" s="10" t="inlineStr">
        <is>
          <t xml:space="preserve">      "file_hash": "279de55b77132f90",</t>
        </is>
      </c>
    </row>
    <row r="1552">
      <c r="A1552" s="7" t="n">
        <v>1549</v>
      </c>
      <c r="B1552" s="8" t="inlineStr">
        <is>
          <t xml:space="preserve">      "type": "卖点",</t>
        </is>
      </c>
    </row>
    <row r="1553">
      <c r="A1553" s="9" t="n">
        <v>1550</v>
      </c>
      <c r="B1553" s="10" t="inlineStr">
        <is>
          <t xml:space="preserve">      "main_tag": "岛头上层薄抽收纳",</t>
        </is>
      </c>
    </row>
    <row r="1554">
      <c r="A1554" s="7" t="n">
        <v>1551</v>
      </c>
      <c r="B1554" s="8" t="inlineStr">
        <is>
          <t xml:space="preserve">      "folder_name": "【04】【水泥奶油白+兰亭香樟】内蒙古孙小姐【岛头上层薄抽收纳】01",</t>
        </is>
      </c>
    </row>
    <row r="1555">
      <c r="A1555" s="9" t="n">
        <v>1552</v>
      </c>
      <c r="B1555" s="10" t="inlineStr">
        <is>
          <t xml:space="preserve">      "materials": [</t>
        </is>
      </c>
    </row>
    <row r="1556">
      <c r="A1556" s="7" t="n">
        <v>1553</v>
      </c>
      <c r="B1556" s="8" t="inlineStr">
        <is>
          <t xml:space="preserve">        "奶油白",</t>
        </is>
      </c>
    </row>
    <row r="1557">
      <c r="A1557" s="9" t="n">
        <v>1554</v>
      </c>
      <c r="B1557" s="10" t="inlineStr">
        <is>
          <t xml:space="preserve">        "香樟"</t>
        </is>
      </c>
    </row>
    <row r="1558">
      <c r="A1558" s="7" t="n">
        <v>1555</v>
      </c>
      <c r="B1558" s="8" t="inlineStr">
        <is>
          <t xml:space="preserve">      ],</t>
        </is>
      </c>
    </row>
    <row r="1559">
      <c r="A1559" s="9" t="n">
        <v>1556</v>
      </c>
      <c r="B1559" s="10" t="inlineStr">
        <is>
          <t xml:space="preserve">      "colors": [</t>
        </is>
      </c>
    </row>
    <row r="1560">
      <c r="A1560" s="7" t="n">
        <v>1557</v>
      </c>
      <c r="B1560" s="8" t="inlineStr">
        <is>
          <t xml:space="preserve">        "奶油白"</t>
        </is>
      </c>
    </row>
    <row r="1561">
      <c r="A1561" s="9" t="n">
        <v>1558</v>
      </c>
      <c r="B1561" s="10" t="inlineStr">
        <is>
          <t xml:space="preserve">      ],</t>
        </is>
      </c>
    </row>
    <row r="1562">
      <c r="A1562" s="7" t="n">
        <v>1559</v>
      </c>
      <c r="B1562" s="8" t="inlineStr">
        <is>
          <t xml:space="preserve">      "actions": [</t>
        </is>
      </c>
    </row>
    <row r="1563">
      <c r="A1563" s="9" t="n">
        <v>1560</v>
      </c>
      <c r="B1563" s="10" t="inlineStr">
        <is>
          <t xml:space="preserve">        "收纳"</t>
        </is>
      </c>
    </row>
    <row r="1564">
      <c r="A1564" s="7" t="n">
        <v>1561</v>
      </c>
      <c r="B1564" s="8" t="inlineStr">
        <is>
          <t xml:space="preserve">      ],</t>
        </is>
      </c>
    </row>
    <row r="1565">
      <c r="A1565" s="9" t="n">
        <v>1562</v>
      </c>
      <c r="B1565" s="10" t="inlineStr">
        <is>
          <t xml:space="preserve">      "raw_tags": [</t>
        </is>
      </c>
    </row>
    <row r="1566">
      <c r="A1566" s="7" t="n">
        <v>1563</v>
      </c>
      <c r="B1566" s="8" t="inlineStr">
        <is>
          <t xml:space="preserve">        "岛头上层薄抽收纳"</t>
        </is>
      </c>
    </row>
    <row r="1567">
      <c r="A1567" s="9" t="n">
        <v>1564</v>
      </c>
      <c r="B1567" s="10" t="inlineStr">
        <is>
          <t xml:space="preserve">      ],</t>
        </is>
      </c>
    </row>
    <row r="1568">
      <c r="A1568" s="7" t="n">
        <v>1565</v>
      </c>
      <c r="B1568" s="8" t="inlineStr">
        <is>
          <t xml:space="preserve">      "quality_score": 1.0,</t>
        </is>
      </c>
    </row>
    <row r="1569">
      <c r="A1569" s="9" t="n">
        <v>1566</v>
      </c>
      <c r="B1569" s="10" t="inlineStr">
        <is>
          <t xml:space="preserve">      "processed_time": "2026-06-07T14:46:18.631399",</t>
        </is>
      </c>
    </row>
    <row r="1570">
      <c r="A1570" s="7" t="n">
        <v>1567</v>
      </c>
      <c r="B1570" s="8" t="inlineStr">
        <is>
          <t xml:space="preserve">      "file_size_mb": 46.04,</t>
        </is>
      </c>
    </row>
    <row r="1571">
      <c r="A1571" s="9" t="n">
        <v>1568</v>
      </c>
      <c r="B1571" s="10" t="inlineStr">
        <is>
          <t xml:space="preserve">      "file_mtime": "2026-01-04T20:19:12.789035"</t>
        </is>
      </c>
    </row>
    <row r="1572">
      <c r="A1572" s="7" t="n">
        <v>1569</v>
      </c>
      <c r="B1572" s="8" t="inlineStr">
        <is>
          <t xml:space="preserve">    },</t>
        </is>
      </c>
    </row>
    <row r="1573">
      <c r="A1573" s="9" t="n">
        <v>1570</v>
      </c>
      <c r="B1573" s="10" t="inlineStr">
        <is>
          <t xml:space="preserve">    "15d7fe9f15e8b8ef": {</t>
        </is>
      </c>
    </row>
    <row r="1574">
      <c r="A1574" s="7" t="n">
        <v>1571</v>
      </c>
      <c r="B1574" s="8" t="inlineStr">
        <is>
          <t xml:space="preserve">      "path": "Z:\\已处理素材\\卖点展示类素材\\【01】上层薄抽\\【04】【水泥奶油白+兰亭香樟】内蒙古孙小姐【岛头上层薄抽收纳展示】01\\【04】【水泥奶油白+兰亭香樟】内蒙古孙小姐【岛头上层薄抽收纳展示】01-1.mp4",</t>
        </is>
      </c>
    </row>
    <row r="1575">
      <c r="A1575" s="9" t="n">
        <v>1572</v>
      </c>
      <c r="B1575" s="10" t="inlineStr">
        <is>
          <t xml:space="preserve">      "file_hash": "15d7fe9f15e8b8ef",</t>
        </is>
      </c>
    </row>
    <row r="1576">
      <c r="A1576" s="7" t="n">
        <v>1573</v>
      </c>
      <c r="B1576" s="8" t="inlineStr">
        <is>
          <t xml:space="preserve">      "type": "卖点",</t>
        </is>
      </c>
    </row>
    <row r="1577">
      <c r="A1577" s="9" t="n">
        <v>1574</v>
      </c>
      <c r="B1577" s="10" t="inlineStr">
        <is>
          <t xml:space="preserve">      "main_tag": "岛头上层薄抽收纳展示",</t>
        </is>
      </c>
    </row>
    <row r="1578">
      <c r="A1578" s="7" t="n">
        <v>1575</v>
      </c>
      <c r="B1578" s="8" t="inlineStr">
        <is>
          <t xml:space="preserve">      "folder_name": "【04】【水泥奶油白+兰亭香樟】内蒙古孙小姐【岛头上层薄抽收纳展示】01",</t>
        </is>
      </c>
    </row>
    <row r="1579">
      <c r="A1579" s="9" t="n">
        <v>1576</v>
      </c>
      <c r="B1579" s="10" t="inlineStr">
        <is>
          <t xml:space="preserve">      "materials": [</t>
        </is>
      </c>
    </row>
    <row r="1580">
      <c r="A1580" s="7" t="n">
        <v>1577</v>
      </c>
      <c r="B1580" s="8" t="inlineStr">
        <is>
          <t xml:space="preserve">        "奶油白",</t>
        </is>
      </c>
    </row>
    <row r="1581">
      <c r="A1581" s="9" t="n">
        <v>1578</v>
      </c>
      <c r="B1581" s="10" t="inlineStr">
        <is>
          <t xml:space="preserve">        "香樟"</t>
        </is>
      </c>
    </row>
    <row r="1582">
      <c r="A1582" s="7" t="n">
        <v>1579</v>
      </c>
      <c r="B1582" s="8" t="inlineStr">
        <is>
          <t xml:space="preserve">      ],</t>
        </is>
      </c>
    </row>
    <row r="1583">
      <c r="A1583" s="9" t="n">
        <v>1580</v>
      </c>
      <c r="B1583" s="10" t="inlineStr">
        <is>
          <t xml:space="preserve">      "colors": [</t>
        </is>
      </c>
    </row>
    <row r="1584">
      <c r="A1584" s="7" t="n">
        <v>1581</v>
      </c>
      <c r="B1584" s="8" t="inlineStr">
        <is>
          <t xml:space="preserve">        "奶油白"</t>
        </is>
      </c>
    </row>
    <row r="1585">
      <c r="A1585" s="9" t="n">
        <v>1582</v>
      </c>
      <c r="B1585" s="10" t="inlineStr">
        <is>
          <t xml:space="preserve">      ],</t>
        </is>
      </c>
    </row>
    <row r="1586">
      <c r="A1586" s="7" t="n">
        <v>1583</v>
      </c>
      <c r="B1586" s="8" t="inlineStr">
        <is>
          <t xml:space="preserve">      "actions": [</t>
        </is>
      </c>
    </row>
    <row r="1587">
      <c r="A1587" s="9" t="n">
        <v>1584</v>
      </c>
      <c r="B1587" s="10" t="inlineStr">
        <is>
          <t xml:space="preserve">        "展示",</t>
        </is>
      </c>
    </row>
    <row r="1588">
      <c r="A1588" s="7" t="n">
        <v>1585</v>
      </c>
      <c r="B1588" s="8" t="inlineStr">
        <is>
          <t xml:space="preserve">        "收纳"</t>
        </is>
      </c>
    </row>
    <row r="1589">
      <c r="A1589" s="9" t="n">
        <v>1586</v>
      </c>
      <c r="B1589" s="10" t="inlineStr">
        <is>
          <t xml:space="preserve">      ],</t>
        </is>
      </c>
    </row>
    <row r="1590">
      <c r="A1590" s="7" t="n">
        <v>1587</v>
      </c>
      <c r="B1590" s="8" t="inlineStr">
        <is>
          <t xml:space="preserve">      "raw_tags": [</t>
        </is>
      </c>
    </row>
    <row r="1591">
      <c r="A1591" s="9" t="n">
        <v>1588</v>
      </c>
      <c r="B1591" s="10" t="inlineStr">
        <is>
          <t xml:space="preserve">        "岛头上层薄抽收纳展示"</t>
        </is>
      </c>
    </row>
    <row r="1592">
      <c r="A1592" s="7" t="n">
        <v>1589</v>
      </c>
      <c r="B1592" s="8" t="inlineStr">
        <is>
          <t xml:space="preserve">      ],</t>
        </is>
      </c>
    </row>
    <row r="1593">
      <c r="A1593" s="9" t="n">
        <v>1590</v>
      </c>
      <c r="B1593" s="10" t="inlineStr">
        <is>
          <t xml:space="preserve">      "quality_score": 1.0,</t>
        </is>
      </c>
    </row>
    <row r="1594">
      <c r="A1594" s="7" t="n">
        <v>1591</v>
      </c>
      <c r="B1594" s="8" t="inlineStr">
        <is>
          <t xml:space="preserve">      "processed_time": "2026-06-07T14:46:18.633503",</t>
        </is>
      </c>
    </row>
    <row r="1595">
      <c r="A1595" s="9" t="n">
        <v>1592</v>
      </c>
      <c r="B1595" s="10" t="inlineStr">
        <is>
          <t xml:space="preserve">      "file_size_mb": 60.54,</t>
        </is>
      </c>
    </row>
    <row r="1596">
      <c r="A1596" s="7" t="n">
        <v>1593</v>
      </c>
      <c r="B1596" s="8" t="inlineStr">
        <is>
          <t xml:space="preserve">      "file_mtime": "2026-01-04T20:19:54.941405"</t>
        </is>
      </c>
    </row>
    <row r="1597">
      <c r="A1597" s="9" t="n">
        <v>1594</v>
      </c>
      <c r="B1597" s="10" t="inlineStr">
        <is>
          <t xml:space="preserve">    },</t>
        </is>
      </c>
    </row>
    <row r="1598">
      <c r="A1598" s="7" t="n">
        <v>1595</v>
      </c>
      <c r="B1598" s="8" t="inlineStr">
        <is>
          <t xml:space="preserve">    "c243f8ac31ca2253": {</t>
        </is>
      </c>
    </row>
    <row r="1599">
      <c r="A1599" s="9" t="n">
        <v>1596</v>
      </c>
      <c r="B1599" s="10" t="inlineStr">
        <is>
          <t xml:space="preserve">      "path": "Z:\\已处理素材\\卖点展示类素材\\【01】上层薄抽\\【04】【水泥奶油白+兰亭香樟】内蒙古孙小姐【岛头上层薄抽收纳展示】01\\【04】【水泥奶油白+兰亭香樟】内蒙古孙小姐【岛头上层薄抽收纳展示】01-2.mp4",</t>
        </is>
      </c>
    </row>
    <row r="1600">
      <c r="A1600" s="7" t="n">
        <v>1597</v>
      </c>
      <c r="B1600" s="8" t="inlineStr">
        <is>
          <t xml:space="preserve">      "file_hash": "c243f8ac31ca2253",</t>
        </is>
      </c>
    </row>
    <row r="1601">
      <c r="A1601" s="9" t="n">
        <v>1598</v>
      </c>
      <c r="B1601" s="10" t="inlineStr">
        <is>
          <t xml:space="preserve">      "type": "卖点",</t>
        </is>
      </c>
    </row>
    <row r="1602">
      <c r="A1602" s="7" t="n">
        <v>1599</v>
      </c>
      <c r="B1602" s="8" t="inlineStr">
        <is>
          <t xml:space="preserve">      "main_tag": "岛头上层薄抽收纳展示",</t>
        </is>
      </c>
    </row>
    <row r="1603">
      <c r="A1603" s="9" t="n">
        <v>1600</v>
      </c>
      <c r="B1603" s="10" t="inlineStr">
        <is>
          <t xml:space="preserve">      "folder_name": "【04】【水泥奶油白+兰亭香樟】内蒙古孙小姐【岛头上层薄抽收纳展示】01",</t>
        </is>
      </c>
    </row>
    <row r="1604">
      <c r="A1604" s="7" t="n">
        <v>1601</v>
      </c>
      <c r="B1604" s="8" t="inlineStr">
        <is>
          <t xml:space="preserve">      "materials": [</t>
        </is>
      </c>
    </row>
    <row r="1605">
      <c r="A1605" s="9" t="n">
        <v>1602</v>
      </c>
      <c r="B1605" s="10" t="inlineStr">
        <is>
          <t xml:space="preserve">        "奶油白",</t>
        </is>
      </c>
    </row>
    <row r="1606">
      <c r="A1606" s="7" t="n">
        <v>1603</v>
      </c>
      <c r="B1606" s="8" t="inlineStr">
        <is>
          <t xml:space="preserve">        "香樟"</t>
        </is>
      </c>
    </row>
    <row r="1607">
      <c r="A1607" s="9" t="n">
        <v>1604</v>
      </c>
      <c r="B1607" s="10" t="inlineStr">
        <is>
          <t xml:space="preserve">      ],</t>
        </is>
      </c>
    </row>
    <row r="1608">
      <c r="A1608" s="7" t="n">
        <v>1605</v>
      </c>
      <c r="B1608" s="8" t="inlineStr">
        <is>
          <t xml:space="preserve">      "colors": [</t>
        </is>
      </c>
    </row>
    <row r="1609">
      <c r="A1609" s="9" t="n">
        <v>1606</v>
      </c>
      <c r="B1609" s="10" t="inlineStr">
        <is>
          <t xml:space="preserve">        "奶油白"</t>
        </is>
      </c>
    </row>
    <row r="1610">
      <c r="A1610" s="7" t="n">
        <v>1607</v>
      </c>
      <c r="B1610" s="8" t="inlineStr">
        <is>
          <t xml:space="preserve">      ],</t>
        </is>
      </c>
    </row>
    <row r="1611">
      <c r="A1611" s="9" t="n">
        <v>1608</v>
      </c>
      <c r="B1611" s="10" t="inlineStr">
        <is>
          <t xml:space="preserve">      "actions": [</t>
        </is>
      </c>
    </row>
    <row r="1612">
      <c r="A1612" s="7" t="n">
        <v>1609</v>
      </c>
      <c r="B1612" s="8" t="inlineStr">
        <is>
          <t xml:space="preserve">        "展示",</t>
        </is>
      </c>
    </row>
    <row r="1613">
      <c r="A1613" s="9" t="n">
        <v>1610</v>
      </c>
      <c r="B1613" s="10" t="inlineStr">
        <is>
          <t xml:space="preserve">        "收纳"</t>
        </is>
      </c>
    </row>
    <row r="1614">
      <c r="A1614" s="7" t="n">
        <v>1611</v>
      </c>
      <c r="B1614" s="8" t="inlineStr">
        <is>
          <t xml:space="preserve">      ],</t>
        </is>
      </c>
    </row>
    <row r="1615">
      <c r="A1615" s="9" t="n">
        <v>1612</v>
      </c>
      <c r="B1615" s="10" t="inlineStr">
        <is>
          <t xml:space="preserve">      "raw_tags": [</t>
        </is>
      </c>
    </row>
    <row r="1616">
      <c r="A1616" s="7" t="n">
        <v>1613</v>
      </c>
      <c r="B1616" s="8" t="inlineStr">
        <is>
          <t xml:space="preserve">        "岛头上层薄抽收纳展示"</t>
        </is>
      </c>
    </row>
    <row r="1617">
      <c r="A1617" s="9" t="n">
        <v>1614</v>
      </c>
      <c r="B1617" s="10" t="inlineStr">
        <is>
          <t xml:space="preserve">      ],</t>
        </is>
      </c>
    </row>
    <row r="1618">
      <c r="A1618" s="7" t="n">
        <v>1615</v>
      </c>
      <c r="B1618" s="8" t="inlineStr">
        <is>
          <t xml:space="preserve">      "quality_score": 1.0,</t>
        </is>
      </c>
    </row>
    <row r="1619">
      <c r="A1619" s="9" t="n">
        <v>1616</v>
      </c>
      <c r="B1619" s="10" t="inlineStr">
        <is>
          <t xml:space="preserve">      "processed_time": "2026-06-07T14:46:18.635498",</t>
        </is>
      </c>
    </row>
    <row r="1620">
      <c r="A1620" s="7" t="n">
        <v>1617</v>
      </c>
      <c r="B1620" s="8" t="inlineStr">
        <is>
          <t xml:space="preserve">      "file_size_mb": 20.79,</t>
        </is>
      </c>
    </row>
    <row r="1621">
      <c r="A1621" s="9" t="n">
        <v>1618</v>
      </c>
      <c r="B1621" s="10" t="inlineStr">
        <is>
          <t xml:space="preserve">      "file_mtime": "2026-01-04T20:19:56.878777"</t>
        </is>
      </c>
    </row>
    <row r="1622">
      <c r="A1622" s="7" t="n">
        <v>1619</v>
      </c>
      <c r="B1622" s="8" t="inlineStr">
        <is>
          <t xml:space="preserve">    },</t>
        </is>
      </c>
    </row>
    <row r="1623">
      <c r="A1623" s="9" t="n">
        <v>1620</v>
      </c>
      <c r="B1623" s="10" t="inlineStr">
        <is>
          <t xml:space="preserve">    "efc0366d719451f6": {</t>
        </is>
      </c>
    </row>
    <row r="1624">
      <c r="A1624" s="7" t="n">
        <v>1621</v>
      </c>
      <c r="B1624" s="8" t="inlineStr">
        <is>
          <t xml:space="preserve">      "path": "Z:\\已处理素材\\卖点展示类素材\\【01】上层薄抽\\【04】【水泥奶油白+兰亭香樟】内蒙古孙小姐【岛头上层薄抽收纳展示】01\\【04】【水泥奶油白+兰亭香樟】内蒙古孙小姐【岛头上层薄抽收纳展示】01-3.mp4",</t>
        </is>
      </c>
    </row>
    <row r="1625">
      <c r="A1625" s="9" t="n">
        <v>1622</v>
      </c>
      <c r="B1625" s="10" t="inlineStr">
        <is>
          <t xml:space="preserve">      "file_hash": "efc0366d719451f6",</t>
        </is>
      </c>
    </row>
    <row r="1626">
      <c r="A1626" s="7" t="n">
        <v>1623</v>
      </c>
      <c r="B1626" s="8" t="inlineStr">
        <is>
          <t xml:space="preserve">      "type": "卖点",</t>
        </is>
      </c>
    </row>
    <row r="1627">
      <c r="A1627" s="9" t="n">
        <v>1624</v>
      </c>
      <c r="B1627" s="10" t="inlineStr">
        <is>
          <t xml:space="preserve">      "main_tag": "岛头上层薄抽收纳展示",</t>
        </is>
      </c>
    </row>
    <row r="1628">
      <c r="A1628" s="7" t="n">
        <v>1625</v>
      </c>
      <c r="B1628" s="8" t="inlineStr">
        <is>
          <t xml:space="preserve">      "folder_name": "【04】【水泥奶油白+兰亭香樟】内蒙古孙小姐【岛头上层薄抽收纳展示】01",</t>
        </is>
      </c>
    </row>
    <row r="1629">
      <c r="A1629" s="9" t="n">
        <v>1626</v>
      </c>
      <c r="B1629" s="10" t="inlineStr">
        <is>
          <t xml:space="preserve">      "materials": [</t>
        </is>
      </c>
    </row>
    <row r="1630">
      <c r="A1630" s="7" t="n">
        <v>1627</v>
      </c>
      <c r="B1630" s="8" t="inlineStr">
        <is>
          <t xml:space="preserve">        "奶油白",</t>
        </is>
      </c>
    </row>
    <row r="1631">
      <c r="A1631" s="9" t="n">
        <v>1628</v>
      </c>
      <c r="B1631" s="10" t="inlineStr">
        <is>
          <t xml:space="preserve">        "香樟"</t>
        </is>
      </c>
    </row>
    <row r="1632">
      <c r="A1632" s="7" t="n">
        <v>1629</v>
      </c>
      <c r="B1632" s="8" t="inlineStr">
        <is>
          <t xml:space="preserve">      ],</t>
        </is>
      </c>
    </row>
    <row r="1633">
      <c r="A1633" s="9" t="n">
        <v>1630</v>
      </c>
      <c r="B1633" s="10" t="inlineStr">
        <is>
          <t xml:space="preserve">      "colors": [</t>
        </is>
      </c>
    </row>
    <row r="1634">
      <c r="A1634" s="7" t="n">
        <v>1631</v>
      </c>
      <c r="B1634" s="8" t="inlineStr">
        <is>
          <t xml:space="preserve">        "奶油白"</t>
        </is>
      </c>
    </row>
    <row r="1635">
      <c r="A1635" s="9" t="n">
        <v>1632</v>
      </c>
      <c r="B1635" s="10" t="inlineStr">
        <is>
          <t xml:space="preserve">      ],</t>
        </is>
      </c>
    </row>
    <row r="1636">
      <c r="A1636" s="7" t="n">
        <v>1633</v>
      </c>
      <c r="B1636" s="8" t="inlineStr">
        <is>
          <t xml:space="preserve">      "actions": [</t>
        </is>
      </c>
    </row>
    <row r="1637">
      <c r="A1637" s="9" t="n">
        <v>1634</v>
      </c>
      <c r="B1637" s="10" t="inlineStr">
        <is>
          <t xml:space="preserve">        "展示",</t>
        </is>
      </c>
    </row>
    <row r="1638">
      <c r="A1638" s="7" t="n">
        <v>1635</v>
      </c>
      <c r="B1638" s="8" t="inlineStr">
        <is>
          <t xml:space="preserve">        "收纳"</t>
        </is>
      </c>
    </row>
    <row r="1639">
      <c r="A1639" s="9" t="n">
        <v>1636</v>
      </c>
      <c r="B1639" s="10" t="inlineStr">
        <is>
          <t xml:space="preserve">      ],</t>
        </is>
      </c>
    </row>
    <row r="1640">
      <c r="A1640" s="7" t="n">
        <v>1637</v>
      </c>
      <c r="B1640" s="8" t="inlineStr">
        <is>
          <t xml:space="preserve">      "raw_tags": [</t>
        </is>
      </c>
    </row>
    <row r="1641">
      <c r="A1641" s="9" t="n">
        <v>1638</v>
      </c>
      <c r="B1641" s="10" t="inlineStr">
        <is>
          <t xml:space="preserve">        "岛头上层薄抽收纳展示"</t>
        </is>
      </c>
    </row>
    <row r="1642">
      <c r="A1642" s="7" t="n">
        <v>1639</v>
      </c>
      <c r="B1642" s="8" t="inlineStr">
        <is>
          <t xml:space="preserve">      ],</t>
        </is>
      </c>
    </row>
    <row r="1643">
      <c r="A1643" s="9" t="n">
        <v>1640</v>
      </c>
      <c r="B1643" s="10" t="inlineStr">
        <is>
          <t xml:space="preserve">      "quality_score": 1.0,</t>
        </is>
      </c>
    </row>
    <row r="1644">
      <c r="A1644" s="7" t="n">
        <v>1641</v>
      </c>
      <c r="B1644" s="8" t="inlineStr">
        <is>
          <t xml:space="preserve">      "processed_time": "2026-06-07T14:46:18.636495",</t>
        </is>
      </c>
    </row>
    <row r="1645">
      <c r="A1645" s="9" t="n">
        <v>1642</v>
      </c>
      <c r="B1645" s="10" t="inlineStr">
        <is>
          <t xml:space="preserve">      "file_size_mb": 20.85,</t>
        </is>
      </c>
    </row>
    <row r="1646">
      <c r="A1646" s="7" t="n">
        <v>1643</v>
      </c>
      <c r="B1646" s="8" t="inlineStr">
        <is>
          <t xml:space="preserve">      "file_mtime": "2026-01-04T20:19:58.832388"</t>
        </is>
      </c>
    </row>
    <row r="1647">
      <c r="A1647" s="9" t="n">
        <v>1644</v>
      </c>
      <c r="B1647" s="10" t="inlineStr">
        <is>
          <t xml:space="preserve">    },</t>
        </is>
      </c>
    </row>
    <row r="1648">
      <c r="A1648" s="7" t="n">
        <v>1645</v>
      </c>
      <c r="B1648" s="8" t="inlineStr">
        <is>
          <t xml:space="preserve">    "7dc880f160d09fa9": {</t>
        </is>
      </c>
    </row>
    <row r="1649">
      <c r="A1649" s="9" t="n">
        <v>1646</v>
      </c>
      <c r="B1649" s="10" t="inlineStr">
        <is>
          <t xml:space="preserve">      "path": "Z:\\已处理素材\\卖点展示类素材\\【01】上层薄抽\\【04】【水泥奶油白+兰亭香樟】内蒙古孙小姐【空镜岛头收纳层展示环绕】\\【04】【水泥奶油白+兰亭香樟】内蒙古孙小姐【空镜岛头收纳层展示环绕】-1.mp4",</t>
        </is>
      </c>
    </row>
    <row r="1650">
      <c r="A1650" s="7" t="n">
        <v>1647</v>
      </c>
      <c r="B1650" s="8" t="inlineStr">
        <is>
          <t xml:space="preserve">      "file_hash": "7dc880f160d09fa9",</t>
        </is>
      </c>
    </row>
    <row r="1651">
      <c r="A1651" s="9" t="n">
        <v>1648</v>
      </c>
      <c r="B1651" s="10" t="inlineStr">
        <is>
          <t xml:space="preserve">      "type": "卖点",</t>
        </is>
      </c>
    </row>
    <row r="1652">
      <c r="A1652" s="7" t="n">
        <v>1649</v>
      </c>
      <c r="B1652" s="8" t="inlineStr">
        <is>
          <t xml:space="preserve">      "main_tag": "空镜岛头收纳层展示环绕",</t>
        </is>
      </c>
    </row>
    <row r="1653">
      <c r="A1653" s="9" t="n">
        <v>1650</v>
      </c>
      <c r="B1653" s="10" t="inlineStr">
        <is>
          <t xml:space="preserve">      "folder_name": "【04】【水泥奶油白+兰亭香樟】内蒙古孙小姐【空镜岛头收纳层展示环绕】",</t>
        </is>
      </c>
    </row>
    <row r="1654">
      <c r="A1654" s="7" t="n">
        <v>1651</v>
      </c>
      <c r="B1654" s="8" t="inlineStr">
        <is>
          <t xml:space="preserve">      "materials": [</t>
        </is>
      </c>
    </row>
    <row r="1655">
      <c r="A1655" s="9" t="n">
        <v>1652</v>
      </c>
      <c r="B1655" s="10" t="inlineStr">
        <is>
          <t xml:space="preserve">        "奶油白",</t>
        </is>
      </c>
    </row>
    <row r="1656">
      <c r="A1656" s="7" t="n">
        <v>1653</v>
      </c>
      <c r="B1656" s="8" t="inlineStr">
        <is>
          <t xml:space="preserve">        "香樟"</t>
        </is>
      </c>
    </row>
    <row r="1657">
      <c r="A1657" s="9" t="n">
        <v>1654</v>
      </c>
      <c r="B1657" s="10" t="inlineStr">
        <is>
          <t xml:space="preserve">      ],</t>
        </is>
      </c>
    </row>
    <row r="1658">
      <c r="A1658" s="7" t="n">
        <v>1655</v>
      </c>
      <c r="B1658" s="8" t="inlineStr">
        <is>
          <t xml:space="preserve">      "colors": [</t>
        </is>
      </c>
    </row>
    <row r="1659">
      <c r="A1659" s="9" t="n">
        <v>1656</v>
      </c>
      <c r="B1659" s="10" t="inlineStr">
        <is>
          <t xml:space="preserve">        "奶油白"</t>
        </is>
      </c>
    </row>
    <row r="1660">
      <c r="A1660" s="7" t="n">
        <v>1657</v>
      </c>
      <c r="B1660" s="8" t="inlineStr">
        <is>
          <t xml:space="preserve">      ],</t>
        </is>
      </c>
    </row>
    <row r="1661">
      <c r="A1661" s="9" t="n">
        <v>1658</v>
      </c>
      <c r="B1661" s="10" t="inlineStr">
        <is>
          <t xml:space="preserve">      "actions": [</t>
        </is>
      </c>
    </row>
    <row r="1662">
      <c r="A1662" s="7" t="n">
        <v>1659</v>
      </c>
      <c r="B1662" s="8" t="inlineStr">
        <is>
          <t xml:space="preserve">        "展示",</t>
        </is>
      </c>
    </row>
    <row r="1663">
      <c r="A1663" s="9" t="n">
        <v>1660</v>
      </c>
      <c r="B1663" s="10" t="inlineStr">
        <is>
          <t xml:space="preserve">        "收纳",</t>
        </is>
      </c>
    </row>
    <row r="1664">
      <c r="A1664" s="7" t="n">
        <v>1661</v>
      </c>
      <c r="B1664" s="8" t="inlineStr">
        <is>
          <t xml:space="preserve">        "环绕"</t>
        </is>
      </c>
    </row>
    <row r="1665">
      <c r="A1665" s="9" t="n">
        <v>1662</v>
      </c>
      <c r="B1665" s="10" t="inlineStr">
        <is>
          <t xml:space="preserve">      ],</t>
        </is>
      </c>
    </row>
    <row r="1666">
      <c r="A1666" s="7" t="n">
        <v>1663</v>
      </c>
      <c r="B1666" s="8" t="inlineStr">
        <is>
          <t xml:space="preserve">      "raw_tags": [</t>
        </is>
      </c>
    </row>
    <row r="1667">
      <c r="A1667" s="9" t="n">
        <v>1664</v>
      </c>
      <c r="B1667" s="10" t="inlineStr">
        <is>
          <t xml:space="preserve">        "空镜岛头收纳层展示环绕"</t>
        </is>
      </c>
    </row>
    <row r="1668">
      <c r="A1668" s="7" t="n">
        <v>1665</v>
      </c>
      <c r="B1668" s="8" t="inlineStr">
        <is>
          <t xml:space="preserve">      ],</t>
        </is>
      </c>
    </row>
    <row r="1669">
      <c r="A1669" s="9" t="n">
        <v>1666</v>
      </c>
      <c r="B1669" s="10" t="inlineStr">
        <is>
          <t xml:space="preserve">      "quality_score": 1.0,</t>
        </is>
      </c>
    </row>
    <row r="1670">
      <c r="A1670" s="7" t="n">
        <v>1667</v>
      </c>
      <c r="B1670" s="8" t="inlineStr">
        <is>
          <t xml:space="preserve">      "processed_time": "2026-06-07T14:46:18.637492",</t>
        </is>
      </c>
    </row>
    <row r="1671">
      <c r="A1671" s="9" t="n">
        <v>1668</v>
      </c>
      <c r="B1671" s="10" t="inlineStr">
        <is>
          <t xml:space="preserve">      "file_size_mb": 31.94,</t>
        </is>
      </c>
    </row>
    <row r="1672">
      <c r="A1672" s="7" t="n">
        <v>1669</v>
      </c>
      <c r="B1672" s="8" t="inlineStr">
        <is>
          <t xml:space="preserve">      "file_mtime": "2026-01-04T20:57:05.299936"</t>
        </is>
      </c>
    </row>
    <row r="1673">
      <c r="A1673" s="9" t="n">
        <v>1670</v>
      </c>
      <c r="B1673" s="10" t="inlineStr">
        <is>
          <t xml:space="preserve">    },</t>
        </is>
      </c>
    </row>
    <row r="1674">
      <c r="A1674" s="7" t="n">
        <v>1671</v>
      </c>
      <c r="B1674" s="8" t="inlineStr">
        <is>
          <t xml:space="preserve">    "a1c36302ee1346b1": {</t>
        </is>
      </c>
    </row>
    <row r="1675">
      <c r="A1675" s="9" t="n">
        <v>1672</v>
      </c>
      <c r="B1675" s="10" t="inlineStr">
        <is>
          <t xml:space="preserve">      "path": "Z:\\已处理素材\\卖点展示类素材\\【01】上层薄抽\\【04】【水泥奶油白+兰亭香樟】内蒙古孙小姐【空镜岛头收纳层展示环绕】\\【04】【水泥奶油白+兰亭香樟】内蒙古孙小姐【空镜岛头收纳层展示环绕】-2.mp4",</t>
        </is>
      </c>
    </row>
    <row r="1676">
      <c r="A1676" s="7" t="n">
        <v>1673</v>
      </c>
      <c r="B1676" s="8" t="inlineStr">
        <is>
          <t xml:space="preserve">      "file_hash": "a1c36302ee1346b1",</t>
        </is>
      </c>
    </row>
    <row r="1677">
      <c r="A1677" s="9" t="n">
        <v>1674</v>
      </c>
      <c r="B1677" s="10" t="inlineStr">
        <is>
          <t xml:space="preserve">      "type": "卖点",</t>
        </is>
      </c>
    </row>
    <row r="1678">
      <c r="A1678" s="7" t="n">
        <v>1675</v>
      </c>
      <c r="B1678" s="8" t="inlineStr">
        <is>
          <t xml:space="preserve">      "main_tag": "空镜岛头收纳层展示环绕",</t>
        </is>
      </c>
    </row>
    <row r="1679">
      <c r="A1679" s="9" t="n">
        <v>1676</v>
      </c>
      <c r="B1679" s="10" t="inlineStr">
        <is>
          <t xml:space="preserve">      "folder_name": "【04】【水泥奶油白+兰亭香樟】内蒙古孙小姐【空镜岛头收纳层展示环绕】",</t>
        </is>
      </c>
    </row>
    <row r="1680">
      <c r="A1680" s="7" t="n">
        <v>1677</v>
      </c>
      <c r="B1680" s="8" t="inlineStr">
        <is>
          <t xml:space="preserve">      "materials": [</t>
        </is>
      </c>
    </row>
    <row r="1681">
      <c r="A1681" s="9" t="n">
        <v>1678</v>
      </c>
      <c r="B1681" s="10" t="inlineStr">
        <is>
          <t xml:space="preserve">        "奶油白",</t>
        </is>
      </c>
    </row>
    <row r="1682">
      <c r="A1682" s="7" t="n">
        <v>1679</v>
      </c>
      <c r="B1682" s="8" t="inlineStr">
        <is>
          <t xml:space="preserve">        "香樟"</t>
        </is>
      </c>
    </row>
    <row r="1683">
      <c r="A1683" s="9" t="n">
        <v>1680</v>
      </c>
      <c r="B1683" s="10" t="inlineStr">
        <is>
          <t xml:space="preserve">      ],</t>
        </is>
      </c>
    </row>
    <row r="1684">
      <c r="A1684" s="7" t="n">
        <v>1681</v>
      </c>
      <c r="B1684" s="8" t="inlineStr">
        <is>
          <t xml:space="preserve">      "colors": [</t>
        </is>
      </c>
    </row>
    <row r="1685">
      <c r="A1685" s="9" t="n">
        <v>1682</v>
      </c>
      <c r="B1685" s="10" t="inlineStr">
        <is>
          <t xml:space="preserve">        "奶油白"</t>
        </is>
      </c>
    </row>
    <row r="1686">
      <c r="A1686" s="7" t="n">
        <v>1683</v>
      </c>
      <c r="B1686" s="8" t="inlineStr">
        <is>
          <t xml:space="preserve">      ],</t>
        </is>
      </c>
    </row>
    <row r="1687">
      <c r="A1687" s="9" t="n">
        <v>1684</v>
      </c>
      <c r="B1687" s="10" t="inlineStr">
        <is>
          <t xml:space="preserve">      "actions": [</t>
        </is>
      </c>
    </row>
    <row r="1688">
      <c r="A1688" s="7" t="n">
        <v>1685</v>
      </c>
      <c r="B1688" s="8" t="inlineStr">
        <is>
          <t xml:space="preserve">        "展示",</t>
        </is>
      </c>
    </row>
    <row r="1689">
      <c r="A1689" s="9" t="n">
        <v>1686</v>
      </c>
      <c r="B1689" s="10" t="inlineStr">
        <is>
          <t xml:space="preserve">        "收纳",</t>
        </is>
      </c>
    </row>
    <row r="1690">
      <c r="A1690" s="7" t="n">
        <v>1687</v>
      </c>
      <c r="B1690" s="8" t="inlineStr">
        <is>
          <t xml:space="preserve">        "环绕"</t>
        </is>
      </c>
    </row>
    <row r="1691">
      <c r="A1691" s="9" t="n">
        <v>1688</v>
      </c>
      <c r="B1691" s="10" t="inlineStr">
        <is>
          <t xml:space="preserve">      ],</t>
        </is>
      </c>
    </row>
    <row r="1692">
      <c r="A1692" s="7" t="n">
        <v>1689</v>
      </c>
      <c r="B1692" s="8" t="inlineStr">
        <is>
          <t xml:space="preserve">      "raw_tags": [</t>
        </is>
      </c>
    </row>
    <row r="1693">
      <c r="A1693" s="9" t="n">
        <v>1690</v>
      </c>
      <c r="B1693" s="10" t="inlineStr">
        <is>
          <t xml:space="preserve">        "空镜岛头收纳层展示环绕"</t>
        </is>
      </c>
    </row>
    <row r="1694">
      <c r="A1694" s="7" t="n">
        <v>1691</v>
      </c>
      <c r="B1694" s="8" t="inlineStr">
        <is>
          <t xml:space="preserve">      ],</t>
        </is>
      </c>
    </row>
    <row r="1695">
      <c r="A1695" s="9" t="n">
        <v>1692</v>
      </c>
      <c r="B1695" s="10" t="inlineStr">
        <is>
          <t xml:space="preserve">      "quality_score": 1.0,</t>
        </is>
      </c>
    </row>
    <row r="1696">
      <c r="A1696" s="7" t="n">
        <v>1693</v>
      </c>
      <c r="B1696" s="8" t="inlineStr">
        <is>
          <t xml:space="preserve">      "processed_time": "2026-06-07T14:46:18.638488",</t>
        </is>
      </c>
    </row>
    <row r="1697">
      <c r="A1697" s="9" t="n">
        <v>1694</v>
      </c>
      <c r="B1697" s="10" t="inlineStr">
        <is>
          <t xml:space="preserve">      "file_size_mb": 22.92,</t>
        </is>
      </c>
    </row>
    <row r="1698">
      <c r="A1698" s="7" t="n">
        <v>1695</v>
      </c>
      <c r="B1698" s="8" t="inlineStr">
        <is>
          <t xml:space="preserve">      "file_mtime": "2026-01-04T20:57:07.425325"</t>
        </is>
      </c>
    </row>
    <row r="1699">
      <c r="A1699" s="9" t="n">
        <v>1696</v>
      </c>
      <c r="B1699" s="10" t="inlineStr">
        <is>
          <t xml:space="preserve">    },</t>
        </is>
      </c>
    </row>
    <row r="1700">
      <c r="A1700" s="7" t="n">
        <v>1697</v>
      </c>
      <c r="B1700" s="8" t="inlineStr">
        <is>
          <t xml:space="preserve">    "3f3c2b7ae064196f": {</t>
        </is>
      </c>
    </row>
    <row r="1701">
      <c r="A1701" s="9" t="n">
        <v>1698</v>
      </c>
      <c r="B1701" s="10" t="inlineStr">
        <is>
          <t xml:space="preserve">      "path": "Z:\\已处理素材\\卖点展示类素材\\【01】上层薄抽\\【08】【中古风】长春市邵小姐【岛台岛台上层薄抽收纳展示前拉】\\【08】【中古风】长春市邵小姐【岛台岛台上层薄抽收纳展示前拉】-1.mp4",</t>
        </is>
      </c>
    </row>
    <row r="1702">
      <c r="A1702" s="7" t="n">
        <v>1699</v>
      </c>
      <c r="B1702" s="8" t="inlineStr">
        <is>
          <t xml:space="preserve">      "file_hash": "3f3c2b7ae064196f",</t>
        </is>
      </c>
    </row>
    <row r="1703">
      <c r="A1703" s="9" t="n">
        <v>1700</v>
      </c>
      <c r="B1703" s="10" t="inlineStr">
        <is>
          <t xml:space="preserve">      "type": "卖点",</t>
        </is>
      </c>
    </row>
    <row r="1704">
      <c r="A1704" s="7" t="n">
        <v>1701</v>
      </c>
      <c r="B1704" s="8" t="inlineStr">
        <is>
          <t xml:space="preserve">      "main_tag": "岛台岛台上层薄抽收纳展示前拉",</t>
        </is>
      </c>
    </row>
    <row r="1705">
      <c r="A1705" s="9" t="n">
        <v>1702</v>
      </c>
      <c r="B1705" s="10" t="inlineStr">
        <is>
          <t xml:space="preserve">      "folder_name": "【08】【中古风】长春市邵小姐【岛台岛台上层薄抽收纳展示前拉】",</t>
        </is>
      </c>
    </row>
    <row r="1706">
      <c r="A1706" s="7" t="n">
        <v>1703</v>
      </c>
      <c r="B1706" s="8" t="inlineStr">
        <is>
          <t xml:space="preserve">      "materials": [],</t>
        </is>
      </c>
    </row>
    <row r="1707">
      <c r="A1707" s="9" t="n">
        <v>1704</v>
      </c>
      <c r="B1707" s="10" t="inlineStr">
        <is>
          <t xml:space="preserve">      "colors": [],</t>
        </is>
      </c>
    </row>
    <row r="1708">
      <c r="A1708" s="7" t="n">
        <v>1705</v>
      </c>
      <c r="B1708" s="8" t="inlineStr">
        <is>
          <t xml:space="preserve">      "actions": [</t>
        </is>
      </c>
    </row>
    <row r="1709">
      <c r="A1709" s="9" t="n">
        <v>1706</v>
      </c>
      <c r="B1709" s="10" t="inlineStr">
        <is>
          <t xml:space="preserve">        "展示",</t>
        </is>
      </c>
    </row>
    <row r="1710">
      <c r="A1710" s="7" t="n">
        <v>1707</v>
      </c>
      <c r="B1710" s="8" t="inlineStr">
        <is>
          <t xml:space="preserve">        "收纳"</t>
        </is>
      </c>
    </row>
    <row r="1711">
      <c r="A1711" s="9" t="n">
        <v>1708</v>
      </c>
      <c r="B1711" s="10" t="inlineStr">
        <is>
          <t xml:space="preserve">      ],</t>
        </is>
      </c>
    </row>
    <row r="1712">
      <c r="A1712" s="7" t="n">
        <v>1709</v>
      </c>
      <c r="B1712" s="8" t="inlineStr">
        <is>
          <t xml:space="preserve">      "raw_tags": [</t>
        </is>
      </c>
    </row>
    <row r="1713">
      <c r="A1713" s="9" t="n">
        <v>1710</v>
      </c>
      <c r="B1713" s="10" t="inlineStr">
        <is>
          <t xml:space="preserve">        "中古风",</t>
        </is>
      </c>
    </row>
    <row r="1714">
      <c r="A1714" s="7" t="n">
        <v>1711</v>
      </c>
      <c r="B1714" s="8" t="inlineStr">
        <is>
          <t xml:space="preserve">        "岛台岛台上层薄抽收纳展示前拉"</t>
        </is>
      </c>
    </row>
    <row r="1715">
      <c r="A1715" s="9" t="n">
        <v>1712</v>
      </c>
      <c r="B1715" s="10" t="inlineStr">
        <is>
          <t xml:space="preserve">      ],</t>
        </is>
      </c>
    </row>
    <row r="1716">
      <c r="A1716" s="7" t="n">
        <v>1713</v>
      </c>
      <c r="B1716" s="8" t="inlineStr">
        <is>
          <t xml:space="preserve">      "quality_score": 1.0,</t>
        </is>
      </c>
    </row>
    <row r="1717">
      <c r="A1717" s="9" t="n">
        <v>1714</v>
      </c>
      <c r="B1717" s="10" t="inlineStr">
        <is>
          <t xml:space="preserve">      "processed_time": "2026-06-07T14:46:18.639485",</t>
        </is>
      </c>
    </row>
    <row r="1718">
      <c r="A1718" s="7" t="n">
        <v>1715</v>
      </c>
      <c r="B1718" s="8" t="inlineStr">
        <is>
          <t xml:space="preserve">      "file_size_mb": 24.57,</t>
        </is>
      </c>
    </row>
    <row r="1719">
      <c r="A1719" s="9" t="n">
        <v>1716</v>
      </c>
      <c r="B1719" s="10" t="inlineStr">
        <is>
          <t xml:space="preserve">      "file_mtime": "2026-01-05T15:21:26.020230"</t>
        </is>
      </c>
    </row>
    <row r="1720">
      <c r="A1720" s="7" t="n">
        <v>1717</v>
      </c>
      <c r="B1720" s="8" t="inlineStr">
        <is>
          <t xml:space="preserve">    },</t>
        </is>
      </c>
    </row>
    <row r="1721">
      <c r="A1721" s="9" t="n">
        <v>1718</v>
      </c>
      <c r="B1721" s="10" t="inlineStr">
        <is>
          <t xml:space="preserve">    "72d2ad5b4c8ee8cf": {</t>
        </is>
      </c>
    </row>
    <row r="1722">
      <c r="A1722" s="7" t="n">
        <v>1719</v>
      </c>
      <c r="B1722" s="8" t="inlineStr">
        <is>
          <t xml:space="preserve">      "path": "Z:\\已处理素材\\卖点展示类素材\\【01】上层薄抽\\【08】【中古风】长春市邵小姐【岛台岛台上层薄抽收纳展示前拉】\\【08】【中古风】长春市邵小姐【岛台岛台上层薄抽收纳展示前拉】-2.mp4",</t>
        </is>
      </c>
    </row>
    <row r="1723">
      <c r="A1723" s="9" t="n">
        <v>1720</v>
      </c>
      <c r="B1723" s="10" t="inlineStr">
        <is>
          <t xml:space="preserve">      "file_hash": "72d2ad5b4c8ee8cf",</t>
        </is>
      </c>
    </row>
    <row r="1724">
      <c r="A1724" s="7" t="n">
        <v>1721</v>
      </c>
      <c r="B1724" s="8" t="inlineStr">
        <is>
          <t xml:space="preserve">      "type": "卖点",</t>
        </is>
      </c>
    </row>
    <row r="1725">
      <c r="A1725" s="9" t="n">
        <v>1722</v>
      </c>
      <c r="B1725" s="10" t="inlineStr">
        <is>
          <t xml:space="preserve">      "main_tag": "岛台岛台上层薄抽收纳展示前拉",</t>
        </is>
      </c>
    </row>
    <row r="1726">
      <c r="A1726" s="7" t="n">
        <v>1723</v>
      </c>
      <c r="B1726" s="8" t="inlineStr">
        <is>
          <t xml:space="preserve">      "folder_name": "【08】【中古风】长春市邵小姐【岛台岛台上层薄抽收纳展示前拉】",</t>
        </is>
      </c>
    </row>
    <row r="1727">
      <c r="A1727" s="9" t="n">
        <v>1724</v>
      </c>
      <c r="B1727" s="10" t="inlineStr">
        <is>
          <t xml:space="preserve">      "materials": [],</t>
        </is>
      </c>
    </row>
    <row r="1728">
      <c r="A1728" s="7" t="n">
        <v>1725</v>
      </c>
      <c r="B1728" s="8" t="inlineStr">
        <is>
          <t xml:space="preserve">      "colors": [],</t>
        </is>
      </c>
    </row>
    <row r="1729">
      <c r="A1729" s="9" t="n">
        <v>1726</v>
      </c>
      <c r="B1729" s="10" t="inlineStr">
        <is>
          <t xml:space="preserve">      "actions": [</t>
        </is>
      </c>
    </row>
    <row r="1730">
      <c r="A1730" s="7" t="n">
        <v>1727</v>
      </c>
      <c r="B1730" s="8" t="inlineStr">
        <is>
          <t xml:space="preserve">        "展示",</t>
        </is>
      </c>
    </row>
    <row r="1731">
      <c r="A1731" s="9" t="n">
        <v>1728</v>
      </c>
      <c r="B1731" s="10" t="inlineStr">
        <is>
          <t xml:space="preserve">        "收纳"</t>
        </is>
      </c>
    </row>
    <row r="1732">
      <c r="A1732" s="7" t="n">
        <v>1729</v>
      </c>
      <c r="B1732" s="8" t="inlineStr">
        <is>
          <t xml:space="preserve">      ],</t>
        </is>
      </c>
    </row>
    <row r="1733">
      <c r="A1733" s="9" t="n">
        <v>1730</v>
      </c>
      <c r="B1733" s="10" t="inlineStr">
        <is>
          <t xml:space="preserve">      "raw_tags": [</t>
        </is>
      </c>
    </row>
    <row r="1734">
      <c r="A1734" s="7" t="n">
        <v>1731</v>
      </c>
      <c r="B1734" s="8" t="inlineStr">
        <is>
          <t xml:space="preserve">        "中古风",</t>
        </is>
      </c>
    </row>
    <row r="1735">
      <c r="A1735" s="9" t="n">
        <v>1732</v>
      </c>
      <c r="B1735" s="10" t="inlineStr">
        <is>
          <t xml:space="preserve">        "岛台岛台上层薄抽收纳展示前拉"</t>
        </is>
      </c>
    </row>
    <row r="1736">
      <c r="A1736" s="7" t="n">
        <v>1733</v>
      </c>
      <c r="B1736" s="8" t="inlineStr">
        <is>
          <t xml:space="preserve">      ],</t>
        </is>
      </c>
    </row>
    <row r="1737">
      <c r="A1737" s="9" t="n">
        <v>1734</v>
      </c>
      <c r="B1737" s="10" t="inlineStr">
        <is>
          <t xml:space="preserve">      "quality_score": 1.0,</t>
        </is>
      </c>
    </row>
    <row r="1738">
      <c r="A1738" s="7" t="n">
        <v>1735</v>
      </c>
      <c r="B1738" s="8" t="inlineStr">
        <is>
          <t xml:space="preserve">      "processed_time": "2026-06-07T14:46:18.640481",</t>
        </is>
      </c>
    </row>
    <row r="1739">
      <c r="A1739" s="9" t="n">
        <v>1736</v>
      </c>
      <c r="B1739" s="10" t="inlineStr">
        <is>
          <t xml:space="preserve">      "file_size_mb": 19.31,</t>
        </is>
      </c>
    </row>
    <row r="1740">
      <c r="A1740" s="7" t="n">
        <v>1737</v>
      </c>
      <c r="B1740" s="8" t="inlineStr">
        <is>
          <t xml:space="preserve">      "file_mtime": "2026-01-05T15:21:27.817019"</t>
        </is>
      </c>
    </row>
    <row r="1741">
      <c r="A1741" s="9" t="n">
        <v>1738</v>
      </c>
      <c r="B1741" s="10" t="inlineStr">
        <is>
          <t xml:space="preserve">    },</t>
        </is>
      </c>
    </row>
    <row r="1742">
      <c r="A1742" s="7" t="n">
        <v>1739</v>
      </c>
      <c r="B1742" s="8" t="inlineStr">
        <is>
          <t xml:space="preserve">    "e549501f90d0c955": {</t>
        </is>
      </c>
    </row>
    <row r="1743">
      <c r="A1743" s="9" t="n">
        <v>1740</v>
      </c>
      <c r="B1743" s="10" t="inlineStr">
        <is>
          <t xml:space="preserve">      "path": "Z:\\已处理素材\\卖点展示类素材\\【01】上层薄抽\\【08】【中古风】长春市邵小姐【岛台岛台上层薄抽收纳展示环绕】\\【08】【中古风】长春市邵小姐【岛台岛台上层薄抽收纳展示环绕】-1.mp4",</t>
        </is>
      </c>
    </row>
    <row r="1744">
      <c r="A1744" s="7" t="n">
        <v>1741</v>
      </c>
      <c r="B1744" s="8" t="inlineStr">
        <is>
          <t xml:space="preserve">      "file_hash": "e549501f90d0c955",</t>
        </is>
      </c>
    </row>
    <row r="1745">
      <c r="A1745" s="9" t="n">
        <v>1742</v>
      </c>
      <c r="B1745" s="10" t="inlineStr">
        <is>
          <t xml:space="preserve">      "type": "卖点",</t>
        </is>
      </c>
    </row>
    <row r="1746">
      <c r="A1746" s="7" t="n">
        <v>1743</v>
      </c>
      <c r="B1746" s="8" t="inlineStr">
        <is>
          <t xml:space="preserve">      "main_tag": "岛台岛台上层薄抽收纳展示环绕",</t>
        </is>
      </c>
    </row>
    <row r="1747">
      <c r="A1747" s="9" t="n">
        <v>1744</v>
      </c>
      <c r="B1747" s="10" t="inlineStr">
        <is>
          <t xml:space="preserve">      "folder_name": "【08】【中古风】长春市邵小姐【岛台岛台上层薄抽收纳展示环绕】",</t>
        </is>
      </c>
    </row>
    <row r="1748">
      <c r="A1748" s="7" t="n">
        <v>1745</v>
      </c>
      <c r="B1748" s="8" t="inlineStr">
        <is>
          <t xml:space="preserve">      "materials": [],</t>
        </is>
      </c>
    </row>
    <row r="1749">
      <c r="A1749" s="9" t="n">
        <v>1746</v>
      </c>
      <c r="B1749" s="10" t="inlineStr">
        <is>
          <t xml:space="preserve">      "colors": [],</t>
        </is>
      </c>
    </row>
    <row r="1750">
      <c r="A1750" s="7" t="n">
        <v>1747</v>
      </c>
      <c r="B1750" s="8" t="inlineStr">
        <is>
          <t xml:space="preserve">      "actions": [</t>
        </is>
      </c>
    </row>
    <row r="1751">
      <c r="A1751" s="9" t="n">
        <v>1748</v>
      </c>
      <c r="B1751" s="10" t="inlineStr">
        <is>
          <t xml:space="preserve">        "展示",</t>
        </is>
      </c>
    </row>
    <row r="1752">
      <c r="A1752" s="7" t="n">
        <v>1749</v>
      </c>
      <c r="B1752" s="8" t="inlineStr">
        <is>
          <t xml:space="preserve">        "收纳",</t>
        </is>
      </c>
    </row>
    <row r="1753">
      <c r="A1753" s="9" t="n">
        <v>1750</v>
      </c>
      <c r="B1753" s="10" t="inlineStr">
        <is>
          <t xml:space="preserve">        "环绕"</t>
        </is>
      </c>
    </row>
    <row r="1754">
      <c r="A1754" s="7" t="n">
        <v>1751</v>
      </c>
      <c r="B1754" s="8" t="inlineStr">
        <is>
          <t xml:space="preserve">      ],</t>
        </is>
      </c>
    </row>
    <row r="1755">
      <c r="A1755" s="9" t="n">
        <v>1752</v>
      </c>
      <c r="B1755" s="10" t="inlineStr">
        <is>
          <t xml:space="preserve">      "raw_tags": [</t>
        </is>
      </c>
    </row>
    <row r="1756">
      <c r="A1756" s="7" t="n">
        <v>1753</v>
      </c>
      <c r="B1756" s="8" t="inlineStr">
        <is>
          <t xml:space="preserve">        "中古风",</t>
        </is>
      </c>
    </row>
    <row r="1757">
      <c r="A1757" s="9" t="n">
        <v>1754</v>
      </c>
      <c r="B1757" s="10" t="inlineStr">
        <is>
          <t xml:space="preserve">        "岛台岛台上层薄抽收纳展示环绕"</t>
        </is>
      </c>
    </row>
    <row r="1758">
      <c r="A1758" s="7" t="n">
        <v>1755</v>
      </c>
      <c r="B1758" s="8" t="inlineStr">
        <is>
          <t xml:space="preserve">      ],</t>
        </is>
      </c>
    </row>
    <row r="1759">
      <c r="A1759" s="9" t="n">
        <v>1756</v>
      </c>
      <c r="B1759" s="10" t="inlineStr">
        <is>
          <t xml:space="preserve">      "quality_score": 1.0,</t>
        </is>
      </c>
    </row>
    <row r="1760">
      <c r="A1760" s="7" t="n">
        <v>1757</v>
      </c>
      <c r="B1760" s="8" t="inlineStr">
        <is>
          <t xml:space="preserve">      "processed_time": "2026-06-07T14:46:18.641478",</t>
        </is>
      </c>
    </row>
    <row r="1761">
      <c r="A1761" s="9" t="n">
        <v>1758</v>
      </c>
      <c r="B1761" s="10" t="inlineStr">
        <is>
          <t xml:space="preserve">      "file_size_mb": 21.38,</t>
        </is>
      </c>
    </row>
    <row r="1762">
      <c r="A1762" s="7" t="n">
        <v>1759</v>
      </c>
      <c r="B1762" s="8" t="inlineStr">
        <is>
          <t xml:space="preserve">      "file_mtime": "2026-01-05T15:20:40.776458"</t>
        </is>
      </c>
    </row>
    <row r="1763">
      <c r="A1763" s="9" t="n">
        <v>1760</v>
      </c>
      <c r="B1763" s="10" t="inlineStr">
        <is>
          <t xml:space="preserve">    },</t>
        </is>
      </c>
    </row>
    <row r="1764">
      <c r="A1764" s="7" t="n">
        <v>1761</v>
      </c>
      <c r="B1764" s="8" t="inlineStr">
        <is>
          <t xml:space="preserve">    "8cef24ea58ecc37d": {</t>
        </is>
      </c>
    </row>
    <row r="1765">
      <c r="A1765" s="9" t="n">
        <v>1762</v>
      </c>
      <c r="B1765" s="10" t="inlineStr">
        <is>
          <t xml:space="preserve">      "path": "Z:\\已处理素材\\卖点展示类素材\\【01】上层薄抽\\【08】【中古风】长春市邵小姐【岛台岛台上层薄抽收纳展示环绕】\\【08】【中古风】长春市邵小姐【岛台岛台上层薄抽收纳展示环绕】-2.mp4",</t>
        </is>
      </c>
    </row>
    <row r="1766">
      <c r="A1766" s="7" t="n">
        <v>1763</v>
      </c>
      <c r="B1766" s="8" t="inlineStr">
        <is>
          <t xml:space="preserve">      "file_hash": "8cef24ea58ecc37d",</t>
        </is>
      </c>
    </row>
    <row r="1767">
      <c r="A1767" s="9" t="n">
        <v>1764</v>
      </c>
      <c r="B1767" s="10" t="inlineStr">
        <is>
          <t xml:space="preserve">      "type": "卖点",</t>
        </is>
      </c>
    </row>
    <row r="1768">
      <c r="A1768" s="7" t="n">
        <v>1765</v>
      </c>
      <c r="B1768" s="8" t="inlineStr">
        <is>
          <t xml:space="preserve">      "main_tag": "岛台岛台上层薄抽收纳展示环绕",</t>
        </is>
      </c>
    </row>
    <row r="1769">
      <c r="A1769" s="9" t="n">
        <v>1766</v>
      </c>
      <c r="B1769" s="10" t="inlineStr">
        <is>
          <t xml:space="preserve">      "folder_name": "【08】【中古风】长春市邵小姐【岛台岛台上层薄抽收纳展示环绕】",</t>
        </is>
      </c>
    </row>
    <row r="1770">
      <c r="A1770" s="7" t="n">
        <v>1767</v>
      </c>
      <c r="B1770" s="8" t="inlineStr">
        <is>
          <t xml:space="preserve">      "materials": [],</t>
        </is>
      </c>
    </row>
    <row r="1771">
      <c r="A1771" s="9" t="n">
        <v>1768</v>
      </c>
      <c r="B1771" s="10" t="inlineStr">
        <is>
          <t xml:space="preserve">      "colors": [],</t>
        </is>
      </c>
    </row>
    <row r="1772">
      <c r="A1772" s="7" t="n">
        <v>1769</v>
      </c>
      <c r="B1772" s="8" t="inlineStr">
        <is>
          <t xml:space="preserve">      "actions": [</t>
        </is>
      </c>
    </row>
    <row r="1773">
      <c r="A1773" s="9" t="n">
        <v>1770</v>
      </c>
      <c r="B1773" s="10" t="inlineStr">
        <is>
          <t xml:space="preserve">        "展示",</t>
        </is>
      </c>
    </row>
    <row r="1774">
      <c r="A1774" s="7" t="n">
        <v>1771</v>
      </c>
      <c r="B1774" s="8" t="inlineStr">
        <is>
          <t xml:space="preserve">        "收纳",</t>
        </is>
      </c>
    </row>
    <row r="1775">
      <c r="A1775" s="9" t="n">
        <v>1772</v>
      </c>
      <c r="B1775" s="10" t="inlineStr">
        <is>
          <t xml:space="preserve">        "环绕"</t>
        </is>
      </c>
    </row>
    <row r="1776">
      <c r="A1776" s="7" t="n">
        <v>1773</v>
      </c>
      <c r="B1776" s="8" t="inlineStr">
        <is>
          <t xml:space="preserve">      ],</t>
        </is>
      </c>
    </row>
    <row r="1777">
      <c r="A1777" s="9" t="n">
        <v>1774</v>
      </c>
      <c r="B1777" s="10" t="inlineStr">
        <is>
          <t xml:space="preserve">      "raw_tags": [</t>
        </is>
      </c>
    </row>
    <row r="1778">
      <c r="A1778" s="7" t="n">
        <v>1775</v>
      </c>
      <c r="B1778" s="8" t="inlineStr">
        <is>
          <t xml:space="preserve">        "中古风",</t>
        </is>
      </c>
    </row>
    <row r="1779">
      <c r="A1779" s="9" t="n">
        <v>1776</v>
      </c>
      <c r="B1779" s="10" t="inlineStr">
        <is>
          <t xml:space="preserve">        "岛台岛台上层薄抽收纳展示环绕"</t>
        </is>
      </c>
    </row>
    <row r="1780">
      <c r="A1780" s="7" t="n">
        <v>1777</v>
      </c>
      <c r="B1780" s="8" t="inlineStr">
        <is>
          <t xml:space="preserve">      ],</t>
        </is>
      </c>
    </row>
    <row r="1781">
      <c r="A1781" s="9" t="n">
        <v>1778</v>
      </c>
      <c r="B1781" s="10" t="inlineStr">
        <is>
          <t xml:space="preserve">      "quality_score": 1.0,</t>
        </is>
      </c>
    </row>
    <row r="1782">
      <c r="A1782" s="7" t="n">
        <v>1779</v>
      </c>
      <c r="B1782" s="8" t="inlineStr">
        <is>
          <t xml:space="preserve">      "processed_time": "2026-06-07T14:46:18.642475",</t>
        </is>
      </c>
    </row>
    <row r="1783">
      <c r="A1783" s="9" t="n">
        <v>1780</v>
      </c>
      <c r="B1783" s="10" t="inlineStr">
        <is>
          <t xml:space="preserve">      "file_size_mb": 29.95,</t>
        </is>
      </c>
    </row>
    <row r="1784">
      <c r="A1784" s="7" t="n">
        <v>1781</v>
      </c>
      <c r="B1784" s="8" t="inlineStr">
        <is>
          <t xml:space="preserve">      "file_mtime": "2026-01-05T15:20:43.417569"</t>
        </is>
      </c>
    </row>
    <row r="1785">
      <c r="A1785" s="9" t="n">
        <v>1782</v>
      </c>
      <c r="B1785" s="10" t="inlineStr">
        <is>
          <t xml:space="preserve">    },</t>
        </is>
      </c>
    </row>
    <row r="1786">
      <c r="A1786" s="7" t="n">
        <v>1783</v>
      </c>
      <c r="B1786" s="8" t="inlineStr">
        <is>
          <t xml:space="preserve">    "1cca872a249106e6": {</t>
        </is>
      </c>
    </row>
    <row r="1787">
      <c r="A1787" s="9" t="n">
        <v>1784</v>
      </c>
      <c r="B1787" s="10" t="inlineStr">
        <is>
          <t xml:space="preserve">      "path": "Z:\\已处理素材\\卖点展示类素材\\【01】上层薄抽\\【08】【黑白极简风】成都孙小姐【岛台上层薄抽收纳展示】\\【08】【黑白极简风】成都孙小姐【岛台上层薄抽收纳展示】-1.mp4",</t>
        </is>
      </c>
    </row>
    <row r="1788">
      <c r="A1788" s="7" t="n">
        <v>1785</v>
      </c>
      <c r="B1788" s="8" t="inlineStr">
        <is>
          <t xml:space="preserve">      "file_hash": "1cca872a249106e6",</t>
        </is>
      </c>
    </row>
    <row r="1789">
      <c r="A1789" s="9" t="n">
        <v>1786</v>
      </c>
      <c r="B1789" s="10" t="inlineStr">
        <is>
          <t xml:space="preserve">      "type": "卖点",</t>
        </is>
      </c>
    </row>
    <row r="1790">
      <c r="A1790" s="7" t="n">
        <v>1787</v>
      </c>
      <c r="B1790" s="8" t="inlineStr">
        <is>
          <t xml:space="preserve">      "main_tag": "黑白极简风",</t>
        </is>
      </c>
    </row>
    <row r="1791">
      <c r="A1791" s="9" t="n">
        <v>1788</v>
      </c>
      <c r="B1791" s="10" t="inlineStr">
        <is>
          <t xml:space="preserve">      "folder_name": "【08】【黑白极简风】成都孙小姐【岛台上层薄抽收纳展示】",</t>
        </is>
      </c>
    </row>
    <row r="1792">
      <c r="A1792" s="7" t="n">
        <v>1789</v>
      </c>
      <c r="B1792" s="8" t="inlineStr">
        <is>
          <t xml:space="preserve">      "materials": [],</t>
        </is>
      </c>
    </row>
    <row r="1793">
      <c r="A1793" s="9" t="n">
        <v>1790</v>
      </c>
      <c r="B1793" s="10" t="inlineStr">
        <is>
          <t xml:space="preserve">      "colors": [],</t>
        </is>
      </c>
    </row>
    <row r="1794">
      <c r="A1794" s="7" t="n">
        <v>1791</v>
      </c>
      <c r="B1794" s="8" t="inlineStr">
        <is>
          <t xml:space="preserve">      "actions": [</t>
        </is>
      </c>
    </row>
    <row r="1795">
      <c r="A1795" s="9" t="n">
        <v>1792</v>
      </c>
      <c r="B1795" s="10" t="inlineStr">
        <is>
          <t xml:space="preserve">        "展示",</t>
        </is>
      </c>
    </row>
    <row r="1796">
      <c r="A1796" s="7" t="n">
        <v>1793</v>
      </c>
      <c r="B1796" s="8" t="inlineStr">
        <is>
          <t xml:space="preserve">        "收纳"</t>
        </is>
      </c>
    </row>
    <row r="1797">
      <c r="A1797" s="9" t="n">
        <v>1794</v>
      </c>
      <c r="B1797" s="10" t="inlineStr">
        <is>
          <t xml:space="preserve">      ],</t>
        </is>
      </c>
    </row>
    <row r="1798">
      <c r="A1798" s="7" t="n">
        <v>1795</v>
      </c>
      <c r="B1798" s="8" t="inlineStr">
        <is>
          <t xml:space="preserve">      "raw_tags": [</t>
        </is>
      </c>
    </row>
    <row r="1799">
      <c r="A1799" s="9" t="n">
        <v>1796</v>
      </c>
      <c r="B1799" s="10" t="inlineStr">
        <is>
          <t xml:space="preserve">        "黑白极简风",</t>
        </is>
      </c>
    </row>
    <row r="1800">
      <c r="A1800" s="7" t="n">
        <v>1797</v>
      </c>
      <c r="B1800" s="8" t="inlineStr">
        <is>
          <t xml:space="preserve">        "岛台上层薄抽收纳展示"</t>
        </is>
      </c>
    </row>
    <row r="1801">
      <c r="A1801" s="9" t="n">
        <v>1798</v>
      </c>
      <c r="B1801" s="10" t="inlineStr">
        <is>
          <t xml:space="preserve">      ],</t>
        </is>
      </c>
    </row>
    <row r="1802">
      <c r="A1802" s="7" t="n">
        <v>1799</v>
      </c>
      <c r="B1802" s="8" t="inlineStr">
        <is>
          <t xml:space="preserve">      "quality_score": 1.0,</t>
        </is>
      </c>
    </row>
    <row r="1803">
      <c r="A1803" s="9" t="n">
        <v>1800</v>
      </c>
      <c r="B1803" s="10" t="inlineStr">
        <is>
          <t xml:space="preserve">      "processed_time": "2026-06-07T14:46:18.643473",</t>
        </is>
      </c>
    </row>
    <row r="1804">
      <c r="A1804" s="7" t="n">
        <v>1801</v>
      </c>
      <c r="B1804" s="8" t="inlineStr">
        <is>
          <t xml:space="preserve">      "file_size_mb": 30.9,</t>
        </is>
      </c>
    </row>
    <row r="1805">
      <c r="A1805" s="9" t="n">
        <v>1802</v>
      </c>
      <c r="B1805" s="10" t="inlineStr">
        <is>
          <t xml:space="preserve">      "file_mtime": "2026-01-05T14:59:01.791698"</t>
        </is>
      </c>
    </row>
    <row r="1806">
      <c r="A1806" s="7" t="n">
        <v>1803</v>
      </c>
      <c r="B1806" s="8" t="inlineStr">
        <is>
          <t xml:space="preserve">    },</t>
        </is>
      </c>
    </row>
    <row r="1807">
      <c r="A1807" s="9" t="n">
        <v>1804</v>
      </c>
      <c r="B1807" s="10" t="inlineStr">
        <is>
          <t xml:space="preserve">    "f91580d011055fc0": {</t>
        </is>
      </c>
    </row>
    <row r="1808">
      <c r="A1808" s="7" t="n">
        <v>1805</v>
      </c>
      <c r="B1808" s="8" t="inlineStr">
        <is>
          <t xml:space="preserve">      "path": "Z:\\已处理素材\\卖点展示类素材\\【01】上层薄抽\\【08】【黑白极简风】成都孙小姐【岛台上层薄抽收纳展示】\\【08】【黑白极简风】成都孙小姐【岛台上层薄抽收纳展示】-2.mp4",</t>
        </is>
      </c>
    </row>
    <row r="1809">
      <c r="A1809" s="9" t="n">
        <v>1806</v>
      </c>
      <c r="B1809" s="10" t="inlineStr">
        <is>
          <t xml:space="preserve">      "file_hash": "f91580d011055fc0",</t>
        </is>
      </c>
    </row>
    <row r="1810">
      <c r="A1810" s="7" t="n">
        <v>1807</v>
      </c>
      <c r="B1810" s="8" t="inlineStr">
        <is>
          <t xml:space="preserve">      "type": "卖点",</t>
        </is>
      </c>
    </row>
    <row r="1811">
      <c r="A1811" s="9" t="n">
        <v>1808</v>
      </c>
      <c r="B1811" s="10" t="inlineStr">
        <is>
          <t xml:space="preserve">      "main_tag": "黑白极简风",</t>
        </is>
      </c>
    </row>
    <row r="1812">
      <c r="A1812" s="7" t="n">
        <v>1809</v>
      </c>
      <c r="B1812" s="8" t="inlineStr">
        <is>
          <t xml:space="preserve">      "folder_name": "【08】【黑白极简风】成都孙小姐【岛台上层薄抽收纳展示】",</t>
        </is>
      </c>
    </row>
    <row r="1813">
      <c r="A1813" s="9" t="n">
        <v>1810</v>
      </c>
      <c r="B1813" s="10" t="inlineStr">
        <is>
          <t xml:space="preserve">      "materials": [],</t>
        </is>
      </c>
    </row>
    <row r="1814">
      <c r="A1814" s="7" t="n">
        <v>1811</v>
      </c>
      <c r="B1814" s="8" t="inlineStr">
        <is>
          <t xml:space="preserve">      "colors": [],</t>
        </is>
      </c>
    </row>
    <row r="1815">
      <c r="A1815" s="9" t="n">
        <v>1812</v>
      </c>
      <c r="B1815" s="10" t="inlineStr">
        <is>
          <t xml:space="preserve">      "actions": [</t>
        </is>
      </c>
    </row>
    <row r="1816">
      <c r="A1816" s="7" t="n">
        <v>1813</v>
      </c>
      <c r="B1816" s="8" t="inlineStr">
        <is>
          <t xml:space="preserve">        "展示",</t>
        </is>
      </c>
    </row>
    <row r="1817">
      <c r="A1817" s="9" t="n">
        <v>1814</v>
      </c>
      <c r="B1817" s="10" t="inlineStr">
        <is>
          <t xml:space="preserve">        "收纳"</t>
        </is>
      </c>
    </row>
    <row r="1818">
      <c r="A1818" s="7" t="n">
        <v>1815</v>
      </c>
      <c r="B1818" s="8" t="inlineStr">
        <is>
          <t xml:space="preserve">      ],</t>
        </is>
      </c>
    </row>
    <row r="1819">
      <c r="A1819" s="9" t="n">
        <v>1816</v>
      </c>
      <c r="B1819" s="10" t="inlineStr">
        <is>
          <t xml:space="preserve">      "raw_tags": [</t>
        </is>
      </c>
    </row>
    <row r="1820">
      <c r="A1820" s="7" t="n">
        <v>1817</v>
      </c>
      <c r="B1820" s="8" t="inlineStr">
        <is>
          <t xml:space="preserve">        "黑白极简风",</t>
        </is>
      </c>
    </row>
    <row r="1821">
      <c r="A1821" s="9" t="n">
        <v>1818</v>
      </c>
      <c r="B1821" s="10" t="inlineStr">
        <is>
          <t xml:space="preserve">        "岛台上层薄抽收纳展示"</t>
        </is>
      </c>
    </row>
    <row r="1822">
      <c r="A1822" s="7" t="n">
        <v>1819</v>
      </c>
      <c r="B1822" s="8" t="inlineStr">
        <is>
          <t xml:space="preserve">      ],</t>
        </is>
      </c>
    </row>
    <row r="1823">
      <c r="A1823" s="9" t="n">
        <v>1820</v>
      </c>
      <c r="B1823" s="10" t="inlineStr">
        <is>
          <t xml:space="preserve">      "quality_score": 1.0,</t>
        </is>
      </c>
    </row>
    <row r="1824">
      <c r="A1824" s="7" t="n">
        <v>1821</v>
      </c>
      <c r="B1824" s="8" t="inlineStr">
        <is>
          <t xml:space="preserve">      "processed_time": "2026-06-07T14:46:18.645465",</t>
        </is>
      </c>
    </row>
    <row r="1825">
      <c r="A1825" s="9" t="n">
        <v>1822</v>
      </c>
      <c r="B1825" s="10" t="inlineStr">
        <is>
          <t xml:space="preserve">      "file_size_mb": 17.07,</t>
        </is>
      </c>
    </row>
    <row r="1826">
      <c r="A1826" s="7" t="n">
        <v>1823</v>
      </c>
      <c r="B1826" s="8" t="inlineStr">
        <is>
          <t xml:space="preserve">      "file_mtime": "2026-01-05T14:59:03.424856"</t>
        </is>
      </c>
    </row>
    <row r="1827">
      <c r="A1827" s="9" t="n">
        <v>1824</v>
      </c>
      <c r="B1827" s="10" t="inlineStr">
        <is>
          <t xml:space="preserve">    },</t>
        </is>
      </c>
    </row>
    <row r="1828">
      <c r="A1828" s="7" t="n">
        <v>1825</v>
      </c>
      <c r="B1828" s="8" t="inlineStr">
        <is>
          <t xml:space="preserve">    "09fb43bf69411f84": {</t>
        </is>
      </c>
    </row>
    <row r="1829">
      <c r="A1829" s="9" t="n">
        <v>1826</v>
      </c>
      <c r="B1829" s="10" t="inlineStr">
        <is>
          <t xml:space="preserve">      "path": "Z:\\已处理素材\\卖点展示类素材\\【01】上层薄抽\\【08】【黑白极简风】成都孙小姐【岛台上层薄抽收纳展示】\\【08】【黑白极简风】成都孙小姐【岛台上层薄抽收纳展示】-3.mp4",</t>
        </is>
      </c>
    </row>
    <row r="1830">
      <c r="A1830" s="7" t="n">
        <v>1827</v>
      </c>
      <c r="B1830" s="8" t="inlineStr">
        <is>
          <t xml:space="preserve">      "file_hash": "09fb43bf69411f84",</t>
        </is>
      </c>
    </row>
    <row r="1831">
      <c r="A1831" s="9" t="n">
        <v>1828</v>
      </c>
      <c r="B1831" s="10" t="inlineStr">
        <is>
          <t xml:space="preserve">      "type": "卖点",</t>
        </is>
      </c>
    </row>
    <row r="1832">
      <c r="A1832" s="7" t="n">
        <v>1829</v>
      </c>
      <c r="B1832" s="8" t="inlineStr">
        <is>
          <t xml:space="preserve">      "main_tag": "黑白极简风",</t>
        </is>
      </c>
    </row>
    <row r="1833">
      <c r="A1833" s="9" t="n">
        <v>1830</v>
      </c>
      <c r="B1833" s="10" t="inlineStr">
        <is>
          <t xml:space="preserve">      "fo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2026-06-25T06:52:26Z</dcterms:created>
  <dcterms:modified xmlns:dcterms="http://purl.org/dc/terms/" xmlns:xsi="http://www.w3.org/2001/XMLSchema-instance" xsi:type="dcterms:W3CDTF">2026-06-25T06:52:28Z</dcterms:modified>
</cp:coreProperties>
</file>