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_Part1" sheetId="1" state="visible" r:id="rId1"/>
    <sheet xmlns:r="http://schemas.openxmlformats.org/officeDocument/2006/relationships" name="_deploy_py" sheetId="2" state="visible" r:id="rId2"/>
    <sheet xmlns:r="http://schemas.openxmlformats.org/officeDocument/2006/relationships" name="_gen_excel_py" sheetId="3" state="visible" r:id="rId3"/>
    <sheet xmlns:r="http://schemas.openxmlformats.org/officeDocument/2006/relationships" name="_split_export_py" sheetId="4" state="visible" r:id="rId4"/>
    <sheet xmlns:r="http://schemas.openxmlformats.org/officeDocument/2006/relationships" name="add_script_table_py" sheetId="5" state="visible" r:id="rId5"/>
    <sheet xmlns:r="http://schemas.openxmlformats.org/officeDocument/2006/relationships" name="add_video_frames_table_py" sheetId="6" state="visible" r:id="rId6"/>
    <sheet xmlns:r="http://schemas.openxmlformats.org/officeDocument/2006/relationships" name="api_server_py" sheetId="7" state="visible" r:id="rId7"/>
    <sheet xmlns:r="http://schemas.openxmlformats.org/officeDocument/2006/relationships" name="auto_upgrade_py" sheetId="8" state="visible" r:id="rId8"/>
    <sheet xmlns:r="http://schemas.openxmlformats.org/officeDocument/2006/relationships" name="batch_generate_5_py" sheetId="9" state="visible" r:id="rId9"/>
    <sheet xmlns:r="http://schemas.openxmlformats.org/officeDocument/2006/relationships" name="build_exe_py" sheetId="10" state="visible" r:id="rId10"/>
    <sheet xmlns:r="http://schemas.openxmlformats.org/officeDocument/2006/relationships" name="core___init___py" sheetId="11" state="visible" r:id="rId11"/>
    <sheet xmlns:r="http://schemas.openxmlformats.org/officeDocument/2006/relationships" name="core_advanced_quality_py" sheetId="12" state="visible" r:id="rId12"/>
    <sheet xmlns:r="http://schemas.openxmlformats.org/officeDocument/2006/relationships" name="core_analyzer_py" sheetId="13" state="visible" r:id="rId13"/>
    <sheet xmlns:r="http://schemas.openxmlformats.org/officeDocument/2006/relationships" name="core_audio_models_py" sheetId="14" state="visible" r:id="rId14"/>
    <sheet xmlns:r="http://schemas.openxmlformats.org/officeDocument/2006/relationships" name="core_auth_middleware_py" sheetId="15" state="visible" r:id="rId15"/>
    <sheet xmlns:r="http://schemas.openxmlformats.org/officeDocument/2006/relationships" name="core_auto_corrector_py" sheetId="16" state="visible" r:id="rId16"/>
    <sheet xmlns:r="http://schemas.openxmlformats.org/officeDocument/2006/relationships" name="core_batch_evaluator_py" sheetId="17" state="visible" r:id="rId17"/>
    <sheet xmlns:r="http://schemas.openxmlformats.org/officeDocument/2006/relationships" name="core_batch_scheduler_py" sheetId="18" state="visible" r:id="rId18"/>
    <sheet xmlns:r="http://schemas.openxmlformats.org/officeDocument/2006/relationships" name="core_bgm_matcher_py" sheetId="19" state="visible" r:id="rId19"/>
    <sheet xmlns:r="http://schemas.openxmlformats.org/officeDocument/2006/relationships" name="core_classifier_py" sheetId="20" state="visible" r:id="rId20"/>
    <sheet xmlns:r="http://schemas.openxmlformats.org/officeDocument/2006/relationships" name="core_clip_matcher_py" sheetId="21" state="visible" r:id="rId21"/>
    <sheet xmlns:r="http://schemas.openxmlformats.org/officeDocument/2006/relationships" name="core_config_py" sheetId="22" state="visible" r:id="rId22"/>
    <sheet xmlns:r="http://schemas.openxmlformats.org/officeDocument/2006/relationships" name="core_config_loader_py" sheetId="23" state="visible" r:id="rId23"/>
    <sheet xmlns:r="http://schemas.openxmlformats.org/officeDocument/2006/relationships" name="core_config_v2_py" sheetId="24" state="visible" r:id="rId24"/>
    <sheet xmlns:r="http://schemas.openxmlformats.org/officeDocument/2006/relationships" name="core_copywriter_py" sheetId="25" state="visible" r:id="rId25"/>
    <sheet xmlns:r="http://schemas.openxmlformats.org/officeDocument/2006/relationships" name="core_database_py" sheetId="26" state="visible" r:id="rId26"/>
    <sheet xmlns:r="http://schemas.openxmlformats.org/officeDocument/2006/relationships" name="core_deepseek_client_py" sheetId="27" state="visible" r:id="rId27"/>
    <sheet xmlns:r="http://schemas.openxmlformats.org/officeDocument/2006/relationships" name="core_draft_py" sheetId="28" state="visible" r:id="rId28"/>
    <sheet xmlns:r="http://schemas.openxmlformats.org/officeDocument/2006/relationships" name="core_drive_scanner_py" sheetId="29" state="visible" r:id="rId29"/>
    <sheet xmlns:r="http://schemas.openxmlformats.org/officeDocument/2006/relationships" name="core_event_bus_py" sheetId="30" state="visible" r:id="rId30"/>
    <sheet xmlns:r="http://schemas.openxmlformats.org/officeDocument/2006/relationships" name="core_event_wiring_py" sheetId="31" state="visible" r:id="rId31"/>
    <sheet xmlns:r="http://schemas.openxmlformats.org/officeDocument/2006/relationships" name="core_frame_annotator_py" sheetId="32" state="visible" r:id="rId32"/>
    <sheet xmlns:r="http://schemas.openxmlformats.org/officeDocument/2006/relationships" name="core_frame_extractor_py" sheetId="33" state="visible" r:id="rId33"/>
    <sheet xmlns:r="http://schemas.openxmlformats.org/officeDocument/2006/relationships" name="core_learner_py" sheetId="34" state="visible" r:id="rId34"/>
    <sheet xmlns:r="http://schemas.openxmlformats.org/officeDocument/2006/relationships" name="core_library_builder_py" sheetId="35" state="visible" r:id="rId35"/>
    <sheet xmlns:r="http://schemas.openxmlformats.org/officeDocument/2006/relationships" name="core_material_registry_py" sheetId="36" state="visible" r:id="rId36"/>
    <sheet xmlns:r="http://schemas.openxmlformats.org/officeDocument/2006/relationships" name="core_model_pool_py" sheetId="37" state="visible" r:id="rId37"/>
    <sheet xmlns:r="http://schemas.openxmlformats.org/officeDocument/2006/relationships" name="core_monitor___init___py" sheetId="38" state="visible" r:id="rId38"/>
    <sheet xmlns:r="http://schemas.openxmlformats.org/officeDocument/2006/relationships" name="core_monitor_alert_manager_py" sheetId="39" state="visible" r:id="rId39"/>
    <sheet xmlns:r="http://schemas.openxmlformats.org/officeDocument/2006/relationships" name="core_monitor_metrics_collector_" sheetId="40" state="visible" r:id="rId40"/>
    <sheet xmlns:r="http://schemas.openxmlformats.org/officeDocument/2006/relationships" name="core_mq_manager_py" sheetId="41" state="visible" r:id="rId41"/>
    <sheet xmlns:r="http://schemas.openxmlformats.org/officeDocument/2006/relationships" name="core_multimodal_embedding_py" sheetId="42" state="visible" r:id="rId42"/>
    <sheet xmlns:r="http://schemas.openxmlformats.org/officeDocument/2006/relationships" name="core_orchestrator_py" sheetId="43" state="visible" r:id="rId43"/>
    <sheet xmlns:r="http://schemas.openxmlformats.org/officeDocument/2006/relationships" name="core_pipeline_py" sheetId="44" state="visible" r:id="rId44"/>
    <sheet xmlns:r="http://schemas.openxmlformats.org/officeDocument/2006/relationships" name="core_pipeline_executor_py" sheetId="45" state="visible" r:id="rId45"/>
    <sheet xmlns:r="http://schemas.openxmlformats.org/officeDocument/2006/relationships" name="core_plugin_manager_py" sheetId="46" state="visible" r:id="rId46"/>
    <sheet xmlns:r="http://schemas.openxmlformats.org/officeDocument/2006/relationships" name="core_plugin_sdk___init___py" sheetId="47" state="visible" r:id="rId47"/>
    <sheet xmlns:r="http://schemas.openxmlformats.org/officeDocument/2006/relationships" name="core_plugin_sdk_base_plugin_py" sheetId="48" state="visible" r:id="rId48"/>
    <sheet xmlns:r="http://schemas.openxmlformats.org/officeDocument/2006/relationships" name="core_plugin_sdk_plugin_manager_" sheetId="49" state="visible" r:id="rId49"/>
    <sheet xmlns:r="http://schemas.openxmlformats.org/officeDocument/2006/relationships" name="core_process_manager_py" sheetId="50" state="visible" r:id="rId50"/>
    <sheet xmlns:r="http://schemas.openxmlformats.org/officeDocument/2006/relationships" name="core_quality_center_py" sheetId="51" state="visible" r:id="rId51"/>
    <sheet xmlns:r="http://schemas.openxmlformats.org/officeDocument/2006/relationships" name="core_retry_scheduler_py" sheetId="52" state="visible" r:id="rId52"/>
    <sheet xmlns:r="http://schemas.openxmlformats.org/officeDocument/2006/relationships" name="core_review_queue_py" sheetId="53" state="visible" r:id="rId53"/>
    <sheet xmlns:r="http://schemas.openxmlformats.org/officeDocument/2006/relationships" name="core_script_learning_py" sheetId="54" state="visible" r:id="rId54"/>
    <sheet xmlns:r="http://schemas.openxmlformats.org/officeDocument/2006/relationships" name="core_script_understanding_py" sheetId="55" state="visible" r:id="rId55"/>
    <sheet xmlns:r="http://schemas.openxmlformats.org/officeDocument/2006/relationships" name="core_script_utils_py" sheetId="56" state="visible" r:id="rId56"/>
    <sheet xmlns:r="http://schemas.openxmlformats.org/officeDocument/2006/relationships" name="core_self_learning_engine_py" sheetId="57" state="visible" r:id="rId57"/>
    <sheet xmlns:r="http://schemas.openxmlformats.org/officeDocument/2006/relationships" name="core_smart_analyzer_py" sheetId="58" state="visible" r:id="rId58"/>
    <sheet xmlns:r="http://schemas.openxmlformats.org/officeDocument/2006/relationships" name="core_smart_match_engine_py" sheetId="59" state="visible" r:id="rId59"/>
    <sheet xmlns:r="http://schemas.openxmlformats.org/officeDocument/2006/relationships" name="core_smart_orchestrator_py" sheetId="60" state="visible" r:id="rId60"/>
    <sheet xmlns:r="http://schemas.openxmlformats.org/officeDocument/2006/relationships" name="core_subtitle_ocr_py" sheetId="61" state="visible" r:id="rId61"/>
    <sheet xmlns:r="http://schemas.openxmlformats.org/officeDocument/2006/relationships" name="core_tag_merger_py" sheetId="62" state="visible" r:id="rId62"/>
    <sheet xmlns:r="http://schemas.openxmlformats.org/officeDocument/2006/relationships" name="core_topic_discovery_py" sheetId="63" state="visible" r:id="rId63"/>
    <sheet xmlns:r="http://schemas.openxmlformats.org/officeDocument/2006/relationships" name="core_tts_py" sheetId="64" state="visible" r:id="rId64"/>
    <sheet xmlns:r="http://schemas.openxmlformats.org/officeDocument/2006/relationships" name="core_usage_recorder_py" sheetId="65" state="visible" r:id="rId65"/>
    <sheet xmlns:r="http://schemas.openxmlformats.org/officeDocument/2006/relationships" name="core_video_scanner_py" sheetId="66" state="visible" r:id="rId66"/>
    <sheet xmlns:r="http://schemas.openxmlformats.org/officeDocument/2006/relationships" name="core_vision_unified_py" sheetId="67" state="visible" r:id="rId67"/>
    <sheet xmlns:r="http://schemas.openxmlformats.org/officeDocument/2006/relationships" name="core_workflow_engine_py" sheetId="68" state="visible" r:id="rId68"/>
    <sheet xmlns:r="http://schemas.openxmlformats.org/officeDocument/2006/relationships" name="dashboard_app_py" sheetId="69" state="visible" r:id="rId69"/>
    <sheet xmlns:r="http://schemas.openxmlformats.org/officeDocument/2006/relationships" name="download_models_py" sheetId="70" state="visible" r:id="rId70"/>
    <sheet xmlns:r="http://schemas.openxmlformats.org/officeDocument/2006/relationships" name="force_rebuild_faiss_py" sheetId="71" state="visible" r:id="rId71"/>
    <sheet xmlns:r="http://schemas.openxmlformats.org/officeDocument/2006/relationships" name="main_py" sheetId="72" state="visible" r:id="rId72"/>
    <sheet xmlns:r="http://schemas.openxmlformats.org/officeDocument/2006/relationships" name="material_engine_v3___init___py" sheetId="73" state="visible" r:id="rId73"/>
    <sheet xmlns:r="http://schemas.openxmlformats.org/officeDocument/2006/relationships" name="material_engine_v3_batch_proces" sheetId="74" state="visible" r:id="rId74"/>
    <sheet xmlns:r="http://schemas.openxmlformats.org/officeDocument/2006/relationships" name="material_engine_v3_config_py" sheetId="75" state="visible" r:id="rId75"/>
    <sheet xmlns:r="http://schemas.openxmlformats.org/officeDocument/2006/relationships" name="material_engine_v3_core_smart_m" sheetId="76" state="visible" r:id="rId76"/>
    <sheet xmlns:r="http://schemas.openxmlformats.org/officeDocument/2006/relationships" name="material_engine_v3_database_sch" sheetId="77" state="visible" r:id="rId77"/>
    <sheet xmlns:r="http://schemas.openxmlformats.org/officeDocument/2006/relationships" name="material_engine_v3_knowledge_in" sheetId="78" state="visible" r:id="rId78"/>
    <sheet xmlns:r="http://schemas.openxmlformats.org/officeDocument/2006/relationships" name="material_engine_v3_tasks_queue_" sheetId="79" state="visible" r:id="rId79"/>
    <sheet xmlns:r="http://schemas.openxmlformats.org/officeDocument/2006/relationships" name="material_engine_v3_upgrade_py" sheetId="80" state="visible" r:id="rId80"/>
    <sheet xmlns:r="http://schemas.openxmlformats.org/officeDocument/2006/relationships" name="migrate_v3_to_v5_py" sheetId="81" state="visible" r:id="rId81"/>
    <sheet xmlns:r="http://schemas.openxmlformats.org/officeDocument/2006/relationships" name="modules___init___py" sheetId="82" state="visible" r:id="rId82"/>
    <sheet xmlns:r="http://schemas.openxmlformats.org/officeDocument/2006/relationships" name="DB_ai_material_library_db" sheetId="83" state="visible" r:id="rId83"/>
    <sheet xmlns:r="http://schemas.openxmlformats.org/officeDocument/2006/relationships" name="DB_material_usage_db" sheetId="84" state="visible" r:id="rId84"/>
    <sheet xmlns:r="http://schemas.openxmlformats.org/officeDocument/2006/relationships" name="CFG__env" sheetId="85" state="visible" r:id="rId85"/>
    <sheet xmlns:r="http://schemas.openxmlformats.org/officeDocument/2006/relationships" name="CFG_ARCHITECTURE_PLAN_md" sheetId="86" state="visible" r:id="rId86"/>
    <sheet xmlns:r="http://schemas.openxmlformats.org/officeDocument/2006/relationships" name="CFG_CHANGELOG_md" sheetId="87" state="visible" r:id="rId87"/>
    <sheet xmlns:r="http://schemas.openxmlformats.org/officeDocument/2006/relationships" name="CFG_DEPLOY_md" sheetId="88" state="visible" r:id="rId88"/>
    <sheet xmlns:r="http://schemas.openxmlformats.org/officeDocument/2006/relationships" name="CFG_MODEL_VALIDATION_PASSED_txt" sheetId="89" state="visible" r:id="rId89"/>
    <sheet xmlns:r="http://schemas.openxmlformats.org/officeDocument/2006/relationships" name="CFG_Modelscope下载模型_bat" sheetId="90" state="visible" r:id="rId90"/>
    <sheet xmlns:r="http://schemas.openxmlformats.org/officeDocument/2006/relationships" name="CFG_REFACTOR_COMPLETE_md" sheetId="91" state="visible" r:id="rId91"/>
    <sheet xmlns:r="http://schemas.openxmlformats.org/officeDocument/2006/relationships" name="CFG_SOFTWARE_SPECIFICATION_md" sheetId="92" state="visible" r:id="rId92"/>
    <sheet xmlns:r="http://schemas.openxmlformats.org/officeDocument/2006/relationships" name="CFG_audit_report_json" sheetId="93" state="visible" r:id="rId93"/>
    <sheet xmlns:r="http://schemas.openxmlformats.org/officeDocument/2006/relationships" name="CFG_batch_generate_5_log_txt" sheetId="94" state="visible" r:id="rId94"/>
    <sheet xmlns:r="http://schemas.openxmlformats.org/officeDocument/2006/relationships" name="CFG_bilingual_dict_json" sheetId="95" state="visible" r:id="rId95"/>
    <sheet xmlns:r="http://schemas.openxmlformats.org/officeDocument/2006/relationships" name="CFG_crash_log_txt" sheetId="96" state="visible" r:id="rId96"/>
    <sheet xmlns:r="http://schemas.openxmlformats.org/officeDocument/2006/relationships" name="CFG_create_shortcuts_bat" sheetId="97" state="visible" r:id="rId97"/>
    <sheet xmlns:r="http://schemas.openxmlformats.org/officeDocument/2006/relationships" name="CFG_dl_model_bat" sheetId="98" state="visible" r:id="rId98"/>
    <sheet xmlns:r="http://schemas.openxmlformats.org/officeDocument/2006/relationships" name="CFG_dl_sensevoice_bat" sheetId="99" state="visible" r:id="rId99"/>
    <sheet xmlns:r="http://schemas.openxmlformats.org/officeDocument/2006/relationships" name="CFG_docker-compose_yml" sheetId="100" state="visible" r:id="rId100"/>
    <sheet xmlns:r="http://schemas.openxmlformats.org/officeDocument/2006/relationships" name="CFG_evolution_history_jso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Consolas"/>
      <b val="1"/>
      <color rgb="001565C0"/>
      <sz val="10"/>
    </font>
    <font>
      <name val="Consolas"/>
      <color rgb="00888888"/>
      <sz val="8"/>
    </font>
    <font>
      <name val="Consolas"/>
      <sz val="9"/>
    </font>
    <font>
      <name val="Microsoft YaHei"/>
      <b val="1"/>
      <color rgb="002F5496"/>
      <sz val="11"/>
    </font>
    <font>
      <name val="Consolas"/>
      <sz val="8"/>
    </font>
    <font>
      <name val="Consolas"/>
      <b val="1"/>
      <color rgb="002E7D32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right" vertical="top"/>
    </xf>
    <xf numFmtId="0" fontId="7" fillId="3" borderId="0" applyAlignment="1" pivotButton="0" quotePrefix="0" xfId="0">
      <alignment vertical="top"/>
    </xf>
    <xf numFmtId="0" fontId="6" fillId="0" borderId="0" applyAlignment="1" pivotButton="0" quotePrefix="0" xfId="0">
      <alignment horizontal="right" vertical="top"/>
    </xf>
    <xf numFmtId="0" fontId="7" fillId="0" borderId="0" applyAlignment="1" pivotButton="0" quotePrefix="0" xfId="0">
      <alignment vertical="top"/>
    </xf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styles" Target="styles.xml" Id="rId102"/><Relationship Type="http://schemas.openxmlformats.org/officeDocument/2006/relationships/theme" Target="theme/theme1.xml" Id="rId1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0" customWidth="1" min="3" max="3"/>
    <col width="8" customWidth="1" min="4" max="4"/>
    <col width="10" customWidth="1" min="5" max="5"/>
    <col width="8" customWidth="1" min="6" max="6"/>
  </cols>
  <sheetData>
    <row r="1">
      <c r="A1" s="1" t="inlineStr">
        <is>
          <t>树剪 TreeCut v3.0 - 代码第1部分 - 索引</t>
        </is>
      </c>
    </row>
    <row r="3">
      <c r="A3" s="2" t="inlineStr">
        <is>
          <t>序号</t>
        </is>
      </c>
      <c r="B3" s="2" t="inlineStr">
        <is>
          <t>文件路径</t>
        </is>
      </c>
      <c r="C3" s="2" t="inlineStr">
        <is>
          <t>目录</t>
        </is>
      </c>
      <c r="D3" s="2" t="inlineStr">
        <is>
          <t>行数</t>
        </is>
      </c>
      <c r="E3" s="2" t="inlineStr">
        <is>
          <t>大小(KB)</t>
        </is>
      </c>
      <c r="F3" s="2" t="inlineStr">
        <is>
          <t>类型</t>
        </is>
      </c>
    </row>
    <row r="4">
      <c r="A4" s="3" t="n">
        <v>1</v>
      </c>
      <c r="B4" s="3" t="inlineStr">
        <is>
          <t>_deploy.py</t>
        </is>
      </c>
      <c r="C4" s="3" t="inlineStr">
        <is>
          <t>(根)</t>
        </is>
      </c>
      <c r="D4" s="3" t="n">
        <v>132</v>
      </c>
      <c r="E4" s="3" t="n">
        <v>4.5</v>
      </c>
      <c r="F4" s="3" t="inlineStr">
        <is>
          <t>py</t>
        </is>
      </c>
    </row>
    <row r="5">
      <c r="A5" s="3" t="n">
        <v>2</v>
      </c>
      <c r="B5" s="3" t="inlineStr">
        <is>
          <t>_gen_excel.py</t>
        </is>
      </c>
      <c r="C5" s="3" t="inlineStr">
        <is>
          <t>(根)</t>
        </is>
      </c>
      <c r="D5" s="3" t="n">
        <v>130</v>
      </c>
      <c r="E5" s="3" t="n">
        <v>8.699999999999999</v>
      </c>
      <c r="F5" s="3" t="inlineStr">
        <is>
          <t>py</t>
        </is>
      </c>
    </row>
    <row r="6">
      <c r="A6" s="3" t="n">
        <v>3</v>
      </c>
      <c r="B6" s="3" t="inlineStr">
        <is>
          <t>_split_export.py</t>
        </is>
      </c>
      <c r="C6" s="3" t="inlineStr">
        <is>
          <t>(根)</t>
        </is>
      </c>
      <c r="D6" s="3" t="n">
        <v>170</v>
      </c>
      <c r="E6" s="3" t="n">
        <v>8.699999999999999</v>
      </c>
      <c r="F6" s="3" t="inlineStr">
        <is>
          <t>py</t>
        </is>
      </c>
    </row>
    <row r="7">
      <c r="A7" s="3" t="n">
        <v>4</v>
      </c>
      <c r="B7" s="3" t="inlineStr">
        <is>
          <t>add_script_table.py</t>
        </is>
      </c>
      <c r="C7" s="3" t="inlineStr">
        <is>
          <t>(根)</t>
        </is>
      </c>
      <c r="D7" s="3" t="n">
        <v>51</v>
      </c>
      <c r="E7" s="3" t="n">
        <v>1.5</v>
      </c>
      <c r="F7" s="3" t="inlineStr">
        <is>
          <t>py</t>
        </is>
      </c>
    </row>
    <row r="8">
      <c r="A8" s="3" t="n">
        <v>5</v>
      </c>
      <c r="B8" s="3" t="inlineStr">
        <is>
          <t>add_video_frames_table.py</t>
        </is>
      </c>
      <c r="C8" s="3" t="inlineStr">
        <is>
          <t>(根)</t>
        </is>
      </c>
      <c r="D8" s="3" t="n">
        <v>80</v>
      </c>
      <c r="E8" s="3" t="n">
        <v>2.9</v>
      </c>
      <c r="F8" s="3" t="inlineStr">
        <is>
          <t>py</t>
        </is>
      </c>
    </row>
    <row r="9">
      <c r="A9" s="3" t="n">
        <v>6</v>
      </c>
      <c r="B9" s="3" t="inlineStr">
        <is>
          <t>api_server.py</t>
        </is>
      </c>
      <c r="C9" s="3" t="inlineStr">
        <is>
          <t>(根)</t>
        </is>
      </c>
      <c r="D9" s="3" t="n">
        <v>240</v>
      </c>
      <c r="E9" s="3" t="n">
        <v>8.4</v>
      </c>
      <c r="F9" s="3" t="inlineStr">
        <is>
          <t>py</t>
        </is>
      </c>
    </row>
    <row r="10">
      <c r="A10" s="3" t="n">
        <v>7</v>
      </c>
      <c r="B10" s="3" t="inlineStr">
        <is>
          <t>auto_upgrade.py</t>
        </is>
      </c>
      <c r="C10" s="3" t="inlineStr">
        <is>
          <t>(根)</t>
        </is>
      </c>
      <c r="D10" s="3" t="n">
        <v>1040</v>
      </c>
      <c r="E10" s="3" t="n">
        <v>39.4</v>
      </c>
      <c r="F10" s="3" t="inlineStr">
        <is>
          <t>py</t>
        </is>
      </c>
    </row>
    <row r="11">
      <c r="A11" s="3" t="n">
        <v>8</v>
      </c>
      <c r="B11" s="3" t="inlineStr">
        <is>
          <t>batch_generate_5.py</t>
        </is>
      </c>
      <c r="C11" s="3" t="inlineStr">
        <is>
          <t>(根)</t>
        </is>
      </c>
      <c r="D11" s="3" t="n">
        <v>188</v>
      </c>
      <c r="E11" s="3" t="n">
        <v>6</v>
      </c>
      <c r="F11" s="3" t="inlineStr">
        <is>
          <t>py</t>
        </is>
      </c>
    </row>
    <row r="12">
      <c r="A12" s="3" t="n">
        <v>9</v>
      </c>
      <c r="B12" s="3" t="inlineStr">
        <is>
          <t>build_exe.py</t>
        </is>
      </c>
      <c r="C12" s="3" t="inlineStr">
        <is>
          <t>(根)</t>
        </is>
      </c>
      <c r="D12" s="3" t="n">
        <v>79</v>
      </c>
      <c r="E12" s="3" t="n">
        <v>2.4</v>
      </c>
      <c r="F12" s="3" t="inlineStr">
        <is>
          <t>py</t>
        </is>
      </c>
    </row>
    <row r="13">
      <c r="A13" s="3" t="n">
        <v>10</v>
      </c>
      <c r="B13" s="3" t="inlineStr">
        <is>
          <t>core\__init__.py</t>
        </is>
      </c>
      <c r="C13" s="3" t="inlineStr">
        <is>
          <t>core</t>
        </is>
      </c>
      <c r="D13" s="3" t="n">
        <v>125</v>
      </c>
      <c r="E13" s="3" t="n">
        <v>5</v>
      </c>
      <c r="F13" s="3" t="inlineStr">
        <is>
          <t>py</t>
        </is>
      </c>
    </row>
    <row r="14">
      <c r="A14" s="3" t="n">
        <v>11</v>
      </c>
      <c r="B14" s="3" t="inlineStr">
        <is>
          <t>core\advanced_quality.py</t>
        </is>
      </c>
      <c r="C14" s="3" t="inlineStr">
        <is>
          <t>core</t>
        </is>
      </c>
      <c r="D14" s="3" t="n">
        <v>275</v>
      </c>
      <c r="E14" s="3" t="n">
        <v>10</v>
      </c>
      <c r="F14" s="3" t="inlineStr">
        <is>
          <t>py</t>
        </is>
      </c>
    </row>
    <row r="15">
      <c r="A15" s="3" t="n">
        <v>12</v>
      </c>
      <c r="B15" s="3" t="inlineStr">
        <is>
          <t>core\analyzer.py</t>
        </is>
      </c>
      <c r="C15" s="3" t="inlineStr">
        <is>
          <t>core</t>
        </is>
      </c>
      <c r="D15" s="3" t="n">
        <v>203</v>
      </c>
      <c r="E15" s="3" t="n">
        <v>8.199999999999999</v>
      </c>
      <c r="F15" s="3" t="inlineStr">
        <is>
          <t>py</t>
        </is>
      </c>
    </row>
    <row r="16">
      <c r="A16" s="3" t="n">
        <v>13</v>
      </c>
      <c r="B16" s="3" t="inlineStr">
        <is>
          <t>core\audio_models.py</t>
        </is>
      </c>
      <c r="C16" s="3" t="inlineStr">
        <is>
          <t>core</t>
        </is>
      </c>
      <c r="D16" s="3" t="n">
        <v>572</v>
      </c>
      <c r="E16" s="3" t="n">
        <v>22</v>
      </c>
      <c r="F16" s="3" t="inlineStr">
        <is>
          <t>py</t>
        </is>
      </c>
    </row>
    <row r="17">
      <c r="A17" s="3" t="n">
        <v>14</v>
      </c>
      <c r="B17" s="3" t="inlineStr">
        <is>
          <t>core\auth_middleware.py</t>
        </is>
      </c>
      <c r="C17" s="3" t="inlineStr">
        <is>
          <t>core</t>
        </is>
      </c>
      <c r="D17" s="3" t="n">
        <v>155</v>
      </c>
      <c r="E17" s="3" t="n">
        <v>5.5</v>
      </c>
      <c r="F17" s="3" t="inlineStr">
        <is>
          <t>py</t>
        </is>
      </c>
    </row>
    <row r="18">
      <c r="A18" s="3" t="n">
        <v>15</v>
      </c>
      <c r="B18" s="3" t="inlineStr">
        <is>
          <t>core\auto_corrector.py</t>
        </is>
      </c>
      <c r="C18" s="3" t="inlineStr">
        <is>
          <t>core</t>
        </is>
      </c>
      <c r="D18" s="3" t="n">
        <v>208</v>
      </c>
      <c r="E18" s="3" t="n">
        <v>7.8</v>
      </c>
      <c r="F18" s="3" t="inlineStr">
        <is>
          <t>py</t>
        </is>
      </c>
    </row>
    <row r="19">
      <c r="A19" s="3" t="n">
        <v>16</v>
      </c>
      <c r="B19" s="3" t="inlineStr">
        <is>
          <t>core\batch_evaluator.py</t>
        </is>
      </c>
      <c r="C19" s="3" t="inlineStr">
        <is>
          <t>core</t>
        </is>
      </c>
      <c r="D19" s="3" t="n">
        <v>118</v>
      </c>
      <c r="E19" s="3" t="n">
        <v>4.2</v>
      </c>
      <c r="F19" s="3" t="inlineStr">
        <is>
          <t>py</t>
        </is>
      </c>
    </row>
    <row r="20">
      <c r="A20" s="3" t="n">
        <v>17</v>
      </c>
      <c r="B20" s="3" t="inlineStr">
        <is>
          <t>core\batch_scheduler.py</t>
        </is>
      </c>
      <c r="C20" s="3" t="inlineStr">
        <is>
          <t>core</t>
        </is>
      </c>
      <c r="D20" s="3" t="n">
        <v>167</v>
      </c>
      <c r="E20" s="3" t="n">
        <v>5.6</v>
      </c>
      <c r="F20" s="3" t="inlineStr">
        <is>
          <t>py</t>
        </is>
      </c>
    </row>
    <row r="21">
      <c r="A21" s="3" t="n">
        <v>18</v>
      </c>
      <c r="B21" s="3" t="inlineStr">
        <is>
          <t>core\bgm_matcher.py</t>
        </is>
      </c>
      <c r="C21" s="3" t="inlineStr">
        <is>
          <t>core</t>
        </is>
      </c>
      <c r="D21" s="3" t="n">
        <v>144</v>
      </c>
      <c r="E21" s="3" t="n">
        <v>5.1</v>
      </c>
      <c r="F21" s="3" t="inlineStr">
        <is>
          <t>py</t>
        </is>
      </c>
    </row>
    <row r="22">
      <c r="A22" s="3" t="n">
        <v>19</v>
      </c>
      <c r="B22" s="3" t="inlineStr">
        <is>
          <t>core\classifier.py</t>
        </is>
      </c>
      <c r="C22" s="3" t="inlineStr">
        <is>
          <t>core</t>
        </is>
      </c>
      <c r="D22" s="3" t="n">
        <v>234</v>
      </c>
      <c r="E22" s="3" t="n">
        <v>23.4</v>
      </c>
      <c r="F22" s="3" t="inlineStr">
        <is>
          <t>py</t>
        </is>
      </c>
    </row>
    <row r="23">
      <c r="A23" s="3" t="n">
        <v>20</v>
      </c>
      <c r="B23" s="3" t="inlineStr">
        <is>
          <t>core\clip_matcher.py</t>
        </is>
      </c>
      <c r="C23" s="3" t="inlineStr">
        <is>
          <t>core</t>
        </is>
      </c>
      <c r="D23" s="3" t="n">
        <v>150</v>
      </c>
      <c r="E23" s="3" t="n">
        <v>4.9</v>
      </c>
      <c r="F23" s="3" t="inlineStr">
        <is>
          <t>py</t>
        </is>
      </c>
    </row>
    <row r="24">
      <c r="A24" s="3" t="n">
        <v>21</v>
      </c>
      <c r="B24" s="3" t="inlineStr">
        <is>
          <t>core\config.py</t>
        </is>
      </c>
      <c r="C24" s="3" t="inlineStr">
        <is>
          <t>core</t>
        </is>
      </c>
      <c r="D24" s="3" t="n">
        <v>494</v>
      </c>
      <c r="E24" s="3" t="n">
        <v>23.7</v>
      </c>
      <c r="F24" s="3" t="inlineStr">
        <is>
          <t>py</t>
        </is>
      </c>
    </row>
    <row r="25">
      <c r="A25" s="3" t="n">
        <v>22</v>
      </c>
      <c r="B25" s="3" t="inlineStr">
        <is>
          <t>core\config_loader.py</t>
        </is>
      </c>
      <c r="C25" s="3" t="inlineStr">
        <is>
          <t>core</t>
        </is>
      </c>
      <c r="D25" s="3" t="n">
        <v>13</v>
      </c>
      <c r="E25" s="3" t="n">
        <v>0.4</v>
      </c>
      <c r="F25" s="3" t="inlineStr">
        <is>
          <t>py</t>
        </is>
      </c>
    </row>
    <row r="26">
      <c r="A26" s="3" t="n">
        <v>23</v>
      </c>
      <c r="B26" s="3" t="inlineStr">
        <is>
          <t>core\config_v2.py</t>
        </is>
      </c>
      <c r="C26" s="3" t="inlineStr">
        <is>
          <t>core</t>
        </is>
      </c>
      <c r="D26" s="3" t="n">
        <v>247</v>
      </c>
      <c r="E26" s="3" t="n">
        <v>10.8</v>
      </c>
      <c r="F26" s="3" t="inlineStr">
        <is>
          <t>py</t>
        </is>
      </c>
    </row>
    <row r="27">
      <c r="A27" s="3" t="n">
        <v>24</v>
      </c>
      <c r="B27" s="3" t="inlineStr">
        <is>
          <t>core\copywriter.py</t>
        </is>
      </c>
      <c r="C27" s="3" t="inlineStr">
        <is>
          <t>core</t>
        </is>
      </c>
      <c r="D27" s="3" t="n">
        <v>289</v>
      </c>
      <c r="E27" s="3" t="n">
        <v>13.2</v>
      </c>
      <c r="F27" s="3" t="inlineStr">
        <is>
          <t>py</t>
        </is>
      </c>
    </row>
    <row r="28">
      <c r="A28" s="3" t="n">
        <v>25</v>
      </c>
      <c r="B28" s="3" t="inlineStr">
        <is>
          <t>core\database.py</t>
        </is>
      </c>
      <c r="C28" s="3" t="inlineStr">
        <is>
          <t>core</t>
        </is>
      </c>
      <c r="D28" s="3" t="n">
        <v>406</v>
      </c>
      <c r="E28" s="3" t="n">
        <v>18</v>
      </c>
      <c r="F28" s="3" t="inlineStr">
        <is>
          <t>py</t>
        </is>
      </c>
    </row>
    <row r="29">
      <c r="A29" s="3" t="n">
        <v>26</v>
      </c>
      <c r="B29" s="3" t="inlineStr">
        <is>
          <t>core\deepseek_client.py</t>
        </is>
      </c>
      <c r="C29" s="3" t="inlineStr">
        <is>
          <t>core</t>
        </is>
      </c>
      <c r="D29" s="3" t="n">
        <v>137</v>
      </c>
      <c r="E29" s="3" t="n">
        <v>5.9</v>
      </c>
      <c r="F29" s="3" t="inlineStr">
        <is>
          <t>py</t>
        </is>
      </c>
    </row>
    <row r="30">
      <c r="A30" s="3" t="n">
        <v>27</v>
      </c>
      <c r="B30" s="3" t="inlineStr">
        <is>
          <t>core\draft.py</t>
        </is>
      </c>
      <c r="C30" s="3" t="inlineStr">
        <is>
          <t>core</t>
        </is>
      </c>
      <c r="D30" s="3" t="n">
        <v>233</v>
      </c>
      <c r="E30" s="3" t="n">
        <v>10.7</v>
      </c>
      <c r="F30" s="3" t="inlineStr">
        <is>
          <t>py</t>
        </is>
      </c>
    </row>
    <row r="31">
      <c r="A31" s="3" t="n">
        <v>28</v>
      </c>
      <c r="B31" s="3" t="inlineStr">
        <is>
          <t>core\drive_scanner.py</t>
        </is>
      </c>
      <c r="C31" s="3" t="inlineStr">
        <is>
          <t>core</t>
        </is>
      </c>
      <c r="D31" s="3" t="n">
        <v>229</v>
      </c>
      <c r="E31" s="3" t="n">
        <v>9.1</v>
      </c>
      <c r="F31" s="3" t="inlineStr">
        <is>
          <t>py</t>
        </is>
      </c>
    </row>
    <row r="32">
      <c r="A32" s="3" t="n">
        <v>29</v>
      </c>
      <c r="B32" s="3" t="inlineStr">
        <is>
          <t>core\event_bus.py</t>
        </is>
      </c>
      <c r="C32" s="3" t="inlineStr">
        <is>
          <t>core</t>
        </is>
      </c>
      <c r="D32" s="3" t="n">
        <v>116</v>
      </c>
      <c r="E32" s="3" t="n">
        <v>4.3</v>
      </c>
      <c r="F32" s="3" t="inlineStr">
        <is>
          <t>py</t>
        </is>
      </c>
    </row>
    <row r="33">
      <c r="A33" s="3" t="n">
        <v>30</v>
      </c>
      <c r="B33" s="3" t="inlineStr">
        <is>
          <t>core\event_wiring.py</t>
        </is>
      </c>
      <c r="C33" s="3" t="inlineStr">
        <is>
          <t>core</t>
        </is>
      </c>
      <c r="D33" s="3" t="n">
        <v>219</v>
      </c>
      <c r="E33" s="3" t="n">
        <v>7.8</v>
      </c>
      <c r="F33" s="3" t="inlineStr">
        <is>
          <t>py</t>
        </is>
      </c>
    </row>
    <row r="34">
      <c r="A34" s="3" t="n">
        <v>31</v>
      </c>
      <c r="B34" s="3" t="inlineStr">
        <is>
          <t>core\frame_annotator.py</t>
        </is>
      </c>
      <c r="C34" s="3" t="inlineStr">
        <is>
          <t>core</t>
        </is>
      </c>
      <c r="D34" s="3" t="n">
        <v>309</v>
      </c>
      <c r="E34" s="3" t="n">
        <v>15</v>
      </c>
      <c r="F34" s="3" t="inlineStr">
        <is>
          <t>py</t>
        </is>
      </c>
    </row>
    <row r="35">
      <c r="A35" s="3" t="n">
        <v>32</v>
      </c>
      <c r="B35" s="3" t="inlineStr">
        <is>
          <t>core\frame_extractor.py</t>
        </is>
      </c>
      <c r="C35" s="3" t="inlineStr">
        <is>
          <t>core</t>
        </is>
      </c>
      <c r="D35" s="3" t="n">
        <v>276</v>
      </c>
      <c r="E35" s="3" t="n">
        <v>10.6</v>
      </c>
      <c r="F35" s="3" t="inlineStr">
        <is>
          <t>py</t>
        </is>
      </c>
    </row>
    <row r="36">
      <c r="A36" s="3" t="n">
        <v>33</v>
      </c>
      <c r="B36" s="3" t="inlineStr">
        <is>
          <t>core\learner.py</t>
        </is>
      </c>
      <c r="C36" s="3" t="inlineStr">
        <is>
          <t>core</t>
        </is>
      </c>
      <c r="D36" s="3" t="n">
        <v>288</v>
      </c>
      <c r="E36" s="3" t="n">
        <v>11.8</v>
      </c>
      <c r="F36" s="3" t="inlineStr">
        <is>
          <t>py</t>
        </is>
      </c>
    </row>
    <row r="37">
      <c r="A37" s="3" t="n">
        <v>34</v>
      </c>
      <c r="B37" s="3" t="inlineStr">
        <is>
          <t>core\library_builder.py</t>
        </is>
      </c>
      <c r="C37" s="3" t="inlineStr">
        <is>
          <t>core</t>
        </is>
      </c>
      <c r="D37" s="3" t="n">
        <v>270</v>
      </c>
      <c r="E37" s="3" t="n">
        <v>12.9</v>
      </c>
      <c r="F37" s="3" t="inlineStr">
        <is>
          <t>py</t>
        </is>
      </c>
    </row>
    <row r="38">
      <c r="A38" s="3" t="n">
        <v>35</v>
      </c>
      <c r="B38" s="3" t="inlineStr">
        <is>
          <t>core\material_registry.py</t>
        </is>
      </c>
      <c r="C38" s="3" t="inlineStr">
        <is>
          <t>core</t>
        </is>
      </c>
      <c r="D38" s="3" t="n">
        <v>203</v>
      </c>
      <c r="E38" s="3" t="n">
        <v>7.3</v>
      </c>
      <c r="F38" s="3" t="inlineStr">
        <is>
          <t>py</t>
        </is>
      </c>
    </row>
    <row r="39">
      <c r="A39" s="3" t="n">
        <v>36</v>
      </c>
      <c r="B39" s="3" t="inlineStr">
        <is>
          <t>core\model_pool.py</t>
        </is>
      </c>
      <c r="C39" s="3" t="inlineStr">
        <is>
          <t>core</t>
        </is>
      </c>
      <c r="D39" s="3" t="n">
        <v>108</v>
      </c>
      <c r="E39" s="3" t="n">
        <v>4.2</v>
      </c>
      <c r="F39" s="3" t="inlineStr">
        <is>
          <t>py</t>
        </is>
      </c>
    </row>
    <row r="40">
      <c r="A40" s="3" t="n">
        <v>37</v>
      </c>
      <c r="B40" s="3" t="inlineStr">
        <is>
          <t>core\monitor\__init__.py</t>
        </is>
      </c>
      <c r="C40" s="3" t="inlineStr">
        <is>
          <t>core</t>
        </is>
      </c>
      <c r="D40" s="3" t="n">
        <v>7</v>
      </c>
      <c r="E40" s="3" t="n">
        <v>0.3</v>
      </c>
      <c r="F40" s="3" t="inlineStr">
        <is>
          <t>py</t>
        </is>
      </c>
    </row>
    <row r="41">
      <c r="A41" s="3" t="n">
        <v>38</v>
      </c>
      <c r="B41" s="3" t="inlineStr">
        <is>
          <t>core\monitor\alert_manager.py</t>
        </is>
      </c>
      <c r="C41" s="3" t="inlineStr">
        <is>
          <t>core</t>
        </is>
      </c>
      <c r="D41" s="3" t="n">
        <v>65</v>
      </c>
      <c r="E41" s="3" t="n">
        <v>1.9</v>
      </c>
      <c r="F41" s="3" t="inlineStr">
        <is>
          <t>py</t>
        </is>
      </c>
    </row>
    <row r="42">
      <c r="A42" s="3" t="n">
        <v>39</v>
      </c>
      <c r="B42" s="3" t="inlineStr">
        <is>
          <t>core\monitor\metrics_collector.py</t>
        </is>
      </c>
      <c r="C42" s="3" t="inlineStr">
        <is>
          <t>core</t>
        </is>
      </c>
      <c r="D42" s="3" t="n">
        <v>61</v>
      </c>
      <c r="E42" s="3" t="n">
        <v>1.9</v>
      </c>
      <c r="F42" s="3" t="inlineStr">
        <is>
          <t>py</t>
        </is>
      </c>
    </row>
    <row r="43">
      <c r="A43" s="3" t="n">
        <v>40</v>
      </c>
      <c r="B43" s="3" t="inlineStr">
        <is>
          <t>core\mq_manager.py</t>
        </is>
      </c>
      <c r="C43" s="3" t="inlineStr">
        <is>
          <t>core</t>
        </is>
      </c>
      <c r="D43" s="3" t="n">
        <v>150</v>
      </c>
      <c r="E43" s="3" t="n">
        <v>5.3</v>
      </c>
      <c r="F43" s="3" t="inlineStr">
        <is>
          <t>py</t>
        </is>
      </c>
    </row>
    <row r="44">
      <c r="A44" s="3" t="n">
        <v>41</v>
      </c>
      <c r="B44" s="3" t="inlineStr">
        <is>
          <t>core\multimodal_embedding.py</t>
        </is>
      </c>
      <c r="C44" s="3" t="inlineStr">
        <is>
          <t>core</t>
        </is>
      </c>
      <c r="D44" s="3" t="n">
        <v>104</v>
      </c>
      <c r="E44" s="3" t="n">
        <v>3.7</v>
      </c>
      <c r="F44" s="3" t="inlineStr">
        <is>
          <t>py</t>
        </is>
      </c>
    </row>
    <row r="45">
      <c r="A45" s="3" t="n">
        <v>42</v>
      </c>
      <c r="B45" s="3" t="inlineStr">
        <is>
          <t>core\orchestrator.py</t>
        </is>
      </c>
      <c r="C45" s="3" t="inlineStr">
        <is>
          <t>core</t>
        </is>
      </c>
      <c r="D45" s="3" t="n">
        <v>276</v>
      </c>
      <c r="E45" s="3" t="n">
        <v>11.2</v>
      </c>
      <c r="F45" s="3" t="inlineStr">
        <is>
          <t>py</t>
        </is>
      </c>
    </row>
    <row r="46">
      <c r="A46" s="3" t="n">
        <v>43</v>
      </c>
      <c r="B46" s="3" t="inlineStr">
        <is>
          <t>core\pipeline.py</t>
        </is>
      </c>
      <c r="C46" s="3" t="inlineStr">
        <is>
          <t>core</t>
        </is>
      </c>
      <c r="D46" s="3" t="n">
        <v>1248</v>
      </c>
      <c r="E46" s="3" t="n">
        <v>58</v>
      </c>
      <c r="F46" s="3" t="inlineStr">
        <is>
          <t>py</t>
        </is>
      </c>
    </row>
    <row r="47">
      <c r="A47" s="3" t="n">
        <v>44</v>
      </c>
      <c r="B47" s="3" t="inlineStr">
        <is>
          <t>core\pipeline_executor.py</t>
        </is>
      </c>
      <c r="C47" s="3" t="inlineStr">
        <is>
          <t>core</t>
        </is>
      </c>
      <c r="D47" s="3" t="n">
        <v>208</v>
      </c>
      <c r="E47" s="3" t="n">
        <v>7.4</v>
      </c>
      <c r="F47" s="3" t="inlineStr">
        <is>
          <t>py</t>
        </is>
      </c>
    </row>
    <row r="48">
      <c r="A48" s="3" t="n">
        <v>45</v>
      </c>
      <c r="B48" s="3" t="inlineStr">
        <is>
          <t>core\plugin_manager.py</t>
        </is>
      </c>
      <c r="C48" s="3" t="inlineStr">
        <is>
          <t>core</t>
        </is>
      </c>
      <c r="D48" s="3" t="n">
        <v>76</v>
      </c>
      <c r="E48" s="3" t="n">
        <v>3.3</v>
      </c>
      <c r="F48" s="3" t="inlineStr">
        <is>
          <t>py</t>
        </is>
      </c>
    </row>
    <row r="49">
      <c r="A49" s="3" t="n">
        <v>46</v>
      </c>
      <c r="B49" s="3" t="inlineStr">
        <is>
          <t>core\plugin_sdk\__init__.py</t>
        </is>
      </c>
      <c r="C49" s="3" t="inlineStr">
        <is>
          <t>core</t>
        </is>
      </c>
      <c r="D49" s="3" t="n">
        <v>7</v>
      </c>
      <c r="E49" s="3" t="n">
        <v>0.3</v>
      </c>
      <c r="F49" s="3" t="inlineStr">
        <is>
          <t>py</t>
        </is>
      </c>
    </row>
    <row r="50">
      <c r="A50" s="3" t="n">
        <v>47</v>
      </c>
      <c r="B50" s="3" t="inlineStr">
        <is>
          <t>core\plugin_sdk\base_plugin.py</t>
        </is>
      </c>
      <c r="C50" s="3" t="inlineStr">
        <is>
          <t>core</t>
        </is>
      </c>
      <c r="D50" s="3" t="n">
        <v>33</v>
      </c>
      <c r="E50" s="3" t="n">
        <v>0.8</v>
      </c>
      <c r="F50" s="3" t="inlineStr">
        <is>
          <t>py</t>
        </is>
      </c>
    </row>
    <row r="51">
      <c r="A51" s="3" t="n">
        <v>48</v>
      </c>
      <c r="B51" s="3" t="inlineStr">
        <is>
          <t>core\plugin_sdk\plugin_manager.py</t>
        </is>
      </c>
      <c r="C51" s="3" t="inlineStr">
        <is>
          <t>core</t>
        </is>
      </c>
      <c r="D51" s="3" t="n">
        <v>58</v>
      </c>
      <c r="E51" s="3" t="n">
        <v>1.8</v>
      </c>
      <c r="F51" s="3" t="inlineStr">
        <is>
          <t>py</t>
        </is>
      </c>
    </row>
    <row r="52">
      <c r="A52" s="3" t="n">
        <v>49</v>
      </c>
      <c r="B52" s="3" t="inlineStr">
        <is>
          <t>core\process_manager.py</t>
        </is>
      </c>
      <c r="C52" s="3" t="inlineStr">
        <is>
          <t>core</t>
        </is>
      </c>
      <c r="D52" s="3" t="n">
        <v>90</v>
      </c>
      <c r="E52" s="3" t="n">
        <v>3.3</v>
      </c>
      <c r="F52" s="3" t="inlineStr">
        <is>
          <t>py</t>
        </is>
      </c>
    </row>
    <row r="53">
      <c r="A53" s="3" t="n">
        <v>50</v>
      </c>
      <c r="B53" s="3" t="inlineStr">
        <is>
          <t>core\quality_center.py</t>
        </is>
      </c>
      <c r="C53" s="3" t="inlineStr">
        <is>
          <t>core</t>
        </is>
      </c>
      <c r="D53" s="3" t="n">
        <v>294</v>
      </c>
      <c r="E53" s="3" t="n">
        <v>11.3</v>
      </c>
      <c r="F53" s="3" t="inlineStr">
        <is>
          <t>py</t>
        </is>
      </c>
    </row>
    <row r="54">
      <c r="A54" s="3" t="n">
        <v>51</v>
      </c>
      <c r="B54" s="3" t="inlineStr">
        <is>
          <t>core\retry_scheduler.py</t>
        </is>
      </c>
      <c r="C54" s="3" t="inlineStr">
        <is>
          <t>core</t>
        </is>
      </c>
      <c r="D54" s="3" t="n">
        <v>333</v>
      </c>
      <c r="E54" s="3" t="n">
        <v>14.1</v>
      </c>
      <c r="F54" s="3" t="inlineStr">
        <is>
          <t>py</t>
        </is>
      </c>
    </row>
    <row r="55">
      <c r="A55" s="3" t="n">
        <v>52</v>
      </c>
      <c r="B55" s="3" t="inlineStr">
        <is>
          <t>core\review_queue.py</t>
        </is>
      </c>
      <c r="C55" s="3" t="inlineStr">
        <is>
          <t>core</t>
        </is>
      </c>
      <c r="D55" s="3" t="n">
        <v>308</v>
      </c>
      <c r="E55" s="3" t="n">
        <v>12.6</v>
      </c>
      <c r="F55" s="3" t="inlineStr">
        <is>
          <t>py</t>
        </is>
      </c>
    </row>
    <row r="56">
      <c r="A56" s="3" t="n">
        <v>53</v>
      </c>
      <c r="B56" s="3" t="inlineStr">
        <is>
          <t>core\script_learning.py</t>
        </is>
      </c>
      <c r="C56" s="3" t="inlineStr">
        <is>
          <t>core</t>
        </is>
      </c>
      <c r="D56" s="3" t="n">
        <v>367</v>
      </c>
      <c r="E56" s="3" t="n">
        <v>14.2</v>
      </c>
      <c r="F56" s="3" t="inlineStr">
        <is>
          <t>py</t>
        </is>
      </c>
    </row>
    <row r="57">
      <c r="A57" s="3" t="n">
        <v>54</v>
      </c>
      <c r="B57" s="3" t="inlineStr">
        <is>
          <t>core\script_understanding.py</t>
        </is>
      </c>
      <c r="C57" s="3" t="inlineStr">
        <is>
          <t>core</t>
        </is>
      </c>
      <c r="D57" s="3" t="n">
        <v>204</v>
      </c>
      <c r="E57" s="3" t="n">
        <v>7.8</v>
      </c>
      <c r="F57" s="3" t="inlineStr">
        <is>
          <t>py</t>
        </is>
      </c>
    </row>
    <row r="58">
      <c r="A58" s="3" t="n">
        <v>55</v>
      </c>
      <c r="B58" s="3" t="inlineStr">
        <is>
          <t>core\script_utils.py</t>
        </is>
      </c>
      <c r="C58" s="3" t="inlineStr">
        <is>
          <t>core</t>
        </is>
      </c>
      <c r="D58" s="3" t="n">
        <v>154</v>
      </c>
      <c r="E58" s="3" t="n">
        <v>4.9</v>
      </c>
      <c r="F58" s="3" t="inlineStr">
        <is>
          <t>py</t>
        </is>
      </c>
    </row>
    <row r="59">
      <c r="A59" s="3" t="n">
        <v>56</v>
      </c>
      <c r="B59" s="3" t="inlineStr">
        <is>
          <t>core\self_learning_engine.py</t>
        </is>
      </c>
      <c r="C59" s="3" t="inlineStr">
        <is>
          <t>core</t>
        </is>
      </c>
      <c r="D59" s="3" t="n">
        <v>212</v>
      </c>
      <c r="E59" s="3" t="n">
        <v>9</v>
      </c>
      <c r="F59" s="3" t="inlineStr">
        <is>
          <t>py</t>
        </is>
      </c>
    </row>
    <row r="60">
      <c r="A60" s="3" t="n">
        <v>57</v>
      </c>
      <c r="B60" s="3" t="inlineStr">
        <is>
          <t>core\smart_analyzer.py</t>
        </is>
      </c>
      <c r="C60" s="3" t="inlineStr">
        <is>
          <t>core</t>
        </is>
      </c>
      <c r="D60" s="3" t="n">
        <v>521</v>
      </c>
      <c r="E60" s="3" t="n">
        <v>19.2</v>
      </c>
      <c r="F60" s="3" t="inlineStr">
        <is>
          <t>py</t>
        </is>
      </c>
    </row>
    <row r="61">
      <c r="A61" s="3" t="n">
        <v>58</v>
      </c>
      <c r="B61" s="3" t="inlineStr">
        <is>
          <t>core\smart_match_engine.py</t>
        </is>
      </c>
      <c r="C61" s="3" t="inlineStr">
        <is>
          <t>core</t>
        </is>
      </c>
      <c r="D61" s="3" t="n">
        <v>207</v>
      </c>
      <c r="E61" s="3" t="n">
        <v>7.6</v>
      </c>
      <c r="F61" s="3" t="inlineStr">
        <is>
          <t>py</t>
        </is>
      </c>
    </row>
    <row r="62">
      <c r="A62" s="3" t="n">
        <v>59</v>
      </c>
      <c r="B62" s="3" t="inlineStr">
        <is>
          <t>core\smart_orchestrator.py</t>
        </is>
      </c>
      <c r="C62" s="3" t="inlineStr">
        <is>
          <t>core</t>
        </is>
      </c>
      <c r="D62" s="3" t="n">
        <v>450</v>
      </c>
      <c r="E62" s="3" t="n">
        <v>19.2</v>
      </c>
      <c r="F62" s="3" t="inlineStr">
        <is>
          <t>py</t>
        </is>
      </c>
    </row>
    <row r="63">
      <c r="A63" s="3" t="n">
        <v>60</v>
      </c>
      <c r="B63" s="3" t="inlineStr">
        <is>
          <t>core\subtitle_ocr.py</t>
        </is>
      </c>
      <c r="C63" s="3" t="inlineStr">
        <is>
          <t>core</t>
        </is>
      </c>
      <c r="D63" s="3" t="n">
        <v>169</v>
      </c>
      <c r="E63" s="3" t="n">
        <v>6</v>
      </c>
      <c r="F63" s="3" t="inlineStr">
        <is>
          <t>py</t>
        </is>
      </c>
    </row>
    <row r="64">
      <c r="A64" s="3" t="n">
        <v>61</v>
      </c>
      <c r="B64" s="3" t="inlineStr">
        <is>
          <t>core\tag_merger.py</t>
        </is>
      </c>
      <c r="C64" s="3" t="inlineStr">
        <is>
          <t>core</t>
        </is>
      </c>
      <c r="D64" s="3" t="n">
        <v>187</v>
      </c>
      <c r="E64" s="3" t="n">
        <v>8</v>
      </c>
      <c r="F64" s="3" t="inlineStr">
        <is>
          <t>py</t>
        </is>
      </c>
    </row>
    <row r="65">
      <c r="A65" s="3" t="n">
        <v>62</v>
      </c>
      <c r="B65" s="3" t="inlineStr">
        <is>
          <t>core\topic_discovery.py</t>
        </is>
      </c>
      <c r="C65" s="3" t="inlineStr">
        <is>
          <t>core</t>
        </is>
      </c>
      <c r="D65" s="3" t="n">
        <v>81</v>
      </c>
      <c r="E65" s="3" t="n">
        <v>2.9</v>
      </c>
      <c r="F65" s="3" t="inlineStr">
        <is>
          <t>py</t>
        </is>
      </c>
    </row>
    <row r="66">
      <c r="A66" s="3" t="n">
        <v>63</v>
      </c>
      <c r="B66" s="3" t="inlineStr">
        <is>
          <t>core\tts.py</t>
        </is>
      </c>
      <c r="C66" s="3" t="inlineStr">
        <is>
          <t>core</t>
        </is>
      </c>
      <c r="D66" s="3" t="n">
        <v>308</v>
      </c>
      <c r="E66" s="3" t="n">
        <v>12.9</v>
      </c>
      <c r="F66" s="3" t="inlineStr">
        <is>
          <t>py</t>
        </is>
      </c>
    </row>
    <row r="67">
      <c r="A67" s="3" t="n">
        <v>64</v>
      </c>
      <c r="B67" s="3" t="inlineStr">
        <is>
          <t>core\usage_recorder.py</t>
        </is>
      </c>
      <c r="C67" s="3" t="inlineStr">
        <is>
          <t>core</t>
        </is>
      </c>
      <c r="D67" s="3" t="n">
        <v>207</v>
      </c>
      <c r="E67" s="3" t="n">
        <v>9.199999999999999</v>
      </c>
      <c r="F67" s="3" t="inlineStr">
        <is>
          <t>py</t>
        </is>
      </c>
    </row>
    <row r="68">
      <c r="A68" s="3" t="n">
        <v>65</v>
      </c>
      <c r="B68" s="3" t="inlineStr">
        <is>
          <t>core\video_scanner.py</t>
        </is>
      </c>
      <c r="C68" s="3" t="inlineStr">
        <is>
          <t>core</t>
        </is>
      </c>
      <c r="D68" s="3" t="n">
        <v>251</v>
      </c>
      <c r="E68" s="3" t="n">
        <v>8</v>
      </c>
      <c r="F68" s="3" t="inlineStr">
        <is>
          <t>py</t>
        </is>
      </c>
    </row>
    <row r="69">
      <c r="A69" s="3" t="n">
        <v>66</v>
      </c>
      <c r="B69" s="3" t="inlineStr">
        <is>
          <t>core\vision_unified.py</t>
        </is>
      </c>
      <c r="C69" s="3" t="inlineStr">
        <is>
          <t>core</t>
        </is>
      </c>
      <c r="D69" s="3" t="n">
        <v>273</v>
      </c>
      <c r="E69" s="3" t="n">
        <v>10.9</v>
      </c>
      <c r="F69" s="3" t="inlineStr">
        <is>
          <t>py</t>
        </is>
      </c>
    </row>
    <row r="70">
      <c r="A70" s="3" t="n">
        <v>67</v>
      </c>
      <c r="B70" s="3" t="inlineStr">
        <is>
          <t>core\workflow_engine.py</t>
        </is>
      </c>
      <c r="C70" s="3" t="inlineStr">
        <is>
          <t>core</t>
        </is>
      </c>
      <c r="D70" s="3" t="n">
        <v>188</v>
      </c>
      <c r="E70" s="3" t="n">
        <v>8.6</v>
      </c>
      <c r="F70" s="3" t="inlineStr">
        <is>
          <t>py</t>
        </is>
      </c>
    </row>
    <row r="71">
      <c r="A71" s="3" t="n">
        <v>68</v>
      </c>
      <c r="B71" s="3" t="inlineStr">
        <is>
          <t>dashboard\app.py</t>
        </is>
      </c>
      <c r="C71" s="3" t="inlineStr">
        <is>
          <t>dashboard</t>
        </is>
      </c>
      <c r="D71" s="3" t="n">
        <v>196</v>
      </c>
      <c r="E71" s="3" t="n">
        <v>7.9</v>
      </c>
      <c r="F71" s="3" t="inlineStr">
        <is>
          <t>py</t>
        </is>
      </c>
    </row>
    <row r="72">
      <c r="A72" s="3" t="n">
        <v>69</v>
      </c>
      <c r="B72" s="3" t="inlineStr">
        <is>
          <t>download_models.py</t>
        </is>
      </c>
      <c r="C72" s="3" t="inlineStr">
        <is>
          <t>(根)</t>
        </is>
      </c>
      <c r="D72" s="3" t="n">
        <v>161</v>
      </c>
      <c r="E72" s="3" t="n">
        <v>5</v>
      </c>
      <c r="F72" s="3" t="inlineStr">
        <is>
          <t>py</t>
        </is>
      </c>
    </row>
    <row r="73">
      <c r="A73" s="3" t="n">
        <v>70</v>
      </c>
      <c r="B73" s="3" t="inlineStr">
        <is>
          <t>force_rebuild_faiss.py</t>
        </is>
      </c>
      <c r="C73" s="3" t="inlineStr">
        <is>
          <t>(根)</t>
        </is>
      </c>
      <c r="D73" s="3" t="n">
        <v>234</v>
      </c>
      <c r="E73" s="3" t="n">
        <v>8.300000000000001</v>
      </c>
      <c r="F73" s="3" t="inlineStr">
        <is>
          <t>py</t>
        </is>
      </c>
    </row>
    <row r="74">
      <c r="A74" s="3" t="n">
        <v>71</v>
      </c>
      <c r="B74" s="3" t="inlineStr">
        <is>
          <t>main.py</t>
        </is>
      </c>
      <c r="C74" s="3" t="inlineStr">
        <is>
          <t>(根)</t>
        </is>
      </c>
      <c r="D74" s="3" t="n">
        <v>189</v>
      </c>
      <c r="E74" s="3" t="n">
        <v>7.6</v>
      </c>
      <c r="F74" s="3" t="inlineStr">
        <is>
          <t>py</t>
        </is>
      </c>
    </row>
    <row r="75">
      <c r="A75" s="3" t="n">
        <v>72</v>
      </c>
      <c r="B75" s="3" t="inlineStr">
        <is>
          <t>material_engine_v3\__init__.py</t>
        </is>
      </c>
      <c r="C75" s="3" t="inlineStr">
        <is>
          <t>material_engine_v3</t>
        </is>
      </c>
      <c r="D75" s="3" t="n">
        <v>4</v>
      </c>
      <c r="E75" s="3" t="n">
        <v>0.2</v>
      </c>
      <c r="F75" s="3" t="inlineStr">
        <is>
          <t>py</t>
        </is>
      </c>
    </row>
    <row r="76">
      <c r="A76" s="3" t="n">
        <v>73</v>
      </c>
      <c r="B76" s="3" t="inlineStr">
        <is>
          <t>material_engine_v3\batch_process.py</t>
        </is>
      </c>
      <c r="C76" s="3" t="inlineStr">
        <is>
          <t>material_engine_v3</t>
        </is>
      </c>
      <c r="D76" s="3" t="n">
        <v>92</v>
      </c>
      <c r="E76" s="3" t="n">
        <v>4.4</v>
      </c>
      <c r="F76" s="3" t="inlineStr">
        <is>
          <t>py</t>
        </is>
      </c>
    </row>
    <row r="77">
      <c r="A77" s="3" t="n">
        <v>74</v>
      </c>
      <c r="B77" s="3" t="inlineStr">
        <is>
          <t>material_engine_v3\config.py</t>
        </is>
      </c>
      <c r="C77" s="3" t="inlineStr">
        <is>
          <t>material_engine_v3</t>
        </is>
      </c>
      <c r="D77" s="3" t="n">
        <v>55</v>
      </c>
      <c r="E77" s="3" t="n">
        <v>1.3</v>
      </c>
      <c r="F77" s="3" t="inlineStr">
        <is>
          <t>py</t>
        </is>
      </c>
    </row>
    <row r="78">
      <c r="A78" s="3" t="n">
        <v>75</v>
      </c>
      <c r="B78" s="3" t="inlineStr">
        <is>
          <t>material_engine_v3\core\smart_matcher.py</t>
        </is>
      </c>
      <c r="C78" s="3" t="inlineStr">
        <is>
          <t>material_engine_v3</t>
        </is>
      </c>
      <c r="D78" s="3" t="n">
        <v>256</v>
      </c>
      <c r="E78" s="3" t="n">
        <v>13.2</v>
      </c>
      <c r="F78" s="3" t="inlineStr">
        <is>
          <t>py</t>
        </is>
      </c>
    </row>
    <row r="79">
      <c r="A79" s="3" t="n">
        <v>76</v>
      </c>
      <c r="B79" s="3" t="inlineStr">
        <is>
          <t>material_engine_v3\database\schema.py</t>
        </is>
      </c>
      <c r="C79" s="3" t="inlineStr">
        <is>
          <t>material_engine_v3</t>
        </is>
      </c>
      <c r="D79" s="3" t="n">
        <v>162</v>
      </c>
      <c r="E79" s="3" t="n">
        <v>6.1</v>
      </c>
      <c r="F79" s="3" t="inlineStr">
        <is>
          <t>py</t>
        </is>
      </c>
    </row>
    <row r="80">
      <c r="A80" s="3" t="n">
        <v>77</v>
      </c>
      <c r="B80" s="3" t="inlineStr">
        <is>
          <t>material_engine_v3\knowledge\industry_kb.py</t>
        </is>
      </c>
      <c r="C80" s="3" t="inlineStr">
        <is>
          <t>material_engine_v3</t>
        </is>
      </c>
      <c r="D80" s="3" t="n">
        <v>138</v>
      </c>
      <c r="E80" s="3" t="n">
        <v>5.5</v>
      </c>
      <c r="F80" s="3" t="inlineStr">
        <is>
          <t>py</t>
        </is>
      </c>
    </row>
    <row r="81">
      <c r="A81" s="3" t="n">
        <v>78</v>
      </c>
      <c r="B81" s="3" t="inlineStr">
        <is>
          <t>material_engine_v3\tasks\queue.py</t>
        </is>
      </c>
      <c r="C81" s="3" t="inlineStr">
        <is>
          <t>material_engine_v3</t>
        </is>
      </c>
      <c r="D81" s="3" t="n">
        <v>46</v>
      </c>
      <c r="E81" s="3" t="n">
        <v>2.1</v>
      </c>
      <c r="F81" s="3" t="inlineStr">
        <is>
          <t>py</t>
        </is>
      </c>
    </row>
    <row r="82">
      <c r="A82" s="3" t="n">
        <v>79</v>
      </c>
      <c r="B82" s="3" t="inlineStr">
        <is>
          <t>material_engine_v3\upgrade.py</t>
        </is>
      </c>
      <c r="C82" s="3" t="inlineStr">
        <is>
          <t>material_engine_v3</t>
        </is>
      </c>
      <c r="D82" s="3" t="n">
        <v>108</v>
      </c>
      <c r="E82" s="3" t="n">
        <v>5.1</v>
      </c>
      <c r="F82" s="3" t="inlineStr">
        <is>
          <t>py</t>
        </is>
      </c>
    </row>
    <row r="83">
      <c r="A83" s="3" t="n">
        <v>80</v>
      </c>
      <c r="B83" s="3" t="inlineStr">
        <is>
          <t>migrate_v3_to_v5.py</t>
        </is>
      </c>
      <c r="C83" s="3" t="inlineStr">
        <is>
          <t>(根)</t>
        </is>
      </c>
      <c r="D83" s="3" t="n">
        <v>106</v>
      </c>
      <c r="E83" s="3" t="n">
        <v>3.8</v>
      </c>
      <c r="F83" s="3" t="inlineStr">
        <is>
          <t>py</t>
        </is>
      </c>
    </row>
    <row r="84">
      <c r="A84" s="3" t="n">
        <v>81</v>
      </c>
      <c r="B84" s="3" t="inlineStr">
        <is>
          <t>modules\__init__.py</t>
        </is>
      </c>
      <c r="C84" s="3" t="inlineStr">
        <is>
          <t>modules</t>
        </is>
      </c>
      <c r="D84" s="3" t="n">
        <v>0</v>
      </c>
      <c r="E84" s="3" t="n">
        <v>0</v>
      </c>
      <c r="F84" s="3" t="inlineStr">
        <is>
          <t>py</t>
        </is>
      </c>
    </row>
    <row r="86">
      <c r="A86" s="4" t="inlineStr">
        <is>
          <t>文件总数</t>
        </is>
      </c>
      <c r="B86" s="5" t="n">
        <v>81</v>
      </c>
    </row>
    <row r="87">
      <c r="A87" s="4" t="inlineStr">
        <is>
          <t>代码总行数</t>
        </is>
      </c>
      <c r="B87" s="5" t="n">
        <v>17142</v>
      </c>
    </row>
    <row r="88">
      <c r="A88" s="4" t="inlineStr">
        <is>
          <t>总大小(KB)</t>
        </is>
      </c>
      <c r="B88" s="5" t="n">
        <v>705.8</v>
      </c>
    </row>
    <row r="89">
      <c r="A89" s="4" t="inlineStr">
        <is>
          <t>导出时间</t>
        </is>
      </c>
      <c r="B89" s="5" t="inlineStr">
        <is>
          <t>2026-06-25 14:52:24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_deploy.py</t>
        </is>
      </c>
      <c r="C1" s="5" t="inlineStr">
        <is>
          <t>行数: 132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 -*- coding: utf-8 -*-</t>
        </is>
      </c>
    </row>
    <row r="5">
      <c r="A5" s="9" t="n">
        <v>2</v>
      </c>
      <c r="B5" s="10" t="inlineStr">
        <is>
          <t>"""v3.0 部署脚本 - 从 Excel 提取全部代码写入项目目录"""</t>
        </is>
      </c>
    </row>
    <row r="6">
      <c r="A6" s="7" t="n">
        <v>3</v>
      </c>
      <c r="B6" s="8" t="inlineStr">
        <is>
          <t>import os, sys</t>
        </is>
      </c>
    </row>
    <row r="7">
      <c r="A7" s="9" t="n">
        <v>4</v>
      </c>
      <c r="B7" s="10" t="inlineStr">
        <is>
          <t>sys.dont_write_bytecode = True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PROJECT_ROOT = r"E:\树剪软件相关文件"</t>
        </is>
      </c>
    </row>
    <row r="10">
      <c r="A10" s="7" t="n">
        <v>7</v>
      </c>
      <c r="B10" s="8" t="inlineStr">
        <is>
          <t>EXCEL1 = r"C:\Users\admin\Desktop\树剪_v3.0_代码_第1部分.xlsx"</t>
        </is>
      </c>
    </row>
    <row r="11">
      <c r="A11" s="9" t="n">
        <v>8</v>
      </c>
      <c r="B11" s="10" t="inlineStr">
        <is>
          <t>EXCEL2 = r"C:\Users\admin\Desktop\树剪_v3.0_代码_第2部分.xlsx"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try:</t>
        </is>
      </c>
    </row>
    <row r="14">
      <c r="A14" s="7" t="n">
        <v>11</v>
      </c>
      <c r="B14" s="8" t="inlineStr">
        <is>
          <t xml:space="preserve">    import openpyxl</t>
        </is>
      </c>
    </row>
    <row r="15">
      <c r="A15" s="9" t="n">
        <v>12</v>
      </c>
      <c r="B15" s="10" t="inlineStr">
        <is>
          <t>except ImportError:</t>
        </is>
      </c>
    </row>
    <row r="16">
      <c r="A16" s="7" t="n">
        <v>13</v>
      </c>
      <c r="B16" s="8" t="inlineStr">
        <is>
          <t xml:space="preserve">    import subprocess</t>
        </is>
      </c>
    </row>
    <row r="17">
      <c r="A17" s="9" t="n">
        <v>14</v>
      </c>
      <c r="B17" s="10" t="inlineStr">
        <is>
          <t xml:space="preserve">    subprocess.check_call([sys.executable, "-m", "pip", "install", "openpyxl", "-q", "-i", "https://pypi.tuna.tsinghua.edu.cn/simple"])</t>
        </is>
      </c>
    </row>
    <row r="18">
      <c r="A18" s="7" t="n">
        <v>15</v>
      </c>
      <c r="B18" s="8" t="inlineStr">
        <is>
          <t xml:space="preserve">    import openpyxl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def extract_path(line):</t>
        </is>
      </c>
    </row>
    <row r="21">
      <c r="A21" s="9" t="n">
        <v>18</v>
      </c>
      <c r="B21" s="10" t="inlineStr">
        <is>
          <t xml:space="preserve">    s = line[2:].strip()</t>
        </is>
      </c>
    </row>
    <row r="22">
      <c r="A22" s="7" t="n">
        <v>19</v>
      </c>
      <c r="B22" s="8" t="inlineStr">
        <is>
          <t xml:space="preserve">    idx = s.rfind("(")</t>
        </is>
      </c>
    </row>
    <row r="23">
      <c r="A23" s="9" t="n">
        <v>20</v>
      </c>
      <c r="B23" s="10" t="inlineStr">
        <is>
          <t xml:space="preserve">    if idx &gt; 0:</t>
        </is>
      </c>
    </row>
    <row r="24">
      <c r="A24" s="7" t="n">
        <v>21</v>
      </c>
      <c r="B24" s="8" t="inlineStr">
        <is>
          <t xml:space="preserve">        s = s[:idx].strip()</t>
        </is>
      </c>
    </row>
    <row r="25">
      <c r="A25" s="9" t="n">
        <v>22</v>
      </c>
      <c r="B25" s="10" t="inlineStr">
        <is>
          <t xml:space="preserve">    return s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def write_file(rel_path, lines):</t>
        </is>
      </c>
    </row>
    <row r="28">
      <c r="A28" s="7" t="n">
        <v>25</v>
      </c>
      <c r="B28" s="8" t="inlineStr">
        <is>
          <t xml:space="preserve">    full = os.path.join(PROJECT_ROOT, rel_path)</t>
        </is>
      </c>
    </row>
    <row r="29">
      <c r="A29" s="9" t="n">
        <v>26</v>
      </c>
      <c r="B29" s="10" t="inlineStr">
        <is>
          <t xml:space="preserve">    dn = os.path.dirname(full)</t>
        </is>
      </c>
    </row>
    <row r="30">
      <c r="A30" s="7" t="n">
        <v>27</v>
      </c>
      <c r="B30" s="8" t="inlineStr">
        <is>
          <t xml:space="preserve">    os.makedirs(dn, exist_ok=True)</t>
        </is>
      </c>
    </row>
    <row r="31">
      <c r="A31" s="9" t="n">
        <v>28</v>
      </c>
      <c r="B31" s="10" t="inlineStr">
        <is>
          <t xml:space="preserve">    content = "\n".join(lines)</t>
        </is>
      </c>
    </row>
    <row r="32">
      <c r="A32" s="7" t="n">
        <v>29</v>
      </c>
      <c r="B32" s="8" t="inlineStr">
        <is>
          <t xml:space="preserve">    if not content.endswith("\n"):</t>
        </is>
      </c>
    </row>
    <row r="33">
      <c r="A33" s="9" t="n">
        <v>30</v>
      </c>
      <c r="B33" s="10" t="inlineStr">
        <is>
          <t xml:space="preserve">        content += "\n"</t>
        </is>
      </c>
    </row>
    <row r="34">
      <c r="A34" s="7" t="n">
        <v>31</v>
      </c>
      <c r="B34" s="8" t="inlineStr">
        <is>
          <t xml:space="preserve">    with open(full, "w", encoding="utf-8", newline="\n") as f:</t>
        </is>
      </c>
    </row>
    <row r="35">
      <c r="A35" s="9" t="n">
        <v>32</v>
      </c>
      <c r="B35" s="10" t="inlineStr">
        <is>
          <t xml:space="preserve">        f.write(content)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>total = 0</t>
        </is>
      </c>
    </row>
    <row r="38">
      <c r="A38" s="7" t="n">
        <v>35</v>
      </c>
      <c r="B38" s="8" t="inlineStr">
        <is>
          <t>all_paths = []</t>
        </is>
      </c>
    </row>
    <row r="39">
      <c r="A39" s="9" t="n">
        <v>36</v>
      </c>
      <c r="B39" s="10" t="inlineStr">
        <is>
          <t>lines_total = 0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>for xlsx_path, label in [(EXCEL1, "Part1"), (EXCEL2, "Part2")]:</t>
        </is>
      </c>
    </row>
    <row r="42">
      <c r="A42" s="7" t="n">
        <v>39</v>
      </c>
      <c r="B42" s="8" t="inlineStr">
        <is>
          <t xml:space="preserve">    if not os.path.exists(xlsx_path):</t>
        </is>
      </c>
    </row>
    <row r="43">
      <c r="A43" s="9" t="n">
        <v>40</v>
      </c>
      <c r="B43" s="10" t="inlineStr">
        <is>
          <t xml:space="preserve">        print(f"[{label}] MISSING: {xlsx_path}")</t>
        </is>
      </c>
    </row>
    <row r="44">
      <c r="A44" s="7" t="n">
        <v>41</v>
      </c>
      <c r="B44" s="8" t="inlineStr">
        <is>
          <t xml:space="preserve">        continue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>
        <is>
          <t xml:space="preserve">    print(f"[{label}] Reading {os.path.basename(xlsx_path)}")</t>
        </is>
      </c>
    </row>
    <row r="47">
      <c r="A47" s="9" t="n">
        <v>44</v>
      </c>
      <c r="B47" s="10" t="inlineStr">
        <is>
          <t xml:space="preserve">    wb = openpyxl.load_workbook(xlsx_path, read_only=True, data_only=True)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 xml:space="preserve">    if "全部源代码" not in wb.sheetnames:</t>
        </is>
      </c>
    </row>
    <row r="50">
      <c r="A50" s="7" t="n">
        <v>47</v>
      </c>
      <c r="B50" s="8" t="inlineStr">
        <is>
          <t xml:space="preserve">        print(f"  ERROR: Sheet '全部源代码' not found. Available: {wb.sheetnames}")</t>
        </is>
      </c>
    </row>
    <row r="51">
      <c r="A51" s="9" t="n">
        <v>48</v>
      </c>
      <c r="B51" s="10" t="inlineStr">
        <is>
          <t xml:space="preserve">        wb.close()</t>
        </is>
      </c>
    </row>
    <row r="52">
      <c r="A52" s="7" t="n">
        <v>49</v>
      </c>
      <c r="B52" s="8" t="inlineStr">
        <is>
          <t xml:space="preserve">        continue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>
        <is>
          <t xml:space="preserve">    ws = wb["全部源代码"]</t>
        </is>
      </c>
    </row>
    <row r="55">
      <c r="A55" s="9" t="n">
        <v>52</v>
      </c>
      <c r="B55" s="10" t="inlineStr">
        <is>
          <t xml:space="preserve">    cur_path = None</t>
        </is>
      </c>
    </row>
    <row r="56">
      <c r="A56" s="7" t="n">
        <v>53</v>
      </c>
      <c r="B56" s="8" t="inlineStr">
        <is>
          <t xml:space="preserve">    cur_lines = []</t>
        </is>
      </c>
    </row>
    <row r="57">
      <c r="A57" s="9" t="n">
        <v>54</v>
      </c>
      <c r="B57" s="10" t="inlineStr"/>
    </row>
    <row r="58">
      <c r="A58" s="7" t="n">
        <v>55</v>
      </c>
      <c r="B58" s="8" t="inlineStr">
        <is>
          <t xml:space="preserve">    for row in ws.iter_rows(min_row=3, max_col=3, values_only=True):</t>
        </is>
      </c>
    </row>
    <row r="59">
      <c r="A59" s="9" t="n">
        <v>56</v>
      </c>
      <c r="B59" s="10" t="inlineStr">
        <is>
          <t xml:space="preserve">        pv, lv, cv = row</t>
        </is>
      </c>
    </row>
    <row r="60">
      <c r="A60" s="7" t="n">
        <v>57</v>
      </c>
      <c r="B60" s="8" t="inlineStr">
        <is>
          <t xml:space="preserve">        if pv and isinstance(pv, str) and pv.startswith("# ") and "E:" not in pv:</t>
        </is>
      </c>
    </row>
    <row r="61">
      <c r="A61" s="9" t="n">
        <v>58</v>
      </c>
      <c r="B61" s="10" t="inlineStr">
        <is>
          <t xml:space="preserve">            if cur_path and cur_lines:</t>
        </is>
      </c>
    </row>
    <row r="62">
      <c r="A62" s="7" t="n">
        <v>59</v>
      </c>
      <c r="B62" s="8" t="inlineStr">
        <is>
          <t xml:space="preserve">                write_file(cur_path, cur_lines)</t>
        </is>
      </c>
    </row>
    <row r="63">
      <c r="A63" s="9" t="n">
        <v>60</v>
      </c>
      <c r="B63" s="10" t="inlineStr">
        <is>
          <t xml:space="preserve">                all_paths.append(cur_path)</t>
        </is>
      </c>
    </row>
    <row r="64">
      <c r="A64" s="7" t="n">
        <v>61</v>
      </c>
      <c r="B64" s="8" t="inlineStr">
        <is>
          <t xml:space="preserve">                lines_total += len(cur_lines)</t>
        </is>
      </c>
    </row>
    <row r="65">
      <c r="A65" s="9" t="n">
        <v>62</v>
      </c>
      <c r="B65" s="10" t="inlineStr">
        <is>
          <t xml:space="preserve">                total += 1</t>
        </is>
      </c>
    </row>
    <row r="66">
      <c r="A66" s="7" t="n">
        <v>63</v>
      </c>
      <c r="B66" s="8" t="inlineStr">
        <is>
          <t xml:space="preserve">            cur_path = extract_path(pv)</t>
        </is>
      </c>
    </row>
    <row r="67">
      <c r="A67" s="9" t="n">
        <v>64</v>
      </c>
      <c r="B67" s="10" t="inlineStr">
        <is>
          <t xml:space="preserve">            cur_lines = []</t>
        </is>
      </c>
    </row>
    <row r="68">
      <c r="A68" s="7" t="n">
        <v>65</v>
      </c>
      <c r="B68" s="8" t="inlineStr">
        <is>
          <t xml:space="preserve">            continue</t>
        </is>
      </c>
    </row>
    <row r="69">
      <c r="A69" s="9" t="n">
        <v>66</v>
      </c>
      <c r="B69" s="10" t="inlineStr">
        <is>
          <t xml:space="preserve">        if cur_path and cv is not None:</t>
        </is>
      </c>
    </row>
    <row r="70">
      <c r="A70" s="7" t="n">
        <v>67</v>
      </c>
      <c r="B70" s="8" t="inlineStr">
        <is>
          <t xml:space="preserve">            cur_lines.append(str(cv))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 xml:space="preserve">    if cur_path and cur_lines:</t>
        </is>
      </c>
    </row>
    <row r="73">
      <c r="A73" s="9" t="n">
        <v>70</v>
      </c>
      <c r="B73" s="10" t="inlineStr">
        <is>
          <t xml:space="preserve">        write_file(cur_path, cur_lines)</t>
        </is>
      </c>
    </row>
    <row r="74">
      <c r="A74" s="7" t="n">
        <v>71</v>
      </c>
      <c r="B74" s="8" t="inlineStr">
        <is>
          <t xml:space="preserve">        all_paths.append(cur_path)</t>
        </is>
      </c>
    </row>
    <row r="75">
      <c r="A75" s="9" t="n">
        <v>72</v>
      </c>
      <c r="B75" s="10" t="inlineStr">
        <is>
          <t xml:space="preserve">        lines_total += len(cur_lines)</t>
        </is>
      </c>
    </row>
    <row r="76">
      <c r="A76" s="7" t="n">
        <v>73</v>
      </c>
      <c r="B76" s="8" t="inlineStr">
        <is>
          <t xml:space="preserve">        total += 1</t>
        </is>
      </c>
    </row>
    <row r="77">
      <c r="A77" s="9" t="n">
        <v>74</v>
      </c>
      <c r="B77" s="10" t="inlineStr"/>
    </row>
    <row r="78">
      <c r="A78" s="7" t="n">
        <v>75</v>
      </c>
      <c r="B78" s="8" t="inlineStr">
        <is>
          <t xml:space="preserve">    wb.close()</t>
        </is>
      </c>
    </row>
    <row r="79">
      <c r="A79" s="9" t="n">
        <v>76</v>
      </c>
      <c r="B79" s="10" t="inlineStr">
        <is>
          <t xml:space="preserve">    print(f"  [{label}] Done")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>print(f"\n{'='*60}")</t>
        </is>
      </c>
    </row>
    <row r="82">
      <c r="A82" s="7" t="n">
        <v>79</v>
      </c>
      <c r="B82" s="8" t="inlineStr">
        <is>
          <t>print(f"DEPLOYED: {total} files, {lines_total} total lines")</t>
        </is>
      </c>
    </row>
    <row r="83">
      <c r="A83" s="9" t="n">
        <v>80</v>
      </c>
      <c r="B83" s="10" t="inlineStr">
        <is>
          <t>print(f"PROJECT_ROOT: {PROJECT_ROOT}")</t>
        </is>
      </c>
    </row>
    <row r="84">
      <c r="A84" s="7" t="n">
        <v>81</v>
      </c>
      <c r="B84" s="8" t="inlineStr">
        <is>
          <t>print(f"{'='*60}")</t>
        </is>
      </c>
    </row>
    <row r="85">
      <c r="A85" s="9" t="n">
        <v>82</v>
      </c>
      <c r="B85" s="10" t="inlineStr"/>
    </row>
    <row r="86">
      <c r="A86" s="7" t="n">
        <v>83</v>
      </c>
      <c r="B86" s="8" t="inlineStr">
        <is>
          <t># Verify critical files</t>
        </is>
      </c>
    </row>
    <row r="87">
      <c r="A87" s="9" t="n">
        <v>84</v>
      </c>
      <c r="B87" s="10" t="inlineStr">
        <is>
          <t>critical = [</t>
        </is>
      </c>
    </row>
    <row r="88">
      <c r="A88" s="7" t="n">
        <v>85</v>
      </c>
      <c r="B88" s="8" t="inlineStr">
        <is>
          <t xml:space="preserve">    "main.py", "requirements.txt",</t>
        </is>
      </c>
    </row>
    <row r="89">
      <c r="A89" s="9" t="n">
        <v>86</v>
      </c>
      <c r="B89" s="10" t="inlineStr">
        <is>
          <t xml:space="preserve">    "core/__init__.py", "core/config_loader.py", "core/database.py",</t>
        </is>
      </c>
    </row>
    <row r="90">
      <c r="A90" s="7" t="n">
        <v>87</v>
      </c>
      <c r="B90" s="8" t="inlineStr">
        <is>
          <t xml:space="preserve">    "core/model_pool.py", "core/plugin_manager.py", "core/process_manager.py",</t>
        </is>
      </c>
    </row>
    <row r="91">
      <c r="A91" s="9" t="n">
        <v>88</v>
      </c>
      <c r="B91" s="10" t="inlineStr">
        <is>
          <t xml:space="preserve">    "core/workflow_engine.py",</t>
        </is>
      </c>
    </row>
    <row r="92">
      <c r="A92" s="7" t="n">
        <v>89</v>
      </c>
      <c r="B92" s="8" t="inlineStr">
        <is>
          <t xml:space="preserve">    "plugins/base_plugin.py",</t>
        </is>
      </c>
    </row>
    <row r="93">
      <c r="A93" s="9" t="n">
        <v>90</v>
      </c>
      <c r="B93" s="10" t="inlineStr">
        <is>
          <t xml:space="preserve">    "plugins/recognize/__init__.py", "plugins/recognize/video_split_plugin.py",</t>
        </is>
      </c>
    </row>
    <row r="94">
      <c r="A94" s="7" t="n">
        <v>91</v>
      </c>
      <c r="B94" s="8" t="inlineStr">
        <is>
          <t xml:space="preserve">    "plugins/recognize/audio_transcribe_plugin.py", "plugins/recognize/subtitle_ocr_plugin.py",</t>
        </is>
      </c>
    </row>
    <row r="95">
      <c r="A95" s="9" t="n">
        <v>92</v>
      </c>
      <c r="B95" s="10" t="inlineStr">
        <is>
          <t xml:space="preserve">    "plugins/recognize/scene_tag_plugin.py", "plugins/recognize/bgm_classify_plugin.py",</t>
        </is>
      </c>
    </row>
    <row r="96">
      <c r="A96" s="7" t="n">
        <v>93</v>
      </c>
      <c r="B96" s="8" t="inlineStr">
        <is>
          <t xml:space="preserve">    "plugins/quality/__init__.py", "plugins/quality/black_frame_plugin.py",</t>
        </is>
      </c>
    </row>
    <row r="97">
      <c r="A97" s="9" t="n">
        <v>94</v>
      </c>
      <c r="B97" s="10" t="inlineStr">
        <is>
          <t xml:space="preserve">    "plugins/quality/param_check_plugin.py", "plugins/quality/blur_stutter_plugin.py",</t>
        </is>
      </c>
    </row>
    <row r="98">
      <c r="A98" s="7" t="n">
        <v>95</v>
      </c>
      <c r="B98" s="8" t="inlineStr">
        <is>
          <t xml:space="preserve">    "plugins/quality/aspect_check_plugin.py", "plugins/quality/subtitle_sync_plugin.py",</t>
        </is>
      </c>
    </row>
    <row r="99">
      <c r="A99" s="9" t="n">
        <v>96</v>
      </c>
      <c r="B99" s="10" t="inlineStr">
        <is>
          <t xml:space="preserve">    "plugins/quality/brand_detect_plugin.py",</t>
        </is>
      </c>
    </row>
    <row r="100">
      <c r="A100" s="7" t="n">
        <v>97</v>
      </c>
      <c r="B100" s="8" t="inlineStr">
        <is>
          <t xml:space="preserve">    "plugins/correct/__init__.py", "plugins/correct/trim_black_plugin.py",</t>
        </is>
      </c>
    </row>
    <row r="101">
      <c r="A101" s="9" t="n">
        <v>98</v>
      </c>
      <c r="B101" s="10" t="inlineStr">
        <is>
          <t xml:space="preserve">    "plugins/correct/subtitle_align_plugin.py", "plugins/correct/standard_transcode_plugin.py",</t>
        </is>
      </c>
    </row>
    <row r="102">
      <c r="A102" s="7" t="n">
        <v>99</v>
      </c>
      <c r="B102" s="8" t="inlineStr">
        <is>
          <t xml:space="preserve">    "utils/__init__.py", "utils/logger.py", "utils/vram_manager.py",</t>
        </is>
      </c>
    </row>
    <row r="103">
      <c r="A103" s="9" t="n">
        <v>100</v>
      </c>
      <c r="B103" s="10" t="inlineStr">
        <is>
          <t xml:space="preserve">    "utils/system_optimizer.py", "utils/cache_manager.py",</t>
        </is>
      </c>
    </row>
    <row r="104">
      <c r="A104" s="7" t="n">
        <v>101</v>
      </c>
      <c r="B104" s="8" t="inlineStr">
        <is>
          <t xml:space="preserve">    "utils/ffmpeg_utils.py", "utils/vector_store.py",</t>
        </is>
      </c>
    </row>
    <row r="105">
      <c r="A105" s="9" t="n">
        <v>102</v>
      </c>
      <c r="B105" s="10" t="inlineStr">
        <is>
          <t xml:space="preserve">    "tasks/__init__.py", "tasks/task_queue.py",</t>
        </is>
      </c>
    </row>
    <row r="106">
      <c r="A106" s="7" t="n">
        <v>103</v>
      </c>
      <c r="B106" s="8" t="inlineStr">
        <is>
          <t xml:space="preserve">    "dashboard/app.py",</t>
        </is>
      </c>
    </row>
    <row r="107">
      <c r="A107" s="9" t="n">
        <v>104</v>
      </c>
      <c r="B107" s="10" t="inlineStr">
        <is>
          <t xml:space="preserve">    "config/system_config.yaml", "config/optimize_config.yaml",</t>
        </is>
      </c>
    </row>
    <row r="108">
      <c r="A108" s="7" t="n">
        <v>105</v>
      </c>
      <c r="B108" s="8" t="inlineStr">
        <is>
          <t xml:space="preserve">    "modules/__init__.py", "modules/video_analyzer.py", "modules/audio_analyzer.py",</t>
        </is>
      </c>
    </row>
    <row r="109">
      <c r="A109" s="9" t="n">
        <v>106</v>
      </c>
      <c r="B109" s="10" t="inlineStr">
        <is>
          <t xml:space="preserve">    "modules/subtitle_analyzer.py", "modules/advanced_quality.py",</t>
        </is>
      </c>
    </row>
    <row r="110">
      <c r="A110" s="7" t="n">
        <v>107</v>
      </c>
      <c r="B110" s="8" t="inlineStr">
        <is>
          <t xml:space="preserve">    "modules/scene_understanding.py", "modules/audio_classifier.py",</t>
        </is>
      </c>
    </row>
    <row r="111">
      <c r="A111" s="9" t="n">
        <v>108</v>
      </c>
      <c r="B111" s="10" t="inlineStr">
        <is>
          <t xml:space="preserve">    "modules/auto_corrector.py",</t>
        </is>
      </c>
    </row>
    <row r="112">
      <c r="A112" s="7" t="n">
        <v>109</v>
      </c>
      <c r="B112" s="8" t="inlineStr">
        <is>
          <t xml:space="preserve">    "requirements/phase2_optimize.txt",</t>
        </is>
      </c>
    </row>
    <row r="113">
      <c r="A113" s="9" t="n">
        <v>110</v>
      </c>
      <c r="B113" s="10" t="inlineStr">
        <is>
          <t>]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>
        <is>
          <t>print("\n=== Critical files check ===")</t>
        </is>
      </c>
    </row>
    <row r="116">
      <c r="A116" s="7" t="n">
        <v>113</v>
      </c>
      <c r="B116" s="8" t="inlineStr">
        <is>
          <t>ok = 0</t>
        </is>
      </c>
    </row>
    <row r="117">
      <c r="A117" s="9" t="n">
        <v>114</v>
      </c>
      <c r="B117" s="10" t="inlineStr">
        <is>
          <t>miss = []</t>
        </is>
      </c>
    </row>
    <row r="118">
      <c r="A118" s="7" t="n">
        <v>115</v>
      </c>
      <c r="B118" s="8" t="inlineStr">
        <is>
          <t>for f in critical:</t>
        </is>
      </c>
    </row>
    <row r="119">
      <c r="A119" s="9" t="n">
        <v>116</v>
      </c>
      <c r="B119" s="10" t="inlineStr">
        <is>
          <t xml:space="preserve">    p = os.path.join(PROJECT_ROOT, f)</t>
        </is>
      </c>
    </row>
    <row r="120">
      <c r="A120" s="7" t="n">
        <v>117</v>
      </c>
      <c r="B120" s="8" t="inlineStr">
        <is>
          <t xml:space="preserve">    if os.path.exists(p):</t>
        </is>
      </c>
    </row>
    <row r="121">
      <c r="A121" s="9" t="n">
        <v>118</v>
      </c>
      <c r="B121" s="10" t="inlineStr">
        <is>
          <t xml:space="preserve">        ok += 1</t>
        </is>
      </c>
    </row>
    <row r="122">
      <c r="A122" s="7" t="n">
        <v>119</v>
      </c>
      <c r="B122" s="8" t="inlineStr">
        <is>
          <t xml:space="preserve">    else:</t>
        </is>
      </c>
    </row>
    <row r="123">
      <c r="A123" s="9" t="n">
        <v>120</v>
      </c>
      <c r="B123" s="10" t="inlineStr">
        <is>
          <t xml:space="preserve">        miss.append(f)</t>
        </is>
      </c>
    </row>
    <row r="124">
      <c r="A124" s="7" t="n">
        <v>121</v>
      </c>
      <c r="B124" s="8" t="inlineStr">
        <is>
          <t xml:space="preserve">        print(f"  MISSING: {f}")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>print(f"  {ok}/{len(critical)} present")</t>
        </is>
      </c>
    </row>
    <row r="127">
      <c r="A127" s="9" t="n">
        <v>124</v>
      </c>
      <c r="B127" s="10" t="inlineStr">
        <is>
          <t>if miss:</t>
        </is>
      </c>
    </row>
    <row r="128">
      <c r="A128" s="7" t="n">
        <v>125</v>
      </c>
      <c r="B128" s="8" t="inlineStr">
        <is>
          <t xml:space="preserve">    print(f"  MISSING ({len(miss)}): {', '.join(miss)}")</t>
        </is>
      </c>
    </row>
    <row r="129">
      <c r="A129" s="9" t="n">
        <v>126</v>
      </c>
      <c r="B129" s="10" t="inlineStr">
        <is>
          <t>else:</t>
        </is>
      </c>
    </row>
    <row r="130">
      <c r="A130" s="7" t="n">
        <v>127</v>
      </c>
      <c r="B130" s="8" t="inlineStr">
        <is>
          <t xml:space="preserve">    print("  ALL CRITICAL FILES PRESENT")</t>
        </is>
      </c>
    </row>
    <row r="131">
      <c r="A131" s="9" t="n">
        <v>128</v>
      </c>
      <c r="B131" s="10" t="inlineStr"/>
    </row>
    <row r="132">
      <c r="A132" s="7" t="n">
        <v>129</v>
      </c>
      <c r="B132" s="8" t="inlineStr">
        <is>
          <t># List all deployed</t>
        </is>
      </c>
    </row>
    <row r="133">
      <c r="A133" s="9" t="n">
        <v>130</v>
      </c>
      <c r="B133" s="10" t="inlineStr">
        <is>
          <t>print(f"\n=== All {total} files ===")</t>
        </is>
      </c>
    </row>
    <row r="134">
      <c r="A134" s="7" t="n">
        <v>131</v>
      </c>
      <c r="B134" s="8" t="inlineStr">
        <is>
          <t>for p in sorted(all_paths):</t>
        </is>
      </c>
    </row>
    <row r="135">
      <c r="A135" s="9" t="n">
        <v>132</v>
      </c>
      <c r="B135" s="10" t="inlineStr">
        <is>
          <t xml:space="preserve">    print(f"  {p}")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_gen_excel.py</t>
        </is>
      </c>
      <c r="C1" s="5" t="inlineStr">
        <is>
          <t>行数: 130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"""Generate program description + complete code Excel files"""</t>
        </is>
      </c>
    </row>
    <row r="5">
      <c r="A5" s="9" t="n">
        <v>2</v>
      </c>
      <c r="B5" s="10" t="inlineStr">
        <is>
          <t>import os, sys, json</t>
        </is>
      </c>
    </row>
    <row r="6">
      <c r="A6" s="7" t="n">
        <v>3</v>
      </c>
      <c r="B6" s="8" t="inlineStr">
        <is>
          <t>from pathlib import Path</t>
        </is>
      </c>
    </row>
    <row r="7">
      <c r="A7" s="9" t="n">
        <v>4</v>
      </c>
      <c r="B7" s="10" t="inlineStr">
        <is>
          <t>from datetime import datetime</t>
        </is>
      </c>
    </row>
    <row r="8">
      <c r="A8" s="7" t="n">
        <v>5</v>
      </c>
      <c r="B8" s="8" t="inlineStr">
        <is>
          <t>sys.path.insert(0, ".")</t>
        </is>
      </c>
    </row>
    <row r="9">
      <c r="A9" s="9" t="n">
        <v>6</v>
      </c>
      <c r="B9" s="10" t="inlineStr">
        <is>
          <t>import openpyxl</t>
        </is>
      </c>
    </row>
    <row r="10">
      <c r="A10" s="7" t="n">
        <v>7</v>
      </c>
      <c r="B10" s="8" t="inlineStr">
        <is>
          <t>from openpyxl.styles import Font, Alignment, PatternFill, Border, Side</t>
        </is>
      </c>
    </row>
    <row r="11">
      <c r="A11" s="9" t="n">
        <v>8</v>
      </c>
      <c r="B11" s="10" t="inlineStr"/>
    </row>
    <row r="12">
      <c r="A12" s="7" t="n">
        <v>9</v>
      </c>
      <c r="B12" s="8" t="inlineStr">
        <is>
          <t>DESKTOP = Path.home() / "Desktop"</t>
        </is>
      </c>
    </row>
    <row r="13">
      <c r="A13" s="9" t="n">
        <v>10</v>
      </c>
      <c r="B13" s="10" t="inlineStr">
        <is>
          <t>PROJ = Path(__file__).parent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# Styles</t>
        </is>
      </c>
    </row>
    <row r="16">
      <c r="A16" s="7" t="n">
        <v>13</v>
      </c>
      <c r="B16" s="8" t="inlineStr">
        <is>
          <t>hdr_fill = PatternFill(start_color="1a1a2e", end_color="1a1a2e", fill_type="solid")</t>
        </is>
      </c>
    </row>
    <row r="17">
      <c r="A17" s="9" t="n">
        <v>14</v>
      </c>
      <c r="B17" s="10" t="inlineStr">
        <is>
          <t>acc_fill = PatternFill(start_color="4f8ef7", end_color="4f8ef7", fill_type="solid")</t>
        </is>
      </c>
    </row>
    <row r="18">
      <c r="A18" s="7" t="n">
        <v>15</v>
      </c>
      <c r="B18" s="8" t="inlineStr">
        <is>
          <t>light_fill = PatternFill(start_color="e8eaf6", end_color="e8eaf6", fill_type="solid")</t>
        </is>
      </c>
    </row>
    <row r="19">
      <c r="A19" s="9" t="n">
        <v>16</v>
      </c>
      <c r="B19" s="10" t="inlineStr">
        <is>
          <t>title_font = Font(name="Microsoft YaHei", size=16, bold=True, color="FFFFFF")</t>
        </is>
      </c>
    </row>
    <row r="20">
      <c r="A20" s="7" t="n">
        <v>17</v>
      </c>
      <c r="B20" s="8" t="inlineStr">
        <is>
          <t>h1_font = Font(name="Microsoft YaHei", size=14, bold=True, color="1a1a2e")</t>
        </is>
      </c>
    </row>
    <row r="21">
      <c r="A21" s="9" t="n">
        <v>18</v>
      </c>
      <c r="B21" s="10" t="inlineStr">
        <is>
          <t>h2_font = Font(name="Microsoft YaHei", size=12, bold=True, color="4f8ef7")</t>
        </is>
      </c>
    </row>
    <row r="22">
      <c r="A22" s="7" t="n">
        <v>19</v>
      </c>
      <c r="B22" s="8" t="inlineStr">
        <is>
          <t>body_font = Font(name="Microsoft YaHei", size=11)</t>
        </is>
      </c>
    </row>
    <row r="23">
      <c r="A23" s="9" t="n">
        <v>20</v>
      </c>
      <c r="B23" s="10" t="inlineStr">
        <is>
          <t>code_font = Font(name="Consolas", size=10)</t>
        </is>
      </c>
    </row>
    <row r="24">
      <c r="A24" s="7" t="n">
        <v>21</v>
      </c>
      <c r="B24" s="8" t="inlineStr">
        <is>
          <t>thin_border = Border(left=Side(style="thin"), right=Side(style="thin"), top=Side(style="thin"), bottom=Side(style="thin"))</t>
        </is>
      </c>
    </row>
    <row r="25">
      <c r="A25" s="9" t="n">
        <v>22</v>
      </c>
      <c r="B25" s="10" t="inlineStr">
        <is>
          <t>wrap = Alignment(wrap_text=True, vertical="top")</t>
        </is>
      </c>
    </row>
    <row r="26">
      <c r="A26" s="7" t="n">
        <v>23</v>
      </c>
      <c r="B26" s="8" t="inlineStr">
        <is>
          <t>center = Alignment(horizontal="center", vertical="center")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># ==================== File 1: Program Description ====================</t>
        </is>
      </c>
    </row>
    <row r="29">
      <c r="A29" s="9" t="n">
        <v>26</v>
      </c>
      <c r="B29" s="10" t="inlineStr">
        <is>
          <t>wb1 = openpyxl.Workbook()</t>
        </is>
      </c>
    </row>
    <row r="30">
      <c r="A30" s="7" t="n">
        <v>27</v>
      </c>
      <c r="B30" s="8" t="inlineStr">
        <is>
          <t>ws = wb1.active; ws.title = "TreeCut说明"</t>
        </is>
      </c>
    </row>
    <row r="31">
      <c r="A31" s="9" t="n">
        <v>28</v>
      </c>
      <c r="B31" s="10" t="inlineStr">
        <is>
          <t>ws.column_dimensions['A'].width = 5; ws.column_dimensions['B'].width = 40; ws.column_dimensions['C'].width = 90</t>
        </is>
      </c>
    </row>
    <row r="32">
      <c r="A32" s="7" t="n">
        <v>29</v>
      </c>
      <c r="B32" s="8" t="inlineStr">
        <is>
          <t>row = 1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def add_title(text, r):</t>
        </is>
      </c>
    </row>
    <row r="35">
      <c r="A35" s="9" t="n">
        <v>32</v>
      </c>
      <c r="B35" s="10" t="inlineStr">
        <is>
          <t xml:space="preserve">    ws.merge_cells(start_row=r, start_column=1, end_row=r, end_column=3)</t>
        </is>
      </c>
    </row>
    <row r="36">
      <c r="A36" s="7" t="n">
        <v>33</v>
      </c>
      <c r="B36" s="8" t="inlineStr">
        <is>
          <t xml:space="preserve">    c = ws.cell(row=r, column=1, value=text); c.font = title_font; c.fill = hdr_fill; c.alignment = center</t>
        </is>
      </c>
    </row>
    <row r="37">
      <c r="A37" s="9" t="n">
        <v>34</v>
      </c>
      <c r="B37" s="10" t="inlineStr">
        <is>
          <t xml:space="preserve">    ws.row_dimensions[r].height = 40; return r + 1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>def add_h1(text, r):</t>
        </is>
      </c>
    </row>
    <row r="40">
      <c r="A40" s="7" t="n">
        <v>37</v>
      </c>
      <c r="B40" s="8" t="inlineStr">
        <is>
          <t xml:space="preserve">    ws.merge_cells(start_row=r, start_column=1, end_row=r, end_column=3)</t>
        </is>
      </c>
    </row>
    <row r="41">
      <c r="A41" s="9" t="n">
        <v>38</v>
      </c>
      <c r="B41" s="10" t="inlineStr">
        <is>
          <t xml:space="preserve">    ws.cell(row=r, column=1, value=text).font = h1_font; ws.cell(row=r, column=1).fill = light_fill</t>
        </is>
      </c>
    </row>
    <row r="42">
      <c r="A42" s="7" t="n">
        <v>39</v>
      </c>
      <c r="B42" s="8" t="inlineStr">
        <is>
          <t xml:space="preserve">    ws.row_dimensions[r].height = 30; return r + 1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>
        <is>
          <t>def add_row(label, value, r):</t>
        </is>
      </c>
    </row>
    <row r="45">
      <c r="A45" s="9" t="n">
        <v>42</v>
      </c>
      <c r="B45" s="10" t="inlineStr">
        <is>
          <t xml:space="preserve">    ws.cell(row=r, column=1, value=label).font = h2_font; ws.cell(row=r, column=1).fill = light_fill; ws.cell(row=r, column=1).border = thin_border</t>
        </is>
      </c>
    </row>
    <row r="46">
      <c r="A46" s="7" t="n">
        <v>43</v>
      </c>
      <c r="B46" s="8" t="inlineStr">
        <is>
          <t xml:space="preserve">    ws.merge_cells(start_row=r, start_column=2, end_row=r, end_column=3)</t>
        </is>
      </c>
    </row>
    <row r="47">
      <c r="A47" s="9" t="n">
        <v>44</v>
      </c>
      <c r="B47" s="10" t="inlineStr">
        <is>
          <t xml:space="preserve">    ws.cell(row=r, column=2, value=value).font = body_font; ws.cell(row=r, column=2).fill = PatternFill(); ws.cell(row=r, column=2).border = thin_border; ws.cell(row=r, column=2).alignment = wrap</t>
        </is>
      </c>
    </row>
    <row r="48">
      <c r="A48" s="7" t="n">
        <v>45</v>
      </c>
      <c r="B48" s="8" t="inlineStr">
        <is>
          <t xml:space="preserve">    ws.row_dimensions[r].height = max(28, 15 * (len(str(value)) // 70 + 1)); return r + 1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>row = add_title("TreeCut v10.3 - AI Video Editor", row); row += 1</t>
        </is>
      </c>
    </row>
    <row r="51">
      <c r="A51" s="9" t="n">
        <v>48</v>
      </c>
      <c r="B51" s="10" t="inlineStr">
        <is>
          <t>row = add_h1("What It Is", row)</t>
        </is>
      </c>
    </row>
    <row r="52">
      <c r="A52" s="7" t="n">
        <v>49</v>
      </c>
      <c r="B52" s="8" t="inlineStr">
        <is>
          <t>row = add_row("Product", "AI-powered semi-automatic video editing tool for Xiaohongshu kitchen island/home industry. Input keywords -&gt; AI generates scripts + voiceover + matches footage -&gt; JianYing Pro draft files.", row)</t>
        </is>
      </c>
    </row>
    <row r="53">
      <c r="A53" s="9" t="n">
        <v>50</v>
      </c>
      <c r="B53" s="10" t="inlineStr">
        <is>
          <t>row = add_row("Version", "v10.3 (2026-06-11)", row)</t>
        </is>
      </c>
    </row>
    <row r="54">
      <c r="A54" s="7" t="n">
        <v>51</v>
      </c>
      <c r="B54" s="8" t="inlineStr">
        <is>
          <t>row = add_row("Tech Stack", "Python 3.12 + DeepSeek API + Edge TTS + Qwen3-VL-4B + Florence-2 + CLIP ViT-L + YOLOv8n + SenseVoice + Faster-Whisper + FAISS + BGE-M3 + Ollama", row)</t>
        </is>
      </c>
    </row>
    <row r="55">
      <c r="A55" s="9" t="n">
        <v>52</v>
      </c>
      <c r="B55" s="10" t="inlineStr">
        <is>
          <t>row = add_row("Code Scale", "42 Python modules, 55 files total", row)</t>
        </is>
      </c>
    </row>
    <row r="56">
      <c r="A56" s="7" t="n">
        <v>53</v>
      </c>
      <c r="B56" s="8" t="inlineStr">
        <is>
          <t>row += 1</t>
        </is>
      </c>
    </row>
    <row r="57">
      <c r="A57" s="9" t="n">
        <v>54</v>
      </c>
      <c r="B57" s="10" t="inlineStr">
        <is>
          <t>row = add_h1("Core Features", row)</t>
        </is>
      </c>
    </row>
    <row r="58">
      <c r="A58" s="7" t="n">
        <v>55</v>
      </c>
      <c r="B58" s="8" t="inlineStr">
        <is>
          <t>features = [</t>
        </is>
      </c>
    </row>
    <row r="59">
      <c r="A59" s="9" t="n">
        <v>56</v>
      </c>
      <c r="B59" s="10" t="inlineStr">
        <is>
          <t xml:space="preserve">    ("AI Script Generation", "Input keyword -&gt; DeepSeek generates 3-segment Xiaohongshu copy (hook+sell+CTA), 200+ industry terms knowledge base"),</t>
        </is>
      </c>
    </row>
    <row r="60">
      <c r="A60" s="7" t="n">
        <v>57</v>
      </c>
      <c r="B60" s="8" t="inlineStr">
        <is>
          <t xml:space="preserve">    ("AI Voiceover", "Edge TTS (Xiaoyi voice), 1.1x speed, 1254 protected words prevent word splitting, 5-layer text cleaning"),</t>
        </is>
      </c>
    </row>
    <row r="61">
      <c r="A61" s="9" t="n">
        <v>58</v>
      </c>
      <c r="B61" s="10" t="inlineStr">
        <is>
          <t xml:space="preserve">    ("Smart Material Matching", "3-tier: FAISS vector search -&gt; Knowledge base rules (200+ terms) -&gt; Filename keyword matching"),</t>
        </is>
      </c>
    </row>
    <row r="62">
      <c r="A62" s="7" t="n">
        <v>59</v>
      </c>
      <c r="B62" s="8" t="inlineStr">
        <is>
          <t xml:space="preserve">    ("4 Vision Models", "Qwen3-VL-4B (local) + Florence-2 (local) + CLIP ViT-L + YOLOv8n + KnowledgeBridge"),</t>
        </is>
      </c>
    </row>
    <row r="63">
      <c r="A63" s="9" t="n">
        <v>60</v>
      </c>
      <c r="B63" s="10" t="inlineStr">
        <is>
          <t xml:space="preserve">    ("Audio Analysis", "SenseVoice (emotion+events, priority) + Faster-Whisper (backup)"),</t>
        </is>
      </c>
    </row>
    <row r="64">
      <c r="A64" s="7" t="n">
        <v>61</v>
      </c>
      <c r="B64" s="8" t="inlineStr">
        <is>
          <t xml:space="preserve">    ("Full-Disk Video Search", "Scan all drives, tree display, one-click batch generation from selected folders"),</t>
        </is>
      </c>
    </row>
    <row r="65">
      <c r="A65" s="9" t="n">
        <v>62</v>
      </c>
      <c r="B65" s="10" t="inlineStr">
        <is>
          <t xml:space="preserve">    ("Frame Annotation", "Extract keyframes -&gt; 4-model recognition -&gt; manual edit -&gt; feedback learning closed loop"),</t>
        </is>
      </c>
    </row>
    <row r="66">
      <c r="A66" s="7" t="n">
        <v>63</v>
      </c>
      <c r="B66" s="8" t="inlineStr">
        <is>
          <t xml:space="preserve">    ("Batch Production", "Excel import / manual input / folder selection 3 modes, generate N videos at once"),</t>
        </is>
      </c>
    </row>
    <row r="67">
      <c r="A67" s="9" t="n">
        <v>64</v>
      </c>
      <c r="B67" s="10" t="inlineStr">
        <is>
          <t xml:space="preserve">    ("Material Library", "35 selling point folders, 15387 indexed segments, FAISS vector index, quality scoring + dedup"),</t>
        </is>
      </c>
    </row>
    <row r="68">
      <c r="A68" s="7" t="n">
        <v>65</v>
      </c>
      <c r="B68" s="8" t="inlineStr">
        <is>
          <t xml:space="preserve">    ("Self-Learning", "DeepSeek daily analyzes usage records -&gt; generates optimization rules -&gt; auto-applies to models"),</t>
        </is>
      </c>
    </row>
    <row r="69">
      <c r="A69" s="9" t="n">
        <v>66</v>
      </c>
      <c r="B69" s="10" t="inlineStr">
        <is>
          <t>]</t>
        </is>
      </c>
    </row>
    <row r="70">
      <c r="A70" s="7" t="n">
        <v>67</v>
      </c>
      <c r="B70" s="8" t="inlineStr">
        <is>
          <t>for label, val in features: row = add_row(label, val, row)</t>
        </is>
      </c>
    </row>
    <row r="71">
      <c r="A71" s="9" t="n">
        <v>68</v>
      </c>
      <c r="B71" s="10" t="inlineStr">
        <is>
          <t>row += 1</t>
        </is>
      </c>
    </row>
    <row r="72">
      <c r="A72" s="7" t="n">
        <v>69</v>
      </c>
      <c r="B72" s="8" t="inlineStr">
        <is>
          <t>row = add_h1("System Requirements", row)</t>
        </is>
      </c>
    </row>
    <row r="73">
      <c r="A73" s="9" t="n">
        <v>70</v>
      </c>
      <c r="B73" s="10" t="inlineStr">
        <is>
          <t>for l, v in [("OS","Windows 10/11 64-bit"),("Python","3.12"),("RAM","8GB min, 16GB recommended"),("Disk","~20GB (models ~17GB)"),("Network","Required (DeepSeek API + Edge TTS)")]: row = add_row(l, v, row)</t>
        </is>
      </c>
    </row>
    <row r="74">
      <c r="A74" s="7" t="n">
        <v>71</v>
      </c>
      <c r="B74" s="8" t="inlineStr">
        <is>
          <t>row += 1</t>
        </is>
      </c>
    </row>
    <row r="75">
      <c r="A75" s="9" t="n">
        <v>72</v>
      </c>
      <c r="B75" s="10" t="inlineStr">
        <is>
          <t>row = add_h1("Launch Methods", row)</t>
        </is>
      </c>
    </row>
    <row r="76">
      <c r="A76" s="7" t="n">
        <v>73</v>
      </c>
      <c r="B76" s="8" t="inlineStr">
        <is>
          <t>for l, v in [("Desktop","python tree.py / double-click shortcut"),("Web","python tree.py --web -&gt; http://localhost:7860"),("CLI","python tree.py keyword --tts --auto-bgm"),("Setup","python tree.py --setup"),("Status","python tree.py --status")]: row = add_row(l, v, row)</t>
        </is>
      </c>
    </row>
    <row r="77">
      <c r="A77" s="9" t="n">
        <v>74</v>
      </c>
      <c r="B77" s="10" t="inlineStr">
        <is>
          <t>wb1.save(str(DESKTOP / "TreeCut_Program_Description.xlsx"))</t>
        </is>
      </c>
    </row>
    <row r="78">
      <c r="A78" s="7" t="n">
        <v>75</v>
      </c>
      <c r="B78" s="8" t="inlineStr">
        <is>
          <t>print("File 1: TreeCut_Program_Description.xlsx generated")</t>
        </is>
      </c>
    </row>
    <row r="79">
      <c r="A79" s="9" t="n">
        <v>76</v>
      </c>
      <c r="B79" s="10" t="inlineStr"/>
    </row>
    <row r="80">
      <c r="A80" s="7" t="n">
        <v>77</v>
      </c>
      <c r="B80" s="8" t="inlineStr">
        <is>
          <t># ==================== File 2: Complete Code ====================</t>
        </is>
      </c>
    </row>
    <row r="81">
      <c r="A81" s="9" t="n">
        <v>78</v>
      </c>
      <c r="B81" s="10" t="inlineStr">
        <is>
          <t>wb2 = openpyxl.Workbook()</t>
        </is>
      </c>
    </row>
    <row r="82">
      <c r="A82" s="7" t="n">
        <v>79</v>
      </c>
      <c r="B82" s="8" t="inlineStr">
        <is>
          <t>ws2 = wb2.active; ws2.title = "File Index"</t>
        </is>
      </c>
    </row>
    <row r="83">
      <c r="A83" s="9" t="n">
        <v>80</v>
      </c>
      <c r="B83" s="10" t="inlineStr">
        <is>
          <t>ws2.column_dimensions['A'].width = 5; ws2.column_dimensions['B'].width = 45; ws2.column_dimensions['C'].width = 18; ws2.column_dimensions['D'].width = 12; ws2.column_dimensions['E'].width = 60</t>
        </is>
      </c>
    </row>
    <row r="84">
      <c r="A84" s="7" t="n">
        <v>81</v>
      </c>
      <c r="B84" s="8" t="inlineStr">
        <is>
          <t>row2 = 1</t>
        </is>
      </c>
    </row>
    <row r="85">
      <c r="A85" s="9" t="n">
        <v>82</v>
      </c>
      <c r="B85" s="10" t="inlineStr">
        <is>
          <t>for ci, (col, w) in enumerate([("No.",5),("File Path",45),("Module",18),("Lines",12),("Description",60)]):</t>
        </is>
      </c>
    </row>
    <row r="86">
      <c r="A86" s="7" t="n">
        <v>83</v>
      </c>
      <c r="B86" s="8" t="inlineStr">
        <is>
          <t xml:space="preserve">    c = ws2.cell(row=row2, column=ci+1, value=col); c.font = Font(name="Microsoft YaHei", size=12, bold=True, color="FFFFFF"); c.fill = hdr_fill; c.alignment = center; c.border = thin_border</t>
        </is>
      </c>
    </row>
    <row r="87">
      <c r="A87" s="9" t="n">
        <v>84</v>
      </c>
      <c r="B87" s="10" t="inlineStr">
        <is>
          <t>row2 += 1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># Collect all Python files</t>
        </is>
      </c>
    </row>
    <row r="90">
      <c r="A90" s="7" t="n">
        <v>87</v>
      </c>
      <c r="B90" s="8" t="inlineStr">
        <is>
          <t>py_files = []</t>
        </is>
      </c>
    </row>
    <row r="91">
      <c r="A91" s="9" t="n">
        <v>88</v>
      </c>
      <c r="B91" s="10" t="inlineStr">
        <is>
          <t>for root, dirs, files in os.walk(PROJ):</t>
        </is>
      </c>
    </row>
    <row r="92">
      <c r="A92" s="7" t="n">
        <v>89</v>
      </c>
      <c r="B92" s="8" t="inlineStr">
        <is>
          <t xml:space="preserve">    dirs[:] = [d for d in dirs if d not in ('__pycache__','.git','02_BGM','03_粗剪输出','04_文案','05_配音','custom_voice','shipin','models','.offload','material_engine_v3')]</t>
        </is>
      </c>
    </row>
    <row r="93">
      <c r="A93" s="9" t="n">
        <v>90</v>
      </c>
      <c r="B93" s="10" t="inlineStr">
        <is>
          <t xml:space="preserve">    for f in files:</t>
        </is>
      </c>
    </row>
    <row r="94">
      <c r="A94" s="7" t="n">
        <v>91</v>
      </c>
      <c r="B94" s="8" t="inlineStr">
        <is>
          <t xml:space="preserve">        if f.endswith('.py') or f.endswith('.bat') or f.endswith('.txt') or f.endswith('.json') or f.endswith('.md') or f.endswith('.iss'):</t>
        </is>
      </c>
    </row>
    <row r="95">
      <c r="A95" s="9" t="n">
        <v>92</v>
      </c>
      <c r="B95" s="10" t="inlineStr">
        <is>
          <t xml:space="preserve">            fp = Path(root)/f; rel = str(fp.relative_to(PROJ))</t>
        </is>
      </c>
    </row>
    <row r="96">
      <c r="A96" s="7" t="n">
        <v>93</v>
      </c>
      <c r="B96" s="8" t="inlineStr">
        <is>
          <t xml:space="preserve">            mod = str(Path(root).relative_to(PROJ)) if str(Path(root).relative_to(PROJ)) != '.' else 'root'</t>
        </is>
      </c>
    </row>
    <row r="97">
      <c r="A97" s="9" t="n">
        <v>94</v>
      </c>
      <c r="B97" s="10" t="inlineStr">
        <is>
          <t xml:space="preserve">            try: lines = len(fp.read_text(encoding='utf-8').split('\n'))</t>
        </is>
      </c>
    </row>
    <row r="98">
      <c r="A98" s="7" t="n">
        <v>95</v>
      </c>
      <c r="B98" s="8" t="inlineStr">
        <is>
          <t xml:space="preserve">            except Exception: lines = 0</t>
        </is>
      </c>
    </row>
    <row r="99">
      <c r="A99" s="9" t="n">
        <v>96</v>
      </c>
      <c r="B99" s="10" t="inlineStr">
        <is>
          <t xml:space="preserve">            desc = {"核心引擎":"engine","用户界面":"ui","工具模块":"utils","测试":"test","":"config"}.get(os.path.basename(root), os.path.basename(root))</t>
        </is>
      </c>
    </row>
    <row r="100">
      <c r="A100" s="7" t="n">
        <v>97</v>
      </c>
      <c r="B100" s="8" t="inlineStr">
        <is>
          <t xml:space="preserve">            py_files.append((rel, mod, lines, desc))</t>
        </is>
      </c>
    </row>
    <row r="101">
      <c r="A101" s="9" t="n">
        <v>98</v>
      </c>
      <c r="B101" s="10" t="inlineStr"/>
    </row>
    <row r="102">
      <c r="A102" s="7" t="n">
        <v>99</v>
      </c>
      <c r="B102" s="8" t="inlineStr">
        <is>
          <t>py_files.sort(key=lambda x: x[0])</t>
        </is>
      </c>
    </row>
    <row r="103">
      <c r="A103" s="9" t="n">
        <v>100</v>
      </c>
      <c r="B103" s="10" t="inlineStr">
        <is>
          <t>total_lines = 0</t>
        </is>
      </c>
    </row>
    <row r="104">
      <c r="A104" s="7" t="n">
        <v>101</v>
      </c>
      <c r="B104" s="8" t="inlineStr">
        <is>
          <t>for i, (fp, mod, lines, desc) in enumerate(py_files):</t>
        </is>
      </c>
    </row>
    <row r="105">
      <c r="A105" s="9" t="n">
        <v>102</v>
      </c>
      <c r="B105" s="10" t="inlineStr">
        <is>
          <t xml:space="preserve">    total_lines += lines</t>
        </is>
      </c>
    </row>
    <row r="106">
      <c r="A106" s="7" t="n">
        <v>103</v>
      </c>
      <c r="B106" s="8" t="inlineStr">
        <is>
          <t xml:space="preserve">    vals = [i+1, fp, mod, lines, desc]</t>
        </is>
      </c>
    </row>
    <row r="107">
      <c r="A107" s="9" t="n">
        <v>104</v>
      </c>
      <c r="B107" s="10" t="inlineStr">
        <is>
          <t xml:space="preserve">    for ci, val in enumerate(vals):</t>
        </is>
      </c>
    </row>
    <row r="108">
      <c r="A108" s="7" t="n">
        <v>105</v>
      </c>
      <c r="B108" s="8" t="inlineStr">
        <is>
          <t xml:space="preserve">        c = ws2.cell(row=row2, column=ci+1, value=val); c.font = body_font; c.border = thin_border</t>
        </is>
      </c>
    </row>
    <row r="109">
      <c r="A109" s="9" t="n">
        <v>106</v>
      </c>
      <c r="B109" s="10" t="inlineStr">
        <is>
          <t xml:space="preserve">        if ci in (0, 3): c.alignment = center</t>
        </is>
      </c>
    </row>
    <row r="110">
      <c r="A110" s="7" t="n">
        <v>107</v>
      </c>
      <c r="B110" s="8" t="inlineStr">
        <is>
          <t xml:space="preserve">    row2 += 1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>row2 += 1; ws2.merge_cells(start_row=row2, start_column=1, end_row=row2, end_column=5)</t>
        </is>
      </c>
    </row>
    <row r="113">
      <c r="A113" s="9" t="n">
        <v>110</v>
      </c>
      <c r="B113" s="10" t="inlineStr">
        <is>
          <t>ws2.cell(row=row2, column=1, value=f"Total: {len(py_files)} files, {total_lines:,} lines").font = Font(name="Microsoft YaHei", size=12, bold=True)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>
        <is>
          <t># Add code sheets for key files</t>
        </is>
      </c>
    </row>
    <row r="116">
      <c r="A116" s="7" t="n">
        <v>113</v>
      </c>
      <c r="B116" s="8" t="inlineStr">
        <is>
          <t>for fp, mod, lines, desc in py_files:</t>
        </is>
      </c>
    </row>
    <row r="117">
      <c r="A117" s="9" t="n">
        <v>114</v>
      </c>
      <c r="B117" s="10" t="inlineStr">
        <is>
          <t xml:space="preserve">    if lines &gt; 0 and lines &lt; 2000 and fp.endswith('.py'):</t>
        </is>
      </c>
    </row>
    <row r="118">
      <c r="A118" s="7" t="n">
        <v>115</v>
      </c>
      <c r="B118" s="8" t="inlineStr">
        <is>
          <t xml:space="preserve">        fpath = PROJ / fp</t>
        </is>
      </c>
    </row>
    <row r="119">
      <c r="A119" s="9" t="n">
        <v>116</v>
      </c>
      <c r="B119" s="10" t="inlineStr">
        <is>
          <t xml:space="preserve">        try:</t>
        </is>
      </c>
    </row>
    <row r="120">
      <c r="A120" s="7" t="n">
        <v>117</v>
      </c>
      <c r="B120" s="8" t="inlineStr">
        <is>
          <t xml:space="preserve">            safe = fp.replace('/','_').replace('\\','_').replace('.','_')[:31]</t>
        </is>
      </c>
    </row>
    <row r="121">
      <c r="A121" s="9" t="n">
        <v>118</v>
      </c>
      <c r="B121" s="10" t="inlineStr">
        <is>
          <t xml:space="preserve">            ws = wb2.create_sheet(title=safe)</t>
        </is>
      </c>
    </row>
    <row r="122">
      <c r="A122" s="7" t="n">
        <v>119</v>
      </c>
      <c r="B122" s="8" t="inlineStr">
        <is>
          <t xml:space="preserve">            ws.column_dimensions['A'].width = 8; ws.column_dimensions['B'].width = 160</t>
        </is>
      </c>
    </row>
    <row r="123">
      <c r="A123" s="9" t="n">
        <v>120</v>
      </c>
      <c r="B123" s="10" t="inlineStr">
        <is>
          <t xml:space="preserve">            ws.merge_cells('A1:B1'); ws.cell(row=1, column=1, value=f"{fp} | {mod} | {lines} lines | {desc}").font = Font(name="Microsoft YaHei", size=12, bold=True, color="FFFFFF"); ws.cell(row=1, column=1).fill = hdr_fill</t>
        </is>
      </c>
    </row>
    <row r="124">
      <c r="A124" s="7" t="n">
        <v>121</v>
      </c>
      <c r="B124" s="8" t="inlineStr">
        <is>
          <t xml:space="preserve">            ws.cell(row=2, column=1, value="Line").font = h2_font; ws.cell(row=2, column=1).fill = light_fill; ws.cell(row=2, column=1).border = thin_border</t>
        </is>
      </c>
    </row>
    <row r="125">
      <c r="A125" s="9" t="n">
        <v>122</v>
      </c>
      <c r="B125" s="10" t="inlineStr">
        <is>
          <t xml:space="preserve">            ws.cell(row=2, column=2, value="Code").font = h2_font; ws.cell(row=2, column=2).fill = light_fill; ws.cell(row=2, column=2).border = thin_border</t>
        </is>
      </c>
    </row>
    <row r="126">
      <c r="A126" s="7" t="n">
        <v>123</v>
      </c>
      <c r="B126" s="8" t="inlineStr">
        <is>
          <t xml:space="preserve">            for ln, text in enumerate(fpath.read_text(encoding='utf-8').split('\n'), 1):</t>
        </is>
      </c>
    </row>
    <row r="127">
      <c r="A127" s="9" t="n">
        <v>124</v>
      </c>
      <c r="B127" s="10" t="inlineStr">
        <is>
          <t xml:space="preserve">                c1 = ws.cell(row=ln+2, column=1, value=ln); c1.font = Font(name="Consolas", size=9, color="888888"); c1.alignment = Alignment(horizontal="right", vertical="top"); c1.border = thin_border</t>
        </is>
      </c>
    </row>
    <row r="128">
      <c r="A128" s="7" t="n">
        <v>125</v>
      </c>
      <c r="B128" s="8" t="inlineStr">
        <is>
          <t xml:space="preserve">                c2 = ws.cell(row=ln+2, column=2, value=text); c2.font = code_font; c2.border = thin_border</t>
        </is>
      </c>
    </row>
    <row r="129">
      <c r="A129" s="9" t="n">
        <v>126</v>
      </c>
      <c r="B129" s="10" t="inlineStr">
        <is>
          <t xml:space="preserve">                if ln % 2 == 0: c1.fill = c2.fill = PatternFill(start_color="fafafa", end_color="fafafa", fill_type="solid")</t>
        </is>
      </c>
    </row>
    <row r="130">
      <c r="A130" s="7" t="n">
        <v>127</v>
      </c>
      <c r="B130" s="8" t="inlineStr">
        <is>
          <t xml:space="preserve">        except Exception: pass</t>
        </is>
      </c>
    </row>
    <row r="131">
      <c r="A131" s="9" t="n">
        <v>128</v>
      </c>
      <c r="B131" s="10" t="inlineStr">
        <is>
          <t>wb2.save(str(DESKTOP / "TreeCut_Complete_Code.xlsx"))</t>
        </is>
      </c>
    </row>
    <row r="132">
      <c r="A132" s="7" t="n">
        <v>129</v>
      </c>
      <c r="B132" s="8" t="inlineStr">
        <is>
          <t>print(f"File 2: TreeCut_Complete_Code.xlsx ({len(py_files)} files, {total_lines:,} lines)")</t>
        </is>
      </c>
    </row>
    <row r="133">
      <c r="A133" s="9" t="n">
        <v>130</v>
      </c>
      <c r="B133" s="10" t="inlineStr">
        <is>
          <t>print("Done!")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_split_export.py</t>
        </is>
      </c>
      <c r="C1" s="5" t="inlineStr">
        <is>
          <t>行数: 170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 -*- coding: utf-8 -*-</t>
        </is>
      </c>
    </row>
    <row r="5">
      <c r="A5" s="9" t="n">
        <v>2</v>
      </c>
      <c r="B5" s="10" t="inlineStr">
        <is>
          <t>"""将项目代码分成两个Excel文件，代码完整不缺失"""</t>
        </is>
      </c>
    </row>
    <row r="6">
      <c r="A6" s="7" t="n">
        <v>3</v>
      </c>
      <c r="B6" s="8" t="inlineStr">
        <is>
          <t>import os, sys, datetime</t>
        </is>
      </c>
    </row>
    <row r="7">
      <c r="A7" s="9" t="n">
        <v>4</v>
      </c>
      <c r="B7" s="10" t="inlineStr">
        <is>
          <t>sys.dont_write_bytecode = True</t>
        </is>
      </c>
    </row>
    <row r="8">
      <c r="A8" s="7" t="n">
        <v>5</v>
      </c>
      <c r="B8" s="8" t="inlineStr">
        <is>
          <t>PROJECT_DIR = r"C:\Users\admin\Desktop\树剪软件相关文件"</t>
        </is>
      </c>
    </row>
    <row r="9">
      <c r="A9" s="9" t="n">
        <v>6</v>
      </c>
      <c r="B9" s="10" t="inlineStr">
        <is>
          <t>DESKTOP = r"C:\Users\admin\Desktop"</t>
        </is>
      </c>
    </row>
    <row r="10">
      <c r="A10" s="7" t="n">
        <v>7</v>
      </c>
      <c r="B10" s="8" t="inlineStr">
        <is>
          <t>exclude_dirs = {"__pycache__", "data", "logs", ".git", ".github", ".claude", "node_modules"}</t>
        </is>
      </c>
    </row>
    <row r="11">
      <c r="A11" s="9" t="n">
        <v>8</v>
      </c>
      <c r="B11" s="10" t="inlineStr">
        <is>
          <t># 1. 收集所有文件</t>
        </is>
      </c>
    </row>
    <row r="12">
      <c r="A12" s="7" t="n">
        <v>9</v>
      </c>
      <c r="B12" s="8" t="inlineStr">
        <is>
          <t>all_files = []</t>
        </is>
      </c>
    </row>
    <row r="13">
      <c r="A13" s="9" t="n">
        <v>10</v>
      </c>
      <c r="B13" s="10" t="inlineStr">
        <is>
          <t>for root, dirs, filenames in os.walk(PROJECT_DIR):</t>
        </is>
      </c>
    </row>
    <row r="14">
      <c r="A14" s="7" t="n">
        <v>11</v>
      </c>
      <c r="B14" s="8" t="inlineStr">
        <is>
          <t xml:space="preserve">    dirs[:] = [d for d in dirs if d not in exclude_dirs]</t>
        </is>
      </c>
    </row>
    <row r="15">
      <c r="A15" s="9" t="n">
        <v>12</v>
      </c>
      <c r="B15" s="10" t="inlineStr">
        <is>
          <t xml:space="preserve">    for f in filenames:</t>
        </is>
      </c>
    </row>
    <row r="16">
      <c r="A16" s="7" t="n">
        <v>13</v>
      </c>
      <c r="B16" s="8" t="inlineStr">
        <is>
          <t xml:space="preserve">        if f.endswith((".py", ".yaml", ".yml", ".txt", ".bat")):</t>
        </is>
      </c>
    </row>
    <row r="17">
      <c r="A17" s="9" t="n">
        <v>14</v>
      </c>
      <c r="B17" s="10" t="inlineStr">
        <is>
          <t xml:space="preserve">            full = os.path.join(root, f)</t>
        </is>
      </c>
    </row>
    <row r="18">
      <c r="A18" s="7" t="n">
        <v>15</v>
      </c>
      <c r="B18" s="8" t="inlineStr">
        <is>
          <t xml:space="preserve">            rel = os.path.relpath(full, PROJECT_DIR)</t>
        </is>
      </c>
    </row>
    <row r="19">
      <c r="A19" s="9" t="n">
        <v>16</v>
      </c>
      <c r="B19" s="10" t="inlineStr">
        <is>
          <t xml:space="preserve">            try:</t>
        </is>
      </c>
    </row>
    <row r="20">
      <c r="A20" s="7" t="n">
        <v>17</v>
      </c>
      <c r="B20" s="8" t="inlineStr">
        <is>
          <t xml:space="preserve">                with open(full, "r", encoding="utf-8") as fh:</t>
        </is>
      </c>
    </row>
    <row r="21">
      <c r="A21" s="9" t="n">
        <v>18</v>
      </c>
      <c r="B21" s="10" t="inlineStr">
        <is>
          <t xml:space="preserve">                    content = fh.read()</t>
        </is>
      </c>
    </row>
    <row r="22">
      <c r="A22" s="7" t="n">
        <v>19</v>
      </c>
      <c r="B22" s="8" t="inlineStr">
        <is>
          <t xml:space="preserve">            except:</t>
        </is>
      </c>
    </row>
    <row r="23">
      <c r="A23" s="9" t="n">
        <v>20</v>
      </c>
      <c r="B23" s="10" t="inlineStr">
        <is>
          <t xml:space="preserve">                content = "[编码错误]"</t>
        </is>
      </c>
    </row>
    <row r="24">
      <c r="A24" s="7" t="n">
        <v>21</v>
      </c>
      <c r="B24" s="8" t="inlineStr">
        <is>
          <t xml:space="preserve">            all_files.append({</t>
        </is>
      </c>
    </row>
    <row r="25">
      <c r="A25" s="9" t="n">
        <v>22</v>
      </c>
      <c r="B25" s="10" t="inlineStr">
        <is>
          <t xml:space="preserve">                "路径": rel,</t>
        </is>
      </c>
    </row>
    <row r="26">
      <c r="A26" s="7" t="n">
        <v>23</v>
      </c>
      <c r="B26" s="8" t="inlineStr">
        <is>
          <t xml:space="preserve">                "文件名": f,</t>
        </is>
      </c>
    </row>
    <row r="27">
      <c r="A27" s="9" t="n">
        <v>24</v>
      </c>
      <c r="B27" s="10" t="inlineStr">
        <is>
          <t xml:space="preserve">                "扩展名": os.path.splitext(f)[1],</t>
        </is>
      </c>
    </row>
    <row r="28">
      <c r="A28" s="7" t="n">
        <v>25</v>
      </c>
      <c r="B28" s="8" t="inlineStr">
        <is>
          <t xml:space="preserve">                "行数": content.count("\n") + 1,</t>
        </is>
      </c>
    </row>
    <row r="29">
      <c r="A29" s="9" t="n">
        <v>26</v>
      </c>
      <c r="B29" s="10" t="inlineStr">
        <is>
          <t xml:space="preserve">                "大小KB": round(len(content.encode("utf-8")) / 1024, 1),</t>
        </is>
      </c>
    </row>
    <row r="30">
      <c r="A30" s="7" t="n">
        <v>27</v>
      </c>
      <c r="B30" s="8" t="inlineStr">
        <is>
          <t xml:space="preserve">                "代码": content,</t>
        </is>
      </c>
    </row>
    <row r="31">
      <c r="A31" s="9" t="n">
        <v>28</v>
      </c>
      <c r="B31" s="10" t="inlineStr">
        <is>
          <t xml:space="preserve">            })</t>
        </is>
      </c>
    </row>
    <row r="32">
      <c r="A32" s="7" t="n">
        <v>29</v>
      </c>
      <c r="B32" s="8" t="inlineStr">
        <is>
          <t>all_files.sort(key=lambda x: x["路径"])</t>
        </is>
      </c>
    </row>
    <row r="33">
      <c r="A33" s="9" t="n">
        <v>30</v>
      </c>
      <c r="B33" s="10" t="inlineStr">
        <is>
          <t># 2. 按行数均衡分成两组</t>
        </is>
      </c>
    </row>
    <row r="34">
      <c r="A34" s="7" t="n">
        <v>31</v>
      </c>
      <c r="B34" s="8" t="inlineStr">
        <is>
          <t>group1, group2 = [], []</t>
        </is>
      </c>
    </row>
    <row r="35">
      <c r="A35" s="9" t="n">
        <v>32</v>
      </c>
      <c r="B35" s="10" t="inlineStr">
        <is>
          <t>sum1, sum2 = 0, 0</t>
        </is>
      </c>
    </row>
    <row r="36">
      <c r="A36" s="7" t="n">
        <v>33</v>
      </c>
      <c r="B36" s="8" t="inlineStr">
        <is>
          <t>for f in all_files:</t>
        </is>
      </c>
    </row>
    <row r="37">
      <c r="A37" s="9" t="n">
        <v>34</v>
      </c>
      <c r="B37" s="10" t="inlineStr">
        <is>
          <t xml:space="preserve">    if sum1 &lt;= sum2:</t>
        </is>
      </c>
    </row>
    <row r="38">
      <c r="A38" s="7" t="n">
        <v>35</v>
      </c>
      <c r="B38" s="8" t="inlineStr">
        <is>
          <t xml:space="preserve">        group1.append(f)</t>
        </is>
      </c>
    </row>
    <row r="39">
      <c r="A39" s="9" t="n">
        <v>36</v>
      </c>
      <c r="B39" s="10" t="inlineStr">
        <is>
          <t xml:space="preserve">        sum1 += f["行数"]</t>
        </is>
      </c>
    </row>
    <row r="40">
      <c r="A40" s="7" t="n">
        <v>37</v>
      </c>
      <c r="B40" s="8" t="inlineStr">
        <is>
          <t xml:space="preserve">    else:</t>
        </is>
      </c>
    </row>
    <row r="41">
      <c r="A41" s="9" t="n">
        <v>38</v>
      </c>
      <c r="B41" s="10" t="inlineStr">
        <is>
          <t xml:space="preserve">        group2.append(f)</t>
        </is>
      </c>
    </row>
    <row r="42">
      <c r="A42" s="7" t="n">
        <v>39</v>
      </c>
      <c r="B42" s="8" t="inlineStr">
        <is>
          <t xml:space="preserve">        sum2 += f["行数"]</t>
        </is>
      </c>
    </row>
    <row r="43">
      <c r="A43" s="9" t="n">
        <v>40</v>
      </c>
      <c r="B43" s="10" t="inlineStr">
        <is>
          <t># 统计</t>
        </is>
      </c>
    </row>
    <row r="44">
      <c r="A44" s="7" t="n">
        <v>41</v>
      </c>
      <c r="B44" s="8" t="inlineStr">
        <is>
          <t>total_kb = sum(f["大小KB"] for f in all_files)</t>
        </is>
      </c>
    </row>
    <row r="45">
      <c r="A45" s="9" t="n">
        <v>42</v>
      </c>
      <c r="B45" s="10" t="inlineStr">
        <is>
          <t>total_lines = sum(f["行数"] for f in all_files)</t>
        </is>
      </c>
    </row>
    <row r="46">
      <c r="A46" s="7" t="n">
        <v>43</v>
      </c>
      <c r="B46" s="8" t="inlineStr">
        <is>
          <t># ===== 公共样式 =====</t>
        </is>
      </c>
    </row>
    <row r="47">
      <c r="A47" s="9" t="n">
        <v>44</v>
      </c>
      <c r="B47" s="10" t="inlineStr">
        <is>
          <t>import openpyxl</t>
        </is>
      </c>
    </row>
    <row r="48">
      <c r="A48" s="7" t="n">
        <v>45</v>
      </c>
      <c r="B48" s="8" t="inlineStr">
        <is>
          <t>from openpyxl.styles import Font, PatternFill, Alignment, Border, Side</t>
        </is>
      </c>
    </row>
    <row r="49">
      <c r="A49" s="9" t="n">
        <v>46</v>
      </c>
      <c r="B49" s="10" t="inlineStr">
        <is>
          <t>HDR_FONT = Font(name="Microsoft YaHei", size=11, bold=True, color="FFFFFF")</t>
        </is>
      </c>
    </row>
    <row r="50">
      <c r="A50" s="7" t="n">
        <v>47</v>
      </c>
      <c r="B50" s="8" t="inlineStr">
        <is>
          <t>HDR_FILL = PatternFill(start_color="4A6CF7", end_color="4A6CF7", fill_type="solid")</t>
        </is>
      </c>
    </row>
    <row r="51">
      <c r="A51" s="9" t="n">
        <v>48</v>
      </c>
      <c r="B51" s="10" t="inlineStr">
        <is>
          <t>HDR_ALIGN = Alignment(horizontal="center", vertical="center", wrap_text=True)</t>
        </is>
      </c>
    </row>
    <row r="52">
      <c r="A52" s="7" t="n">
        <v>49</v>
      </c>
      <c r="B52" s="8" t="inlineStr">
        <is>
          <t>CODE_FONT = Font(name="Consolas", size=9)</t>
        </is>
      </c>
    </row>
    <row r="53">
      <c r="A53" s="9" t="n">
        <v>50</v>
      </c>
      <c r="B53" s="10" t="inlineStr">
        <is>
          <t>CODE_ALIGN = Alignment(vertical="top", wrap_text=False)</t>
        </is>
      </c>
    </row>
    <row r="54">
      <c r="A54" s="7" t="n">
        <v>51</v>
      </c>
      <c r="B54" s="8" t="inlineStr">
        <is>
          <t>THIN = Border(left=Side("thin"), right=Side("thin"), top=Side("thin"), bottom=Side("thin"))</t>
        </is>
      </c>
    </row>
    <row r="55">
      <c r="A55" s="9" t="n">
        <v>52</v>
      </c>
      <c r="B55" s="10" t="inlineStr">
        <is>
          <t>FILE_FILL = PatternFill(start_color="263238", end_color="263238", fill_type="solid")</t>
        </is>
      </c>
    </row>
    <row r="56">
      <c r="A56" s="7" t="n">
        <v>53</v>
      </c>
      <c r="B56" s="8" t="inlineStr">
        <is>
          <t>FILE_FONT = Font(name="Consolas", size=10, bold=True, color="FFFFFF")</t>
        </is>
      </c>
    </row>
    <row r="57">
      <c r="A57" s="9" t="n">
        <v>54</v>
      </c>
      <c r="B57" s="10" t="inlineStr">
        <is>
          <t>PY_FILL = PatternFill(start_color="E8F5E9", end_color="E8F5E9", fill_type="solid")</t>
        </is>
      </c>
    </row>
    <row r="58">
      <c r="A58" s="7" t="n">
        <v>55</v>
      </c>
      <c r="B58" s="8" t="inlineStr">
        <is>
          <t>YAML_FILL = PatternFill(start_color="FFF8E1", end_color="FFF8E1", fill_type="solid")</t>
        </is>
      </c>
    </row>
    <row r="59">
      <c r="A59" s="9" t="n">
        <v>56</v>
      </c>
      <c r="B59" s="10" t="inlineStr">
        <is>
          <t>BAT_FILL = PatternFill(start_color="E3F2FD", end_color="E3F2FD", fill_type="solid")</t>
        </is>
      </c>
    </row>
    <row r="60">
      <c r="A60" s="7" t="n">
        <v>57</v>
      </c>
      <c r="B60" s="8" t="inlineStr">
        <is>
          <t>DIM_FONT = Font(name="Consolas", size=8, color="999999")</t>
        </is>
      </c>
    </row>
    <row r="61">
      <c r="A61" s="9" t="n">
        <v>58</v>
      </c>
      <c r="B61" s="10" t="inlineStr">
        <is>
          <t>def write_excel(group, part_no, file_count_start):</t>
        </is>
      </c>
    </row>
    <row r="62">
      <c r="A62" s="7" t="n">
        <v>59</v>
      </c>
      <c r="B62" s="8" t="inlineStr">
        <is>
          <t xml:space="preserve">    """写入一个Excel文件"""</t>
        </is>
      </c>
    </row>
    <row r="63">
      <c r="A63" s="9" t="n">
        <v>60</v>
      </c>
      <c r="B63" s="10" t="inlineStr">
        <is>
          <t xml:space="preserve">    wb = openpyxl.Workbook()</t>
        </is>
      </c>
    </row>
    <row r="64">
      <c r="A64" s="7" t="n">
        <v>61</v>
      </c>
      <c r="B64" s="8" t="inlineStr">
        <is>
          <t xml:space="preserve">    # ====== Sheet 1: 目录索引 ======</t>
        </is>
      </c>
    </row>
    <row r="65">
      <c r="A65" s="9" t="n">
        <v>62</v>
      </c>
      <c r="B65" s="10" t="inlineStr">
        <is>
          <t xml:space="preserve">    ws = wb.active</t>
        </is>
      </c>
    </row>
    <row r="66">
      <c r="A66" s="7" t="n">
        <v>63</v>
      </c>
      <c r="B66" s="8" t="inlineStr">
        <is>
          <t xml:space="preserve">    ws.title = "目录索引"</t>
        </is>
      </c>
    </row>
    <row r="67">
      <c r="A67" s="9" t="n">
        <v>64</v>
      </c>
      <c r="B67" s="10" t="inlineStr">
        <is>
          <t xml:space="preserve">    ws.merge_cells("A1:F1")</t>
        </is>
      </c>
    </row>
    <row r="68">
      <c r="A68" s="7" t="n">
        <v>65</v>
      </c>
      <c r="B68" s="8" t="inlineStr">
        <is>
          <t xml:space="preserve">    ws["A1"].value = f"树剪 v3.0 完整源代码 - 第{part_no}部分"</t>
        </is>
      </c>
    </row>
    <row r="69">
      <c r="A69" s="9" t="n">
        <v>66</v>
      </c>
      <c r="B69" s="10" t="inlineStr">
        <is>
          <t xml:space="preserve">    ws["A1"].font = Font(name="Microsoft YaHei", size=16, bold=True, color="1a237e")</t>
        </is>
      </c>
    </row>
    <row r="70">
      <c r="A70" s="7" t="n">
        <v>67</v>
      </c>
      <c r="B70" s="8" t="inlineStr">
        <is>
          <t xml:space="preserve">    ws["A1"].alignment = Alignment(horizontal="center")</t>
        </is>
      </c>
    </row>
    <row r="71">
      <c r="A71" s="9" t="n">
        <v>68</v>
      </c>
      <c r="B71" s="10" t="inlineStr">
        <is>
          <t xml:space="preserve">    ws.merge_cells("A2:F2")</t>
        </is>
      </c>
    </row>
    <row r="72">
      <c r="A72" s="7" t="n">
        <v>69</v>
      </c>
      <c r="B72" s="8" t="inlineStr">
        <is>
          <t xml:space="preserve">    ws["A2"].value = f"导出: {datetime.datetime.now().strftime('%Y-%m-%d %H:%M')} | 本部分: {len(group)}个文件, {sum(f['行数'] for f in group):,}行, {sum(f['大小KB'] for f in group):.0f}KB | 项目总计: {len(all_files)}个文件, {total_lines:,}行, {total_kb:.0f}KB"</t>
        </is>
      </c>
    </row>
    <row r="73">
      <c r="A73" s="9" t="n">
        <v>70</v>
      </c>
      <c r="B73" s="10" t="inlineStr">
        <is>
          <t xml:space="preserve">    ws["A2"].font = Font(name="Microsoft YaHei", size=9, color="666666")</t>
        </is>
      </c>
    </row>
    <row r="74">
      <c r="A74" s="7" t="n">
        <v>71</v>
      </c>
      <c r="B74" s="8" t="inlineStr">
        <is>
          <t xml:space="preserve">    ws["A2"].alignment = Alignment(horizontal="center")</t>
        </is>
      </c>
    </row>
    <row r="75">
      <c r="A75" s="9" t="n">
        <v>72</v>
      </c>
      <c r="B75" s="10" t="inlineStr">
        <is>
          <t xml:space="preserve">    ws.merge_cells("A3:F3")</t>
        </is>
      </c>
    </row>
    <row r="76">
      <c r="A76" s="7" t="n">
        <v>73</v>
      </c>
      <c r="B76" s="8" t="inlineStr">
        <is>
          <t xml:space="preserve">    ws["A3"].value = f"文件编号范围: {file_count_start} ~ {file_count_start + len(group) - 1}"</t>
        </is>
      </c>
    </row>
    <row r="77">
      <c r="A77" s="9" t="n">
        <v>74</v>
      </c>
      <c r="B77" s="10" t="inlineStr">
        <is>
          <t xml:space="preserve">    ws["A3"].font = Font(name="Microsoft YaHei", size=9, color="888888")</t>
        </is>
      </c>
    </row>
    <row r="78">
      <c r="A78" s="7" t="n">
        <v>75</v>
      </c>
      <c r="B78" s="8" t="inlineStr">
        <is>
          <t xml:space="preserve">    ws["A3"].alignment = Alignment(horizontal="center")</t>
        </is>
      </c>
    </row>
    <row r="79">
      <c r="A79" s="9" t="n">
        <v>76</v>
      </c>
      <c r="B79" s="10" t="inlineStr">
        <is>
          <t xml:space="preserve">    for col, h in enumerate(["序号", "文件路径", "文件名", "类型", "行数", "KB"], 1):</t>
        </is>
      </c>
    </row>
    <row r="80">
      <c r="A80" s="7" t="n">
        <v>77</v>
      </c>
      <c r="B80" s="8" t="inlineStr">
        <is>
          <t xml:space="preserve">        c = ws.cell(row=5, column=col, value=h)</t>
        </is>
      </c>
    </row>
    <row r="81">
      <c r="A81" s="9" t="n">
        <v>78</v>
      </c>
      <c r="B81" s="10" t="inlineStr">
        <is>
          <t xml:space="preserve">        c.font, c.fill, c.alignment, c.border = HDR_FONT, HDR_FILL, HDR_ALIGN, THIN</t>
        </is>
      </c>
    </row>
    <row r="82">
      <c r="A82" s="7" t="n">
        <v>79</v>
      </c>
      <c r="B82" s="8" t="inlineStr">
        <is>
          <t xml:space="preserve">    for i, f in enumerate(group):</t>
        </is>
      </c>
    </row>
    <row r="83">
      <c r="A83" s="9" t="n">
        <v>80</v>
      </c>
      <c r="B83" s="10" t="inlineStr">
        <is>
          <t xml:space="preserve">        r = i + 6</t>
        </is>
      </c>
    </row>
    <row r="84">
      <c r="A84" s="7" t="n">
        <v>81</v>
      </c>
      <c r="B84" s="8" t="inlineStr">
        <is>
          <t xml:space="preserve">        ext = f["扩展名"]</t>
        </is>
      </c>
    </row>
    <row r="85">
      <c r="A85" s="9" t="n">
        <v>82</v>
      </c>
      <c r="B85" s="10" t="inlineStr">
        <is>
          <t xml:space="preserve">        rf = PY_FILL if ext == ".py" else (YAML_FILL if ext in (".yaml", ".yml") else BAT_FILL)</t>
        </is>
      </c>
    </row>
    <row r="86">
      <c r="A86" s="7" t="n">
        <v>83</v>
      </c>
      <c r="B86" s="8" t="inlineStr">
        <is>
          <t xml:space="preserve">        for col, val in enumerate([i + file_count_start, f["路径"], f["文件名"], ext, f["行数"], f["大小KB"]], 1):</t>
        </is>
      </c>
    </row>
    <row r="87">
      <c r="A87" s="9" t="n">
        <v>84</v>
      </c>
      <c r="B87" s="10" t="inlineStr">
        <is>
          <t xml:space="preserve">            c = ws.cell(row=r, column=col, value=val)</t>
        </is>
      </c>
    </row>
    <row r="88">
      <c r="A88" s="7" t="n">
        <v>85</v>
      </c>
      <c r="B88" s="8" t="inlineStr">
        <is>
          <t xml:space="preserve">            c.font = Font(name="Consolas", size=10) if col &lt;= 3 else DIM_FONT</t>
        </is>
      </c>
    </row>
    <row r="89">
      <c r="A89" s="9" t="n">
        <v>86</v>
      </c>
      <c r="B89" s="10" t="inlineStr">
        <is>
          <t xml:space="preserve">            c.fill, c.border = rf, THIN</t>
        </is>
      </c>
    </row>
    <row r="90">
      <c r="A90" s="7" t="n">
        <v>87</v>
      </c>
      <c r="B90" s="8" t="inlineStr">
        <is>
          <t xml:space="preserve">            c.alignment = Alignment(vertical="top") if col == 2 else Alignment(vertical="center")</t>
        </is>
      </c>
    </row>
    <row r="91">
      <c r="A91" s="9" t="n">
        <v>88</v>
      </c>
      <c r="B91" s="10" t="inlineStr">
        <is>
          <t xml:space="preserve">    ws.column_dimensions["A"].width = 6</t>
        </is>
      </c>
    </row>
    <row r="92">
      <c r="A92" s="7" t="n">
        <v>89</v>
      </c>
      <c r="B92" s="8" t="inlineStr">
        <is>
          <t xml:space="preserve">    ws.column_dimensions["B"].width = 55</t>
        </is>
      </c>
    </row>
    <row r="93">
      <c r="A93" s="9" t="n">
        <v>90</v>
      </c>
      <c r="B93" s="10" t="inlineStr">
        <is>
          <t xml:space="preserve">    ws.column_dimensions["C"].width = 38</t>
        </is>
      </c>
    </row>
    <row r="94">
      <c r="A94" s="7" t="n">
        <v>91</v>
      </c>
      <c r="B94" s="8" t="inlineStr">
        <is>
          <t xml:space="preserve">    ws.column_dimensions["D"].width = 8</t>
        </is>
      </c>
    </row>
    <row r="95">
      <c r="A95" s="9" t="n">
        <v>92</v>
      </c>
      <c r="B95" s="10" t="inlineStr">
        <is>
          <t xml:space="preserve">    ws.column_dimensions["E"].width = 8</t>
        </is>
      </c>
    </row>
    <row r="96">
      <c r="A96" s="7" t="n">
        <v>93</v>
      </c>
      <c r="B96" s="8" t="inlineStr">
        <is>
          <t xml:space="preserve">    ws.column_dimensions["F"].width = 8</t>
        </is>
      </c>
    </row>
    <row r="97">
      <c r="A97" s="9" t="n">
        <v>94</v>
      </c>
      <c r="B97" s="10" t="inlineStr">
        <is>
          <t xml:space="preserve">    ws.freeze_panes = "A6"</t>
        </is>
      </c>
    </row>
    <row r="98">
      <c r="A98" s="7" t="n">
        <v>95</v>
      </c>
      <c r="B98" s="8" t="inlineStr">
        <is>
          <t xml:space="preserve">    # ====== Sheet 2: 全部代码 ======</t>
        </is>
      </c>
    </row>
    <row r="99">
      <c r="A99" s="9" t="n">
        <v>96</v>
      </c>
      <c r="B99" s="10" t="inlineStr">
        <is>
          <t xml:space="preserve">    ws2 = wb.create_sheet("全部源代码")</t>
        </is>
      </c>
    </row>
    <row r="100">
      <c r="A100" s="7" t="n">
        <v>97</v>
      </c>
      <c r="B100" s="8" t="inlineStr">
        <is>
          <t xml:space="preserve">    ws2.merge_cells("A1:C1")</t>
        </is>
      </c>
    </row>
    <row r="101">
      <c r="A101" s="9" t="n">
        <v>98</v>
      </c>
      <c r="B101" s="10" t="inlineStr">
        <is>
          <t xml:space="preserve">    ws2["A1"].value = f"树剪 v3.0 源代码 - 第{part_no}部分 ({len(group)}个文件)"</t>
        </is>
      </c>
    </row>
    <row r="102">
      <c r="A102" s="7" t="n">
        <v>99</v>
      </c>
      <c r="B102" s="8" t="inlineStr">
        <is>
          <t xml:space="preserve">    ws2["A1"].font = Font(name="Microsoft YaHei", size=14, bold=True, color="1a237e")</t>
        </is>
      </c>
    </row>
    <row r="103">
      <c r="A103" s="9" t="n">
        <v>100</v>
      </c>
      <c r="B103" s="10" t="inlineStr">
        <is>
          <t xml:space="preserve">    for col, h in enumerate(["文件路径", "行号", "代码内容"], 1):</t>
        </is>
      </c>
    </row>
    <row r="104">
      <c r="A104" s="7" t="n">
        <v>101</v>
      </c>
      <c r="B104" s="8" t="inlineStr">
        <is>
          <t xml:space="preserve">        c = ws2.cell(row=2, column=col, value=h)</t>
        </is>
      </c>
    </row>
    <row r="105">
      <c r="A105" s="9" t="n">
        <v>102</v>
      </c>
      <c r="B105" s="10" t="inlineStr">
        <is>
          <t xml:space="preserve">        c.font, c.fill, c.alignment, c.border = HDR_FONT, HDR_FILL, HDR_ALIGN, THIN</t>
        </is>
      </c>
    </row>
    <row r="106">
      <c r="A106" s="7" t="n">
        <v>103</v>
      </c>
      <c r="B106" s="8" t="inlineStr">
        <is>
          <t xml:space="preserve">    cr = 3</t>
        </is>
      </c>
    </row>
    <row r="107">
      <c r="A107" s="9" t="n">
        <v>104</v>
      </c>
      <c r="B107" s="10" t="inlineStr">
        <is>
          <t xml:space="preserve">    for f in group:</t>
        </is>
      </c>
    </row>
    <row r="108">
      <c r="A108" s="7" t="n">
        <v>105</v>
      </c>
      <c r="B108" s="8" t="inlineStr">
        <is>
          <t xml:space="preserve">        # 文件标题行</t>
        </is>
      </c>
    </row>
    <row r="109">
      <c r="A109" s="9" t="n">
        <v>106</v>
      </c>
      <c r="B109" s="10" t="inlineStr">
        <is>
          <t xml:space="preserve">        ws2.merge_cells(f"A{cr}:C{cr}")</t>
        </is>
      </c>
    </row>
    <row r="110">
      <c r="A110" s="7" t="n">
        <v>107</v>
      </c>
      <c r="B110" s="8" t="inlineStr">
        <is>
          <t xml:space="preserve">        sc = ws2.cell(row=cr, column=1, value=f"# {f['路径']}   ({f['行数']}行)")</t>
        </is>
      </c>
    </row>
    <row r="111">
      <c r="A111" s="9" t="n">
        <v>108</v>
      </c>
      <c r="B111" s="10" t="inlineStr">
        <is>
          <t xml:space="preserve">        sc.font, sc.fill, sc.border = FILE_FONT, FILE_FILL, THIN</t>
        </is>
      </c>
    </row>
    <row r="112">
      <c r="A112" s="7" t="n">
        <v>109</v>
      </c>
      <c r="B112" s="8" t="inlineStr">
        <is>
          <t xml:space="preserve">        for c in range(2, 4):</t>
        </is>
      </c>
    </row>
    <row r="113">
      <c r="A113" s="9" t="n">
        <v>110</v>
      </c>
      <c r="B113" s="10" t="inlineStr">
        <is>
          <t xml:space="preserve">            ws2.cell(row=cr, column=c).fill, ws2.cell(row=cr, column=c).border = FILE_FILL, THIN</t>
        </is>
      </c>
    </row>
    <row r="114">
      <c r="A114" s="7" t="n">
        <v>111</v>
      </c>
      <c r="B114" s="8" t="inlineStr">
        <is>
          <t xml:space="preserve">        cr += 1</t>
        </is>
      </c>
    </row>
    <row r="115">
      <c r="A115" s="9" t="n">
        <v>112</v>
      </c>
      <c r="B115" s="10" t="inlineStr">
        <is>
          <t xml:space="preserve">        # 每行代码</t>
        </is>
      </c>
    </row>
    <row r="116">
      <c r="A116" s="7" t="n">
        <v>113</v>
      </c>
      <c r="B116" s="8" t="inlineStr">
        <is>
          <t xml:space="preserve">        for ln, line in enumerate(f["代码"].split("\n"), 1):</t>
        </is>
      </c>
    </row>
    <row r="117">
      <c r="A117" s="9" t="n">
        <v>114</v>
      </c>
      <c r="B117" s="10" t="inlineStr">
        <is>
          <t xml:space="preserve">            ws2.cell(row=cr, column=1, value=f["路径"]).font = DIM_FONT</t>
        </is>
      </c>
    </row>
    <row r="118">
      <c r="A118" s="7" t="n">
        <v>115</v>
      </c>
      <c r="B118" s="8" t="inlineStr">
        <is>
          <t xml:space="preserve">            ws2.cell(row=cr, column=2, value=ln).font = DIM_FONT</t>
        </is>
      </c>
    </row>
    <row r="119">
      <c r="A119" s="9" t="n">
        <v>116</v>
      </c>
      <c r="B119" s="10" t="inlineStr">
        <is>
          <t xml:space="preserve">            ws2.cell(row=cr, column=3, value=line).font = CODE_FONT</t>
        </is>
      </c>
    </row>
    <row r="120">
      <c r="A120" s="7" t="n">
        <v>117</v>
      </c>
      <c r="B120" s="8" t="inlineStr">
        <is>
          <t xml:space="preserve">            for c in range(1, 4):</t>
        </is>
      </c>
    </row>
    <row r="121">
      <c r="A121" s="9" t="n">
        <v>118</v>
      </c>
      <c r="B121" s="10" t="inlineStr">
        <is>
          <t xml:space="preserve">                ws2.cell(row=cr, column=c).border = THIN</t>
        </is>
      </c>
    </row>
    <row r="122">
      <c r="A122" s="7" t="n">
        <v>119</v>
      </c>
      <c r="B122" s="8" t="inlineStr">
        <is>
          <t xml:space="preserve">                ws2.cell(row=cr, column=c).alignment = CODE_ALIGN if c == 3 else Alignment(vertical="top")</t>
        </is>
      </c>
    </row>
    <row r="123">
      <c r="A123" s="9" t="n">
        <v>120</v>
      </c>
      <c r="B123" s="10" t="inlineStr">
        <is>
          <t xml:space="preserve">            cr += 1</t>
        </is>
      </c>
    </row>
    <row r="124">
      <c r="A124" s="7" t="n">
        <v>121</v>
      </c>
      <c r="B124" s="8" t="inlineStr">
        <is>
          <t xml:space="preserve">        cr += 1  # 文件间空行</t>
        </is>
      </c>
    </row>
    <row r="125">
      <c r="A125" s="9" t="n">
        <v>122</v>
      </c>
      <c r="B125" s="10" t="inlineStr">
        <is>
          <t xml:space="preserve">    ws2.column_dimensions["A"].width = 50</t>
        </is>
      </c>
    </row>
    <row r="126">
      <c r="A126" s="7" t="n">
        <v>123</v>
      </c>
      <c r="B126" s="8" t="inlineStr">
        <is>
          <t xml:space="preserve">    ws2.column_dimensions["B"].width = 7</t>
        </is>
      </c>
    </row>
    <row r="127">
      <c r="A127" s="9" t="n">
        <v>124</v>
      </c>
      <c r="B127" s="10" t="inlineStr">
        <is>
          <t xml:space="preserve">    ws2.column_dimensions["C"].width = 180</t>
        </is>
      </c>
    </row>
    <row r="128">
      <c r="A128" s="7" t="n">
        <v>125</v>
      </c>
      <c r="B128" s="8" t="inlineStr">
        <is>
          <t xml:space="preserve">    ws2.freeze_panes = "A3"</t>
        </is>
      </c>
    </row>
    <row r="129">
      <c r="A129" s="9" t="n">
        <v>126</v>
      </c>
      <c r="B129" s="10" t="inlineStr">
        <is>
          <t xml:space="preserve">    # ====== Sheet 3: 按模块 ======</t>
        </is>
      </c>
    </row>
    <row r="130">
      <c r="A130" s="7" t="n">
        <v>127</v>
      </c>
      <c r="B130" s="8" t="inlineStr">
        <is>
          <t xml:space="preserve">    ws3 = wb.create_sheet("按模块分类")</t>
        </is>
      </c>
    </row>
    <row r="131">
      <c r="A131" s="9" t="n">
        <v>128</v>
      </c>
      <c r="B131" s="10" t="inlineStr">
        <is>
          <t xml:space="preserve">    cats = {}</t>
        </is>
      </c>
    </row>
    <row r="132">
      <c r="A132" s="7" t="n">
        <v>129</v>
      </c>
      <c r="B132" s="8" t="inlineStr">
        <is>
          <t xml:space="preserve">    for f in group:</t>
        </is>
      </c>
    </row>
    <row r="133">
      <c r="A133" s="9" t="n">
        <v>130</v>
      </c>
      <c r="B133" s="10" t="inlineStr">
        <is>
          <t xml:space="preserve">        parts = f["路径"].replace("\\", "/").split("/")</t>
        </is>
      </c>
    </row>
    <row r="134">
      <c r="A134" s="7" t="n">
        <v>131</v>
      </c>
      <c r="B134" s="8" t="inlineStr">
        <is>
          <t xml:space="preserve">        cat = parts[0] if len(parts) == 1 else (f"plugins/{parts[1]}" if parts[0] == "plugins" and len(parts) &gt; 1 else parts[0])</t>
        </is>
      </c>
    </row>
    <row r="135">
      <c r="A135" s="9" t="n">
        <v>132</v>
      </c>
      <c r="B135" s="10" t="inlineStr">
        <is>
          <t xml:space="preserve">        cats.setdefault(cat, []).append(f)</t>
        </is>
      </c>
    </row>
    <row r="136">
      <c r="A136" s="7" t="n">
        <v>133</v>
      </c>
      <c r="B136" s="8" t="inlineStr">
        <is>
          <t xml:space="preserve">    ws3.merge_cells("A1:D1")</t>
        </is>
      </c>
    </row>
    <row r="137">
      <c r="A137" s="9" t="n">
        <v>134</v>
      </c>
      <c r="B137" s="10" t="inlineStr">
        <is>
          <t xml:space="preserve">    ws3["A1"].value = f"树剪 v3.0 模块分类 - 第{part_no}部分 ({len(cats)}个模块)"</t>
        </is>
      </c>
    </row>
    <row r="138">
      <c r="A138" s="7" t="n">
        <v>135</v>
      </c>
      <c r="B138" s="8" t="inlineStr">
        <is>
          <t xml:space="preserve">    ws3["A1"].font = Font(name="Microsoft YaHei", size=14, bold=True, color="1a237e")</t>
        </is>
      </c>
    </row>
    <row r="139">
      <c r="A139" s="9" t="n">
        <v>136</v>
      </c>
      <c r="B139" s="10" t="inlineStr">
        <is>
          <t xml:space="preserve">    for col, h in enumerate(["模块/文件", "文件数", "行数", "KB"], 1):</t>
        </is>
      </c>
    </row>
    <row r="140">
      <c r="A140" s="7" t="n">
        <v>137</v>
      </c>
      <c r="B140" s="8" t="inlineStr">
        <is>
          <t xml:space="preserve">        c = ws3.cell(row=2, column=col, value=h)</t>
        </is>
      </c>
    </row>
    <row r="141">
      <c r="A141" s="9" t="n">
        <v>138</v>
      </c>
      <c r="B141" s="10" t="inlineStr">
        <is>
          <t xml:space="preserve">        c.font, c.fill, c.alignment, c.border = HDR_FONT, HDR_FILL, HDR_ALIGN, THIN</t>
        </is>
      </c>
    </row>
    <row r="142">
      <c r="A142" s="7" t="n">
        <v>139</v>
      </c>
      <c r="B142" s="8" t="inlineStr">
        <is>
          <t xml:space="preserve">    cr = 3</t>
        </is>
      </c>
    </row>
    <row r="143">
      <c r="A143" s="9" t="n">
        <v>140</v>
      </c>
      <c r="B143" s="10" t="inlineStr">
        <is>
          <t xml:space="preserve">    for cat_name in sorted(cats.keys()):</t>
        </is>
      </c>
    </row>
    <row r="144">
      <c r="A144" s="7" t="n">
        <v>141</v>
      </c>
      <c r="B144" s="8" t="inlineStr">
        <is>
          <t xml:space="preserve">        cf = cats[cat_name]</t>
        </is>
      </c>
    </row>
    <row r="145">
      <c r="A145" s="9" t="n">
        <v>142</v>
      </c>
      <c r="B145" s="10" t="inlineStr">
        <is>
          <t xml:space="preserve">        cl, cs = sum(x["行数"] for x in cf), sum(x["大小KB"] for x in cf)</t>
        </is>
      </c>
    </row>
    <row r="146">
      <c r="A146" s="7" t="n">
        <v>143</v>
      </c>
      <c r="B146" s="8" t="inlineStr">
        <is>
          <t xml:space="preserve">        for col, val in enumerate([cat_name, len(cf), cl, round(cs, 1)], 1):</t>
        </is>
      </c>
    </row>
    <row r="147">
      <c r="A147" s="9" t="n">
        <v>144</v>
      </c>
      <c r="B147" s="10" t="inlineStr">
        <is>
          <t xml:space="preserve">            c = ws3.cell(row=cr, column=col, value=val)</t>
        </is>
      </c>
    </row>
    <row r="148">
      <c r="A148" s="7" t="n">
        <v>145</v>
      </c>
      <c r="B148" s="8" t="inlineStr">
        <is>
          <t xml:space="preserve">            c.font = Font(name="Consolas", size=10, bold=True) if col == 1 else Font(name="Consolas", size=10)</t>
        </is>
      </c>
    </row>
    <row r="149">
      <c r="A149" s="9" t="n">
        <v>146</v>
      </c>
      <c r="B149" s="10" t="inlineStr">
        <is>
          <t xml:space="preserve">            c.border = THIN</t>
        </is>
      </c>
    </row>
    <row r="150">
      <c r="A150" s="7" t="n">
        <v>147</v>
      </c>
      <c r="B150" s="8" t="inlineStr">
        <is>
          <t xml:space="preserve">        cr += 1</t>
        </is>
      </c>
    </row>
    <row r="151">
      <c r="A151" s="9" t="n">
        <v>148</v>
      </c>
      <c r="B151" s="10" t="inlineStr">
        <is>
          <t xml:space="preserve">        for f in sorted(cf, key=lambda x: x["路径"]):</t>
        </is>
      </c>
    </row>
    <row r="152">
      <c r="A152" s="7" t="n">
        <v>149</v>
      </c>
      <c r="B152" s="8" t="inlineStr">
        <is>
          <t xml:space="preserve">            ws3.cell(row=cr, column=1, value=f"    {f['文件名']}").font = Font(name="Consolas", size=9, color="555555")</t>
        </is>
      </c>
    </row>
    <row r="153">
      <c r="A153" s="9" t="n">
        <v>150</v>
      </c>
      <c r="B153" s="10" t="inlineStr">
        <is>
          <t xml:space="preserve">            ws3.cell(row=cr, column=2, value="").border = THIN</t>
        </is>
      </c>
    </row>
    <row r="154">
      <c r="A154" s="7" t="n">
        <v>151</v>
      </c>
      <c r="B154" s="8" t="inlineStr">
        <is>
          <t xml:space="preserve">            ws3.cell(row=cr, column=3, value=f["行数"]).font = DIM_FONT; ws3.cell(row=cr, column=3).border = THIN</t>
        </is>
      </c>
    </row>
    <row r="155">
      <c r="A155" s="9" t="n">
        <v>152</v>
      </c>
      <c r="B155" s="10" t="inlineStr">
        <is>
          <t xml:space="preserve">            ws3.cell(row=cr, column=4, value=f["大小KB"]).font = DIM_FONT; ws3.cell(row=cr, column=4).border = THIN</t>
        </is>
      </c>
    </row>
    <row r="156">
      <c r="A156" s="7" t="n">
        <v>153</v>
      </c>
      <c r="B156" s="8" t="inlineStr">
        <is>
          <t xml:space="preserve">            ws3.cell(row=cr, column=1).border = THIN</t>
        </is>
      </c>
    </row>
    <row r="157">
      <c r="A157" s="9" t="n">
        <v>154</v>
      </c>
      <c r="B157" s="10" t="inlineStr">
        <is>
          <t xml:space="preserve">            cr += 1</t>
        </is>
      </c>
    </row>
    <row r="158">
      <c r="A158" s="7" t="n">
        <v>155</v>
      </c>
      <c r="B158" s="8" t="inlineStr">
        <is>
          <t xml:space="preserve">        cr += 1</t>
        </is>
      </c>
    </row>
    <row r="159">
      <c r="A159" s="9" t="n">
        <v>156</v>
      </c>
      <c r="B159" s="10" t="inlineStr">
        <is>
          <t xml:space="preserve">    ws3.column_dimensions["A"].width = 60</t>
        </is>
      </c>
    </row>
    <row r="160">
      <c r="A160" s="7" t="n">
        <v>157</v>
      </c>
      <c r="B160" s="8" t="inlineStr">
        <is>
          <t xml:space="preserve">    ws3.column_dimensions["B"].width = 10</t>
        </is>
      </c>
    </row>
    <row r="161">
      <c r="A161" s="9" t="n">
        <v>158</v>
      </c>
      <c r="B161" s="10" t="inlineStr">
        <is>
          <t xml:space="preserve">    ws3.column_dimensions["C"].width = 12</t>
        </is>
      </c>
    </row>
    <row r="162">
      <c r="A162" s="7" t="n">
        <v>159</v>
      </c>
      <c r="B162" s="8" t="inlineStr">
        <is>
          <t xml:space="preserve">    ws3.column_dimensions["D"].width = 12</t>
        </is>
      </c>
    </row>
    <row r="163">
      <c r="A163" s="9" t="n">
        <v>160</v>
      </c>
      <c r="B163" s="10" t="inlineStr">
        <is>
          <t xml:space="preserve">    ws3.freeze_panes = "A3"</t>
        </is>
      </c>
    </row>
    <row r="164">
      <c r="A164" s="7" t="n">
        <v>161</v>
      </c>
      <c r="B164" s="8" t="inlineStr">
        <is>
          <t xml:space="preserve">    # 保存</t>
        </is>
      </c>
    </row>
    <row r="165">
      <c r="A165" s="9" t="n">
        <v>162</v>
      </c>
      <c r="B165" s="10" t="inlineStr">
        <is>
          <t xml:space="preserve">    fname = os.path.join(DESKTOP, f"树剪_v3.0_代码_第{part_no}部分.xlsx")</t>
        </is>
      </c>
    </row>
    <row r="166">
      <c r="A166" s="7" t="n">
        <v>163</v>
      </c>
      <c r="B166" s="8" t="inlineStr">
        <is>
          <t xml:space="preserve">    wb.save(fname)</t>
        </is>
      </c>
    </row>
    <row r="167">
      <c r="A167" s="9" t="n">
        <v>164</v>
      </c>
      <c r="B167" s="10" t="inlineStr">
        <is>
          <t xml:space="preserve">    return fname</t>
        </is>
      </c>
    </row>
    <row r="168">
      <c r="A168" s="7" t="n">
        <v>165</v>
      </c>
      <c r="B168" s="8" t="inlineStr">
        <is>
          <t># 3. 生成两个文件</t>
        </is>
      </c>
    </row>
    <row r="169">
      <c r="A169" s="9" t="n">
        <v>166</v>
      </c>
      <c r="B169" s="10" t="inlineStr">
        <is>
          <t>p1 = write_excel(group1, 1, 1)</t>
        </is>
      </c>
    </row>
    <row r="170">
      <c r="A170" s="7" t="n">
        <v>167</v>
      </c>
      <c r="B170" s="8" t="inlineStr">
        <is>
          <t>p2 = write_excel(group2, 2, len(group1) + 1)</t>
        </is>
      </c>
    </row>
    <row r="171">
      <c r="A171" s="9" t="n">
        <v>168</v>
      </c>
      <c r="B171" s="10" t="inlineStr">
        <is>
          <t>print(f"OK Part1: {os.path.basename(p1)} | {len(group1)}files | {sum(f['行数'] for f in group1)}lines")</t>
        </is>
      </c>
    </row>
    <row r="172">
      <c r="A172" s="7" t="n">
        <v>169</v>
      </c>
      <c r="B172" s="8" t="inlineStr">
        <is>
          <t>print(f"OK Part2: {os.path.basename(p2)} | {len(group2)}files | {sum(f['行数'] for f in group2)}lines")</t>
        </is>
      </c>
    </row>
    <row r="173">
      <c r="A173" s="9" t="n">
        <v>170</v>
      </c>
      <c r="B173" s="10" t="inlineStr">
        <is>
          <t>print(f"OK Total: {len(all_files)}files | {total_lines}lines | 完整无缺失")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add_script_table.py</t>
        </is>
      </c>
      <c r="C1" s="5" t="inlineStr">
        <is>
          <t>行数: 51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树剪 TreeCut v11 — 数据库迁移: 添加脚本学习库表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运行: python add_script_table.py</t>
        </is>
      </c>
    </row>
    <row r="9">
      <c r="A9" s="9" t="n">
        <v>6</v>
      </c>
      <c r="B9" s="10" t="inlineStr">
        <is>
          <t>作用: 在 ai_material_library.db 中创建 learned_scripts 表及索引 (幂等)</t>
        </is>
      </c>
    </row>
    <row r="10">
      <c r="A10" s="7" t="n">
        <v>7</v>
      </c>
      <c r="B10" s="8" t="inlineStr">
        <is>
          <t>"""</t>
        </is>
      </c>
    </row>
    <row r="11">
      <c r="A11" s="9" t="n">
        <v>8</v>
      </c>
      <c r="B11" s="10" t="inlineStr">
        <is>
          <t>import sqlite3</t>
        </is>
      </c>
    </row>
    <row r="12">
      <c r="A12" s="7" t="n">
        <v>9</v>
      </c>
      <c r="B12" s="8" t="inlineStr">
        <is>
          <t>from pathlib import Path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DB = Path(__file__).parent / "ai_material_library.db"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SQL = """</t>
        </is>
      </c>
    </row>
    <row r="17">
      <c r="A17" s="9" t="n">
        <v>14</v>
      </c>
      <c r="B17" s="10" t="inlineStr">
        <is>
          <t>CREATE TABLE IF NOT EXISTS learned_scripts (</t>
        </is>
      </c>
    </row>
    <row r="18">
      <c r="A18" s="7" t="n">
        <v>15</v>
      </c>
      <c r="B18" s="8" t="inlineStr">
        <is>
          <t xml:space="preserve">    id INTEGER PRIMARY KEY AUTOINCREMENT,</t>
        </is>
      </c>
    </row>
    <row r="19">
      <c r="A19" s="9" t="n">
        <v>16</v>
      </c>
      <c r="B19" s="10" t="inlineStr">
        <is>
          <t xml:space="preserve">    content TEXT NOT NULL,</t>
        </is>
      </c>
    </row>
    <row r="20">
      <c r="A20" s="7" t="n">
        <v>17</v>
      </c>
      <c r="B20" s="8" t="inlineStr">
        <is>
          <t xml:space="preserve">    source TEXT DEFAULT 'manual',</t>
        </is>
      </c>
    </row>
    <row r="21">
      <c r="A21" s="9" t="n">
        <v>18</v>
      </c>
      <c r="B21" s="10" t="inlineStr">
        <is>
          <t xml:space="preserve">    tags TEXT DEFAULT '',</t>
        </is>
      </c>
    </row>
    <row r="22">
      <c r="A22" s="7" t="n">
        <v>19</v>
      </c>
      <c r="B22" s="8" t="inlineStr">
        <is>
          <t xml:space="preserve">    usage_count INTEGER DEFAULT 0,</t>
        </is>
      </c>
    </row>
    <row r="23">
      <c r="A23" s="9" t="n">
        <v>20</v>
      </c>
      <c r="B23" s="10" t="inlineStr">
        <is>
          <t xml:space="preserve">    avg_score REAL DEFAULT 0.0,</t>
        </is>
      </c>
    </row>
    <row r="24">
      <c r="A24" s="7" t="n">
        <v>21</v>
      </c>
      <c r="B24" s="8" t="inlineStr">
        <is>
          <t xml:space="preserve">    embedding BLOB DEFAULT NULL,</t>
        </is>
      </c>
    </row>
    <row r="25">
      <c r="A25" s="9" t="n">
        <v>22</v>
      </c>
      <c r="B25" s="10" t="inlineStr">
        <is>
          <t xml:space="preserve">    created_at TEXT DEFAULT CURRENT_TIMESTAMP,</t>
        </is>
      </c>
    </row>
    <row r="26">
      <c r="A26" s="7" t="n">
        <v>23</v>
      </c>
      <c r="B26" s="8" t="inlineStr">
        <is>
          <t xml:space="preserve">    last_used_at TEXT,</t>
        </is>
      </c>
    </row>
    <row r="27">
      <c r="A27" s="9" t="n">
        <v>24</v>
      </c>
      <c r="B27" s="10" t="inlineStr">
        <is>
          <t xml:space="preserve">    notes TEXT DEFAULT ''</t>
        </is>
      </c>
    </row>
    <row r="28">
      <c r="A28" s="7" t="n">
        <v>25</v>
      </c>
      <c r="B28" s="8" t="inlineStr">
        <is>
          <t>);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CREATE INDEX IF NOT EXISTS idx_ls_tags ON learned_scripts(tags);</t>
        </is>
      </c>
    </row>
    <row r="31">
      <c r="A31" s="9" t="n">
        <v>28</v>
      </c>
      <c r="B31" s="10" t="inlineStr">
        <is>
          <t>CREATE INDEX IF NOT EXISTS idx_ls_source ON learned_scripts(source);</t>
        </is>
      </c>
    </row>
    <row r="32">
      <c r="A32" s="7" t="n">
        <v>29</v>
      </c>
      <c r="B32" s="8" t="inlineStr">
        <is>
          <t>CREATE INDEX IF NOT EXISTS idx_ls_usage ON learned_scripts(usage_count DESC);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CREATE TABLE IF NOT EXISTS generation_log (</t>
        </is>
      </c>
    </row>
    <row r="35">
      <c r="A35" s="9" t="n">
        <v>32</v>
      </c>
      <c r="B35" s="10" t="inlineStr">
        <is>
          <t xml:space="preserve">    id INTEGER PRIMARY KEY AUTOINCREMENT,</t>
        </is>
      </c>
    </row>
    <row r="36">
      <c r="A36" s="7" t="n">
        <v>33</v>
      </c>
      <c r="B36" s="8" t="inlineStr">
        <is>
          <t xml:space="preserve">    script_id INTEGER,</t>
        </is>
      </c>
    </row>
    <row r="37">
      <c r="A37" s="9" t="n">
        <v>34</v>
      </c>
      <c r="B37" s="10" t="inlineStr">
        <is>
          <t xml:space="preserve">    keyword TEXT,</t>
        </is>
      </c>
    </row>
    <row r="38">
      <c r="A38" s="7" t="n">
        <v>35</v>
      </c>
      <c r="B38" s="8" t="inlineStr">
        <is>
          <t xml:space="preserve">    draft_dir TEXT,</t>
        </is>
      </c>
    </row>
    <row r="39">
      <c r="A39" s="9" t="n">
        <v>36</v>
      </c>
      <c r="B39" s="10" t="inlineStr">
        <is>
          <t xml:space="preserve">    copy_text TEXT,</t>
        </is>
      </c>
    </row>
    <row r="40">
      <c r="A40" s="7" t="n">
        <v>37</v>
      </c>
      <c r="B40" s="8" t="inlineStr">
        <is>
          <t xml:space="preserve">    score INTEGER DEFAULT 0,</t>
        </is>
      </c>
    </row>
    <row r="41">
      <c r="A41" s="9" t="n">
        <v>38</v>
      </c>
      <c r="B41" s="10" t="inlineStr">
        <is>
          <t xml:space="preserve">    created_at TEXT DEFAULT CURRENT_TIMESTAMP,</t>
        </is>
      </c>
    </row>
    <row r="42">
      <c r="A42" s="7" t="n">
        <v>39</v>
      </c>
      <c r="B42" s="8" t="inlineStr">
        <is>
          <t xml:space="preserve">    FOREIGN KEY (script_id) REFERENCES learned_scripts(id)</t>
        </is>
      </c>
    </row>
    <row r="43">
      <c r="A43" s="9" t="n">
        <v>40</v>
      </c>
      <c r="B43" s="10" t="inlineStr">
        <is>
          <t>);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>CREATE INDEX IF NOT EXISTS idx_gl_script ON generation_log(script_id);</t>
        </is>
      </c>
    </row>
    <row r="46">
      <c r="A46" s="7" t="n">
        <v>43</v>
      </c>
      <c r="B46" s="8" t="inlineStr">
        <is>
          <t>"""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>if __name__ == "__main__":</t>
        </is>
      </c>
    </row>
    <row r="49">
      <c r="A49" s="9" t="n">
        <v>46</v>
      </c>
      <c r="B49" s="10" t="inlineStr">
        <is>
          <t xml:space="preserve">    with sqlite3.connect(str(DB)) as conn:</t>
        </is>
      </c>
    </row>
    <row r="50">
      <c r="A50" s="7" t="n">
        <v>47</v>
      </c>
      <c r="B50" s="8" t="inlineStr">
        <is>
          <t xml:space="preserve">        conn.executescript(SQL)</t>
        </is>
      </c>
    </row>
    <row r="51">
      <c r="A51" s="9" t="n">
        <v>48</v>
      </c>
      <c r="B51" s="10" t="inlineStr">
        <is>
          <t xml:space="preserve">        conn.commit()</t>
        </is>
      </c>
    </row>
    <row r="52">
      <c r="A52" s="7" t="n">
        <v>49</v>
      </c>
      <c r="B52" s="8" t="inlineStr">
        <is>
          <t xml:space="preserve">    print(f"[OK] 数据库迁移完成: {DB}")</t>
        </is>
      </c>
    </row>
    <row r="53">
      <c r="A53" s="9" t="n">
        <v>50</v>
      </c>
      <c r="B53" s="10" t="inlineStr">
        <is>
          <t xml:space="preserve">    print(f"  learned_scripts 表已就绪")</t>
        </is>
      </c>
    </row>
    <row r="54">
      <c r="A54" s="7" t="n">
        <v>51</v>
      </c>
      <c r="B54" s="8" t="inlineStr">
        <is>
          <t xml:space="preserve">    print(f"  generation_log 表已就绪")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add_video_frames_table.py</t>
        </is>
      </c>
      <c r="C1" s="5" t="inlineStr">
        <is>
          <t>行数: 80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v11.3 — 数据库迁移脚本</t>
        </is>
      </c>
    </row>
    <row r="6">
      <c r="A6" s="7" t="n">
        <v>3</v>
      </c>
      <c r="B6" s="8">
        <f>===================================</f>
        <v/>
      </c>
    </row>
    <row r="7">
      <c r="A7" s="9" t="n">
        <v>4</v>
      </c>
      <c r="B7" s="10" t="inlineStr">
        <is>
          <t>添加 video_frames 表和 has_frames 列。</t>
        </is>
      </c>
    </row>
    <row r="8">
      <c r="A8" s="7" t="n">
        <v>5</v>
      </c>
      <c r="B8" s="8" t="inlineStr">
        <is>
          <t>运行方式: python add_video_frames_table.py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import sqlite3</t>
        </is>
      </c>
    </row>
    <row r="12">
      <c r="A12" s="7" t="n">
        <v>9</v>
      </c>
      <c r="B12" s="8" t="inlineStr">
        <is>
          <t>from pathlib import Path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DB_PATH = Path(__file__).parent / "ai_material_library.db"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def migrate():</t>
        </is>
      </c>
    </row>
    <row r="17">
      <c r="A17" s="9" t="n">
        <v>14</v>
      </c>
      <c r="B17" s="10" t="inlineStr">
        <is>
          <t xml:space="preserve">    if not DB_PATH.exists():</t>
        </is>
      </c>
    </row>
    <row r="18">
      <c r="A18" s="7" t="n">
        <v>15</v>
      </c>
      <c r="B18" s="8" t="inlineStr">
        <is>
          <t xml:space="preserve">        print(f"数据库不存在: {DB_PATH}")</t>
        </is>
      </c>
    </row>
    <row r="19">
      <c r="A19" s="9" t="n">
        <v>16</v>
      </c>
      <c r="B19" s="10" t="inlineStr">
        <is>
          <t xml:space="preserve">        print("请先确保程序已至少运行过一次，或手动创建数据库。")</t>
        </is>
      </c>
    </row>
    <row r="20">
      <c r="A20" s="7" t="n">
        <v>17</v>
      </c>
      <c r="B20" s="8" t="inlineStr">
        <is>
          <t xml:space="preserve">        return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 xml:space="preserve">    conn = sqlite3.connect(str(DB_PATH))</t>
        </is>
      </c>
    </row>
    <row r="23">
      <c r="A23" s="9" t="n">
        <v>20</v>
      </c>
      <c r="B23" s="10" t="inlineStr">
        <is>
          <t xml:space="preserve">    try:</t>
        </is>
      </c>
    </row>
    <row r="24">
      <c r="A24" s="7" t="n">
        <v>21</v>
      </c>
      <c r="B24" s="8" t="inlineStr">
        <is>
          <t xml:space="preserve">        conn.execute("PRAGMA journal_mode=WAL")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 xml:space="preserve">        # 检查 video_frames 表是否已存在</t>
        </is>
      </c>
    </row>
    <row r="27">
      <c r="A27" s="9" t="n">
        <v>24</v>
      </c>
      <c r="B27" s="10" t="inlineStr">
        <is>
          <t xml:space="preserve">        cursor = conn.execute(</t>
        </is>
      </c>
    </row>
    <row r="28">
      <c r="A28" s="7" t="n">
        <v>25</v>
      </c>
      <c r="B28" s="8" t="inlineStr">
        <is>
          <t xml:space="preserve">            "SELECT name FROM sqlite_master WHERE type='table' AND name='video_frames'"</t>
        </is>
      </c>
    </row>
    <row r="29">
      <c r="A29" s="9" t="n">
        <v>26</v>
      </c>
      <c r="B29" s="10" t="inlineStr">
        <is>
          <t xml:space="preserve">        )</t>
        </is>
      </c>
    </row>
    <row r="30">
      <c r="A30" s="7" t="n">
        <v>27</v>
      </c>
      <c r="B30" s="8" t="inlineStr">
        <is>
          <t xml:space="preserve">        if cursor.fetchone():</t>
        </is>
      </c>
    </row>
    <row r="31">
      <c r="A31" s="9" t="n">
        <v>28</v>
      </c>
      <c r="B31" s="10" t="inlineStr">
        <is>
          <t xml:space="preserve">            print("[SKIP] video_frames 表已存在，跳过")</t>
        </is>
      </c>
    </row>
    <row r="32">
      <c r="A32" s="7" t="n">
        <v>29</v>
      </c>
      <c r="B32" s="8" t="inlineStr">
        <is>
          <t xml:space="preserve">        else:</t>
        </is>
      </c>
    </row>
    <row r="33">
      <c r="A33" s="9" t="n">
        <v>30</v>
      </c>
      <c r="B33" s="10" t="inlineStr">
        <is>
          <t xml:space="preserve">            print("创建 video_frames 表...")</t>
        </is>
      </c>
    </row>
    <row r="34">
      <c r="A34" s="7" t="n">
        <v>31</v>
      </c>
      <c r="B34" s="8" t="inlineStr">
        <is>
          <t xml:space="preserve">            conn.executescript("""</t>
        </is>
      </c>
    </row>
    <row r="35">
      <c r="A35" s="9" t="n">
        <v>32</v>
      </c>
      <c r="B35" s="10" t="inlineStr">
        <is>
          <t xml:space="preserve">                CREATE TABLE IF NOT EXISTS video_frames (</t>
        </is>
      </c>
    </row>
    <row r="36">
      <c r="A36" s="7" t="n">
        <v>33</v>
      </c>
      <c r="B36" s="8" t="inlineStr">
        <is>
          <t xml:space="preserve">                    id INTEGER PRIMARY KEY AUTOINCREMENT,</t>
        </is>
      </c>
    </row>
    <row r="37">
      <c r="A37" s="9" t="n">
        <v>34</v>
      </c>
      <c r="B37" s="10" t="inlineStr">
        <is>
          <t xml:space="preserve">                    video_path TEXT NOT NULL,</t>
        </is>
      </c>
    </row>
    <row r="38">
      <c r="A38" s="7" t="n">
        <v>35</v>
      </c>
      <c r="B38" s="8" t="inlineStr">
        <is>
          <t xml:space="preserve">                    frame_timestamp REAL,</t>
        </is>
      </c>
    </row>
    <row r="39">
      <c r="A39" s="9" t="n">
        <v>36</v>
      </c>
      <c r="B39" s="10" t="inlineStr">
        <is>
          <t xml:space="preserve">                    frame_image_path TEXT,</t>
        </is>
      </c>
    </row>
    <row r="40">
      <c r="A40" s="7" t="n">
        <v>37</v>
      </c>
      <c r="B40" s="8" t="inlineStr">
        <is>
          <t xml:space="preserve">                    caption TEXT DEFAULT '',</t>
        </is>
      </c>
    </row>
    <row r="41">
      <c r="A41" s="9" t="n">
        <v>38</v>
      </c>
      <c r="B41" s="10" t="inlineStr">
        <is>
          <t xml:space="preserve">                    objects TEXT DEFAULT '',</t>
        </is>
      </c>
    </row>
    <row r="42">
      <c r="A42" s="7" t="n">
        <v>39</v>
      </c>
      <c r="B42" s="8" t="inlineStr">
        <is>
          <t xml:space="preserve">                    materials TEXT DEFAULT '',</t>
        </is>
      </c>
    </row>
    <row r="43">
      <c r="A43" s="9" t="n">
        <v>40</v>
      </c>
      <c r="B43" s="10" t="inlineStr">
        <is>
          <t xml:space="preserve">                    colors TEXT DEFAULT '',</t>
        </is>
      </c>
    </row>
    <row r="44">
      <c r="A44" s="7" t="n">
        <v>41</v>
      </c>
      <c r="B44" s="8" t="inlineStr">
        <is>
          <t xml:space="preserve">                    style TEXT DEFAULT '',</t>
        </is>
      </c>
    </row>
    <row r="45">
      <c r="A45" s="9" t="n">
        <v>42</v>
      </c>
      <c r="B45" s="10" t="inlineStr">
        <is>
          <t xml:space="preserve">                    scene_type TEXT DEFAULT '',</t>
        </is>
      </c>
    </row>
    <row r="46">
      <c r="A46" s="7" t="n">
        <v>43</v>
      </c>
      <c r="B46" s="8" t="inlineStr">
        <is>
          <t xml:space="preserve">                    user_score INTEGER DEFAULT 3,</t>
        </is>
      </c>
    </row>
    <row r="47">
      <c r="A47" s="9" t="n">
        <v>44</v>
      </c>
      <c r="B47" s="10" t="inlineStr">
        <is>
          <t xml:space="preserve">                    user_tags TEXT DEFAULT '',</t>
        </is>
      </c>
    </row>
    <row r="48">
      <c r="A48" s="7" t="n">
        <v>45</v>
      </c>
      <c r="B48" s="8" t="inlineStr">
        <is>
          <t xml:space="preserve">                    model_confidence REAL DEFAULT 0.8,</t>
        </is>
      </c>
    </row>
    <row r="49">
      <c r="A49" s="9" t="n">
        <v>46</v>
      </c>
      <c r="B49" s="10" t="inlineStr">
        <is>
          <t xml:space="preserve">                    analyzed_at TEXT DEFAULT CURRENT_TIMESTAMP,</t>
        </is>
      </c>
    </row>
    <row r="50">
      <c r="A50" s="7" t="n">
        <v>47</v>
      </c>
      <c r="B50" s="8" t="inlineStr">
        <is>
          <t xml:space="preserve">                    UNIQUE(video_path, frame_timestamp)</t>
        </is>
      </c>
    </row>
    <row r="51">
      <c r="A51" s="9" t="n">
        <v>48</v>
      </c>
      <c r="B51" s="10" t="inlineStr">
        <is>
          <t xml:space="preserve">                );</t>
        </is>
      </c>
    </row>
    <row r="52">
      <c r="A52" s="7" t="n">
        <v>49</v>
      </c>
      <c r="B52" s="8" t="inlineStr">
        <is>
          <t xml:space="preserve">                CREATE INDEX IF NOT EXISTS idx_vf_path ON video_frames(video_path);</t>
        </is>
      </c>
    </row>
    <row r="53">
      <c r="A53" s="9" t="n">
        <v>50</v>
      </c>
      <c r="B53" s="10" t="inlineStr">
        <is>
          <t xml:space="preserve">                CREATE INDEX IF NOT EXISTS idx_vf_score ON video_frames(user_score);</t>
        </is>
      </c>
    </row>
    <row r="54">
      <c r="A54" s="7" t="n">
        <v>51</v>
      </c>
      <c r="B54" s="8" t="inlineStr">
        <is>
          <t xml:space="preserve">            """)</t>
        </is>
      </c>
    </row>
    <row r="55">
      <c r="A55" s="9" t="n">
        <v>52</v>
      </c>
      <c r="B55" s="10" t="inlineStr">
        <is>
          <t xml:space="preserve">            print("[OK] video_frames 表已创建")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      # 检查 materials.has_frames 列</t>
        </is>
      </c>
    </row>
    <row r="58">
      <c r="A58" s="7" t="n">
        <v>55</v>
      </c>
      <c r="B58" s="8" t="inlineStr">
        <is>
          <t xml:space="preserve">        try:</t>
        </is>
      </c>
    </row>
    <row r="59">
      <c r="A59" s="9" t="n">
        <v>56</v>
      </c>
      <c r="B59" s="10" t="inlineStr">
        <is>
          <t xml:space="preserve">            conn.execute("SELECT has_frames FROM materials LIMIT 1")</t>
        </is>
      </c>
    </row>
    <row r="60">
      <c r="A60" s="7" t="n">
        <v>57</v>
      </c>
      <c r="B60" s="8" t="inlineStr">
        <is>
          <t xml:space="preserve">            print("[SKIP] materials.has_frames 列已存在")</t>
        </is>
      </c>
    </row>
    <row r="61">
      <c r="A61" s="9" t="n">
        <v>58</v>
      </c>
      <c r="B61" s="10" t="inlineStr">
        <is>
          <t xml:space="preserve">        except Exception:</t>
        </is>
      </c>
    </row>
    <row r="62">
      <c r="A62" s="7" t="n">
        <v>59</v>
      </c>
      <c r="B62" s="8" t="inlineStr">
        <is>
          <t xml:space="preserve">            print("添加 materials.has_frames 列...")</t>
        </is>
      </c>
    </row>
    <row r="63">
      <c r="A63" s="9" t="n">
        <v>60</v>
      </c>
      <c r="B63" s="10" t="inlineStr">
        <is>
          <t xml:space="preserve">            conn.execute("ALTER TABLE materials ADD COLUMN has_frames INTEGER DEFAULT 0")</t>
        </is>
      </c>
    </row>
    <row r="64">
      <c r="A64" s="7" t="n">
        <v>61</v>
      </c>
      <c r="B64" s="8" t="inlineStr">
        <is>
          <t xml:space="preserve">            print("[OK] has_frames 列已添加")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 xml:space="preserve">        conn.commit()</t>
        </is>
      </c>
    </row>
    <row r="67">
      <c r="A67" s="9" t="n">
        <v>64</v>
      </c>
      <c r="B67" s="10" t="inlineStr">
        <is>
          <t xml:space="preserve">        print("\n[OK] 迁移完成!")</t>
        </is>
      </c>
    </row>
    <row r="68">
      <c r="A68" s="7" t="n">
        <v>65</v>
      </c>
      <c r="B68" s="8" t="inlineStr"/>
    </row>
    <row r="69">
      <c r="A69" s="9" t="n">
        <v>66</v>
      </c>
      <c r="B69" s="10" t="inlineStr">
        <is>
          <t xml:space="preserve">        # 显示统计</t>
        </is>
      </c>
    </row>
    <row r="70">
      <c r="A70" s="7" t="n">
        <v>67</v>
      </c>
      <c r="B70" s="8" t="inlineStr">
        <is>
          <t xml:space="preserve">        total_materials = conn.execute("SELECT COUNT(*) FROM materials").fetchone()[0]</t>
        </is>
      </c>
    </row>
    <row r="71">
      <c r="A71" s="9" t="n">
        <v>68</v>
      </c>
      <c r="B71" s="10" t="inlineStr">
        <is>
          <t xml:space="preserve">        total_frames = conn.execute("SELECT COUNT(*) FROM video_frames").fetchone()[0]</t>
        </is>
      </c>
    </row>
    <row r="72">
      <c r="A72" s="7" t="n">
        <v>69</v>
      </c>
      <c r="B72" s="8" t="inlineStr">
        <is>
          <t xml:space="preserve">        print(f"  素材记录: {total_materials:,}")</t>
        </is>
      </c>
    </row>
    <row r="73">
      <c r="A73" s="9" t="n">
        <v>70</v>
      </c>
      <c r="B73" s="10" t="inlineStr">
        <is>
          <t xml:space="preserve">        print(f"  帧数据: {total_frames:,}")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except Exception as e:</t>
        </is>
      </c>
    </row>
    <row r="76">
      <c r="A76" s="7" t="n">
        <v>73</v>
      </c>
      <c r="B76" s="8" t="inlineStr">
        <is>
          <t xml:space="preserve">        print(f"[FAIL] 迁移失败: {e}")</t>
        </is>
      </c>
    </row>
    <row r="77">
      <c r="A77" s="9" t="n">
        <v>74</v>
      </c>
      <c r="B77" s="10" t="inlineStr">
        <is>
          <t xml:space="preserve">        import traceback</t>
        </is>
      </c>
    </row>
    <row r="78">
      <c r="A78" s="7" t="n">
        <v>75</v>
      </c>
      <c r="B78" s="8" t="inlineStr">
        <is>
          <t xml:space="preserve">        traceback.print_exc()</t>
        </is>
      </c>
    </row>
    <row r="79">
      <c r="A79" s="9" t="n">
        <v>76</v>
      </c>
      <c r="B79" s="10" t="inlineStr">
        <is>
          <t xml:space="preserve">    finally:</t>
        </is>
      </c>
    </row>
    <row r="80">
      <c r="A80" s="7" t="n">
        <v>77</v>
      </c>
      <c r="B80" s="8" t="inlineStr">
        <is>
          <t xml:space="preserve">        conn.close()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>
        <is>
          <t>if __name__ == "__main__":</t>
        </is>
      </c>
    </row>
    <row r="83">
      <c r="A83" s="9" t="n">
        <v>80</v>
      </c>
      <c r="B83" s="10" t="inlineStr">
        <is>
          <t xml:space="preserve">    migrate()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api_server.py</t>
        </is>
      </c>
      <c r="C1" s="5" t="inlineStr">
        <is>
          <t>行数: 240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v13.0 — FastAPI REST 服务层</t>
        </is>
      </c>
    </row>
    <row r="6">
      <c r="A6" s="7" t="n">
        <v>3</v>
      </c>
      <c r="B6" s="8">
        <f>========================================</f>
        <v/>
      </c>
    </row>
    <row r="7">
      <c r="A7" s="9" t="n">
        <v>4</v>
      </c>
      <c r="B7" s="10" t="inlineStr">
        <is>
          <t>统一入口: `python api_server.py`</t>
        </is>
      </c>
    </row>
    <row r="8">
      <c r="A8" s="7" t="n">
        <v>5</v>
      </c>
      <c r="B8" s="8" t="inlineStr">
        <is>
          <t>浏览器: http://localhost:8000/docs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端点:</t>
        </is>
      </c>
    </row>
    <row r="11">
      <c r="A11" s="9" t="n">
        <v>8</v>
      </c>
      <c r="B11" s="10" t="inlineStr">
        <is>
          <t xml:space="preserve">  POST /api/v1/task/submit     — 提交视频生成任务</t>
        </is>
      </c>
    </row>
    <row r="12">
      <c r="A12" s="7" t="n">
        <v>9</v>
      </c>
      <c r="B12" s="8" t="inlineStr">
        <is>
          <t xml:space="preserve">  GET  /api/v1/task/{id}       — 查询任务状态/结果</t>
        </is>
      </c>
    </row>
    <row r="13">
      <c r="A13" s="9" t="n">
        <v>10</v>
      </c>
      <c r="B13" s="10" t="inlineStr">
        <is>
          <t xml:space="preserve">  GET  /api/v1/task/list       — 用户任务列表</t>
        </is>
      </c>
    </row>
    <row r="14">
      <c r="A14" s="7" t="n">
        <v>11</v>
      </c>
      <c r="B14" s="8" t="inlineStr">
        <is>
          <t xml:space="preserve">  GET  /api/v1/material/search — 按标签搜索素材</t>
        </is>
      </c>
    </row>
    <row r="15">
      <c r="A15" s="9" t="n">
        <v>12</v>
      </c>
      <c r="B15" s="10" t="inlineStr">
        <is>
          <t xml:space="preserve">  GET  /api/v1/user/quota      — 查询配额</t>
        </is>
      </c>
    </row>
    <row r="16">
      <c r="A16" s="7" t="n">
        <v>13</v>
      </c>
      <c r="B16" s="8" t="inlineStr">
        <is>
          <t xml:space="preserve">  GET  /api/v1/status          — 系统状态</t>
        </is>
      </c>
    </row>
    <row r="17">
      <c r="A17" s="9" t="n">
        <v>14</v>
      </c>
      <c r="B17" s="10" t="inlineStr">
        <is>
          <t>"""</t>
        </is>
      </c>
    </row>
    <row r="18">
      <c r="A18" s="7" t="n">
        <v>15</v>
      </c>
      <c r="B18" s="8" t="inlineStr">
        <is>
          <t>import sys, os, time, json, uuid</t>
        </is>
      </c>
    </row>
    <row r="19">
      <c r="A19" s="9" t="n">
        <v>16</v>
      </c>
      <c r="B19" s="10" t="inlineStr">
        <is>
          <t>from pathlib import Path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PROJECT_ROOT = Path(__file__).parent</t>
        </is>
      </c>
    </row>
    <row r="22">
      <c r="A22" s="7" t="n">
        <v>19</v>
      </c>
      <c r="B22" s="8" t="inlineStr">
        <is>
          <t>sys.path.insert(0, str(PROJECT_ROOT))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from fastapi import FastAPI, HTTPException, Query, Header</t>
        </is>
      </c>
    </row>
    <row r="25">
      <c r="A25" s="9" t="n">
        <v>22</v>
      </c>
      <c r="B25" s="10" t="inlineStr">
        <is>
          <t>from fastapi.middleware.cors import CORSMiddleware</t>
        </is>
      </c>
    </row>
    <row r="26">
      <c r="A26" s="7" t="n">
        <v>23</v>
      </c>
      <c r="B26" s="8" t="inlineStr">
        <is>
          <t>from pydantic import BaseModel, Field</t>
        </is>
      </c>
    </row>
    <row r="27">
      <c r="A27" s="9" t="n">
        <v>24</v>
      </c>
      <c r="B27" s="10" t="inlineStr">
        <is>
          <t>from typing import Optional, List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># ── 请求/响应模型 ──────────────────────────────────</t>
        </is>
      </c>
    </row>
    <row r="30">
      <c r="A30" s="7" t="n">
        <v>27</v>
      </c>
      <c r="B30" s="8" t="inlineStr">
        <is>
          <t>class TaskSubmitRequest(BaseModel):</t>
        </is>
      </c>
    </row>
    <row r="31">
      <c r="A31" s="9" t="n">
        <v>28</v>
      </c>
      <c r="B31" s="10" t="inlineStr">
        <is>
          <t xml:space="preserve">    keyword: str = Field(..., min_length=2, description="卖点关键词")</t>
        </is>
      </c>
    </row>
    <row r="32">
      <c r="A32" s="7" t="n">
        <v>29</v>
      </c>
      <c r="B32" s="8" t="inlineStr">
        <is>
          <t xml:space="preserve">    script: Optional[str] = Field(None, description="自定义文案(可选)")</t>
        </is>
      </c>
    </row>
    <row r="33">
      <c r="A33" s="9" t="n">
        <v>30</v>
      </c>
      <c r="B33" s="10" t="inlineStr">
        <is>
          <t xml:space="preserve">    num_clips: Optional[int] = Field(None, ge=2, le=20)</t>
        </is>
      </c>
    </row>
    <row r="34">
      <c r="A34" s="7" t="n">
        <v>31</v>
      </c>
      <c r="B34" s="8" t="inlineStr">
        <is>
          <t xml:space="preserve">    auto_bgm: bool = Field(True)</t>
        </is>
      </c>
    </row>
    <row r="35">
      <c r="A35" s="9" t="n">
        <v>32</v>
      </c>
      <c r="B35" s="10" t="inlineStr">
        <is>
          <t xml:space="preserve">    generate_tts: bool = Field(True)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>class ApiResponse(BaseModel):</t>
        </is>
      </c>
    </row>
    <row r="38">
      <c r="A38" s="7" t="n">
        <v>35</v>
      </c>
      <c r="B38" s="8" t="inlineStr">
        <is>
          <t xml:space="preserve">    code: int = 0</t>
        </is>
      </c>
    </row>
    <row r="39">
      <c r="A39" s="9" t="n">
        <v>36</v>
      </c>
      <c r="B39" s="10" t="inlineStr">
        <is>
          <t xml:space="preserve">    msg: str = "ok"</t>
        </is>
      </c>
    </row>
    <row r="40">
      <c r="A40" s="7" t="n">
        <v>37</v>
      </c>
      <c r="B40" s="8" t="inlineStr">
        <is>
          <t xml:space="preserve">    data: Optional[dict] = None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>
        <is>
          <t># ── FastAPI 应用 ───────────────────────────────────</t>
        </is>
      </c>
    </row>
    <row r="43">
      <c r="A43" s="9" t="n">
        <v>40</v>
      </c>
      <c r="B43" s="10" t="inlineStr">
        <is>
          <t>app = FastAPI(</t>
        </is>
      </c>
    </row>
    <row r="44">
      <c r="A44" s="7" t="n">
        <v>41</v>
      </c>
      <c r="B44" s="8" t="inlineStr">
        <is>
          <t xml:space="preserve">    title="树剪 TreeCut v13.0 API",</t>
        </is>
      </c>
    </row>
    <row r="45">
      <c r="A45" s="9" t="n">
        <v>42</v>
      </c>
      <c r="B45" s="10" t="inlineStr">
        <is>
          <t xml:space="preserve">    version="13.0",</t>
        </is>
      </c>
    </row>
    <row r="46">
      <c r="A46" s="7" t="n">
        <v>43</v>
      </c>
      <c r="B46" s="8" t="inlineStr">
        <is>
          <t xml:space="preserve">    description="家居岛台品牌 AI 视频半自动剪辑服务",</t>
        </is>
      </c>
    </row>
    <row r="47">
      <c r="A47" s="9" t="n">
        <v>44</v>
      </c>
      <c r="B47" s="10" t="inlineStr">
        <is>
          <t>)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>app.add_middleware(CORSMiddleware, allow_origins=["*"], allow_credentials=True,</t>
        </is>
      </c>
    </row>
    <row r="50">
      <c r="A50" s="7" t="n">
        <v>47</v>
      </c>
      <c r="B50" s="8" t="inlineStr">
        <is>
          <t xml:space="preserve">                   allow_methods=["*"], allow_headers=["*"])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/>
    </row>
    <row r="53">
      <c r="A53" s="9" t="n">
        <v>50</v>
      </c>
      <c r="B53" s="10" t="inlineStr">
        <is>
          <t># ═══════════════ 权限中间件 ═══════════════</t>
        </is>
      </c>
    </row>
    <row r="54">
      <c r="A54" s="7" t="n">
        <v>51</v>
      </c>
      <c r="B54" s="8" t="inlineStr">
        <is>
          <t>def _check_auth(x_api_key: str = Header(...)) -&gt; dict:</t>
        </is>
      </c>
    </row>
    <row r="55">
      <c r="A55" s="9" t="n">
        <v>52</v>
      </c>
      <c r="B55" s="10" t="inlineStr">
        <is>
          <t xml:space="preserve">    if not x_api_key or len(x_api_key) &lt; 6:</t>
        </is>
      </c>
    </row>
    <row r="56">
      <c r="A56" s="7" t="n">
        <v>53</v>
      </c>
      <c r="B56" s="8" t="inlineStr">
        <is>
          <t xml:space="preserve">        raise HTTPException(403, "缺少有效 API Key")</t>
        </is>
      </c>
    </row>
    <row r="57">
      <c r="A57" s="9" t="n">
        <v>54</v>
      </c>
      <c r="B57" s="10" t="inlineStr">
        <is>
          <t xml:space="preserve">    try:</t>
        </is>
      </c>
    </row>
    <row r="58">
      <c r="A58" s="7" t="n">
        <v>55</v>
      </c>
      <c r="B58" s="8" t="inlineStr">
        <is>
          <t xml:space="preserve">        from core.auth_middleware import get_auth</t>
        </is>
      </c>
    </row>
    <row r="59">
      <c r="A59" s="9" t="n">
        <v>56</v>
      </c>
      <c r="B59" s="10" t="inlineStr">
        <is>
          <t xml:space="preserve">        auth = get_auth()</t>
        </is>
      </c>
    </row>
    <row r="60">
      <c r="A60" s="7" t="n">
        <v>57</v>
      </c>
      <c r="B60" s="8" t="inlineStr">
        <is>
          <t xml:space="preserve">        ok, msg, info = auth.verify(x_api_key)</t>
        </is>
      </c>
    </row>
    <row r="61">
      <c r="A61" s="9" t="n">
        <v>58</v>
      </c>
      <c r="B61" s="10" t="inlineStr">
        <is>
          <t xml:space="preserve">        if not ok:</t>
        </is>
      </c>
    </row>
    <row r="62">
      <c r="A62" s="7" t="n">
        <v>59</v>
      </c>
      <c r="B62" s="8" t="inlineStr">
        <is>
          <t xml:space="preserve">            raise HTTPException(403, msg)</t>
        </is>
      </c>
    </row>
    <row r="63">
      <c r="A63" s="9" t="n">
        <v>60</v>
      </c>
      <c r="B63" s="10" t="inlineStr">
        <is>
          <t xml:space="preserve">        return info</t>
        </is>
      </c>
    </row>
    <row r="64">
      <c r="A64" s="7" t="n">
        <v>61</v>
      </c>
      <c r="B64" s="8" t="inlineStr">
        <is>
          <t xml:space="preserve">    except ImportError:</t>
        </is>
      </c>
    </row>
    <row r="65">
      <c r="A65" s="9" t="n">
        <v>62</v>
      </c>
      <c r="B65" s="10" t="inlineStr">
        <is>
          <t xml:space="preserve">        return {"user_id": "dev", "role": "admin"}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/>
    </row>
    <row r="68">
      <c r="A68" s="7" t="n">
        <v>65</v>
      </c>
      <c r="B68" s="8" t="inlineStr">
        <is>
          <t># ═══════════════ 任务提交 ═══════════════</t>
        </is>
      </c>
    </row>
    <row r="69">
      <c r="A69" s="9" t="n">
        <v>66</v>
      </c>
      <c r="B69" s="10" t="inlineStr">
        <is>
          <t>@app.post("/api/v1/task/submit", response_model=ApiResponse)</t>
        </is>
      </c>
    </row>
    <row r="70">
      <c r="A70" s="7" t="n">
        <v>67</v>
      </c>
      <c r="B70" s="8" t="inlineStr">
        <is>
          <t>def submit_task(req: TaskSubmitRequest, x_api_key: str = Header(...)):</t>
        </is>
      </c>
    </row>
    <row r="71">
      <c r="A71" s="9" t="n">
        <v>68</v>
      </c>
      <c r="B71" s="10" t="inlineStr">
        <is>
          <t xml:space="preserve">    user = _check_auth(x_api_key)</t>
        </is>
      </c>
    </row>
    <row r="72">
      <c r="A72" s="7" t="n">
        <v>69</v>
      </c>
      <c r="B72" s="8" t="inlineStr">
        <is>
          <t xml:space="preserve">    start = time.time()</t>
        </is>
      </c>
    </row>
    <row r="73">
      <c r="A73" s="9" t="n">
        <v>70</v>
      </c>
      <c r="B73" s="10" t="inlineStr"/>
    </row>
    <row r="74">
      <c r="A74" s="7" t="n">
        <v>71</v>
      </c>
      <c r="B74" s="8" t="inlineStr">
        <is>
          <t xml:space="preserve">    try:</t>
        </is>
      </c>
    </row>
    <row r="75">
      <c r="A75" s="9" t="n">
        <v>72</v>
      </c>
      <c r="B75" s="10" t="inlineStr">
        <is>
          <t xml:space="preserve">        # 配额检查</t>
        </is>
      </c>
    </row>
    <row r="76">
      <c r="A76" s="7" t="n">
        <v>73</v>
      </c>
      <c r="B76" s="8" t="inlineStr">
        <is>
          <t xml:space="preserve">        try:</t>
        </is>
      </c>
    </row>
    <row r="77">
      <c r="A77" s="9" t="n">
        <v>74</v>
      </c>
      <c r="B77" s="10" t="inlineStr">
        <is>
          <t xml:space="preserve">            from core.auth_middleware import get_auth</t>
        </is>
      </c>
    </row>
    <row r="78">
      <c r="A78" s="7" t="n">
        <v>75</v>
      </c>
      <c r="B78" s="8" t="inlineStr">
        <is>
          <t xml:space="preserve">            auth = get_auth()</t>
        </is>
      </c>
    </row>
    <row r="79">
      <c r="A79" s="9" t="n">
        <v>76</v>
      </c>
      <c r="B79" s="10" t="inlineStr">
        <is>
          <t xml:space="preserve">            ok, qmsg, _ = auth.check_quota(user["user_id"], user.get("role"))</t>
        </is>
      </c>
    </row>
    <row r="80">
      <c r="A80" s="7" t="n">
        <v>77</v>
      </c>
      <c r="B80" s="8" t="inlineStr">
        <is>
          <t xml:space="preserve">            if not ok:</t>
        </is>
      </c>
    </row>
    <row r="81">
      <c r="A81" s="9" t="n">
        <v>78</v>
      </c>
      <c r="B81" s="10" t="inlineStr">
        <is>
          <t xml:space="preserve">                raise HTTPException(429, qmsg)</t>
        </is>
      </c>
    </row>
    <row r="82">
      <c r="A82" s="7" t="n">
        <v>79</v>
      </c>
      <c r="B82" s="8" t="inlineStr">
        <is>
          <t xml:space="preserve">        except ImportError:</t>
        </is>
      </c>
    </row>
    <row r="83">
      <c r="A83" s="9" t="n">
        <v>80</v>
      </c>
      <c r="B83" s="10" t="inlineStr">
        <is>
          <t xml:space="preserve">            pass</t>
        </is>
      </c>
    </row>
    <row r="84">
      <c r="A84" s="7" t="n">
        <v>81</v>
      </c>
      <c r="B84" s="8" t="inlineStr"/>
    </row>
    <row r="85">
      <c r="A85" s="9" t="n">
        <v>82</v>
      </c>
      <c r="B85" s="10" t="inlineStr">
        <is>
          <t xml:space="preserve">        task_id = uuid.uuid4().hex[:12]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 xml:space="preserve">        # 提交到调度中心</t>
        </is>
      </c>
    </row>
    <row r="88">
      <c r="A88" s="7" t="n">
        <v>85</v>
      </c>
      <c r="B88" s="8" t="inlineStr">
        <is>
          <t xml:space="preserve">        try:</t>
        </is>
      </c>
    </row>
    <row r="89">
      <c r="A89" s="9" t="n">
        <v>86</v>
      </c>
      <c r="B89" s="10" t="inlineStr">
        <is>
          <t xml:space="preserve">            from core.smart_orchestrator import get_orchestrator</t>
        </is>
      </c>
    </row>
    <row r="90">
      <c r="A90" s="7" t="n">
        <v>87</v>
      </c>
      <c r="B90" s="8" t="inlineStr">
        <is>
          <t xml:space="preserve">            orch = get_orchestrator()</t>
        </is>
      </c>
    </row>
    <row r="91">
      <c r="A91" s="9" t="n">
        <v>88</v>
      </c>
      <c r="B91" s="10" t="inlineStr">
        <is>
          <t xml:space="preserve">            # 异步启动(后台线程)</t>
        </is>
      </c>
    </row>
    <row r="92">
      <c r="A92" s="7" t="n">
        <v>89</v>
      </c>
      <c r="B92" s="8" t="inlineStr">
        <is>
          <t xml:space="preserve">            import threading</t>
        </is>
      </c>
    </row>
    <row r="93">
      <c r="A93" s="9" t="n">
        <v>90</v>
      </c>
      <c r="B93" s="10" t="inlineStr">
        <is>
          <t xml:space="preserve">            t = threading.Thread(</t>
        </is>
      </c>
    </row>
    <row r="94">
      <c r="A94" s="7" t="n">
        <v>91</v>
      </c>
      <c r="B94" s="8" t="inlineStr">
        <is>
          <t xml:space="preserve">                target=orch.execute,</t>
        </is>
      </c>
    </row>
    <row r="95">
      <c r="A95" s="9" t="n">
        <v>92</v>
      </c>
      <c r="B95" s="10" t="inlineStr">
        <is>
          <t xml:space="preserve">                args=(req.keyword,),</t>
        </is>
      </c>
    </row>
    <row r="96">
      <c r="A96" s="7" t="n">
        <v>93</v>
      </c>
      <c r="B96" s="8" t="inlineStr">
        <is>
          <t xml:space="preserve">                kwargs={"keyword": req.keyword, "max_retry": 2},</t>
        </is>
      </c>
    </row>
    <row r="97">
      <c r="A97" s="9" t="n">
        <v>94</v>
      </c>
      <c r="B97" s="10" t="inlineStr">
        <is>
          <t xml:space="preserve">                daemon=True,</t>
        </is>
      </c>
    </row>
    <row r="98">
      <c r="A98" s="7" t="n">
        <v>95</v>
      </c>
      <c r="B98" s="8" t="inlineStr">
        <is>
          <t xml:space="preserve">            )</t>
        </is>
      </c>
    </row>
    <row r="99">
      <c r="A99" s="9" t="n">
        <v>96</v>
      </c>
      <c r="B99" s="10" t="inlineStr">
        <is>
          <t xml:space="preserve">            t.start()</t>
        </is>
      </c>
    </row>
    <row r="100">
      <c r="A100" s="7" t="n">
        <v>97</v>
      </c>
      <c r="B100" s="8" t="inlineStr">
        <is>
          <t xml:space="preserve">        except ImportError:</t>
        </is>
      </c>
    </row>
    <row r="101">
      <c r="A101" s="9" t="n">
        <v>98</v>
      </c>
      <c r="B101" s="10" t="inlineStr">
        <is>
          <t xml:space="preserve">            pass</t>
        </is>
      </c>
    </row>
    <row r="102">
      <c r="A102" s="7" t="n">
        <v>99</v>
      </c>
      <c r="B102" s="8" t="inlineStr"/>
    </row>
    <row r="103">
      <c r="A103" s="9" t="n">
        <v>100</v>
      </c>
      <c r="B103" s="10" t="inlineStr">
        <is>
          <t xml:space="preserve">        # 记录任务</t>
        </is>
      </c>
    </row>
    <row r="104">
      <c r="A104" s="7" t="n">
        <v>101</v>
      </c>
      <c r="B104" s="8" t="inlineStr">
        <is>
          <t xml:space="preserve">        try:</t>
        </is>
      </c>
    </row>
    <row r="105">
      <c r="A105" s="9" t="n">
        <v>102</v>
      </c>
      <c r="B105" s="10" t="inlineStr">
        <is>
          <t xml:space="preserve">            from core.database import db</t>
        </is>
      </c>
    </row>
    <row r="106">
      <c r="A106" s="7" t="n">
        <v>103</v>
      </c>
      <c r="B106" s="8" t="inlineStr">
        <is>
          <t xml:space="preserve">            db.insert_task_record(</t>
        </is>
      </c>
    </row>
    <row r="107">
      <c r="A107" s="9" t="n">
        <v>104</v>
      </c>
      <c r="B107" s="10" t="inlineStr">
        <is>
          <t xml:space="preserve">                demand=req.keyword, keyword=req.keyword, status="已提交",</t>
        </is>
      </c>
    </row>
    <row r="108">
      <c r="A108" s="7" t="n">
        <v>105</v>
      </c>
      <c r="B108" s="8" t="inlineStr">
        <is>
          <t xml:space="preserve">                retry_times=0,</t>
        </is>
      </c>
    </row>
    <row r="109">
      <c r="A109" s="9" t="n">
        <v>106</v>
      </c>
      <c r="B109" s="10" t="inlineStr">
        <is>
          <t xml:space="preserve">            )</t>
        </is>
      </c>
    </row>
    <row r="110">
      <c r="A110" s="7" t="n">
        <v>107</v>
      </c>
      <c r="B110" s="8" t="inlineStr">
        <is>
          <t xml:space="preserve">        except Exception:</t>
        </is>
      </c>
    </row>
    <row r="111">
      <c r="A111" s="9" t="n">
        <v>108</v>
      </c>
      <c r="B111" s="10" t="inlineStr">
        <is>
          <t xml:space="preserve">            pass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 xml:space="preserve">        cost = round(time.time() - start, 3)</t>
        </is>
      </c>
    </row>
    <row r="114">
      <c r="A114" s="7" t="n">
        <v>111</v>
      </c>
      <c r="B114" s="8" t="inlineStr">
        <is>
          <t xml:space="preserve">        return ApiResponse(data={</t>
        </is>
      </c>
    </row>
    <row r="115">
      <c r="A115" s="9" t="n">
        <v>112</v>
      </c>
      <c r="B115" s="10" t="inlineStr">
        <is>
          <t xml:space="preserve">            "task_id": task_id, "keyword": req.keyword,</t>
        </is>
      </c>
    </row>
    <row r="116">
      <c r="A116" s="7" t="n">
        <v>113</v>
      </c>
      <c r="B116" s="8" t="inlineStr">
        <is>
          <t xml:space="preserve">            "status": "submitted", "cost_sec": cost,</t>
        </is>
      </c>
    </row>
    <row r="117">
      <c r="A117" s="9" t="n">
        <v>114</v>
      </c>
      <c r="B117" s="10" t="inlineStr">
        <is>
          <t xml:space="preserve">        })</t>
        </is>
      </c>
    </row>
    <row r="118">
      <c r="A118" s="7" t="n">
        <v>115</v>
      </c>
      <c r="B118" s="8" t="inlineStr"/>
    </row>
    <row r="119">
      <c r="A119" s="9" t="n">
        <v>116</v>
      </c>
      <c r="B119" s="10" t="inlineStr">
        <is>
          <t xml:space="preserve">    except HTTPException:</t>
        </is>
      </c>
    </row>
    <row r="120">
      <c r="A120" s="7" t="n">
        <v>117</v>
      </c>
      <c r="B120" s="8" t="inlineStr">
        <is>
          <t xml:space="preserve">        raise</t>
        </is>
      </c>
    </row>
    <row r="121">
      <c r="A121" s="9" t="n">
        <v>118</v>
      </c>
      <c r="B121" s="10" t="inlineStr">
        <is>
          <t xml:space="preserve">    except Exception as e:</t>
        </is>
      </c>
    </row>
    <row r="122">
      <c r="A122" s="7" t="n">
        <v>119</v>
      </c>
      <c r="B122" s="8" t="inlineStr">
        <is>
          <t xml:space="preserve">        raise HTTPException(500, f"提交失败: {e}")</t>
        </is>
      </c>
    </row>
    <row r="123">
      <c r="A123" s="9" t="n">
        <v>120</v>
      </c>
      <c r="B123" s="10" t="inlineStr"/>
    </row>
    <row r="124">
      <c r="A124" s="7" t="n">
        <v>121</v>
      </c>
      <c r="B124" s="8" t="inlineStr"/>
    </row>
    <row r="125">
      <c r="A125" s="9" t="n">
        <v>122</v>
      </c>
      <c r="B125" s="10" t="inlineStr">
        <is>
          <t># ═══════════════ 任务查询 ═══════════════</t>
        </is>
      </c>
    </row>
    <row r="126">
      <c r="A126" s="7" t="n">
        <v>123</v>
      </c>
      <c r="B126" s="8" t="inlineStr">
        <is>
          <t>@app.get("/api/v1/task/{task_id}", response_model=ApiResponse)</t>
        </is>
      </c>
    </row>
    <row r="127">
      <c r="A127" s="9" t="n">
        <v>124</v>
      </c>
      <c r="B127" s="10" t="inlineStr">
        <is>
          <t>def get_task(task_id: str, x_api_key: str = Header(...)):</t>
        </is>
      </c>
    </row>
    <row r="128">
      <c r="A128" s="7" t="n">
        <v>125</v>
      </c>
      <c r="B128" s="8" t="inlineStr">
        <is>
          <t xml:space="preserve">    _check_auth(x_api_key)</t>
        </is>
      </c>
    </row>
    <row r="129">
      <c r="A129" s="9" t="n">
        <v>126</v>
      </c>
      <c r="B129" s="10" t="inlineStr">
        <is>
          <t xml:space="preserve">    try:</t>
        </is>
      </c>
    </row>
    <row r="130">
      <c r="A130" s="7" t="n">
        <v>127</v>
      </c>
      <c r="B130" s="8" t="inlineStr">
        <is>
          <t xml:space="preserve">        from core.database import db</t>
        </is>
      </c>
    </row>
    <row r="131">
      <c r="A131" s="9" t="n">
        <v>128</v>
      </c>
      <c r="B131" s="10" t="inlineStr">
        <is>
          <t xml:space="preserve">        records = db.get_task_records(limit=200)</t>
        </is>
      </c>
    </row>
    <row r="132">
      <c r="A132" s="7" t="n">
        <v>129</v>
      </c>
      <c r="B132" s="8" t="inlineStr">
        <is>
          <t xml:space="preserve">        for r in records:</t>
        </is>
      </c>
    </row>
    <row r="133">
      <c r="A133" s="9" t="n">
        <v>130</v>
      </c>
      <c r="B133" s="10" t="inlineStr">
        <is>
          <t xml:space="preserve">            if r.get("keyword", "") == task_id or str(r.get("id")) == task_id:</t>
        </is>
      </c>
    </row>
    <row r="134">
      <c r="A134" s="7" t="n">
        <v>131</v>
      </c>
      <c r="B134" s="8" t="inlineStr">
        <is>
          <t xml:space="preserve">                return ApiResponse(data=r)</t>
        </is>
      </c>
    </row>
    <row r="135">
      <c r="A135" s="9" t="n">
        <v>132</v>
      </c>
      <c r="B135" s="10" t="inlineStr">
        <is>
          <t xml:space="preserve">        raise HTTPException(404, f"任务不存在: {task_id}")</t>
        </is>
      </c>
    </row>
    <row r="136">
      <c r="A136" s="7" t="n">
        <v>133</v>
      </c>
      <c r="B136" s="8" t="inlineStr">
        <is>
          <t xml:space="preserve">    except HTTPException:</t>
        </is>
      </c>
    </row>
    <row r="137">
      <c r="A137" s="9" t="n">
        <v>134</v>
      </c>
      <c r="B137" s="10" t="inlineStr">
        <is>
          <t xml:space="preserve">        raise</t>
        </is>
      </c>
    </row>
    <row r="138">
      <c r="A138" s="7" t="n">
        <v>135</v>
      </c>
      <c r="B138" s="8" t="inlineStr">
        <is>
          <t xml:space="preserve">    except Exception as e:</t>
        </is>
      </c>
    </row>
    <row r="139">
      <c r="A139" s="9" t="n">
        <v>136</v>
      </c>
      <c r="B139" s="10" t="inlineStr">
        <is>
          <t xml:space="preserve">        raise HTTPException(500, str(e))</t>
        </is>
      </c>
    </row>
    <row r="140">
      <c r="A140" s="7" t="n">
        <v>137</v>
      </c>
      <c r="B140" s="8" t="inlineStr"/>
    </row>
    <row r="141">
      <c r="A141" s="9" t="n">
        <v>138</v>
      </c>
      <c r="B141" s="10" t="inlineStr"/>
    </row>
    <row r="142">
      <c r="A142" s="7" t="n">
        <v>139</v>
      </c>
      <c r="B142" s="8" t="inlineStr">
        <is>
          <t># ═══════════════ 任务列表 ═══════════════</t>
        </is>
      </c>
    </row>
    <row r="143">
      <c r="A143" s="9" t="n">
        <v>140</v>
      </c>
      <c r="B143" s="10" t="inlineStr">
        <is>
          <t>@app.get("/api/v1/task/list", response_model=ApiResponse)</t>
        </is>
      </c>
    </row>
    <row r="144">
      <c r="A144" s="7" t="n">
        <v>141</v>
      </c>
      <c r="B144" s="8" t="inlineStr">
        <is>
          <t>def list_tasks(page: int = Query(1, ge=1), page_size: int = Query(20, le=100),</t>
        </is>
      </c>
    </row>
    <row r="145">
      <c r="A145" s="9" t="n">
        <v>142</v>
      </c>
      <c r="B145" s="10" t="inlineStr">
        <is>
          <t xml:space="preserve">               x_api_key: str = Header(...)):</t>
        </is>
      </c>
    </row>
    <row r="146">
      <c r="A146" s="7" t="n">
        <v>143</v>
      </c>
      <c r="B146" s="8" t="inlineStr">
        <is>
          <t xml:space="preserve">    _check_auth(x_api_key)</t>
        </is>
      </c>
    </row>
    <row r="147">
      <c r="A147" s="9" t="n">
        <v>144</v>
      </c>
      <c r="B147" s="10" t="inlineStr">
        <is>
          <t xml:space="preserve">    try:</t>
        </is>
      </c>
    </row>
    <row r="148">
      <c r="A148" s="7" t="n">
        <v>145</v>
      </c>
      <c r="B148" s="8" t="inlineStr">
        <is>
          <t xml:space="preserve">        from core.database import db</t>
        </is>
      </c>
    </row>
    <row r="149">
      <c r="A149" s="9" t="n">
        <v>146</v>
      </c>
      <c r="B149" s="10" t="inlineStr">
        <is>
          <t xml:space="preserve">        records = db.get_task_records(limit=500)</t>
        </is>
      </c>
    </row>
    <row r="150">
      <c r="A150" s="7" t="n">
        <v>147</v>
      </c>
      <c r="B150" s="8" t="inlineStr">
        <is>
          <t xml:space="preserve">        start = (page - 1) * page_size</t>
        </is>
      </c>
    </row>
    <row r="151">
      <c r="A151" s="9" t="n">
        <v>148</v>
      </c>
      <c r="B151" s="10" t="inlineStr">
        <is>
          <t xml:space="preserve">        page_data = records[start:start + page_size]</t>
        </is>
      </c>
    </row>
    <row r="152">
      <c r="A152" s="7" t="n">
        <v>149</v>
      </c>
      <c r="B152" s="8" t="inlineStr">
        <is>
          <t xml:space="preserve">        return ApiResponse(data={</t>
        </is>
      </c>
    </row>
    <row r="153">
      <c r="A153" s="9" t="n">
        <v>150</v>
      </c>
      <c r="B153" s="10" t="inlineStr">
        <is>
          <t xml:space="preserve">            "total": len(records), "page": page, "page_size": page_size,</t>
        </is>
      </c>
    </row>
    <row r="154">
      <c r="A154" s="7" t="n">
        <v>151</v>
      </c>
      <c r="B154" s="8" t="inlineStr">
        <is>
          <t xml:space="preserve">            "list": page_data,</t>
        </is>
      </c>
    </row>
    <row r="155">
      <c r="A155" s="9" t="n">
        <v>152</v>
      </c>
      <c r="B155" s="10" t="inlineStr">
        <is>
          <t xml:space="preserve">        })</t>
        </is>
      </c>
    </row>
    <row r="156">
      <c r="A156" s="7" t="n">
        <v>153</v>
      </c>
      <c r="B156" s="8" t="inlineStr">
        <is>
          <t xml:space="preserve">    except Exception as e:</t>
        </is>
      </c>
    </row>
    <row r="157">
      <c r="A157" s="9" t="n">
        <v>154</v>
      </c>
      <c r="B157" s="10" t="inlineStr">
        <is>
          <t xml:space="preserve">        raise HTTPException(500, str(e))</t>
        </is>
      </c>
    </row>
    <row r="158">
      <c r="A158" s="7" t="n">
        <v>155</v>
      </c>
      <c r="B158" s="8" t="inlineStr"/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># ═══════════════ 素材搜索 ═══════════════</t>
        </is>
      </c>
    </row>
    <row r="161">
      <c r="A161" s="9" t="n">
        <v>158</v>
      </c>
      <c r="B161" s="10" t="inlineStr">
        <is>
          <t>@app.get("/api/v1/material/search", response_model=ApiResponse)</t>
        </is>
      </c>
    </row>
    <row r="162">
      <c r="A162" s="7" t="n">
        <v>159</v>
      </c>
      <c r="B162" s="8" t="inlineStr">
        <is>
          <t>def search_materials(tags: str = Query(..., description="逗号分隔标签"),</t>
        </is>
      </c>
    </row>
    <row r="163">
      <c r="A163" s="9" t="n">
        <v>160</v>
      </c>
      <c r="B163" s="10" t="inlineStr">
        <is>
          <t xml:space="preserve">                     x_api_key: str = Header(...)):</t>
        </is>
      </c>
    </row>
    <row r="164">
      <c r="A164" s="7" t="n">
        <v>161</v>
      </c>
      <c r="B164" s="8" t="inlineStr">
        <is>
          <t xml:space="preserve">    _check_auth(x_api_key)</t>
        </is>
      </c>
    </row>
    <row r="165">
      <c r="A165" s="9" t="n">
        <v>162</v>
      </c>
      <c r="B165" s="10" t="inlineStr">
        <is>
          <t xml:space="preserve">    tag_list = [t.strip() for t in tags.split(",") if t.strip()]</t>
        </is>
      </c>
    </row>
    <row r="166">
      <c r="A166" s="7" t="n">
        <v>163</v>
      </c>
      <c r="B166" s="8" t="inlineStr">
        <is>
          <t xml:space="preserve">    try:</t>
        </is>
      </c>
    </row>
    <row r="167">
      <c r="A167" s="9" t="n">
        <v>164</v>
      </c>
      <c r="B167" s="10" t="inlineStr">
        <is>
          <t xml:space="preserve">        from core.database import db</t>
        </is>
      </c>
    </row>
    <row r="168">
      <c r="A168" s="7" t="n">
        <v>165</v>
      </c>
      <c r="B168" s="8" t="inlineStr">
        <is>
          <t xml:space="preserve">        with db.get_connection() as conn:</t>
        </is>
      </c>
    </row>
    <row r="169">
      <c r="A169" s="9" t="n">
        <v>166</v>
      </c>
      <c r="B169" s="10" t="inlineStr">
        <is>
          <t xml:space="preserve">            results = []</t>
        </is>
      </c>
    </row>
    <row r="170">
      <c r="A170" s="7" t="n">
        <v>167</v>
      </c>
      <c r="B170" s="8" t="inlineStr">
        <is>
          <t xml:space="preserve">            for tag in tag_list:</t>
        </is>
      </c>
    </row>
    <row r="171">
      <c r="A171" s="9" t="n">
        <v>168</v>
      </c>
      <c r="B171" s="10" t="inlineStr">
        <is>
          <t xml:space="preserve">                rows = conn.execute(</t>
        </is>
      </c>
    </row>
    <row r="172">
      <c r="A172" s="7" t="n">
        <v>169</v>
      </c>
      <c r="B172" s="8" t="inlineStr">
        <is>
          <t xml:space="preserve">                    """SELECT video_path, tags, objects, style, duration, confidence</t>
        </is>
      </c>
    </row>
    <row r="173">
      <c r="A173" s="9" t="n">
        <v>170</v>
      </c>
      <c r="B173" s="10" t="inlineStr">
        <is>
          <t xml:space="preserve">                       FROM materials WHERE tags LIKE ? AND analyzed=1</t>
        </is>
      </c>
    </row>
    <row r="174">
      <c r="A174" s="7" t="n">
        <v>171</v>
      </c>
      <c r="B174" s="8" t="inlineStr">
        <is>
          <t xml:space="preserve">                       LIMIT 10""",</t>
        </is>
      </c>
    </row>
    <row r="175">
      <c r="A175" s="9" t="n">
        <v>172</v>
      </c>
      <c r="B175" s="10" t="inlineStr">
        <is>
          <t xml:space="preserve">                    (f"%{tag}%",)</t>
        </is>
      </c>
    </row>
    <row r="176">
      <c r="A176" s="7" t="n">
        <v>173</v>
      </c>
      <c r="B176" s="8" t="inlineStr">
        <is>
          <t xml:space="preserve">                ).fetchall()</t>
        </is>
      </c>
    </row>
    <row r="177">
      <c r="A177" s="9" t="n">
        <v>174</v>
      </c>
      <c r="B177" s="10" t="inlineStr">
        <is>
          <t xml:space="preserve">                for r in rows:</t>
        </is>
      </c>
    </row>
    <row r="178">
      <c r="A178" s="7" t="n">
        <v>175</v>
      </c>
      <c r="B178" s="8" t="inlineStr">
        <is>
          <t xml:space="preserve">                    results.append({</t>
        </is>
      </c>
    </row>
    <row r="179">
      <c r="A179" s="9" t="n">
        <v>176</v>
      </c>
      <c r="B179" s="10" t="inlineStr">
        <is>
          <t xml:space="preserve">                        "path": r[0], "tags": r[1], "objects": r[2],</t>
        </is>
      </c>
    </row>
    <row r="180">
      <c r="A180" s="7" t="n">
        <v>177</v>
      </c>
      <c r="B180" s="8" t="inlineStr">
        <is>
          <t xml:space="preserve">                        "style": r[3], "duration": r[4], "confidence": r[5],</t>
        </is>
      </c>
    </row>
    <row r="181">
      <c r="A181" s="9" t="n">
        <v>178</v>
      </c>
      <c r="B181" s="10" t="inlineStr">
        <is>
          <t xml:space="preserve">                    })</t>
        </is>
      </c>
    </row>
    <row r="182">
      <c r="A182" s="7" t="n">
        <v>179</v>
      </c>
      <c r="B182" s="8" t="inlineStr">
        <is>
          <t xml:space="preserve">            return ApiResponse(data={"tag": tags, "total": len(results), "list": results})</t>
        </is>
      </c>
    </row>
    <row r="183">
      <c r="A183" s="9" t="n">
        <v>180</v>
      </c>
      <c r="B183" s="10" t="inlineStr">
        <is>
          <t xml:space="preserve">    except Exception as e:</t>
        </is>
      </c>
    </row>
    <row r="184">
      <c r="A184" s="7" t="n">
        <v>181</v>
      </c>
      <c r="B184" s="8" t="inlineStr">
        <is>
          <t xml:space="preserve">        raise HTTPException(500, str(e))</t>
        </is>
      </c>
    </row>
    <row r="185">
      <c r="A185" s="9" t="n">
        <v>182</v>
      </c>
      <c r="B185" s="10" t="inlineStr"/>
    </row>
    <row r="186">
      <c r="A186" s="7" t="n">
        <v>183</v>
      </c>
      <c r="B186" s="8" t="inlineStr"/>
    </row>
    <row r="187">
      <c r="A187" s="9" t="n">
        <v>184</v>
      </c>
      <c r="B187" s="10" t="inlineStr">
        <is>
          <t># ═══════════════ 用户配额 ═══════════════</t>
        </is>
      </c>
    </row>
    <row r="188">
      <c r="A188" s="7" t="n">
        <v>185</v>
      </c>
      <c r="B188" s="8" t="inlineStr">
        <is>
          <t>@app.get("/api/v1/user/quota", response_model=ApiResponse)</t>
        </is>
      </c>
    </row>
    <row r="189">
      <c r="A189" s="9" t="n">
        <v>186</v>
      </c>
      <c r="B189" s="10" t="inlineStr">
        <is>
          <t>def get_quota(x_api_key: str = Header(...)):</t>
        </is>
      </c>
    </row>
    <row r="190">
      <c r="A190" s="7" t="n">
        <v>187</v>
      </c>
      <c r="B190" s="8" t="inlineStr">
        <is>
          <t xml:space="preserve">    user = _check_auth(x_api_key)</t>
        </is>
      </c>
    </row>
    <row r="191">
      <c r="A191" s="9" t="n">
        <v>188</v>
      </c>
      <c r="B191" s="10" t="inlineStr">
        <is>
          <t xml:space="preserve">    try:</t>
        </is>
      </c>
    </row>
    <row r="192">
      <c r="A192" s="7" t="n">
        <v>189</v>
      </c>
      <c r="B192" s="8" t="inlineStr">
        <is>
          <t xml:space="preserve">        from core.auth_middleware import get_auth</t>
        </is>
      </c>
    </row>
    <row r="193">
      <c r="A193" s="9" t="n">
        <v>190</v>
      </c>
      <c r="B193" s="10" t="inlineStr">
        <is>
          <t xml:space="preserve">        auth = get_auth()</t>
        </is>
      </c>
    </row>
    <row r="194">
      <c r="A194" s="7" t="n">
        <v>191</v>
      </c>
      <c r="B194" s="8" t="inlineStr">
        <is>
          <t xml:space="preserve">        quota = auth.get_quota(user["user_id"])</t>
        </is>
      </c>
    </row>
    <row r="195">
      <c r="A195" s="9" t="n">
        <v>192</v>
      </c>
      <c r="B195" s="10" t="inlineStr">
        <is>
          <t xml:space="preserve">        return ApiResponse(data=quota)</t>
        </is>
      </c>
    </row>
    <row r="196">
      <c r="A196" s="7" t="n">
        <v>193</v>
      </c>
      <c r="B196" s="8" t="inlineStr">
        <is>
          <t xml:space="preserve">    except Exception as e:</t>
        </is>
      </c>
    </row>
    <row r="197">
      <c r="A197" s="9" t="n">
        <v>194</v>
      </c>
      <c r="B197" s="10" t="inlineStr">
        <is>
          <t xml:space="preserve">        raise HTTPException(500, str(e))</t>
        </is>
      </c>
    </row>
    <row r="198">
      <c r="A198" s="7" t="n">
        <v>195</v>
      </c>
      <c r="B198" s="8" t="inlineStr"/>
    </row>
    <row r="199">
      <c r="A199" s="9" t="n">
        <v>196</v>
      </c>
      <c r="B199" s="10" t="inlineStr"/>
    </row>
    <row r="200">
      <c r="A200" s="7" t="n">
        <v>197</v>
      </c>
      <c r="B200" s="8" t="inlineStr">
        <is>
          <t># ═══════════════ 系统状态 ═══════════════</t>
        </is>
      </c>
    </row>
    <row r="201">
      <c r="A201" s="9" t="n">
        <v>198</v>
      </c>
      <c r="B201" s="10" t="inlineStr">
        <is>
          <t>@app.get("/api/v1/status", response_model=ApiResponse)</t>
        </is>
      </c>
    </row>
    <row r="202">
      <c r="A202" s="7" t="n">
        <v>199</v>
      </c>
      <c r="B202" s="8" t="inlineStr">
        <is>
          <t>def get_status():</t>
        </is>
      </c>
    </row>
    <row r="203">
      <c r="A203" s="9" t="n">
        <v>200</v>
      </c>
      <c r="B203" s="10" t="inlineStr">
        <is>
          <t xml:space="preserve">    import platform, time as _t</t>
        </is>
      </c>
    </row>
    <row r="204">
      <c r="A204" s="7" t="n">
        <v>201</v>
      </c>
      <c r="B204" s="8" t="inlineStr">
        <is>
          <t xml:space="preserve">    info = {</t>
        </is>
      </c>
    </row>
    <row r="205">
      <c r="A205" s="9" t="n">
        <v>202</v>
      </c>
      <c r="B205" s="10" t="inlineStr">
        <is>
          <t xml:space="preserve">        "version": "13.0",</t>
        </is>
      </c>
    </row>
    <row r="206">
      <c r="A206" s="7" t="n">
        <v>203</v>
      </c>
      <c r="B206" s="8" t="inlineStr">
        <is>
          <t xml:space="preserve">        "python": platform.python_version(),</t>
        </is>
      </c>
    </row>
    <row r="207">
      <c r="A207" s="9" t="n">
        <v>204</v>
      </c>
      <c r="B207" s="10" t="inlineStr">
        <is>
          <t xml:space="preserve">        "platform": platform.system(),</t>
        </is>
      </c>
    </row>
    <row r="208">
      <c r="A208" s="7" t="n">
        <v>205</v>
      </c>
      <c r="B208" s="8" t="inlineStr">
        <is>
          <t xml:space="preserve">        "uptime": _t.time() - _t.time(),  # 占位</t>
        </is>
      </c>
    </row>
    <row r="209">
      <c r="A209" s="9" t="n">
        <v>206</v>
      </c>
      <c r="B209" s="10" t="inlineStr">
        <is>
          <t xml:space="preserve">    }</t>
        </is>
      </c>
    </row>
    <row r="210">
      <c r="A210" s="7" t="n">
        <v>207</v>
      </c>
      <c r="B210" s="8" t="inlineStr">
        <is>
          <t xml:space="preserve">    try:</t>
        </is>
      </c>
    </row>
    <row r="211">
      <c r="A211" s="9" t="n">
        <v>208</v>
      </c>
      <c r="B211" s="10" t="inlineStr">
        <is>
          <t xml:space="preserve">        from core.database import db</t>
        </is>
      </c>
    </row>
    <row r="212">
      <c r="A212" s="7" t="n">
        <v>209</v>
      </c>
      <c r="B212" s="8" t="inlineStr">
        <is>
          <t xml:space="preserve">        stats = db.get_task_stats()</t>
        </is>
      </c>
    </row>
    <row r="213">
      <c r="A213" s="9" t="n">
        <v>210</v>
      </c>
      <c r="B213" s="10" t="inlineStr">
        <is>
          <t xml:space="preserve">        info["db_stats"] = stats</t>
        </is>
      </c>
    </row>
    <row r="214">
      <c r="A214" s="7" t="n">
        <v>211</v>
      </c>
      <c r="B214" s="8" t="inlineStr">
        <is>
          <t xml:space="preserve">    except Exception:</t>
        </is>
      </c>
    </row>
    <row r="215">
      <c r="A215" s="9" t="n">
        <v>212</v>
      </c>
      <c r="B215" s="10" t="inlineStr">
        <is>
          <t xml:space="preserve">        pass</t>
        </is>
      </c>
    </row>
    <row r="216">
      <c r="A216" s="7" t="n">
        <v>213</v>
      </c>
      <c r="B216" s="8" t="inlineStr">
        <is>
          <t xml:space="preserve">    try:</t>
        </is>
      </c>
    </row>
    <row r="217">
      <c r="A217" s="9" t="n">
        <v>214</v>
      </c>
      <c r="B217" s="10" t="inlineStr">
        <is>
          <t xml:space="preserve">        from core.review_queue import get_review_queue</t>
        </is>
      </c>
    </row>
    <row r="218">
      <c r="A218" s="7" t="n">
        <v>215</v>
      </c>
      <c r="B218" s="8" t="inlineStr">
        <is>
          <t xml:space="preserve">        rq = get_review_queue()</t>
        </is>
      </c>
    </row>
    <row r="219">
      <c r="A219" s="9" t="n">
        <v>216</v>
      </c>
      <c r="B219" s="10" t="inlineStr">
        <is>
          <t xml:space="preserve">        info["pending_reviews"] = rq.pending_count()</t>
        </is>
      </c>
    </row>
    <row r="220">
      <c r="A220" s="7" t="n">
        <v>217</v>
      </c>
      <c r="B220" s="8" t="inlineStr">
        <is>
          <t xml:space="preserve">    except Exception:</t>
        </is>
      </c>
    </row>
    <row r="221">
      <c r="A221" s="9" t="n">
        <v>218</v>
      </c>
      <c r="B221" s="10" t="inlineStr">
        <is>
          <t xml:space="preserve">        pass</t>
        </is>
      </c>
    </row>
    <row r="222">
      <c r="A222" s="7" t="n">
        <v>219</v>
      </c>
      <c r="B222" s="8" t="inlineStr">
        <is>
          <t xml:space="preserve">    return ApiResponse(data=info)</t>
        </is>
      </c>
    </row>
    <row r="223">
      <c r="A223" s="9" t="n">
        <v>220</v>
      </c>
      <c r="B223" s="10" t="inlineStr"/>
    </row>
    <row r="224">
      <c r="A224" s="7" t="n">
        <v>221</v>
      </c>
      <c r="B224" s="8" t="inlineStr"/>
    </row>
    <row r="225">
      <c r="A225" s="9" t="n">
        <v>222</v>
      </c>
      <c r="B225" s="10" t="inlineStr">
        <is>
          <t># ═══════════════ 启动 ═══════════════</t>
        </is>
      </c>
    </row>
    <row r="226">
      <c r="A226" s="7" t="n">
        <v>223</v>
      </c>
      <c r="B226" s="8" t="inlineStr">
        <is>
          <t>@app.on_event("startup")</t>
        </is>
      </c>
    </row>
    <row r="227">
      <c r="A227" s="9" t="n">
        <v>224</v>
      </c>
      <c r="B227" s="10" t="inlineStr">
        <is>
          <t>async def startup():</t>
        </is>
      </c>
    </row>
    <row r="228">
      <c r="A228" s="7" t="n">
        <v>225</v>
      </c>
      <c r="B228" s="8" t="inlineStr">
        <is>
          <t xml:space="preserve">    print("=" * 50)</t>
        </is>
      </c>
    </row>
    <row r="229">
      <c r="A229" s="9" t="n">
        <v>226</v>
      </c>
      <c r="B229" s="10" t="inlineStr">
        <is>
          <t xml:space="preserve">    print("  TreeCut v13.0 API Server")</t>
        </is>
      </c>
    </row>
    <row r="230">
      <c r="A230" s="7" t="n">
        <v>227</v>
      </c>
      <c r="B230" s="8" t="inlineStr">
        <is>
          <t xml:space="preserve">    print(f"  Swagger: http://localhost:8000/docs")</t>
        </is>
      </c>
    </row>
    <row r="231">
      <c r="A231" s="9" t="n">
        <v>228</v>
      </c>
      <c r="B231" s="10" t="inlineStr">
        <is>
          <t xml:space="preserve">    print("=" * 50)</t>
        </is>
      </c>
    </row>
    <row r="232">
      <c r="A232" s="7" t="n">
        <v>229</v>
      </c>
      <c r="B232" s="8" t="inlineStr">
        <is>
          <t xml:space="preserve">    # 初始化系统</t>
        </is>
      </c>
    </row>
    <row r="233">
      <c r="A233" s="9" t="n">
        <v>230</v>
      </c>
      <c r="B233" s="10" t="inlineStr">
        <is>
          <t xml:space="preserve">    try:</t>
        </is>
      </c>
    </row>
    <row r="234">
      <c r="A234" s="7" t="n">
        <v>231</v>
      </c>
      <c r="B234" s="8" t="inlineStr">
        <is>
          <t xml:space="preserve">        from core.event_bus import get_bus; get_bus()</t>
        </is>
      </c>
    </row>
    <row r="235">
      <c r="A235" s="9" t="n">
        <v>232</v>
      </c>
      <c r="B235" s="10" t="inlineStr">
        <is>
          <t xml:space="preserve">    except Exception: pass</t>
        </is>
      </c>
    </row>
    <row r="236">
      <c r="A236" s="7" t="n">
        <v>233</v>
      </c>
      <c r="B236" s="8" t="inlineStr">
        <is>
          <t xml:space="preserve">    try:</t>
        </is>
      </c>
    </row>
    <row r="237">
      <c r="A237" s="9" t="n">
        <v>234</v>
      </c>
      <c r="B237" s="10" t="inlineStr">
        <is>
          <t xml:space="preserve">        from utils.logging import setup_eventbus; setup_eventbus()</t>
        </is>
      </c>
    </row>
    <row r="238">
      <c r="A238" s="7" t="n">
        <v>235</v>
      </c>
      <c r="B238" s="8" t="inlineStr">
        <is>
          <t xml:space="preserve">    except Exception: pass</t>
        </is>
      </c>
    </row>
    <row r="239">
      <c r="A239" s="9" t="n">
        <v>236</v>
      </c>
      <c r="B239" s="10" t="inlineStr"/>
    </row>
    <row r="240">
      <c r="A240" s="7" t="n">
        <v>237</v>
      </c>
      <c r="B240" s="8" t="inlineStr"/>
    </row>
    <row r="241">
      <c r="A241" s="9" t="n">
        <v>238</v>
      </c>
      <c r="B241" s="10" t="inlineStr">
        <is>
          <t>if __name__ == "__main__":</t>
        </is>
      </c>
    </row>
    <row r="242">
      <c r="A242" s="7" t="n">
        <v>239</v>
      </c>
      <c r="B242" s="8" t="inlineStr">
        <is>
          <t xml:space="preserve">    import uvicorn</t>
        </is>
      </c>
    </row>
    <row r="243">
      <c r="A243" s="9" t="n">
        <v>240</v>
      </c>
      <c r="B243" s="10" t="inlineStr">
        <is>
          <t xml:space="preserve">    uvicorn.run("api_server:app", host="0.0.0.0", port=8000, reload=True)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auto_upgrade.py</t>
        </is>
      </c>
      <c r="C1" s="5" t="inlineStr">
        <is>
          <t>行数: 1040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# -*- coding: utf-8 -*-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树剪 TreeCut — 自动升级脚本 v10.3 → v10.4-beta</t>
        </is>
      </c>
    </row>
    <row r="8">
      <c r="A8" s="7" t="n">
        <v>5</v>
      </c>
      <c r="B8" s="8">
        <f>===================================================</f>
        <v/>
      </c>
    </row>
    <row r="9">
      <c r="A9" s="9" t="n">
        <v>6</v>
      </c>
      <c r="B9" s="10" t="inlineStr">
        <is>
          <t>功能:</t>
        </is>
      </c>
    </row>
    <row r="10">
      <c r="A10" s="7" t="n">
        <v>7</v>
      </c>
      <c r="B10" s="8" t="inlineStr">
        <is>
          <t xml:space="preserve">  1. 多模态密集字幕生成 (core/multimodal_embedding.py)</t>
        </is>
      </c>
    </row>
    <row r="11">
      <c r="A11" s="9" t="n">
        <v>8</v>
      </c>
      <c r="B11" s="10" t="inlineStr">
        <is>
          <t xml:space="preserve">  2. 自动主题发现引擎 (core/topic_discovery.py)</t>
        </is>
      </c>
    </row>
    <row r="12">
      <c r="A12" s="7" t="n">
        <v>9</v>
      </c>
      <c r="B12" s="8" t="inlineStr">
        <is>
          <t xml:space="preserve">  3. BGM 智能匹配 (core/bgm_matcher.py)</t>
        </is>
      </c>
    </row>
    <row r="13">
      <c r="A13" s="9" t="n">
        <v>10</v>
      </c>
      <c r="B13" s="10" t="inlineStr">
        <is>
          <t xml:space="preserve">  4. 全自动模式 (pipeline.run(auto_mode=True))</t>
        </is>
      </c>
    </row>
    <row r="14">
      <c r="A14" s="7" t="n">
        <v>11</v>
      </c>
      <c r="B14" s="8" t="inlineStr">
        <is>
          <t xml:space="preserve">  5. UI 全自动生成按钮</t>
        </is>
      </c>
    </row>
    <row r="15">
      <c r="A15" s="9" t="n">
        <v>12</v>
      </c>
      <c r="B15" s="10" t="inlineStr">
        <is>
          <t xml:space="preserve">  6. 批量自我评估</t>
        </is>
      </c>
    </row>
    <row r="16">
      <c r="A16" s="7" t="n">
        <v>13</v>
      </c>
      <c r="B16" s="8" t="inlineStr">
        <is>
          <t xml:space="preserve">  7. 完整单元测试 (tests/test_auto_upgrade.py)</t>
        </is>
      </c>
    </row>
    <row r="17">
      <c r="A17" s="9" t="n">
        <v>14</v>
      </c>
      <c r="B17" s="10" t="inlineStr">
        <is>
          <t xml:space="preserve">  8. 自动备份 + 升级日志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用法: python auto_upgrade.py</t>
        </is>
      </c>
    </row>
    <row r="20">
      <c r="A20" s="7" t="n">
        <v>17</v>
      </c>
      <c r="B20" s="8">
        <f>===================================================</f>
        <v/>
      </c>
    </row>
    <row r="21">
      <c r="A21" s="9" t="n">
        <v>18</v>
      </c>
      <c r="B21" s="10" t="inlineStr">
        <is>
          <t>"""</t>
        </is>
      </c>
    </row>
    <row r="22">
      <c r="A22" s="7" t="n">
        <v>19</v>
      </c>
      <c r="B22" s="8" t="inlineStr">
        <is>
          <t>import os, sys, shutil, json, re, subprocess, traceback</t>
        </is>
      </c>
    </row>
    <row r="23">
      <c r="A23" s="9" t="n">
        <v>20</v>
      </c>
      <c r="B23" s="10" t="inlineStr">
        <is>
          <t>from pathlib import Path</t>
        </is>
      </c>
    </row>
    <row r="24">
      <c r="A24" s="7" t="n">
        <v>21</v>
      </c>
      <c r="B24" s="8" t="inlineStr">
        <is>
          <t>from datetime import datetime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># ============================================================</t>
        </is>
      </c>
    </row>
    <row r="27">
      <c r="A27" s="9" t="n">
        <v>24</v>
      </c>
      <c r="B27" s="10" t="inlineStr">
        <is>
          <t># 配置</t>
        </is>
      </c>
    </row>
    <row r="28">
      <c r="A28" s="7" t="n">
        <v>25</v>
      </c>
      <c r="B28" s="8" t="inlineStr">
        <is>
          <t># ============================================================</t>
        </is>
      </c>
    </row>
    <row r="29">
      <c r="A29" s="9" t="n">
        <v>26</v>
      </c>
      <c r="B29" s="10" t="inlineStr">
        <is>
          <t>BASE = Path(__file__).parent</t>
        </is>
      </c>
    </row>
    <row r="30">
      <c r="A30" s="7" t="n">
        <v>27</v>
      </c>
      <c r="B30" s="8" t="inlineStr">
        <is>
          <t>NOW = datetime.now()</t>
        </is>
      </c>
    </row>
    <row r="31">
      <c r="A31" s="9" t="n">
        <v>28</v>
      </c>
      <c r="B31" s="10" t="inlineStr">
        <is>
          <t>TIMESTAMP = NOW.strftime("%Y%m%d_%H%M%S")</t>
        </is>
      </c>
    </row>
    <row r="32">
      <c r="A32" s="7" t="n">
        <v>29</v>
      </c>
      <c r="B32" s="8" t="inlineStr">
        <is>
          <t>BACKUP_DIR = BASE / f"backup_{TIMESTAMP}"</t>
        </is>
      </c>
    </row>
    <row r="33">
      <c r="A33" s="9" t="n">
        <v>30</v>
      </c>
      <c r="B33" s="10" t="inlineStr">
        <is>
          <t>LOG_FILE = BASE / "upgrade_log.txt"</t>
        </is>
      </c>
    </row>
    <row r="34">
      <c r="A34" s="7" t="n">
        <v>31</v>
      </c>
      <c r="B34" s="8" t="inlineStr">
        <is>
          <t>NEW_VERSION = "10.4-beta"</t>
        </is>
      </c>
    </row>
    <row r="35">
      <c r="A35" s="9" t="n">
        <v>32</v>
      </c>
      <c r="B35" s="10" t="inlineStr"/>
    </row>
    <row r="36">
      <c r="A36" s="7" t="n">
        <v>33</v>
      </c>
      <c r="B36" s="8" t="inlineStr">
        <is>
          <t>sys.path.insert(0, str(BASE))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># ============================================================</t>
        </is>
      </c>
    </row>
    <row r="39">
      <c r="A39" s="9" t="n">
        <v>36</v>
      </c>
      <c r="B39" s="10" t="inlineStr">
        <is>
          <t># 工具函数</t>
        </is>
      </c>
    </row>
    <row r="40">
      <c r="A40" s="7" t="n">
        <v>37</v>
      </c>
      <c r="B40" s="8" t="inlineStr">
        <is>
          <t># ============================================================</t>
        </is>
      </c>
    </row>
    <row r="41">
      <c r="A41" s="9" t="n">
        <v>38</v>
      </c>
      <c r="B41" s="10" t="inlineStr">
        <is>
          <t>_log_lines = []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>def log(msg: str, level: str = "INFO"):</t>
        </is>
      </c>
    </row>
    <row r="44">
      <c r="A44" s="7" t="n">
        <v>41</v>
      </c>
      <c r="B44" s="8" t="inlineStr">
        <is>
          <t xml:space="preserve">    line = f"[{datetime.now().strftime('%H:%M:%S')}] [{level}] {msg}"</t>
        </is>
      </c>
    </row>
    <row r="45">
      <c r="A45" s="9" t="n">
        <v>42</v>
      </c>
      <c r="B45" s="10" t="inlineStr">
        <is>
          <t xml:space="preserve">    _log_lines.append(line)</t>
        </is>
      </c>
    </row>
    <row r="46">
      <c r="A46" s="7" t="n">
        <v>43</v>
      </c>
      <c r="B46" s="8" t="inlineStr">
        <is>
          <t xml:space="preserve">    print(line)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>def flush_log():</t>
        </is>
      </c>
    </row>
    <row r="49">
      <c r="A49" s="9" t="n">
        <v>46</v>
      </c>
      <c r="B49" s="10" t="inlineStr">
        <is>
          <t xml:space="preserve">    LOG_FILE.write_text("\n".join(_log_lines) + "\n", encoding="utf-8")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>def backup():</t>
        </is>
      </c>
    </row>
    <row r="52">
      <c r="A52" s="7" t="n">
        <v>49</v>
      </c>
      <c r="B52" s="8" t="inlineStr">
        <is>
          <t xml:space="preserve">    """备份整个项目"""</t>
        </is>
      </c>
    </row>
    <row r="53">
      <c r="A53" s="9" t="n">
        <v>50</v>
      </c>
      <c r="B53" s="10" t="inlineStr">
        <is>
          <t xml:space="preserve">    log("=" * 60)</t>
        </is>
      </c>
    </row>
    <row r="54">
      <c r="A54" s="7" t="n">
        <v>51</v>
      </c>
      <c r="B54" s="8" t="inlineStr">
        <is>
          <t xml:space="preserve">    log("开始备份项目...")</t>
        </is>
      </c>
    </row>
    <row r="55">
      <c r="A55" s="9" t="n">
        <v>52</v>
      </c>
      <c r="B55" s="10" t="inlineStr">
        <is>
          <t xml:space="preserve">    BACKUP_DIR.mkdir(parents=True, exist_ok=True)</t>
        </is>
      </c>
    </row>
    <row r="56">
      <c r="A56" s="7" t="n">
        <v>53</v>
      </c>
      <c r="B56" s="8" t="inlineStr">
        <is>
          <t xml:space="preserve">    count = 0</t>
        </is>
      </c>
    </row>
    <row r="57">
      <c r="A57" s="9" t="n">
        <v>54</v>
      </c>
      <c r="B57" s="10" t="inlineStr">
        <is>
          <t xml:space="preserve">    for item in BASE.iterdir():</t>
        </is>
      </c>
    </row>
    <row r="58">
      <c r="A58" s="7" t="n">
        <v>55</v>
      </c>
      <c r="B58" s="8" t="inlineStr">
        <is>
          <t xml:space="preserve">        if item.name == BACKUP_DIR.name or item.name.startswith("backup_"):</t>
        </is>
      </c>
    </row>
    <row r="59">
      <c r="A59" s="9" t="n">
        <v>56</v>
      </c>
      <c r="B59" s="10" t="inlineStr">
        <is>
          <t xml:space="preserve">            continue</t>
        </is>
      </c>
    </row>
    <row r="60">
      <c r="A60" s="7" t="n">
        <v>57</v>
      </c>
      <c r="B60" s="8" t="inlineStr">
        <is>
          <t xml:space="preserve">        if item.name == "__pycache__":</t>
        </is>
      </c>
    </row>
    <row r="61">
      <c r="A61" s="9" t="n">
        <v>58</v>
      </c>
      <c r="B61" s="10" t="inlineStr">
        <is>
          <t xml:space="preserve">            continue</t>
        </is>
      </c>
    </row>
    <row r="62">
      <c r="A62" s="7" t="n">
        <v>59</v>
      </c>
      <c r="B62" s="8" t="inlineStr">
        <is>
          <t xml:space="preserve">        if item.is_dir():</t>
        </is>
      </c>
    </row>
    <row r="63">
      <c r="A63" s="9" t="n">
        <v>60</v>
      </c>
      <c r="B63" s="10" t="inlineStr">
        <is>
          <t xml:space="preserve">            try:</t>
        </is>
      </c>
    </row>
    <row r="64">
      <c r="A64" s="7" t="n">
        <v>61</v>
      </c>
      <c r="B64" s="8" t="inlineStr">
        <is>
          <t xml:space="preserve">                target = BACKUP_DIR / item.relative_to(BASE)</t>
        </is>
      </c>
    </row>
    <row r="65">
      <c r="A65" s="9" t="n">
        <v>62</v>
      </c>
      <c r="B65" s="10" t="inlineStr">
        <is>
          <t xml:space="preserve">                shutil.copytree(item, target, ignore=shutil.ignore_patterns("__pycache__", "*.pyc"))</t>
        </is>
      </c>
    </row>
    <row r="66">
      <c r="A66" s="7" t="n">
        <v>63</v>
      </c>
      <c r="B66" s="8" t="inlineStr">
        <is>
          <t xml:space="preserve">                count += 1</t>
        </is>
      </c>
    </row>
    <row r="67">
      <c r="A67" s="9" t="n">
        <v>64</v>
      </c>
      <c r="B67" s="10" t="inlineStr">
        <is>
          <t xml:space="preserve">            except Exception as e:</t>
        </is>
      </c>
    </row>
    <row r="68">
      <c r="A68" s="7" t="n">
        <v>65</v>
      </c>
      <c r="B68" s="8" t="inlineStr">
        <is>
          <t xml:space="preserve">                log(f"  备份目录失败: {item.name} — {e}", "WARN")</t>
        </is>
      </c>
    </row>
    <row r="69">
      <c r="A69" s="9" t="n">
        <v>66</v>
      </c>
      <c r="B69" s="10" t="inlineStr">
        <is>
          <t xml:space="preserve">        else:</t>
        </is>
      </c>
    </row>
    <row r="70">
      <c r="A70" s="7" t="n">
        <v>67</v>
      </c>
      <c r="B70" s="8" t="inlineStr">
        <is>
          <t xml:space="preserve">            try:</t>
        </is>
      </c>
    </row>
    <row r="71">
      <c r="A71" s="9" t="n">
        <v>68</v>
      </c>
      <c r="B71" s="10" t="inlineStr">
        <is>
          <t xml:space="preserve">                shutil.copy2(item, BACKUP_DIR / item.name)</t>
        </is>
      </c>
    </row>
    <row r="72">
      <c r="A72" s="7" t="n">
        <v>69</v>
      </c>
      <c r="B72" s="8" t="inlineStr">
        <is>
          <t xml:space="preserve">                count += 1</t>
        </is>
      </c>
    </row>
    <row r="73">
      <c r="A73" s="9" t="n">
        <v>70</v>
      </c>
      <c r="B73" s="10" t="inlineStr">
        <is>
          <t xml:space="preserve">            except Exception as e:</t>
        </is>
      </c>
    </row>
    <row r="74">
      <c r="A74" s="7" t="n">
        <v>71</v>
      </c>
      <c r="B74" s="8" t="inlineStr">
        <is>
          <t xml:space="preserve">                log(f"  备份文件失败: {item.name} — {e}", "WARN")</t>
        </is>
      </c>
    </row>
    <row r="75">
      <c r="A75" s="9" t="n">
        <v>72</v>
      </c>
      <c r="B75" s="10" t="inlineStr">
        <is>
          <t xml:space="preserve">    log(f"  [OK] 备份完成: {count} 项 → {BACKUP_DIR}")</t>
        </is>
      </c>
    </row>
    <row r="76">
      <c r="A76" s="7" t="n">
        <v>73</v>
      </c>
      <c r="B76" s="8" t="inlineStr">
        <is>
          <t xml:space="preserve">    return True</t>
        </is>
      </c>
    </row>
    <row r="77">
      <c r="A77" s="9" t="n">
        <v>74</v>
      </c>
      <c r="B77" s="10" t="inlineStr"/>
    </row>
    <row r="78">
      <c r="A78" s="7" t="n">
        <v>75</v>
      </c>
      <c r="B78" s="8" t="inlineStr">
        <is>
          <t>def ensure_deps():</t>
        </is>
      </c>
    </row>
    <row r="79">
      <c r="A79" s="9" t="n">
        <v>76</v>
      </c>
      <c r="B79" s="10" t="inlineStr">
        <is>
          <t xml:space="preserve">    """确保依赖包已安装"""</t>
        </is>
      </c>
    </row>
    <row r="80">
      <c r="A80" s="7" t="n">
        <v>77</v>
      </c>
      <c r="B80" s="8" t="inlineStr">
        <is>
          <t xml:space="preserve">    deps = {"scikit-learn": "sklearn", "sentence_transformers": "sentence_transformers"}</t>
        </is>
      </c>
    </row>
    <row r="81">
      <c r="A81" s="9" t="n">
        <v>78</v>
      </c>
      <c r="B81" s="10" t="inlineStr">
        <is>
          <t xml:space="preserve">    for pkg, mod in deps.items():</t>
        </is>
      </c>
    </row>
    <row r="82">
      <c r="A82" s="7" t="n">
        <v>79</v>
      </c>
      <c r="B82" s="8" t="inlineStr">
        <is>
          <t xml:space="preserve">        try:</t>
        </is>
      </c>
    </row>
    <row r="83">
      <c r="A83" s="9" t="n">
        <v>80</v>
      </c>
      <c r="B83" s="10" t="inlineStr">
        <is>
          <t xml:space="preserve">            __import__(mod)</t>
        </is>
      </c>
    </row>
    <row r="84">
      <c r="A84" s="7" t="n">
        <v>81</v>
      </c>
      <c r="B84" s="8" t="inlineStr">
        <is>
          <t xml:space="preserve">            log(f"  [OK] {pkg} 已安装")</t>
        </is>
      </c>
    </row>
    <row r="85">
      <c r="A85" s="9" t="n">
        <v>82</v>
      </c>
      <c r="B85" s="10" t="inlineStr">
        <is>
          <t xml:space="preserve">        except ImportError:</t>
        </is>
      </c>
    </row>
    <row r="86">
      <c r="A86" s="7" t="n">
        <v>83</v>
      </c>
      <c r="B86" s="8" t="inlineStr">
        <is>
          <t xml:space="preserve">            log(f"  [PKG] 正在安装 {pkg}...")</t>
        </is>
      </c>
    </row>
    <row r="87">
      <c r="A87" s="9" t="n">
        <v>84</v>
      </c>
      <c r="B87" s="10" t="inlineStr">
        <is>
          <t xml:space="preserve">            try:</t>
        </is>
      </c>
    </row>
    <row r="88">
      <c r="A88" s="7" t="n">
        <v>85</v>
      </c>
      <c r="B88" s="8" t="inlineStr">
        <is>
          <t xml:space="preserve">                subprocess.check_call([sys.executable, "-m", "pip", "install", pkg, "-q"],</t>
        </is>
      </c>
    </row>
    <row r="89">
      <c r="A89" s="9" t="n">
        <v>86</v>
      </c>
      <c r="B89" s="10" t="inlineStr">
        <is>
          <t xml:space="preserve">                                      stdout=subprocess.DEVNULL, stderr=subprocess.DEVNULL)</t>
        </is>
      </c>
    </row>
    <row r="90">
      <c r="A90" s="7" t="n">
        <v>87</v>
      </c>
      <c r="B90" s="8" t="inlineStr">
        <is>
          <t xml:space="preserve">                log(f"  [OK] {pkg} 安装完成")</t>
        </is>
      </c>
    </row>
    <row r="91">
      <c r="A91" s="9" t="n">
        <v>88</v>
      </c>
      <c r="B91" s="10" t="inlineStr">
        <is>
          <t xml:space="preserve">            except Exception as e:</t>
        </is>
      </c>
    </row>
    <row r="92">
      <c r="A92" s="7" t="n">
        <v>89</v>
      </c>
      <c r="B92" s="8" t="inlineStr">
        <is>
          <t xml:space="preserve">                log(f"  [WARN] {pkg} 安装失败: {e}", "WARN")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>def write_file(path: Path, content: str):</t>
        </is>
      </c>
    </row>
    <row r="95">
      <c r="A95" s="9" t="n">
        <v>92</v>
      </c>
      <c r="B95" s="10" t="inlineStr">
        <is>
          <t xml:space="preserve">    """写入文件内容（多行字符串）"""</t>
        </is>
      </c>
    </row>
    <row r="96">
      <c r="A96" s="7" t="n">
        <v>93</v>
      </c>
      <c r="B96" s="8" t="inlineStr">
        <is>
          <t xml:space="preserve">    path.parent.mkdir(parents=True, exist_ok=True)</t>
        </is>
      </c>
    </row>
    <row r="97">
      <c r="A97" s="9" t="n">
        <v>94</v>
      </c>
      <c r="B97" s="10" t="inlineStr">
        <is>
          <t xml:space="preserve">    path.write_text(content, encoding="utf-8")</t>
        </is>
      </c>
    </row>
    <row r="98">
      <c r="A98" s="7" t="n">
        <v>95</v>
      </c>
      <c r="B98" s="8" t="inlineStr">
        <is>
          <t xml:space="preserve">    log(f"  [WRITE] 写入: {path.relative_to(BASE)}")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>def patch_file(path: Path, old: str, new: str, count: int = 1):</t>
        </is>
      </c>
    </row>
    <row r="101">
      <c r="A101" s="9" t="n">
        <v>98</v>
      </c>
      <c r="B101" s="10" t="inlineStr">
        <is>
          <t xml:space="preserve">    """替换文件中的文本"""</t>
        </is>
      </c>
    </row>
    <row r="102">
      <c r="A102" s="7" t="n">
        <v>99</v>
      </c>
      <c r="B102" s="8" t="inlineStr">
        <is>
          <t xml:space="preserve">    content = path.read_text(encoding="utf-8")</t>
        </is>
      </c>
    </row>
    <row r="103">
      <c r="A103" s="9" t="n">
        <v>100</v>
      </c>
      <c r="B103" s="10" t="inlineStr">
        <is>
          <t xml:space="preserve">    if old in content:</t>
        </is>
      </c>
    </row>
    <row r="104">
      <c r="A104" s="7" t="n">
        <v>101</v>
      </c>
      <c r="B104" s="8" t="inlineStr">
        <is>
          <t xml:space="preserve">        content = content.replace(old, new, count)</t>
        </is>
      </c>
    </row>
    <row r="105">
      <c r="A105" s="9" t="n">
        <v>102</v>
      </c>
      <c r="B105" s="10" t="inlineStr">
        <is>
          <t xml:space="preserve">        path.write_text(content, encoding="utf-8")</t>
        </is>
      </c>
    </row>
    <row r="106">
      <c r="A106" s="7" t="n">
        <v>103</v>
      </c>
      <c r="B106" s="8" t="inlineStr">
        <is>
          <t xml:space="preserve">        log(f"  [FIX] 修改: {path.relative_to(BASE)}")</t>
        </is>
      </c>
    </row>
    <row r="107">
      <c r="A107" s="9" t="n">
        <v>104</v>
      </c>
      <c r="B107" s="10" t="inlineStr">
        <is>
          <t xml:space="preserve">        return True</t>
        </is>
      </c>
    </row>
    <row r="108">
      <c r="A108" s="7" t="n">
        <v>105</v>
      </c>
      <c r="B108" s="8" t="inlineStr">
        <is>
          <t xml:space="preserve">    else:</t>
        </is>
      </c>
    </row>
    <row r="109">
      <c r="A109" s="9" t="n">
        <v>106</v>
      </c>
      <c r="B109" s="10" t="inlineStr">
        <is>
          <t xml:space="preserve">        log(f"  [WARN] 未找到目标文本: {path.relative_to(BASE)}", "WARN")</t>
        </is>
      </c>
    </row>
    <row r="110">
      <c r="A110" s="7" t="n">
        <v>107</v>
      </c>
      <c r="B110" s="8" t="inlineStr">
        <is>
          <t xml:space="preserve">        return False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>def run_tests():</t>
        </is>
      </c>
    </row>
    <row r="113">
      <c r="A113" s="9" t="n">
        <v>110</v>
      </c>
      <c r="B113" s="10" t="inlineStr">
        <is>
          <t xml:space="preserve">    """运行升级测试"""</t>
        </is>
      </c>
    </row>
    <row r="114">
      <c r="A114" s="7" t="n">
        <v>111</v>
      </c>
      <c r="B114" s="8" t="inlineStr">
        <is>
          <t xml:space="preserve">    log("\n" + "=" * 60)</t>
        </is>
      </c>
    </row>
    <row r="115">
      <c r="A115" s="9" t="n">
        <v>112</v>
      </c>
      <c r="B115" s="10" t="inlineStr">
        <is>
          <t xml:space="preserve">    log("运行升级测试...")</t>
        </is>
      </c>
    </row>
    <row r="116">
      <c r="A116" s="7" t="n">
        <v>113</v>
      </c>
      <c r="B116" s="8" t="inlineStr">
        <is>
          <t xml:space="preserve">    test_file = BASE / "tests" / "test_auto_upgrade.py"</t>
        </is>
      </c>
    </row>
    <row r="117">
      <c r="A117" s="9" t="n">
        <v>114</v>
      </c>
      <c r="B117" s="10" t="inlineStr">
        <is>
          <t xml:space="preserve">    if not test_file.exists():</t>
        </is>
      </c>
    </row>
    <row r="118">
      <c r="A118" s="7" t="n">
        <v>115</v>
      </c>
      <c r="B118" s="8" t="inlineStr">
        <is>
          <t xml:space="preserve">        log("  [FAIL] 测试文件不存在", "ERROR")</t>
        </is>
      </c>
    </row>
    <row r="119">
      <c r="A119" s="9" t="n">
        <v>116</v>
      </c>
      <c r="B119" s="10" t="inlineStr">
        <is>
          <t xml:space="preserve">        return False, 0, 0</t>
        </is>
      </c>
    </row>
    <row r="120">
      <c r="A120" s="7" t="n">
        <v>117</v>
      </c>
      <c r="B120" s="8" t="inlineStr">
        <is>
          <t xml:space="preserve">    try:</t>
        </is>
      </c>
    </row>
    <row r="121">
      <c r="A121" s="9" t="n">
        <v>118</v>
      </c>
      <c r="B121" s="10" t="inlineStr">
        <is>
          <t xml:space="preserve">        result = subprocess.run(</t>
        </is>
      </c>
    </row>
    <row r="122">
      <c r="A122" s="7" t="n">
        <v>119</v>
      </c>
      <c r="B122" s="8" t="inlineStr">
        <is>
          <t xml:space="preserve">            [sys.executable, "-m", "unittest", "tests.test_auto_upgrade", "-v"],</t>
        </is>
      </c>
    </row>
    <row r="123">
      <c r="A123" s="9" t="n">
        <v>120</v>
      </c>
      <c r="B123" s="10" t="inlineStr">
        <is>
          <t xml:space="preserve">            cwd=str(BASE), capture_output=True, text=True, timeout=120</t>
        </is>
      </c>
    </row>
    <row r="124">
      <c r="A124" s="7" t="n">
        <v>121</v>
      </c>
      <c r="B124" s="8" t="inlineStr">
        <is>
          <t xml:space="preserve">        )</t>
        </is>
      </c>
    </row>
    <row r="125">
      <c r="A125" s="9" t="n">
        <v>122</v>
      </c>
      <c r="B125" s="10" t="inlineStr">
        <is>
          <t xml:space="preserve">        log(result.stdout[-2000:] if len(result.stdout) &gt; 2000 else result.stdout)</t>
        </is>
      </c>
    </row>
    <row r="126">
      <c r="A126" s="7" t="n">
        <v>123</v>
      </c>
      <c r="B126" s="8" t="inlineStr">
        <is>
          <t xml:space="preserve">        if result.stderr:</t>
        </is>
      </c>
    </row>
    <row r="127">
      <c r="A127" s="9" t="n">
        <v>124</v>
      </c>
      <c r="B127" s="10" t="inlineStr">
        <is>
          <t xml:space="preserve">            log("STDERR:\n" + result.stderr[-500:], "WARN")</t>
        </is>
      </c>
    </row>
    <row r="128">
      <c r="A128" s="7" t="n">
        <v>125</v>
      </c>
      <c r="B128" s="8" t="inlineStr">
        <is>
          <t xml:space="preserve">        # 解析结果</t>
        </is>
      </c>
    </row>
    <row r="129">
      <c r="A129" s="9" t="n">
        <v>126</v>
      </c>
      <c r="B129" s="10" t="inlineStr">
        <is>
          <t xml:space="preserve">        passed = len(re.findall(r'\bok\b', result.stdout, re.IGNORECASE))</t>
        </is>
      </c>
    </row>
    <row r="130">
      <c r="A130" s="7" t="n">
        <v>127</v>
      </c>
      <c r="B130" s="8" t="inlineStr">
        <is>
          <t xml:space="preserve">        failed = len(re.findall(r'\bFAIL\b', result.stdout))</t>
        </is>
      </c>
    </row>
    <row r="131">
      <c r="A131" s="9" t="n">
        <v>128</v>
      </c>
      <c r="B131" s="10" t="inlineStr">
        <is>
          <t xml:space="preserve">        errors = len(re.findall(r'\bERROR\b', result.stdout))</t>
        </is>
      </c>
    </row>
    <row r="132">
      <c r="A132" s="7" t="n">
        <v>129</v>
      </c>
      <c r="B132" s="8" t="inlineStr">
        <is>
          <t xml:space="preserve">        total = passed + failed + errors</t>
        </is>
      </c>
    </row>
    <row r="133">
      <c r="A133" s="9" t="n">
        <v>130</v>
      </c>
      <c r="B133" s="10" t="inlineStr">
        <is>
          <t xml:space="preserve">        success = (failed == 0 and errors == 0)</t>
        </is>
      </c>
    </row>
    <row r="134">
      <c r="A134" s="7" t="n">
        <v>131</v>
      </c>
      <c r="B134" s="8" t="inlineStr">
        <is>
          <t xml:space="preserve">        log(f"\n  结果: {passed} 通过 / {failed} 失败 / {errors} 错误")</t>
        </is>
      </c>
    </row>
    <row r="135">
      <c r="A135" s="9" t="n">
        <v>132</v>
      </c>
      <c r="B135" s="10" t="inlineStr">
        <is>
          <t xml:space="preserve">        return success, total, passed</t>
        </is>
      </c>
    </row>
    <row r="136">
      <c r="A136" s="7" t="n">
        <v>133</v>
      </c>
      <c r="B136" s="8" t="inlineStr">
        <is>
          <t xml:space="preserve">    except subprocess.TimeoutExpired:</t>
        </is>
      </c>
    </row>
    <row r="137">
      <c r="A137" s="9" t="n">
        <v>134</v>
      </c>
      <c r="B137" s="10" t="inlineStr">
        <is>
          <t xml:space="preserve">        log("  [FAIL] 测试超时", "ERROR")</t>
        </is>
      </c>
    </row>
    <row r="138">
      <c r="A138" s="7" t="n">
        <v>135</v>
      </c>
      <c r="B138" s="8" t="inlineStr">
        <is>
          <t xml:space="preserve">        return False, 0, 0</t>
        </is>
      </c>
    </row>
    <row r="139">
      <c r="A139" s="9" t="n">
        <v>136</v>
      </c>
      <c r="B139" s="10" t="inlineStr">
        <is>
          <t xml:space="preserve">    except Exception as e:</t>
        </is>
      </c>
    </row>
    <row r="140">
      <c r="A140" s="7" t="n">
        <v>137</v>
      </c>
      <c r="B140" s="8" t="inlineStr">
        <is>
          <t xml:space="preserve">        log(f"  [FAIL] 测试执行失败: {e}", "ERROR")</t>
        </is>
      </c>
    </row>
    <row r="141">
      <c r="A141" s="9" t="n">
        <v>138</v>
      </c>
      <c r="B141" s="10" t="inlineStr">
        <is>
          <t xml:space="preserve">        return False, 0, 0</t>
        </is>
      </c>
    </row>
    <row r="142">
      <c r="A142" s="7" t="n">
        <v>139</v>
      </c>
      <c r="B142" s="8" t="inlineStr"/>
    </row>
    <row r="143">
      <c r="A143" s="9" t="n">
        <v>140</v>
      </c>
      <c r="B143" s="10" t="inlineStr">
        <is>
          <t># ============================================================</t>
        </is>
      </c>
    </row>
    <row r="144">
      <c r="A144" s="7" t="n">
        <v>141</v>
      </c>
      <c r="B144" s="8" t="inlineStr">
        <is>
          <t># 新模块代码（多行字符串）</t>
        </is>
      </c>
    </row>
    <row r="145">
      <c r="A145" s="9" t="n">
        <v>142</v>
      </c>
      <c r="B145" s="10" t="inlineStr">
        <is>
          <t># ============================================================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>MULTIMODAL_EMBEDDING_CODE = '''"""</t>
        </is>
      </c>
    </row>
    <row r="148">
      <c r="A148" s="7" t="n">
        <v>145</v>
      </c>
      <c r="B148" s="8" t="inlineStr">
        <is>
          <t>树剪 — 多模态密集字幕生成引擎 v10.4</t>
        </is>
      </c>
    </row>
    <row r="149">
      <c r="A149" s="9" t="n">
        <v>146</v>
      </c>
      <c r="B149" s="10" t="inlineStr">
        <is>
          <t>融合视觉标签 + 音频情绪 → 生成自然语言描述 → 文本嵌入向量</t>
        </is>
      </c>
    </row>
    <row r="150">
      <c r="A150" s="7" t="n">
        <v>147</v>
      </c>
      <c r="B150" s="8" t="inlineStr">
        <is>
          <t>用于升级后的智能匹配 (替换旧关键词匹配)</t>
        </is>
      </c>
    </row>
    <row r="151">
      <c r="A151" s="9" t="n">
        <v>148</v>
      </c>
      <c r="B151" s="10" t="inlineStr">
        <is>
          <t>"""</t>
        </is>
      </c>
    </row>
    <row r="152">
      <c r="A152" s="7" t="n">
        <v>149</v>
      </c>
      <c r="B152" s="8" t="inlineStr">
        <is>
          <t>import numpy as np</t>
        </is>
      </c>
    </row>
    <row r="153">
      <c r="A153" s="9" t="n">
        <v>150</v>
      </c>
      <c r="B153" s="10" t="inlineStr">
        <is>
          <t>from pathlib import Path</t>
        </is>
      </c>
    </row>
    <row r="154">
      <c r="A154" s="7" t="n">
        <v>151</v>
      </c>
      <c r="B154" s="8" t="inlineStr">
        <is>
          <t>from typing import List, Dict, Optional</t>
        </is>
      </c>
    </row>
    <row r="155">
      <c r="A155" s="9" t="n">
        <v>152</v>
      </c>
      <c r="B155" s="10" t="inlineStr"/>
    </row>
    <row r="156">
      <c r="A156" s="7" t="n">
        <v>153</v>
      </c>
      <c r="B156" s="8" t="inlineStr"/>
    </row>
    <row r="157">
      <c r="A157" s="9" t="n">
        <v>154</v>
      </c>
      <c r="B157" s="10" t="inlineStr">
        <is>
          <t>class MultimodalEmbedding:</t>
        </is>
      </c>
    </row>
    <row r="158">
      <c r="A158" s="7" t="n">
        <v>155</v>
      </c>
      <c r="B158" s="8" t="inlineStr">
        <is>
          <t xml:space="preserve">    """多模态嵌入 — 视觉+音频+文本联合编码"""</t>
        </is>
      </c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 xml:space="preserve">    def __init__(self):</t>
        </is>
      </c>
    </row>
    <row r="161">
      <c r="A161" s="9" t="n">
        <v>158</v>
      </c>
      <c r="B161" s="10" t="inlineStr">
        <is>
          <t xml:space="preserve">        self._text_encoder = None</t>
        </is>
      </c>
    </row>
    <row r="162">
      <c r="A162" s="7" t="n">
        <v>159</v>
      </c>
      <c r="B162" s="8" t="inlineStr">
        <is>
          <t xml:space="preserve">        self.dim = 1024  # BGE-M3 输出维度</t>
        </is>
      </c>
    </row>
    <row r="163">
      <c r="A163" s="9" t="n">
        <v>160</v>
      </c>
      <c r="B163" s="10" t="inlineStr"/>
    </row>
    <row r="164">
      <c r="A164" s="7" t="n">
        <v>161</v>
      </c>
      <c r="B164" s="8" t="inlineStr">
        <is>
          <t xml:space="preserve">    @property</t>
        </is>
      </c>
    </row>
    <row r="165">
      <c r="A165" s="9" t="n">
        <v>162</v>
      </c>
      <c r="B165" s="10" t="inlineStr">
        <is>
          <t xml:space="preserve">    def text_encoder(self):</t>
        </is>
      </c>
    </row>
    <row r="166">
      <c r="A166" s="7" t="n">
        <v>163</v>
      </c>
      <c r="B166" s="8" t="inlineStr">
        <is>
          <t xml:space="preserve">        if self._text_encoder is None:</t>
        </is>
      </c>
    </row>
    <row r="167">
      <c r="A167" s="9" t="n">
        <v>164</v>
      </c>
      <c r="B167" s="10" t="inlineStr">
        <is>
          <t xml:space="preserve">            try:</t>
        </is>
      </c>
    </row>
    <row r="168">
      <c r="A168" s="7" t="n">
        <v>165</v>
      </c>
      <c r="B168" s="8" t="inlineStr">
        <is>
          <t xml:space="preserve">                from sentence_transformers import SentenceTransformer</t>
        </is>
      </c>
    </row>
    <row r="169">
      <c r="A169" s="9" t="n">
        <v>166</v>
      </c>
      <c r="B169" s="10" t="inlineStr">
        <is>
          <t xml:space="preserve">                self._text_encoder = SentenceTransformer("BAAI/bge-m3")</t>
        </is>
      </c>
    </row>
    <row r="170">
      <c r="A170" s="7" t="n">
        <v>167</v>
      </c>
      <c r="B170" s="8" t="inlineStr">
        <is>
          <t xml:space="preserve">            except ImportError:</t>
        </is>
      </c>
    </row>
    <row r="171">
      <c r="A171" s="9" t="n">
        <v>168</v>
      </c>
      <c r="B171" s="10" t="inlineStr">
        <is>
          <t xml:space="preserve">                pass</t>
        </is>
      </c>
    </row>
    <row r="172">
      <c r="A172" s="7" t="n">
        <v>169</v>
      </c>
      <c r="B172" s="8" t="inlineStr">
        <is>
          <t xml:space="preserve">        return self._text_encoder</t>
        </is>
      </c>
    </row>
    <row r="173">
      <c r="A173" s="9" t="n">
        <v>170</v>
      </c>
      <c r="B173" s="10" t="inlineStr"/>
    </row>
    <row r="174">
      <c r="A174" s="7" t="n">
        <v>171</v>
      </c>
      <c r="B174" s="8" t="inlineStr">
        <is>
          <t xml:space="preserve">    @property</t>
        </is>
      </c>
    </row>
    <row r="175">
      <c r="A175" s="9" t="n">
        <v>172</v>
      </c>
      <c r="B175" s="10" t="inlineStr">
        <is>
          <t xml:space="preserve">    def available(self) -&gt; bool:</t>
        </is>
      </c>
    </row>
    <row r="176">
      <c r="A176" s="7" t="n">
        <v>173</v>
      </c>
      <c r="B176" s="8" t="inlineStr">
        <is>
          <t xml:space="preserve">        return self.text_encoder is not None</t>
        </is>
      </c>
    </row>
    <row r="177">
      <c r="A177" s="9" t="n">
        <v>174</v>
      </c>
      <c r="B177" s="10" t="inlineStr"/>
    </row>
    <row r="178">
      <c r="A178" s="7" t="n">
        <v>175</v>
      </c>
      <c r="B178" s="8" t="inlineStr">
        <is>
          <t xml:space="preserve">    def encode_clip(self, video_path: str, vision_tags: dict,</t>
        </is>
      </c>
    </row>
    <row r="179">
      <c r="A179" s="9" t="n">
        <v>176</v>
      </c>
      <c r="B179" s="10" t="inlineStr">
        <is>
          <t xml:space="preserve">                    audio_tags: dict = None) -&gt; Optional[List[float]]:</t>
        </is>
      </c>
    </row>
    <row r="180">
      <c r="A180" s="7" t="n">
        <v>177</v>
      </c>
      <c r="B180" s="8" t="inlineStr">
        <is>
          <t xml:space="preserve">        """生成视觉+音频的联合嵌入向量"""</t>
        </is>
      </c>
    </row>
    <row r="181">
      <c r="A181" s="9" t="n">
        <v>178</v>
      </c>
      <c r="B181" s="10" t="inlineStr">
        <is>
          <t xml:space="preserve">        parts = []</t>
        </is>
      </c>
    </row>
    <row r="182">
      <c r="A182" s="7" t="n">
        <v>179</v>
      </c>
      <c r="B182" s="8" t="inlineStr">
        <is>
          <t xml:space="preserve">        if vision_tags:</t>
        </is>
      </c>
    </row>
    <row r="183">
      <c r="A183" s="9" t="n">
        <v>180</v>
      </c>
      <c r="B183" s="10" t="inlineStr">
        <is>
          <t xml:space="preserve">            for cat in ["objects", "materials", "colors", "style", "scene_type"]:</t>
        </is>
      </c>
    </row>
    <row r="184">
      <c r="A184" s="7" t="n">
        <v>181</v>
      </c>
      <c r="B184" s="8" t="inlineStr">
        <is>
          <t xml:space="preserve">                val = vision_tags.get(cat, "")</t>
        </is>
      </c>
    </row>
    <row r="185">
      <c r="A185" s="9" t="n">
        <v>182</v>
      </c>
      <c r="B185" s="10" t="inlineStr">
        <is>
          <t xml:space="preserve">                if isinstance(val, list):</t>
        </is>
      </c>
    </row>
    <row r="186">
      <c r="A186" s="7" t="n">
        <v>183</v>
      </c>
      <c r="B186" s="8" t="inlineStr">
        <is>
          <t xml:space="preserve">                    parts.extend(val)</t>
        </is>
      </c>
    </row>
    <row r="187">
      <c r="A187" s="9" t="n">
        <v>184</v>
      </c>
      <c r="B187" s="10" t="inlineStr">
        <is>
          <t xml:space="preserve">                elif val:</t>
        </is>
      </c>
    </row>
    <row r="188">
      <c r="A188" s="7" t="n">
        <v>185</v>
      </c>
      <c r="B188" s="8" t="inlineStr">
        <is>
          <t xml:space="preserve">                    parts.append(str(val))</t>
        </is>
      </c>
    </row>
    <row r="189">
      <c r="A189" s="9" t="n">
        <v>186</v>
      </c>
      <c r="B189" s="10" t="inlineStr">
        <is>
          <t xml:space="preserve">        if audio_tags:</t>
        </is>
      </c>
    </row>
    <row r="190">
      <c r="A190" s="7" t="n">
        <v>187</v>
      </c>
      <c r="B190" s="8" t="inlineStr">
        <is>
          <t xml:space="preserve">            emotion = audio_tags.get("emotion", "")</t>
        </is>
      </c>
    </row>
    <row r="191">
      <c r="A191" s="9" t="n">
        <v>188</v>
      </c>
      <c r="B191" s="10" t="inlineStr">
        <is>
          <t xml:space="preserve">            if emotion:</t>
        </is>
      </c>
    </row>
    <row r="192">
      <c r="A192" s="7" t="n">
        <v>189</v>
      </c>
      <c r="B192" s="8" t="inlineStr">
        <is>
          <t xml:space="preserve">                parts.append(emotion)</t>
        </is>
      </c>
    </row>
    <row r="193">
      <c r="A193" s="9" t="n">
        <v>190</v>
      </c>
      <c r="B193" s="10" t="inlineStr">
        <is>
          <t xml:space="preserve">        combined = " ".join(parts)</t>
        </is>
      </c>
    </row>
    <row r="194">
      <c r="A194" s="7" t="n">
        <v>191</v>
      </c>
      <c r="B194" s="8" t="inlineStr">
        <is>
          <t xml:space="preserve">        if not combined.strip():</t>
        </is>
      </c>
    </row>
    <row r="195">
      <c r="A195" s="9" t="n">
        <v>192</v>
      </c>
      <c r="B195" s="10" t="inlineStr">
        <is>
          <t xml:space="preserve">            return None</t>
        </is>
      </c>
    </row>
    <row r="196">
      <c r="A196" s="7" t="n">
        <v>193</v>
      </c>
      <c r="B196" s="8" t="inlineStr">
        <is>
          <t xml:space="preserve">        if self.text_encoder:</t>
        </is>
      </c>
    </row>
    <row r="197">
      <c r="A197" s="9" t="n">
        <v>194</v>
      </c>
      <c r="B197" s="10" t="inlineStr">
        <is>
          <t xml:space="preserve">            vec = self.text_encoder.encode(combined)</t>
        </is>
      </c>
    </row>
    <row r="198">
      <c r="A198" s="7" t="n">
        <v>195</v>
      </c>
      <c r="B198" s="8" t="inlineStr">
        <is>
          <t xml:space="preserve">            return vec.tolist()</t>
        </is>
      </c>
    </row>
    <row r="199">
      <c r="A199" s="9" t="n">
        <v>196</v>
      </c>
      <c r="B199" s="10" t="inlineStr">
        <is>
          <t xml:space="preserve">        return None</t>
        </is>
      </c>
    </row>
    <row r="200">
      <c r="A200" s="7" t="n">
        <v>197</v>
      </c>
      <c r="B200" s="8" t="inlineStr"/>
    </row>
    <row r="201">
      <c r="A201" s="9" t="n">
        <v>198</v>
      </c>
      <c r="B201" s="10" t="inlineStr">
        <is>
          <t xml:space="preserve">    def generate_dense_caption(self, vision_tags: dict, audio_tags: dict = None,</t>
        </is>
      </c>
    </row>
    <row r="202">
      <c r="A202" s="7" t="n">
        <v>199</v>
      </c>
      <c r="B202" s="8" t="inlineStr">
        <is>
          <t xml:space="preserve">                               video_path: str = "") -&gt; str:</t>
        </is>
      </c>
    </row>
    <row r="203">
      <c r="A203" s="9" t="n">
        <v>200</v>
      </c>
      <c r="B203" s="10" t="inlineStr">
        <is>
          <t xml:space="preserve">        """从视觉+音频标签生成密集字幕（自然语言描述）"""</t>
        </is>
      </c>
    </row>
    <row r="204">
      <c r="A204" s="7" t="n">
        <v>201</v>
      </c>
      <c r="B204" s="8" t="inlineStr">
        <is>
          <t xml:space="preserve">        objects = vision_tags.get("objects", [])</t>
        </is>
      </c>
    </row>
    <row r="205">
      <c r="A205" s="9" t="n">
        <v>202</v>
      </c>
      <c r="B205" s="10" t="inlineStr">
        <is>
          <t xml:space="preserve">        materials = vision_tags.get("materials", [])</t>
        </is>
      </c>
    </row>
    <row r="206">
      <c r="A206" s="7" t="n">
        <v>203</v>
      </c>
      <c r="B206" s="8" t="inlineStr">
        <is>
          <t xml:space="preserve">        colors = vision_tags.get("colors", [])</t>
        </is>
      </c>
    </row>
    <row r="207">
      <c r="A207" s="9" t="n">
        <v>204</v>
      </c>
      <c r="B207" s="10" t="inlineStr">
        <is>
          <t xml:space="preserve">        style = vision_tags.get("style", "")</t>
        </is>
      </c>
    </row>
    <row r="208">
      <c r="A208" s="7" t="n">
        <v>205</v>
      </c>
      <c r="B208" s="8" t="inlineStr">
        <is>
          <t xml:space="preserve">        scene = vision_tags.get("scene_type", "")</t>
        </is>
      </c>
    </row>
    <row r="209">
      <c r="A209" s="9" t="n">
        <v>206</v>
      </c>
      <c r="B209" s="10" t="inlineStr"/>
    </row>
    <row r="210">
      <c r="A210" s="7" t="n">
        <v>207</v>
      </c>
      <c r="B210" s="8" t="inlineStr">
        <is>
          <t xml:space="preserve">        parts = []</t>
        </is>
      </c>
    </row>
    <row r="211">
      <c r="A211" s="9" t="n">
        <v>208</v>
      </c>
      <c r="B211" s="10" t="inlineStr">
        <is>
          <t xml:space="preserve">        if style:</t>
        </is>
      </c>
    </row>
    <row r="212">
      <c r="A212" s="7" t="n">
        <v>209</v>
      </c>
      <c r="B212" s="8" t="inlineStr">
        <is>
          <t xml:space="preserve">            parts.append(f"{style}风格")</t>
        </is>
      </c>
    </row>
    <row r="213">
      <c r="A213" s="9" t="n">
        <v>210</v>
      </c>
      <c r="B213" s="10" t="inlineStr">
        <is>
          <t xml:space="preserve">        if scene:</t>
        </is>
      </c>
    </row>
    <row r="214">
      <c r="A214" s="7" t="n">
        <v>211</v>
      </c>
      <c r="B214" s="8" t="inlineStr">
        <is>
          <t xml:space="preserve">            parts.append(f"{scene}")</t>
        </is>
      </c>
    </row>
    <row r="215">
      <c r="A215" s="9" t="n">
        <v>212</v>
      </c>
      <c r="B215" s="10" t="inlineStr">
        <is>
          <t xml:space="preserve">        if materials:</t>
        </is>
      </c>
    </row>
    <row r="216">
      <c r="A216" s="7" t="n">
        <v>213</v>
      </c>
      <c r="B216" s="8" t="inlineStr">
        <is>
          <t xml:space="preserve">            parts.append(f"{'和'.join(materials[:3])}材质")</t>
        </is>
      </c>
    </row>
    <row r="217">
      <c r="A217" s="9" t="n">
        <v>214</v>
      </c>
      <c r="B217" s="10" t="inlineStr">
        <is>
          <t xml:space="preserve">        if colors:</t>
        </is>
      </c>
    </row>
    <row r="218">
      <c r="A218" s="7" t="n">
        <v>215</v>
      </c>
      <c r="B218" s="8" t="inlineStr">
        <is>
          <t xml:space="preserve">            parts.append(f"{'、'.join(colors[:3])}色调")</t>
        </is>
      </c>
    </row>
    <row r="219">
      <c r="A219" s="9" t="n">
        <v>216</v>
      </c>
      <c r="B219" s="10" t="inlineStr">
        <is>
          <t xml:space="preserve">        if objects:</t>
        </is>
      </c>
    </row>
    <row r="220">
      <c r="A220" s="7" t="n">
        <v>217</v>
      </c>
      <c r="B220" s="8" t="inlineStr">
        <is>
          <t xml:space="preserve">            parts.append(f"展示{'、'.join(objects[:5])}等细节")</t>
        </is>
      </c>
    </row>
    <row r="221">
      <c r="A221" s="9" t="n">
        <v>218</v>
      </c>
      <c r="B221" s="10" t="inlineStr">
        <is>
          <t xml:space="preserve">        if audio_tags:</t>
        </is>
      </c>
    </row>
    <row r="222">
      <c r="A222" s="7" t="n">
        <v>219</v>
      </c>
      <c r="B222" s="8" t="inlineStr">
        <is>
          <t xml:space="preserve">            emotion = audio_tags.get("emotion", "")</t>
        </is>
      </c>
    </row>
    <row r="223">
      <c r="A223" s="9" t="n">
        <v>220</v>
      </c>
      <c r="B223" s="10" t="inlineStr">
        <is>
          <t xml:space="preserve">            if emotion:</t>
        </is>
      </c>
    </row>
    <row r="224">
      <c r="A224" s="7" t="n">
        <v>221</v>
      </c>
      <c r="B224" s="8" t="inlineStr">
        <is>
          <t xml:space="preserve">                parts.append(f"情绪:{emotion}")</t>
        </is>
      </c>
    </row>
    <row r="225">
      <c r="A225" s="9" t="n">
        <v>222</v>
      </c>
      <c r="B225" s="10" t="inlineStr">
        <is>
          <t xml:space="preserve">        if not parts:</t>
        </is>
      </c>
    </row>
    <row r="226">
      <c r="A226" s="7" t="n">
        <v>223</v>
      </c>
      <c r="B226" s="8" t="inlineStr">
        <is>
          <t xml:space="preserve">            name = Path(video_path).stem if video_path else ""</t>
        </is>
      </c>
    </row>
    <row r="227">
      <c r="A227" s="9" t="n">
        <v>224</v>
      </c>
      <c r="B227" s="10" t="inlineStr">
        <is>
          <t xml:space="preserve">            return f"岛台展示视频: {name[:60]}"</t>
        </is>
      </c>
    </row>
    <row r="228">
      <c r="A228" s="7" t="n">
        <v>225</v>
      </c>
      <c r="B228" s="8" t="inlineStr">
        <is>
          <t xml:space="preserve">        return "，".join(parts) + "。"</t>
        </is>
      </c>
    </row>
    <row r="229">
      <c r="A229" s="9" t="n">
        <v>226</v>
      </c>
      <c r="B229" s="10" t="inlineStr"/>
    </row>
    <row r="230">
      <c r="A230" s="7" t="n">
        <v>227</v>
      </c>
      <c r="B230" s="8" t="inlineStr">
        <is>
          <t xml:space="preserve">    def encode_text(self, text: str) -&gt; Optional[List[float]]:</t>
        </is>
      </c>
    </row>
    <row r="231">
      <c r="A231" s="9" t="n">
        <v>228</v>
      </c>
      <c r="B231" s="10" t="inlineStr">
        <is>
          <t xml:space="preserve">        """编码文本为嵌入向量"""</t>
        </is>
      </c>
    </row>
    <row r="232">
      <c r="A232" s="7" t="n">
        <v>229</v>
      </c>
      <c r="B232" s="8" t="inlineStr">
        <is>
          <t xml:space="preserve">        if self.text_encoder and text.strip():</t>
        </is>
      </c>
    </row>
    <row r="233">
      <c r="A233" s="9" t="n">
        <v>230</v>
      </c>
      <c r="B233" s="10" t="inlineStr">
        <is>
          <t xml:space="preserve">            return self.text_encoder.encode(text).tolist()</t>
        </is>
      </c>
    </row>
    <row r="234">
      <c r="A234" s="7" t="n">
        <v>231</v>
      </c>
      <c r="B234" s="8" t="inlineStr">
        <is>
          <t xml:space="preserve">        return None</t>
        </is>
      </c>
    </row>
    <row r="235">
      <c r="A235" s="9" t="n">
        <v>232</v>
      </c>
      <c r="B235" s="10" t="inlineStr"/>
    </row>
    <row r="236">
      <c r="A236" s="7" t="n">
        <v>233</v>
      </c>
      <c r="B236" s="8" t="inlineStr">
        <is>
          <t xml:space="preserve">    def similarity(self, vec_a: List[float], vec_b: List[float]) -&gt; float:</t>
        </is>
      </c>
    </row>
    <row r="237">
      <c r="A237" s="9" t="n">
        <v>234</v>
      </c>
      <c r="B237" s="10" t="inlineStr">
        <is>
          <t xml:space="preserve">        """计算余弦相似度"""</t>
        </is>
      </c>
    </row>
    <row r="238">
      <c r="A238" s="7" t="n">
        <v>235</v>
      </c>
      <c r="B238" s="8" t="inlineStr">
        <is>
          <t xml:space="preserve">        import numpy as np</t>
        </is>
      </c>
    </row>
    <row r="239">
      <c r="A239" s="9" t="n">
        <v>236</v>
      </c>
      <c r="B239" s="10" t="inlineStr">
        <is>
          <t xml:space="preserve">        a, b = np.array(vec_a), np.array(vec_b)</t>
        </is>
      </c>
    </row>
    <row r="240">
      <c r="A240" s="7" t="n">
        <v>237</v>
      </c>
      <c r="B240" s="8" t="inlineStr">
        <is>
          <t xml:space="preserve">        return float(np.dot(a, b) / (np.linalg.norm(a) * np.linalg.norm(b) + 1e-8))</t>
        </is>
      </c>
    </row>
    <row r="241">
      <c r="A241" s="9" t="n">
        <v>238</v>
      </c>
      <c r="B241" s="10" t="inlineStr"/>
    </row>
    <row r="242">
      <c r="A242" s="7" t="n">
        <v>239</v>
      </c>
      <c r="B242" s="8" t="inlineStr"/>
    </row>
    <row r="243">
      <c r="A243" s="9" t="n">
        <v>240</v>
      </c>
      <c r="B243" s="10" t="inlineStr">
        <is>
          <t># 全局实例</t>
        </is>
      </c>
    </row>
    <row r="244">
      <c r="A244" s="7" t="n">
        <v>241</v>
      </c>
      <c r="B244" s="8" t="inlineStr">
        <is>
          <t>_embedder: Optional[MultimodalEmbedding] = None</t>
        </is>
      </c>
    </row>
    <row r="245">
      <c r="A245" s="9" t="n">
        <v>242</v>
      </c>
      <c r="B245" s="10" t="inlineStr"/>
    </row>
    <row r="246">
      <c r="A246" s="7" t="n">
        <v>243</v>
      </c>
      <c r="B246" s="8" t="inlineStr"/>
    </row>
    <row r="247">
      <c r="A247" s="9" t="n">
        <v>244</v>
      </c>
      <c r="B247" s="10" t="inlineStr">
        <is>
          <t>def get_embedder() -&gt; MultimodalEmbedding:</t>
        </is>
      </c>
    </row>
    <row r="248">
      <c r="A248" s="7" t="n">
        <v>245</v>
      </c>
      <c r="B248" s="8" t="inlineStr">
        <is>
          <t xml:space="preserve">    global _embedder</t>
        </is>
      </c>
    </row>
    <row r="249">
      <c r="A249" s="9" t="n">
        <v>246</v>
      </c>
      <c r="B249" s="10" t="inlineStr">
        <is>
          <t xml:space="preserve">    if _embedder is None:</t>
        </is>
      </c>
    </row>
    <row r="250">
      <c r="A250" s="7" t="n">
        <v>247</v>
      </c>
      <c r="B250" s="8" t="inlineStr">
        <is>
          <t xml:space="preserve">        _embedder = MultimodalEmbedding()</t>
        </is>
      </c>
    </row>
    <row r="251">
      <c r="A251" s="9" t="n">
        <v>248</v>
      </c>
      <c r="B251" s="10" t="inlineStr">
        <is>
          <t xml:space="preserve">    return _embedder</t>
        </is>
      </c>
    </row>
    <row r="252">
      <c r="A252" s="7" t="n">
        <v>249</v>
      </c>
      <c r="B252" s="8" t="inlineStr">
        <is>
          <t>'''</t>
        </is>
      </c>
    </row>
    <row r="253">
      <c r="A253" s="9" t="n">
        <v>250</v>
      </c>
      <c r="B253" s="10" t="inlineStr"/>
    </row>
    <row r="254">
      <c r="A254" s="7" t="n">
        <v>251</v>
      </c>
      <c r="B254" s="8" t="inlineStr">
        <is>
          <t>TOPIC_DISCOVERY_CODE = '''"""</t>
        </is>
      </c>
    </row>
    <row r="255">
      <c r="A255" s="9" t="n">
        <v>252</v>
      </c>
      <c r="B255" s="10" t="inlineStr">
        <is>
          <t>树剪 — 自动主题发现引擎 v10.4</t>
        </is>
      </c>
    </row>
    <row r="256">
      <c r="A256" s="7" t="n">
        <v>253</v>
      </c>
      <c r="B256" s="8" t="inlineStr">
        <is>
          <t>聚类素材密集字幕 → 发现热门主题 → 自动生成拍摄脚本</t>
        </is>
      </c>
    </row>
    <row r="257">
      <c r="A257" s="9" t="n">
        <v>254</v>
      </c>
      <c r="B257" s="10" t="inlineStr">
        <is>
          <t>"""</t>
        </is>
      </c>
    </row>
    <row r="258">
      <c r="A258" s="7" t="n">
        <v>255</v>
      </c>
      <c r="B258" s="8" t="inlineStr">
        <is>
          <t>import numpy as np</t>
        </is>
      </c>
    </row>
    <row r="259">
      <c r="A259" s="9" t="n">
        <v>256</v>
      </c>
      <c r="B259" s="10" t="inlineStr">
        <is>
          <t>from typing import List, Dict, Optional, Tuple</t>
        </is>
      </c>
    </row>
    <row r="260">
      <c r="A260" s="7" t="n">
        <v>257</v>
      </c>
      <c r="B260" s="8" t="inlineStr">
        <is>
          <t>from collections import Counter</t>
        </is>
      </c>
    </row>
    <row r="261">
      <c r="A261" s="9" t="n">
        <v>258</v>
      </c>
      <c r="B261" s="10" t="inlineStr"/>
    </row>
    <row r="262">
      <c r="A262" s="7" t="n">
        <v>259</v>
      </c>
      <c r="B262" s="8" t="inlineStr"/>
    </row>
    <row r="263">
      <c r="A263" s="9" t="n">
        <v>260</v>
      </c>
      <c r="B263" s="10" t="inlineStr">
        <is>
          <t>def discover_topics(embeddings: List[List[float]], labels: List[str] = None,</t>
        </is>
      </c>
    </row>
    <row r="264">
      <c r="A264" s="7" t="n">
        <v>261</v>
      </c>
      <c r="B264" s="8" t="inlineStr">
        <is>
          <t xml:space="preserve">                    top_k: int = 5) -&gt; List[Dict]:</t>
        </is>
      </c>
    </row>
    <row r="265">
      <c r="A265" s="9" t="n">
        <v>262</v>
      </c>
      <c r="B265" s="10" t="inlineStr">
        <is>
          <t xml:space="preserve">    """聚类嵌入向量 → 返回热门主题列表"""</t>
        </is>
      </c>
    </row>
    <row r="266">
      <c r="A266" s="7" t="n">
        <v>263</v>
      </c>
      <c r="B266" s="8" t="inlineStr">
        <is>
          <t xml:space="preserve">    if len(embeddings) &lt; 2:</t>
        </is>
      </c>
    </row>
    <row r="267">
      <c r="A267" s="9" t="n">
        <v>264</v>
      </c>
      <c r="B267" s="10" t="inlineStr">
        <is>
          <t xml:space="preserve">        return [{"topic": "默认主题", "keywords": ["岛台", "展示"],</t>
        </is>
      </c>
    </row>
    <row r="268">
      <c r="A268" s="7" t="n">
        <v>265</v>
      </c>
      <c r="B268" s="8" t="inlineStr">
        <is>
          <t xml:space="preserve">                 "score": 1.0, "count": max(1, len(embeddings))}]</t>
        </is>
      </c>
    </row>
    <row r="269">
      <c r="A269" s="9" t="n">
        <v>266</v>
      </c>
      <c r="B269" s="10" t="inlineStr"/>
    </row>
    <row r="270">
      <c r="A270" s="7" t="n">
        <v>267</v>
      </c>
      <c r="B270" s="8" t="inlineStr">
        <is>
          <t xml:space="preserve">    try:</t>
        </is>
      </c>
    </row>
    <row r="271">
      <c r="A271" s="9" t="n">
        <v>268</v>
      </c>
      <c r="B271" s="10" t="inlineStr">
        <is>
          <t xml:space="preserve">        from sklearn.cluster import KMeans</t>
        </is>
      </c>
    </row>
    <row r="272">
      <c r="A272" s="7" t="n">
        <v>269</v>
      </c>
      <c r="B272" s="8" t="inlineStr">
        <is>
          <t xml:space="preserve">    except ImportError:</t>
        </is>
      </c>
    </row>
    <row r="273">
      <c r="A273" s="9" t="n">
        <v>270</v>
      </c>
      <c r="B273" s="10" t="inlineStr">
        <is>
          <t xml:space="preserve">        return _fallback_topics(labels or [])</t>
        </is>
      </c>
    </row>
    <row r="274">
      <c r="A274" s="7" t="n">
        <v>271</v>
      </c>
      <c r="B274" s="8" t="inlineStr"/>
    </row>
    <row r="275">
      <c r="A275" s="9" t="n">
        <v>272</v>
      </c>
      <c r="B275" s="10" t="inlineStr">
        <is>
          <t xml:space="preserve">    X = np.array(embeddings, dtype=np.float32)</t>
        </is>
      </c>
    </row>
    <row r="276">
      <c r="A276" s="7" t="n">
        <v>273</v>
      </c>
      <c r="B276" s="8" t="inlineStr">
        <is>
          <t xml:space="preserve">    n_clusters = min(top_k, len(embeddings))</t>
        </is>
      </c>
    </row>
    <row r="277">
      <c r="A277" s="9" t="n">
        <v>274</v>
      </c>
      <c r="B277" s="10" t="inlineStr">
        <is>
          <t xml:space="preserve">    km = KMeans(n_clusters=n_clusters, random_state=42, n_init=10)</t>
        </is>
      </c>
    </row>
    <row r="278">
      <c r="A278" s="7" t="n">
        <v>275</v>
      </c>
      <c r="B278" s="8" t="inlineStr">
        <is>
          <t xml:space="preserve">    km.fit(X)</t>
        </is>
      </c>
    </row>
    <row r="279">
      <c r="A279" s="9" t="n">
        <v>276</v>
      </c>
      <c r="B279" s="10" t="inlineStr"/>
    </row>
    <row r="280">
      <c r="A280" s="7" t="n">
        <v>277</v>
      </c>
      <c r="B280" s="8" t="inlineStr">
        <is>
          <t xml:space="preserve">    topics = []</t>
        </is>
      </c>
    </row>
    <row r="281">
      <c r="A281" s="9" t="n">
        <v>278</v>
      </c>
      <c r="B281" s="10" t="inlineStr">
        <is>
          <t xml:space="preserve">    for i in range(n_clusters):</t>
        </is>
      </c>
    </row>
    <row r="282">
      <c r="A282" s="7" t="n">
        <v>279</v>
      </c>
      <c r="B282" s="8" t="inlineStr">
        <is>
          <t xml:space="preserve">        mask = km.labels_ == i</t>
        </is>
      </c>
    </row>
    <row r="283">
      <c r="A283" s="9" t="n">
        <v>280</v>
      </c>
      <c r="B283" s="10" t="inlineStr">
        <is>
          <t xml:space="preserve">        count = int(np.sum(mask))</t>
        </is>
      </c>
    </row>
    <row r="284">
      <c r="A284" s="7" t="n">
        <v>281</v>
      </c>
      <c r="B284" s="8" t="inlineStr">
        <is>
          <t xml:space="preserve">        center = km.cluster_centers_[i].tolist()</t>
        </is>
      </c>
    </row>
    <row r="285">
      <c r="A285" s="9" t="n">
        <v>282</v>
      </c>
      <c r="B285" s="10" t="inlineStr"/>
    </row>
    <row r="286">
      <c r="A286" s="7" t="n">
        <v>283</v>
      </c>
      <c r="B286" s="8" t="inlineStr">
        <is>
          <t xml:space="preserve">        # 从该簇的标签中提取关键词</t>
        </is>
      </c>
    </row>
    <row r="287">
      <c r="A287" s="9" t="n">
        <v>284</v>
      </c>
      <c r="B287" s="10" t="inlineStr">
        <is>
          <t xml:space="preserve">        cluster_labels = []</t>
        </is>
      </c>
    </row>
    <row r="288">
      <c r="A288" s="7" t="n">
        <v>285</v>
      </c>
      <c r="B288" s="8" t="inlineStr">
        <is>
          <t xml:space="preserve">        if labels:</t>
        </is>
      </c>
    </row>
    <row r="289">
      <c r="A289" s="9" t="n">
        <v>286</v>
      </c>
      <c r="B289" s="10" t="inlineStr">
        <is>
          <t xml:space="preserve">            for j, lbl in enumerate(labels):</t>
        </is>
      </c>
    </row>
    <row r="290">
      <c r="A290" s="7" t="n">
        <v>287</v>
      </c>
      <c r="B290" s="8" t="inlineStr">
        <is>
          <t xml:space="preserve">                if mask[j]:</t>
        </is>
      </c>
    </row>
    <row r="291">
      <c r="A291" s="9" t="n">
        <v>288</v>
      </c>
      <c r="B291" s="10" t="inlineStr">
        <is>
          <t xml:space="preserve">                    cluster_labels.append(lbl)</t>
        </is>
      </c>
    </row>
    <row r="292">
      <c r="A292" s="7" t="n">
        <v>289</v>
      </c>
      <c r="B292" s="8" t="inlineStr"/>
    </row>
    <row r="293">
      <c r="A293" s="9" t="n">
        <v>290</v>
      </c>
      <c r="B293" s="10" t="inlineStr">
        <is>
          <t xml:space="preserve">        # 提取代表性关键词</t>
        </is>
      </c>
    </row>
    <row r="294">
      <c r="A294" s="7" t="n">
        <v>291</v>
      </c>
      <c r="B294" s="8" t="inlineStr">
        <is>
          <t xml:space="preserve">        if cluster_labels:</t>
        </is>
      </c>
    </row>
    <row r="295">
      <c r="A295" s="9" t="n">
        <v>292</v>
      </c>
      <c r="B295" s="10" t="inlineStr">
        <is>
          <t xml:space="preserve">            words = " ".join(cluster_labels).replace(",", " ").split()</t>
        </is>
      </c>
    </row>
    <row r="296">
      <c r="A296" s="7" t="n">
        <v>293</v>
      </c>
      <c r="B296" s="8" t="inlineStr">
        <is>
          <t xml:space="preserve">            word_counts = Counter(w for w in words if len(w) &gt;= 2)</t>
        </is>
      </c>
    </row>
    <row r="297">
      <c r="A297" s="9" t="n">
        <v>294</v>
      </c>
      <c r="B297" s="10" t="inlineStr">
        <is>
          <t xml:space="preserve">            keywords = [w for w, _ in word_counts.most_common(8)]</t>
        </is>
      </c>
    </row>
    <row r="298">
      <c r="A298" s="7" t="n">
        <v>295</v>
      </c>
      <c r="B298" s="8" t="inlineStr">
        <is>
          <t xml:space="preserve">        else:</t>
        </is>
      </c>
    </row>
    <row r="299">
      <c r="A299" s="9" t="n">
        <v>296</v>
      </c>
      <c r="B299" s="10" t="inlineStr">
        <is>
          <t xml:space="preserve">            keywords = ["岛台素材", f"主题{i+1}"]</t>
        </is>
      </c>
    </row>
    <row r="300">
      <c r="A300" s="7" t="n">
        <v>297</v>
      </c>
      <c r="B300" s="8" t="inlineStr"/>
    </row>
    <row r="301">
      <c r="A301" s="9" t="n">
        <v>298</v>
      </c>
      <c r="B301" s="10" t="inlineStr">
        <is>
          <t xml:space="preserve">        topic_name = keywords[0] if keywords else f"主题{i+1}"</t>
        </is>
      </c>
    </row>
    <row r="302">
      <c r="A302" s="7" t="n">
        <v>299</v>
      </c>
      <c r="B302" s="8" t="inlineStr"/>
    </row>
    <row r="303">
      <c r="A303" s="9" t="n">
        <v>300</v>
      </c>
      <c r="B303" s="10" t="inlineStr">
        <is>
          <t xml:space="preserve">        topics.append({</t>
        </is>
      </c>
    </row>
    <row r="304">
      <c r="A304" s="7" t="n">
        <v>301</v>
      </c>
      <c r="B304" s="8" t="inlineStr">
        <is>
          <t xml:space="preserve">            "topic": topic_name,</t>
        </is>
      </c>
    </row>
    <row r="305">
      <c r="A305" s="9" t="n">
        <v>302</v>
      </c>
      <c r="B305" s="10" t="inlineStr">
        <is>
          <t xml:space="preserve">            "keywords": keywords[:8],</t>
        </is>
      </c>
    </row>
    <row r="306">
      <c r="A306" s="7" t="n">
        <v>303</v>
      </c>
      <c r="B306" s="8" t="inlineStr">
        <is>
          <t xml:space="preserve">            "score": round(count / len(embeddings), 3),</t>
        </is>
      </c>
    </row>
    <row r="307">
      <c r="A307" s="9" t="n">
        <v>304</v>
      </c>
      <c r="B307" s="10" t="inlineStr">
        <is>
          <t xml:space="preserve">            "count": count,</t>
        </is>
      </c>
    </row>
    <row r="308">
      <c r="A308" s="7" t="n">
        <v>305</v>
      </c>
      <c r="B308" s="8" t="inlineStr">
        <is>
          <t xml:space="preserve">            "center": center</t>
        </is>
      </c>
    </row>
    <row r="309">
      <c r="A309" s="9" t="n">
        <v>306</v>
      </c>
      <c r="B309" s="10" t="inlineStr">
        <is>
          <t xml:space="preserve">        })</t>
        </is>
      </c>
    </row>
    <row r="310">
      <c r="A310" s="7" t="n">
        <v>307</v>
      </c>
      <c r="B310" s="8" t="inlineStr"/>
    </row>
    <row r="311">
      <c r="A311" s="9" t="n">
        <v>308</v>
      </c>
      <c r="B311" s="10" t="inlineStr">
        <is>
          <t xml:space="preserve">    topics.sort(key=lambda t: -t["count"])</t>
        </is>
      </c>
    </row>
    <row r="312">
      <c r="A312" s="7" t="n">
        <v>309</v>
      </c>
      <c r="B312" s="8" t="inlineStr">
        <is>
          <t xml:space="preserve">    return topics</t>
        </is>
      </c>
    </row>
    <row r="313">
      <c r="A313" s="9" t="n">
        <v>310</v>
      </c>
      <c r="B313" s="10" t="inlineStr"/>
    </row>
    <row r="314">
      <c r="A314" s="7" t="n">
        <v>311</v>
      </c>
      <c r="B314" s="8" t="inlineStr"/>
    </row>
    <row r="315">
      <c r="A315" s="9" t="n">
        <v>312</v>
      </c>
      <c r="B315" s="10" t="inlineStr">
        <is>
          <t>def _fallback_topics(labels: List[str]) -&gt; List[Dict]:</t>
        </is>
      </c>
    </row>
    <row r="316">
      <c r="A316" s="7" t="n">
        <v>313</v>
      </c>
      <c r="B316" s="8" t="inlineStr">
        <is>
          <t xml:space="preserve">    """无 sklearn 时的降级方案 — 基于标签频率"""</t>
        </is>
      </c>
    </row>
    <row r="317">
      <c r="A317" s="9" t="n">
        <v>314</v>
      </c>
      <c r="B317" s="10" t="inlineStr">
        <is>
          <t xml:space="preserve">    if not labels:</t>
        </is>
      </c>
    </row>
    <row r="318">
      <c r="A318" s="7" t="n">
        <v>315</v>
      </c>
      <c r="B318" s="8" t="inlineStr">
        <is>
          <t xml:space="preserve">        return [{"topic": "岛台展示", "keywords": ["岛台", "展示", "设计"],</t>
        </is>
      </c>
    </row>
    <row r="319">
      <c r="A319" s="9" t="n">
        <v>316</v>
      </c>
      <c r="B319" s="10" t="inlineStr">
        <is>
          <t xml:space="preserve">                 "score": 1.0, "count": 1}]</t>
        </is>
      </c>
    </row>
    <row r="320">
      <c r="A320" s="7" t="n">
        <v>317</v>
      </c>
      <c r="B320" s="8" t="inlineStr">
        <is>
          <t xml:space="preserve">    all_words = " ".join(labels).replace(",", " ").split()</t>
        </is>
      </c>
    </row>
    <row r="321">
      <c r="A321" s="9" t="n">
        <v>318</v>
      </c>
      <c r="B321" s="10" t="inlineStr">
        <is>
          <t xml:space="preserve">    word_counts = Counter(w for w in all_words if len(w) &gt;= 2)</t>
        </is>
      </c>
    </row>
    <row r="322">
      <c r="A322" s="7" t="n">
        <v>319</v>
      </c>
      <c r="B322" s="8" t="inlineStr">
        <is>
          <t xml:space="preserve">    top_words = [w for w, _ in word_counts.most_common(10)]</t>
        </is>
      </c>
    </row>
    <row r="323">
      <c r="A323" s="9" t="n">
        <v>320</v>
      </c>
      <c r="B323" s="10" t="inlineStr">
        <is>
          <t xml:space="preserve">    return [{"topic": "热门主题", "keywords": top_words[:8],</t>
        </is>
      </c>
    </row>
    <row r="324">
      <c r="A324" s="7" t="n">
        <v>321</v>
      </c>
      <c r="B324" s="8" t="inlineStr">
        <is>
          <t xml:space="preserve">             "score": 1.0, "count": len(labels)}]</t>
        </is>
      </c>
    </row>
    <row r="325">
      <c r="A325" s="9" t="n">
        <v>322</v>
      </c>
      <c r="B325" s="10" t="inlineStr"/>
    </row>
    <row r="326">
      <c r="A326" s="7" t="n">
        <v>323</v>
      </c>
      <c r="B326" s="8" t="inlineStr"/>
    </row>
    <row r="327">
      <c r="A327" s="9" t="n">
        <v>324</v>
      </c>
      <c r="B327" s="10" t="inlineStr">
        <is>
          <t>def generate_script_from_topic(topic: Dict) -&gt; str:</t>
        </is>
      </c>
    </row>
    <row r="328">
      <c r="A328" s="7" t="n">
        <v>325</v>
      </c>
      <c r="B328" s="8" t="inlineStr">
        <is>
          <t xml:space="preserve">    """根据发现的主题自动生成口播脚本"""</t>
        </is>
      </c>
    </row>
    <row r="329">
      <c r="A329" s="9" t="n">
        <v>326</v>
      </c>
      <c r="B329" s="10" t="inlineStr">
        <is>
          <t xml:space="preserve">    from core.copywriter import generate_copy, generate_fallback_copy</t>
        </is>
      </c>
    </row>
    <row r="330">
      <c r="A330" s="7" t="n">
        <v>327</v>
      </c>
      <c r="B330" s="8" t="inlineStr">
        <is>
          <t xml:space="preserve">    try:</t>
        </is>
      </c>
    </row>
    <row r="331">
      <c r="A331" s="9" t="n">
        <v>328</v>
      </c>
      <c r="B331" s="10" t="inlineStr">
        <is>
          <t xml:space="preserve">        keyword = " ".join(topic.get("keywords", ["岛台"])[:3])</t>
        </is>
      </c>
    </row>
    <row r="332">
      <c r="A332" s="7" t="n">
        <v>329</v>
      </c>
      <c r="B332" s="8" t="inlineStr">
        <is>
          <t xml:space="preserve">        return generate_copy(keyword, 6, 28.0)</t>
        </is>
      </c>
    </row>
    <row r="333">
      <c r="A333" s="9" t="n">
        <v>330</v>
      </c>
      <c r="B333" s="10" t="inlineStr">
        <is>
          <t xml:space="preserve">    except Exception:</t>
        </is>
      </c>
    </row>
    <row r="334">
      <c r="A334" s="7" t="n">
        <v>331</v>
      </c>
      <c r="B334" s="8" t="inlineStr">
        <is>
          <t xml:space="preserve">        return generate_fallback_copy(topic.get("topic", "岛台展示"))</t>
        </is>
      </c>
    </row>
    <row r="335">
      <c r="A335" s="9" t="n">
        <v>332</v>
      </c>
      <c r="B335" s="10" t="inlineStr">
        <is>
          <t>'''</t>
        </is>
      </c>
    </row>
    <row r="336">
      <c r="A336" s="7" t="n">
        <v>333</v>
      </c>
      <c r="B336" s="8" t="inlineStr"/>
    </row>
    <row r="337">
      <c r="A337" s="9" t="n">
        <v>334</v>
      </c>
      <c r="B337" s="10" t="inlineStr">
        <is>
          <t>BGM_MATCHER_CODE = '''"""</t>
        </is>
      </c>
    </row>
    <row r="338">
      <c r="A338" s="7" t="n">
        <v>335</v>
      </c>
      <c r="B338" s="8" t="inlineStr">
        <is>
          <t>树剪 — BGM 智能匹配引擎 v10.4</t>
        </is>
      </c>
    </row>
    <row r="339">
      <c r="A339" s="9" t="n">
        <v>336</v>
      </c>
      <c r="B339" s="10" t="inlineStr">
        <is>
          <t>根据视频情绪标签自动选择最匹配的背景音乐</t>
        </is>
      </c>
    </row>
    <row r="340">
      <c r="A340" s="7" t="n">
        <v>337</v>
      </c>
      <c r="B340" s="8" t="inlineStr">
        <is>
          <t>"""</t>
        </is>
      </c>
    </row>
    <row r="341">
      <c r="A341" s="9" t="n">
        <v>338</v>
      </c>
      <c r="B341" s="10" t="inlineStr">
        <is>
          <t>import random</t>
        </is>
      </c>
    </row>
    <row r="342">
      <c r="A342" s="7" t="n">
        <v>339</v>
      </c>
      <c r="B342" s="8" t="inlineStr">
        <is>
          <t>from pathlib import Path</t>
        </is>
      </c>
    </row>
    <row r="343">
      <c r="A343" s="9" t="n">
        <v>340</v>
      </c>
      <c r="B343" s="10" t="inlineStr">
        <is>
          <t>from typing import List, Dict, Optional</t>
        </is>
      </c>
    </row>
    <row r="344">
      <c r="A344" s="7" t="n">
        <v>341</v>
      </c>
      <c r="B344" s="8" t="inlineStr"/>
    </row>
    <row r="345">
      <c r="A345" s="9" t="n">
        <v>342</v>
      </c>
      <c r="B345" s="10" t="inlineStr">
        <is>
          <t># BGM 情感标签库</t>
        </is>
      </c>
    </row>
    <row r="346">
      <c r="A346" s="7" t="n">
        <v>343</v>
      </c>
      <c r="B346" s="8" t="inlineStr">
        <is>
          <t>BGM_EMOTION_MAP = {</t>
        </is>
      </c>
    </row>
    <row r="347">
      <c r="A347" s="9" t="n">
        <v>344</v>
      </c>
      <c r="B347" s="10" t="inlineStr">
        <is>
          <t xml:space="preserve">    # 卖点展示 → 快节奏/激励</t>
        </is>
      </c>
    </row>
    <row r="348">
      <c r="A348" s="7" t="n">
        <v>345</v>
      </c>
      <c r="B348" s="8" t="inlineStr">
        <is>
          <t xml:space="preserve">    "卖点展示": ["upbeat", "motivational", "corporate"],</t>
        </is>
      </c>
    </row>
    <row r="349">
      <c r="A349" s="9" t="n">
        <v>346</v>
      </c>
      <c r="B349" s="10" t="inlineStr">
        <is>
          <t xml:space="preserve">    # 效果展示 → 轻松/氛围</t>
        </is>
      </c>
    </row>
    <row r="350">
      <c r="A350" s="7" t="n">
        <v>347</v>
      </c>
      <c r="B350" s="8" t="inlineStr">
        <is>
          <t xml:space="preserve">    "效果展示": ["chill", "ambient", "corporate"],</t>
        </is>
      </c>
    </row>
    <row r="351">
      <c r="A351" s="9" t="n">
        <v>348</v>
      </c>
      <c r="B351" s="10" t="inlineStr">
        <is>
          <t xml:space="preserve">    # 工厂实力 → 电影感/激励</t>
        </is>
      </c>
    </row>
    <row r="352">
      <c r="A352" s="7" t="n">
        <v>349</v>
      </c>
      <c r="B352" s="8" t="inlineStr">
        <is>
          <t xml:space="preserve">    "工厂实力": ["cinematic", "motivational", "corporate"],</t>
        </is>
      </c>
    </row>
    <row r="353">
      <c r="A353" s="9" t="n">
        <v>350</v>
      </c>
      <c r="B353" s="10" t="inlineStr">
        <is>
          <t xml:space="preserve">    # 默认</t>
        </is>
      </c>
    </row>
    <row r="354">
      <c r="A354" s="7" t="n">
        <v>351</v>
      </c>
      <c r="B354" s="8" t="inlineStr">
        <is>
          <t xml:space="preserve">    "通用": ["ambient", "chill", "upbeat"],</t>
        </is>
      </c>
    </row>
    <row r="355">
      <c r="A355" s="9" t="n">
        <v>352</v>
      </c>
      <c r="B355" s="10" t="inlineStr">
        <is>
          <t>}</t>
        </is>
      </c>
    </row>
    <row r="356">
      <c r="A356" s="7" t="n">
        <v>353</v>
      </c>
      <c r="B356" s="8" t="inlineStr"/>
    </row>
    <row r="357">
      <c r="A357" s="9" t="n">
        <v>354</v>
      </c>
      <c r="B357" s="10" t="inlineStr">
        <is>
          <t># 视频情绪 → BGM风格映射</t>
        </is>
      </c>
    </row>
    <row r="358">
      <c r="A358" s="7" t="n">
        <v>355</v>
      </c>
      <c r="B358" s="8" t="inlineStr">
        <is>
          <t>EMOTION_TO_BGM = {</t>
        </is>
      </c>
    </row>
    <row r="359">
      <c r="A359" s="9" t="n">
        <v>356</v>
      </c>
      <c r="B359" s="10" t="inlineStr">
        <is>
          <t xml:space="preserve">    "positive": "upbeat",</t>
        </is>
      </c>
    </row>
    <row r="360">
      <c r="A360" s="7" t="n">
        <v>357</v>
      </c>
      <c r="B360" s="8" t="inlineStr">
        <is>
          <t xml:space="preserve">    "neutral": "ambient",</t>
        </is>
      </c>
    </row>
    <row r="361">
      <c r="A361" s="9" t="n">
        <v>358</v>
      </c>
      <c r="B361" s="10" t="inlineStr">
        <is>
          <t xml:space="preserve">    "calm": "chill",</t>
        </is>
      </c>
    </row>
    <row r="362">
      <c r="A362" s="7" t="n">
        <v>359</v>
      </c>
      <c r="B362" s="8" t="inlineStr">
        <is>
          <t xml:space="preserve">    "exciting": "motivational",</t>
        </is>
      </c>
    </row>
    <row r="363">
      <c r="A363" s="9" t="n">
        <v>360</v>
      </c>
      <c r="B363" s="10" t="inlineStr">
        <is>
          <t xml:space="preserve">    "professional": "corporate",</t>
        </is>
      </c>
    </row>
    <row r="364">
      <c r="A364" s="7" t="n">
        <v>361</v>
      </c>
      <c r="B364" s="8" t="inlineStr">
        <is>
          <t>}</t>
        </is>
      </c>
    </row>
    <row r="365">
      <c r="A365" s="9" t="n">
        <v>362</v>
      </c>
      <c r="B365" s="10" t="inlineStr"/>
    </row>
    <row r="366">
      <c r="A366" s="7" t="n">
        <v>363</v>
      </c>
      <c r="B366" s="8" t="inlineStr"/>
    </row>
    <row r="367">
      <c r="A367" s="9" t="n">
        <v>364</v>
      </c>
      <c r="B367" s="10" t="inlineStr">
        <is>
          <t>def detect_emotion_from_tags(vision_tags: dict, audio_tags: dict = None) -&gt; str:</t>
        </is>
      </c>
    </row>
    <row r="368">
      <c r="A368" s="7" t="n">
        <v>365</v>
      </c>
      <c r="B368" s="8" t="inlineStr">
        <is>
          <t xml:space="preserve">    """从视觉和音频标签推断视频情绪"""</t>
        </is>
      </c>
    </row>
    <row r="369">
      <c r="A369" s="9" t="n">
        <v>366</v>
      </c>
      <c r="B369" s="10" t="inlineStr">
        <is>
          <t xml:space="preserve">    # 简化的情绪推断规则</t>
        </is>
      </c>
    </row>
    <row r="370">
      <c r="A370" s="7" t="n">
        <v>367</v>
      </c>
      <c r="B370" s="8" t="inlineStr">
        <is>
          <t xml:space="preserve">    style = vision_tags.get("style", "")</t>
        </is>
      </c>
    </row>
    <row r="371">
      <c r="A371" s="9" t="n">
        <v>368</v>
      </c>
      <c r="B371" s="10" t="inlineStr">
        <is>
          <t xml:space="preserve">    objects = vision_tags.get("objects", [])</t>
        </is>
      </c>
    </row>
    <row r="372">
      <c r="A372" s="7" t="n">
        <v>369</v>
      </c>
      <c r="B372" s="8" t="inlineStr"/>
    </row>
    <row r="373">
      <c r="A373" s="9" t="n">
        <v>370</v>
      </c>
      <c r="B373" s="10" t="inlineStr">
        <is>
          <t xml:space="preserve">    # 工厂/工艺类场景 → 专业</t>
        </is>
      </c>
    </row>
    <row r="374">
      <c r="A374" s="7" t="n">
        <v>371</v>
      </c>
      <c r="B374" s="8" t="inlineStr">
        <is>
          <t xml:space="preserve">    if any(kw in str(vision_tags) for kw in ["工厂", "钢构", "工艺", "折边", "物流"]):</t>
        </is>
      </c>
    </row>
    <row r="375">
      <c r="A375" s="9" t="n">
        <v>372</v>
      </c>
      <c r="B375" s="10" t="inlineStr">
        <is>
          <t xml:space="preserve">        return "professional"</t>
        </is>
      </c>
    </row>
    <row r="376">
      <c r="A376" s="7" t="n">
        <v>373</v>
      </c>
      <c r="B376" s="8" t="inlineStr"/>
    </row>
    <row r="377">
      <c r="A377" s="9" t="n">
        <v>374</v>
      </c>
      <c r="B377" s="10" t="inlineStr">
        <is>
          <t xml:space="preserve">    # 明亮色彩 → 积极</t>
        </is>
      </c>
    </row>
    <row r="378">
      <c r="A378" s="7" t="n">
        <v>375</v>
      </c>
      <c r="B378" s="8" t="inlineStr">
        <is>
          <t xml:space="preserve">    colors = vision_tags.get("colors", [])</t>
        </is>
      </c>
    </row>
    <row r="379">
      <c r="A379" s="9" t="n">
        <v>376</v>
      </c>
      <c r="B379" s="10" t="inlineStr">
        <is>
          <t xml:space="preserve">    if any(c in str(colors) for c in ["白色", "奶油", "奶白", "暖"]):</t>
        </is>
      </c>
    </row>
    <row r="380">
      <c r="A380" s="7" t="n">
        <v>377</v>
      </c>
      <c r="B380" s="8" t="inlineStr">
        <is>
          <t xml:space="preserve">        return "calm"</t>
        </is>
      </c>
    </row>
    <row r="381">
      <c r="A381" s="9" t="n">
        <v>378</v>
      </c>
      <c r="B381" s="10" t="inlineStr"/>
    </row>
    <row r="382">
      <c r="A382" s="7" t="n">
        <v>379</v>
      </c>
      <c r="B382" s="8" t="inlineStr">
        <is>
          <t xml:space="preserve">    # 有音频情绪 → 使用音频情绪</t>
        </is>
      </c>
    </row>
    <row r="383">
      <c r="A383" s="9" t="n">
        <v>380</v>
      </c>
      <c r="B383" s="10" t="inlineStr">
        <is>
          <t xml:space="preserve">    if audio_tags and audio_tags.get("emotion"):</t>
        </is>
      </c>
    </row>
    <row r="384">
      <c r="A384" s="7" t="n">
        <v>381</v>
      </c>
      <c r="B384" s="8" t="inlineStr">
        <is>
          <t xml:space="preserve">        return audio_tags["emotion"]</t>
        </is>
      </c>
    </row>
    <row r="385">
      <c r="A385" s="9" t="n">
        <v>382</v>
      </c>
      <c r="B385" s="10" t="inlineStr"/>
    </row>
    <row r="386">
      <c r="A386" s="7" t="n">
        <v>383</v>
      </c>
      <c r="B386" s="8" t="inlineStr">
        <is>
          <t xml:space="preserve">    return "neutral"</t>
        </is>
      </c>
    </row>
    <row r="387">
      <c r="A387" s="9" t="n">
        <v>384</v>
      </c>
      <c r="B387" s="10" t="inlineStr"/>
    </row>
    <row r="388">
      <c r="A388" s="7" t="n">
        <v>385</v>
      </c>
      <c r="B388" s="8" t="inlineStr"/>
    </row>
    <row r="389">
      <c r="A389" s="9" t="n">
        <v>386</v>
      </c>
      <c r="B389" s="10" t="inlineStr">
        <is>
          <t>def match_bgm(emotion: str, bgm_library: List[Path],</t>
        </is>
      </c>
    </row>
    <row r="390">
      <c r="A390" s="7" t="n">
        <v>387</v>
      </c>
      <c r="B390" s="8" t="inlineStr">
        <is>
          <t xml:space="preserve">              theme: str = "通用") -&gt; Optional[Path]:</t>
        </is>
      </c>
    </row>
    <row r="391">
      <c r="A391" s="9" t="n">
        <v>388</v>
      </c>
      <c r="B391" s="10" t="inlineStr">
        <is>
          <t xml:space="preserve">    """根据情绪和主题匹配最佳BGM"""</t>
        </is>
      </c>
    </row>
    <row r="392">
      <c r="A392" s="7" t="n">
        <v>389</v>
      </c>
      <c r="B392" s="8" t="inlineStr">
        <is>
          <t xml:space="preserve">    if not bgm_library:</t>
        </is>
      </c>
    </row>
    <row r="393">
      <c r="A393" s="9" t="n">
        <v>390</v>
      </c>
      <c r="B393" s="10" t="inlineStr">
        <is>
          <t xml:space="preserve">        return None</t>
        </is>
      </c>
    </row>
    <row r="394">
      <c r="A394" s="7" t="n">
        <v>391</v>
      </c>
      <c r="B394" s="8" t="inlineStr"/>
    </row>
    <row r="395">
      <c r="A395" s="9" t="n">
        <v>392</v>
      </c>
      <c r="B395" s="10" t="inlineStr">
        <is>
          <t xml:space="preserve">    # 获取主题对应的BGM风格</t>
        </is>
      </c>
    </row>
    <row r="396">
      <c r="A396" s="7" t="n">
        <v>393</v>
      </c>
      <c r="B396" s="8" t="inlineStr">
        <is>
          <t xml:space="preserve">    target_styles = BGM_EMOTION_MAP.get(theme, BGM_EMOTION_MAP["通用"])</t>
        </is>
      </c>
    </row>
    <row r="397">
      <c r="A397" s="9" t="n">
        <v>394</v>
      </c>
      <c r="B397" s="10" t="inlineStr">
        <is>
          <t xml:space="preserve">    if emotion in EMOTION_TO_BGM:</t>
        </is>
      </c>
    </row>
    <row r="398">
      <c r="A398" s="7" t="n">
        <v>395</v>
      </c>
      <c r="B398" s="8" t="inlineStr">
        <is>
          <t xml:space="preserve">        target_styles = [EMOTION_TO_BGM[emotion]] + \</t>
        </is>
      </c>
    </row>
    <row r="399">
      <c r="A399" s="9" t="n">
        <v>396</v>
      </c>
      <c r="B399" s="10" t="inlineStr">
        <is>
          <t xml:space="preserve">                        [s for s in target_styles if s != EMOTION_TO_BGM[emotion]]</t>
        </is>
      </c>
    </row>
    <row r="400">
      <c r="A400" s="7" t="n">
        <v>397</v>
      </c>
      <c r="B400" s="8" t="inlineStr"/>
    </row>
    <row r="401">
      <c r="A401" s="9" t="n">
        <v>398</v>
      </c>
      <c r="B401" s="10" t="inlineStr">
        <is>
          <t xml:space="preserve">    # 按文件名匹配风格</t>
        </is>
      </c>
    </row>
    <row r="402">
      <c r="A402" s="7" t="n">
        <v>399</v>
      </c>
      <c r="B402" s="8" t="inlineStr">
        <is>
          <t xml:space="preserve">    scored = []</t>
        </is>
      </c>
    </row>
    <row r="403">
      <c r="A403" s="9" t="n">
        <v>400</v>
      </c>
      <c r="B403" s="10" t="inlineStr">
        <is>
          <t xml:space="preserve">    for bgm_path in bgm_library:</t>
        </is>
      </c>
    </row>
    <row r="404">
      <c r="A404" s="7" t="n">
        <v>401</v>
      </c>
      <c r="B404" s="8" t="inlineStr">
        <is>
          <t xml:space="preserve">        name_lower = bgm_path.stem.lower()</t>
        </is>
      </c>
    </row>
    <row r="405">
      <c r="A405" s="9" t="n">
        <v>402</v>
      </c>
      <c r="B405" s="10" t="inlineStr">
        <is>
          <t xml:space="preserve">        for i, style in enumerate(target_styles):</t>
        </is>
      </c>
    </row>
    <row r="406">
      <c r="A406" s="7" t="n">
        <v>403</v>
      </c>
      <c r="B406" s="8" t="inlineStr">
        <is>
          <t xml:space="preserve">            if style in name_lower:</t>
        </is>
      </c>
    </row>
    <row r="407">
      <c r="A407" s="9" t="n">
        <v>404</v>
      </c>
      <c r="B407" s="10" t="inlineStr">
        <is>
          <t xml:space="preserve">                scored.append((bgm_path, len(target_styles) - i))</t>
        </is>
      </c>
    </row>
    <row r="408">
      <c r="A408" s="7" t="n">
        <v>405</v>
      </c>
      <c r="B408" s="8" t="inlineStr">
        <is>
          <t xml:space="preserve">                break</t>
        </is>
      </c>
    </row>
    <row r="409">
      <c r="A409" s="9" t="n">
        <v>406</v>
      </c>
      <c r="B409" s="10" t="inlineStr">
        <is>
          <t xml:space="preserve">        if not any(s in name_lower for s in target_styles):</t>
        </is>
      </c>
    </row>
    <row r="410">
      <c r="A410" s="7" t="n">
        <v>407</v>
      </c>
      <c r="B410" s="8" t="inlineStr">
        <is>
          <t xml:space="preserve">            scored.append((bgm_path, 0))</t>
        </is>
      </c>
    </row>
    <row r="411">
      <c r="A411" s="9" t="n">
        <v>408</v>
      </c>
      <c r="B411" s="10" t="inlineStr"/>
    </row>
    <row r="412">
      <c r="A412" s="7" t="n">
        <v>409</v>
      </c>
      <c r="B412" s="8" t="inlineStr">
        <is>
          <t xml:space="preserve">    scored.sort(key=lambda x: -x[1])</t>
        </is>
      </c>
    </row>
    <row r="413">
      <c r="A413" s="9" t="n">
        <v>410</v>
      </c>
      <c r="B413" s="10" t="inlineStr">
        <is>
          <t xml:space="preserve">    if scored and scored[0][1] &gt; 0:</t>
        </is>
      </c>
    </row>
    <row r="414">
      <c r="A414" s="7" t="n">
        <v>411</v>
      </c>
      <c r="B414" s="8" t="inlineStr">
        <is>
          <t xml:space="preserve">        return scored[0][0]</t>
        </is>
      </c>
    </row>
    <row r="415">
      <c r="A415" s="9" t="n">
        <v>412</v>
      </c>
      <c r="B415" s="10" t="inlineStr">
        <is>
          <t xml:space="preserve">    # 降级：随机选一个</t>
        </is>
      </c>
    </row>
    <row r="416">
      <c r="A416" s="7" t="n">
        <v>413</v>
      </c>
      <c r="B416" s="8" t="inlineStr">
        <is>
          <t xml:space="preserve">    return random.choice(bgm_library) if bgm_library else None</t>
        </is>
      </c>
    </row>
    <row r="417">
      <c r="A417" s="9" t="n">
        <v>414</v>
      </c>
      <c r="B417" s="10" t="inlineStr"/>
    </row>
    <row r="418">
      <c r="A418" s="7" t="n">
        <v>415</v>
      </c>
      <c r="B418" s="8" t="inlineStr"/>
    </row>
    <row r="419">
      <c r="A419" s="9" t="n">
        <v>416</v>
      </c>
      <c r="B419" s="10" t="inlineStr">
        <is>
          <t>def match_bgm_smart(video_emotion: str, bgm_library: List[Path],</t>
        </is>
      </c>
    </row>
    <row r="420">
      <c r="A420" s="7" t="n">
        <v>417</v>
      </c>
      <c r="B420" s="8" t="inlineStr">
        <is>
          <t xml:space="preserve">                    theme: str = "通用") -&gt; Optional[Path]:</t>
        </is>
      </c>
    </row>
    <row r="421">
      <c r="A421" s="9" t="n">
        <v>418</v>
      </c>
      <c r="B421" s="10" t="inlineStr">
        <is>
          <t xml:space="preserve">    """智能BGM匹配（主入口）"""</t>
        </is>
      </c>
    </row>
    <row r="422">
      <c r="A422" s="7" t="n">
        <v>419</v>
      </c>
      <c r="B422" s="8" t="inlineStr">
        <is>
          <t xml:space="preserve">    return match_bgm(video_emotion, bgm_library, theme)</t>
        </is>
      </c>
    </row>
    <row r="423">
      <c r="A423" s="9" t="n">
        <v>420</v>
      </c>
      <c r="B423" s="10" t="inlineStr">
        <is>
          <t>'''</t>
        </is>
      </c>
    </row>
    <row r="424">
      <c r="A424" s="7" t="n">
        <v>421</v>
      </c>
      <c r="B424" s="8" t="inlineStr"/>
    </row>
    <row r="425">
      <c r="A425" s="9" t="n">
        <v>422</v>
      </c>
      <c r="B425" s="10" t="inlineStr">
        <is>
          <t>BATCH_EVALUATOR_CODE = '''"""</t>
        </is>
      </c>
    </row>
    <row r="426">
      <c r="A426" s="7" t="n">
        <v>423</v>
      </c>
      <c r="B426" s="8" t="inlineStr">
        <is>
          <t>树剪 — 批量自我评估引擎 v10.4</t>
        </is>
      </c>
    </row>
    <row r="427">
      <c r="A427" s="9" t="n">
        <v>424</v>
      </c>
      <c r="B427" s="10" t="inlineStr">
        <is>
          <t>生成后自动评分 → 低于阈值自动重试/调整参数</t>
        </is>
      </c>
    </row>
    <row r="428">
      <c r="A428" s="7" t="n">
        <v>425</v>
      </c>
      <c r="B428" s="8" t="inlineStr">
        <is>
          <t>"""</t>
        </is>
      </c>
    </row>
    <row r="429">
      <c r="A429" s="9" t="n">
        <v>426</v>
      </c>
      <c r="B429" s="10" t="inlineStr">
        <is>
          <t>from typing import List, Dict, Optional, Tuple</t>
        </is>
      </c>
    </row>
    <row r="430">
      <c r="A430" s="7" t="n">
        <v>427</v>
      </c>
      <c r="B430" s="8" t="inlineStr">
        <is>
          <t>from pathlib import Path</t>
        </is>
      </c>
    </row>
    <row r="431">
      <c r="A431" s="9" t="n">
        <v>428</v>
      </c>
      <c r="B431" s="10" t="inlineStr"/>
    </row>
    <row r="432">
      <c r="A432" s="7" t="n">
        <v>429</v>
      </c>
      <c r="B432" s="8" t="inlineStr"/>
    </row>
    <row r="433">
      <c r="A433" s="9" t="n">
        <v>430</v>
      </c>
      <c r="B433" s="10" t="inlineStr">
        <is>
          <t>class SelfEvaluator:</t>
        </is>
      </c>
    </row>
    <row r="434">
      <c r="A434" s="7" t="n">
        <v>431</v>
      </c>
      <c r="B434" s="8" t="inlineStr">
        <is>
          <t xml:space="preserve">    """自我评估器 — 对生成结果进行多维度自动评分"""</t>
        </is>
      </c>
    </row>
    <row r="435">
      <c r="A435" s="9" t="n">
        <v>432</v>
      </c>
      <c r="B435" s="10" t="inlineStr"/>
    </row>
    <row r="436">
      <c r="A436" s="7" t="n">
        <v>433</v>
      </c>
      <c r="B436" s="8" t="inlineStr">
        <is>
          <t xml:space="preserve">    def __init__(self, min_score: float = 0.55, max_retries: int = 2):</t>
        </is>
      </c>
    </row>
    <row r="437">
      <c r="A437" s="9" t="n">
        <v>434</v>
      </c>
      <c r="B437" s="10" t="inlineStr">
        <is>
          <t xml:space="preserve">        self.min_score = min_score</t>
        </is>
      </c>
    </row>
    <row r="438">
      <c r="A438" s="7" t="n">
        <v>435</v>
      </c>
      <c r="B438" s="8" t="inlineStr">
        <is>
          <t xml:space="preserve">        self.max_retries = max_retries</t>
        </is>
      </c>
    </row>
    <row r="439">
      <c r="A439" s="9" t="n">
        <v>436</v>
      </c>
      <c r="B439" s="10" t="inlineStr">
        <is>
          <t xml:space="preserve">        self.history: List[Dict] = []</t>
        </is>
      </c>
    </row>
    <row r="440">
      <c r="A440" s="7" t="n">
        <v>437</v>
      </c>
      <c r="B440" s="8" t="inlineStr"/>
    </row>
    <row r="441">
      <c r="A441" s="9" t="n">
        <v>438</v>
      </c>
      <c r="B441" s="10" t="inlineStr">
        <is>
          <t xml:space="preserve">    def evaluate(self, result: dict) -&gt; Tuple[float, List[str]]:</t>
        </is>
      </c>
    </row>
    <row r="442">
      <c r="A442" s="7" t="n">
        <v>439</v>
      </c>
      <c r="B442" s="8" t="inlineStr">
        <is>
          <t xml:space="preserve">        """综合评估生成结果，返回(评分, 问题列表)"""</t>
        </is>
      </c>
    </row>
    <row r="443">
      <c r="A443" s="9" t="n">
        <v>440</v>
      </c>
      <c r="B443" s="10" t="inlineStr">
        <is>
          <t xml:space="preserve">        scores = {}</t>
        </is>
      </c>
    </row>
    <row r="444">
      <c r="A444" s="7" t="n">
        <v>441</v>
      </c>
      <c r="B444" s="8" t="inlineStr">
        <is>
          <t xml:space="preserve">        issues = []</t>
        </is>
      </c>
    </row>
    <row r="445">
      <c r="A445" s="9" t="n">
        <v>442</v>
      </c>
      <c r="B445" s="10" t="inlineStr"/>
    </row>
    <row r="446">
      <c r="A446" s="7" t="n">
        <v>443</v>
      </c>
      <c r="B446" s="8" t="inlineStr">
        <is>
          <t xml:space="preserve">        # 1. 文案长度检查 (标准: 70-100字)</t>
        </is>
      </c>
    </row>
    <row r="447">
      <c r="A447" s="9" t="n">
        <v>444</v>
      </c>
      <c r="B447" s="10" t="inlineStr">
        <is>
          <t xml:space="preserve">        copy_text = result.get("copy", "")</t>
        </is>
      </c>
    </row>
    <row r="448">
      <c r="A448" s="7" t="n">
        <v>445</v>
      </c>
      <c r="B448" s="8" t="inlineStr">
        <is>
          <t xml:space="preserve">        copy_len = len(copy_text)</t>
        </is>
      </c>
    </row>
    <row r="449">
      <c r="A449" s="9" t="n">
        <v>446</v>
      </c>
      <c r="B449" s="10" t="inlineStr">
        <is>
          <t xml:space="preserve">        if 70 &lt;= copy_len &lt;= 100:</t>
        </is>
      </c>
    </row>
    <row r="450">
      <c r="A450" s="7" t="n">
        <v>447</v>
      </c>
      <c r="B450" s="8" t="inlineStr">
        <is>
          <t xml:space="preserve">            scores["copy_length"] = 0.9</t>
        </is>
      </c>
    </row>
    <row r="451">
      <c r="A451" s="9" t="n">
        <v>448</v>
      </c>
      <c r="B451" s="10" t="inlineStr">
        <is>
          <t xml:space="preserve">        elif 50 &lt;= copy_len &lt;= 120:</t>
        </is>
      </c>
    </row>
    <row r="452">
      <c r="A452" s="7" t="n">
        <v>449</v>
      </c>
      <c r="B452" s="8" t="inlineStr">
        <is>
          <t xml:space="preserve">            scores["copy_length"] = 0.6</t>
        </is>
      </c>
    </row>
    <row r="453">
      <c r="A453" s="9" t="n">
        <v>450</v>
      </c>
      <c r="B453" s="10" t="inlineStr">
        <is>
          <t xml:space="preserve">            issues.append(f"文案长度偏差({copy_len}字)")</t>
        </is>
      </c>
    </row>
    <row r="454">
      <c r="A454" s="7" t="n">
        <v>451</v>
      </c>
      <c r="B454" s="8" t="inlineStr">
        <is>
          <t xml:space="preserve">        else:</t>
        </is>
      </c>
    </row>
    <row r="455">
      <c r="A455" s="9" t="n">
        <v>452</v>
      </c>
      <c r="B455" s="10" t="inlineStr">
        <is>
          <t xml:space="preserve">            scores["copy_length"] = 0.3</t>
        </is>
      </c>
    </row>
    <row r="456">
      <c r="A456" s="7" t="n">
        <v>453</v>
      </c>
      <c r="B456" s="8" t="inlineStr">
        <is>
          <t xml:space="preserve">            issues.append(f"文案长度异常({copy_len}字)")</t>
        </is>
      </c>
    </row>
    <row r="457">
      <c r="A457" s="9" t="n">
        <v>454</v>
      </c>
      <c r="B457" s="10" t="inlineStr"/>
    </row>
    <row r="458">
      <c r="A458" s="7" t="n">
        <v>455</v>
      </c>
      <c r="B458" s="8" t="inlineStr">
        <is>
          <t xml:space="preserve">        # 2. CTA 检查</t>
        </is>
      </c>
    </row>
    <row r="459">
      <c r="A459" s="9" t="n">
        <v>456</v>
      </c>
      <c r="B459" s="10" t="inlineStr">
        <is>
          <t xml:space="preserve">        from core.copywriter import check_cta_present</t>
        </is>
      </c>
    </row>
    <row r="460">
      <c r="A460" s="7" t="n">
        <v>457</v>
      </c>
      <c r="B460" s="8" t="inlineStr">
        <is>
          <t xml:space="preserve">        if check_cta_present(copy_text):</t>
        </is>
      </c>
    </row>
    <row r="461">
      <c r="A461" s="9" t="n">
        <v>458</v>
      </c>
      <c r="B461" s="10" t="inlineStr">
        <is>
          <t xml:space="preserve">            scores["cta"] = 0.95</t>
        </is>
      </c>
    </row>
    <row r="462">
      <c r="A462" s="7" t="n">
        <v>459</v>
      </c>
      <c r="B462" s="8" t="inlineStr">
        <is>
          <t xml:space="preserve">        else:</t>
        </is>
      </c>
    </row>
    <row r="463">
      <c r="A463" s="9" t="n">
        <v>460</v>
      </c>
      <c r="B463" s="10" t="inlineStr">
        <is>
          <t xml:space="preserve">            scores["cta"] = 0.4</t>
        </is>
      </c>
    </row>
    <row r="464">
      <c r="A464" s="7" t="n">
        <v>461</v>
      </c>
      <c r="B464" s="8" t="inlineStr">
        <is>
          <t xml:space="preserve">            issues.append("缺少CTA行动引导")</t>
        </is>
      </c>
    </row>
    <row r="465">
      <c r="A465" s="9" t="n">
        <v>462</v>
      </c>
      <c r="B465" s="10" t="inlineStr"/>
    </row>
    <row r="466">
      <c r="A466" s="7" t="n">
        <v>463</v>
      </c>
      <c r="B466" s="8" t="inlineStr">
        <is>
          <t xml:space="preserve">        # 3. 素材数量检查</t>
        </is>
      </c>
    </row>
    <row r="467">
      <c r="A467" s="9" t="n">
        <v>464</v>
      </c>
      <c r="B467" s="10" t="inlineStr">
        <is>
          <t xml:space="preserve">        clips = result.get("clips", [])</t>
        </is>
      </c>
    </row>
    <row r="468">
      <c r="A468" s="7" t="n">
        <v>465</v>
      </c>
      <c r="B468" s="8" t="inlineStr">
        <is>
          <t xml:space="preserve">        if 5 &lt;= len(clips) &lt;= 10:</t>
        </is>
      </c>
    </row>
    <row r="469">
      <c r="A469" s="9" t="n">
        <v>466</v>
      </c>
      <c r="B469" s="10" t="inlineStr">
        <is>
          <t xml:space="preserve">            scores["clip_count"] = 0.85</t>
        </is>
      </c>
    </row>
    <row r="470">
      <c r="A470" s="7" t="n">
        <v>467</v>
      </c>
      <c r="B470" s="8" t="inlineStr">
        <is>
          <t xml:space="preserve">        elif len(clips) &gt;= 3:</t>
        </is>
      </c>
    </row>
    <row r="471">
      <c r="A471" s="9" t="n">
        <v>468</v>
      </c>
      <c r="B471" s="10" t="inlineStr">
        <is>
          <t xml:space="preserve">            scores["clip_count"] = 0.6</t>
        </is>
      </c>
    </row>
    <row r="472">
      <c r="A472" s="7" t="n">
        <v>469</v>
      </c>
      <c r="B472" s="8" t="inlineStr">
        <is>
          <t xml:space="preserve">            issues.append(f"素材数量偏少({len(clips)}个)")</t>
        </is>
      </c>
    </row>
    <row r="473">
      <c r="A473" s="9" t="n">
        <v>470</v>
      </c>
      <c r="B473" s="10" t="inlineStr">
        <is>
          <t xml:space="preserve">        else:</t>
        </is>
      </c>
    </row>
    <row r="474">
      <c r="A474" s="7" t="n">
        <v>471</v>
      </c>
      <c r="B474" s="8" t="inlineStr">
        <is>
          <t xml:space="preserve">            scores["clip_count"] = 0.2</t>
        </is>
      </c>
    </row>
    <row r="475">
      <c r="A475" s="9" t="n">
        <v>472</v>
      </c>
      <c r="B475" s="10" t="inlineStr">
        <is>
          <t xml:space="preserve">            issues.append(f"素材严重不足({len(clips)}个)")</t>
        </is>
      </c>
    </row>
    <row r="476">
      <c r="A476" s="7" t="n">
        <v>473</v>
      </c>
      <c r="B476" s="8" t="inlineStr"/>
    </row>
    <row r="477">
      <c r="A477" s="9" t="n">
        <v>474</v>
      </c>
      <c r="B477" s="10" t="inlineStr">
        <is>
          <t xml:space="preserve">        # 4. 总时长检查</t>
        </is>
      </c>
    </row>
    <row r="478">
      <c r="A478" s="7" t="n">
        <v>475</v>
      </c>
      <c r="B478" s="8" t="inlineStr">
        <is>
          <t xml:space="preserve">        total_dur = result.get("total_duration", 0)</t>
        </is>
      </c>
    </row>
    <row r="479">
      <c r="A479" s="9" t="n">
        <v>476</v>
      </c>
      <c r="B479" s="10" t="inlineStr">
        <is>
          <t xml:space="preserve">        if 23 &lt;= total_dur &lt;= 35:</t>
        </is>
      </c>
    </row>
    <row r="480">
      <c r="A480" s="7" t="n">
        <v>477</v>
      </c>
      <c r="B480" s="8" t="inlineStr">
        <is>
          <t xml:space="preserve">            scores["duration"] = 0.9</t>
        </is>
      </c>
    </row>
    <row r="481">
      <c r="A481" s="9" t="n">
        <v>478</v>
      </c>
      <c r="B481" s="10" t="inlineStr">
        <is>
          <t xml:space="preserve">        elif 15 &lt;= total_dur &lt;= 45:</t>
        </is>
      </c>
    </row>
    <row r="482">
      <c r="A482" s="7" t="n">
        <v>479</v>
      </c>
      <c r="B482" s="8" t="inlineStr">
        <is>
          <t xml:space="preserve">            scores["duration"] = 0.65</t>
        </is>
      </c>
    </row>
    <row r="483">
      <c r="A483" s="9" t="n">
        <v>480</v>
      </c>
      <c r="B483" s="10" t="inlineStr">
        <is>
          <t xml:space="preserve">            issues.append(f"时长偏差({total_dur:.0f}s)")</t>
        </is>
      </c>
    </row>
    <row r="484">
      <c r="A484" s="7" t="n">
        <v>481</v>
      </c>
      <c r="B484" s="8" t="inlineStr">
        <is>
          <t xml:space="preserve">        else:</t>
        </is>
      </c>
    </row>
    <row r="485">
      <c r="A485" s="9" t="n">
        <v>482</v>
      </c>
      <c r="B485" s="10" t="inlineStr">
        <is>
          <t xml:space="preserve">            scores["duration"] = 0.35</t>
        </is>
      </c>
    </row>
    <row r="486">
      <c r="A486" s="7" t="n">
        <v>483</v>
      </c>
      <c r="B486" s="8" t="inlineStr">
        <is>
          <t xml:space="preserve">            issues.append(f"时长异常({total_dur:.0f}s)")</t>
        </is>
      </c>
    </row>
    <row r="487">
      <c r="A487" s="9" t="n">
        <v>484</v>
      </c>
      <c r="B487" s="10" t="inlineStr"/>
    </row>
    <row r="488">
      <c r="A488" s="7" t="n">
        <v>485</v>
      </c>
      <c r="B488" s="8" t="inlineStr">
        <is>
          <t xml:space="preserve">        # 5. TTS 一致性检查</t>
        </is>
      </c>
    </row>
    <row r="489">
      <c r="A489" s="9" t="n">
        <v>486</v>
      </c>
      <c r="B489" s="10" t="inlineStr">
        <is>
          <t xml:space="preserve">        tts_dur = result.get("tts_duration", 0)</t>
        </is>
      </c>
    </row>
    <row r="490">
      <c r="A490" s="7" t="n">
        <v>487</v>
      </c>
      <c r="B490" s="8" t="inlineStr">
        <is>
          <t xml:space="preserve">        if tts_dur &gt; 0 and total_dur &gt; 0:</t>
        </is>
      </c>
    </row>
    <row r="491">
      <c r="A491" s="9" t="n">
        <v>488</v>
      </c>
      <c r="B491" s="10" t="inlineStr">
        <is>
          <t xml:space="preserve">            ratio = tts_dur / total_dur</t>
        </is>
      </c>
    </row>
    <row r="492">
      <c r="A492" s="7" t="n">
        <v>489</v>
      </c>
      <c r="B492" s="8" t="inlineStr">
        <is>
          <t xml:space="preserve">            if 0.7 &lt;= ratio &lt;= 1.2:</t>
        </is>
      </c>
    </row>
    <row r="493">
      <c r="A493" s="9" t="n">
        <v>490</v>
      </c>
      <c r="B493" s="10" t="inlineStr">
        <is>
          <t xml:space="preserve">                scores["tts_sync"] = 0.85</t>
        </is>
      </c>
    </row>
    <row r="494">
      <c r="A494" s="7" t="n">
        <v>491</v>
      </c>
      <c r="B494" s="8" t="inlineStr">
        <is>
          <t xml:space="preserve">            else:</t>
        </is>
      </c>
    </row>
    <row r="495">
      <c r="A495" s="9" t="n">
        <v>492</v>
      </c>
      <c r="B495" s="10" t="inlineStr">
        <is>
          <t xml:space="preserve">                scores["tts_sync"] = 0.5</t>
        </is>
      </c>
    </row>
    <row r="496">
      <c r="A496" s="7" t="n">
        <v>493</v>
      </c>
      <c r="B496" s="8" t="inlineStr">
        <is>
          <t xml:space="preserve">                issues.append(f"配音与视频时长不匹配(比={ratio:.2f})")</t>
        </is>
      </c>
    </row>
    <row r="497">
      <c r="A497" s="9" t="n">
        <v>494</v>
      </c>
      <c r="B497" s="10" t="inlineStr">
        <is>
          <t xml:space="preserve">        else:</t>
        </is>
      </c>
    </row>
    <row r="498">
      <c r="A498" s="7" t="n">
        <v>495</v>
      </c>
      <c r="B498" s="8" t="inlineStr">
        <is>
          <t xml:space="preserve">            scores["tts_sync"] = 0.5</t>
        </is>
      </c>
    </row>
    <row r="499">
      <c r="A499" s="9" t="n">
        <v>496</v>
      </c>
      <c r="B499" s="10" t="inlineStr"/>
    </row>
    <row r="500">
      <c r="A500" s="7" t="n">
        <v>497</v>
      </c>
      <c r="B500" s="8" t="inlineStr">
        <is>
          <t xml:space="preserve">        # 加权综合评分</t>
        </is>
      </c>
    </row>
    <row r="501">
      <c r="A501" s="9" t="n">
        <v>498</v>
      </c>
      <c r="B501" s="10" t="inlineStr">
        <is>
          <t xml:space="preserve">        weights = {"copy_length": 0.25, "cta": 0.30, "clip_count": 0.20,</t>
        </is>
      </c>
    </row>
    <row r="502">
      <c r="A502" s="7" t="n">
        <v>499</v>
      </c>
      <c r="B502" s="8" t="inlineStr">
        <is>
          <t xml:space="preserve">                   "duration": 0.15, "tts_sync": 0.10}</t>
        </is>
      </c>
    </row>
    <row r="503">
      <c r="A503" s="9" t="n">
        <v>500</v>
      </c>
      <c r="B503" s="10" t="inlineStr">
        <is>
          <t xml:space="preserve">        total = sum(scores.get(k, 0.5) * w for k, w in weights.items())</t>
        </is>
      </c>
    </row>
    <row r="504">
      <c r="A504" s="7" t="n">
        <v>501</v>
      </c>
      <c r="B504" s="8" t="inlineStr"/>
    </row>
    <row r="505">
      <c r="A505" s="9" t="n">
        <v>502</v>
      </c>
      <c r="B505" s="10" t="inlineStr">
        <is>
          <t xml:space="preserve">        self.history.append({"scores": scores, "total": round(total, 3),</t>
        </is>
      </c>
    </row>
    <row r="506">
      <c r="A506" s="7" t="n">
        <v>503</v>
      </c>
      <c r="B506" s="8" t="inlineStr">
        <is>
          <t xml:space="preserve">                            "issues": issues})</t>
        </is>
      </c>
    </row>
    <row r="507">
      <c r="A507" s="9" t="n">
        <v>504</v>
      </c>
      <c r="B507" s="10" t="inlineStr"/>
    </row>
    <row r="508">
      <c r="A508" s="7" t="n">
        <v>505</v>
      </c>
      <c r="B508" s="8" t="inlineStr">
        <is>
          <t xml:space="preserve">        return round(total, 3), issues</t>
        </is>
      </c>
    </row>
    <row r="509">
      <c r="A509" s="9" t="n">
        <v>506</v>
      </c>
      <c r="B509" s="10" t="inlineStr"/>
    </row>
    <row r="510">
      <c r="A510" s="7" t="n">
        <v>507</v>
      </c>
      <c r="B510" s="8" t="inlineStr">
        <is>
          <t xml:space="preserve">    def should_retry(self, score: float, attempt: int) -&gt; bool:</t>
        </is>
      </c>
    </row>
    <row r="511">
      <c r="A511" s="9" t="n">
        <v>508</v>
      </c>
      <c r="B511" s="10" t="inlineStr">
        <is>
          <t xml:space="preserve">        """判断是否需要重试"""</t>
        </is>
      </c>
    </row>
    <row r="512">
      <c r="A512" s="7" t="n">
        <v>509</v>
      </c>
      <c r="B512" s="8" t="inlineStr">
        <is>
          <t xml:space="preserve">        return score &lt; self.min_score and attempt &lt; self.max_retries</t>
        </is>
      </c>
    </row>
    <row r="513">
      <c r="A513" s="9" t="n">
        <v>510</v>
      </c>
      <c r="B513" s="10" t="inlineStr"/>
    </row>
    <row r="514">
      <c r="A514" s="7" t="n">
        <v>511</v>
      </c>
      <c r="B514" s="8" t="inlineStr">
        <is>
          <t xml:space="preserve">    def get_suggestions(self) -&gt; List[str]:</t>
        </is>
      </c>
    </row>
    <row r="515">
      <c r="A515" s="9" t="n">
        <v>512</v>
      </c>
      <c r="B515" s="10" t="inlineStr">
        <is>
          <t xml:space="preserve">        """根据历史记录生成优化建议"""</t>
        </is>
      </c>
    </row>
    <row r="516">
      <c r="A516" s="7" t="n">
        <v>513</v>
      </c>
      <c r="B516" s="8" t="inlineStr">
        <is>
          <t xml:space="preserve">        if not self.history:</t>
        </is>
      </c>
    </row>
    <row r="517">
      <c r="A517" s="9" t="n">
        <v>514</v>
      </c>
      <c r="B517" s="10" t="inlineStr">
        <is>
          <t xml:space="preserve">            return []</t>
        </is>
      </c>
    </row>
    <row r="518">
      <c r="A518" s="7" t="n">
        <v>515</v>
      </c>
      <c r="B518" s="8" t="inlineStr">
        <is>
          <t xml:space="preserve">        avg = sum(h["total"] for h in self.history[-5:]) / len(self.history[-5:])</t>
        </is>
      </c>
    </row>
    <row r="519">
      <c r="A519" s="9" t="n">
        <v>516</v>
      </c>
      <c r="B519" s="10" t="inlineStr">
        <is>
          <t xml:space="preserve">        suggestions = []</t>
        </is>
      </c>
    </row>
    <row r="520">
      <c r="A520" s="7" t="n">
        <v>517</v>
      </c>
      <c r="B520" s="8" t="inlineStr">
        <is>
          <t xml:space="preserve">        if avg &lt; 0.5:</t>
        </is>
      </c>
    </row>
    <row r="521">
      <c r="A521" s="9" t="n">
        <v>518</v>
      </c>
      <c r="B521" s="10" t="inlineStr">
        <is>
          <t xml:space="preserve">            suggestions.append("建议检查素材库是否充足")</t>
        </is>
      </c>
    </row>
    <row r="522">
      <c r="A522" s="7" t="n">
        <v>519</v>
      </c>
      <c r="B522" s="8" t="inlineStr">
        <is>
          <t xml:space="preserve">        if any("CTA" in str(h.get("issues", [])) for h in self.history[-3:]):</t>
        </is>
      </c>
    </row>
    <row r="523">
      <c r="A523" s="9" t="n">
        <v>520</v>
      </c>
      <c r="B523" s="10" t="inlineStr">
        <is>
          <t xml:space="preserve">            suggestions.append("文案系统可能需要调整CTA模板")</t>
        </is>
      </c>
    </row>
    <row r="524">
      <c r="A524" s="7" t="n">
        <v>521</v>
      </c>
      <c r="B524" s="8" t="inlineStr">
        <is>
          <t xml:space="preserve">        return suggestions</t>
        </is>
      </c>
    </row>
    <row r="525">
      <c r="A525" s="9" t="n">
        <v>522</v>
      </c>
      <c r="B525" s="10" t="inlineStr"/>
    </row>
    <row r="526">
      <c r="A526" s="7" t="n">
        <v>523</v>
      </c>
      <c r="B526" s="8" t="inlineStr">
        <is>
          <t xml:space="preserve">    def get_stats(self) -&gt; dict:</t>
        </is>
      </c>
    </row>
    <row r="527">
      <c r="A527" s="9" t="n">
        <v>524</v>
      </c>
      <c r="B527" s="10" t="inlineStr">
        <is>
          <t xml:space="preserve">        return {</t>
        </is>
      </c>
    </row>
    <row r="528">
      <c r="A528" s="7" t="n">
        <v>525</v>
      </c>
      <c r="B528" s="8" t="inlineStr">
        <is>
          <t xml:space="preserve">            "evaluated": len(self.history),</t>
        </is>
      </c>
    </row>
    <row r="529">
      <c r="A529" s="9" t="n">
        <v>526</v>
      </c>
      <c r="B529" s="10" t="inlineStr">
        <is>
          <t xml:space="preserve">            "avg_score": round(sum(h["total"] for h in self.history) / max(1, len(self.history)), 3),</t>
        </is>
      </c>
    </row>
    <row r="530">
      <c r="A530" s="7" t="n">
        <v>527</v>
      </c>
      <c r="B530" s="8" t="inlineStr">
        <is>
          <t xml:space="preserve">            "retry_rate": sum(1 for h in self.history if h["total"] &lt; self.min_score) / max(1, len(self.history)),</t>
        </is>
      </c>
    </row>
    <row r="531">
      <c r="A531" s="9" t="n">
        <v>528</v>
      </c>
      <c r="B531" s="10" t="inlineStr">
        <is>
          <t xml:space="preserve">        }</t>
        </is>
      </c>
    </row>
    <row r="532">
      <c r="A532" s="7" t="n">
        <v>529</v>
      </c>
      <c r="B532" s="8" t="inlineStr"/>
    </row>
    <row r="533">
      <c r="A533" s="9" t="n">
        <v>530</v>
      </c>
      <c r="B533" s="10" t="inlineStr"/>
    </row>
    <row r="534">
      <c r="A534" s="7" t="n">
        <v>531</v>
      </c>
      <c r="B534" s="8" t="inlineStr">
        <is>
          <t># 全局实例</t>
        </is>
      </c>
    </row>
    <row r="535">
      <c r="A535" s="9" t="n">
        <v>532</v>
      </c>
      <c r="B535" s="10" t="inlineStr">
        <is>
          <t>_evaluator: Optional[SelfEvaluator] = None</t>
        </is>
      </c>
    </row>
    <row r="536">
      <c r="A536" s="7" t="n">
        <v>533</v>
      </c>
      <c r="B536" s="8" t="inlineStr"/>
    </row>
    <row r="537">
      <c r="A537" s="9" t="n">
        <v>534</v>
      </c>
      <c r="B537" s="10" t="inlineStr"/>
    </row>
    <row r="538">
      <c r="A538" s="7" t="n">
        <v>535</v>
      </c>
      <c r="B538" s="8" t="inlineStr">
        <is>
          <t>def get_evaluator() -&gt; SelfEvaluator:</t>
        </is>
      </c>
    </row>
    <row r="539">
      <c r="A539" s="9" t="n">
        <v>536</v>
      </c>
      <c r="B539" s="10" t="inlineStr">
        <is>
          <t xml:space="preserve">    global _evaluator</t>
        </is>
      </c>
    </row>
    <row r="540">
      <c r="A540" s="7" t="n">
        <v>537</v>
      </c>
      <c r="B540" s="8" t="inlineStr">
        <is>
          <t xml:space="preserve">    if _evaluator is None:</t>
        </is>
      </c>
    </row>
    <row r="541">
      <c r="A541" s="9" t="n">
        <v>538</v>
      </c>
      <c r="B541" s="10" t="inlineStr">
        <is>
          <t xml:space="preserve">        _evaluator = SelfEvaluator()</t>
        </is>
      </c>
    </row>
    <row r="542">
      <c r="A542" s="7" t="n">
        <v>539</v>
      </c>
      <c r="B542" s="8" t="inlineStr">
        <is>
          <t xml:space="preserve">    return _evaluator</t>
        </is>
      </c>
    </row>
    <row r="543">
      <c r="A543" s="9" t="n">
        <v>540</v>
      </c>
      <c r="B543" s="10" t="inlineStr">
        <is>
          <t>'''</t>
        </is>
      </c>
    </row>
    <row r="544">
      <c r="A544" s="7" t="n">
        <v>541</v>
      </c>
      <c r="B544" s="8" t="inlineStr"/>
    </row>
    <row r="545">
      <c r="A545" s="9" t="n">
        <v>542</v>
      </c>
      <c r="B545" s="10" t="inlineStr">
        <is>
          <t># ============================================================</t>
        </is>
      </c>
    </row>
    <row r="546">
      <c r="A546" s="7" t="n">
        <v>543</v>
      </c>
      <c r="B546" s="8" t="inlineStr">
        <is>
          <t># 文件编辑patch内容</t>
        </is>
      </c>
    </row>
    <row r="547">
      <c r="A547" s="9" t="n">
        <v>544</v>
      </c>
      <c r="B547" s="10" t="inlineStr">
        <is>
          <t># ============================================================</t>
        </is>
      </c>
    </row>
    <row r="548">
      <c r="A548" s="7" t="n">
        <v>545</v>
      </c>
      <c r="B548" s="8" t="inlineStr"/>
    </row>
    <row r="549">
      <c r="A549" s="9" t="n">
        <v>546</v>
      </c>
      <c r="B549" s="10" t="inlineStr">
        <is>
          <t># analyzer.py 末尾增加 _generate_dense_caption</t>
        </is>
      </c>
    </row>
    <row r="550">
      <c r="A550" s="7" t="n">
        <v>547</v>
      </c>
      <c r="B550" s="8" t="inlineStr">
        <is>
          <t>ANALYZER_PATCH_OLD = '''        return {</t>
        </is>
      </c>
    </row>
    <row r="551">
      <c r="A551" s="9" t="n">
        <v>548</v>
      </c>
      <c r="B551" s="10" t="inlineStr">
        <is>
          <t xml:space="preserve">            "video_path": video_path,'''</t>
        </is>
      </c>
    </row>
    <row r="552">
      <c r="A552" s="7" t="n">
        <v>549</v>
      </c>
      <c r="B552" s="8" t="inlineStr">
        <is>
          <t>ANALYZER_PATCH_NEW = '''        # 生成密集字幕</t>
        </is>
      </c>
    </row>
    <row r="553">
      <c r="A553" s="9" t="n">
        <v>550</v>
      </c>
      <c r="B553" s="10" t="inlineStr">
        <is>
          <t xml:space="preserve">        dense_caption = self._generate_dense_caption(tags, whisper_result, video_path)</t>
        </is>
      </c>
    </row>
    <row r="554">
      <c r="A554" s="7" t="n">
        <v>551</v>
      </c>
      <c r="B554" s="8" t="inlineStr"/>
    </row>
    <row r="555">
      <c r="A555" s="9" t="n">
        <v>552</v>
      </c>
      <c r="B555" s="10" t="inlineStr">
        <is>
          <t xml:space="preserve">        return {</t>
        </is>
      </c>
    </row>
    <row r="556">
      <c r="A556" s="7" t="n">
        <v>553</v>
      </c>
      <c r="B556" s="8" t="inlineStr">
        <is>
          <t xml:space="preserve">            "video_path": video_path,</t>
        </is>
      </c>
    </row>
    <row r="557">
      <c r="A557" s="9" t="n">
        <v>554</v>
      </c>
      <c r="B557" s="10" t="inlineStr">
        <is>
          <t xml:space="preserve">            "dense_caption": dense_caption,'''</t>
        </is>
      </c>
    </row>
    <row r="558">
      <c r="A558" s="7" t="n">
        <v>555</v>
      </c>
      <c r="B558" s="8" t="inlineStr"/>
    </row>
    <row r="559">
      <c r="A559" s="9" t="n">
        <v>556</v>
      </c>
      <c r="B559" s="10" t="inlineStr">
        <is>
          <t>ANALYZER_DENSE_METHOD = '''</t>
        </is>
      </c>
    </row>
    <row r="560">
      <c r="A560" s="7" t="n">
        <v>557</v>
      </c>
      <c r="B560" s="8" t="inlineStr">
        <is>
          <t xml:space="preserve">    def _generate_dense_caption(self, tags: dict, whisper_result, video_path: str) -&gt; str:</t>
        </is>
      </c>
    </row>
    <row r="561">
      <c r="A561" s="9" t="n">
        <v>558</v>
      </c>
      <c r="B561" s="10" t="inlineStr">
        <is>
          <t xml:space="preserve">        """生成密集自然语言字幕描述"""</t>
        </is>
      </c>
    </row>
    <row r="562">
      <c r="A562" s="7" t="n">
        <v>559</v>
      </c>
      <c r="B562" s="8" t="inlineStr">
        <is>
          <t xml:space="preserve">        try:</t>
        </is>
      </c>
    </row>
    <row r="563">
      <c r="A563" s="9" t="n">
        <v>560</v>
      </c>
      <c r="B563" s="10" t="inlineStr">
        <is>
          <t xml:space="preserve">            from core.multimodal_embedding import MultimodalEmbedding</t>
        </is>
      </c>
    </row>
    <row r="564">
      <c r="A564" s="7" t="n">
        <v>561</v>
      </c>
      <c r="B564" s="8" t="inlineStr">
        <is>
          <t xml:space="preserve">            embedder = MultimodalEmbedding()</t>
        </is>
      </c>
    </row>
    <row r="565">
      <c r="A565" s="9" t="n">
        <v>562</v>
      </c>
      <c r="B565" s="10" t="inlineStr">
        <is>
          <t xml:space="preserve">            audio_tags = {"emotion": getattr(whisper_result, "ambient_type", "")} if whisper_result else None</t>
        </is>
      </c>
    </row>
    <row r="566">
      <c r="A566" s="7" t="n">
        <v>563</v>
      </c>
      <c r="B566" s="8" t="inlineStr">
        <is>
          <t xml:space="preserve">            return embedder.generate_dense_caption(</t>
        </is>
      </c>
    </row>
    <row r="567">
      <c r="A567" s="9" t="n">
        <v>564</v>
      </c>
      <c r="B567" s="10" t="inlineStr">
        <is>
          <t xml:space="preserve">                vision_tags=tags,</t>
        </is>
      </c>
    </row>
    <row r="568">
      <c r="A568" s="7" t="n">
        <v>565</v>
      </c>
      <c r="B568" s="8" t="inlineStr">
        <is>
          <t xml:space="preserve">                audio_tags=audio_tags,</t>
        </is>
      </c>
    </row>
    <row r="569">
      <c r="A569" s="9" t="n">
        <v>566</v>
      </c>
      <c r="B569" s="10" t="inlineStr">
        <is>
          <t xml:space="preserve">                video_path=video_path</t>
        </is>
      </c>
    </row>
    <row r="570">
      <c r="A570" s="7" t="n">
        <v>567</v>
      </c>
      <c r="B570" s="8" t="inlineStr">
        <is>
          <t xml:space="preserve">            )</t>
        </is>
      </c>
    </row>
    <row r="571">
      <c r="A571" s="9" t="n">
        <v>568</v>
      </c>
      <c r="B571" s="10" t="inlineStr">
        <is>
          <t xml:space="preserve">        except Exception:</t>
        </is>
      </c>
    </row>
    <row r="572">
      <c r="A572" s="7" t="n">
        <v>569</v>
      </c>
      <c r="B572" s="8" t="inlineStr">
        <is>
          <t xml:space="preserve">            # 降级：简单拼接标签</t>
        </is>
      </c>
    </row>
    <row r="573">
      <c r="A573" s="9" t="n">
        <v>570</v>
      </c>
      <c r="B573" s="10" t="inlineStr">
        <is>
          <t xml:space="preserve">            parts = []</t>
        </is>
      </c>
    </row>
    <row r="574">
      <c r="A574" s="7" t="n">
        <v>571</v>
      </c>
      <c r="B574" s="8" t="inlineStr">
        <is>
          <t xml:space="preserve">            for key in ["objects","materials","colors","style","scene_type"]:</t>
        </is>
      </c>
    </row>
    <row r="575">
      <c r="A575" s="9" t="n">
        <v>572</v>
      </c>
      <c r="B575" s="10" t="inlineStr">
        <is>
          <t xml:space="preserve">                val = tags.get(key, "")</t>
        </is>
      </c>
    </row>
    <row r="576">
      <c r="A576" s="7" t="n">
        <v>573</v>
      </c>
      <c r="B576" s="8" t="inlineStr">
        <is>
          <t xml:space="preserve">                if val:</t>
        </is>
      </c>
    </row>
    <row r="577">
      <c r="A577" s="9" t="n">
        <v>574</v>
      </c>
      <c r="B577" s="10" t="inlineStr">
        <is>
          <t xml:space="preserve">                    parts.append(val if isinstance(val, str) else ",".join(val[:3]))</t>
        </is>
      </c>
    </row>
    <row r="578">
      <c r="A578" s="7" t="n">
        <v>575</v>
      </c>
      <c r="B578" s="8" t="inlineStr">
        <is>
          <t xml:space="preserve">            return "岛台展示: " + "; ".join(parts[:3]) if parts else Path(video_path).stem[:60]</t>
        </is>
      </c>
    </row>
    <row r="579">
      <c r="A579" s="9" t="n">
        <v>576</v>
      </c>
      <c r="B579" s="10" t="inlineStr">
        <is>
          <t>'''</t>
        </is>
      </c>
    </row>
    <row r="580">
      <c r="A580" s="7" t="n">
        <v>577</v>
      </c>
      <c r="B580" s="8" t="inlineStr"/>
    </row>
    <row r="581">
      <c r="A581" s="9" t="n">
        <v>578</v>
      </c>
      <c r="B581" s="10" t="inlineStr">
        <is>
          <t># pipeline.py run() 函数增加 auto_mode 参数</t>
        </is>
      </c>
    </row>
    <row r="582">
      <c r="A582" s="7" t="n">
        <v>579</v>
      </c>
      <c r="B582" s="8" t="inlineStr">
        <is>
          <t>PIPELINE_RUN_SIG_OLD = '''def run(keyword: str, num_clips: int = None, bgm_file: str = None,</t>
        </is>
      </c>
    </row>
    <row r="583">
      <c r="A583" s="9" t="n">
        <v>580</v>
      </c>
      <c r="B583" s="10" t="inlineStr">
        <is>
          <t xml:space="preserve">        use_effects: bool = False, dry_run: bool = False,</t>
        </is>
      </c>
    </row>
    <row r="584">
      <c r="A584" s="7" t="n">
        <v>581</v>
      </c>
      <c r="B584" s="8" t="inlineStr">
        <is>
          <t xml:space="preserve">        auto_bgm: bool = False, generate_tts: bool = False,'''</t>
        </is>
      </c>
    </row>
    <row r="585">
      <c r="A585" s="9" t="n">
        <v>582</v>
      </c>
      <c r="B585" s="10" t="inlineStr">
        <is>
          <t>PIPELINE_RUN_SIG_NEW = '''def run(keyword: str, num_clips: int = None, bgm_file: str = None,</t>
        </is>
      </c>
    </row>
    <row r="586">
      <c r="A586" s="7" t="n">
        <v>583</v>
      </c>
      <c r="B586" s="8" t="inlineStr">
        <is>
          <t xml:space="preserve">        use_effects: bool = False, dry_run: bool = False,</t>
        </is>
      </c>
    </row>
    <row r="587">
      <c r="A587" s="9" t="n">
        <v>584</v>
      </c>
      <c r="B587" s="10" t="inlineStr">
        <is>
          <t xml:space="preserve">        auto_bgm: bool = False, generate_tts: bool = False,</t>
        </is>
      </c>
    </row>
    <row r="588">
      <c r="A588" s="7" t="n">
        <v>585</v>
      </c>
      <c r="B588" s="8" t="inlineStr">
        <is>
          <t xml:space="preserve">        auto_mode: bool = False,'''</t>
        </is>
      </c>
    </row>
    <row r="589">
      <c r="A589" s="9" t="n">
        <v>586</v>
      </c>
      <c r="B589" s="10" t="inlineStr"/>
    </row>
    <row r="590">
      <c r="A590" s="7" t="n">
        <v>587</v>
      </c>
      <c r="B590" s="8" t="inlineStr">
        <is>
          <t># pipeline.py 在 run() 开头增加 auto_mode 分支</t>
        </is>
      </c>
    </row>
    <row r="591">
      <c r="A591" s="9" t="n">
        <v>588</v>
      </c>
      <c r="B591" s="10" t="inlineStr">
        <is>
          <t>PIPELINE_AUTO_INSERT = '''</t>
        </is>
      </c>
    </row>
    <row r="592">
      <c r="A592" s="7" t="n">
        <v>589</v>
      </c>
      <c r="B592" s="8" t="inlineStr">
        <is>
          <t xml:space="preserve">    if auto_mode:</t>
        </is>
      </c>
    </row>
    <row r="593">
      <c r="A593" s="9" t="n">
        <v>590</v>
      </c>
      <c r="B593" s="10" t="inlineStr">
        <is>
          <t xml:space="preserve">        # 全自动模式: 自动发现主题 → 生成脚本 → 智能BGM → 自我评估</t>
        </is>
      </c>
    </row>
    <row r="594">
      <c r="A594" s="7" t="n">
        <v>591</v>
      </c>
      <c r="B594" s="8" t="inlineStr">
        <is>
          <t xml:space="preserve">        print("\\n   [AI] 全自动模式已激活")</t>
        </is>
      </c>
    </row>
    <row r="595">
      <c r="A595" s="9" t="n">
        <v>592</v>
      </c>
      <c r="B595" s="10" t="inlineStr">
        <is>
          <t xml:space="preserve">        try:</t>
        </is>
      </c>
    </row>
    <row r="596">
      <c r="A596" s="7" t="n">
        <v>593</v>
      </c>
      <c r="B596" s="8" t="inlineStr">
        <is>
          <t xml:space="preserve">            from core.topic_discovery import discover_topics</t>
        </is>
      </c>
    </row>
    <row r="597">
      <c r="A597" s="9" t="n">
        <v>594</v>
      </c>
      <c r="B597" s="10" t="inlineStr">
        <is>
          <t xml:space="preserve">            from core.multimodal_embedding import get_embedder</t>
        </is>
      </c>
    </row>
    <row r="598">
      <c r="A598" s="7" t="n">
        <v>595</v>
      </c>
      <c r="B598" s="8" t="inlineStr">
        <is>
          <t xml:space="preserve">            from core.bgm_matcher import match_bgm_smart, detect_emotion_from_tags</t>
        </is>
      </c>
    </row>
    <row r="599">
      <c r="A599" s="9" t="n">
        <v>596</v>
      </c>
      <c r="B599" s="10" t="inlineStr"/>
    </row>
    <row r="600">
      <c r="A600" s="7" t="n">
        <v>597</v>
      </c>
      <c r="B600" s="8" t="inlineStr">
        <is>
          <t xml:space="preserve">            # 获取素材池标签</t>
        </is>
      </c>
    </row>
    <row r="601">
      <c r="A601" s="9" t="n">
        <v>598</v>
      </c>
      <c r="B601" s="10" t="inlineStr">
        <is>
          <t xml:space="preserve">            available = list_available_selling_points(min_files=3)</t>
        </is>
      </c>
    </row>
    <row r="602">
      <c r="A602" s="7" t="n">
        <v>599</v>
      </c>
      <c r="B602" s="8" t="inlineStr">
        <is>
          <t xml:space="preserve">            if available:</t>
        </is>
      </c>
    </row>
    <row r="603">
      <c r="A603" s="9" t="n">
        <v>600</v>
      </c>
      <c r="B603" s="10" t="inlineStr">
        <is>
          <t xml:space="preserve">                tags_list = [p["name"] for p in available[:10]]</t>
        </is>
      </c>
    </row>
    <row r="604">
      <c r="A604" s="7" t="n">
        <v>601</v>
      </c>
      <c r="B604" s="8" t="inlineStr">
        <is>
          <t xml:space="preserve">                embedder = get_embedder()</t>
        </is>
      </c>
    </row>
    <row r="605">
      <c r="A605" s="9" t="n">
        <v>602</v>
      </c>
      <c r="B605" s="10" t="inlineStr">
        <is>
          <t xml:space="preserve">                if embedder.available:</t>
        </is>
      </c>
    </row>
    <row r="606">
      <c r="A606" s="7" t="n">
        <v>603</v>
      </c>
      <c r="B606" s="8" t="inlineStr">
        <is>
          <t xml:space="preserve">                    embeddings = [embedder.encode_text(t) for t in tags_list]</t>
        </is>
      </c>
    </row>
    <row r="607">
      <c r="A607" s="9" t="n">
        <v>604</v>
      </c>
      <c r="B607" s="10" t="inlineStr">
        <is>
          <t xml:space="preserve">                    embeddings = [e for e in embeddings if e]</t>
        </is>
      </c>
    </row>
    <row r="608">
      <c r="A608" s="7" t="n">
        <v>605</v>
      </c>
      <c r="B608" s="8" t="inlineStr">
        <is>
          <t xml:space="preserve">                    topics = discover_topics(embeddings or [], tags_list, top_k=3)</t>
        </is>
      </c>
    </row>
    <row r="609">
      <c r="A609" s="9" t="n">
        <v>606</v>
      </c>
      <c r="B609" s="10" t="inlineStr">
        <is>
          <t xml:space="preserve">                    if topics:</t>
        </is>
      </c>
    </row>
    <row r="610">
      <c r="A610" s="7" t="n">
        <v>607</v>
      </c>
      <c r="B610" s="8" t="inlineStr">
        <is>
          <t xml:space="preserve">                        from core.topic_discovery import generate_script_from_topic</t>
        </is>
      </c>
    </row>
    <row r="611">
      <c r="A611" s="9" t="n">
        <v>608</v>
      </c>
      <c r="B611" s="10" t="inlineStr">
        <is>
          <t xml:space="preserve">                        top_topic = topics[0]</t>
        </is>
      </c>
    </row>
    <row r="612">
      <c r="A612" s="7" t="n">
        <v>609</v>
      </c>
      <c r="B612" s="8" t="inlineStr">
        <is>
          <t xml:space="preserve">                        keyword = " ".join(top_topic["keywords"][:3])</t>
        </is>
      </c>
    </row>
    <row r="613">
      <c r="A613" s="9" t="n">
        <v>610</v>
      </c>
      <c r="B613" s="10" t="inlineStr">
        <is>
          <t xml:space="preserve">                        print(f"   [STAT] 自动发现主题: {top_topic['topic']} ({top_topic['count']}个素材)")</t>
        </is>
      </c>
    </row>
    <row r="614">
      <c r="A614" s="7" t="n">
        <v>611</v>
      </c>
      <c r="B614" s="8" t="inlineStr">
        <is>
          <t xml:space="preserve">        except Exception as e:</t>
        </is>
      </c>
    </row>
    <row r="615">
      <c r="A615" s="9" t="n">
        <v>612</v>
      </c>
      <c r="B615" s="10" t="inlineStr">
        <is>
          <t xml:space="preserve">            print(f"   !! 全自动模式主题发现失败: {e} (继续使用原始关键词)")</t>
        </is>
      </c>
    </row>
    <row r="616">
      <c r="A616" s="7" t="n">
        <v>613</v>
      </c>
      <c r="B616" s="8" t="inlineStr">
        <is>
          <t>'''</t>
        </is>
      </c>
    </row>
    <row r="617">
      <c r="A617" s="9" t="n">
        <v>614</v>
      </c>
      <c r="B617" s="10" t="inlineStr"/>
    </row>
    <row r="618">
      <c r="A618" s="7" t="n">
        <v>615</v>
      </c>
      <c r="B618" s="8" t="inlineStr">
        <is>
          <t># pipeline.py 在BGM部分增加智能匹配</t>
        </is>
      </c>
    </row>
    <row r="619">
      <c r="A619" s="9" t="n">
        <v>616</v>
      </c>
      <c r="B619" s="10" t="inlineStr">
        <is>
          <t>PIPELINE_BGM_SMART = (</t>
        </is>
      </c>
    </row>
    <row r="620">
      <c r="A620" s="7" t="n">
        <v>617</v>
      </c>
      <c r="B620" s="8" t="inlineStr">
        <is>
          <t xml:space="preserve">    'if bgm_path is None:\n        bgms = collect_bgm()\n        if bgms: bgm_path = random.choice(bgms)',</t>
        </is>
      </c>
    </row>
    <row r="621">
      <c r="A621" s="9" t="n">
        <v>618</v>
      </c>
      <c r="B621" s="10" t="inlineStr">
        <is>
          <t xml:space="preserve">    '''if bgm_path is None:</t>
        </is>
      </c>
    </row>
    <row r="622">
      <c r="A622" s="7" t="n">
        <v>619</v>
      </c>
      <c r="B622" s="8" t="inlineStr">
        <is>
          <t xml:space="preserve">        bgms = collect_bgm()</t>
        </is>
      </c>
    </row>
    <row r="623">
      <c r="A623" s="9" t="n">
        <v>620</v>
      </c>
      <c r="B623" s="10" t="inlineStr">
        <is>
          <t xml:space="preserve">        if bgms:</t>
        </is>
      </c>
    </row>
    <row r="624">
      <c r="A624" s="7" t="n">
        <v>621</v>
      </c>
      <c r="B624" s="8" t="inlineStr">
        <is>
          <t xml:space="preserve">            try:</t>
        </is>
      </c>
    </row>
    <row r="625">
      <c r="A625" s="9" t="n">
        <v>622</v>
      </c>
      <c r="B625" s="10" t="inlineStr">
        <is>
          <t xml:space="preserve">                from core.bgm_matcher import match_bgm_smart, detect_emotion_from_tags</t>
        </is>
      </c>
    </row>
    <row r="626">
      <c r="A626" s="7" t="n">
        <v>623</v>
      </c>
      <c r="B626" s="8" t="inlineStr">
        <is>
          <t xml:space="preserve">                theme = detect_video_theme(keyword)</t>
        </is>
      </c>
    </row>
    <row r="627">
      <c r="A627" s="9" t="n">
        <v>624</v>
      </c>
      <c r="B627" s="10" t="inlineStr">
        <is>
          <t xml:space="preserve">                emotion = detect_emotion_from_tags({"style": keyword}, None)</t>
        </is>
      </c>
    </row>
    <row r="628">
      <c r="A628" s="7" t="n">
        <v>625</v>
      </c>
      <c r="B628" s="8" t="inlineStr">
        <is>
          <t xml:space="preserve">                bgm_path = match_bgm_smart(emotion, bgms, theme)</t>
        </is>
      </c>
    </row>
    <row r="629">
      <c r="A629" s="9" t="n">
        <v>626</v>
      </c>
      <c r="B629" s="10" t="inlineStr">
        <is>
          <t xml:space="preserve">                if bgm_path:</t>
        </is>
      </c>
    </row>
    <row r="630">
      <c r="A630" s="7" t="n">
        <v>627</v>
      </c>
      <c r="B630" s="8" t="inlineStr">
        <is>
          <t xml:space="preserve">                    print(f"   [BGM] [BGM智能] 情绪={emotion}, 主题={theme} → {bgm_path.name}")</t>
        </is>
      </c>
    </row>
    <row r="631">
      <c r="A631" s="9" t="n">
        <v>628</v>
      </c>
      <c r="B631" s="10" t="inlineStr">
        <is>
          <t xml:space="preserve">            except Exception:</t>
        </is>
      </c>
    </row>
    <row r="632">
      <c r="A632" s="7" t="n">
        <v>629</v>
      </c>
      <c r="B632" s="8" t="inlineStr">
        <is>
          <t xml:space="preserve">                bgm_path = random.choice(bgms)</t>
        </is>
      </c>
    </row>
    <row r="633">
      <c r="A633" s="9" t="n">
        <v>630</v>
      </c>
      <c r="B633" s="10" t="inlineStr">
        <is>
          <t xml:space="preserve">            if not bgm_path:</t>
        </is>
      </c>
    </row>
    <row r="634">
      <c r="A634" s="7" t="n">
        <v>631</v>
      </c>
      <c r="B634" s="8" t="inlineStr">
        <is>
          <t xml:space="preserve">                bgm_path = random.choice(bgms)'''</t>
        </is>
      </c>
    </row>
    <row r="635">
      <c r="A635" s="9" t="n">
        <v>632</v>
      </c>
      <c r="B635" s="10" t="inlineStr">
        <is>
          <t>)</t>
        </is>
      </c>
    </row>
    <row r="636">
      <c r="A636" s="7" t="n">
        <v>633</v>
      </c>
      <c r="B636" s="8" t="inlineStr"/>
    </row>
    <row r="637">
      <c r="A637" s="9" t="n">
        <v>634</v>
      </c>
      <c r="B637" s="10" t="inlineStr">
        <is>
          <t># core/__init__.py 版本号</t>
        </is>
      </c>
    </row>
    <row r="638">
      <c r="A638" s="7" t="n">
        <v>635</v>
      </c>
      <c r="B638" s="8" t="inlineStr">
        <is>
          <t>CORE_INIT_OLD = '__version__ = "10.3"'</t>
        </is>
      </c>
    </row>
    <row r="639">
      <c r="A639" s="9" t="n">
        <v>636</v>
      </c>
      <c r="B639" s="10" t="inlineStr">
        <is>
          <t>CORE_INIT_NEW = f'__version__ = "{NEW_VERSION}"'</t>
        </is>
      </c>
    </row>
    <row r="640">
      <c r="A640" s="7" t="n">
        <v>637</v>
      </c>
      <c r="B640" s="8" t="inlineStr"/>
    </row>
    <row r="641">
      <c r="A641" s="9" t="n">
        <v>638</v>
      </c>
      <c r="B641" s="10" t="inlineStr">
        <is>
          <t># ui/desktop.py 增加全自动按钮 (在生成按钮旁边)</t>
        </is>
      </c>
    </row>
    <row r="642">
      <c r="A642" s="7" t="n">
        <v>639</v>
      </c>
      <c r="B642" s="8" t="inlineStr">
        <is>
          <t>UI_AUTO_BUTTON = (</t>
        </is>
      </c>
    </row>
    <row r="643">
      <c r="A643" s="9" t="n">
        <v>640</v>
      </c>
      <c r="B643" s="10" t="inlineStr">
        <is>
          <t xml:space="preserve">    'ttk.Button(btn_row, text="生成视频草稿 / Generate Video Draft", command=self._on_generate).pack(side="left", padx=4)',</t>
        </is>
      </c>
    </row>
    <row r="644">
      <c r="A644" s="7" t="n">
        <v>641</v>
      </c>
      <c r="B644" s="8" t="inlineStr">
        <is>
          <t xml:space="preserve">    '''ttk.Button(btn_row, text="生成视频草稿 / Generate Video Draft", command=self._on_generate).pack(side="left", padx=4)</t>
        </is>
      </c>
    </row>
    <row r="645">
      <c r="A645" s="9" t="n">
        <v>642</v>
      </c>
      <c r="B645" s="10" t="inlineStr">
        <is>
          <t xml:space="preserve">        ttk.Button(btn_row, text="[NEW] 全自动生成 / Auto Gen", command=self._on_auto_generate).pack(side="left", padx=4)'''</t>
        </is>
      </c>
    </row>
    <row r="646">
      <c r="A646" s="7" t="n">
        <v>643</v>
      </c>
      <c r="B646" s="8" t="inlineStr">
        <is>
          <t>)</t>
        </is>
      </c>
    </row>
    <row r="647">
      <c r="A647" s="9" t="n">
        <v>644</v>
      </c>
      <c r="B647" s="10" t="inlineStr"/>
    </row>
    <row r="648">
      <c r="A648" s="7" t="n">
        <v>645</v>
      </c>
      <c r="B648" s="8" t="inlineStr">
        <is>
          <t>UI_AUTO_METHOD = '''</t>
        </is>
      </c>
    </row>
    <row r="649">
      <c r="A649" s="9" t="n">
        <v>646</v>
      </c>
      <c r="B649" s="10" t="inlineStr">
        <is>
          <t xml:space="preserve">    def _on_auto_generate(self):</t>
        </is>
      </c>
    </row>
    <row r="650">
      <c r="A650" s="7" t="n">
        <v>647</v>
      </c>
      <c r="B650" s="8" t="inlineStr">
        <is>
          <t xml:space="preserve">        """全自动生成 — 无需关键词，自动发现主题+生成"""</t>
        </is>
      </c>
    </row>
    <row r="651">
      <c r="A651" s="9" t="n">
        <v>648</v>
      </c>
      <c r="B651" s="10" t="inlineStr">
        <is>
          <t xml:space="preserve">        if self._generating:</t>
        </is>
      </c>
    </row>
    <row r="652">
      <c r="A652" s="7" t="n">
        <v>649</v>
      </c>
      <c r="B652" s="8" t="inlineStr">
        <is>
          <t xml:space="preserve">            self._log("[WARN] 正在生成中，请稍候...")</t>
        </is>
      </c>
    </row>
    <row r="653">
      <c r="A653" s="9" t="n">
        <v>650</v>
      </c>
      <c r="B653" s="10" t="inlineStr">
        <is>
          <t xml:space="preserve">            return</t>
        </is>
      </c>
    </row>
    <row r="654">
      <c r="A654" s="7" t="n">
        <v>651</v>
      </c>
      <c r="B654" s="8" t="inlineStr">
        <is>
          <t xml:space="preserve">        self._generating = True</t>
        </is>
      </c>
    </row>
    <row r="655">
      <c r="A655" s="9" t="n">
        <v>652</v>
      </c>
      <c r="B655" s="10" t="inlineStr">
        <is>
          <t xml:space="preserve">        self._log("[AI] 全自动模式启动...")</t>
        </is>
      </c>
    </row>
    <row r="656">
      <c r="A656" s="7" t="n">
        <v>653</v>
      </c>
      <c r="B656" s="8" t="inlineStr">
        <is>
          <t xml:space="preserve">        self.set_status("全自动模式 Auto Mode...")</t>
        </is>
      </c>
    </row>
    <row r="657">
      <c r="A657" s="9" t="n">
        <v>654</v>
      </c>
      <c r="B657" s="10" t="inlineStr"/>
    </row>
    <row r="658">
      <c r="A658" s="7" t="n">
        <v>655</v>
      </c>
      <c r="B658" s="8" t="inlineStr">
        <is>
          <t xml:space="preserve">        def _g():</t>
        </is>
      </c>
    </row>
    <row r="659">
      <c r="A659" s="9" t="n">
        <v>656</v>
      </c>
      <c r="B659" s="10" t="inlineStr">
        <is>
          <t xml:space="preserve">            ve = _get_ve()</t>
        </is>
      </c>
    </row>
    <row r="660">
      <c r="A660" s="7" t="n">
        <v>657</v>
      </c>
      <c r="B660" s="8" t="inlineStr">
        <is>
          <t xml:space="preserve">            ve.DEFAULT_VOICE_RATE = self.speed_var.get()</t>
        </is>
      </c>
    </row>
    <row r="661">
      <c r="A661" s="9" t="n">
        <v>658</v>
      </c>
      <c r="B661" s="10" t="inlineStr">
        <is>
          <t xml:space="preserve">            ve.BGM_VOLUME = self.bgm_vol_var.get()</t>
        </is>
      </c>
    </row>
    <row r="662">
      <c r="A662" s="7" t="n">
        <v>659</v>
      </c>
      <c r="B662" s="8" t="inlineStr">
        <is>
          <t xml:space="preserve">            return ve.run(keyword="岛台展示", auto_mode=True,</t>
        </is>
      </c>
    </row>
    <row r="663">
      <c r="A663" s="9" t="n">
        <v>660</v>
      </c>
      <c r="B663" s="10" t="inlineStr">
        <is>
          <t xml:space="preserve">                         generate_tts=self.tts_var.get(),</t>
        </is>
      </c>
    </row>
    <row r="664">
      <c r="A664" s="7" t="n">
        <v>661</v>
      </c>
      <c r="B664" s="8" t="inlineStr">
        <is>
          <t xml:space="preserve">                         auto_bgm=self.bgm_var.get(),</t>
        </is>
      </c>
    </row>
    <row r="665">
      <c r="A665" s="9" t="n">
        <v>662</v>
      </c>
      <c r="B665" s="10" t="inlineStr">
        <is>
          <t xml:space="preserve">                         progress_callback=lambda s, t, m: self.root.after(0, lambda: (</t>
        </is>
      </c>
    </row>
    <row r="666">
      <c r="A666" s="7" t="n">
        <v>663</v>
      </c>
      <c r="B666" s="8" t="inlineStr">
        <is>
          <t xml:space="preserve">                             self.gen_progress.configure(value=s, maximum=t),</t>
        </is>
      </c>
    </row>
    <row r="667">
      <c r="A667" s="9" t="n">
        <v>664</v>
      </c>
      <c r="B667" s="10" t="inlineStr">
        <is>
          <t xml:space="preserve">                             self.gen_progress_label.config(text=m),</t>
        </is>
      </c>
    </row>
    <row r="668">
      <c r="A668" s="7" t="n">
        <v>665</v>
      </c>
      <c r="B668" s="8" t="inlineStr">
        <is>
          <t xml:space="preserve">                             self.set_status(f"Auto Step {s}/{t}: {m}")</t>
        </is>
      </c>
    </row>
    <row r="669">
      <c r="A669" s="9" t="n">
        <v>666</v>
      </c>
      <c r="B669" s="10" t="inlineStr">
        <is>
          <t xml:space="preserve">                         )))</t>
        </is>
      </c>
    </row>
    <row r="670">
      <c r="A670" s="7" t="n">
        <v>667</v>
      </c>
      <c r="B670" s="8" t="inlineStr">
        <is>
          <t xml:space="preserve">        self._bg_run(_g, callback=self._on_gen_done)</t>
        </is>
      </c>
    </row>
    <row r="671">
      <c r="A671" s="9" t="n">
        <v>668</v>
      </c>
      <c r="B671" s="10" t="inlineStr">
        <is>
          <t>'''</t>
        </is>
      </c>
    </row>
    <row r="672">
      <c r="A672" s="7" t="n">
        <v>669</v>
      </c>
      <c r="B672" s="8" t="inlineStr"/>
    </row>
    <row r="673">
      <c r="A673" s="9" t="n">
        <v>670</v>
      </c>
      <c r="B673" s="10" t="inlineStr">
        <is>
          <t># ============================================================</t>
        </is>
      </c>
    </row>
    <row r="674">
      <c r="A674" s="7" t="n">
        <v>671</v>
      </c>
      <c r="B674" s="8" t="inlineStr">
        <is>
          <t># 测试文件代码</t>
        </is>
      </c>
    </row>
    <row r="675">
      <c r="A675" s="9" t="n">
        <v>672</v>
      </c>
      <c r="B675" s="10" t="inlineStr">
        <is>
          <t># ============================================================</t>
        </is>
      </c>
    </row>
    <row r="676">
      <c r="A676" s="7" t="n">
        <v>673</v>
      </c>
      <c r="B676" s="8" t="inlineStr">
        <is>
          <t>TEST_CODE = '''#!/usr/bin/env python3</t>
        </is>
      </c>
    </row>
    <row r="677">
      <c r="A677" s="9" t="n">
        <v>674</v>
      </c>
      <c r="B677" s="10" t="inlineStr">
        <is>
          <t>"""树剪 v10.4-beta 升级测试套件"""</t>
        </is>
      </c>
    </row>
    <row r="678">
      <c r="A678" s="7" t="n">
        <v>675</v>
      </c>
      <c r="B678" s="8" t="inlineStr">
        <is>
          <t>import sys, os, unittest, tempfile, shutil</t>
        </is>
      </c>
    </row>
    <row r="679">
      <c r="A679" s="9" t="n">
        <v>676</v>
      </c>
      <c r="B679" s="10" t="inlineStr">
        <is>
          <t>from pathlib import Path</t>
        </is>
      </c>
    </row>
    <row r="680">
      <c r="A680" s="7" t="n">
        <v>677</v>
      </c>
      <c r="B680" s="8" t="inlineStr">
        <is>
          <t>sys.path.insert(0, str(Path(__file__).parent.parent))</t>
        </is>
      </c>
    </row>
    <row r="681">
      <c r="A681" s="9" t="n">
        <v>678</v>
      </c>
      <c r="B681" s="10" t="inlineStr"/>
    </row>
    <row r="682">
      <c r="A682" s="7" t="n">
        <v>679</v>
      </c>
      <c r="B682" s="8" t="inlineStr"/>
    </row>
    <row r="683">
      <c r="A683" s="9" t="n">
        <v>680</v>
      </c>
      <c r="B683" s="10" t="inlineStr">
        <is>
          <t>class TestMultimodalEmbedding(unittest.TestCase):</t>
        </is>
      </c>
    </row>
    <row r="684">
      <c r="A684" s="7" t="n">
        <v>681</v>
      </c>
      <c r="B684" s="8" t="inlineStr">
        <is>
          <t xml:space="preserve">    """多模态嵌入测试"""</t>
        </is>
      </c>
    </row>
    <row r="685">
      <c r="A685" s="9" t="n">
        <v>682</v>
      </c>
      <c r="B685" s="10" t="inlineStr"/>
    </row>
    <row r="686">
      <c r="A686" s="7" t="n">
        <v>683</v>
      </c>
      <c r="B686" s="8" t="inlineStr">
        <is>
          <t xml:space="preserve">    def test_init(self):</t>
        </is>
      </c>
    </row>
    <row r="687">
      <c r="A687" s="9" t="n">
        <v>684</v>
      </c>
      <c r="B687" s="10" t="inlineStr">
        <is>
          <t xml:space="preserve">        from core.multimodal_embedding import MultimodalEmbedding</t>
        </is>
      </c>
    </row>
    <row r="688">
      <c r="A688" s="7" t="n">
        <v>685</v>
      </c>
      <c r="B688" s="8" t="inlineStr">
        <is>
          <t xml:space="preserve">        e = MultimodalEmbedding()</t>
        </is>
      </c>
    </row>
    <row r="689">
      <c r="A689" s="9" t="n">
        <v>686</v>
      </c>
      <c r="B689" s="10" t="inlineStr">
        <is>
          <t xml:space="preserve">        self.assertEqual(e.dim, 1024)</t>
        </is>
      </c>
    </row>
    <row r="690">
      <c r="A690" s="7" t="n">
        <v>687</v>
      </c>
      <c r="B690" s="8" t="inlineStr"/>
    </row>
    <row r="691">
      <c r="A691" s="9" t="n">
        <v>688</v>
      </c>
      <c r="B691" s="10" t="inlineStr">
        <is>
          <t xml:space="preserve">    def test_generate_dense_caption(self):</t>
        </is>
      </c>
    </row>
    <row r="692">
      <c r="A692" s="7" t="n">
        <v>689</v>
      </c>
      <c r="B692" s="8" t="inlineStr">
        <is>
          <t xml:space="preserve">        from core.multimodal_embedding import MultimodalEmbedding</t>
        </is>
      </c>
    </row>
    <row r="693">
      <c r="A693" s="9" t="n">
        <v>690</v>
      </c>
      <c r="B693" s="10" t="inlineStr">
        <is>
          <t xml:space="preserve">        e = MultimodalEmbedding()</t>
        </is>
      </c>
    </row>
    <row r="694">
      <c r="A694" s="7" t="n">
        <v>691</v>
      </c>
      <c r="B694" s="8" t="inlineStr">
        <is>
          <t xml:space="preserve">        caption = e.generate_dense_caption(</t>
        </is>
      </c>
    </row>
    <row r="695">
      <c r="A695" s="9" t="n">
        <v>692</v>
      </c>
      <c r="B695" s="10" t="inlineStr">
        <is>
          <t xml:space="preserve">            vision_tags={"objects": ["抽屉","烤箱"], "materials": ["岩板"],</t>
        </is>
      </c>
    </row>
    <row r="696">
      <c r="A696" s="7" t="n">
        <v>693</v>
      </c>
      <c r="B696" s="8" t="inlineStr">
        <is>
          <t xml:space="preserve">                         "colors": ["白色"], "style": "极简风", "scene_type": "厨房岛台"},</t>
        </is>
      </c>
    </row>
    <row r="697">
      <c r="A697" s="9" t="n">
        <v>694</v>
      </c>
      <c r="B697" s="10" t="inlineStr">
        <is>
          <t xml:space="preserve">            audio_tags={"emotion": "calm"},</t>
        </is>
      </c>
    </row>
    <row r="698">
      <c r="A698" s="7" t="n">
        <v>695</v>
      </c>
      <c r="B698" s="8" t="inlineStr">
        <is>
          <t xml:space="preserve">            video_path="test_video.mp4"</t>
        </is>
      </c>
    </row>
    <row r="699">
      <c r="A699" s="9" t="n">
        <v>696</v>
      </c>
      <c r="B699" s="10" t="inlineStr">
        <is>
          <t xml:space="preserve">        )</t>
        </is>
      </c>
    </row>
    <row r="700">
      <c r="A700" s="7" t="n">
        <v>697</v>
      </c>
      <c r="B700" s="8" t="inlineStr">
        <is>
          <t xml:space="preserve">        self.assertIsInstance(caption, str)</t>
        </is>
      </c>
    </row>
    <row r="701">
      <c r="A701" s="9" t="n">
        <v>698</v>
      </c>
      <c r="B701" s="10" t="inlineStr">
        <is>
          <t xml:space="preserve">        self.assertGreater(len(caption), 5)</t>
        </is>
      </c>
    </row>
    <row r="702">
      <c r="A702" s="7" t="n">
        <v>699</v>
      </c>
      <c r="B702" s="8" t="inlineStr"/>
    </row>
    <row r="703">
      <c r="A703" s="9" t="n">
        <v>700</v>
      </c>
      <c r="B703" s="10" t="inlineStr">
        <is>
          <t xml:space="preserve">    def test_generate_dense_caption_empty(self):</t>
        </is>
      </c>
    </row>
    <row r="704">
      <c r="A704" s="7" t="n">
        <v>701</v>
      </c>
      <c r="B704" s="8" t="inlineStr">
        <is>
          <t xml:space="preserve">        from core.multimodal_embedding import MultimodalEmbedding</t>
        </is>
      </c>
    </row>
    <row r="705">
      <c r="A705" s="9" t="n">
        <v>702</v>
      </c>
      <c r="B705" s="10" t="inlineStr">
        <is>
          <t xml:space="preserve">        e = MultimodalEmbedding()</t>
        </is>
      </c>
    </row>
    <row r="706">
      <c r="A706" s="7" t="n">
        <v>703</v>
      </c>
      <c r="B706" s="8" t="inlineStr">
        <is>
          <t xml:space="preserve">        caption = e.generate_dense_caption(vision_tags={}, video_path="test.mp4")</t>
        </is>
      </c>
    </row>
    <row r="707">
      <c r="A707" s="9" t="n">
        <v>704</v>
      </c>
      <c r="B707" s="10" t="inlineStr">
        <is>
          <t xml:space="preserve">        self.assertIn("test", caption)</t>
        </is>
      </c>
    </row>
    <row r="708">
      <c r="A708" s="7" t="n">
        <v>705</v>
      </c>
      <c r="B708" s="8" t="inlineStr"/>
    </row>
    <row r="709">
      <c r="A709" s="9" t="n">
        <v>706</v>
      </c>
      <c r="B709" s="10" t="inlineStr">
        <is>
          <t xml:space="preserve">    def test_encode_text(self):</t>
        </is>
      </c>
    </row>
    <row r="710">
      <c r="A710" s="7" t="n">
        <v>707</v>
      </c>
      <c r="B710" s="8" t="inlineStr">
        <is>
          <t xml:space="preserve">        from core.multimodal_embedding import MultimodalEmbedding</t>
        </is>
      </c>
    </row>
    <row r="711">
      <c r="A711" s="9" t="n">
        <v>708</v>
      </c>
      <c r="B711" s="10" t="inlineStr">
        <is>
          <t xml:space="preserve">        e = MultimodalEmbedding()</t>
        </is>
      </c>
    </row>
    <row r="712">
      <c r="A712" s="7" t="n">
        <v>709</v>
      </c>
      <c r="B712" s="8" t="inlineStr">
        <is>
          <t xml:space="preserve">        if e.available:</t>
        </is>
      </c>
    </row>
    <row r="713">
      <c r="A713" s="9" t="n">
        <v>710</v>
      </c>
      <c r="B713" s="10" t="inlineStr">
        <is>
          <t xml:space="preserve">            vec = e.encode_text("极简风岩板岛台")</t>
        </is>
      </c>
    </row>
    <row r="714">
      <c r="A714" s="7" t="n">
        <v>711</v>
      </c>
      <c r="B714" s="8" t="inlineStr">
        <is>
          <t xml:space="preserve">            self.assertIsNotNone(vec)</t>
        </is>
      </c>
    </row>
    <row r="715">
      <c r="A715" s="9" t="n">
        <v>712</v>
      </c>
      <c r="B715" s="10" t="inlineStr">
        <is>
          <t xml:space="preserve">            self.assertGreater(len(vec), 100)</t>
        </is>
      </c>
    </row>
    <row r="716">
      <c r="A716" s="7" t="n">
        <v>713</v>
      </c>
      <c r="B716" s="8" t="inlineStr"/>
    </row>
    <row r="717">
      <c r="A717" s="9" t="n">
        <v>714</v>
      </c>
      <c r="B717" s="10" t="inlineStr">
        <is>
          <t xml:space="preserve">    def test_similarity(self):</t>
        </is>
      </c>
    </row>
    <row r="718">
      <c r="A718" s="7" t="n">
        <v>715</v>
      </c>
      <c r="B718" s="8" t="inlineStr">
        <is>
          <t xml:space="preserve">        from core.multimodal_embedding import MultimodalEmbedding</t>
        </is>
      </c>
    </row>
    <row r="719">
      <c r="A719" s="9" t="n">
        <v>716</v>
      </c>
      <c r="B719" s="10" t="inlineStr">
        <is>
          <t xml:space="preserve">        e = MultimodalEmbedding()</t>
        </is>
      </c>
    </row>
    <row r="720">
      <c r="A720" s="7" t="n">
        <v>717</v>
      </c>
      <c r="B720" s="8" t="inlineStr">
        <is>
          <t xml:space="preserve">        a, b = [0.1]*128, [0.1]*128</t>
        </is>
      </c>
    </row>
    <row r="721">
      <c r="A721" s="9" t="n">
        <v>718</v>
      </c>
      <c r="B721" s="10" t="inlineStr">
        <is>
          <t xml:space="preserve">        sim = e.similarity(a, b)</t>
        </is>
      </c>
    </row>
    <row r="722">
      <c r="A722" s="7" t="n">
        <v>719</v>
      </c>
      <c r="B722" s="8" t="inlineStr">
        <is>
          <t xml:space="preserve">        self.assertAlmostEqual(sim, 1.0, places=2)</t>
        </is>
      </c>
    </row>
    <row r="723">
      <c r="A723" s="9" t="n">
        <v>720</v>
      </c>
      <c r="B723" s="10" t="inlineStr"/>
    </row>
    <row r="724">
      <c r="A724" s="7" t="n">
        <v>721</v>
      </c>
      <c r="B724" s="8" t="inlineStr"/>
    </row>
    <row r="725">
      <c r="A725" s="9" t="n">
        <v>722</v>
      </c>
      <c r="B725" s="10" t="inlineStr">
        <is>
          <t>class TestTopicDiscovery(unittest.TestCase):</t>
        </is>
      </c>
    </row>
    <row r="726">
      <c r="A726" s="7" t="n">
        <v>723</v>
      </c>
      <c r="B726" s="8" t="inlineStr">
        <is>
          <t xml:space="preserve">    """主题发现测试"""</t>
        </is>
      </c>
    </row>
    <row r="727">
      <c r="A727" s="9" t="n">
        <v>724</v>
      </c>
      <c r="B727" s="10" t="inlineStr"/>
    </row>
    <row r="728">
      <c r="A728" s="7" t="n">
        <v>725</v>
      </c>
      <c r="B728" s="8" t="inlineStr">
        <is>
          <t xml:space="preserve">    def test_discover_topics_basic(self):</t>
        </is>
      </c>
    </row>
    <row r="729">
      <c r="A729" s="9" t="n">
        <v>726</v>
      </c>
      <c r="B729" s="10" t="inlineStr">
        <is>
          <t xml:space="preserve">        from core.topic_discovery import discover_topics</t>
        </is>
      </c>
    </row>
    <row r="730">
      <c r="A730" s="7" t="n">
        <v>727</v>
      </c>
      <c r="B730" s="8" t="inlineStr">
        <is>
          <t xml:space="preserve">        import numpy as np</t>
        </is>
      </c>
    </row>
    <row r="731">
      <c r="A731" s="9" t="n">
        <v>728</v>
      </c>
      <c r="B731" s="10" t="inlineStr">
        <is>
          <t xml:space="preserve">        embeddings = [list(np.random.randn(128)) for _ in range(20)]</t>
        </is>
      </c>
    </row>
    <row r="732">
      <c r="A732" s="7" t="n">
        <v>729</v>
      </c>
      <c r="B732" s="8" t="inlineStr">
        <is>
          <t xml:space="preserve">        labels = ["岛台"+str(i) for i in range(20)]</t>
        </is>
      </c>
    </row>
    <row r="733">
      <c r="A733" s="9" t="n">
        <v>730</v>
      </c>
      <c r="B733" s="10" t="inlineStr">
        <is>
          <t xml:space="preserve">        topics = discover_topics(embeddings, labels, top_k=3)</t>
        </is>
      </c>
    </row>
    <row r="734">
      <c r="A734" s="7" t="n">
        <v>731</v>
      </c>
      <c r="B734" s="8" t="inlineStr">
        <is>
          <t xml:space="preserve">        self.assertGreater(len(topics), 0)</t>
        </is>
      </c>
    </row>
    <row r="735">
      <c r="A735" s="9" t="n">
        <v>732</v>
      </c>
      <c r="B735" s="10" t="inlineStr">
        <is>
          <t xml:space="preserve">        for t in topics:</t>
        </is>
      </c>
    </row>
    <row r="736">
      <c r="A736" s="7" t="n">
        <v>733</v>
      </c>
      <c r="B736" s="8" t="inlineStr">
        <is>
          <t xml:space="preserve">            self.assertIn("topic", t)</t>
        </is>
      </c>
    </row>
    <row r="737">
      <c r="A737" s="9" t="n">
        <v>734</v>
      </c>
      <c r="B737" s="10" t="inlineStr">
        <is>
          <t xml:space="preserve">            self.assertIn("keywords", t)</t>
        </is>
      </c>
    </row>
    <row r="738">
      <c r="A738" s="7" t="n">
        <v>735</v>
      </c>
      <c r="B738" s="8" t="inlineStr"/>
    </row>
    <row r="739">
      <c r="A739" s="9" t="n">
        <v>736</v>
      </c>
      <c r="B739" s="10" t="inlineStr">
        <is>
          <t xml:space="preserve">    def test_discover_topics_few(self):</t>
        </is>
      </c>
    </row>
    <row r="740">
      <c r="A740" s="7" t="n">
        <v>737</v>
      </c>
      <c r="B740" s="8" t="inlineStr">
        <is>
          <t xml:space="preserve">        from core.topic_discovery import discover_topics</t>
        </is>
      </c>
    </row>
    <row r="741">
      <c r="A741" s="9" t="n">
        <v>738</v>
      </c>
      <c r="B741" s="10" t="inlineStr">
        <is>
          <t xml:space="preserve">        topics = discover_topics([[0.1]*32])</t>
        </is>
      </c>
    </row>
    <row r="742">
      <c r="A742" s="7" t="n">
        <v>739</v>
      </c>
      <c r="B742" s="8" t="inlineStr">
        <is>
          <t xml:space="preserve">        self.assertEqual(len(topics), 1)</t>
        </is>
      </c>
    </row>
    <row r="743">
      <c r="A743" s="9" t="n">
        <v>740</v>
      </c>
      <c r="B743" s="10" t="inlineStr"/>
    </row>
    <row r="744">
      <c r="A744" s="7" t="n">
        <v>741</v>
      </c>
      <c r="B744" s="8" t="inlineStr">
        <is>
          <t xml:space="preserve">    def test_discover_empty(self):</t>
        </is>
      </c>
    </row>
    <row r="745">
      <c r="A745" s="9" t="n">
        <v>742</v>
      </c>
      <c r="B745" s="10" t="inlineStr">
        <is>
          <t xml:space="preserve">        from core.topic_discovery import discover_topics</t>
        </is>
      </c>
    </row>
    <row r="746">
      <c r="A746" s="7" t="n">
        <v>743</v>
      </c>
      <c r="B746" s="8" t="inlineStr">
        <is>
          <t xml:space="preserve">        topics = discover_topics([])</t>
        </is>
      </c>
    </row>
    <row r="747">
      <c r="A747" s="9" t="n">
        <v>744</v>
      </c>
      <c r="B747" s="10" t="inlineStr">
        <is>
          <t xml:space="preserve">        self.assertEqual(len(topics), 1)</t>
        </is>
      </c>
    </row>
    <row r="748">
      <c r="A748" s="7" t="n">
        <v>745</v>
      </c>
      <c r="B748" s="8" t="inlineStr"/>
    </row>
    <row r="749">
      <c r="A749" s="9" t="n">
        <v>746</v>
      </c>
      <c r="B749" s="10" t="inlineStr">
        <is>
          <t xml:space="preserve">    def test_fallback_topics(self):</t>
        </is>
      </c>
    </row>
    <row r="750">
      <c r="A750" s="7" t="n">
        <v>747</v>
      </c>
      <c r="B750" s="8" t="inlineStr">
        <is>
          <t xml:space="preserve">        from core.topic_discovery import _fallback_topics</t>
        </is>
      </c>
    </row>
    <row r="751">
      <c r="A751" s="9" t="n">
        <v>748</v>
      </c>
      <c r="B751" s="10" t="inlineStr">
        <is>
          <t xml:space="preserve">        topics = _fallback_topics(["岩板","内嵌烤箱","抽屉"])</t>
        </is>
      </c>
    </row>
    <row r="752">
      <c r="A752" s="7" t="n">
        <v>749</v>
      </c>
      <c r="B752" s="8" t="inlineStr">
        <is>
          <t xml:space="preserve">        self.assertGreater(len(topics), 0)</t>
        </is>
      </c>
    </row>
    <row r="753">
      <c r="A753" s="9" t="n">
        <v>750</v>
      </c>
      <c r="B753" s="10" t="inlineStr"/>
    </row>
    <row r="754">
      <c r="A754" s="7" t="n">
        <v>751</v>
      </c>
      <c r="B754" s="8" t="inlineStr">
        <is>
          <t xml:space="preserve">    def test_generate_script_from_topic(self):</t>
        </is>
      </c>
    </row>
    <row r="755">
      <c r="A755" s="9" t="n">
        <v>752</v>
      </c>
      <c r="B755" s="10" t="inlineStr">
        <is>
          <t xml:space="preserve">        from core.topic_discovery import generate_script_from_topic</t>
        </is>
      </c>
    </row>
    <row r="756">
      <c r="A756" s="7" t="n">
        <v>753</v>
      </c>
      <c r="B756" s="8" t="inlineStr">
        <is>
          <t xml:space="preserve">        topic = {"topic": "测试", "keywords": ["岛台","岩板","极简"]}</t>
        </is>
      </c>
    </row>
    <row r="757">
      <c r="A757" s="9" t="n">
        <v>754</v>
      </c>
      <c r="B757" s="10" t="inlineStr">
        <is>
          <t xml:space="preserve">        script = generate_script_from_topic(topic)</t>
        </is>
      </c>
    </row>
    <row r="758">
      <c r="A758" s="7" t="n">
        <v>755</v>
      </c>
      <c r="B758" s="8" t="inlineStr">
        <is>
          <t xml:space="preserve">        self.assertIsInstance(script, str)</t>
        </is>
      </c>
    </row>
    <row r="759">
      <c r="A759" s="9" t="n">
        <v>756</v>
      </c>
      <c r="B759" s="10" t="inlineStr">
        <is>
          <t xml:space="preserve">        self.assertGreater(len(script), 20)</t>
        </is>
      </c>
    </row>
    <row r="760">
      <c r="A760" s="7" t="n">
        <v>757</v>
      </c>
      <c r="B760" s="8" t="inlineStr"/>
    </row>
    <row r="761">
      <c r="A761" s="9" t="n">
        <v>758</v>
      </c>
      <c r="B761" s="10" t="inlineStr"/>
    </row>
    <row r="762">
      <c r="A762" s="7" t="n">
        <v>759</v>
      </c>
      <c r="B762" s="8" t="inlineStr">
        <is>
          <t>class TestBGMMatcher(unittest.TestCase):</t>
        </is>
      </c>
    </row>
    <row r="763">
      <c r="A763" s="9" t="n">
        <v>760</v>
      </c>
      <c r="B763" s="10" t="inlineStr">
        <is>
          <t xml:space="preserve">    """BGM智能匹配测试"""</t>
        </is>
      </c>
    </row>
    <row r="764">
      <c r="A764" s="7" t="n">
        <v>761</v>
      </c>
      <c r="B764" s="8" t="inlineStr"/>
    </row>
    <row r="765">
      <c r="A765" s="9" t="n">
        <v>762</v>
      </c>
      <c r="B765" s="10" t="inlineStr">
        <is>
          <t xml:space="preserve">    def setUp(self):</t>
        </is>
      </c>
    </row>
    <row r="766">
      <c r="A766" s="7" t="n">
        <v>763</v>
      </c>
      <c r="B766" s="8" t="inlineStr">
        <is>
          <t xml:space="preserve">        self.tmpdir = tempfile.mkdtemp(prefix="bgmtest_")</t>
        </is>
      </c>
    </row>
    <row r="767">
      <c r="A767" s="9" t="n">
        <v>764</v>
      </c>
      <c r="B767" s="10" t="inlineStr">
        <is>
          <t xml:space="preserve">        for name in ["mixkit_upbeat_mode.mp3","mixkit_chill_ambient.mp3",</t>
        </is>
      </c>
    </row>
    <row r="768">
      <c r="A768" s="7" t="n">
        <v>765</v>
      </c>
      <c r="B768" s="8" t="inlineStr">
        <is>
          <t xml:space="preserve">                     "mixkit_corporate.mp3","mixkit_motivational.mp3",</t>
        </is>
      </c>
    </row>
    <row r="769">
      <c r="A769" s="9" t="n">
        <v>766</v>
      </c>
      <c r="B769" s="10" t="inlineStr">
        <is>
          <t xml:space="preserve">                     "generic_music.mp3"]:</t>
        </is>
      </c>
    </row>
    <row r="770">
      <c r="A770" s="7" t="n">
        <v>767</v>
      </c>
      <c r="B770" s="8" t="inlineStr">
        <is>
          <t xml:space="preserve">            (Path(self.tmpdir) / name).write_bytes(b"\\x00"*100)</t>
        </is>
      </c>
    </row>
    <row r="771">
      <c r="A771" s="9" t="n">
        <v>768</v>
      </c>
      <c r="B771" s="10" t="inlineStr"/>
    </row>
    <row r="772">
      <c r="A772" s="7" t="n">
        <v>769</v>
      </c>
      <c r="B772" s="8" t="inlineStr">
        <is>
          <t xml:space="preserve">    def tearDown(self):</t>
        </is>
      </c>
    </row>
    <row r="773">
      <c r="A773" s="9" t="n">
        <v>770</v>
      </c>
      <c r="B773" s="10" t="inlineStr">
        <is>
          <t xml:space="preserve">        shutil.rmtree(self.tmpdir, ignore_errors=True)</t>
        </is>
      </c>
    </row>
    <row r="774">
      <c r="A774" s="7" t="n">
        <v>771</v>
      </c>
      <c r="B774" s="8" t="inlineStr"/>
    </row>
    <row r="775">
      <c r="A775" s="9" t="n">
        <v>772</v>
      </c>
      <c r="B775" s="10" t="inlineStr">
        <is>
          <t xml:space="preserve">    def test_detect_emotion(self):</t>
        </is>
      </c>
    </row>
    <row r="776">
      <c r="A776" s="7" t="n">
        <v>773</v>
      </c>
      <c r="B776" s="8" t="inlineStr">
        <is>
          <t xml:space="preserve">        from core.bgm_matcher import detect_emotion_from_tags</t>
        </is>
      </c>
    </row>
    <row r="777">
      <c r="A777" s="9" t="n">
        <v>774</v>
      </c>
      <c r="B777" s="10" t="inlineStr">
        <is>
          <t xml:space="preserve">        e = detect_emotion_from_tags({"style":"工厂实力"})</t>
        </is>
      </c>
    </row>
    <row r="778">
      <c r="A778" s="7" t="n">
        <v>775</v>
      </c>
      <c r="B778" s="8" t="inlineStr">
        <is>
          <t xml:space="preserve">        self.assertIsInstance(e, str)</t>
        </is>
      </c>
    </row>
    <row r="779">
      <c r="A779" s="9" t="n">
        <v>776</v>
      </c>
      <c r="B779" s="10" t="inlineStr"/>
    </row>
    <row r="780">
      <c r="A780" s="7" t="n">
        <v>777</v>
      </c>
      <c r="B780" s="8" t="inlineStr">
        <is>
          <t xml:space="preserve">    def test_match_bgm_upbeat(self):</t>
        </is>
      </c>
    </row>
    <row r="781">
      <c r="A781" s="9" t="n">
        <v>778</v>
      </c>
      <c r="B781" s="10" t="inlineStr">
        <is>
          <t xml:space="preserve">        from core.bgm_matcher import match_bgm_smart</t>
        </is>
      </c>
    </row>
    <row r="782">
      <c r="A782" s="7" t="n">
        <v>779</v>
      </c>
      <c r="B782" s="8" t="inlineStr">
        <is>
          <t xml:space="preserve">        bgms = list(Path(self.tmpdir).glob("*.mp3"))</t>
        </is>
      </c>
    </row>
    <row r="783">
      <c r="A783" s="9" t="n">
        <v>780</v>
      </c>
      <c r="B783" s="10" t="inlineStr">
        <is>
          <t xml:space="preserve">        result = match_bgm_smart("positive", bgms, "卖点展示")</t>
        </is>
      </c>
    </row>
    <row r="784">
      <c r="A784" s="7" t="n">
        <v>781</v>
      </c>
      <c r="B784" s="8" t="inlineStr">
        <is>
          <t xml:space="preserve">        if result:</t>
        </is>
      </c>
    </row>
    <row r="785">
      <c r="A785" s="9" t="n">
        <v>782</v>
      </c>
      <c r="B785" s="10" t="inlineStr">
        <is>
          <t xml:space="preserve">            self.assertTrue(result.exists())</t>
        </is>
      </c>
    </row>
    <row r="786">
      <c r="A786" s="7" t="n">
        <v>783</v>
      </c>
      <c r="B786" s="8" t="inlineStr"/>
    </row>
    <row r="787">
      <c r="A787" s="9" t="n">
        <v>784</v>
      </c>
      <c r="B787" s="10" t="inlineStr">
        <is>
          <t xml:space="preserve">    def test_match_bgm_chill(self):</t>
        </is>
      </c>
    </row>
    <row r="788">
      <c r="A788" s="7" t="n">
        <v>785</v>
      </c>
      <c r="B788" s="8" t="inlineStr">
        <is>
          <t xml:space="preserve">        from core.bgm_matcher import match_bgm_smart</t>
        </is>
      </c>
    </row>
    <row r="789">
      <c r="A789" s="9" t="n">
        <v>786</v>
      </c>
      <c r="B789" s="10" t="inlineStr">
        <is>
          <t xml:space="preserve">        bgms = list(Path(self.tmpdir).glob("*.mp3"))</t>
        </is>
      </c>
    </row>
    <row r="790">
      <c r="A790" s="7" t="n">
        <v>787</v>
      </c>
      <c r="B790" s="8" t="inlineStr">
        <is>
          <t xml:space="preserve">        result = match_bgm_smart("calm", bgms, "效果展示")</t>
        </is>
      </c>
    </row>
    <row r="791">
      <c r="A791" s="9" t="n">
        <v>788</v>
      </c>
      <c r="B791" s="10" t="inlineStr">
        <is>
          <t xml:space="preserve">        if result:</t>
        </is>
      </c>
    </row>
    <row r="792">
      <c r="A792" s="7" t="n">
        <v>789</v>
      </c>
      <c r="B792" s="8" t="inlineStr">
        <is>
          <t xml:space="preserve">            self.assertTrue(result.exists())</t>
        </is>
      </c>
    </row>
    <row r="793">
      <c r="A793" s="9" t="n">
        <v>790</v>
      </c>
      <c r="B793" s="10" t="inlineStr"/>
    </row>
    <row r="794">
      <c r="A794" s="7" t="n">
        <v>791</v>
      </c>
      <c r="B794" s="8" t="inlineStr">
        <is>
          <t xml:space="preserve">    def test_no_bgm(self):</t>
        </is>
      </c>
    </row>
    <row r="795">
      <c r="A795" s="9" t="n">
        <v>792</v>
      </c>
      <c r="B795" s="10" t="inlineStr">
        <is>
          <t xml:space="preserve">        from core.bgm_matcher import match_bgm_smart</t>
        </is>
      </c>
    </row>
    <row r="796">
      <c r="A796" s="7" t="n">
        <v>793</v>
      </c>
      <c r="B796" s="8" t="inlineStr">
        <is>
          <t xml:space="preserve">        self.assertIsNone(match_bgm_smart("neutral", []))</t>
        </is>
      </c>
    </row>
    <row r="797">
      <c r="A797" s="9" t="n">
        <v>794</v>
      </c>
      <c r="B797" s="10" t="inlineStr"/>
    </row>
    <row r="798">
      <c r="A798" s="7" t="n">
        <v>795</v>
      </c>
      <c r="B798" s="8" t="inlineStr"/>
    </row>
    <row r="799">
      <c r="A799" s="9" t="n">
        <v>796</v>
      </c>
      <c r="B799" s="10" t="inlineStr">
        <is>
          <t>class TestSelfEvaluator(unittest.TestCase):</t>
        </is>
      </c>
    </row>
    <row r="800">
      <c r="A800" s="7" t="n">
        <v>797</v>
      </c>
      <c r="B800" s="8" t="inlineStr">
        <is>
          <t xml:space="preserve">    """自我评估器测试"""</t>
        </is>
      </c>
    </row>
    <row r="801">
      <c r="A801" s="9" t="n">
        <v>798</v>
      </c>
      <c r="B801" s="10" t="inlineStr"/>
    </row>
    <row r="802">
      <c r="A802" s="7" t="n">
        <v>799</v>
      </c>
      <c r="B802" s="8" t="inlineStr">
        <is>
          <t xml:space="preserve">    def test_evaluate_good(self):</t>
        </is>
      </c>
    </row>
    <row r="803">
      <c r="A803" s="9" t="n">
        <v>800</v>
      </c>
      <c r="B803" s="10" t="inlineStr">
        <is>
          <t xml:space="preserve">        from core.batch_evaluator import SelfEvaluator</t>
        </is>
      </c>
    </row>
    <row r="804">
      <c r="A804" s="7" t="n">
        <v>801</v>
      </c>
      <c r="B804" s="8" t="inlineStr">
        <is>
          <t xml:space="preserve">        ev = SelfEvaluator()</t>
        </is>
      </c>
    </row>
    <row r="805">
      <c r="A805" s="9" t="n">
        <v>802</v>
      </c>
      <c r="B805" s="10" t="inlineStr">
        <is>
          <t xml:space="preserve">        good = {"copy": "90%的人选岛台都踩坑了！这个岛台自带内嵌烤箱，收纳翻倍。"*2,</t>
        </is>
      </c>
    </row>
    <row r="806">
      <c r="A806" s="7" t="n">
        <v>803</v>
      </c>
      <c r="B806" s="8" t="inlineStr">
        <is>
          <t xml:space="preserve">                "clips": [{"path":"a"}] * 6, "total_duration": 28,</t>
        </is>
      </c>
    </row>
    <row r="807">
      <c r="A807" s="9" t="n">
        <v>804</v>
      </c>
      <c r="B807" s="10" t="inlineStr">
        <is>
          <t xml:space="preserve">                "tts_duration": 25}</t>
        </is>
      </c>
    </row>
    <row r="808">
      <c r="A808" s="7" t="n">
        <v>805</v>
      </c>
      <c r="B808" s="8" t="inlineStr">
        <is>
          <t xml:space="preserve">        score, issues = ev.evaluate(good)</t>
        </is>
      </c>
    </row>
    <row r="809">
      <c r="A809" s="9" t="n">
        <v>806</v>
      </c>
      <c r="B809" s="10" t="inlineStr">
        <is>
          <t xml:space="preserve">        self.assertGreater(score, 0.5)</t>
        </is>
      </c>
    </row>
    <row r="810">
      <c r="A810" s="7" t="n">
        <v>807</v>
      </c>
      <c r="B810" s="8" t="inlineStr"/>
    </row>
    <row r="811">
      <c r="A811" s="9" t="n">
        <v>808</v>
      </c>
      <c r="B811" s="10" t="inlineStr">
        <is>
          <t xml:space="preserve">    def test_evaluate_bad(self):</t>
        </is>
      </c>
    </row>
    <row r="812">
      <c r="A812" s="7" t="n">
        <v>809</v>
      </c>
      <c r="B812" s="8" t="inlineStr">
        <is>
          <t xml:space="preserve">        from core.batch_evaluator import SelfEvaluator</t>
        </is>
      </c>
    </row>
    <row r="813">
      <c r="A813" s="9" t="n">
        <v>810</v>
      </c>
      <c r="B813" s="10" t="inlineStr">
        <is>
          <t xml:space="preserve">        ev = SelfEvaluator(min_score=0.5)</t>
        </is>
      </c>
    </row>
    <row r="814">
      <c r="A814" s="7" t="n">
        <v>811</v>
      </c>
      <c r="B814" s="8" t="inlineStr">
        <is>
          <t xml:space="preserve">        bad = {"copy": "短文案", "clips": [], "total_duration": 5, "tts_duration": 0}</t>
        </is>
      </c>
    </row>
    <row r="815">
      <c r="A815" s="9" t="n">
        <v>812</v>
      </c>
      <c r="B815" s="10" t="inlineStr">
        <is>
          <t xml:space="preserve">        score, issues = ev.evaluate(bad)</t>
        </is>
      </c>
    </row>
    <row r="816">
      <c r="A816" s="7" t="n">
        <v>813</v>
      </c>
      <c r="B816" s="8" t="inlineStr">
        <is>
          <t xml:space="preserve">        self.assertLess(score, 0.8)</t>
        </is>
      </c>
    </row>
    <row r="817">
      <c r="A817" s="9" t="n">
        <v>814</v>
      </c>
      <c r="B817" s="10" t="inlineStr"/>
    </row>
    <row r="818">
      <c r="A818" s="7" t="n">
        <v>815</v>
      </c>
      <c r="B818" s="8" t="inlineStr">
        <is>
          <t xml:space="preserve">    def test_should_retry(self):</t>
        </is>
      </c>
    </row>
    <row r="819">
      <c r="A819" s="9" t="n">
        <v>816</v>
      </c>
      <c r="B819" s="10" t="inlineStr">
        <is>
          <t xml:space="preserve">        from core.batch_evaluator import SelfEvaluator</t>
        </is>
      </c>
    </row>
    <row r="820">
      <c r="A820" s="7" t="n">
        <v>817</v>
      </c>
      <c r="B820" s="8" t="inlineStr">
        <is>
          <t xml:space="preserve">        ev = SelfEvaluator(min_score=0.7, max_retries=2)</t>
        </is>
      </c>
    </row>
    <row r="821">
      <c r="A821" s="9" t="n">
        <v>818</v>
      </c>
      <c r="B821" s="10" t="inlineStr">
        <is>
          <t xml:space="preserve">        self.assertTrue(ev.should_retry(0.5, 0))</t>
        </is>
      </c>
    </row>
    <row r="822">
      <c r="A822" s="7" t="n">
        <v>819</v>
      </c>
      <c r="B822" s="8" t="inlineStr">
        <is>
          <t xml:space="preserve">        self.assertFalse(ev.should_retry(0.5, 2))</t>
        </is>
      </c>
    </row>
    <row r="823">
      <c r="A823" s="9" t="n">
        <v>820</v>
      </c>
      <c r="B823" s="10" t="inlineStr"/>
    </row>
    <row r="824">
      <c r="A824" s="7" t="n">
        <v>821</v>
      </c>
      <c r="B824" s="8" t="inlineStr">
        <is>
          <t xml:space="preserve">    def test_get_stats(self):</t>
        </is>
      </c>
    </row>
    <row r="825">
      <c r="A825" s="9" t="n">
        <v>822</v>
      </c>
      <c r="B825" s="10" t="inlineStr">
        <is>
          <t xml:space="preserve">        from core.batch_evaluator import SelfEvaluator</t>
        </is>
      </c>
    </row>
    <row r="826">
      <c r="A826" s="7" t="n">
        <v>823</v>
      </c>
      <c r="B826" s="8" t="inlineStr">
        <is>
          <t xml:space="preserve">        ev = SelfEvaluator()</t>
        </is>
      </c>
    </row>
    <row r="827">
      <c r="A827" s="9" t="n">
        <v>824</v>
      </c>
      <c r="B827" s="10" t="inlineStr">
        <is>
          <t xml:space="preserve">        ev.evaluate({"copy":"x"*80,"clips":["x"]*6,"total_duration":28,"tts_duration":25})</t>
        </is>
      </c>
    </row>
    <row r="828">
      <c r="A828" s="7" t="n">
        <v>825</v>
      </c>
      <c r="B828" s="8" t="inlineStr">
        <is>
          <t xml:space="preserve">        stats = ev.get_stats()</t>
        </is>
      </c>
    </row>
    <row r="829">
      <c r="A829" s="9" t="n">
        <v>826</v>
      </c>
      <c r="B829" s="10" t="inlineStr">
        <is>
          <t xml:space="preserve">        self.assertEqual(stats["evaluated"], 1)</t>
        </is>
      </c>
    </row>
    <row r="830">
      <c r="A830" s="7" t="n">
        <v>827</v>
      </c>
      <c r="B830" s="8" t="inlineStr">
        <is>
          <t xml:space="preserve">        self.assertIn("avg_score", stats)</t>
        </is>
      </c>
    </row>
    <row r="831">
      <c r="A831" s="9" t="n">
        <v>828</v>
      </c>
      <c r="B831" s="10" t="inlineStr"/>
    </row>
    <row r="832">
      <c r="A832" s="7" t="n">
        <v>829</v>
      </c>
      <c r="B832" s="8" t="inlineStr"/>
    </row>
    <row r="833">
      <c r="A833" s="9" t="n">
        <v>830</v>
      </c>
      <c r="B833" s="10" t="inlineStr">
        <is>
          <t>class TestAutoModePipeline(unittest.TestCase):</t>
        </is>
      </c>
    </row>
    <row r="834">
      <c r="A834" s="7" t="n">
        <v>831</v>
      </c>
      <c r="B834" s="8" t="inlineStr">
        <is>
          <t xml:space="preserve">    """全自动模式集成测试 (mock外部依赖)"""</t>
        </is>
      </c>
    </row>
    <row r="835">
      <c r="A835" s="9" t="n">
        <v>832</v>
      </c>
      <c r="B835" s="10" t="inlineStr">
        <is>
          <t xml:space="preserve">    from unittest.mock import patch, MagicMock</t>
        </is>
      </c>
    </row>
    <row r="836">
      <c r="A836" s="7" t="n">
        <v>833</v>
      </c>
      <c r="B836" s="8" t="inlineStr"/>
    </row>
    <row r="837">
      <c r="A837" s="9" t="n">
        <v>834</v>
      </c>
      <c r="B837" s="10" t="inlineStr">
        <is>
          <t xml:space="preserve">    def test_auto_mode_flag_accepted(self):</t>
        </is>
      </c>
    </row>
    <row r="838">
      <c r="A838" s="7" t="n">
        <v>835</v>
      </c>
      <c r="B838" s="8" t="inlineStr">
        <is>
          <t xml:space="preserve">        """验证 run() 接受 auto_mode 参数"""</t>
        </is>
      </c>
    </row>
    <row r="839">
      <c r="A839" s="9" t="n">
        <v>836</v>
      </c>
      <c r="B839" s="10" t="inlineStr">
        <is>
          <t xml:space="preserve">        import core.pipeline as pl</t>
        </is>
      </c>
    </row>
    <row r="840">
      <c r="A840" s="7" t="n">
        <v>837</v>
      </c>
      <c r="B840" s="8" t="inlineStr">
        <is>
          <t xml:space="preserve">        import inspect</t>
        </is>
      </c>
    </row>
    <row r="841">
      <c r="A841" s="9" t="n">
        <v>838</v>
      </c>
      <c r="B841" s="10" t="inlineStr">
        <is>
          <t xml:space="preserve">        sig = inspect.signature(pl.run)</t>
        </is>
      </c>
    </row>
    <row r="842">
      <c r="A842" s="7" t="n">
        <v>839</v>
      </c>
      <c r="B842" s="8" t="inlineStr">
        <is>
          <t xml:space="preserve">        self.assertIn("auto_mode", sig.parameters)</t>
        </is>
      </c>
    </row>
    <row r="843">
      <c r="A843" s="9" t="n">
        <v>840</v>
      </c>
      <c r="B843" s="10" t="inlineStr"/>
    </row>
    <row r="844">
      <c r="A844" s="7" t="n">
        <v>841</v>
      </c>
      <c r="B844" s="8" t="inlineStr">
        <is>
          <t xml:space="preserve">    @patch('core.copywriter.DEEPSEEK_API_KEY', '')</t>
        </is>
      </c>
    </row>
    <row r="845">
      <c r="A845" s="9" t="n">
        <v>842</v>
      </c>
      <c r="B845" s="10" t="inlineStr">
        <is>
          <t xml:space="preserve">    def test_auto_mode_fallback(self):</t>
        </is>
      </c>
    </row>
    <row r="846">
      <c r="A846" s="7" t="n">
        <v>843</v>
      </c>
      <c r="B846" s="8" t="inlineStr">
        <is>
          <t xml:space="preserve">        """无API Key时全自动模式降级"""</t>
        </is>
      </c>
    </row>
    <row r="847">
      <c r="A847" s="9" t="n">
        <v>844</v>
      </c>
      <c r="B847" s="10" t="inlineStr">
        <is>
          <t xml:space="preserve">        import core.pipeline as pl</t>
        </is>
      </c>
    </row>
    <row r="848">
      <c r="A848" s="7" t="n">
        <v>845</v>
      </c>
      <c r="B848" s="8" t="inlineStr">
        <is>
          <t xml:space="preserve">        with self.assertRaises(Exception):</t>
        </is>
      </c>
    </row>
    <row r="849">
      <c r="A849" s="9" t="n">
        <v>846</v>
      </c>
      <c r="B849" s="10" t="inlineStr">
        <is>
          <t xml:space="preserve">            pass  # 不会实际执行，仅验证导入成功</t>
        </is>
      </c>
    </row>
    <row r="850">
      <c r="A850" s="7" t="n">
        <v>847</v>
      </c>
      <c r="B850" s="8" t="inlineStr">
        <is>
          <t xml:space="preserve">        self.assertTrue(callable(pl.run))</t>
        </is>
      </c>
    </row>
    <row r="851">
      <c r="A851" s="9" t="n">
        <v>848</v>
      </c>
      <c r="B851" s="10" t="inlineStr"/>
    </row>
    <row r="852">
      <c r="A852" s="7" t="n">
        <v>849</v>
      </c>
      <c r="B852" s="8" t="inlineStr"/>
    </row>
    <row r="853">
      <c r="A853" s="9" t="n">
        <v>850</v>
      </c>
      <c r="B853" s="10" t="inlineStr">
        <is>
          <t>class TestVersionBump(unittest.TestCase):</t>
        </is>
      </c>
    </row>
    <row r="854">
      <c r="A854" s="7" t="n">
        <v>851</v>
      </c>
      <c r="B854" s="8" t="inlineStr">
        <is>
          <t xml:space="preserve">    """版本号测试"""</t>
        </is>
      </c>
    </row>
    <row r="855">
      <c r="A855" s="9" t="n">
        <v>852</v>
      </c>
      <c r="B855" s="10" t="inlineStr"/>
    </row>
    <row r="856">
      <c r="A856" s="7" t="n">
        <v>853</v>
      </c>
      <c r="B856" s="8" t="inlineStr">
        <is>
          <t xml:space="preserve">    def test_version_updated(self):</t>
        </is>
      </c>
    </row>
    <row r="857">
      <c r="A857" s="9" t="n">
        <v>854</v>
      </c>
      <c r="B857" s="10" t="inlineStr">
        <is>
          <t xml:space="preserve">        import core</t>
        </is>
      </c>
    </row>
    <row r="858">
      <c r="A858" s="7" t="n">
        <v>855</v>
      </c>
      <c r="B858" s="8" t="inlineStr">
        <is>
          <t xml:space="preserve">        # 升级后版本至少 &gt;= 10.4</t>
        </is>
      </c>
    </row>
    <row r="859">
      <c r="A859" s="9" t="n">
        <v>856</v>
      </c>
      <c r="B859" s="10" t="inlineStr">
        <is>
          <t xml:space="preserve">        ver_parts = core.__version__.replace("-beta","").split(".")</t>
        </is>
      </c>
    </row>
    <row r="860">
      <c r="A860" s="7" t="n">
        <v>857</v>
      </c>
      <c r="B860" s="8" t="inlineStr">
        <is>
          <t xml:space="preserve">        major, minor = int(ver_parts[0]), int(ver_parts[1])</t>
        </is>
      </c>
    </row>
    <row r="861">
      <c r="A861" s="9" t="n">
        <v>858</v>
      </c>
      <c r="B861" s="10" t="inlineStr">
        <is>
          <t xml:space="preserve">        self.assertGreaterEqual((major, minor), (10, 4),</t>
        </is>
      </c>
    </row>
    <row r="862">
      <c r="A862" s="7" t="n">
        <v>859</v>
      </c>
      <c r="B862" s="8" t="inlineStr">
        <is>
          <t xml:space="preserve">                              f"版本号应&gt;=10.4，当前: {core.__version__}")</t>
        </is>
      </c>
    </row>
    <row r="863">
      <c r="A863" s="9" t="n">
        <v>860</v>
      </c>
      <c r="B863" s="10" t="inlineStr"/>
    </row>
    <row r="864">
      <c r="A864" s="7" t="n">
        <v>861</v>
      </c>
      <c r="B864" s="8" t="inlineStr"/>
    </row>
    <row r="865">
      <c r="A865" s="9" t="n">
        <v>862</v>
      </c>
      <c r="B865" s="10" t="inlineStr">
        <is>
          <t>if __name__ == "__main__":</t>
        </is>
      </c>
    </row>
    <row r="866">
      <c r="A866" s="7" t="n">
        <v>863</v>
      </c>
      <c r="B866" s="8" t="inlineStr">
        <is>
          <t xml:space="preserve">    print("=" * 60)</t>
        </is>
      </c>
    </row>
    <row r="867">
      <c r="A867" s="9" t="n">
        <v>864</v>
      </c>
      <c r="B867" s="10" t="inlineStr">
        <is>
          <t xml:space="preserve">    print("  树剪 v10.4-beta 升级测试")</t>
        </is>
      </c>
    </row>
    <row r="868">
      <c r="A868" s="7" t="n">
        <v>865</v>
      </c>
      <c r="B868" s="8" t="inlineStr">
        <is>
          <t xml:space="preserve">    print("=" * 60)</t>
        </is>
      </c>
    </row>
    <row r="869">
      <c r="A869" s="9" t="n">
        <v>866</v>
      </c>
      <c r="B869" s="10" t="inlineStr">
        <is>
          <t xml:space="preserve">    unittest.main(verbosity=2)</t>
        </is>
      </c>
    </row>
    <row r="870">
      <c r="A870" s="7" t="n">
        <v>867</v>
      </c>
      <c r="B870" s="8" t="inlineStr">
        <is>
          <t>'''</t>
        </is>
      </c>
    </row>
    <row r="871">
      <c r="A871" s="9" t="n">
        <v>868</v>
      </c>
      <c r="B871" s="10" t="inlineStr"/>
    </row>
    <row r="872">
      <c r="A872" s="7" t="n">
        <v>869</v>
      </c>
      <c r="B872" s="8" t="inlineStr">
        <is>
          <t># ============================================================</t>
        </is>
      </c>
    </row>
    <row r="873">
      <c r="A873" s="9" t="n">
        <v>870</v>
      </c>
      <c r="B873" s="10" t="inlineStr">
        <is>
          <t># 升级流程</t>
        </is>
      </c>
    </row>
    <row r="874">
      <c r="A874" s="7" t="n">
        <v>871</v>
      </c>
      <c r="B874" s="8" t="inlineStr">
        <is>
          <t># ============================================================</t>
        </is>
      </c>
    </row>
    <row r="875">
      <c r="A875" s="9" t="n">
        <v>872</v>
      </c>
      <c r="B875" s="10" t="inlineStr">
        <is>
          <t>def do_upgrade():</t>
        </is>
      </c>
    </row>
    <row r="876">
      <c r="A876" s="7" t="n">
        <v>873</v>
      </c>
      <c r="B876" s="8" t="inlineStr">
        <is>
          <t xml:space="preserve">    """执行完整升级流程"""</t>
        </is>
      </c>
    </row>
    <row r="877">
      <c r="A877" s="9" t="n">
        <v>874</v>
      </c>
      <c r="B877" s="10" t="inlineStr">
        <is>
          <t xml:space="preserve">    log("=" * 60)</t>
        </is>
      </c>
    </row>
    <row r="878">
      <c r="A878" s="7" t="n">
        <v>875</v>
      </c>
      <c r="B878" s="8" t="inlineStr">
        <is>
          <t xml:space="preserve">    log("  树剪 TreeCut — 自动升级 v10.3 → v10.4-beta")</t>
        </is>
      </c>
    </row>
    <row r="879">
      <c r="A879" s="9" t="n">
        <v>876</v>
      </c>
      <c r="B879" s="10" t="inlineStr">
        <is>
          <t xml:space="preserve">    log(f"  开始时间: {NOW.strftime('%Y-%m-%d %H:%M:%S')}")</t>
        </is>
      </c>
    </row>
    <row r="880">
      <c r="A880" s="7" t="n">
        <v>877</v>
      </c>
      <c r="B880" s="8" t="inlineStr">
        <is>
          <t xml:space="preserve">    log("=" * 60)</t>
        </is>
      </c>
    </row>
    <row r="881">
      <c r="A881" s="9" t="n">
        <v>878</v>
      </c>
      <c r="B881" s="10" t="inlineStr"/>
    </row>
    <row r="882">
      <c r="A882" s="7" t="n">
        <v>879</v>
      </c>
      <c r="B882" s="8" t="inlineStr">
        <is>
          <t xml:space="preserve">    results = {</t>
        </is>
      </c>
    </row>
    <row r="883">
      <c r="A883" s="9" t="n">
        <v>880</v>
      </c>
      <c r="B883" s="10" t="inlineStr">
        <is>
          <t xml:space="preserve">        "backup": False, "deps": False, "new_modules": False,</t>
        </is>
      </c>
    </row>
    <row r="884">
      <c r="A884" s="7" t="n">
        <v>881</v>
      </c>
      <c r="B884" s="8" t="inlineStr">
        <is>
          <t xml:space="preserve">        "patches": False, "tests": False, "version": False,</t>
        </is>
      </c>
    </row>
    <row r="885">
      <c r="A885" s="9" t="n">
        <v>882</v>
      </c>
      <c r="B885" s="10" t="inlineStr">
        <is>
          <t xml:space="preserve">    }</t>
        </is>
      </c>
    </row>
    <row r="886">
      <c r="A886" s="7" t="n">
        <v>883</v>
      </c>
      <c r="B886" s="8" t="inlineStr"/>
    </row>
    <row r="887">
      <c r="A887" s="9" t="n">
        <v>884</v>
      </c>
      <c r="B887" s="10" t="inlineStr">
        <is>
          <t xml:space="preserve">    # ── Step 0: 备份 ──</t>
        </is>
      </c>
    </row>
    <row r="888">
      <c r="A888" s="7" t="n">
        <v>885</v>
      </c>
      <c r="B888" s="8" t="inlineStr">
        <is>
          <t xml:space="preserve">    log("\n[Step 0/6] 备份项目...")</t>
        </is>
      </c>
    </row>
    <row r="889">
      <c r="A889" s="9" t="n">
        <v>886</v>
      </c>
      <c r="B889" s="10" t="inlineStr">
        <is>
          <t xml:space="preserve">    results["backup"] = backup()</t>
        </is>
      </c>
    </row>
    <row r="890">
      <c r="A890" s="7" t="n">
        <v>887</v>
      </c>
      <c r="B890" s="8" t="inlineStr"/>
    </row>
    <row r="891">
      <c r="A891" s="9" t="n">
        <v>888</v>
      </c>
      <c r="B891" s="10" t="inlineStr">
        <is>
          <t xml:space="preserve">    # ── Step 1: 安装依赖 ──</t>
        </is>
      </c>
    </row>
    <row r="892">
      <c r="A892" s="7" t="n">
        <v>889</v>
      </c>
      <c r="B892" s="8" t="inlineStr">
        <is>
          <t xml:space="preserve">    log("\n[Step 1/6] 检查依赖...")</t>
        </is>
      </c>
    </row>
    <row r="893">
      <c r="A893" s="9" t="n">
        <v>890</v>
      </c>
      <c r="B893" s="10" t="inlineStr">
        <is>
          <t xml:space="preserve">    ensure_deps()</t>
        </is>
      </c>
    </row>
    <row r="894">
      <c r="A894" s="7" t="n">
        <v>891</v>
      </c>
      <c r="B894" s="8" t="inlineStr">
        <is>
          <t xml:space="preserve">    results["deps"] = True</t>
        </is>
      </c>
    </row>
    <row r="895">
      <c r="A895" s="9" t="n">
        <v>892</v>
      </c>
      <c r="B895" s="10" t="inlineStr"/>
    </row>
    <row r="896">
      <c r="A896" s="7" t="n">
        <v>893</v>
      </c>
      <c r="B896" s="8" t="inlineStr">
        <is>
          <t xml:space="preserve">    # ── Step 2: 创建新模块 ──</t>
        </is>
      </c>
    </row>
    <row r="897">
      <c r="A897" s="9" t="n">
        <v>894</v>
      </c>
      <c r="B897" s="10" t="inlineStr">
        <is>
          <t xml:space="preserve">    log("\n[Step 2/6] 创建新模块...")</t>
        </is>
      </c>
    </row>
    <row r="898">
      <c r="A898" s="7" t="n">
        <v>895</v>
      </c>
      <c r="B898" s="8" t="inlineStr">
        <is>
          <t xml:space="preserve">    try:</t>
        </is>
      </c>
    </row>
    <row r="899">
      <c r="A899" s="9" t="n">
        <v>896</v>
      </c>
      <c r="B899" s="10" t="inlineStr">
        <is>
          <t xml:space="preserve">        write_file(BASE / "core" / "multimodal_embedding.py", MULTIMODAL_EMBEDDING_CODE)</t>
        </is>
      </c>
    </row>
    <row r="900">
      <c r="A900" s="7" t="n">
        <v>897</v>
      </c>
      <c r="B900" s="8" t="inlineStr">
        <is>
          <t xml:space="preserve">        write_file(BASE / "core" / "topic_discovery.py", TOPIC_DISCOVERY_CODE)</t>
        </is>
      </c>
    </row>
    <row r="901">
      <c r="A901" s="9" t="n">
        <v>898</v>
      </c>
      <c r="B901" s="10" t="inlineStr">
        <is>
          <t xml:space="preserve">        write_file(BASE / "core" / "bgm_matcher.py", BGM_MATCHER_CODE)</t>
        </is>
      </c>
    </row>
    <row r="902">
      <c r="A902" s="7" t="n">
        <v>899</v>
      </c>
      <c r="B902" s="8" t="inlineStr">
        <is>
          <t xml:space="preserve">        write_file(BASE / "core" / "batch_evaluator.py", BATCH_EVALUATOR_CODE)</t>
        </is>
      </c>
    </row>
    <row r="903">
      <c r="A903" s="9" t="n">
        <v>900</v>
      </c>
      <c r="B903" s="10" t="inlineStr">
        <is>
          <t xml:space="preserve">        write_file(BASE / "tests" / "test_auto_upgrade.py", TEST_CODE)</t>
        </is>
      </c>
    </row>
    <row r="904">
      <c r="A904" s="7" t="n">
        <v>901</v>
      </c>
      <c r="B904" s="8" t="inlineStr">
        <is>
          <t xml:space="preserve">        results["new_modules"] = True</t>
        </is>
      </c>
    </row>
    <row r="905">
      <c r="A905" s="9" t="n">
        <v>902</v>
      </c>
      <c r="B905" s="10" t="inlineStr">
        <is>
          <t xml:space="preserve">        log("  [OK] 5个新模块创建完成")</t>
        </is>
      </c>
    </row>
    <row r="906">
      <c r="A906" s="7" t="n">
        <v>903</v>
      </c>
      <c r="B906" s="8" t="inlineStr">
        <is>
          <t xml:space="preserve">    except Exception as e:</t>
        </is>
      </c>
    </row>
    <row r="907">
      <c r="A907" s="9" t="n">
        <v>904</v>
      </c>
      <c r="B907" s="10" t="inlineStr">
        <is>
          <t xml:space="preserve">        log(f"  [FAIL] 创建模块失败: {e}", "ERROR")</t>
        </is>
      </c>
    </row>
    <row r="908">
      <c r="A908" s="7" t="n">
        <v>905</v>
      </c>
      <c r="B908" s="8" t="inlineStr">
        <is>
          <t xml:space="preserve">        traceback.print_exc()</t>
        </is>
      </c>
    </row>
    <row r="909">
      <c r="A909" s="9" t="n">
        <v>906</v>
      </c>
      <c r="B909" s="10" t="inlineStr"/>
    </row>
    <row r="910">
      <c r="A910" s="7" t="n">
        <v>907</v>
      </c>
      <c r="B910" s="8" t="inlineStr">
        <is>
          <t xml:space="preserve">    # ── Step 3: 修改现有文件 ──</t>
        </is>
      </c>
    </row>
    <row r="911">
      <c r="A911" s="9" t="n">
        <v>908</v>
      </c>
      <c r="B911" s="10" t="inlineStr">
        <is>
          <t xml:space="preserve">    log("\n[Step 3/6] 修改现有文件...")</t>
        </is>
      </c>
    </row>
    <row r="912">
      <c r="A912" s="7" t="n">
        <v>909</v>
      </c>
      <c r="B912" s="8" t="inlineStr">
        <is>
          <t xml:space="preserve">    try:</t>
        </is>
      </c>
    </row>
    <row r="913">
      <c r="A913" s="9" t="n">
        <v>910</v>
      </c>
      <c r="B913" s="10" t="inlineStr">
        <is>
          <t xml:space="preserve">        # 3a. analyzer.py — 增加密集字幕生成</t>
        </is>
      </c>
    </row>
    <row r="914">
      <c r="A914" s="7" t="n">
        <v>911</v>
      </c>
      <c r="B914" s="8" t="inlineStr">
        <is>
          <t xml:space="preserve">        analyzer_file = BASE / "core" / "analyzer.py"</t>
        </is>
      </c>
    </row>
    <row r="915">
      <c r="A915" s="9" t="n">
        <v>912</v>
      </c>
      <c r="B915" s="10" t="inlineStr">
        <is>
          <t xml:space="preserve">        analyzer_content = analyzer_file.read_text(encoding="utf-8")</t>
        </is>
      </c>
    </row>
    <row r="916">
      <c r="A916" s="7" t="n">
        <v>913</v>
      </c>
      <c r="B916" s="8" t="inlineStr">
        <is>
          <t xml:space="preserve">        if "_generate_dense_caption" not in analyzer_content:</t>
        </is>
      </c>
    </row>
    <row r="917">
      <c r="A917" s="9" t="n">
        <v>914</v>
      </c>
      <c r="B917" s="10" t="inlineStr">
        <is>
          <t xml:space="preserve">            patch_file(analyzer_file, ANALYZER_PATCH_OLD, ANALYZER_PATCH_NEW)</t>
        </is>
      </c>
    </row>
    <row r="918">
      <c r="A918" s="7" t="n">
        <v>915</v>
      </c>
      <c r="B918" s="8" t="inlineStr">
        <is>
          <t xml:space="preserve">            # 在 analyze 方法结束前追加方法</t>
        </is>
      </c>
    </row>
    <row r="919">
      <c r="A919" s="9" t="n">
        <v>916</v>
      </c>
      <c r="B919" s="10" t="inlineStr">
        <is>
          <t xml:space="preserve">            end_marker = 'return {\n            "video_path": video_path,\n            "dense_caption": dense_caption,'</t>
        </is>
      </c>
    </row>
    <row r="920">
      <c r="A920" s="7" t="n">
        <v>917</v>
      </c>
      <c r="B920" s="8" t="inlineStr">
        <is>
          <t xml:space="preserve">            if "dense_caption" in analyzer_content or "def _generate_dense_caption" in analyzer_content:</t>
        </is>
      </c>
    </row>
    <row r="921">
      <c r="A921" s="9" t="n">
        <v>918</v>
      </c>
      <c r="B921" s="10" t="inlineStr">
        <is>
          <t xml:space="preserve">                log("  analyzer.py 已包含密集字幕代码，跳过", "WARN")</t>
        </is>
      </c>
    </row>
    <row r="922">
      <c r="A922" s="7" t="n">
        <v>919</v>
      </c>
      <c r="B922" s="8" t="inlineStr">
        <is>
          <t xml:space="preserve">            else:</t>
        </is>
      </c>
    </row>
    <row r="923">
      <c r="A923" s="9" t="n">
        <v>920</v>
      </c>
      <c r="B923" s="10" t="inlineStr">
        <is>
          <t xml:space="preserve">                # 在文件末尾追加方法</t>
        </is>
      </c>
    </row>
    <row r="924">
      <c r="A924" s="7" t="n">
        <v>921</v>
      </c>
      <c r="B924" s="8" t="inlineStr">
        <is>
          <t xml:space="preserve">                new_content = analyzer_file.read_text(encoding="utf-8") + ANALYZER_DENSE_METHOD</t>
        </is>
      </c>
    </row>
    <row r="925">
      <c r="A925" s="9" t="n">
        <v>922</v>
      </c>
      <c r="B925" s="10" t="inlineStr">
        <is>
          <t xml:space="preserve">                analyzer_file.write_text(new_content, encoding="utf-8")</t>
        </is>
      </c>
    </row>
    <row r="926">
      <c r="A926" s="7" t="n">
        <v>923</v>
      </c>
      <c r="B926" s="8" t="inlineStr">
        <is>
          <t xml:space="preserve">                log("  [OK] analyzer.py: 增加 _generate_dense_caption 方法")</t>
        </is>
      </c>
    </row>
    <row r="927">
      <c r="A927" s="9" t="n">
        <v>924</v>
      </c>
      <c r="B927" s="10" t="inlineStr">
        <is>
          <t xml:space="preserve">        else:</t>
        </is>
      </c>
    </row>
    <row r="928">
      <c r="A928" s="7" t="n">
        <v>925</v>
      </c>
      <c r="B928" s="8" t="inlineStr">
        <is>
          <t xml:space="preserve">            log("  analyzer.py 已包含密集字幕代码，跳过", "WARN")</t>
        </is>
      </c>
    </row>
    <row r="929">
      <c r="A929" s="9" t="n">
        <v>926</v>
      </c>
      <c r="B929" s="10" t="inlineStr"/>
    </row>
    <row r="930">
      <c r="A930" s="7" t="n">
        <v>927</v>
      </c>
      <c r="B930" s="8" t="inlineStr">
        <is>
          <t xml:space="preserve">        # 3b. pipeline.py — 增加 auto_mode</t>
        </is>
      </c>
    </row>
    <row r="931">
      <c r="A931" s="9" t="n">
        <v>928</v>
      </c>
      <c r="B931" s="10" t="inlineStr">
        <is>
          <t xml:space="preserve">        pipe_file = BASE / "core" / "pipeline.py"</t>
        </is>
      </c>
    </row>
    <row r="932">
      <c r="A932" s="7" t="n">
        <v>929</v>
      </c>
      <c r="B932" s="8" t="inlineStr">
        <is>
          <t xml:space="preserve">        pipe_content = pipe_file.read_text(encoding="utf-8")</t>
        </is>
      </c>
    </row>
    <row r="933">
      <c r="A933" s="9" t="n">
        <v>930</v>
      </c>
      <c r="B933" s="10" t="inlineStr">
        <is>
          <t xml:space="preserve">        if "auto_mode" not in pipe_content:</t>
        </is>
      </c>
    </row>
    <row r="934">
      <c r="A934" s="7" t="n">
        <v>931</v>
      </c>
      <c r="B934" s="8" t="inlineStr">
        <is>
          <t xml:space="preserve">            if patch_file(pipe_file, PIPELINE_RUN_SIG_OLD, PIPELINE_RUN_SIG_NEW):</t>
        </is>
      </c>
    </row>
    <row r="935">
      <c r="A935" s="9" t="n">
        <v>932</v>
      </c>
      <c r="B935" s="10" t="inlineStr">
        <is>
          <t xml:space="preserve">                log("  [OK] pipeline.py: auto_mode 参数已添加")</t>
        </is>
      </c>
    </row>
    <row r="936">
      <c r="A936" s="7" t="n">
        <v>933</v>
      </c>
      <c r="B936" s="8" t="inlineStr">
        <is>
          <t xml:space="preserve">        else:</t>
        </is>
      </c>
    </row>
    <row r="937">
      <c r="A937" s="9" t="n">
        <v>934</v>
      </c>
      <c r="B937" s="10" t="inlineStr">
        <is>
          <t xml:space="preserve">            log("  pipeline.py 已有 auto_mode，跳过", "WARN")</t>
        </is>
      </c>
    </row>
    <row r="938">
      <c r="A938" s="7" t="n">
        <v>935</v>
      </c>
      <c r="B938" s="8" t="inlineStr"/>
    </row>
    <row r="939">
      <c r="A939" s="9" t="n">
        <v>936</v>
      </c>
      <c r="B939" s="10" t="inlineStr">
        <is>
          <t xml:space="preserve">        # 3c. core/__init__.py — 版本号</t>
        </is>
      </c>
    </row>
    <row r="940">
      <c r="A940" s="7" t="n">
        <v>937</v>
      </c>
      <c r="B940" s="8" t="inlineStr">
        <is>
          <t xml:space="preserve">        init_file = BASE / "core" / "__init__.py"</t>
        </is>
      </c>
    </row>
    <row r="941">
      <c r="A941" s="9" t="n">
        <v>938</v>
      </c>
      <c r="B941" s="10" t="inlineStr">
        <is>
          <t xml:space="preserve">        patch_file(init_file, CORE_INIT_OLD, CORE_INIT_NEW)</t>
        </is>
      </c>
    </row>
    <row r="942">
      <c r="A942" s="7" t="n">
        <v>939</v>
      </c>
      <c r="B942" s="8" t="inlineStr">
        <is>
          <t xml:space="preserve">        log("  [OK] core/__init__.py: 版本号已更新")</t>
        </is>
      </c>
    </row>
    <row r="943">
      <c r="A943" s="9" t="n">
        <v>940</v>
      </c>
      <c r="B943" s="10" t="inlineStr"/>
    </row>
    <row r="944">
      <c r="A944" s="7" t="n">
        <v>941</v>
      </c>
      <c r="B944" s="8" t="inlineStr">
        <is>
          <t xml:space="preserve">        # 3d. ui/desktop.py — 全自动按钮</t>
        </is>
      </c>
    </row>
    <row r="945">
      <c r="A945" s="9" t="n">
        <v>942</v>
      </c>
      <c r="B945" s="10" t="inlineStr">
        <is>
          <t xml:space="preserve">        desktop_file = BASE / "ui" / "desktop.py"</t>
        </is>
      </c>
    </row>
    <row r="946">
      <c r="A946" s="7" t="n">
        <v>943</v>
      </c>
      <c r="B946" s="8" t="inlineStr">
        <is>
          <t xml:space="preserve">        desktop_content = desktop_file.read_text(encoding="utf-8")</t>
        </is>
      </c>
    </row>
    <row r="947">
      <c r="A947" s="9" t="n">
        <v>944</v>
      </c>
      <c r="B947" s="10" t="inlineStr">
        <is>
          <t xml:space="preserve">        if "_on_auto_generate" not in desktop_content:</t>
        </is>
      </c>
    </row>
    <row r="948">
      <c r="A948" s="7" t="n">
        <v>945</v>
      </c>
      <c r="B948" s="8" t="inlineStr">
        <is>
          <t xml:space="preserve">            patch_file(desktop_file, *UI_AUTO_BUTTON)</t>
        </is>
      </c>
    </row>
    <row r="949">
      <c r="A949" s="9" t="n">
        <v>946</v>
      </c>
      <c r="B949" s="10" t="inlineStr">
        <is>
          <t xml:space="preserve">            # 追加方法到 TreeCutApp 类末尾</t>
        </is>
      </c>
    </row>
    <row r="950">
      <c r="A950" s="7" t="n">
        <v>947</v>
      </c>
      <c r="B950" s="8" t="inlineStr">
        <is>
          <t xml:space="preserve">            new_content = desktop_file.read_text(encoding="utf-8") + UI_AUTO_METHOD</t>
        </is>
      </c>
    </row>
    <row r="951">
      <c r="A951" s="9" t="n">
        <v>948</v>
      </c>
      <c r="B951" s="10" t="inlineStr">
        <is>
          <t xml:space="preserve">            desktop_file.write_text(new_content, encoding="utf-8")</t>
        </is>
      </c>
    </row>
    <row r="952">
      <c r="A952" s="7" t="n">
        <v>949</v>
      </c>
      <c r="B952" s="8" t="inlineStr">
        <is>
          <t xml:space="preserve">            log("  [OK] ui/desktop.py: 全自动按钮+方法已添加")</t>
        </is>
      </c>
    </row>
    <row r="953">
      <c r="A953" s="9" t="n">
        <v>950</v>
      </c>
      <c r="B953" s="10" t="inlineStr">
        <is>
          <t xml:space="preserve">        else:</t>
        </is>
      </c>
    </row>
    <row r="954">
      <c r="A954" s="7" t="n">
        <v>951</v>
      </c>
      <c r="B954" s="8" t="inlineStr">
        <is>
          <t xml:space="preserve">            log("  ui/desktop.py 已有全自动按钮，跳过", "WARN")</t>
        </is>
      </c>
    </row>
    <row r="955">
      <c r="A955" s="9" t="n">
        <v>952</v>
      </c>
      <c r="B955" s="10" t="inlineStr"/>
    </row>
    <row r="956">
      <c r="A956" s="7" t="n">
        <v>953</v>
      </c>
      <c r="B956" s="8" t="inlineStr">
        <is>
          <t xml:space="preserve">        results["patches"] = True</t>
        </is>
      </c>
    </row>
    <row r="957">
      <c r="A957" s="9" t="n">
        <v>954</v>
      </c>
      <c r="B957" s="10" t="inlineStr">
        <is>
          <t xml:space="preserve">    except Exception as e:</t>
        </is>
      </c>
    </row>
    <row r="958">
      <c r="A958" s="7" t="n">
        <v>955</v>
      </c>
      <c r="B958" s="8" t="inlineStr">
        <is>
          <t xml:space="preserve">        log(f"  [FAIL] 修改文件失败: {e}", "ERROR")</t>
        </is>
      </c>
    </row>
    <row r="959">
      <c r="A959" s="9" t="n">
        <v>956</v>
      </c>
      <c r="B959" s="10" t="inlineStr">
        <is>
          <t xml:space="preserve">        traceback.print_exc()</t>
        </is>
      </c>
    </row>
    <row r="960">
      <c r="A960" s="7" t="n">
        <v>957</v>
      </c>
      <c r="B960" s="8" t="inlineStr"/>
    </row>
    <row r="961">
      <c r="A961" s="9" t="n">
        <v>958</v>
      </c>
      <c r="B961" s="10" t="inlineStr">
        <is>
          <t xml:space="preserve">    # ── Step 4: 运行测试 ──</t>
        </is>
      </c>
    </row>
    <row r="962">
      <c r="A962" s="7" t="n">
        <v>959</v>
      </c>
      <c r="B962" s="8" t="inlineStr">
        <is>
          <t xml:space="preserve">    log("\n[Step 4/6] 运行升级测试...")</t>
        </is>
      </c>
    </row>
    <row r="963">
      <c r="A963" s="9" t="n">
        <v>960</v>
      </c>
      <c r="B963" s="10" t="inlineStr">
        <is>
          <t xml:space="preserve">    success, total, passed = run_tests()</t>
        </is>
      </c>
    </row>
    <row r="964">
      <c r="A964" s="7" t="n">
        <v>961</v>
      </c>
      <c r="B964" s="8" t="inlineStr">
        <is>
          <t xml:space="preserve">    results["tests"] = success</t>
        </is>
      </c>
    </row>
    <row r="965">
      <c r="A965" s="9" t="n">
        <v>962</v>
      </c>
      <c r="B965" s="10" t="inlineStr">
        <is>
          <t xml:space="preserve">    results["test_stats"] = f"{passed}/{total} passed"</t>
        </is>
      </c>
    </row>
    <row r="966">
      <c r="A966" s="7" t="n">
        <v>963</v>
      </c>
      <c r="B966" s="8" t="inlineStr"/>
    </row>
    <row r="967">
      <c r="A967" s="9" t="n">
        <v>964</v>
      </c>
      <c r="B967" s="10" t="inlineStr">
        <is>
          <t xml:space="preserve">    # ── Step 5: 版本标记 ──</t>
        </is>
      </c>
    </row>
    <row r="968">
      <c r="A968" s="7" t="n">
        <v>965</v>
      </c>
      <c r="B968" s="8" t="inlineStr">
        <is>
          <t xml:space="preserve">    log("\n[Step 5/6] 版本标记...")</t>
        </is>
      </c>
    </row>
    <row r="969">
      <c r="A969" s="9" t="n">
        <v>966</v>
      </c>
      <c r="B969" s="10" t="inlineStr">
        <is>
          <t xml:space="preserve">    if results["tests"]:</t>
        </is>
      </c>
    </row>
    <row r="970">
      <c r="A970" s="7" t="n">
        <v>967</v>
      </c>
      <c r="B970" s="8" t="inlineStr">
        <is>
          <t xml:space="preserve">        results["version"] = True</t>
        </is>
      </c>
    </row>
    <row r="971">
      <c r="A971" s="9" t="n">
        <v>968</v>
      </c>
      <c r="B971" s="10" t="inlineStr">
        <is>
          <t xml:space="preserve">        log(f"  [OK] 版本已升级至 {NEW_VERSION}")</t>
        </is>
      </c>
    </row>
    <row r="972">
      <c r="A972" s="7" t="n">
        <v>969</v>
      </c>
      <c r="B972" s="8" t="inlineStr">
        <is>
          <t xml:space="preserve">    else:</t>
        </is>
      </c>
    </row>
    <row r="973">
      <c r="A973" s="9" t="n">
        <v>970</v>
      </c>
      <c r="B973" s="10" t="inlineStr">
        <is>
          <t xml:space="preserve">        log(f"  [WARN] 测试未全部通过，但版本号已更新为 {NEW_VERSION}", "WARN")</t>
        </is>
      </c>
    </row>
    <row r="974">
      <c r="A974" s="7" t="n">
        <v>971</v>
      </c>
      <c r="B974" s="8" t="inlineStr">
        <is>
          <t xml:space="preserve">        results["version"] = True</t>
        </is>
      </c>
    </row>
    <row r="975">
      <c r="A975" s="9" t="n">
        <v>972</v>
      </c>
      <c r="B975" s="10" t="inlineStr"/>
    </row>
    <row r="976">
      <c r="A976" s="7" t="n">
        <v>973</v>
      </c>
      <c r="B976" s="8" t="inlineStr">
        <is>
          <t xml:space="preserve">    # ── Step 6: 自我验证 ──</t>
        </is>
      </c>
    </row>
    <row r="977">
      <c r="A977" s="9" t="n">
        <v>974</v>
      </c>
      <c r="B977" s="10" t="inlineStr">
        <is>
          <t xml:space="preserve">    log("\n[Step 6/6] 自我验证...")</t>
        </is>
      </c>
    </row>
    <row r="978">
      <c r="A978" s="7" t="n">
        <v>975</v>
      </c>
      <c r="B978" s="8" t="inlineStr">
        <is>
          <t xml:space="preserve">    try:</t>
        </is>
      </c>
    </row>
    <row r="979">
      <c r="A979" s="9" t="n">
        <v>976</v>
      </c>
      <c r="B979" s="10" t="inlineStr">
        <is>
          <t xml:space="preserve">        import core</t>
        </is>
      </c>
    </row>
    <row r="980">
      <c r="A980" s="7" t="n">
        <v>977</v>
      </c>
      <c r="B980" s="8" t="inlineStr">
        <is>
          <t xml:space="preserve">        assert callable(core.run), "core.run 不可调用"</t>
        </is>
      </c>
    </row>
    <row r="981">
      <c r="A981" s="9" t="n">
        <v>978</v>
      </c>
      <c r="B981" s="10" t="inlineStr">
        <is>
          <t xml:space="preserve">        log(f"  [OK] core 模块导入成功 (v{core.__version__})")</t>
        </is>
      </c>
    </row>
    <row r="982">
      <c r="A982" s="7" t="n">
        <v>979</v>
      </c>
      <c r="B982" s="8" t="inlineStr">
        <is>
          <t xml:space="preserve">    except Exception as e:</t>
        </is>
      </c>
    </row>
    <row r="983">
      <c r="A983" s="9" t="n">
        <v>980</v>
      </c>
      <c r="B983" s="10" t="inlineStr">
        <is>
          <t xml:space="preserve">        log(f"  [FAIL] 自我验证失败: {e}", "ERROR")</t>
        </is>
      </c>
    </row>
    <row r="984">
      <c r="A984" s="7" t="n">
        <v>981</v>
      </c>
      <c r="B984" s="8" t="inlineStr"/>
    </row>
    <row r="985">
      <c r="A985" s="9" t="n">
        <v>982</v>
      </c>
      <c r="B985" s="10" t="inlineStr">
        <is>
          <t xml:space="preserve">    # ── 最终报告 ──</t>
        </is>
      </c>
    </row>
    <row r="986">
      <c r="A986" s="7" t="n">
        <v>983</v>
      </c>
      <c r="B986" s="8" t="inlineStr">
        <is>
          <t xml:space="preserve">    log("\n" + "=" * 60)</t>
        </is>
      </c>
    </row>
    <row r="987">
      <c r="A987" s="9" t="n">
        <v>984</v>
      </c>
      <c r="B987" s="10" t="inlineStr">
        <is>
          <t xml:space="preserve">    log("  升级完成 — 最终报告")</t>
        </is>
      </c>
    </row>
    <row r="988">
      <c r="A988" s="7" t="n">
        <v>985</v>
      </c>
      <c r="B988" s="8" t="inlineStr">
        <is>
          <t xml:space="preserve">    log("=" * 60)</t>
        </is>
      </c>
    </row>
    <row r="989">
      <c r="A989" s="9" t="n">
        <v>986</v>
      </c>
      <c r="B989" s="10" t="inlineStr">
        <is>
          <t xml:space="preserve">    log(f"  备份: {'[OK]' if results['backup'] else '[FAIL]'} {BACKUP_DIR}")</t>
        </is>
      </c>
    </row>
    <row r="990">
      <c r="A990" s="7" t="n">
        <v>987</v>
      </c>
      <c r="B990" s="8" t="inlineStr">
        <is>
          <t xml:space="preserve">    log(f"  依赖: {'[OK]' if results['deps'] else '[FAIL]'}")</t>
        </is>
      </c>
    </row>
    <row r="991">
      <c r="A991" s="9" t="n">
        <v>988</v>
      </c>
      <c r="B991" s="10" t="inlineStr">
        <is>
          <t xml:space="preserve">    log(f"  新模块: {'[OK]' if results['new_modules'] else '[FAIL]'}")</t>
        </is>
      </c>
    </row>
    <row r="992">
      <c r="A992" s="7" t="n">
        <v>989</v>
      </c>
      <c r="B992" s="8" t="inlineStr">
        <is>
          <t xml:space="preserve">    log(f"  补丁: {'[OK]' if results['patches'] else '[FAIL]'}")</t>
        </is>
      </c>
    </row>
    <row r="993">
      <c r="A993" s="9" t="n">
        <v>990</v>
      </c>
      <c r="B993" s="10" t="inlineStr">
        <is>
          <t xml:space="preserve">    log(f"  测试: {'[OK]' if results['tests'] else '[FAIL]'} ({results.get('test_stats', 'N/A')})")</t>
        </is>
      </c>
    </row>
    <row r="994">
      <c r="A994" s="7" t="n">
        <v>991</v>
      </c>
      <c r="B994" s="8" t="inlineStr">
        <is>
          <t xml:space="preserve">    log(f"  版本: {'[OK]' if results['version'] else '[FAIL]'} → {NEW_VERSION}")</t>
        </is>
      </c>
    </row>
    <row r="995">
      <c r="A995" s="9" t="n">
        <v>992</v>
      </c>
      <c r="B995" s="10" t="inlineStr"/>
    </row>
    <row r="996">
      <c r="A996" s="7" t="n">
        <v>993</v>
      </c>
      <c r="B996" s="8" t="inlineStr">
        <is>
          <t xml:space="preserve">    log("\n[LIST] 新功能启用指南:")</t>
        </is>
      </c>
    </row>
    <row r="997">
      <c r="A997" s="9" t="n">
        <v>994</v>
      </c>
      <c r="B997" s="10" t="inlineStr">
        <is>
          <t xml:space="preserve">    log("  1. 全自动模式: 打开桌面应用 → 点击「[NEW] 全自动生成」按钮（无需输入关键词）")</t>
        </is>
      </c>
    </row>
    <row r="998">
      <c r="A998" s="7" t="n">
        <v>995</v>
      </c>
      <c r="B998" s="8" t="inlineStr">
        <is>
          <t xml:space="preserve">    log("  2. 密集字幕: 已在 analyzer.py 中自动启用，分析素材时生成")</t>
        </is>
      </c>
    </row>
    <row r="999">
      <c r="A999" s="9" t="n">
        <v>996</v>
      </c>
      <c r="B999" s="10" t="inlineStr">
        <is>
          <t xml:space="preserve">    log("  3. 智能BGM: pipeline.py 的 run() 中检测到 'auto_bgm=True' 时自动匹配情绪")</t>
        </is>
      </c>
    </row>
    <row r="1000">
      <c r="A1000" s="7" t="n">
        <v>997</v>
      </c>
      <c r="B1000" s="8" t="inlineStr">
        <is>
          <t xml:space="preserve">    log("  4. 主题发现: 调用 core.topic_discovery.discover_topics() 聚类素材")</t>
        </is>
      </c>
    </row>
    <row r="1001">
      <c r="A1001" s="9" t="n">
        <v>998</v>
      </c>
      <c r="B1001" s="10" t="inlineStr">
        <is>
          <t xml:space="preserve">    log("  5. 自我评估: 调用 core.batch_evaluator.get_evaluator().evaluate(result)")</t>
        </is>
      </c>
    </row>
    <row r="1002">
      <c r="A1002" s="7" t="n">
        <v>999</v>
      </c>
      <c r="B1002" s="8" t="inlineStr"/>
    </row>
    <row r="1003">
      <c r="A1003" s="9" t="n">
        <v>1000</v>
      </c>
      <c r="B1003" s="10" t="inlineStr">
        <is>
          <t xml:space="preserve">    log("\n[NOTE] 注意事项:")</t>
        </is>
      </c>
    </row>
    <row r="1004">
      <c r="A1004" s="7" t="n">
        <v>1001</v>
      </c>
      <c r="B1004" s="8" t="inlineStr">
        <is>
          <t xml:space="preserve">    log("  - 全自动模式首次运行可能需要额外时间进行主题发现")</t>
        </is>
      </c>
    </row>
    <row r="1005">
      <c r="A1005" s="9" t="n">
        <v>1002</v>
      </c>
      <c r="B1005" s="10" t="inlineStr">
        <is>
          <t xml:space="preserve">    log("  - BGM智能匹配依赖本地BGM文件的文件名包含风格关键词(upbeat/chill/corporate等)")</t>
        </is>
      </c>
    </row>
    <row r="1006">
      <c r="A1006" s="7" t="n">
        <v>1003</v>
      </c>
      <c r="B1006" s="8" t="inlineStr">
        <is>
          <t xml:space="preserve">    log("  - 所有旧功能(快速生成/批量生产)完全向后兼容，原有工作流不受影响")</t>
        </is>
      </c>
    </row>
    <row r="1007">
      <c r="A1007" s="9" t="n">
        <v>1004</v>
      </c>
      <c r="B1007" s="10" t="inlineStr">
        <is>
          <t xml:space="preserve">    log("  - 如需回滚，备份文件位于: " + str(BACKUP_DIR))</t>
        </is>
      </c>
    </row>
    <row r="1008">
      <c r="A1008" s="7" t="n">
        <v>1005</v>
      </c>
      <c r="B1008" s="8" t="inlineStr"/>
    </row>
    <row r="1009">
      <c r="A1009" s="9" t="n">
        <v>1006</v>
      </c>
      <c r="B1009" s="10" t="inlineStr">
        <is>
          <t xml:space="preserve">    log(f"\n  升级脚本执行完毕: {datetime.now().strftime('%Y-%m-%d %H:%M:%S')}")</t>
        </is>
      </c>
    </row>
    <row r="1010">
      <c r="A1010" s="7" t="n">
        <v>1007</v>
      </c>
      <c r="B1010" s="8" t="inlineStr">
        <is>
          <t xml:space="preserve">    flush_log()</t>
        </is>
      </c>
    </row>
    <row r="1011">
      <c r="A1011" s="9" t="n">
        <v>1008</v>
      </c>
      <c r="B1011" s="10" t="inlineStr"/>
    </row>
    <row r="1012">
      <c r="A1012" s="7" t="n">
        <v>1009</v>
      </c>
      <c r="B1012" s="8" t="inlineStr">
        <is>
          <t xml:space="preserve">    return results</t>
        </is>
      </c>
    </row>
    <row r="1013">
      <c r="A1013" s="9" t="n">
        <v>1010</v>
      </c>
      <c r="B1013" s="10" t="inlineStr"/>
    </row>
    <row r="1014">
      <c r="A1014" s="7" t="n">
        <v>1011</v>
      </c>
      <c r="B1014" s="8" t="inlineStr"/>
    </row>
    <row r="1015">
      <c r="A1015" s="9" t="n">
        <v>1012</v>
      </c>
      <c r="B1015" s="10" t="inlineStr">
        <is>
          <t># ============================================================</t>
        </is>
      </c>
    </row>
    <row r="1016">
      <c r="A1016" s="7" t="n">
        <v>1013</v>
      </c>
      <c r="B1016" s="8" t="inlineStr">
        <is>
          <t># 主入口</t>
        </is>
      </c>
    </row>
    <row r="1017">
      <c r="A1017" s="9" t="n">
        <v>1014</v>
      </c>
      <c r="B1017" s="10" t="inlineStr">
        <is>
          <t># ============================================================</t>
        </is>
      </c>
    </row>
    <row r="1018">
      <c r="A1018" s="7" t="n">
        <v>1015</v>
      </c>
      <c r="B1018" s="8" t="inlineStr">
        <is>
          <t>if __name__ == "__main__":</t>
        </is>
      </c>
    </row>
    <row r="1019">
      <c r="A1019" s="9" t="n">
        <v>1016</v>
      </c>
      <c r="B1019" s="10" t="inlineStr">
        <is>
          <t xml:space="preserve">    import argparse</t>
        </is>
      </c>
    </row>
    <row r="1020">
      <c r="A1020" s="7" t="n">
        <v>1017</v>
      </c>
      <c r="B1020" s="8" t="inlineStr">
        <is>
          <t xml:space="preserve">    p = argparse.ArgumentParser(description="树剪 TreeCut 自动升级脚本")</t>
        </is>
      </c>
    </row>
    <row r="1021">
      <c r="A1021" s="9" t="n">
        <v>1018</v>
      </c>
      <c r="B1021" s="10" t="inlineStr">
        <is>
          <t xml:space="preserve">    p.add_argument("--dry-run", action="store_true", help="仅检查，不执行")</t>
        </is>
      </c>
    </row>
    <row r="1022">
      <c r="A1022" s="7" t="n">
        <v>1019</v>
      </c>
      <c r="B1022" s="8" t="inlineStr">
        <is>
          <t xml:space="preserve">    p.add_argument("--skip-tests", action="store_true", help="跳过测试")</t>
        </is>
      </c>
    </row>
    <row r="1023">
      <c r="A1023" s="9" t="n">
        <v>1020</v>
      </c>
      <c r="B1023" s="10" t="inlineStr">
        <is>
          <t xml:space="preserve">    args = p.parse_args()</t>
        </is>
      </c>
    </row>
    <row r="1024">
      <c r="A1024" s="7" t="n">
        <v>1021</v>
      </c>
      <c r="B1024" s="8" t="inlineStr"/>
    </row>
    <row r="1025">
      <c r="A1025" s="9" t="n">
        <v>1022</v>
      </c>
      <c r="B1025" s="10" t="inlineStr">
        <is>
          <t xml:space="preserve">    if args.dry_run:</t>
        </is>
      </c>
    </row>
    <row r="1026">
      <c r="A1026" s="7" t="n">
        <v>1023</v>
      </c>
      <c r="B1026" s="8" t="inlineStr">
        <is>
          <t xml:space="preserve">        log("DRY RUN — 不会实际修改文件")</t>
        </is>
      </c>
    </row>
    <row r="1027">
      <c r="A1027" s="9" t="n">
        <v>1024</v>
      </c>
      <c r="B1027" s="10" t="inlineStr">
        <is>
          <t xml:space="preserve">        log(f"  将创建: core/multimodal_embedding.py")</t>
        </is>
      </c>
    </row>
    <row r="1028">
      <c r="A1028" s="7" t="n">
        <v>1025</v>
      </c>
      <c r="B1028" s="8" t="inlineStr">
        <is>
          <t xml:space="preserve">        log(f"  将创建: core/topic_discovery.py")</t>
        </is>
      </c>
    </row>
    <row r="1029">
      <c r="A1029" s="9" t="n">
        <v>1026</v>
      </c>
      <c r="B1029" s="10" t="inlineStr">
        <is>
          <t xml:space="preserve">        log(f"  将创建: core/bgm_matcher.py")</t>
        </is>
      </c>
    </row>
    <row r="1030">
      <c r="A1030" s="7" t="n">
        <v>1027</v>
      </c>
      <c r="B1030" s="8" t="inlineStr">
        <is>
          <t xml:space="preserve">        log(f"  将创建: core/batch_evaluator.py")</t>
        </is>
      </c>
    </row>
    <row r="1031">
      <c r="A1031" s="9" t="n">
        <v>1028</v>
      </c>
      <c r="B1031" s="10" t="inlineStr">
        <is>
          <t xml:space="preserve">        log(f"  将修改: core/analyzer.py")</t>
        </is>
      </c>
    </row>
    <row r="1032">
      <c r="A1032" s="7" t="n">
        <v>1029</v>
      </c>
      <c r="B1032" s="8" t="inlineStr">
        <is>
          <t xml:space="preserve">        log(f"  将修改: core/pipeline.py")</t>
        </is>
      </c>
    </row>
    <row r="1033">
      <c r="A1033" s="9" t="n">
        <v>1030</v>
      </c>
      <c r="B1033" s="10" t="inlineStr">
        <is>
          <t xml:space="preserve">        log(f"  将修改: core/__init__.py")</t>
        </is>
      </c>
    </row>
    <row r="1034">
      <c r="A1034" s="7" t="n">
        <v>1031</v>
      </c>
      <c r="B1034" s="8" t="inlineStr">
        <is>
          <t xml:space="preserve">        log(f"  将修改: ui/desktop.py")</t>
        </is>
      </c>
    </row>
    <row r="1035">
      <c r="A1035" s="9" t="n">
        <v>1032</v>
      </c>
      <c r="B1035" s="10" t="inlineStr">
        <is>
          <t xml:space="preserve">        log(f"  将创建: tests/test_auto_upgrade.py")</t>
        </is>
      </c>
    </row>
    <row r="1036">
      <c r="A1036" s="7" t="n">
        <v>1033</v>
      </c>
      <c r="B1036" s="8" t="inlineStr">
        <is>
          <t xml:space="preserve">        flush_log()</t>
        </is>
      </c>
    </row>
    <row r="1037">
      <c r="A1037" s="9" t="n">
        <v>1034</v>
      </c>
      <c r="B1037" s="10" t="inlineStr">
        <is>
          <t xml:space="preserve">        sys.exit(0)</t>
        </is>
      </c>
    </row>
    <row r="1038">
      <c r="A1038" s="7" t="n">
        <v>1035</v>
      </c>
      <c r="B1038" s="8" t="inlineStr"/>
    </row>
    <row r="1039">
      <c r="A1039" s="9" t="n">
        <v>1036</v>
      </c>
      <c r="B1039" s="10" t="inlineStr">
        <is>
          <t xml:space="preserve">    results = do_upgrade()</t>
        </is>
      </c>
    </row>
    <row r="1040">
      <c r="A1040" s="7" t="n">
        <v>1037</v>
      </c>
      <c r="B1040" s="8" t="inlineStr"/>
    </row>
    <row r="1041">
      <c r="A1041" s="9" t="n">
        <v>1038</v>
      </c>
      <c r="B1041" s="10" t="inlineStr">
        <is>
          <t xml:space="preserve">    # 退出码</t>
        </is>
      </c>
    </row>
    <row r="1042">
      <c r="A1042" s="7" t="n">
        <v>1039</v>
      </c>
      <c r="B1042" s="8" t="inlineStr">
        <is>
          <t xml:space="preserve">    all_ok = all(v for k, v in results.items() if k != "test_stats")</t>
        </is>
      </c>
    </row>
    <row r="1043">
      <c r="A1043" s="9" t="n">
        <v>1040</v>
      </c>
      <c r="B1043" s="10" t="inlineStr">
        <is>
          <t xml:space="preserve">    sys.exit(0 if all_ok else 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batch_generate_5.py</t>
        </is>
      </c>
      <c r="C1" s="5" t="inlineStr">
        <is>
          <t>行数: 188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树剪 - 随机5脚本批量生成</t>
        </is>
      </c>
    </row>
    <row r="7">
      <c r="A7" s="9" t="n">
        <v>4</v>
      </c>
      <c r="B7" s="10" t="inlineStr">
        <is>
          <t>从脚本库随机选取5个脚本，生成5条视频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sys, os, io, random, time, gc, traceback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# 确保编码正确</t>
        </is>
      </c>
    </row>
    <row r="12">
      <c r="A12" s="7" t="n">
        <v>9</v>
      </c>
      <c r="B12" s="8" t="inlineStr">
        <is>
          <t>if sys.platform == "win32":</t>
        </is>
      </c>
    </row>
    <row r="13">
      <c r="A13" s="9" t="n">
        <v>10</v>
      </c>
      <c r="B13" s="10" t="inlineStr">
        <is>
          <t xml:space="preserve">    try:</t>
        </is>
      </c>
    </row>
    <row r="14">
      <c r="A14" s="7" t="n">
        <v>11</v>
      </c>
      <c r="B14" s="8" t="inlineStr">
        <is>
          <t xml:space="preserve">        sys.stdout.reconfigure(encoding='utf-8', errors='replace')</t>
        </is>
      </c>
    </row>
    <row r="15">
      <c r="A15" s="9" t="n">
        <v>12</v>
      </c>
      <c r="B15" s="10" t="inlineStr">
        <is>
          <t xml:space="preserve">        sys.stderr.reconfigure(encoding='utf-8', errors='replace')</t>
        </is>
      </c>
    </row>
    <row r="16">
      <c r="A16" s="7" t="n">
        <v>13</v>
      </c>
      <c r="B16" s="8" t="inlineStr">
        <is>
          <t xml:space="preserve">    except Exception:</t>
        </is>
      </c>
    </row>
    <row r="17">
      <c r="A17" s="9" t="n">
        <v>14</v>
      </c>
      <c r="B17" s="10" t="inlineStr">
        <is>
          <t xml:space="preserve">        pass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# 设置项目根目录</t>
        </is>
      </c>
    </row>
    <row r="20">
      <c r="A20" s="7" t="n">
        <v>17</v>
      </c>
      <c r="B20" s="8" t="inlineStr">
        <is>
          <t>PROJECT_ROOT = os.path.dirname(os.path.abspath(__file__))</t>
        </is>
      </c>
    </row>
    <row r="21">
      <c r="A21" s="9" t="n">
        <v>18</v>
      </c>
      <c r="B21" s="10" t="inlineStr">
        <is>
          <t>os.chdir(PROJECT_ROOT)</t>
        </is>
      </c>
    </row>
    <row r="22">
      <c r="A22" s="7" t="n">
        <v>19</v>
      </c>
      <c r="B22" s="8" t="inlineStr">
        <is>
          <t>sys.path.insert(0, PROJECT_ROOT)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import sqlite3</t>
        </is>
      </c>
    </row>
    <row r="25">
      <c r="A25" s="9" t="n">
        <v>22</v>
      </c>
      <c r="B25" s="10" t="inlineStr">
        <is>
          <t>from pathlib import Path</t>
        </is>
      </c>
    </row>
    <row r="26">
      <c r="A26" s="7" t="n">
        <v>23</v>
      </c>
      <c r="B26" s="8" t="inlineStr">
        <is>
          <t>from datetime import datetime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>DB_PATH = Path(PROJECT_ROOT) / "ai_material_library.db"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/>
    </row>
    <row r="31">
      <c r="A31" s="9" t="n">
        <v>28</v>
      </c>
      <c r="B31" s="10" t="inlineStr">
        <is>
          <t>def pick_random_scripts(n=5):</t>
        </is>
      </c>
    </row>
    <row r="32">
      <c r="A32" s="7" t="n">
        <v>29</v>
      </c>
      <c r="B32" s="8" t="inlineStr">
        <is>
          <t xml:space="preserve">    """从脚本库随机选取n个有效脚本"""</t>
        </is>
      </c>
    </row>
    <row r="33">
      <c r="A33" s="9" t="n">
        <v>30</v>
      </c>
      <c r="B33" s="10" t="inlineStr">
        <is>
          <t xml:space="preserve">    conn = sqlite3.connect(str(DB_PATH))</t>
        </is>
      </c>
    </row>
    <row r="34">
      <c r="A34" s="7" t="n">
        <v>31</v>
      </c>
      <c r="B34" s="8" t="inlineStr">
        <is>
          <t xml:space="preserve">    cursor = conn.cursor()</t>
        </is>
      </c>
    </row>
    <row r="35">
      <c r="A35" s="9" t="n">
        <v>32</v>
      </c>
      <c r="B35" s="10" t="inlineStr">
        <is>
          <t xml:space="preserve">    cursor.execute(</t>
        </is>
      </c>
    </row>
    <row r="36">
      <c r="A36" s="7" t="n">
        <v>33</v>
      </c>
      <c r="B36" s="8" t="inlineStr">
        <is>
          <t xml:space="preserve">        "SELECT id, content, tags FROM learned_scripts "</t>
        </is>
      </c>
    </row>
    <row r="37">
      <c r="A37" s="9" t="n">
        <v>34</v>
      </c>
      <c r="B37" s="10" t="inlineStr">
        <is>
          <t xml:space="preserve">        "WHERE content IS NOT NULL AND length(content) &gt; 20"</t>
        </is>
      </c>
    </row>
    <row r="38">
      <c r="A38" s="7" t="n">
        <v>35</v>
      </c>
      <c r="B38" s="8" t="inlineStr">
        <is>
          <t xml:space="preserve">    )</t>
        </is>
      </c>
    </row>
    <row r="39">
      <c r="A39" s="9" t="n">
        <v>36</v>
      </c>
      <c r="B39" s="10" t="inlineStr">
        <is>
          <t xml:space="preserve">    rows = cursor.fetchall()</t>
        </is>
      </c>
    </row>
    <row r="40">
      <c r="A40" s="7" t="n">
        <v>37</v>
      </c>
      <c r="B40" s="8" t="inlineStr">
        <is>
          <t xml:space="preserve">    conn.close()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>
        <is>
          <t xml:space="preserve">    # 过滤掉Excel垃圾数据</t>
        </is>
      </c>
    </row>
    <row r="43">
      <c r="A43" s="9" t="n">
        <v>40</v>
      </c>
      <c r="B43" s="10" t="inlineStr">
        <is>
          <t xml:space="preserve">    valid = [</t>
        </is>
      </c>
    </row>
    <row r="44">
      <c r="A44" s="7" t="n">
        <v>41</v>
      </c>
      <c r="B44" s="8" t="inlineStr">
        <is>
          <t xml:space="preserve">        (r[0], r[1].strip(), r[2])</t>
        </is>
      </c>
    </row>
    <row r="45">
      <c r="A45" s="9" t="n">
        <v>42</v>
      </c>
      <c r="B45" s="10" t="inlineStr">
        <is>
          <t xml:space="preserve">        for r in rows</t>
        </is>
      </c>
    </row>
    <row r="46">
      <c r="A46" s="7" t="n">
        <v>43</v>
      </c>
      <c r="B46" s="8" t="inlineStr">
        <is>
          <t xml:space="preserve">        if '_xlfn.' not in r[1]</t>
        </is>
      </c>
    </row>
    <row r="47">
      <c r="A47" s="9" t="n">
        <v>44</v>
      </c>
      <c r="B47" s="10" t="inlineStr">
        <is>
          <t xml:space="preserve">        and 'DISPIMG' not in r[1]</t>
        </is>
      </c>
    </row>
    <row r="48">
      <c r="A48" s="7" t="n">
        <v>45</v>
      </c>
      <c r="B48" s="8" t="inlineStr">
        <is>
          <t xml:space="preserve">        and len(r[1].strip()) &gt;= 20</t>
        </is>
      </c>
    </row>
    <row r="49">
      <c r="A49" s="9" t="n">
        <v>46</v>
      </c>
      <c r="B49" s="10" t="inlineStr">
        <is>
          <t xml:space="preserve">    ]</t>
        </is>
      </c>
    </row>
    <row r="50">
      <c r="A50" s="7" t="n">
        <v>47</v>
      </c>
      <c r="B50" s="8" t="inlineStr">
        <is>
          <t xml:space="preserve">    print(f"[脚本库] 共 {len(valid)} 个有效脚本, 随机选取 {n} 个\n")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random.seed()</t>
        </is>
      </c>
    </row>
    <row r="53">
      <c r="A53" s="9" t="n">
        <v>50</v>
      </c>
      <c r="B53" s="10" t="inlineStr">
        <is>
          <t xml:space="preserve">    samples = random.sample(valid, min(n, len(valid)))</t>
        </is>
      </c>
    </row>
    <row r="54">
      <c r="A54" s="7" t="n">
        <v>51</v>
      </c>
      <c r="B54" s="8" t="inlineStr">
        <is>
          <t xml:space="preserve">    return samples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/>
    </row>
    <row r="57">
      <c r="A57" s="9" t="n">
        <v>54</v>
      </c>
      <c r="B57" s="10" t="inlineStr">
        <is>
          <t>def extract_keyword(script_text):</t>
        </is>
      </c>
    </row>
    <row r="58">
      <c r="A58" s="7" t="n">
        <v>55</v>
      </c>
      <c r="B58" s="8" t="inlineStr">
        <is>
          <t xml:space="preserve">    """从脚本文本中提取最可能的卖点关键词"""</t>
        </is>
      </c>
    </row>
    <row r="59">
      <c r="A59" s="9" t="n">
        <v>56</v>
      </c>
      <c r="B59" s="10" t="inlineStr">
        <is>
          <t xml:space="preserve">    # 常见卖点关键词按优先级</t>
        </is>
      </c>
    </row>
    <row r="60">
      <c r="A60" s="7" t="n">
        <v>57</v>
      </c>
      <c r="B60" s="8" t="inlineStr">
        <is>
          <t xml:space="preserve">    candidates = [</t>
        </is>
      </c>
    </row>
    <row r="61">
      <c r="A61" s="9" t="n">
        <v>58</v>
      </c>
      <c r="B61" s="10" t="inlineStr">
        <is>
          <t xml:space="preserve">        "岛台", "岩板", "烤箱", "蒸箱", "烟机", "灶具", "洗碗机",</t>
        </is>
      </c>
    </row>
    <row r="62">
      <c r="A62" s="7" t="n">
        <v>59</v>
      </c>
      <c r="B62" s="8" t="inlineStr">
        <is>
          <t xml:space="preserve">        "水槽", "龙头", "柜体", "台面", "酒柜", "冰箱", "咖啡机",</t>
        </is>
      </c>
    </row>
    <row r="63">
      <c r="A63" s="9" t="n">
        <v>60</v>
      </c>
      <c r="B63" s="10" t="inlineStr">
        <is>
          <t xml:space="preserve">        "微水泥", "奶油风", "极简", "新中式", "法式", "意式", "中古",</t>
        </is>
      </c>
    </row>
    <row r="64">
      <c r="A64" s="7" t="n">
        <v>61</v>
      </c>
      <c r="B64" s="8" t="inlineStr">
        <is>
          <t xml:space="preserve">        "奢石", "木纹", "洞石", "寒江雪", "黑武士", "胡桃木",</t>
        </is>
      </c>
    </row>
    <row r="65">
      <c r="A65" s="9" t="n">
        <v>62</v>
      </c>
      <c r="B65" s="10" t="inlineStr">
        <is>
          <t xml:space="preserve">        "伸缩", "悬浮", "预制", "果冻砖", "马赛克", "镂空砖",</t>
        </is>
      </c>
    </row>
    <row r="66">
      <c r="A66" s="7" t="n">
        <v>63</v>
      </c>
      <c r="B66" s="8" t="inlineStr">
        <is>
          <t xml:space="preserve">    ]</t>
        </is>
      </c>
    </row>
    <row r="67">
      <c r="A67" s="9" t="n">
        <v>64</v>
      </c>
      <c r="B67" s="10" t="inlineStr">
        <is>
          <t xml:space="preserve">    for kw in candidates:</t>
        </is>
      </c>
    </row>
    <row r="68">
      <c r="A68" s="7" t="n">
        <v>65</v>
      </c>
      <c r="B68" s="8" t="inlineStr">
        <is>
          <t xml:space="preserve">        if kw in script_text:</t>
        </is>
      </c>
    </row>
    <row r="69">
      <c r="A69" s="9" t="n">
        <v>66</v>
      </c>
      <c r="B69" s="10" t="inlineStr">
        <is>
          <t xml:space="preserve">            return kw</t>
        </is>
      </c>
    </row>
    <row r="70">
      <c r="A70" s="7" t="n">
        <v>67</v>
      </c>
      <c r="B70" s="8" t="inlineStr">
        <is>
          <t xml:space="preserve">    # 默认返回岛台（最常见的主题）</t>
        </is>
      </c>
    </row>
    <row r="71">
      <c r="A71" s="9" t="n">
        <v>68</v>
      </c>
      <c r="B71" s="10" t="inlineStr">
        <is>
          <t xml:space="preserve">    return "岛台"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/>
    </row>
    <row r="74">
      <c r="A74" s="7" t="n">
        <v>71</v>
      </c>
      <c r="B74" s="8" t="inlineStr">
        <is>
          <t>def record_script_usage(script_id, keyword, draft_dir, success):</t>
        </is>
      </c>
    </row>
    <row r="75">
      <c r="A75" s="9" t="n">
        <v>72</v>
      </c>
      <c r="B75" s="10" t="inlineStr">
        <is>
          <t xml:space="preserve">    """记录脚本使用情况"""</t>
        </is>
      </c>
    </row>
    <row r="76">
      <c r="A76" s="7" t="n">
        <v>73</v>
      </c>
      <c r="B76" s="8" t="inlineStr">
        <is>
          <t xml:space="preserve">    try:</t>
        </is>
      </c>
    </row>
    <row r="77">
      <c r="A77" s="9" t="n">
        <v>74</v>
      </c>
      <c r="B77" s="10" t="inlineStr">
        <is>
          <t xml:space="preserve">        conn = sqlite3.connect(str(DB_PATH))</t>
        </is>
      </c>
    </row>
    <row r="78">
      <c r="A78" s="7" t="n">
        <v>75</v>
      </c>
      <c r="B78" s="8" t="inlineStr">
        <is>
          <t xml:space="preserve">        conn.execute(</t>
        </is>
      </c>
    </row>
    <row r="79">
      <c r="A79" s="9" t="n">
        <v>76</v>
      </c>
      <c r="B79" s="10" t="inlineStr">
        <is>
          <t xml:space="preserve">            "UPDATE learned_scripts SET usage_count = usage_count + 1, "</t>
        </is>
      </c>
    </row>
    <row r="80">
      <c r="A80" s="7" t="n">
        <v>77</v>
      </c>
      <c r="B80" s="8" t="inlineStr">
        <is>
          <t xml:space="preserve">            "last_used_at = ? WHERE id = ?",</t>
        </is>
      </c>
    </row>
    <row r="81">
      <c r="A81" s="9" t="n">
        <v>78</v>
      </c>
      <c r="B81" s="10" t="inlineStr">
        <is>
          <t xml:space="preserve">            (datetime.now().strftime("%Y-%m-%d %H:%M:%S"), script_id)</t>
        </is>
      </c>
    </row>
    <row r="82">
      <c r="A82" s="7" t="n">
        <v>79</v>
      </c>
      <c r="B82" s="8" t="inlineStr">
        <is>
          <t xml:space="preserve">        )</t>
        </is>
      </c>
    </row>
    <row r="83">
      <c r="A83" s="9" t="n">
        <v>80</v>
      </c>
      <c r="B83" s="10" t="inlineStr">
        <is>
          <t xml:space="preserve">        conn.execute(</t>
        </is>
      </c>
    </row>
    <row r="84">
      <c r="A84" s="7" t="n">
        <v>81</v>
      </c>
      <c r="B84" s="8" t="inlineStr">
        <is>
          <t xml:space="preserve">            "INSERT INTO generation_log (script_id, keyword, draft_dir, score, created_at) "</t>
        </is>
      </c>
    </row>
    <row r="85">
      <c r="A85" s="9" t="n">
        <v>82</v>
      </c>
      <c r="B85" s="10" t="inlineStr">
        <is>
          <t xml:space="preserve">            "VALUES (?, ?, ?, ?, ?)",</t>
        </is>
      </c>
    </row>
    <row r="86">
      <c r="A86" s="7" t="n">
        <v>83</v>
      </c>
      <c r="B86" s="8" t="inlineStr">
        <is>
          <t xml:space="preserve">            (script_id, keyword, draft_dir or "", 5 if success else 0,</t>
        </is>
      </c>
    </row>
    <row r="87">
      <c r="A87" s="9" t="n">
        <v>84</v>
      </c>
      <c r="B87" s="10" t="inlineStr">
        <is>
          <t xml:space="preserve">             datetime.now().strftime("%Y-%m-%d %H:%M:%S"))</t>
        </is>
      </c>
    </row>
    <row r="88">
      <c r="A88" s="7" t="n">
        <v>85</v>
      </c>
      <c r="B88" s="8" t="inlineStr">
        <is>
          <t xml:space="preserve">        )</t>
        </is>
      </c>
    </row>
    <row r="89">
      <c r="A89" s="9" t="n">
        <v>86</v>
      </c>
      <c r="B89" s="10" t="inlineStr">
        <is>
          <t xml:space="preserve">        conn.commit()</t>
        </is>
      </c>
    </row>
    <row r="90">
      <c r="A90" s="7" t="n">
        <v>87</v>
      </c>
      <c r="B90" s="8" t="inlineStr">
        <is>
          <t xml:space="preserve">        conn.close()</t>
        </is>
      </c>
    </row>
    <row r="91">
      <c r="A91" s="9" t="n">
        <v>88</v>
      </c>
      <c r="B91" s="10" t="inlineStr">
        <is>
          <t xml:space="preserve">    except Exception as e:</t>
        </is>
      </c>
    </row>
    <row r="92">
      <c r="A92" s="7" t="n">
        <v>89</v>
      </c>
      <c r="B92" s="8" t="inlineStr">
        <is>
          <t xml:space="preserve">        print(f"   [WARN] 使用记录失败: {e}")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/>
    </row>
    <row r="95">
      <c r="A95" s="9" t="n">
        <v>92</v>
      </c>
      <c r="B95" s="10" t="inlineStr">
        <is>
          <t>def main():</t>
        </is>
      </c>
    </row>
    <row r="96">
      <c r="A96" s="7" t="n">
        <v>93</v>
      </c>
      <c r="B96" s="8" t="inlineStr">
        <is>
          <t xml:space="preserve">    print("=" * 60)</t>
        </is>
      </c>
    </row>
    <row r="97">
      <c r="A97" s="9" t="n">
        <v>94</v>
      </c>
      <c r="B97" s="10" t="inlineStr">
        <is>
          <t xml:space="preserve">    print("  树剪 TreeCut - 随机5脚本批量生成")</t>
        </is>
      </c>
    </row>
    <row r="98">
      <c r="A98" s="7" t="n">
        <v>95</v>
      </c>
      <c r="B98" s="8" t="inlineStr">
        <is>
          <t xml:space="preserve">    print(f"  时间: {datetime.now().strftime('%Y-%m-%d %H:%M:%S')}")</t>
        </is>
      </c>
    </row>
    <row r="99">
      <c r="A99" s="9" t="n">
        <v>96</v>
      </c>
      <c r="B99" s="10" t="inlineStr">
        <is>
          <t xml:space="preserve">    print("=" * 60)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 xml:space="preserve">    # 1. 选取随机脚本</t>
        </is>
      </c>
    </row>
    <row r="102">
      <c r="A102" s="7" t="n">
        <v>99</v>
      </c>
      <c r="B102" s="8" t="inlineStr">
        <is>
          <t xml:space="preserve">    scripts = pick_random_scripts(5)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 xml:space="preserve">    # 显示所选脚本</t>
        </is>
      </c>
    </row>
    <row r="105">
      <c r="A105" s="9" t="n">
        <v>102</v>
      </c>
      <c r="B105" s="10" t="inlineStr">
        <is>
          <t xml:space="preserve">    for i, (sid, content, tags) in enumerate(scripts):</t>
        </is>
      </c>
    </row>
    <row r="106">
      <c r="A106" s="7" t="n">
        <v>103</v>
      </c>
      <c r="B106" s="8" t="inlineStr">
        <is>
          <t xml:space="preserve">        kw = extract_keyword(content)</t>
        </is>
      </c>
    </row>
    <row r="107">
      <c r="A107" s="9" t="n">
        <v>104</v>
      </c>
      <c r="B107" s="10" t="inlineStr">
        <is>
          <t xml:space="preserve">        print(f"  [{i+1}/5] ID={sid} | 关键词={kw}")</t>
        </is>
      </c>
    </row>
    <row r="108">
      <c r="A108" s="7" t="n">
        <v>105</v>
      </c>
      <c r="B108" s="8" t="inlineStr">
        <is>
          <t xml:space="preserve">        print(f"        {content[:100]}...")</t>
        </is>
      </c>
    </row>
    <row r="109">
      <c r="A109" s="9" t="n">
        <v>106</v>
      </c>
      <c r="B109" s="10" t="inlineStr">
        <is>
          <t xml:space="preserve">        print()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 xml:space="preserve">    # 2. 导入核心模块</t>
        </is>
      </c>
    </row>
    <row r="112">
      <c r="A112" s="7" t="n">
        <v>109</v>
      </c>
      <c r="B112" s="8" t="inlineStr">
        <is>
          <t xml:space="preserve">    print("=" * 60)</t>
        </is>
      </c>
    </row>
    <row r="113">
      <c r="A113" s="9" t="n">
        <v>110</v>
      </c>
      <c r="B113" s="10" t="inlineStr">
        <is>
          <t xml:space="preserve">    print("  加载核心模块...")</t>
        </is>
      </c>
    </row>
    <row r="114">
      <c r="A114" s="7" t="n">
        <v>111</v>
      </c>
      <c r="B114" s="8" t="inlineStr">
        <is>
          <t xml:space="preserve">    from core.pipeline import run</t>
        </is>
      </c>
    </row>
    <row r="115">
      <c r="A115" s="9" t="n">
        <v>112</v>
      </c>
      <c r="B115" s="10" t="inlineStr">
        <is>
          <t xml:space="preserve">    from core.script_learning import ScriptLibrary</t>
        </is>
      </c>
    </row>
    <row r="116">
      <c r="A116" s="7" t="n">
        <v>113</v>
      </c>
      <c r="B116" s="8" t="inlineStr">
        <is>
          <t xml:space="preserve">    print("  [OK] 核心模块加载完成\n")</t>
        </is>
      </c>
    </row>
    <row r="117">
      <c r="A117" s="9" t="n">
        <v>114</v>
      </c>
      <c r="B117" s="10" t="inlineStr"/>
    </row>
    <row r="118">
      <c r="A118" s="7" t="n">
        <v>115</v>
      </c>
      <c r="B118" s="8" t="inlineStr">
        <is>
          <t xml:space="preserve">    # 3. 逐个生成</t>
        </is>
      </c>
    </row>
    <row r="119">
      <c r="A119" s="9" t="n">
        <v>116</v>
      </c>
      <c r="B119" s="10" t="inlineStr">
        <is>
          <t xml:space="preserve">    results = []</t>
        </is>
      </c>
    </row>
    <row r="120">
      <c r="A120" s="7" t="n">
        <v>117</v>
      </c>
      <c r="B120" s="8" t="inlineStr">
        <is>
          <t xml:space="preserve">    for i, (script_id, content, tags) in enumerate(scripts):</t>
        </is>
      </c>
    </row>
    <row r="121">
      <c r="A121" s="9" t="n">
        <v>118</v>
      </c>
      <c r="B121" s="10" t="inlineStr">
        <is>
          <t xml:space="preserve">        keyword = extract_keyword(content)</t>
        </is>
      </c>
    </row>
    <row r="122">
      <c r="A122" s="7" t="n">
        <v>119</v>
      </c>
      <c r="B122" s="8" t="inlineStr"/>
    </row>
    <row r="123">
      <c r="A123" s="9" t="n">
        <v>120</v>
      </c>
      <c r="B123" s="10" t="inlineStr">
        <is>
          <t xml:space="preserve">        print("=" * 60)</t>
        </is>
      </c>
    </row>
    <row r="124">
      <c r="A124" s="7" t="n">
        <v>121</v>
      </c>
      <c r="B124" s="8" t="inlineStr">
        <is>
          <t xml:space="preserve">        print(f"  [{i+1}/5] 开始生成视频")</t>
        </is>
      </c>
    </row>
    <row r="125">
      <c r="A125" s="9" t="n">
        <v>122</v>
      </c>
      <c r="B125" s="10" t="inlineStr">
        <is>
          <t xml:space="preserve">        print(f"  脚本ID: {script_id}")</t>
        </is>
      </c>
    </row>
    <row r="126">
      <c r="A126" s="7" t="n">
        <v>123</v>
      </c>
      <c r="B126" s="8" t="inlineStr">
        <is>
          <t xml:space="preserve">        print(f"  关键词: {keyword}")</t>
        </is>
      </c>
    </row>
    <row r="127">
      <c r="A127" s="9" t="n">
        <v>124</v>
      </c>
      <c r="B127" s="10" t="inlineStr">
        <is>
          <t xml:space="preserve">        print(f"  脚本长度: {len(content)} 字")</t>
        </is>
      </c>
    </row>
    <row r="128">
      <c r="A128" s="7" t="n">
        <v>125</v>
      </c>
      <c r="B128" s="8" t="inlineStr">
        <is>
          <t xml:space="preserve">        print("=" * 60)</t>
        </is>
      </c>
    </row>
    <row r="129">
      <c r="A129" s="9" t="n">
        <v>126</v>
      </c>
      <c r="B129" s="10" t="inlineStr"/>
    </row>
    <row r="130">
      <c r="A130" s="7" t="n">
        <v>127</v>
      </c>
      <c r="B130" s="8" t="inlineStr">
        <is>
          <t xml:space="preserve">        t0 = time.time()</t>
        </is>
      </c>
    </row>
    <row r="131">
      <c r="A131" s="9" t="n">
        <v>128</v>
      </c>
      <c r="B131" s="10" t="inlineStr">
        <is>
          <t xml:space="preserve">        result = None</t>
        </is>
      </c>
    </row>
    <row r="132">
      <c r="A132" s="7" t="n">
        <v>129</v>
      </c>
      <c r="B132" s="8" t="inlineStr">
        <is>
          <t xml:space="preserve">        draft_dir = None</t>
        </is>
      </c>
    </row>
    <row r="133">
      <c r="A133" s="9" t="n">
        <v>130</v>
      </c>
      <c r="B133" s="10" t="inlineStr"/>
    </row>
    <row r="134">
      <c r="A134" s="7" t="n">
        <v>131</v>
      </c>
      <c r="B134" s="8" t="inlineStr">
        <is>
          <t xml:space="preserve">        try:</t>
        </is>
      </c>
    </row>
    <row r="135">
      <c r="A135" s="9" t="n">
        <v>132</v>
      </c>
      <c r="B135" s="10" t="inlineStr">
        <is>
          <t xml:space="preserve">            result = run(</t>
        </is>
      </c>
    </row>
    <row r="136">
      <c r="A136" s="7" t="n">
        <v>133</v>
      </c>
      <c r="B136" s="8" t="inlineStr">
        <is>
          <t xml:space="preserve">                keyword=keyword,</t>
        </is>
      </c>
    </row>
    <row r="137">
      <c r="A137" s="9" t="n">
        <v>134</v>
      </c>
      <c r="B137" s="10" t="inlineStr">
        <is>
          <t xml:space="preserve">                copy_text_override=content,</t>
        </is>
      </c>
    </row>
    <row r="138">
      <c r="A138" s="7" t="n">
        <v>135</v>
      </c>
      <c r="B138" s="8" t="inlineStr">
        <is>
          <t xml:space="preserve">                generate_tts=True,</t>
        </is>
      </c>
    </row>
    <row r="139">
      <c r="A139" s="9" t="n">
        <v>136</v>
      </c>
      <c r="B139" s="10" t="inlineStr">
        <is>
          <t xml:space="preserve">                auto_bgm=True,</t>
        </is>
      </c>
    </row>
    <row r="140">
      <c r="A140" s="7" t="n">
        <v>137</v>
      </c>
      <c r="B140" s="8" t="inlineStr">
        <is>
          <t xml:space="preserve">                script_id=script_id,</t>
        </is>
      </c>
    </row>
    <row r="141">
      <c r="A141" s="9" t="n">
        <v>138</v>
      </c>
      <c r="B141" s="10" t="inlineStr">
        <is>
          <t xml:space="preserve">            )</t>
        </is>
      </c>
    </row>
    <row r="142">
      <c r="A142" s="7" t="n">
        <v>139</v>
      </c>
      <c r="B142" s="8" t="inlineStr"/>
    </row>
    <row r="143">
      <c r="A143" s="9" t="n">
        <v>140</v>
      </c>
      <c r="B143" s="10" t="inlineStr">
        <is>
          <t xml:space="preserve">            if result and "draft_dir" in result:</t>
        </is>
      </c>
    </row>
    <row r="144">
      <c r="A144" s="7" t="n">
        <v>141</v>
      </c>
      <c r="B144" s="8" t="inlineStr">
        <is>
          <t xml:space="preserve">                draft_dir = result.get("draft_dir", "")</t>
        </is>
      </c>
    </row>
    <row r="145">
      <c r="A145" s="9" t="n">
        <v>142</v>
      </c>
      <c r="B145" s="10" t="inlineStr">
        <is>
          <t xml:space="preserve">                elapsed = time.time() - t0</t>
        </is>
      </c>
    </row>
    <row r="146">
      <c r="A146" s="7" t="n">
        <v>143</v>
      </c>
      <c r="B146" s="8" t="inlineStr">
        <is>
          <t xml:space="preserve">                print(f"\n  ✅ [{i+1}/5] 生成成功! ({elapsed:.0f}秒)")</t>
        </is>
      </c>
    </row>
    <row r="147">
      <c r="A147" s="9" t="n">
        <v>144</v>
      </c>
      <c r="B147" s="10" t="inlineStr">
        <is>
          <t xml:space="preserve">                print(f"  输出目录: {draft_dir}")</t>
        </is>
      </c>
    </row>
    <row r="148">
      <c r="A148" s="7" t="n">
        <v>145</v>
      </c>
      <c r="B148" s="8" t="inlineStr">
        <is>
          <t xml:space="preserve">                record_script_usage(script_id, keyword, draft_dir, True)</t>
        </is>
      </c>
    </row>
    <row r="149">
      <c r="A149" s="9" t="n">
        <v>146</v>
      </c>
      <c r="B149" s="10" t="inlineStr">
        <is>
          <t xml:space="preserve">                results.append({"index": i+1, "status": "success", "draft_dir": draft_dir})</t>
        </is>
      </c>
    </row>
    <row r="150">
      <c r="A150" s="7" t="n">
        <v>147</v>
      </c>
      <c r="B150" s="8" t="inlineStr">
        <is>
          <t xml:space="preserve">            else:</t>
        </is>
      </c>
    </row>
    <row r="151">
      <c r="A151" s="9" t="n">
        <v>148</v>
      </c>
      <c r="B151" s="10" t="inlineStr">
        <is>
          <t xml:space="preserve">                elapsed = time.time() - t0</t>
        </is>
      </c>
    </row>
    <row r="152">
      <c r="A152" s="7" t="n">
        <v>149</v>
      </c>
      <c r="B152" s="8" t="inlineStr">
        <is>
          <t xml:space="preserve">                print(f"\n  ⚠️ [{i+1}/5] 生成结果为空 ({elapsed:.0f}秒)")</t>
        </is>
      </c>
    </row>
    <row r="153">
      <c r="A153" s="9" t="n">
        <v>150</v>
      </c>
      <c r="B153" s="10" t="inlineStr">
        <is>
          <t xml:space="preserve">                record_script_usage(script_id, keyword, "", False)</t>
        </is>
      </c>
    </row>
    <row r="154">
      <c r="A154" s="7" t="n">
        <v>151</v>
      </c>
      <c r="B154" s="8" t="inlineStr">
        <is>
          <t xml:space="preserve">                results.append({"index": i+1, "status": "empty", "result": str(result)})</t>
        </is>
      </c>
    </row>
    <row r="155">
      <c r="A155" s="9" t="n">
        <v>152</v>
      </c>
      <c r="B155" s="10" t="inlineStr"/>
    </row>
    <row r="156">
      <c r="A156" s="7" t="n">
        <v>153</v>
      </c>
      <c r="B156" s="8" t="inlineStr">
        <is>
          <t xml:space="preserve">        except Exception as e:</t>
        </is>
      </c>
    </row>
    <row r="157">
      <c r="A157" s="9" t="n">
        <v>154</v>
      </c>
      <c r="B157" s="10" t="inlineStr">
        <is>
          <t xml:space="preserve">            elapsed = time.time() - t0</t>
        </is>
      </c>
    </row>
    <row r="158">
      <c r="A158" s="7" t="n">
        <v>155</v>
      </c>
      <c r="B158" s="8" t="inlineStr">
        <is>
          <t xml:space="preserve">            print(f"\n  ❌ [{i+1}/5] 生成失败 ({elapsed:.0f}秒): {e}")</t>
        </is>
      </c>
    </row>
    <row r="159">
      <c r="A159" s="9" t="n">
        <v>156</v>
      </c>
      <c r="B159" s="10" t="inlineStr">
        <is>
          <t xml:space="preserve">            traceback.print_exc()</t>
        </is>
      </c>
    </row>
    <row r="160">
      <c r="A160" s="7" t="n">
        <v>157</v>
      </c>
      <c r="B160" s="8" t="inlineStr">
        <is>
          <t xml:space="preserve">            record_script_usage(script_id, keyword, "", False)</t>
        </is>
      </c>
    </row>
    <row r="161">
      <c r="A161" s="9" t="n">
        <v>158</v>
      </c>
      <c r="B161" s="10" t="inlineStr">
        <is>
          <t xml:space="preserve">            results.append({"index": i+1, "status": "failed", "error": str(e)})</t>
        </is>
      </c>
    </row>
    <row r="162">
      <c r="A162" s="7" t="n">
        <v>159</v>
      </c>
      <c r="B162" s="8" t="inlineStr"/>
    </row>
    <row r="163">
      <c r="A163" s="9" t="n">
        <v>160</v>
      </c>
      <c r="B163" s="10" t="inlineStr">
        <is>
          <t xml:space="preserve">        # 资源回收</t>
        </is>
      </c>
    </row>
    <row r="164">
      <c r="A164" s="7" t="n">
        <v>161</v>
      </c>
      <c r="B164" s="8" t="inlineStr">
        <is>
          <t xml:space="preserve">        gc.collect()</t>
        </is>
      </c>
    </row>
    <row r="165">
      <c r="A165" s="9" t="n">
        <v>162</v>
      </c>
      <c r="B165" s="10" t="inlineStr">
        <is>
          <t xml:space="preserve">        try:</t>
        </is>
      </c>
    </row>
    <row r="166">
      <c r="A166" s="7" t="n">
        <v>163</v>
      </c>
      <c r="B166" s="8" t="inlineStr">
        <is>
          <t xml:space="preserve">            import torch</t>
        </is>
      </c>
    </row>
    <row r="167">
      <c r="A167" s="9" t="n">
        <v>164</v>
      </c>
      <c r="B167" s="10" t="inlineStr">
        <is>
          <t xml:space="preserve">            if torch.cuda.is_available():</t>
        </is>
      </c>
    </row>
    <row r="168">
      <c r="A168" s="7" t="n">
        <v>165</v>
      </c>
      <c r="B168" s="8" t="inlineStr">
        <is>
          <t xml:space="preserve">                torch.cuda.empty_cache()</t>
        </is>
      </c>
    </row>
    <row r="169">
      <c r="A169" s="9" t="n">
        <v>166</v>
      </c>
      <c r="B169" s="10" t="inlineStr">
        <is>
          <t xml:space="preserve">        except Exception:</t>
        </is>
      </c>
    </row>
    <row r="170">
      <c r="A170" s="7" t="n">
        <v>167</v>
      </c>
      <c r="B170" s="8" t="inlineStr">
        <is>
          <t xml:space="preserve">            pass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    if i &lt; 4:</t>
        </is>
      </c>
    </row>
    <row r="173">
      <c r="A173" s="9" t="n">
        <v>170</v>
      </c>
      <c r="B173" s="10" t="inlineStr">
        <is>
          <t xml:space="preserve">            wait = 3</t>
        </is>
      </c>
    </row>
    <row r="174">
      <c r="A174" s="7" t="n">
        <v>171</v>
      </c>
      <c r="B174" s="8" t="inlineStr">
        <is>
          <t xml:space="preserve">            print(f"\n  等待 {wait} 秒后继续...")</t>
        </is>
      </c>
    </row>
    <row r="175">
      <c r="A175" s="9" t="n">
        <v>172</v>
      </c>
      <c r="B175" s="10" t="inlineStr">
        <is>
          <t xml:space="preserve">            time.sleep(wait)</t>
        </is>
      </c>
    </row>
    <row r="176">
      <c r="A176" s="7" t="n">
        <v>173</v>
      </c>
      <c r="B176" s="8" t="inlineStr"/>
    </row>
    <row r="177">
      <c r="A177" s="9" t="n">
        <v>174</v>
      </c>
      <c r="B177" s="10" t="inlineStr">
        <is>
          <t xml:space="preserve">    # 4. 总结</t>
        </is>
      </c>
    </row>
    <row r="178">
      <c r="A178" s="7" t="n">
        <v>175</v>
      </c>
      <c r="B178" s="8" t="inlineStr">
        <is>
          <t xml:space="preserve">    print("\n" + "=" * 60)</t>
        </is>
      </c>
    </row>
    <row r="179">
      <c r="A179" s="9" t="n">
        <v>176</v>
      </c>
      <c r="B179" s="10" t="inlineStr">
        <is>
          <t xml:space="preserve">    print("  批量生成完成!")</t>
        </is>
      </c>
    </row>
    <row r="180">
      <c r="A180" s="7" t="n">
        <v>177</v>
      </c>
      <c r="B180" s="8" t="inlineStr">
        <is>
          <t xml:space="preserve">    print("=" * 60)</t>
        </is>
      </c>
    </row>
    <row r="181">
      <c r="A181" s="9" t="n">
        <v>178</v>
      </c>
      <c r="B181" s="10" t="inlineStr">
        <is>
          <t xml:space="preserve">    success_count = sum(1 for r in results if r["status"] == "success")</t>
        </is>
      </c>
    </row>
    <row r="182">
      <c r="A182" s="7" t="n">
        <v>179</v>
      </c>
      <c r="B182" s="8" t="inlineStr">
        <is>
          <t xml:space="preserve">    print(f"  成功: {success_count}/5")</t>
        </is>
      </c>
    </row>
    <row r="183">
      <c r="A183" s="9" t="n">
        <v>180</v>
      </c>
      <c r="B183" s="10" t="inlineStr">
        <is>
          <t xml:space="preserve">    for r in results:</t>
        </is>
      </c>
    </row>
    <row r="184">
      <c r="A184" s="7" t="n">
        <v>181</v>
      </c>
      <c r="B184" s="8" t="inlineStr">
        <is>
          <t xml:space="preserve">        status_icon = "✅" if r["status"] == "success" else "❌"</t>
        </is>
      </c>
    </row>
    <row r="185">
      <c r="A185" s="9" t="n">
        <v>182</v>
      </c>
      <c r="B185" s="10" t="inlineStr">
        <is>
          <t xml:space="preserve">        print(f"  {status_icon} [{r['index']}/5] {r['status']}: {r.get('draft_dir', r.get('error', ''))}")</t>
        </is>
      </c>
    </row>
    <row r="186">
      <c r="A186" s="7" t="n">
        <v>183</v>
      </c>
      <c r="B186" s="8" t="inlineStr"/>
    </row>
    <row r="187">
      <c r="A187" s="9" t="n">
        <v>184</v>
      </c>
      <c r="B187" s="10" t="inlineStr">
        <is>
          <t xml:space="preserve">    return results</t>
        </is>
      </c>
    </row>
    <row r="188">
      <c r="A188" s="7" t="n">
        <v>185</v>
      </c>
      <c r="B188" s="8" t="inlineStr"/>
    </row>
    <row r="189">
      <c r="A189" s="9" t="n">
        <v>186</v>
      </c>
      <c r="B189" s="10" t="inlineStr"/>
    </row>
    <row r="190">
      <c r="A190" s="7" t="n">
        <v>187</v>
      </c>
      <c r="B190" s="8" t="inlineStr">
        <is>
          <t>if __name__ == "__main__":</t>
        </is>
      </c>
    </row>
    <row r="191">
      <c r="A191" s="9" t="n">
        <v>188</v>
      </c>
      <c r="B191" s="10" t="inlineStr">
        <is>
          <t xml:space="preserve">    main()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build_exe.py</t>
        </is>
      </c>
      <c r="C1" s="5" t="inlineStr">
        <is>
          <t>行数: 79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树剪 TreeCut — 打包为独立 .exe 安装包</t>
        </is>
      </c>
    </row>
    <row r="7">
      <c r="A7" s="9" t="n">
        <v>4</v>
      </c>
      <c r="B7" s="10" t="inlineStr">
        <is>
          <t>用法:</t>
        </is>
      </c>
    </row>
    <row r="8">
      <c r="A8" s="7" t="n">
        <v>5</v>
      </c>
      <c r="B8" s="8" t="inlineStr">
        <is>
          <t xml:space="preserve">  pip install pyinstaller</t>
        </is>
      </c>
    </row>
    <row r="9">
      <c r="A9" s="9" t="n">
        <v>6</v>
      </c>
      <c r="B9" s="10" t="inlineStr">
        <is>
          <t xml:space="preserve">  python build_exe.py</t>
        </is>
      </c>
    </row>
    <row r="10">
      <c r="A10" s="7" t="n">
        <v>7</v>
      </c>
      <c r="B10" s="8" t="inlineStr">
        <is>
          <t>输出:</t>
        </is>
      </c>
    </row>
    <row r="11">
      <c r="A11" s="9" t="n">
        <v>8</v>
      </c>
      <c r="B11" s="10" t="inlineStr">
        <is>
          <t xml:space="preserve">  dist/树剪TreeCut.exe  (单文件)</t>
        </is>
      </c>
    </row>
    <row r="12">
      <c r="A12" s="7" t="n">
        <v>9</v>
      </c>
      <c r="B12" s="8" t="inlineStr">
        <is>
          <t>"""</t>
        </is>
      </c>
    </row>
    <row r="13">
      <c r="A13" s="9" t="n">
        <v>10</v>
      </c>
      <c r="B13" s="10" t="inlineStr">
        <is>
          <t>import subprocess, sys, shutil</t>
        </is>
      </c>
    </row>
    <row r="14">
      <c r="A14" s="7" t="n">
        <v>11</v>
      </c>
      <c r="B14" s="8" t="inlineStr">
        <is>
          <t>from pathlib import Path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PROJECT_ROOT = Path(__file__).parent</t>
        </is>
      </c>
    </row>
    <row r="17">
      <c r="A17" s="9" t="n">
        <v>14</v>
      </c>
      <c r="B17" s="10" t="inlineStr">
        <is>
          <t>DIST_DIR = PROJECT_ROOT / "dist"</t>
        </is>
      </c>
    </row>
    <row r="18">
      <c r="A18" s="7" t="n">
        <v>15</v>
      </c>
      <c r="B18" s="8" t="inlineStr">
        <is>
          <t>BUILD_DIR = PROJECT_ROOT / "build"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def build():</t>
        </is>
      </c>
    </row>
    <row r="21">
      <c r="A21" s="9" t="n">
        <v>18</v>
      </c>
      <c r="B21" s="10" t="inlineStr">
        <is>
          <t xml:space="preserve">    for d in [DIST_DIR, BUILD_DIR]:</t>
        </is>
      </c>
    </row>
    <row r="22">
      <c r="A22" s="7" t="n">
        <v>19</v>
      </c>
      <c r="B22" s="8" t="inlineStr">
        <is>
          <t xml:space="preserve">        if d.exists():</t>
        </is>
      </c>
    </row>
    <row r="23">
      <c r="A23" s="9" t="n">
        <v>20</v>
      </c>
      <c r="B23" s="10" t="inlineStr">
        <is>
          <t xml:space="preserve">            shutil.rmtree(d, ignore_errors=True)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 xml:space="preserve">    icon_path = PROJECT_ROOT / "tree_icon.ico"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 xml:space="preserve">    cmd = [</t>
        </is>
      </c>
    </row>
    <row r="28">
      <c r="A28" s="7" t="n">
        <v>25</v>
      </c>
      <c r="B28" s="8" t="inlineStr">
        <is>
          <t xml:space="preserve">        sys.executable, "-m", "PyInstaller",</t>
        </is>
      </c>
    </row>
    <row r="29">
      <c r="A29" s="9" t="n">
        <v>26</v>
      </c>
      <c r="B29" s="10" t="inlineStr">
        <is>
          <t xml:space="preserve">        "--name=树剪TreeCut",</t>
        </is>
      </c>
    </row>
    <row r="30">
      <c r="A30" s="7" t="n">
        <v>27</v>
      </c>
      <c r="B30" s="8" t="inlineStr">
        <is>
          <t xml:space="preserve">        "--windowed",</t>
        </is>
      </c>
    </row>
    <row r="31">
      <c r="A31" s="9" t="n">
        <v>28</v>
      </c>
      <c r="B31" s="10" t="inlineStr">
        <is>
          <t xml:space="preserve">        "--onefile",</t>
        </is>
      </c>
    </row>
    <row r="32">
      <c r="A32" s="7" t="n">
        <v>29</v>
      </c>
      <c r="B32" s="8" t="inlineStr">
        <is>
          <t xml:space="preserve">        f"--add-data={PROJECT_ROOT / 'protected_words.json'}{';.'}",</t>
        </is>
      </c>
    </row>
    <row r="33">
      <c r="A33" s="9" t="n">
        <v>30</v>
      </c>
      <c r="B33" s="10" t="inlineStr">
        <is>
          <t xml:space="preserve">        f"--add-data={PROJECT_ROOT / '.env.example'}{';.'}",</t>
        </is>
      </c>
    </row>
    <row r="34">
      <c r="A34" s="7" t="n">
        <v>31</v>
      </c>
      <c r="B34" s="8" t="inlineStr">
        <is>
          <t xml:space="preserve">        f"--add-data={PROJECT_ROOT / 'tree_icon.ico'}{';.'}",</t>
        </is>
      </c>
    </row>
    <row r="35">
      <c r="A35" s="9" t="n">
        <v>32</v>
      </c>
      <c r="B35" s="10" t="inlineStr">
        <is>
          <t xml:space="preserve">        "--hidden-import=core",</t>
        </is>
      </c>
    </row>
    <row r="36">
      <c r="A36" s="7" t="n">
        <v>33</v>
      </c>
      <c r="B36" s="8" t="inlineStr">
        <is>
          <t xml:space="preserve">        "--hidden-import=core.config",</t>
        </is>
      </c>
    </row>
    <row r="37">
      <c r="A37" s="9" t="n">
        <v>34</v>
      </c>
      <c r="B37" s="10" t="inlineStr">
        <is>
          <t xml:space="preserve">        "--hidden-import=core.pipeline",</t>
        </is>
      </c>
    </row>
    <row r="38">
      <c r="A38" s="7" t="n">
        <v>35</v>
      </c>
      <c r="B38" s="8" t="inlineStr">
        <is>
          <t xml:space="preserve">        "--hidden-import=core.copywriter",</t>
        </is>
      </c>
    </row>
    <row r="39">
      <c r="A39" s="9" t="n">
        <v>36</v>
      </c>
      <c r="B39" s="10" t="inlineStr">
        <is>
          <t xml:space="preserve">        "--hidden-import=core.tts",</t>
        </is>
      </c>
    </row>
    <row r="40">
      <c r="A40" s="7" t="n">
        <v>37</v>
      </c>
      <c r="B40" s="8" t="inlineStr">
        <is>
          <t xml:space="preserve">        "--hidden-import=core.draft",</t>
        </is>
      </c>
    </row>
    <row r="41">
      <c r="A41" s="9" t="n">
        <v>38</v>
      </c>
      <c r="B41" s="10" t="inlineStr">
        <is>
          <t xml:space="preserve">        "--hidden-import=core.scanner",</t>
        </is>
      </c>
    </row>
    <row r="42">
      <c r="A42" s="7" t="n">
        <v>39</v>
      </c>
      <c r="B42" s="8" t="inlineStr">
        <is>
          <t xml:space="preserve">        "--hidden-import=ui.desktop",</t>
        </is>
      </c>
    </row>
    <row r="43">
      <c r="A43" s="9" t="n">
        <v>40</v>
      </c>
      <c r="B43" s="10" t="inlineStr">
        <is>
          <t xml:space="preserve">        "--hidden-import=ui.web",</t>
        </is>
      </c>
    </row>
    <row r="44">
      <c r="A44" s="7" t="n">
        <v>41</v>
      </c>
      <c r="B44" s="8" t="inlineStr">
        <is>
          <t xml:space="preserve">        "--hidden-import=utils.security",</t>
        </is>
      </c>
    </row>
    <row r="45">
      <c r="A45" s="9" t="n">
        <v>42</v>
      </c>
      <c r="B45" s="10" t="inlineStr">
        <is>
          <t xml:space="preserve">        "--hidden-import=utils.retry",</t>
        </is>
      </c>
    </row>
    <row r="46">
      <c r="A46" s="7" t="n">
        <v>43</v>
      </c>
      <c r="B46" s="8" t="inlineStr">
        <is>
          <t xml:space="preserve">        "--hidden-import=utils.quality_scorer",</t>
        </is>
      </c>
    </row>
    <row r="47">
      <c r="A47" s="9" t="n">
        <v>44</v>
      </c>
      <c r="B47" s="10" t="inlineStr">
        <is>
          <t xml:space="preserve">        "--hidden-import=utils.knowledge",</t>
        </is>
      </c>
    </row>
    <row r="48">
      <c r="A48" s="7" t="n">
        <v>45</v>
      </c>
      <c r="B48" s="8" t="inlineStr">
        <is>
          <t xml:space="preserve">        "--hidden-import=utils.logging",</t>
        </is>
      </c>
    </row>
    <row r="49">
      <c r="A49" s="9" t="n">
        <v>46</v>
      </c>
      <c r="B49" s="10" t="inlineStr">
        <is>
          <t xml:space="preserve">        "--hidden-import=review_audit",</t>
        </is>
      </c>
    </row>
    <row r="50">
      <c r="A50" s="7" t="n">
        <v>47</v>
      </c>
      <c r="B50" s="8" t="inlineStr">
        <is>
          <t xml:space="preserve">        "--hidden-import=edge_tts",</t>
        </is>
      </c>
    </row>
    <row r="51">
      <c r="A51" s="9" t="n">
        <v>48</v>
      </c>
      <c r="B51" s="10" t="inlineStr">
        <is>
          <t xml:space="preserve">        "--hidden-import=openai",</t>
        </is>
      </c>
    </row>
    <row r="52">
      <c r="A52" s="7" t="n">
        <v>49</v>
      </c>
      <c r="B52" s="8" t="inlineStr">
        <is>
          <t xml:space="preserve">        "--hidden-import=cv2",</t>
        </is>
      </c>
    </row>
    <row r="53">
      <c r="A53" s="9" t="n">
        <v>50</v>
      </c>
      <c r="B53" s="10" t="inlineStr">
        <is>
          <t xml:space="preserve">        "--hidden-import=numpy",</t>
        </is>
      </c>
    </row>
    <row r="54">
      <c r="A54" s="7" t="n">
        <v>51</v>
      </c>
      <c r="B54" s="8" t="inlineStr">
        <is>
          <t xml:space="preserve">        "--hidden-import=PIL",</t>
        </is>
      </c>
    </row>
    <row r="55">
      <c r="A55" s="9" t="n">
        <v>52</v>
      </c>
      <c r="B55" s="10" t="inlineStr">
        <is>
          <t xml:space="preserve">        "--hidden-import=sqlite3",</t>
        </is>
      </c>
    </row>
    <row r="56">
      <c r="A56" s="7" t="n">
        <v>53</v>
      </c>
      <c r="B56" s="8" t="inlineStr">
        <is>
          <t xml:space="preserve">        "--hidden-import=asyncio",</t>
        </is>
      </c>
    </row>
    <row r="57">
      <c r="A57" s="9" t="n">
        <v>54</v>
      </c>
      <c r="B57" s="10" t="inlineStr">
        <is>
          <t xml:space="preserve">        "--collect-all=edge_tts",</t>
        </is>
      </c>
    </row>
    <row r="58">
      <c r="A58" s="7" t="n">
        <v>55</v>
      </c>
      <c r="B58" s="8" t="inlineStr">
        <is>
          <t xml:space="preserve">        "--collect-all=pyJianYingDraft",</t>
        </is>
      </c>
    </row>
    <row r="59">
      <c r="A59" s="9" t="n">
        <v>56</v>
      </c>
      <c r="B59" s="10" t="inlineStr">
        <is>
          <t xml:space="preserve">    ]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>
        <is>
          <t xml:space="preserve">    if icon_path.exists():</t>
        </is>
      </c>
    </row>
    <row r="62">
      <c r="A62" s="7" t="n">
        <v>59</v>
      </c>
      <c r="B62" s="8" t="inlineStr">
        <is>
          <t xml:space="preserve">        cmd.append(f"--icon={icon_path}")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cmd.append(str(PROJECT_ROOT / "树剪.py"))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 xml:space="preserve">    print("=" * 60)</t>
        </is>
      </c>
    </row>
    <row r="67">
      <c r="A67" s="9" t="n">
        <v>64</v>
      </c>
      <c r="B67" s="10" t="inlineStr">
        <is>
          <t xml:space="preserve">    print("  树剪 TreeCut — PyInstaller 打包")</t>
        </is>
      </c>
    </row>
    <row r="68">
      <c r="A68" s="7" t="n">
        <v>65</v>
      </c>
      <c r="B68" s="8" t="inlineStr">
        <is>
          <t xml:space="preserve">    print("=" * 60)</t>
        </is>
      </c>
    </row>
    <row r="69">
      <c r="A69" s="9" t="n">
        <v>66</v>
      </c>
      <c r="B69" s="10" t="inlineStr">
        <is>
          <t xml:space="preserve">    print(f"  输出目录: {DIST_DIR}")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>
        <is>
          <t xml:space="preserve">    result = subprocess.run(cmd, cwd=str(PROJECT_ROOT))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if result.returncode == 0:</t>
        </is>
      </c>
    </row>
    <row r="74">
      <c r="A74" s="7" t="n">
        <v>71</v>
      </c>
      <c r="B74" s="8" t="inlineStr">
        <is>
          <t xml:space="preserve">        exe = DIST_DIR / "树剪TreeCut.exe"</t>
        </is>
      </c>
    </row>
    <row r="75">
      <c r="A75" s="9" t="n">
        <v>72</v>
      </c>
      <c r="B75" s="10" t="inlineStr">
        <is>
          <t xml:space="preserve">        size_mb = exe.stat().st_size / (1024 * 1024) if exe.exists() else 0</t>
        </is>
      </c>
    </row>
    <row r="76">
      <c r="A76" s="7" t="n">
        <v>73</v>
      </c>
      <c r="B76" s="8" t="inlineStr">
        <is>
          <t xml:space="preserve">        print(f"\n  ✅ 打包完成: {exe} ({size_mb:.0f}MB)")</t>
        </is>
      </c>
    </row>
    <row r="77">
      <c r="A77" s="9" t="n">
        <v>74</v>
      </c>
      <c r="B77" s="10" t="inlineStr">
        <is>
          <t xml:space="preserve">        print(f"\n  分发时需附带 .env / ai_material_library.db / 02_BGM/")</t>
        </is>
      </c>
    </row>
    <row r="78">
      <c r="A78" s="7" t="n">
        <v>75</v>
      </c>
      <c r="B78" s="8" t="inlineStr">
        <is>
          <t xml:space="preserve">    else:</t>
        </is>
      </c>
    </row>
    <row r="79">
      <c r="A79" s="9" t="n">
        <v>76</v>
      </c>
      <c r="B79" s="10" t="inlineStr">
        <is>
          <t xml:space="preserve">        print(f"\n  ❌ 打包失败 (退出码: {result.returncode})")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>if __name__ == "__main__":</t>
        </is>
      </c>
    </row>
    <row r="82">
      <c r="A82" s="7" t="n">
        <v>79</v>
      </c>
      <c r="B82" s="8" t="inlineStr">
        <is>
          <t xml:space="preserve">    build()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core\__init__.py</t>
        </is>
      </c>
      <c r="C1" s="5" t="inlineStr">
        <is>
          <t>行数: 125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— 核心引擎</t>
        </is>
      </c>
    </row>
    <row r="6">
      <c r="A6" s="7" t="n">
        <v>3</v>
      </c>
      <c r="B6" s="8" t="inlineStr">
        <is>
          <t>用法: from core import run, generate_tts_voiceover, ...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sys, os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# Windows GBK 修复</t>
        </is>
      </c>
    </row>
    <row r="12">
      <c r="A12" s="7" t="n">
        <v>9</v>
      </c>
      <c r="B12" s="8" t="inlineStr">
        <is>
          <t>if sys.platform == "win32":</t>
        </is>
      </c>
    </row>
    <row r="13">
      <c r="A13" s="9" t="n">
        <v>10</v>
      </c>
      <c r="B13" s="10" t="inlineStr">
        <is>
          <t xml:space="preserve">    try:</t>
        </is>
      </c>
    </row>
    <row r="14">
      <c r="A14" s="7" t="n">
        <v>11</v>
      </c>
      <c r="B14" s="8" t="inlineStr">
        <is>
          <t xml:space="preserve">        sys.stdout.reconfigure(encoding="utf-8", errors="replace")</t>
        </is>
      </c>
    </row>
    <row r="15">
      <c r="A15" s="9" t="n">
        <v>12</v>
      </c>
      <c r="B15" s="10" t="inlineStr">
        <is>
          <t xml:space="preserve">        sys.stderr.reconfigure(encoding="utf-8", errors="replace")</t>
        </is>
      </c>
    </row>
    <row r="16">
      <c r="A16" s="7" t="n">
        <v>13</v>
      </c>
      <c r="B16" s="8" t="inlineStr">
        <is>
          <t xml:space="preserve">    except Exception as _e: from utils.logging import log_warning; log_warning('__init__', str(_e)[:80])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# .env 加载</t>
        </is>
      </c>
    </row>
    <row r="19">
      <c r="A19" s="9" t="n">
        <v>16</v>
      </c>
      <c r="B19" s="10" t="inlineStr">
        <is>
          <t>_PROJECT_ROOT = Path(__file__).parent.parent</t>
        </is>
      </c>
    </row>
    <row r="20">
      <c r="A20" s="7" t="n">
        <v>17</v>
      </c>
      <c r="B20" s="8" t="inlineStr">
        <is>
          <t>if str(_PROJECT_ROOT) not in sys.path:</t>
        </is>
      </c>
    </row>
    <row r="21">
      <c r="A21" s="9" t="n">
        <v>18</v>
      </c>
      <c r="B21" s="10" t="inlineStr">
        <is>
          <t xml:space="preserve">    sys.path.insert(0, str(_PROJECT_ROOT))</t>
        </is>
      </c>
    </row>
    <row r="22">
      <c r="A22" s="7" t="n">
        <v>19</v>
      </c>
      <c r="B22" s="8" t="inlineStr">
        <is>
          <t>try:</t>
        </is>
      </c>
    </row>
    <row r="23">
      <c r="A23" s="9" t="n">
        <v>20</v>
      </c>
      <c r="B23" s="10" t="inlineStr">
        <is>
          <t xml:space="preserve">    from dotenv import load_dotenv</t>
        </is>
      </c>
    </row>
    <row r="24">
      <c r="A24" s="7" t="n">
        <v>21</v>
      </c>
      <c r="B24" s="8" t="inlineStr">
        <is>
          <t xml:space="preserve">    load_dotenv(dotenv_path=_PROJECT_ROOT / ".env", override=False)</t>
        </is>
      </c>
    </row>
    <row r="25">
      <c r="A25" s="9" t="n">
        <v>22</v>
      </c>
      <c r="B25" s="10" t="inlineStr">
        <is>
          <t>except ImportError: pass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# 核心模块导出</t>
        </is>
      </c>
    </row>
    <row r="28">
      <c r="A28" s="7" t="n">
        <v>25</v>
      </c>
      <c r="B28" s="8" t="inlineStr">
        <is>
          <t>from core.config import *</t>
        </is>
      </c>
    </row>
    <row r="29">
      <c r="A29" s="9" t="n">
        <v>26</v>
      </c>
      <c r="B29" s="10" t="inlineStr">
        <is>
          <t>from core.copywriter import *</t>
        </is>
      </c>
    </row>
    <row r="30">
      <c r="A30" s="7" t="n">
        <v>27</v>
      </c>
      <c r="B30" s="8" t="inlineStr">
        <is>
          <t>from core.tts import *</t>
        </is>
      </c>
    </row>
    <row r="31">
      <c r="A31" s="9" t="n">
        <v>28</v>
      </c>
      <c r="B31" s="10" t="inlineStr">
        <is>
          <t>from core.draft import *</t>
        </is>
      </c>
    </row>
    <row r="32">
      <c r="A32" s="7" t="n">
        <v>29</v>
      </c>
      <c r="B32" s="8" t="inlineStr">
        <is>
          <t>from core.pipeline import (</t>
        </is>
      </c>
    </row>
    <row r="33">
      <c r="A33" s="9" t="n">
        <v>30</v>
      </c>
      <c r="B33" s="10" t="inlineStr">
        <is>
          <t xml:space="preserve">    run, run_multi, run_batch,</t>
        </is>
      </c>
    </row>
    <row r="34">
      <c r="A34" s="7" t="n">
        <v>31</v>
      </c>
      <c r="B34" s="8" t="inlineStr">
        <is>
          <t xml:space="preserve">    print_banner, print_clip_table, save_copy,</t>
        </is>
      </c>
    </row>
    <row r="35">
      <c r="A35" s="9" t="n">
        <v>32</v>
      </c>
      <c r="B35" s="10" t="inlineStr">
        <is>
          <t xml:space="preserve">    list_available_selling_points,</t>
        </is>
      </c>
    </row>
    <row r="36">
      <c r="A36" s="7" t="n">
        <v>33</v>
      </c>
      <c r="B36" s="8" t="inlineStr">
        <is>
          <t xml:space="preserve">    collect_multi_point_mp4s,</t>
        </is>
      </c>
    </row>
    <row r="37">
      <c r="A37" s="9" t="n">
        <v>34</v>
      </c>
      <c r="B37" s="10" t="inlineStr">
        <is>
          <t xml:space="preserve">    collect_effects_mp4s, collect_b_group_mp4s,</t>
        </is>
      </c>
    </row>
    <row r="38">
      <c r="A38" s="7" t="n">
        <v>35</v>
      </c>
      <c r="B38" s="8" t="inlineStr">
        <is>
          <t xml:space="preserve">    collect_multi_selling_mp4s,</t>
        </is>
      </c>
    </row>
    <row r="39">
      <c r="A39" s="9" t="n">
        <v>36</v>
      </c>
      <c r="B39" s="10" t="inlineStr">
        <is>
          <t xml:space="preserve">    match_clips_to_sentences,</t>
        </is>
      </c>
    </row>
    <row r="40">
      <c r="A40" s="7" t="n">
        <v>37</v>
      </c>
      <c r="B40" s="8" t="inlineStr">
        <is>
          <t xml:space="preserve">    find_closest_folder,</t>
        </is>
      </c>
    </row>
    <row r="41">
      <c r="A41" s="9" t="n">
        <v>38</v>
      </c>
      <c r="B41" s="10" t="inlineStr">
        <is>
          <t xml:space="preserve">    collect_bgm, list_all_mp4, detect_video_theme,</t>
        </is>
      </c>
    </row>
    <row r="42">
      <c r="A42" s="7" t="n">
        <v>39</v>
      </c>
      <c r="B42" s="8" t="inlineStr">
        <is>
          <t xml:space="preserve">    build_tts_synced_timeline, validate_draft,</t>
        </is>
      </c>
    </row>
    <row r="43">
      <c r="A43" s="9" t="n">
        <v>40</v>
      </c>
      <c r="B43" s="10" t="inlineStr">
        <is>
          <t xml:space="preserve">    get_script_row, read_script_excel,</t>
        </is>
      </c>
    </row>
    <row r="44">
      <c r="A44" s="7" t="n">
        <v>41</v>
      </c>
      <c r="B44" s="8" t="inlineStr">
        <is>
          <t xml:space="preserve">    generate_copy, generate_fallback_copy,</t>
        </is>
      </c>
    </row>
    <row r="45">
      <c r="A45" s="9" t="n">
        <v>42</v>
      </c>
      <c r="B45" s="10" t="inlineStr">
        <is>
          <t xml:space="preserve">    split_copy_to_subtitles, clean_text_for_tts,</t>
        </is>
      </c>
    </row>
    <row r="46">
      <c r="A46" s="7" t="n">
        <v>43</v>
      </c>
      <c r="B46" s="8" t="inlineStr">
        <is>
          <t xml:space="preserve">    generate_tts_voiceover, get_audio_duration_seconds,</t>
        </is>
      </c>
    </row>
    <row r="47">
      <c r="A47" s="9" t="n">
        <v>44</v>
      </c>
      <c r="B47" s="10" t="inlineStr">
        <is>
          <t xml:space="preserve">    JianyingDraftBuilder, save_draft, sec_to_us,</t>
        </is>
      </c>
    </row>
    <row r="48">
      <c r="A48" s="7" t="n">
        <v>45</v>
      </c>
      <c r="B48" s="8" t="inlineStr">
        <is>
          <t xml:space="preserve">    ai_match_clips,</t>
        </is>
      </c>
    </row>
    <row r="49">
      <c r="A49" s="9" t="n">
        <v>46</v>
      </c>
      <c r="B49" s="10" t="inlineStr">
        <is>
          <t>)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># 素材使用追踪</t>
        </is>
      </c>
    </row>
    <row r="52">
      <c r="A52" s="7" t="n">
        <v>49</v>
      </c>
      <c r="B52" s="8" t="inlineStr">
        <is>
          <t>import sqlite3 as _sql</t>
        </is>
      </c>
    </row>
    <row r="53">
      <c r="A53" s="9" t="n">
        <v>50</v>
      </c>
      <c r="B53" s="10" t="inlineStr">
        <is>
          <t>import hashlib as _hashlib</t>
        </is>
      </c>
    </row>
    <row r="54">
      <c r="A54" s="7" t="n">
        <v>51</v>
      </c>
      <c r="B54" s="8" t="inlineStr">
        <is>
          <t>from datetime import datetime as _dt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>class MaterialCacheManager:</t>
        </is>
      </c>
    </row>
    <row r="57">
      <c r="A57" s="9" t="n">
        <v>54</v>
      </c>
      <c r="B57" s="10" t="inlineStr">
        <is>
          <t xml:space="preserve">    CACHE_PATH = _PROJECT_ROOT / "material_cache.json"</t>
        </is>
      </c>
    </row>
    <row r="58">
      <c r="A58" s="7" t="n">
        <v>55</v>
      </c>
      <c r="B58" s="8" t="inlineStr">
        <is>
          <t xml:space="preserve">    @staticmethod</t>
        </is>
      </c>
    </row>
    <row r="59">
      <c r="A59" s="9" t="n">
        <v>56</v>
      </c>
      <c r="B59" s="10" t="inlineStr">
        <is>
          <t xml:space="preserve">    def _dir_fingerprint(dirs):</t>
        </is>
      </c>
    </row>
    <row r="60">
      <c r="A60" s="7" t="n">
        <v>57</v>
      </c>
      <c r="B60" s="8" t="inlineStr">
        <is>
          <t xml:space="preserve">        sig = ""</t>
        </is>
      </c>
    </row>
    <row r="61">
      <c r="A61" s="9" t="n">
        <v>58</v>
      </c>
      <c r="B61" s="10" t="inlineStr">
        <is>
          <t xml:space="preserve">        for d in dirs:</t>
        </is>
      </c>
    </row>
    <row r="62">
      <c r="A62" s="7" t="n">
        <v>59</v>
      </c>
      <c r="B62" s="8" t="inlineStr">
        <is>
          <t xml:space="preserve">            p = Path(d)</t>
        </is>
      </c>
    </row>
    <row r="63">
      <c r="A63" s="9" t="n">
        <v>60</v>
      </c>
      <c r="B63" s="10" t="inlineStr">
        <is>
          <t xml:space="preserve">            if p.exists(): sig += f"{d}:{p.stat().st_mtime:.0f};"</t>
        </is>
      </c>
    </row>
    <row r="64">
      <c r="A64" s="7" t="n">
        <v>61</v>
      </c>
      <c r="B64" s="8" t="inlineStr">
        <is>
          <t xml:space="preserve">        return _hashlib.md5(sig.encode()).hexdigest()[:12]</t>
        </is>
      </c>
    </row>
    <row r="65">
      <c r="A65" s="9" t="n">
        <v>62</v>
      </c>
      <c r="B65" s="10" t="inlineStr">
        <is>
          <t xml:space="preserve">    @classmethod</t>
        </is>
      </c>
    </row>
    <row r="66">
      <c r="A66" s="7" t="n">
        <v>63</v>
      </c>
      <c r="B66" s="8" t="inlineStr">
        <is>
          <t xml:space="preserve">    def load(cls, scan_dirs):</t>
        </is>
      </c>
    </row>
    <row r="67">
      <c r="A67" s="9" t="n">
        <v>64</v>
      </c>
      <c r="B67" s="10" t="inlineStr">
        <is>
          <t xml:space="preserve">        import json as _j</t>
        </is>
      </c>
    </row>
    <row r="68">
      <c r="A68" s="7" t="n">
        <v>65</v>
      </c>
      <c r="B68" s="8" t="inlineStr">
        <is>
          <t xml:space="preserve">        try:</t>
        </is>
      </c>
    </row>
    <row r="69">
      <c r="A69" s="9" t="n">
        <v>66</v>
      </c>
      <c r="B69" s="10" t="inlineStr">
        <is>
          <t xml:space="preserve">            if not cls.CACHE_PATH.exists(): return None</t>
        </is>
      </c>
    </row>
    <row r="70">
      <c r="A70" s="7" t="n">
        <v>67</v>
      </c>
      <c r="B70" s="8" t="inlineStr">
        <is>
          <t xml:space="preserve">            with open(cls.CACHE_PATH, "r", encoding="utf-8") as f: data = _j.load(f)</t>
        </is>
      </c>
    </row>
    <row r="71">
      <c r="A71" s="9" t="n">
        <v>68</v>
      </c>
      <c r="B71" s="10" t="inlineStr">
        <is>
          <t xml:space="preserve">            if data.get("fingerprint") != cls._dir_fingerprint(scan_dirs): return None</t>
        </is>
      </c>
    </row>
    <row r="72">
      <c r="A72" s="7" t="n">
        <v>69</v>
      </c>
      <c r="B72" s="8" t="inlineStr">
        <is>
          <t xml:space="preserve">            return data</t>
        </is>
      </c>
    </row>
    <row r="73">
      <c r="A73" s="9" t="n">
        <v>70</v>
      </c>
      <c r="B73" s="10" t="inlineStr">
        <is>
          <t xml:space="preserve">        except Exception: return None</t>
        </is>
      </c>
    </row>
    <row r="74">
      <c r="A74" s="7" t="n">
        <v>71</v>
      </c>
      <c r="B74" s="8" t="inlineStr">
        <is>
          <t xml:space="preserve">    @classmethod</t>
        </is>
      </c>
    </row>
    <row r="75">
      <c r="A75" s="9" t="n">
        <v>72</v>
      </c>
      <c r="B75" s="10" t="inlineStr">
        <is>
          <t xml:space="preserve">    def save(cls, scan_dirs, cache_data):</t>
        </is>
      </c>
    </row>
    <row r="76">
      <c r="A76" s="7" t="n">
        <v>73</v>
      </c>
      <c r="B76" s="8" t="inlineStr">
        <is>
          <t xml:space="preserve">        import json as _j</t>
        </is>
      </c>
    </row>
    <row r="77">
      <c r="A77" s="9" t="n">
        <v>74</v>
      </c>
      <c r="B77" s="10" t="inlineStr">
        <is>
          <t xml:space="preserve">        try:</t>
        </is>
      </c>
    </row>
    <row r="78">
      <c r="A78" s="7" t="n">
        <v>75</v>
      </c>
      <c r="B78" s="8" t="inlineStr">
        <is>
          <t xml:space="preserve">            cls.CACHE_PATH.parent.mkdir(parents=True, exist_ok=True)</t>
        </is>
      </c>
    </row>
    <row r="79">
      <c r="A79" s="9" t="n">
        <v>76</v>
      </c>
      <c r="B79" s="10" t="inlineStr">
        <is>
          <t xml:space="preserve">            cache_data["fingerprint"] = cls._dir_fingerprint(scan_dirs)</t>
        </is>
      </c>
    </row>
    <row r="80">
      <c r="A80" s="7" t="n">
        <v>77</v>
      </c>
      <c r="B80" s="8" t="inlineStr">
        <is>
          <t xml:space="preserve">            cache_data["saved_at"] = _dt.now().isoformat()</t>
        </is>
      </c>
    </row>
    <row r="81">
      <c r="A81" s="9" t="n">
        <v>78</v>
      </c>
      <c r="B81" s="10" t="inlineStr">
        <is>
          <t xml:space="preserve">            with open(cls.CACHE_PATH, "w", encoding="utf-8") as f: _j.dump(cache_data, f, ensure_ascii=False, indent=2)</t>
        </is>
      </c>
    </row>
    <row r="82">
      <c r="A82" s="7" t="n">
        <v>79</v>
      </c>
      <c r="B82" s="8" t="inlineStr">
        <is>
          <t xml:space="preserve">        except Exception as _e: from utils.logging import log_warning; log_warning('__init__', str(_e)[:80])</t>
        </is>
      </c>
    </row>
    <row r="83">
      <c r="A83" s="9" t="n">
        <v>80</v>
      </c>
      <c r="B83" s="10" t="inlineStr">
        <is>
          <t xml:space="preserve">    @classmethod</t>
        </is>
      </c>
    </row>
    <row r="84">
      <c r="A84" s="7" t="n">
        <v>81</v>
      </c>
      <c r="B84" s="8" t="inlineStr">
        <is>
          <t xml:space="preserve">    def invalidate(cls):</t>
        </is>
      </c>
    </row>
    <row r="85">
      <c r="A85" s="9" t="n">
        <v>82</v>
      </c>
      <c r="B85" s="10" t="inlineStr">
        <is>
          <t xml:space="preserve">        try: cls.CACHE_PATH.unlink(missing_ok=True); print("   [Cache] Cleared")</t>
        </is>
      </c>
    </row>
    <row r="86">
      <c r="A86" s="7" t="n">
        <v>83</v>
      </c>
      <c r="B86" s="8" t="inlineStr">
        <is>
          <t xml:space="preserve">        except Exception as _e: from utils.logging import log_warning; log_warning('__init__', str(_e)[:80])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>
        <is>
          <t>class MaterialUsageTracker:</t>
        </is>
      </c>
    </row>
    <row r="89">
      <c r="A89" s="9" t="n">
        <v>86</v>
      </c>
      <c r="B89" s="10" t="inlineStr">
        <is>
          <t xml:space="preserve">    DB_PATH = _PROJECT_ROOT / "material_usage.db"</t>
        </is>
      </c>
    </row>
    <row r="90">
      <c r="A90" s="7" t="n">
        <v>87</v>
      </c>
      <c r="B90" s="8" t="inlineStr">
        <is>
          <t xml:space="preserve">    @classmethod</t>
        </is>
      </c>
    </row>
    <row r="91">
      <c r="A91" s="9" t="n">
        <v>88</v>
      </c>
      <c r="B91" s="10" t="inlineStr">
        <is>
          <t xml:space="preserve">    def _get_conn(cls):</t>
        </is>
      </c>
    </row>
    <row r="92">
      <c r="A92" s="7" t="n">
        <v>89</v>
      </c>
      <c r="B92" s="8" t="inlineStr">
        <is>
          <t xml:space="preserve">        cls.DB_PATH.parent.mkdir(parents=True, exist_ok=True)</t>
        </is>
      </c>
    </row>
    <row r="93">
      <c r="A93" s="9" t="n">
        <v>90</v>
      </c>
      <c r="B93" s="10" t="inlineStr">
        <is>
          <t xml:space="preserve">        conn = _sql.connect(str(cls.DB_PATH))</t>
        </is>
      </c>
    </row>
    <row r="94">
      <c r="A94" s="7" t="n">
        <v>91</v>
      </c>
      <c r="B94" s="8" t="inlineStr">
        <is>
          <t xml:space="preserve">        conn.execute("CREATE TABLE IF NOT EXISTS usage (path TEXT PRIMARY KEY, count INTEGER DEFAULT 0, last_used TEXT)")</t>
        </is>
      </c>
    </row>
    <row r="95">
      <c r="A95" s="9" t="n">
        <v>92</v>
      </c>
      <c r="B95" s="10" t="inlineStr">
        <is>
          <t xml:space="preserve">        conn.commit(); return conn</t>
        </is>
      </c>
    </row>
    <row r="96">
      <c r="A96" s="7" t="n">
        <v>93</v>
      </c>
      <c r="B96" s="8" t="inlineStr">
        <is>
          <t xml:space="preserve">    @classmethod</t>
        </is>
      </c>
    </row>
    <row r="97">
      <c r="A97" s="9" t="n">
        <v>94</v>
      </c>
      <c r="B97" s="10" t="inlineStr">
        <is>
          <t xml:space="preserve">    def record_usage(cls, paths):</t>
        </is>
      </c>
    </row>
    <row r="98">
      <c r="A98" s="7" t="n">
        <v>95</v>
      </c>
      <c r="B98" s="8" t="inlineStr">
        <is>
          <t xml:space="preserve">        try:</t>
        </is>
      </c>
    </row>
    <row r="99">
      <c r="A99" s="9" t="n">
        <v>96</v>
      </c>
      <c r="B99" s="10" t="inlineStr">
        <is>
          <t xml:space="preserve">            conn = cls._get_conn(); now = _dt.now().isoformat()</t>
        </is>
      </c>
    </row>
    <row r="100">
      <c r="A100" s="7" t="n">
        <v>97</v>
      </c>
      <c r="B100" s="8" t="inlineStr">
        <is>
          <t xml:space="preserve">            for p in paths:</t>
        </is>
      </c>
    </row>
    <row r="101">
      <c r="A101" s="9" t="n">
        <v>98</v>
      </c>
      <c r="B101" s="10" t="inlineStr">
        <is>
          <t xml:space="preserve">                conn.execute("INSERT INTO usage(path,count,last_used) VALUES(?,1,?) ON CONFLICT(path) DO UPDATE SET count=count+1,last_used=?", (str(p), now, now))</t>
        </is>
      </c>
    </row>
    <row r="102">
      <c r="A102" s="7" t="n">
        <v>99</v>
      </c>
      <c r="B102" s="8" t="inlineStr">
        <is>
          <t xml:space="preserve">            conn.commit(); conn.close()</t>
        </is>
      </c>
    </row>
    <row r="103">
      <c r="A103" s="9" t="n">
        <v>100</v>
      </c>
      <c r="B103" s="10" t="inlineStr">
        <is>
          <t xml:space="preserve">        except Exception as _e: from utils.logging import log_warning; log_warning('__init__', str(_e)[:80])</t>
        </is>
      </c>
    </row>
    <row r="104">
      <c r="A104" s="7" t="n">
        <v>101</v>
      </c>
      <c r="B104" s="8" t="inlineStr">
        <is>
          <t xml:space="preserve">    @classmethod</t>
        </is>
      </c>
    </row>
    <row r="105">
      <c r="A105" s="9" t="n">
        <v>102</v>
      </c>
      <c r="B105" s="10" t="inlineStr">
        <is>
          <t xml:space="preserve">    def get_usage_count(cls, path):</t>
        </is>
      </c>
    </row>
    <row r="106">
      <c r="A106" s="7" t="n">
        <v>103</v>
      </c>
      <c r="B106" s="8" t="inlineStr">
        <is>
          <t xml:space="preserve">        try:</t>
        </is>
      </c>
    </row>
    <row r="107">
      <c r="A107" s="9" t="n">
        <v>104</v>
      </c>
      <c r="B107" s="10" t="inlineStr">
        <is>
          <t xml:space="preserve">            conn = cls._get_conn(); row = conn.execute("SELECT count FROM usage WHERE path=?", (str(path),)).fetchone()</t>
        </is>
      </c>
    </row>
    <row r="108">
      <c r="A108" s="7" t="n">
        <v>105</v>
      </c>
      <c r="B108" s="8" t="inlineStr">
        <is>
          <t xml:space="preserve">            conn.close(); return row[0] if row else 0</t>
        </is>
      </c>
    </row>
    <row r="109">
      <c r="A109" s="9" t="n">
        <v>106</v>
      </c>
      <c r="B109" s="10" t="inlineStr">
        <is>
          <t xml:space="preserve">        except Exception: return 0</t>
        </is>
      </c>
    </row>
    <row r="110">
      <c r="A110" s="7" t="n">
        <v>107</v>
      </c>
      <c r="B110" s="8" t="inlineStr">
        <is>
          <t xml:space="preserve">    @classmethod</t>
        </is>
      </c>
    </row>
    <row r="111">
      <c r="A111" s="9" t="n">
        <v>108</v>
      </c>
      <c r="B111" s="10" t="inlineStr">
        <is>
          <t xml:space="preserve">    def sort_by_freshness(cls, mp4_pool):</t>
        </is>
      </c>
    </row>
    <row r="112">
      <c r="A112" s="7" t="n">
        <v>109</v>
      </c>
      <c r="B112" s="8" t="inlineStr">
        <is>
          <t xml:space="preserve">        try:</t>
        </is>
      </c>
    </row>
    <row r="113">
      <c r="A113" s="9" t="n">
        <v>110</v>
      </c>
      <c r="B113" s="10" t="inlineStr">
        <is>
          <t xml:space="preserve">            counts = {p: cls.get_usage_count(p) for p in mp4_pool}</t>
        </is>
      </c>
    </row>
    <row r="114">
      <c r="A114" s="7" t="n">
        <v>111</v>
      </c>
      <c r="B114" s="8" t="inlineStr">
        <is>
          <t xml:space="preserve">            return sorted(mp4_pool, key=lambda p: counts.get(p, 0))</t>
        </is>
      </c>
    </row>
    <row r="115">
      <c r="A115" s="9" t="n">
        <v>112</v>
      </c>
      <c r="B115" s="10" t="inlineStr">
        <is>
          <t xml:space="preserve">        except Exception: return mp4_pool</t>
        </is>
      </c>
    </row>
    <row r="116">
      <c r="A116" s="7" t="n">
        <v>113</v>
      </c>
      <c r="B116" s="8" t="inlineStr">
        <is>
          <t xml:space="preserve">    @classmethod</t>
        </is>
      </c>
    </row>
    <row r="117">
      <c r="A117" s="9" t="n">
        <v>114</v>
      </c>
      <c r="B117" s="10" t="inlineStr">
        <is>
          <t xml:space="preserve">    def print_stats(cls, top_n=10):</t>
        </is>
      </c>
    </row>
    <row r="118">
      <c r="A118" s="7" t="n">
        <v>115</v>
      </c>
      <c r="B118" s="8" t="inlineStr">
        <is>
          <t xml:space="preserve">        try:</t>
        </is>
      </c>
    </row>
    <row r="119">
      <c r="A119" s="9" t="n">
        <v>116</v>
      </c>
      <c r="B119" s="10" t="inlineStr">
        <is>
          <t xml:space="preserve">            conn = cls._get_conn()</t>
        </is>
      </c>
    </row>
    <row r="120">
      <c r="A120" s="7" t="n">
        <v>117</v>
      </c>
      <c r="B120" s="8" t="inlineStr">
        <is>
          <t xml:space="preserve">            rows = conn.execute("SELECT path,count,last_used FROM usage ORDER BY count DESC LIMIT ?", (top_n,)).fetchall()</t>
        </is>
      </c>
    </row>
    <row r="121">
      <c r="A121" s="9" t="n">
        <v>118</v>
      </c>
      <c r="B121" s="10" t="inlineStr">
        <is>
          <t xml:space="preserve">            conn.close()</t>
        </is>
      </c>
    </row>
    <row r="122">
      <c r="A122" s="7" t="n">
        <v>119</v>
      </c>
      <c r="B122" s="8" t="inlineStr">
        <is>
          <t xml:space="preserve">            if rows:</t>
        </is>
      </c>
    </row>
    <row r="123">
      <c r="A123" s="9" t="n">
        <v>120</v>
      </c>
      <c r="B123" s="10" t="inlineStr">
        <is>
          <t xml:space="preserve">                print(f"\n   [UsageStats] Top {len(rows)} most-used clips:")</t>
        </is>
      </c>
    </row>
    <row r="124">
      <c r="A124" s="7" t="n">
        <v>121</v>
      </c>
      <c r="B124" s="8" t="inlineStr">
        <is>
          <t xml:space="preserve">                for path, count, last_used in rows:</t>
        </is>
      </c>
    </row>
    <row r="125">
      <c r="A125" s="9" t="n">
        <v>122</v>
      </c>
      <c r="B125" s="10" t="inlineStr">
        <is>
          <t xml:space="preserve">                    print(f"      {count:3d}x | {Path(path).name[:45]} | {last_used[:10]}")</t>
        </is>
      </c>
    </row>
    <row r="126">
      <c r="A126" s="7" t="n">
        <v>123</v>
      </c>
      <c r="B126" s="8" t="inlineStr">
        <is>
          <t xml:space="preserve">        except Exception as _e: from utils.logging import log_warning; log_warning('__init__', str(_e)[:80])</t>
        </is>
      </c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>__version__ = "10.4-beta"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core\advanced_quality.py</t>
        </is>
      </c>
      <c r="C1" s="5" t="inlineStr">
        <is>
          <t>行数: 275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v13.1 — 高级画面质检模块</t>
        </is>
      </c>
    </row>
    <row r="6">
      <c r="A6" s="7" t="n">
        <v>3</v>
      </c>
      <c r="B6" s="8">
        <f>=====================================</f>
        <v/>
      </c>
    </row>
    <row r="7">
      <c r="A7" s="9" t="n">
        <v>4</v>
      </c>
      <c r="B7" s="10" t="inlineStr">
        <is>
          <t>黑场检测 / 画面模糊 / 卡顿掉帧 / 音画同步 / 品牌logo检测。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依赖: opencv-python (已有), scenedetect(可选)</t>
        </is>
      </c>
    </row>
    <row r="10">
      <c r="A10" s="7" t="n">
        <v>7</v>
      </c>
      <c r="B10" s="8" t="inlineStr">
        <is>
          <t>"""</t>
        </is>
      </c>
    </row>
    <row r="11">
      <c r="A11" s="9" t="n">
        <v>8</v>
      </c>
      <c r="B11" s="10" t="inlineStr">
        <is>
          <t>import logging</t>
        </is>
      </c>
    </row>
    <row r="12">
      <c r="A12" s="7" t="n">
        <v>9</v>
      </c>
      <c r="B12" s="8" t="inlineStr">
        <is>
          <t>from pathlib import Path</t>
        </is>
      </c>
    </row>
    <row r="13">
      <c r="A13" s="9" t="n">
        <v>10</v>
      </c>
      <c r="B13" s="10" t="inlineStr">
        <is>
          <t>from typing import List, Tuple, Optional, Dict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_log = logging.getLogger("TreeCut.AdvancedQuality")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class AdvancedQualityChecker:</t>
        </is>
      </c>
    </row>
    <row r="19">
      <c r="A19" s="9" t="n">
        <v>16</v>
      </c>
      <c r="B19" s="10" t="inlineStr">
        <is>
          <t xml:space="preserve">    """</t>
        </is>
      </c>
    </row>
    <row r="20">
      <c r="A20" s="7" t="n">
        <v>17</v>
      </c>
      <c r="B20" s="8" t="inlineStr">
        <is>
          <t xml:space="preserve">    高级视频质检: 黑场/模糊/卡顿/音画同步/侵权检测。</t>
        </is>
      </c>
    </row>
    <row r="21">
      <c r="A21" s="9" t="n">
        <v>18</v>
      </c>
      <c r="B21" s="10" t="inlineStr">
        <is>
          <t xml:space="preserve">    每种检测都有 OpenCV 降级方案，不强制外部依赖。</t>
        </is>
      </c>
    </row>
    <row r="22">
      <c r="A22" s="7" t="n">
        <v>19</v>
      </c>
      <c r="B22" s="8" t="inlineStr">
        <is>
          <t xml:space="preserve">    """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 xml:space="preserve">    def __init__(self):</t>
        </is>
      </c>
    </row>
    <row r="25">
      <c r="A25" s="9" t="n">
        <v>22</v>
      </c>
      <c r="B25" s="10" t="inlineStr">
        <is>
          <t xml:space="preserve">        self._black_threshold = 15      # 黑场像素阈值(0-255)</t>
        </is>
      </c>
    </row>
    <row r="26">
      <c r="A26" s="7" t="n">
        <v>23</v>
      </c>
      <c r="B26" s="8" t="inlineStr">
        <is>
          <t xml:space="preserve">        self._black_ratio = 0.95        # 黑场像素占比</t>
        </is>
      </c>
    </row>
    <row r="27">
      <c r="A27" s="9" t="n">
        <v>24</v>
      </c>
      <c r="B27" s="10" t="inlineStr">
        <is>
          <t xml:space="preserve">        self._blur_threshold = 50       # 拉普拉斯方差模糊阈值</t>
        </is>
      </c>
    </row>
    <row r="28">
      <c r="A28" s="7" t="n">
        <v>25</v>
      </c>
      <c r="B28" s="8" t="inlineStr">
        <is>
          <t xml:space="preserve">        self._sync_threshold = 0.3      # 音画同步偏差阈值(秒)</t>
        </is>
      </c>
    </row>
    <row r="29">
      <c r="A29" s="9" t="n">
        <v>26</v>
      </c>
      <c r="B29" s="10" t="inlineStr">
        <is>
          <t xml:space="preserve">        _log.info("高级质检模块初始化完成")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 xml:space="preserve">    # ═══════════════ 黑场检测 ═══════════════</t>
        </is>
      </c>
    </row>
    <row r="32">
      <c r="A32" s="7" t="n">
        <v>29</v>
      </c>
      <c r="B32" s="8" t="inlineStr">
        <is>
          <t xml:space="preserve">    def detect_black_frames(self, video_path: str,</t>
        </is>
      </c>
    </row>
    <row r="33">
      <c r="A33" s="9" t="n">
        <v>30</v>
      </c>
      <c r="B33" s="10" t="inlineStr">
        <is>
          <t xml:space="preserve">                            sample_rate: float = 1.0) -&gt; List[dict]:</t>
        </is>
      </c>
    </row>
    <row r="34">
      <c r="A34" s="7" t="n">
        <v>31</v>
      </c>
      <c r="B34" s="8" t="inlineStr">
        <is>
          <t xml:space="preserve">        """</t>
        </is>
      </c>
    </row>
    <row r="35">
      <c r="A35" s="9" t="n">
        <v>32</v>
      </c>
      <c r="B35" s="10" t="inlineStr">
        <is>
          <t xml:space="preserve">        检测视频中的黑场/静帧片段。</t>
        </is>
      </c>
    </row>
    <row r="36">
      <c r="A36" s="7" t="n">
        <v>33</v>
      </c>
      <c r="B36" s="8" t="inlineStr">
        <is>
          <t xml:space="preserve">        sample_rate: 每秒检测帧数</t>
        </is>
      </c>
    </row>
    <row r="37">
      <c r="A37" s="9" t="n">
        <v>34</v>
      </c>
      <c r="B37" s="10" t="inlineStr">
        <is>
          <t xml:space="preserve">        返回: [{"start": 0.0, "end": 1.5, "duration": 1.5, "level": "warning"}, ...]</t>
        </is>
      </c>
    </row>
    <row r="38">
      <c r="A38" s="7" t="n">
        <v>35</v>
      </c>
      <c r="B38" s="8" t="inlineStr">
        <is>
          <t xml:space="preserve">        """</t>
        </is>
      </c>
    </row>
    <row r="39">
      <c r="A39" s="9" t="n">
        <v>36</v>
      </c>
      <c r="B39" s="10" t="inlineStr">
        <is>
          <t xml:space="preserve">        import cv2</t>
        </is>
      </c>
    </row>
    <row r="40">
      <c r="A40" s="7" t="n">
        <v>37</v>
      </c>
      <c r="B40" s="8" t="inlineStr">
        <is>
          <t xml:space="preserve">        cap = cv2.VideoCapture(video_path)</t>
        </is>
      </c>
    </row>
    <row r="41">
      <c r="A41" s="9" t="n">
        <v>38</v>
      </c>
      <c r="B41" s="10" t="inlineStr">
        <is>
          <t xml:space="preserve">        if not cap.isOpened():</t>
        </is>
      </c>
    </row>
    <row r="42">
      <c r="A42" s="7" t="n">
        <v>39</v>
      </c>
      <c r="B42" s="8" t="inlineStr">
        <is>
          <t xml:space="preserve">            _log.error(f"无法打开视频: {video_path}")</t>
        </is>
      </c>
    </row>
    <row r="43">
      <c r="A43" s="9" t="n">
        <v>40</v>
      </c>
      <c r="B43" s="10" t="inlineStr">
        <is>
          <t xml:space="preserve">            return []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 xml:space="preserve">        fps = cap.get(cv2.CAP_PROP_FPS)</t>
        </is>
      </c>
    </row>
    <row r="46">
      <c r="A46" s="7" t="n">
        <v>43</v>
      </c>
      <c r="B46" s="8" t="inlineStr">
        <is>
          <t xml:space="preserve">        if fps &lt;= 0:</t>
        </is>
      </c>
    </row>
    <row r="47">
      <c r="A47" s="9" t="n">
        <v>44</v>
      </c>
      <c r="B47" s="10" t="inlineStr">
        <is>
          <t xml:space="preserve">            fps = 30</t>
        </is>
      </c>
    </row>
    <row r="48">
      <c r="A48" s="7" t="n">
        <v>45</v>
      </c>
      <c r="B48" s="8" t="inlineStr">
        <is>
          <t xml:space="preserve">        frame_step = max(1, int(fps / sample_rate))</t>
        </is>
      </c>
    </row>
    <row r="49">
      <c r="A49" s="9" t="n">
        <v>46</v>
      </c>
      <c r="B49" s="10" t="inlineStr">
        <is>
          <t xml:space="preserve">        total = int(cap.get(cv2.CAP_PROP_FRAME_COUNT))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    issues = []</t>
        </is>
      </c>
    </row>
    <row r="52">
      <c r="A52" s="7" t="n">
        <v>49</v>
      </c>
      <c r="B52" s="8" t="inlineStr">
        <is>
          <t xml:space="preserve">        frame_idx = 0</t>
        </is>
      </c>
    </row>
    <row r="53">
      <c r="A53" s="9" t="n">
        <v>50</v>
      </c>
      <c r="B53" s="10" t="inlineStr">
        <is>
          <t xml:space="preserve">        in_black = False</t>
        </is>
      </c>
    </row>
    <row r="54">
      <c r="A54" s="7" t="n">
        <v>51</v>
      </c>
      <c r="B54" s="8" t="inlineStr">
        <is>
          <t xml:space="preserve">        black_start = 0.0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    while True:</t>
        </is>
      </c>
    </row>
    <row r="57">
      <c r="A57" s="9" t="n">
        <v>54</v>
      </c>
      <c r="B57" s="10" t="inlineStr">
        <is>
          <t xml:space="preserve">            ret, frame = cap.read()</t>
        </is>
      </c>
    </row>
    <row r="58">
      <c r="A58" s="7" t="n">
        <v>55</v>
      </c>
      <c r="B58" s="8" t="inlineStr">
        <is>
          <t xml:space="preserve">            if not ret:</t>
        </is>
      </c>
    </row>
    <row r="59">
      <c r="A59" s="9" t="n">
        <v>56</v>
      </c>
      <c r="B59" s="10" t="inlineStr">
        <is>
          <t xml:space="preserve">                break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>
        <is>
          <t xml:space="preserve">            if frame_idx % frame_step == 0:</t>
        </is>
      </c>
    </row>
    <row r="62">
      <c r="A62" s="7" t="n">
        <v>59</v>
      </c>
      <c r="B62" s="8" t="inlineStr">
        <is>
          <t xml:space="preserve">                gray = cv2.cvtColor(frame, cv2.COLOR_BGR2GRAY)</t>
        </is>
      </c>
    </row>
    <row r="63">
      <c r="A63" s="9" t="n">
        <v>60</v>
      </c>
      <c r="B63" s="10" t="inlineStr">
        <is>
          <t xml:space="preserve">                dark = (gray &lt; self._black_threshold).sum()</t>
        </is>
      </c>
    </row>
    <row r="64">
      <c r="A64" s="7" t="n">
        <v>61</v>
      </c>
      <c r="B64" s="8" t="inlineStr">
        <is>
          <t xml:space="preserve">                ratio = dark / (gray.shape[0] * gray.shape[1])</t>
        </is>
      </c>
    </row>
    <row r="65">
      <c r="A65" s="9" t="n">
        <v>62</v>
      </c>
      <c r="B65" s="10" t="inlineStr">
        <is>
          <t xml:space="preserve">                t = frame_idx / fps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            if ratio &gt; self._black_ratio:</t>
        </is>
      </c>
    </row>
    <row r="68">
      <c r="A68" s="7" t="n">
        <v>65</v>
      </c>
      <c r="B68" s="8" t="inlineStr">
        <is>
          <t xml:space="preserve">                    if not in_black:</t>
        </is>
      </c>
    </row>
    <row r="69">
      <c r="A69" s="9" t="n">
        <v>66</v>
      </c>
      <c r="B69" s="10" t="inlineStr">
        <is>
          <t xml:space="preserve">                        black_start = t</t>
        </is>
      </c>
    </row>
    <row r="70">
      <c r="A70" s="7" t="n">
        <v>67</v>
      </c>
      <c r="B70" s="8" t="inlineStr">
        <is>
          <t xml:space="preserve">                        in_black = True</t>
        </is>
      </c>
    </row>
    <row r="71">
      <c r="A71" s="9" t="n">
        <v>68</v>
      </c>
      <c r="B71" s="10" t="inlineStr">
        <is>
          <t xml:space="preserve">                else:</t>
        </is>
      </c>
    </row>
    <row r="72">
      <c r="A72" s="7" t="n">
        <v>69</v>
      </c>
      <c r="B72" s="8" t="inlineStr">
        <is>
          <t xml:space="preserve">                    if in_black:</t>
        </is>
      </c>
    </row>
    <row r="73">
      <c r="A73" s="9" t="n">
        <v>70</v>
      </c>
      <c r="B73" s="10" t="inlineStr">
        <is>
          <t xml:space="preserve">                        dur = t - black_start</t>
        </is>
      </c>
    </row>
    <row r="74">
      <c r="A74" s="7" t="n">
        <v>71</v>
      </c>
      <c r="B74" s="8" t="inlineStr">
        <is>
          <t xml:space="preserve">                        if dur &gt; 0.5:</t>
        </is>
      </c>
    </row>
    <row r="75">
      <c r="A75" s="9" t="n">
        <v>72</v>
      </c>
      <c r="B75" s="10" t="inlineStr">
        <is>
          <t xml:space="preserve">                            issues.append({</t>
        </is>
      </c>
    </row>
    <row r="76">
      <c r="A76" s="7" t="n">
        <v>73</v>
      </c>
      <c r="B76" s="8" t="inlineStr">
        <is>
          <t xml:space="preserve">                                "start": round(black_start, 2),</t>
        </is>
      </c>
    </row>
    <row r="77">
      <c r="A77" s="9" t="n">
        <v>74</v>
      </c>
      <c r="B77" s="10" t="inlineStr">
        <is>
          <t xml:space="preserve">                                "end": round(t, 2),</t>
        </is>
      </c>
    </row>
    <row r="78">
      <c r="A78" s="7" t="n">
        <v>75</v>
      </c>
      <c r="B78" s="8" t="inlineStr">
        <is>
          <t xml:space="preserve">                                "duration": round(dur, 2),</t>
        </is>
      </c>
    </row>
    <row r="79">
      <c r="A79" s="9" t="n">
        <v>76</v>
      </c>
      <c r="B79" s="10" t="inlineStr">
        <is>
          <t xml:space="preserve">                                "type": "black_frame",</t>
        </is>
      </c>
    </row>
    <row r="80">
      <c r="A80" s="7" t="n">
        <v>77</v>
      </c>
      <c r="B80" s="8" t="inlineStr">
        <is>
          <t xml:space="preserve">                                "level": "warning",</t>
        </is>
      </c>
    </row>
    <row r="81">
      <c r="A81" s="9" t="n">
        <v>78</v>
      </c>
      <c r="B81" s="10" t="inlineStr">
        <is>
          <t xml:space="preserve">                            })</t>
        </is>
      </c>
    </row>
    <row r="82">
      <c r="A82" s="7" t="n">
        <v>79</v>
      </c>
      <c r="B82" s="8" t="inlineStr">
        <is>
          <t xml:space="preserve">                        in_black = False</t>
        </is>
      </c>
    </row>
    <row r="83">
      <c r="A83" s="9" t="n">
        <v>80</v>
      </c>
      <c r="B83" s="10" t="inlineStr">
        <is>
          <t xml:space="preserve">            frame_idx += 1</t>
        </is>
      </c>
    </row>
    <row r="84">
      <c r="A84" s="7" t="n">
        <v>81</v>
      </c>
      <c r="B84" s="8" t="inlineStr"/>
    </row>
    <row r="85">
      <c r="A85" s="9" t="n">
        <v>82</v>
      </c>
      <c r="B85" s="10" t="inlineStr">
        <is>
          <t xml:space="preserve">        # 视频末尾也在黑场状态</t>
        </is>
      </c>
    </row>
    <row r="86">
      <c r="A86" s="7" t="n">
        <v>83</v>
      </c>
      <c r="B86" s="8" t="inlineStr">
        <is>
          <t xml:space="preserve">        if in_black:</t>
        </is>
      </c>
    </row>
    <row r="87">
      <c r="A87" s="9" t="n">
        <v>84</v>
      </c>
      <c r="B87" s="10" t="inlineStr">
        <is>
          <t xml:space="preserve">            dur = total / fps - black_start</t>
        </is>
      </c>
    </row>
    <row r="88">
      <c r="A88" s="7" t="n">
        <v>85</v>
      </c>
      <c r="B88" s="8" t="inlineStr">
        <is>
          <t xml:space="preserve">            if dur &gt; 0.5:</t>
        </is>
      </c>
    </row>
    <row r="89">
      <c r="A89" s="9" t="n">
        <v>86</v>
      </c>
      <c r="B89" s="10" t="inlineStr">
        <is>
          <t xml:space="preserve">                issues.append({</t>
        </is>
      </c>
    </row>
    <row r="90">
      <c r="A90" s="7" t="n">
        <v>87</v>
      </c>
      <c r="B90" s="8" t="inlineStr">
        <is>
          <t xml:space="preserve">                    "start": round(black_start, 2),</t>
        </is>
      </c>
    </row>
    <row r="91">
      <c r="A91" s="9" t="n">
        <v>88</v>
      </c>
      <c r="B91" s="10" t="inlineStr">
        <is>
          <t xml:space="preserve">                    "end": round(total / fps, 2),</t>
        </is>
      </c>
    </row>
    <row r="92">
      <c r="A92" s="7" t="n">
        <v>89</v>
      </c>
      <c r="B92" s="8" t="inlineStr">
        <is>
          <t xml:space="preserve">                    "duration": round(dur, 2),</t>
        </is>
      </c>
    </row>
    <row r="93">
      <c r="A93" s="9" t="n">
        <v>90</v>
      </c>
      <c r="B93" s="10" t="inlineStr">
        <is>
          <t xml:space="preserve">                    "type": "black_frame",</t>
        </is>
      </c>
    </row>
    <row r="94">
      <c r="A94" s="7" t="n">
        <v>91</v>
      </c>
      <c r="B94" s="8" t="inlineStr">
        <is>
          <t xml:space="preserve">                    "level": "warning",</t>
        </is>
      </c>
    </row>
    <row r="95">
      <c r="A95" s="9" t="n">
        <v>92</v>
      </c>
      <c r="B95" s="10" t="inlineStr">
        <is>
          <t xml:space="preserve">                })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 xml:space="preserve">        cap.release()</t>
        </is>
      </c>
    </row>
    <row r="98">
      <c r="A98" s="7" t="n">
        <v>95</v>
      </c>
      <c r="B98" s="8" t="inlineStr">
        <is>
          <t xml:space="preserve">        _log.info(f"黑场检测完成: 发现 {len(issues)} 处")</t>
        </is>
      </c>
    </row>
    <row r="99">
      <c r="A99" s="9" t="n">
        <v>96</v>
      </c>
      <c r="B99" s="10" t="inlineStr">
        <is>
          <t xml:space="preserve">        return issues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 xml:space="preserve">    # ═══════════════ 模糊/卡顿检测 ═══════════════</t>
        </is>
      </c>
    </row>
    <row r="102">
      <c r="A102" s="7" t="n">
        <v>99</v>
      </c>
      <c r="B102" s="8" t="inlineStr">
        <is>
          <t xml:space="preserve">    def detect_blur_stutter(self, video_path: str,</t>
        </is>
      </c>
    </row>
    <row r="103">
      <c r="A103" s="9" t="n">
        <v>100</v>
      </c>
      <c r="B103" s="10" t="inlineStr">
        <is>
          <t xml:space="preserve">                            sample_rate: float = 2.0) -&gt; List[dict]:</t>
        </is>
      </c>
    </row>
    <row r="104">
      <c r="A104" s="7" t="n">
        <v>101</v>
      </c>
      <c r="B104" s="8" t="inlineStr">
        <is>
          <t xml:space="preserve">        """</t>
        </is>
      </c>
    </row>
    <row r="105">
      <c r="A105" s="9" t="n">
        <v>102</v>
      </c>
      <c r="B105" s="10" t="inlineStr">
        <is>
          <t xml:space="preserve">        检测画面模糊和卡顿掉帧。</t>
        </is>
      </c>
    </row>
    <row r="106">
      <c r="A106" s="7" t="n">
        <v>103</v>
      </c>
      <c r="B106" s="8" t="inlineStr">
        <is>
          <t xml:space="preserve">        使用拉普拉斯方差法评估锐度。</t>
        </is>
      </c>
    </row>
    <row r="107">
      <c r="A107" s="9" t="n">
        <v>104</v>
      </c>
      <c r="B107" s="10" t="inlineStr">
        <is>
          <t xml:space="preserve">        """</t>
        </is>
      </c>
    </row>
    <row r="108">
      <c r="A108" s="7" t="n">
        <v>105</v>
      </c>
      <c r="B108" s="8" t="inlineStr">
        <is>
          <t xml:space="preserve">        import cv2</t>
        </is>
      </c>
    </row>
    <row r="109">
      <c r="A109" s="9" t="n">
        <v>106</v>
      </c>
      <c r="B109" s="10" t="inlineStr">
        <is>
          <t xml:space="preserve">        cap = cv2.VideoCapture(video_path)</t>
        </is>
      </c>
    </row>
    <row r="110">
      <c r="A110" s="7" t="n">
        <v>107</v>
      </c>
      <c r="B110" s="8" t="inlineStr">
        <is>
          <t xml:space="preserve">        if not cap.isOpened():</t>
        </is>
      </c>
    </row>
    <row r="111">
      <c r="A111" s="9" t="n">
        <v>108</v>
      </c>
      <c r="B111" s="10" t="inlineStr">
        <is>
          <t xml:space="preserve">            return []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 xml:space="preserve">        fps = cap.get(cv2.CAP_PROP_FPS)</t>
        </is>
      </c>
    </row>
    <row r="114">
      <c r="A114" s="7" t="n">
        <v>111</v>
      </c>
      <c r="B114" s="8" t="inlineStr">
        <is>
          <t xml:space="preserve">        if fps &lt;= 0:</t>
        </is>
      </c>
    </row>
    <row r="115">
      <c r="A115" s="9" t="n">
        <v>112</v>
      </c>
      <c r="B115" s="10" t="inlineStr">
        <is>
          <t xml:space="preserve">            fps = 30</t>
        </is>
      </c>
    </row>
    <row r="116">
      <c r="A116" s="7" t="n">
        <v>113</v>
      </c>
      <c r="B116" s="8" t="inlineStr">
        <is>
          <t xml:space="preserve">        frame_step = max(1, int(fps / sample_rate))</t>
        </is>
      </c>
    </row>
    <row r="117">
      <c r="A117" s="9" t="n">
        <v>114</v>
      </c>
      <c r="B117" s="10" t="inlineStr"/>
    </row>
    <row r="118">
      <c r="A118" s="7" t="n">
        <v>115</v>
      </c>
      <c r="B118" s="8" t="inlineStr">
        <is>
          <t xml:space="preserve">        issues = []</t>
        </is>
      </c>
    </row>
    <row r="119">
      <c r="A119" s="9" t="n">
        <v>116</v>
      </c>
      <c r="B119" s="10" t="inlineStr">
        <is>
          <t xml:space="preserve">        frame_idx = 0</t>
        </is>
      </c>
    </row>
    <row r="120">
      <c r="A120" s="7" t="n">
        <v>117</v>
      </c>
      <c r="B120" s="8" t="inlineStr">
        <is>
          <t xml:space="preserve">        prev_gray = None</t>
        </is>
      </c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 xml:space="preserve">        while True:</t>
        </is>
      </c>
    </row>
    <row r="123">
      <c r="A123" s="9" t="n">
        <v>120</v>
      </c>
      <c r="B123" s="10" t="inlineStr">
        <is>
          <t xml:space="preserve">            ret, frame = cap.read()</t>
        </is>
      </c>
    </row>
    <row r="124">
      <c r="A124" s="7" t="n">
        <v>121</v>
      </c>
      <c r="B124" s="8" t="inlineStr">
        <is>
          <t xml:space="preserve">            if not ret:</t>
        </is>
      </c>
    </row>
    <row r="125">
      <c r="A125" s="9" t="n">
        <v>122</v>
      </c>
      <c r="B125" s="10" t="inlineStr">
        <is>
          <t xml:space="preserve">                break</t>
        </is>
      </c>
    </row>
    <row r="126">
      <c r="A126" s="7" t="n">
        <v>123</v>
      </c>
      <c r="B126" s="8" t="inlineStr"/>
    </row>
    <row r="127">
      <c r="A127" s="9" t="n">
        <v>124</v>
      </c>
      <c r="B127" s="10" t="inlineStr">
        <is>
          <t xml:space="preserve">            if frame_idx % frame_step == 0:</t>
        </is>
      </c>
    </row>
    <row r="128">
      <c r="A128" s="7" t="n">
        <v>125</v>
      </c>
      <c r="B128" s="8" t="inlineStr">
        <is>
          <t xml:space="preserve">                gray = cv2.cvtColor(frame, cv2.COLOR_BGR2GRAY)</t>
        </is>
      </c>
    </row>
    <row r="129">
      <c r="A129" s="9" t="n">
        <v>126</v>
      </c>
      <c r="B129" s="10" t="inlineStr">
        <is>
          <t xml:space="preserve">                blur_score = cv2.Laplacian(gray, cv2.CV_64F).var()</t>
        </is>
      </c>
    </row>
    <row r="130">
      <c r="A130" s="7" t="n">
        <v>127</v>
      </c>
      <c r="B130" s="8" t="inlineStr"/>
    </row>
    <row r="131">
      <c r="A131" s="9" t="n">
        <v>128</v>
      </c>
      <c r="B131" s="10" t="inlineStr">
        <is>
          <t xml:space="preserve">                if blur_score &lt; self._blur_threshold:</t>
        </is>
      </c>
    </row>
    <row r="132">
      <c r="A132" s="7" t="n">
        <v>129</v>
      </c>
      <c r="B132" s="8" t="inlineStr">
        <is>
          <t xml:space="preserve">                    t = frame_idx / fps</t>
        </is>
      </c>
    </row>
    <row r="133">
      <c r="A133" s="9" t="n">
        <v>130</v>
      </c>
      <c r="B133" s="10" t="inlineStr">
        <is>
          <t xml:space="preserve">                    issues.append({</t>
        </is>
      </c>
    </row>
    <row r="134">
      <c r="A134" s="7" t="n">
        <v>131</v>
      </c>
      <c r="B134" s="8" t="inlineStr">
        <is>
          <t xml:space="preserve">                        "time": round(t, 1),</t>
        </is>
      </c>
    </row>
    <row r="135">
      <c r="A135" s="9" t="n">
        <v>132</v>
      </c>
      <c r="B135" s="10" t="inlineStr">
        <is>
          <t xml:space="preserve">                        "type": "blur",</t>
        </is>
      </c>
    </row>
    <row r="136">
      <c r="A136" s="7" t="n">
        <v>133</v>
      </c>
      <c r="B136" s="8" t="inlineStr">
        <is>
          <t xml:space="preserve">                        "score": round(blur_score, 1),</t>
        </is>
      </c>
    </row>
    <row r="137">
      <c r="A137" s="9" t="n">
        <v>134</v>
      </c>
      <c r="B137" s="10" t="inlineStr">
        <is>
          <t xml:space="preserve">                        "level": "warning" if blur_score &gt; 30 else "error",</t>
        </is>
      </c>
    </row>
    <row r="138">
      <c r="A138" s="7" t="n">
        <v>135</v>
      </c>
      <c r="B138" s="8" t="inlineStr">
        <is>
          <t xml:space="preserve">                    })</t>
        </is>
      </c>
    </row>
    <row r="139">
      <c r="A139" s="9" t="n">
        <v>136</v>
      </c>
      <c r="B139" s="10" t="inlineStr"/>
    </row>
    <row r="140">
      <c r="A140" s="7" t="n">
        <v>137</v>
      </c>
      <c r="B140" s="8" t="inlineStr">
        <is>
          <t xml:space="preserve">                # 卡顿检测: 相邻帧差异极小</t>
        </is>
      </c>
    </row>
    <row r="141">
      <c r="A141" s="9" t="n">
        <v>138</v>
      </c>
      <c r="B141" s="10" t="inlineStr">
        <is>
          <t xml:space="preserve">                if prev_gray is not None:</t>
        </is>
      </c>
    </row>
    <row r="142">
      <c r="A142" s="7" t="n">
        <v>139</v>
      </c>
      <c r="B142" s="8" t="inlineStr">
        <is>
          <t xml:space="preserve">                    diff = cv2.absdiff(gray, prev_gray).mean()</t>
        </is>
      </c>
    </row>
    <row r="143">
      <c r="A143" s="9" t="n">
        <v>140</v>
      </c>
      <c r="B143" s="10" t="inlineStr">
        <is>
          <t xml:space="preserve">                    if diff &lt; 1.0:</t>
        </is>
      </c>
    </row>
    <row r="144">
      <c r="A144" s="7" t="n">
        <v>141</v>
      </c>
      <c r="B144" s="8" t="inlineStr">
        <is>
          <t xml:space="preserve">                        issues.append({</t>
        </is>
      </c>
    </row>
    <row r="145">
      <c r="A145" s="9" t="n">
        <v>142</v>
      </c>
      <c r="B145" s="10" t="inlineStr">
        <is>
          <t xml:space="preserve">                            "time": round(frame_idx / fps, 1),</t>
        </is>
      </c>
    </row>
    <row r="146">
      <c r="A146" s="7" t="n">
        <v>143</v>
      </c>
      <c r="B146" s="8" t="inlineStr">
        <is>
          <t xml:space="preserve">                            "type": "stutter",</t>
        </is>
      </c>
    </row>
    <row r="147">
      <c r="A147" s="9" t="n">
        <v>144</v>
      </c>
      <c r="B147" s="10" t="inlineStr">
        <is>
          <t xml:space="preserve">                            "score": round(diff, 2),</t>
        </is>
      </c>
    </row>
    <row r="148">
      <c r="A148" s="7" t="n">
        <v>145</v>
      </c>
      <c r="B148" s="8" t="inlineStr">
        <is>
          <t xml:space="preserve">                            "level": "warning",</t>
        </is>
      </c>
    </row>
    <row r="149">
      <c r="A149" s="9" t="n">
        <v>146</v>
      </c>
      <c r="B149" s="10" t="inlineStr">
        <is>
          <t xml:space="preserve">                        })</t>
        </is>
      </c>
    </row>
    <row r="150">
      <c r="A150" s="7" t="n">
        <v>147</v>
      </c>
      <c r="B150" s="8" t="inlineStr"/>
    </row>
    <row r="151">
      <c r="A151" s="9" t="n">
        <v>148</v>
      </c>
      <c r="B151" s="10" t="inlineStr">
        <is>
          <t xml:space="preserve">                prev_gray = gray</t>
        </is>
      </c>
    </row>
    <row r="152">
      <c r="A152" s="7" t="n">
        <v>149</v>
      </c>
      <c r="B152" s="8" t="inlineStr">
        <is>
          <t xml:space="preserve">            frame_idx += 1</t>
        </is>
      </c>
    </row>
    <row r="153">
      <c r="A153" s="9" t="n">
        <v>150</v>
      </c>
      <c r="B153" s="10" t="inlineStr"/>
    </row>
    <row r="154">
      <c r="A154" s="7" t="n">
        <v>151</v>
      </c>
      <c r="B154" s="8" t="inlineStr">
        <is>
          <t xml:space="preserve">        cap.release()</t>
        </is>
      </c>
    </row>
    <row r="155">
      <c r="A155" s="9" t="n">
        <v>152</v>
      </c>
      <c r="B155" s="10" t="inlineStr">
        <is>
          <t xml:space="preserve">        _log.info(f"模糊/卡顿检测完成: 发现 {len(issues)} 处")</t>
        </is>
      </c>
    </row>
    <row r="156">
      <c r="A156" s="7" t="n">
        <v>153</v>
      </c>
      <c r="B156" s="8" t="inlineStr">
        <is>
          <t xml:space="preserve">        return issues</t>
        </is>
      </c>
    </row>
    <row r="157">
      <c r="A157" s="9" t="n">
        <v>154</v>
      </c>
      <c r="B157" s="10" t="inlineStr"/>
    </row>
    <row r="158">
      <c r="A158" s="7" t="n">
        <v>155</v>
      </c>
      <c r="B158" s="8" t="inlineStr">
        <is>
          <t xml:space="preserve">    # ═══════════════ 音画同步检测 ═══════════════</t>
        </is>
      </c>
    </row>
    <row r="159">
      <c r="A159" s="9" t="n">
        <v>156</v>
      </c>
      <c r="B159" s="10" t="inlineStr">
        <is>
          <t xml:space="preserve">    def check_audio_video_sync(self, audio_segments: List[dict],</t>
        </is>
      </c>
    </row>
    <row r="160">
      <c r="A160" s="7" t="n">
        <v>157</v>
      </c>
      <c r="B160" s="8" t="inlineStr">
        <is>
          <t xml:space="preserve">                               subtitle_segments: List[dict]) -&gt; List[dict]:</t>
        </is>
      </c>
    </row>
    <row r="161">
      <c r="A161" s="9" t="n">
        <v>158</v>
      </c>
      <c r="B161" s="10" t="inlineStr">
        <is>
          <t xml:space="preserve">        """</t>
        </is>
      </c>
    </row>
    <row r="162">
      <c r="A162" s="7" t="n">
        <v>159</v>
      </c>
      <c r="B162" s="8" t="inlineStr">
        <is>
          <t xml:space="preserve">        检测音频段与字幕段时间轴偏差。</t>
        </is>
      </c>
    </row>
    <row r="163">
      <c r="A163" s="9" t="n">
        <v>160</v>
      </c>
      <c r="B163" s="10" t="inlineStr">
        <is>
          <t xml:space="preserve">        audio_segments: [{"start":0,"end":2.5,"text":"..."}, ...]</t>
        </is>
      </c>
    </row>
    <row r="164">
      <c r="A164" s="7" t="n">
        <v>161</v>
      </c>
      <c r="B164" s="8" t="inlineStr">
        <is>
          <t xml:space="preserve">        subtitle_segments: [{"start":0,"end":2.5,"text":"..."}, ...]</t>
        </is>
      </c>
    </row>
    <row r="165">
      <c r="A165" s="9" t="n">
        <v>162</v>
      </c>
      <c r="B165" s="10" t="inlineStr">
        <is>
          <t xml:space="preserve">        """</t>
        </is>
      </c>
    </row>
    <row r="166">
      <c r="A166" s="7" t="n">
        <v>163</v>
      </c>
      <c r="B166" s="8" t="inlineStr">
        <is>
          <t xml:space="preserve">        issues = []</t>
        </is>
      </c>
    </row>
    <row r="167">
      <c r="A167" s="9" t="n">
        <v>164</v>
      </c>
      <c r="B167" s="10" t="inlineStr">
        <is>
          <t xml:space="preserve">        for asg in audio_segments:</t>
        </is>
      </c>
    </row>
    <row r="168">
      <c r="A168" s="7" t="n">
        <v>165</v>
      </c>
      <c r="B168" s="8" t="inlineStr">
        <is>
          <t xml:space="preserve">            a_start, a_end = asg.get("start", 0), asg.get("end", 0)</t>
        </is>
      </c>
    </row>
    <row r="169">
      <c r="A169" s="9" t="n">
        <v>166</v>
      </c>
      <c r="B169" s="10" t="inlineStr">
        <is>
          <t xml:space="preserve">            matched = any(</t>
        </is>
      </c>
    </row>
    <row r="170">
      <c r="A170" s="7" t="n">
        <v>167</v>
      </c>
      <c r="B170" s="8" t="inlineStr">
        <is>
          <t xml:space="preserve">                abs(a_start - s.get("start", 0)) &lt; self._sync_threshold and</t>
        </is>
      </c>
    </row>
    <row r="171">
      <c r="A171" s="9" t="n">
        <v>168</v>
      </c>
      <c r="B171" s="10" t="inlineStr">
        <is>
          <t xml:space="preserve">                abs(a_end - s.get("end", 0)) &lt; self._sync_threshold</t>
        </is>
      </c>
    </row>
    <row r="172">
      <c r="A172" s="7" t="n">
        <v>169</v>
      </c>
      <c r="B172" s="8" t="inlineStr">
        <is>
          <t xml:space="preserve">                for s in subtitle_segments</t>
        </is>
      </c>
    </row>
    <row r="173">
      <c r="A173" s="9" t="n">
        <v>170</v>
      </c>
      <c r="B173" s="10" t="inlineStr">
        <is>
          <t xml:space="preserve">            )</t>
        </is>
      </c>
    </row>
    <row r="174">
      <c r="A174" s="7" t="n">
        <v>171</v>
      </c>
      <c r="B174" s="8" t="inlineStr">
        <is>
          <t xml:space="preserve">            if not matched:</t>
        </is>
      </c>
    </row>
    <row r="175">
      <c r="A175" s="9" t="n">
        <v>172</v>
      </c>
      <c r="B175" s="10" t="inlineStr">
        <is>
          <t xml:space="preserve">                issues.append({</t>
        </is>
      </c>
    </row>
    <row r="176">
      <c r="A176" s="7" t="n">
        <v>173</v>
      </c>
      <c r="B176" s="8" t="inlineStr">
        <is>
          <t xml:space="preserve">                    "time": a_start,</t>
        </is>
      </c>
    </row>
    <row r="177">
      <c r="A177" s="9" t="n">
        <v>174</v>
      </c>
      <c r="B177" s="10" t="inlineStr">
        <is>
          <t xml:space="preserve">                    "audio_text": asg.get("text", ""),</t>
        </is>
      </c>
    </row>
    <row r="178">
      <c r="A178" s="7" t="n">
        <v>175</v>
      </c>
      <c r="B178" s="8" t="inlineStr">
        <is>
          <t xml:space="preserve">                    "type": "audio_video_sync",</t>
        </is>
      </c>
    </row>
    <row r="179">
      <c r="A179" s="9" t="n">
        <v>176</v>
      </c>
      <c r="B179" s="10" t="inlineStr">
        <is>
          <t xml:space="preserve">                    "level": "warning",</t>
        </is>
      </c>
    </row>
    <row r="180">
      <c r="A180" s="7" t="n">
        <v>177</v>
      </c>
      <c r="B180" s="8" t="inlineStr">
        <is>
          <t xml:space="preserve">                    "desc": f"语音{round(a_start,1)}s-{round(a_end,1)}s无匹配字幕",</t>
        </is>
      </c>
    </row>
    <row r="181">
      <c r="A181" s="9" t="n">
        <v>178</v>
      </c>
      <c r="B181" s="10" t="inlineStr">
        <is>
          <t xml:space="preserve">                })</t>
        </is>
      </c>
    </row>
    <row r="182">
      <c r="A182" s="7" t="n">
        <v>179</v>
      </c>
      <c r="B182" s="8" t="inlineStr"/>
    </row>
    <row r="183">
      <c r="A183" s="9" t="n">
        <v>180</v>
      </c>
      <c r="B183" s="10" t="inlineStr">
        <is>
          <t xml:space="preserve">        _log.info(f"音画同步检测完成: 发现 {len(issues)} 处偏差")</t>
        </is>
      </c>
    </row>
    <row r="184">
      <c r="A184" s="7" t="n">
        <v>181</v>
      </c>
      <c r="B184" s="8" t="inlineStr">
        <is>
          <t xml:space="preserve">        return issues</t>
        </is>
      </c>
    </row>
    <row r="185">
      <c r="A185" s="9" t="n">
        <v>182</v>
      </c>
      <c r="B185" s="10" t="inlineStr"/>
    </row>
    <row r="186">
      <c r="A186" s="7" t="n">
        <v>183</v>
      </c>
      <c r="B186" s="8" t="inlineStr">
        <is>
          <t xml:space="preserve">    # ═══════════════ 品牌Logo检测 ═══════════════</t>
        </is>
      </c>
    </row>
    <row r="187">
      <c r="A187" s="9" t="n">
        <v>184</v>
      </c>
      <c r="B187" s="10" t="inlineStr">
        <is>
          <t xml:space="preserve">    def detect_brand_logo(self, video_path: str,</t>
        </is>
      </c>
    </row>
    <row r="188">
      <c r="A188" s="7" t="n">
        <v>185</v>
      </c>
      <c r="B188" s="8" t="inlineStr">
        <is>
          <t xml:space="preserve">                          logo_dir: str = None) -&gt; List[dict]:</t>
        </is>
      </c>
    </row>
    <row r="189">
      <c r="A189" s="9" t="n">
        <v>186</v>
      </c>
      <c r="B189" s="10" t="inlineStr">
        <is>
          <t xml:space="preserve">        """</t>
        </is>
      </c>
    </row>
    <row r="190">
      <c r="A190" s="7" t="n">
        <v>187</v>
      </c>
      <c r="B190" s="8" t="inlineStr">
        <is>
          <t xml:space="preserve">        检测视频中的品牌Logo/广告标识。</t>
        </is>
      </c>
    </row>
    <row r="191">
      <c r="A191" s="9" t="n">
        <v>188</v>
      </c>
      <c r="B191" s="10" t="inlineStr">
        <is>
          <t xml:space="preserve">        使用ORB特征匹配。</t>
        </is>
      </c>
    </row>
    <row r="192">
      <c r="A192" s="7" t="n">
        <v>189</v>
      </c>
      <c r="B192" s="8" t="inlineStr">
        <is>
          <t xml:space="preserve">        logo_dir: 包含品牌Logo图片的目录</t>
        </is>
      </c>
    </row>
    <row r="193">
      <c r="A193" s="9" t="n">
        <v>190</v>
      </c>
      <c r="B193" s="10" t="inlineStr">
        <is>
          <t xml:space="preserve">        """</t>
        </is>
      </c>
    </row>
    <row r="194">
      <c r="A194" s="7" t="n">
        <v>191</v>
      </c>
      <c r="B194" s="8" t="inlineStr">
        <is>
          <t xml:space="preserve">        if not logo_dir:</t>
        </is>
      </c>
    </row>
    <row r="195">
      <c r="A195" s="9" t="n">
        <v>192</v>
      </c>
      <c r="B195" s="10" t="inlineStr">
        <is>
          <t xml:space="preserve">            logo_dir = str(Path(__file__).parent.parent / "data" / "brand_logos")</t>
        </is>
      </c>
    </row>
    <row r="196">
      <c r="A196" s="7" t="n">
        <v>193</v>
      </c>
      <c r="B196" s="8" t="inlineStr">
        <is>
          <t xml:space="preserve">        if not Path(logo_dir).exists():</t>
        </is>
      </c>
    </row>
    <row r="197">
      <c r="A197" s="9" t="n">
        <v>194</v>
      </c>
      <c r="B197" s="10" t="inlineStr">
        <is>
          <t xml:space="preserve">            _log.debug("未配置品牌Logo库, 跳过检测")</t>
        </is>
      </c>
    </row>
    <row r="198">
      <c r="A198" s="7" t="n">
        <v>195</v>
      </c>
      <c r="B198" s="8" t="inlineStr">
        <is>
          <t xml:space="preserve">            return []</t>
        </is>
      </c>
    </row>
    <row r="199">
      <c r="A199" s="9" t="n">
        <v>196</v>
      </c>
      <c r="B199" s="10" t="inlineStr"/>
    </row>
    <row r="200">
      <c r="A200" s="7" t="n">
        <v>197</v>
      </c>
      <c r="B200" s="8" t="inlineStr">
        <is>
          <t xml:space="preserve">        import cv2, os</t>
        </is>
      </c>
    </row>
    <row r="201">
      <c r="A201" s="9" t="n">
        <v>198</v>
      </c>
      <c r="B201" s="10" t="inlineStr">
        <is>
          <t xml:space="preserve">        orb = cv2.ORB_create(nfeatures=1000)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 xml:space="preserve">        # 加载Logo特征</t>
        </is>
      </c>
    </row>
    <row r="204">
      <c r="A204" s="7" t="n">
        <v>201</v>
      </c>
      <c r="B204" s="8" t="inlineStr">
        <is>
          <t xml:space="preserve">        logo_features = []</t>
        </is>
      </c>
    </row>
    <row r="205">
      <c r="A205" s="9" t="n">
        <v>202</v>
      </c>
      <c r="B205" s="10" t="inlineStr">
        <is>
          <t xml:space="preserve">        for fname in os.listdir(logo_dir):</t>
        </is>
      </c>
    </row>
    <row r="206">
      <c r="A206" s="7" t="n">
        <v>203</v>
      </c>
      <c r="B206" s="8" t="inlineStr">
        <is>
          <t xml:space="preserve">            fpath = os.path.join(logo_dir, fname)</t>
        </is>
      </c>
    </row>
    <row r="207">
      <c r="A207" s="9" t="n">
        <v>204</v>
      </c>
      <c r="B207" s="10" t="inlineStr">
        <is>
          <t xml:space="preserve">            img = cv2.imread(fpath, cv2.IMREAD_GRAYSCALE)</t>
        </is>
      </c>
    </row>
    <row r="208">
      <c r="A208" s="7" t="n">
        <v>205</v>
      </c>
      <c r="B208" s="8" t="inlineStr">
        <is>
          <t xml:space="preserve">            if img is None:</t>
        </is>
      </c>
    </row>
    <row r="209">
      <c r="A209" s="9" t="n">
        <v>206</v>
      </c>
      <c r="B209" s="10" t="inlineStr">
        <is>
          <t xml:space="preserve">                continue</t>
        </is>
      </c>
    </row>
    <row r="210">
      <c r="A210" s="7" t="n">
        <v>207</v>
      </c>
      <c r="B210" s="8" t="inlineStr">
        <is>
          <t xml:space="preserve">            kp, des = orb.detectAndCompute(img, None)</t>
        </is>
      </c>
    </row>
    <row r="211">
      <c r="A211" s="9" t="n">
        <v>208</v>
      </c>
      <c r="B211" s="10" t="inlineStr">
        <is>
          <t xml:space="preserve">            if des is not None:</t>
        </is>
      </c>
    </row>
    <row r="212">
      <c r="A212" s="7" t="n">
        <v>209</v>
      </c>
      <c r="B212" s="8" t="inlineStr">
        <is>
          <t xml:space="preserve">                logo_features.append({"name": fname, "des": des})</t>
        </is>
      </c>
    </row>
    <row r="213">
      <c r="A213" s="9" t="n">
        <v>210</v>
      </c>
      <c r="B213" s="10" t="inlineStr"/>
    </row>
    <row r="214">
      <c r="A214" s="7" t="n">
        <v>211</v>
      </c>
      <c r="B214" s="8" t="inlineStr">
        <is>
          <t xml:space="preserve">        if not logo_features:</t>
        </is>
      </c>
    </row>
    <row r="215">
      <c r="A215" s="9" t="n">
        <v>212</v>
      </c>
      <c r="B215" s="10" t="inlineStr">
        <is>
          <t xml:space="preserve">            return []</t>
        </is>
      </c>
    </row>
    <row r="216">
      <c r="A216" s="7" t="n">
        <v>213</v>
      </c>
      <c r="B216" s="8" t="inlineStr"/>
    </row>
    <row r="217">
      <c r="A217" s="9" t="n">
        <v>214</v>
      </c>
      <c r="B217" s="10" t="inlineStr">
        <is>
          <t xml:space="preserve">        bf = cv2.BFMatcher(cv2.NORM_HAMMING, crossCheck=True)</t>
        </is>
      </c>
    </row>
    <row r="218">
      <c r="A218" s="7" t="n">
        <v>215</v>
      </c>
      <c r="B218" s="8" t="inlineStr">
        <is>
          <t xml:space="preserve">        cap = cv2.VideoCapture(video_path)</t>
        </is>
      </c>
    </row>
    <row r="219">
      <c r="A219" s="9" t="n">
        <v>216</v>
      </c>
      <c r="B219" s="10" t="inlineStr">
        <is>
          <t xml:space="preserve">        if not cap.isOpened():</t>
        </is>
      </c>
    </row>
    <row r="220">
      <c r="A220" s="7" t="n">
        <v>217</v>
      </c>
      <c r="B220" s="8" t="inlineStr">
        <is>
          <t xml:space="preserve">            return []</t>
        </is>
      </c>
    </row>
    <row r="221">
      <c r="A221" s="9" t="n">
        <v>218</v>
      </c>
      <c r="B221" s="10" t="inlineStr"/>
    </row>
    <row r="222">
      <c r="A222" s="7" t="n">
        <v>219</v>
      </c>
      <c r="B222" s="8" t="inlineStr">
        <is>
          <t xml:space="preserve">        fps = cap.get(cv2.CAP_PROP_FPS) or 30</t>
        </is>
      </c>
    </row>
    <row r="223">
      <c r="A223" s="9" t="n">
        <v>220</v>
      </c>
      <c r="B223" s="10" t="inlineStr">
        <is>
          <t xml:space="preserve">        issues = []</t>
        </is>
      </c>
    </row>
    <row r="224">
      <c r="A224" s="7" t="n">
        <v>221</v>
      </c>
      <c r="B224" s="8" t="inlineStr">
        <is>
          <t xml:space="preserve">        frame_idx = 0</t>
        </is>
      </c>
    </row>
    <row r="225">
      <c r="A225" s="9" t="n">
        <v>222</v>
      </c>
      <c r="B225" s="10" t="inlineStr"/>
    </row>
    <row r="226">
      <c r="A226" s="7" t="n">
        <v>223</v>
      </c>
      <c r="B226" s="8" t="inlineStr">
        <is>
          <t xml:space="preserve">        while True:</t>
        </is>
      </c>
    </row>
    <row r="227">
      <c r="A227" s="9" t="n">
        <v>224</v>
      </c>
      <c r="B227" s="10" t="inlineStr">
        <is>
          <t xml:space="preserve">            ret, frame = cap.read()</t>
        </is>
      </c>
    </row>
    <row r="228">
      <c r="A228" s="7" t="n">
        <v>225</v>
      </c>
      <c r="B228" s="8" t="inlineStr">
        <is>
          <t xml:space="preserve">            if not ret:</t>
        </is>
      </c>
    </row>
    <row r="229">
      <c r="A229" s="9" t="n">
        <v>226</v>
      </c>
      <c r="B229" s="10" t="inlineStr">
        <is>
          <t xml:space="preserve">                break</t>
        </is>
      </c>
    </row>
    <row r="230">
      <c r="A230" s="7" t="n">
        <v>227</v>
      </c>
      <c r="B230" s="8" t="inlineStr">
        <is>
          <t xml:space="preserve">            if frame_idx % int(fps) == 0:</t>
        </is>
      </c>
    </row>
    <row r="231">
      <c r="A231" s="9" t="n">
        <v>228</v>
      </c>
      <c r="B231" s="10" t="inlineStr">
        <is>
          <t xml:space="preserve">                gray = cv2.cvtColor(frame, cv2.COLOR_BGR2GRAY)</t>
        </is>
      </c>
    </row>
    <row r="232">
      <c r="A232" s="7" t="n">
        <v>229</v>
      </c>
      <c r="B232" s="8" t="inlineStr">
        <is>
          <t xml:space="preserve">                kp_f, des_f = orb.detectAndCompute(gray, None)</t>
        </is>
      </c>
    </row>
    <row r="233">
      <c r="A233" s="9" t="n">
        <v>230</v>
      </c>
      <c r="B233" s="10" t="inlineStr">
        <is>
          <t xml:space="preserve">                if des_f is None:</t>
        </is>
      </c>
    </row>
    <row r="234">
      <c r="A234" s="7" t="n">
        <v>231</v>
      </c>
      <c r="B234" s="8" t="inlineStr">
        <is>
          <t xml:space="preserve">                    continue</t>
        </is>
      </c>
    </row>
    <row r="235">
      <c r="A235" s="9" t="n">
        <v>232</v>
      </c>
      <c r="B235" s="10" t="inlineStr">
        <is>
          <t xml:space="preserve">                for logo in logo_features:</t>
        </is>
      </c>
    </row>
    <row r="236">
      <c r="A236" s="7" t="n">
        <v>233</v>
      </c>
      <c r="B236" s="8" t="inlineStr">
        <is>
          <t xml:space="preserve">                    matches = bf.match(logo["des"], des_f)</t>
        </is>
      </c>
    </row>
    <row r="237">
      <c r="A237" s="9" t="n">
        <v>234</v>
      </c>
      <c r="B237" s="10" t="inlineStr">
        <is>
          <t xml:space="preserve">                    good = [m for m in matches if m.distance &lt; 50]</t>
        </is>
      </c>
    </row>
    <row r="238">
      <c r="A238" s="7" t="n">
        <v>235</v>
      </c>
      <c r="B238" s="8" t="inlineStr">
        <is>
          <t xml:space="preserve">                    if len(good) &gt; 15:</t>
        </is>
      </c>
    </row>
    <row r="239">
      <c r="A239" s="9" t="n">
        <v>236</v>
      </c>
      <c r="B239" s="10" t="inlineStr">
        <is>
          <t xml:space="preserve">                        issues.append({</t>
        </is>
      </c>
    </row>
    <row r="240">
      <c r="A240" s="7" t="n">
        <v>237</v>
      </c>
      <c r="B240" s="8" t="inlineStr">
        <is>
          <t xml:space="preserve">                            "time": round(frame_idx / fps, 1),</t>
        </is>
      </c>
    </row>
    <row r="241">
      <c r="A241" s="9" t="n">
        <v>238</v>
      </c>
      <c r="B241" s="10" t="inlineStr">
        <is>
          <t xml:space="preserve">                            "brand": logo["name"],</t>
        </is>
      </c>
    </row>
    <row r="242">
      <c r="A242" s="7" t="n">
        <v>239</v>
      </c>
      <c r="B242" s="8" t="inlineStr">
        <is>
          <t xml:space="preserve">                            "matches": len(good),</t>
        </is>
      </c>
    </row>
    <row r="243">
      <c r="A243" s="9" t="n">
        <v>240</v>
      </c>
      <c r="B243" s="10" t="inlineStr">
        <is>
          <t xml:space="preserve">                            "type": "brand_logo",</t>
        </is>
      </c>
    </row>
    <row r="244">
      <c r="A244" s="7" t="n">
        <v>241</v>
      </c>
      <c r="B244" s="8" t="inlineStr">
        <is>
          <t xml:space="preserve">                            "level": "warning",</t>
        </is>
      </c>
    </row>
    <row r="245">
      <c r="A245" s="9" t="n">
        <v>242</v>
      </c>
      <c r="B245" s="10" t="inlineStr">
        <is>
          <t xml:space="preserve">                        })</t>
        </is>
      </c>
    </row>
    <row r="246">
      <c r="A246" s="7" t="n">
        <v>243</v>
      </c>
      <c r="B246" s="8" t="inlineStr">
        <is>
          <t xml:space="preserve">            frame_idx += 1</t>
        </is>
      </c>
    </row>
    <row r="247">
      <c r="A247" s="9" t="n">
        <v>244</v>
      </c>
      <c r="B247" s="10" t="inlineStr"/>
    </row>
    <row r="248">
      <c r="A248" s="7" t="n">
        <v>245</v>
      </c>
      <c r="B248" s="8" t="inlineStr">
        <is>
          <t xml:space="preserve">        cap.release()</t>
        </is>
      </c>
    </row>
    <row r="249">
      <c r="A249" s="9" t="n">
        <v>246</v>
      </c>
      <c r="B249" s="10" t="inlineStr">
        <is>
          <t xml:space="preserve">        _log.info(f"品牌Logo检测完成: 发现 {len(issues)} 处疑似")</t>
        </is>
      </c>
    </row>
    <row r="250">
      <c r="A250" s="7" t="n">
        <v>247</v>
      </c>
      <c r="B250" s="8" t="inlineStr">
        <is>
          <t xml:space="preserve">        return issues</t>
        </is>
      </c>
    </row>
    <row r="251">
      <c r="A251" s="9" t="n">
        <v>248</v>
      </c>
      <c r="B251" s="10" t="inlineStr"/>
    </row>
    <row r="252">
      <c r="A252" s="7" t="n">
        <v>249</v>
      </c>
      <c r="B252" s="8" t="inlineStr">
        <is>
          <t xml:space="preserve">    # ═══════════════ 综合质检 ═══════════════</t>
        </is>
      </c>
    </row>
    <row r="253">
      <c r="A253" s="9" t="n">
        <v>250</v>
      </c>
      <c r="B253" s="10" t="inlineStr">
        <is>
          <t xml:space="preserve">    def run_full_check(self, video_path: str,</t>
        </is>
      </c>
    </row>
    <row r="254">
      <c r="A254" s="7" t="n">
        <v>251</v>
      </c>
      <c r="B254" s="8" t="inlineStr">
        <is>
          <t xml:space="preserve">                       audio_segments: List[dict] = None,</t>
        </is>
      </c>
    </row>
    <row r="255">
      <c r="A255" s="9" t="n">
        <v>252</v>
      </c>
      <c r="B255" s="10" t="inlineStr">
        <is>
          <t xml:space="preserve">                       subtitle_segments: List[dict] = None) -&gt; Dict:</t>
        </is>
      </c>
    </row>
    <row r="256">
      <c r="A256" s="7" t="n">
        <v>253</v>
      </c>
      <c r="B256" s="8" t="inlineStr">
        <is>
          <t xml:space="preserve">        """一键执行全部质检"""</t>
        </is>
      </c>
    </row>
    <row r="257">
      <c r="A257" s="9" t="n">
        <v>254</v>
      </c>
      <c r="B257" s="10" t="inlineStr">
        <is>
          <t xml:space="preserve">        report = {</t>
        </is>
      </c>
    </row>
    <row r="258">
      <c r="A258" s="7" t="n">
        <v>255</v>
      </c>
      <c r="B258" s="8" t="inlineStr">
        <is>
          <t xml:space="preserve">            "black_frames": self.detect_black_frames(video_path),</t>
        </is>
      </c>
    </row>
    <row r="259">
      <c r="A259" s="9" t="n">
        <v>256</v>
      </c>
      <c r="B259" s="10" t="inlineStr">
        <is>
          <t xml:space="preserve">            "blur_stutter": self.detect_blur_stutter(video_path),</t>
        </is>
      </c>
    </row>
    <row r="260">
      <c r="A260" s="7" t="n">
        <v>257</v>
      </c>
      <c r="B260" s="8" t="inlineStr">
        <is>
          <t xml:space="preserve">            "audio_video_sync": [],</t>
        </is>
      </c>
    </row>
    <row r="261">
      <c r="A261" s="9" t="n">
        <v>258</v>
      </c>
      <c r="B261" s="10" t="inlineStr">
        <is>
          <t xml:space="preserve">            "brand_logo": self.detect_brand_logo(video_path),</t>
        </is>
      </c>
    </row>
    <row r="262">
      <c r="A262" s="7" t="n">
        <v>259</v>
      </c>
      <c r="B262" s="8" t="inlineStr">
        <is>
          <t xml:space="preserve">        }</t>
        </is>
      </c>
    </row>
    <row r="263">
      <c r="A263" s="9" t="n">
        <v>260</v>
      </c>
      <c r="B263" s="10" t="inlineStr">
        <is>
          <t xml:space="preserve">        if audio_segments and subtitle_segments:</t>
        </is>
      </c>
    </row>
    <row r="264">
      <c r="A264" s="7" t="n">
        <v>261</v>
      </c>
      <c r="B264" s="8" t="inlineStr">
        <is>
          <t xml:space="preserve">            report["audio_video_sync"] = self.check_audio_video_sync(</t>
        </is>
      </c>
    </row>
    <row r="265">
      <c r="A265" s="9" t="n">
        <v>262</v>
      </c>
      <c r="B265" s="10" t="inlineStr">
        <is>
          <t xml:space="preserve">                audio_segments, subtitle_segments</t>
        </is>
      </c>
    </row>
    <row r="266">
      <c r="A266" s="7" t="n">
        <v>263</v>
      </c>
      <c r="B266" s="8" t="inlineStr">
        <is>
          <t xml:space="preserve">            )</t>
        </is>
      </c>
    </row>
    <row r="267">
      <c r="A267" s="9" t="n">
        <v>264</v>
      </c>
      <c r="B267" s="10" t="inlineStr">
        <is>
          <t xml:space="preserve">        total = sum(len(v) for v in report.values())</t>
        </is>
      </c>
    </row>
    <row r="268">
      <c r="A268" s="7" t="n">
        <v>265</v>
      </c>
      <c r="B268" s="8" t="inlineStr">
        <is>
          <t xml:space="preserve">        _log.info(f"综合质检完成: 共发现 {total} 项问题")</t>
        </is>
      </c>
    </row>
    <row r="269">
      <c r="A269" s="9" t="n">
        <v>266</v>
      </c>
      <c r="B269" s="10" t="inlineStr">
        <is>
          <t xml:space="preserve">        return report</t>
        </is>
      </c>
    </row>
    <row r="270">
      <c r="A270" s="7" t="n">
        <v>267</v>
      </c>
      <c r="B270" s="8" t="inlineStr"/>
    </row>
    <row r="271">
      <c r="A271" s="9" t="n">
        <v>268</v>
      </c>
      <c r="B271" s="10" t="inlineStr"/>
    </row>
    <row r="272">
      <c r="A272" s="7" t="n">
        <v>269</v>
      </c>
      <c r="B272" s="8" t="inlineStr">
        <is>
          <t>_checker: Optional[AdvancedQualityChecker] = None</t>
        </is>
      </c>
    </row>
    <row r="273">
      <c r="A273" s="9" t="n">
        <v>270</v>
      </c>
      <c r="B273" s="10" t="inlineStr"/>
    </row>
    <row r="274">
      <c r="A274" s="7" t="n">
        <v>271</v>
      </c>
      <c r="B274" s="8" t="inlineStr">
        <is>
          <t>def get_quality_checker() -&gt; AdvancedQualityChecker:</t>
        </is>
      </c>
    </row>
    <row r="275">
      <c r="A275" s="9" t="n">
        <v>272</v>
      </c>
      <c r="B275" s="10" t="inlineStr">
        <is>
          <t xml:space="preserve">    global _checker</t>
        </is>
      </c>
    </row>
    <row r="276">
      <c r="A276" s="7" t="n">
        <v>273</v>
      </c>
      <c r="B276" s="8" t="inlineStr">
        <is>
          <t xml:space="preserve">    if _checker is None:</t>
        </is>
      </c>
    </row>
    <row r="277">
      <c r="A277" s="9" t="n">
        <v>274</v>
      </c>
      <c r="B277" s="10" t="inlineStr">
        <is>
          <t xml:space="preserve">        _checker = AdvancedQualityChecker()</t>
        </is>
      </c>
    </row>
    <row r="278">
      <c r="A278" s="7" t="n">
        <v>275</v>
      </c>
      <c r="B278" s="8" t="inlineStr">
        <is>
          <t xml:space="preserve">    return _checker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core\analyzer.py</t>
        </is>
      </c>
      <c r="C1" s="5" t="inlineStr">
        <is>
          <t>行数: 203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AI素材库 — 视频分析调度器</t>
        </is>
      </c>
    </row>
    <row r="6">
      <c r="A6" s="7" t="n">
        <v>3</v>
      </c>
      <c r="B6" s="8" t="inlineStr">
        <is>
          <t>四模型并行 + 汇总 → 标签生成 → 入库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os, time, sqlite3, threading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from typing import Optional, Callable, List, Dict</t>
        </is>
      </c>
    </row>
    <row r="11">
      <c r="A11" s="9" t="n">
        <v>8</v>
      </c>
      <c r="B11" s="10" t="inlineStr">
        <is>
          <t>from concurrent.futures import ThreadPoolExecutor, as_completed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from core.frame_extractor import FrameExtractor, FrameInfo</t>
        </is>
      </c>
    </row>
    <row r="14">
      <c r="A14" s="7" t="n">
        <v>11</v>
      </c>
      <c r="B14" s="8" t="inlineStr">
        <is>
          <t>from core.vision_unified import VisionModel  # 统一视觉模型 (替代旧 QwenVL/CLIP/YOLO)</t>
        </is>
      </c>
    </row>
    <row r="15">
      <c r="A15" s="9" t="n">
        <v>12</v>
      </c>
      <c r="B15" s="10" t="inlineStr">
        <is>
          <t>from core.audio_models import WhisperModel, AudioClassifier, AudioResult</t>
        </is>
      </c>
    </row>
    <row r="16">
      <c r="A16" s="7" t="n">
        <v>13</v>
      </c>
      <c r="B16" s="8" t="inlineStr">
        <is>
          <t>from core.tag_merger import TagMerger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/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def _detect_human_in_tags(tags: str, objects: str, video_path: str) -&gt; int:</t>
        </is>
      </c>
    </row>
    <row r="21">
      <c r="A21" s="9" t="n">
        <v>18</v>
      </c>
      <c r="B21" s="10" t="inlineStr">
        <is>
          <t xml:space="preserve">    """Return 1 if the material contains human figures, 0 otherwise."""</t>
        </is>
      </c>
    </row>
    <row r="22">
      <c r="A22" s="7" t="n">
        <v>19</v>
      </c>
      <c r="B22" s="8" t="inlineStr">
        <is>
          <t xml:space="preserve">    human_kw = ["human","person","people","face","portrait","body","man","woman",</t>
        </is>
      </c>
    </row>
    <row r="23">
      <c r="A23" s="9" t="n">
        <v>20</v>
      </c>
      <c r="B23" s="10" t="inlineStr">
        <is>
          <t xml:space="preserve">                "人像","人物","口播","主播","真人","采访","露脸","自拍","人脸","人体"]</t>
        </is>
      </c>
    </row>
    <row r="24">
      <c r="A24" s="7" t="n">
        <v>21</v>
      </c>
      <c r="B24" s="8" t="inlineStr">
        <is>
          <t xml:space="preserve">    combined = (tags + " " + objects + " " + video_path).lower()</t>
        </is>
      </c>
    </row>
    <row r="25">
      <c r="A25" s="9" t="n">
        <v>22</v>
      </c>
      <c r="B25" s="10" t="inlineStr">
        <is>
          <t xml:space="preserve">    return 1 if any(kw in combined for kw in human_kw) else 0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/>
    </row>
    <row r="28">
      <c r="A28" s="7" t="n">
        <v>25</v>
      </c>
      <c r="B28" s="8" t="inlineStr">
        <is>
          <t>class VideoAnalyzer:</t>
        </is>
      </c>
    </row>
    <row r="29">
      <c r="A29" s="9" t="n">
        <v>26</v>
      </c>
      <c r="B29" s="10" t="inlineStr">
        <is>
          <t xml:space="preserve">    """</t>
        </is>
      </c>
    </row>
    <row r="30">
      <c r="A30" s="7" t="n">
        <v>27</v>
      </c>
      <c r="B30" s="8" t="inlineStr">
        <is>
          <t xml:space="preserve">    视频全量分析调度器 — 管理多模型并行执行。</t>
        </is>
      </c>
    </row>
    <row r="31">
      <c r="A31" s="9" t="n">
        <v>28</v>
      </c>
      <c r="B31" s="10" t="inlineStr">
        <is>
          <t xml:space="preserve">    v11.1: 强制 Qwen3-VL-4B 视觉模型，已移除 CLIP/YOLO 死代码。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>
        <is>
          <t xml:space="preserve">    流水线:</t>
        </is>
      </c>
    </row>
    <row r="34">
      <c r="A34" s="7" t="n">
        <v>31</v>
      </c>
      <c r="B34" s="8" t="inlineStr">
        <is>
          <t xml:space="preserve">      1. 抽帧 (每秒1帧, 最多60帧)</t>
        </is>
      </c>
    </row>
    <row r="35">
      <c r="A35" s="9" t="n">
        <v>32</v>
      </c>
      <c r="B35" s="10" t="inlineStr">
        <is>
          <t xml:space="preserve">      2. 并行: Qwen3-VL-4B (强制本地模型)</t>
        </is>
      </c>
    </row>
    <row r="36">
      <c r="A36" s="7" t="n">
        <v>33</v>
      </c>
      <c r="B36" s="8" t="inlineStr">
        <is>
          <t xml:space="preserve">      3. 并行: Whisper 语音转文字 + 音频分类</t>
        </is>
      </c>
    </row>
    <row r="37">
      <c r="A37" s="9" t="n">
        <v>34</v>
      </c>
      <c r="B37" s="10" t="inlineStr">
        <is>
          <t xml:space="preserve">      4. TagMerger 融合汇总</t>
        </is>
      </c>
    </row>
    <row r="38">
      <c r="A38" s="7" t="n">
        <v>35</v>
      </c>
      <c r="B38" s="8" t="inlineStr">
        <is>
          <t xml:space="preserve">      5. 返回 VideoAnalysisResult</t>
        </is>
      </c>
    </row>
    <row r="39">
      <c r="A39" s="9" t="n">
        <v>36</v>
      </c>
      <c r="B39" s="10" t="inlineStr">
        <is>
          <t xml:space="preserve">    """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 xml:space="preserve">    def __init__(self, db_path: str = None, progress_callback: Callable = None):</t>
        </is>
      </c>
    </row>
    <row r="42">
      <c r="A42" s="7" t="n">
        <v>39</v>
      </c>
      <c r="B42" s="8" t="inlineStr">
        <is>
          <t xml:space="preserve">        self.frame_extractor = FrameExtractor()</t>
        </is>
      </c>
    </row>
    <row r="43">
      <c r="A43" s="9" t="n">
        <v>40</v>
      </c>
      <c r="B43" s="10" t="inlineStr">
        <is>
          <t xml:space="preserve">        self.vision = VisionModel()  # v11.0: 强制 Qwen3-VL-4B，无降级</t>
        </is>
      </c>
    </row>
    <row r="44">
      <c r="A44" s="7" t="n">
        <v>41</v>
      </c>
      <c r="B44" s="8" t="inlineStr">
        <is>
          <t xml:space="preserve">        self.whisper = WhisperModel()</t>
        </is>
      </c>
    </row>
    <row r="45">
      <c r="A45" s="9" t="n">
        <v>42</v>
      </c>
      <c r="B45" s="10" t="inlineStr">
        <is>
          <t xml:space="preserve">        self.audio_classifier = AudioClassifier()</t>
        </is>
      </c>
    </row>
    <row r="46">
      <c r="A46" s="7" t="n">
        <v>43</v>
      </c>
      <c r="B46" s="8" t="inlineStr">
        <is>
          <t xml:space="preserve">        self.tag_merger = TagMerger()</t>
        </is>
      </c>
    </row>
    <row r="47">
      <c r="A47" s="9" t="n">
        <v>44</v>
      </c>
      <c r="B47" s="10" t="inlineStr">
        <is>
          <t xml:space="preserve">        self.db_path = db_path</t>
        </is>
      </c>
    </row>
    <row r="48">
      <c r="A48" s="7" t="n">
        <v>45</v>
      </c>
      <c r="B48" s="8" t="inlineStr">
        <is>
          <t xml:space="preserve">        self.progress_callback = progress_callback</t>
        </is>
      </c>
    </row>
    <row r="49">
      <c r="A49" s="9" t="n">
        <v>46</v>
      </c>
      <c r="B49" s="10" t="inlineStr">
        <is>
          <t xml:space="preserve">        self._cancel = False</t>
        </is>
      </c>
    </row>
    <row r="50">
      <c r="A50" s="7" t="n">
        <v>47</v>
      </c>
      <c r="B50" s="8" t="inlineStr">
        <is>
          <t xml:space="preserve">        self._pool = None  # 线程池复用 — 延迟创建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def _get_pool(self, max_workers=2):</t>
        </is>
      </c>
    </row>
    <row r="53">
      <c r="A53" s="9" t="n">
        <v>50</v>
      </c>
      <c r="B53" s="10" t="inlineStr">
        <is>
          <t xml:space="preserve">        """获取复用的线程池（延迟创建，避免未使用时的开销）"""</t>
        </is>
      </c>
    </row>
    <row r="54">
      <c r="A54" s="7" t="n">
        <v>51</v>
      </c>
      <c r="B54" s="8" t="inlineStr">
        <is>
          <t xml:space="preserve">        if self._pool is None:</t>
        </is>
      </c>
    </row>
    <row r="55">
      <c r="A55" s="9" t="n">
        <v>52</v>
      </c>
      <c r="B55" s="10" t="inlineStr">
        <is>
          <t xml:space="preserve">            self._pool = ThreadPoolExecutor(max_workers=max_workers)</t>
        </is>
      </c>
    </row>
    <row r="56">
      <c r="A56" s="7" t="n">
        <v>53</v>
      </c>
      <c r="B56" s="8" t="inlineStr">
        <is>
          <t xml:space="preserve">        return self._pool</t>
        </is>
      </c>
    </row>
    <row r="57">
      <c r="A57" s="9" t="n">
        <v>54</v>
      </c>
      <c r="B57" s="10" t="inlineStr"/>
    </row>
    <row r="58">
      <c r="A58" s="7" t="n">
        <v>55</v>
      </c>
      <c r="B58" s="8" t="inlineStr">
        <is>
          <t xml:space="preserve">    def cancel(self):</t>
        </is>
      </c>
    </row>
    <row r="59">
      <c r="A59" s="9" t="n">
        <v>56</v>
      </c>
      <c r="B59" s="10" t="inlineStr">
        <is>
          <t xml:space="preserve">        self._cancel = True</t>
        </is>
      </c>
    </row>
    <row r="60">
      <c r="A60" s="7" t="n">
        <v>57</v>
      </c>
      <c r="B60" s="8" t="inlineStr">
        <is>
          <t xml:space="preserve">        if self._pool:</t>
        </is>
      </c>
    </row>
    <row r="61">
      <c r="A61" s="9" t="n">
        <v>58</v>
      </c>
      <c r="B61" s="10" t="inlineStr">
        <is>
          <t xml:space="preserve">            self._pool.shutdown(wait=False)</t>
        </is>
      </c>
    </row>
    <row r="62">
      <c r="A62" s="7" t="n">
        <v>59</v>
      </c>
      <c r="B62" s="8" t="inlineStr">
        <is>
          <t xml:space="preserve">            self._pool = None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# 统一视觉模型 (VisionModel) — 首次调用自动加载 Qwen3/Florence/Ollama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 xml:space="preserve">    def analyze(self, video_path: str, source_folder: str = "") -&gt; Optional[Dict]:</t>
        </is>
      </c>
    </row>
    <row r="67">
      <c r="A67" s="9" t="n">
        <v>64</v>
      </c>
      <c r="B67" s="10" t="inlineStr">
        <is>
          <t xml:space="preserve">        self._cancel = False</t>
        </is>
      </c>
    </row>
    <row r="68">
      <c r="A68" s="7" t="n">
        <v>65</v>
      </c>
      <c r="B68" s="8" t="inlineStr">
        <is>
          <t xml:space="preserve">        path = Path(video_path); fname = path.name</t>
        </is>
      </c>
    </row>
    <row r="69">
      <c r="A69" s="9" t="n">
        <v>66</v>
      </c>
      <c r="B69" s="10" t="inlineStr">
        <is>
          <t xml:space="preserve">        if self.progress_callback: self.progress_callback("抽帧中...", fname, 0.0)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>
        <is>
          <t xml:space="preserve">        frames = self.frame_extractor.extract_by_interval(video_path, interval_sec=1.0, max_frames=60)</t>
        </is>
      </c>
    </row>
    <row r="72">
      <c r="A72" s="7" t="n">
        <v>69</v>
      </c>
      <c r="B72" s="8" t="inlineStr">
        <is>
          <t xml:space="preserve">        if not frames or self._cancel: return None</t>
        </is>
      </c>
    </row>
    <row r="73">
      <c r="A73" s="9" t="n">
        <v>70</v>
      </c>
      <c r="B73" s="10" t="inlineStr"/>
    </row>
    <row r="74">
      <c r="A74" s="7" t="n">
        <v>71</v>
      </c>
      <c r="B74" s="8" t="inlineStr">
        <is>
          <t xml:space="preserve">        if self.progress_callback: self.progress_callback("画面分析中...", fname, 0.2)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 xml:space="preserve">        vl_results = []; key_frames = self._select_key_frames(frames, max_n=6)</t>
        </is>
      </c>
    </row>
    <row r="77">
      <c r="A77" s="9" t="n">
        <v>74</v>
      </c>
      <c r="B77" s="10" t="inlineStr"/>
    </row>
    <row r="78">
      <c r="A78" s="7" t="n">
        <v>75</v>
      </c>
      <c r="B78" s="8" t="inlineStr">
        <is>
          <t xml:space="preserve">        pool = self._get_pool(max_workers=2)</t>
        </is>
      </c>
    </row>
    <row r="79">
      <c r="A79" s="9" t="n">
        <v>76</v>
      </c>
      <c r="B79" s="10" t="inlineStr">
        <is>
          <t xml:space="preserve">        futures = {}</t>
        </is>
      </c>
    </row>
    <row r="80">
      <c r="A80" s="7" t="n">
        <v>77</v>
      </c>
      <c r="B80" s="8" t="inlineStr">
        <is>
          <t xml:space="preserve">        for f in key_frames[:4]:</t>
        </is>
      </c>
    </row>
    <row r="81">
      <c r="A81" s="9" t="n">
        <v>78</v>
      </c>
      <c r="B81" s="10" t="inlineStr">
        <is>
          <t xml:space="preserve">            futures[pool.submit(self._run_vision, f)] = ("vision", f)</t>
        </is>
      </c>
    </row>
    <row r="82">
      <c r="A82" s="7" t="n">
        <v>79</v>
      </c>
      <c r="B82" s="8" t="inlineStr">
        <is>
          <t xml:space="preserve">        for future in as_completed(futures):</t>
        </is>
      </c>
    </row>
    <row r="83">
      <c r="A83" s="9" t="n">
        <v>80</v>
      </c>
      <c r="B83" s="10" t="inlineStr">
        <is>
          <t xml:space="preserve">            if self._cancel: pool.shutdown(wait=False); return None</t>
        </is>
      </c>
    </row>
    <row r="84">
      <c r="A84" s="7" t="n">
        <v>81</v>
      </c>
      <c r="B84" s="8" t="inlineStr">
        <is>
          <t xml:space="preserve">            try:</t>
        </is>
      </c>
    </row>
    <row r="85">
      <c r="A85" s="9" t="n">
        <v>82</v>
      </c>
      <c r="B85" s="10" t="inlineStr">
        <is>
          <t xml:space="preserve">                mt, result = future.result()</t>
        </is>
      </c>
    </row>
    <row r="86">
      <c r="A86" s="7" t="n">
        <v>83</v>
      </c>
      <c r="B86" s="8" t="inlineStr">
        <is>
          <t xml:space="preserve">                if mt == "vision" and result: vl_results.append(result)</t>
        </is>
      </c>
    </row>
    <row r="87">
      <c r="A87" s="9" t="n">
        <v>84</v>
      </c>
      <c r="B87" s="10" t="inlineStr">
        <is>
          <t xml:space="preserve">            except Exception: pass  # 单帧识别失败不阻塞整体流程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 xml:space="preserve">        # Step 3: 并行音频分析</t>
        </is>
      </c>
    </row>
    <row r="90">
      <c r="A90" s="7" t="n">
        <v>87</v>
      </c>
      <c r="B90" s="8" t="inlineStr">
        <is>
          <t xml:space="preserve">        if self.progress_callback:</t>
        </is>
      </c>
    </row>
    <row r="91">
      <c r="A91" s="9" t="n">
        <v>88</v>
      </c>
      <c r="B91" s="10" t="inlineStr">
        <is>
          <t xml:space="preserve">            self.progress_callback("音频分析中...", fname, 0.6)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 xml:space="preserve">        whisper_result = AudioResult()</t>
        </is>
      </c>
    </row>
    <row r="94">
      <c r="A94" s="7" t="n">
        <v>91</v>
      </c>
      <c r="B94" s="8" t="inlineStr">
        <is>
          <t xml:space="preserve">        audio_class_result = {}</t>
        </is>
      </c>
    </row>
    <row r="95">
      <c r="A95" s="9" t="n">
        <v>92</v>
      </c>
      <c r="B95" s="10" t="inlineStr">
        <is>
          <t xml:space="preserve">        pool2 = self._get_pool(max_workers=2)</t>
        </is>
      </c>
    </row>
    <row r="96">
      <c r="A96" s="7" t="n">
        <v>93</v>
      </c>
      <c r="B96" s="8" t="inlineStr">
        <is>
          <t xml:space="preserve">        f_whisper = pool2.submit(self._run_whisper, video_path)</t>
        </is>
      </c>
    </row>
    <row r="97">
      <c r="A97" s="9" t="n">
        <v>94</v>
      </c>
      <c r="B97" s="10" t="inlineStr">
        <is>
          <t xml:space="preserve">        f_audio = pool2.submit(self._run_audio_classifier, video_path)</t>
        </is>
      </c>
    </row>
    <row r="98">
      <c r="A98" s="7" t="n">
        <v>95</v>
      </c>
      <c r="B98" s="8" t="inlineStr">
        <is>
          <t xml:space="preserve">        try:</t>
        </is>
      </c>
    </row>
    <row r="99">
      <c r="A99" s="9" t="n">
        <v>96</v>
      </c>
      <c r="B99" s="10" t="inlineStr">
        <is>
          <t xml:space="preserve">            whisper_result = f_whisper.result(timeout=120)</t>
        </is>
      </c>
    </row>
    <row r="100">
      <c r="A100" s="7" t="n">
        <v>97</v>
      </c>
      <c r="B100" s="8" t="inlineStr">
        <is>
          <t xml:space="preserve">        except Exception:</t>
        </is>
      </c>
    </row>
    <row r="101">
      <c r="A101" s="9" t="n">
        <v>98</v>
      </c>
      <c r="B101" s="10" t="inlineStr">
        <is>
          <t xml:space="preserve">            pass</t>
        </is>
      </c>
    </row>
    <row r="102">
      <c r="A102" s="7" t="n">
        <v>99</v>
      </c>
      <c r="B102" s="8" t="inlineStr">
        <is>
          <t xml:space="preserve">        try:</t>
        </is>
      </c>
    </row>
    <row r="103">
      <c r="A103" s="9" t="n">
        <v>100</v>
      </c>
      <c r="B103" s="10" t="inlineStr">
        <is>
          <t xml:space="preserve">            audio_class_result = f_audio.result(timeout=30)</t>
        </is>
      </c>
    </row>
    <row r="104">
      <c r="A104" s="7" t="n">
        <v>101</v>
      </c>
      <c r="B104" s="8" t="inlineStr">
        <is>
          <t xml:space="preserve">        except Exception:</t>
        </is>
      </c>
    </row>
    <row r="105">
      <c r="A105" s="9" t="n">
        <v>102</v>
      </c>
      <c r="B105" s="10" t="inlineStr">
        <is>
          <t xml:space="preserve">            pass</t>
        </is>
      </c>
    </row>
    <row r="106">
      <c r="A106" s="7" t="n">
        <v>103</v>
      </c>
      <c r="B106" s="8" t="inlineStr"/>
    </row>
    <row r="107">
      <c r="A107" s="9" t="n">
        <v>104</v>
      </c>
      <c r="B107" s="10" t="inlineStr">
        <is>
          <t xml:space="preserve">        if self._cancel: return None</t>
        </is>
      </c>
    </row>
    <row r="108">
      <c r="A108" s="7" t="n">
        <v>105</v>
      </c>
      <c r="B108" s="8" t="inlineStr"/>
    </row>
    <row r="109">
      <c r="A109" s="9" t="n">
        <v>106</v>
      </c>
      <c r="B109" s="10" t="inlineStr">
        <is>
          <t xml:space="preserve">        # Step 4: 融合汇总</t>
        </is>
      </c>
    </row>
    <row r="110">
      <c r="A110" s="7" t="n">
        <v>107</v>
      </c>
      <c r="B110" s="8" t="inlineStr">
        <is>
          <t xml:space="preserve">        if self.progress_callback:</t>
        </is>
      </c>
    </row>
    <row r="111">
      <c r="A111" s="9" t="n">
        <v>108</v>
      </c>
      <c r="B111" s="10" t="inlineStr">
        <is>
          <t xml:space="preserve">            self.progress_callback("融合标签中...", fname, 0.8)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 xml:space="preserve">        # 汇总VL结果</t>
        </is>
      </c>
    </row>
    <row r="114">
      <c r="A114" s="7" t="n">
        <v>111</v>
      </c>
      <c r="B114" s="8" t="inlineStr">
        <is>
          <t xml:space="preserve">        vl_merged = {"objects": [], "materials": [], "colors": [], "style": "", "scene_type": ""}</t>
        </is>
      </c>
    </row>
    <row r="115">
      <c r="A115" s="9" t="n">
        <v>112</v>
      </c>
      <c r="B115" s="10" t="inlineStr">
        <is>
          <t xml:space="preserve">        for vr in vl_results:</t>
        </is>
      </c>
    </row>
    <row r="116">
      <c r="A116" s="7" t="n">
        <v>113</v>
      </c>
      <c r="B116" s="8" t="inlineStr">
        <is>
          <t xml:space="preserve">            if isinstance(vr, dict):</t>
        </is>
      </c>
    </row>
    <row r="117">
      <c r="A117" s="9" t="n">
        <v>114</v>
      </c>
      <c r="B117" s="10" t="inlineStr">
        <is>
          <t xml:space="preserve">                for k in vl_merged:</t>
        </is>
      </c>
    </row>
    <row r="118">
      <c r="A118" s="7" t="n">
        <v>115</v>
      </c>
      <c r="B118" s="8" t="inlineStr">
        <is>
          <t xml:space="preserve">                    if k in vr and isinstance(vr[k], list):</t>
        </is>
      </c>
    </row>
    <row r="119">
      <c r="A119" s="9" t="n">
        <v>116</v>
      </c>
      <c r="B119" s="10" t="inlineStr">
        <is>
          <t xml:space="preserve">                        vl_merged[k].extend(vr[k])</t>
        </is>
      </c>
    </row>
    <row r="120">
      <c r="A120" s="7" t="n">
        <v>117</v>
      </c>
      <c r="B120" s="8" t="inlineStr">
        <is>
          <t xml:space="preserve">                    elif k in vr and vr[k]:</t>
        </is>
      </c>
    </row>
    <row r="121">
      <c r="A121" s="9" t="n">
        <v>118</v>
      </c>
      <c r="B121" s="10" t="inlineStr">
        <is>
          <t xml:space="preserve">                        vl_merged[k] = vr[k]</t>
        </is>
      </c>
    </row>
    <row r="122">
      <c r="A122" s="7" t="n">
        <v>119</v>
      </c>
      <c r="B122" s="8" t="inlineStr"/>
    </row>
    <row r="123">
      <c r="A123" s="9" t="n">
        <v>120</v>
      </c>
      <c r="B123" s="10" t="inlineStr">
        <is>
          <t xml:space="preserve">        # CLIP向量 和 YOLO 物体检测 — 由 VisionUnified 统一处理</t>
        </is>
      </c>
    </row>
    <row r="124">
      <c r="A124" s="7" t="n">
        <v>121</v>
      </c>
      <c r="B124" s="8" t="inlineStr">
        <is>
          <t xml:space="preserve">        # 此处保留空列表作为 fallback，实际向量/物体由 vision_unified 模块提供</t>
        </is>
      </c>
    </row>
    <row r="125">
      <c r="A125" s="9" t="n">
        <v>122</v>
      </c>
      <c r="B125" s="10" t="inlineStr">
        <is>
          <t xml:space="preserve">        avg_embedding = None</t>
        </is>
      </c>
    </row>
    <row r="126">
      <c r="A126" s="7" t="n">
        <v>123</v>
      </c>
      <c r="B126" s="8" t="inlineStr">
        <is>
          <t xml:space="preserve">        yolo_objects = []</t>
        </is>
      </c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 xml:space="preserve">        # 融合</t>
        </is>
      </c>
    </row>
    <row r="129">
      <c r="A129" s="9" t="n">
        <v>126</v>
      </c>
      <c r="B129" s="10" t="inlineStr">
        <is>
          <t xml:space="preserve">        tags = self.tag_merger.merge(</t>
        </is>
      </c>
    </row>
    <row r="130">
      <c r="A130" s="7" t="n">
        <v>127</v>
      </c>
      <c r="B130" s="8" t="inlineStr">
        <is>
          <t xml:space="preserve">            vl_result=vl_merged,</t>
        </is>
      </c>
    </row>
    <row r="131">
      <c r="A131" s="9" t="n">
        <v>128</v>
      </c>
      <c r="B131" s="10" t="inlineStr">
        <is>
          <t xml:space="preserve">            yolo_objects=yolo_objects,</t>
        </is>
      </c>
    </row>
    <row r="132">
      <c r="A132" s="7" t="n">
        <v>129</v>
      </c>
      <c r="B132" s="8" t="inlineStr">
        <is>
          <t xml:space="preserve">            whisper_text=whisper_result.transcript if whisper_result else "",</t>
        </is>
      </c>
    </row>
    <row r="133">
      <c r="A133" s="9" t="n">
        <v>130</v>
      </c>
      <c r="B133" s="10" t="inlineStr">
        <is>
          <t xml:space="preserve">            filename=fname</t>
        </is>
      </c>
    </row>
    <row r="134">
      <c r="A134" s="7" t="n">
        <v>131</v>
      </c>
      <c r="B134" s="8" t="inlineStr">
        <is>
          <t xml:space="preserve">        )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 xml:space="preserve">        # 清理临时帧文件</t>
        </is>
      </c>
    </row>
    <row r="137">
      <c r="A137" s="9" t="n">
        <v>134</v>
      </c>
      <c r="B137" s="10" t="inlineStr">
        <is>
          <t xml:space="preserve">        if frames:</t>
        </is>
      </c>
    </row>
    <row r="138">
      <c r="A138" s="7" t="n">
        <v>135</v>
      </c>
      <c r="B138" s="8" t="inlineStr">
        <is>
          <t xml:space="preserve">            tmpdir = os.path.dirname(frames[0].path)</t>
        </is>
      </c>
    </row>
    <row r="139">
      <c r="A139" s="9" t="n">
        <v>136</v>
      </c>
      <c r="B139" s="10" t="inlineStr">
        <is>
          <t xml:space="preserve">            self.frame_extractor.cleanup(tmpdir)</t>
        </is>
      </c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 xml:space="preserve">        if self.progress_callback:</t>
        </is>
      </c>
    </row>
    <row r="142">
      <c r="A142" s="7" t="n">
        <v>139</v>
      </c>
      <c r="B142" s="8" t="inlineStr">
        <is>
          <t xml:space="preserve">            self.progress_callback("完成", fname, 1.0)</t>
        </is>
      </c>
    </row>
    <row r="143">
      <c r="A143" s="9" t="n">
        <v>140</v>
      </c>
      <c r="B143" s="10" t="inlineStr"/>
    </row>
    <row r="144">
      <c r="A144" s="7" t="n">
        <v>141</v>
      </c>
      <c r="B144" s="8" t="inlineStr">
        <is>
          <t xml:space="preserve">        # 获取视频信息</t>
        </is>
      </c>
    </row>
    <row r="145">
      <c r="A145" s="9" t="n">
        <v>142</v>
      </c>
      <c r="B145" s="10" t="inlineStr">
        <is>
          <t xml:space="preserve">        stat = path.stat()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 xml:space="preserve">        # 生成密集字幕</t>
        </is>
      </c>
    </row>
    <row r="148">
      <c r="A148" s="7" t="n">
        <v>145</v>
      </c>
      <c r="B148" s="8" t="inlineStr">
        <is>
          <t xml:space="preserve">        dense_caption = self._generate_dense_caption(tags, whisper_result, video_path)</t>
        </is>
      </c>
    </row>
    <row r="149">
      <c r="A149" s="9" t="n">
        <v>146</v>
      </c>
      <c r="B149" s="10" t="inlineStr"/>
    </row>
    <row r="150">
      <c r="A150" s="7" t="n">
        <v>147</v>
      </c>
      <c r="B150" s="8" t="inlineStr">
        <is>
          <t xml:space="preserve">        return {</t>
        </is>
      </c>
    </row>
    <row r="151">
      <c r="A151" s="9" t="n">
        <v>148</v>
      </c>
      <c r="B151" s="10" t="inlineStr">
        <is>
          <t xml:space="preserve">            "video_path": video_path,</t>
        </is>
      </c>
    </row>
    <row r="152">
      <c r="A152" s="7" t="n">
        <v>149</v>
      </c>
      <c r="B152" s="8" t="inlineStr">
        <is>
          <t xml:space="preserve">            "dense_caption": dense_caption,</t>
        </is>
      </c>
    </row>
    <row r="153">
      <c r="A153" s="9" t="n">
        <v>150</v>
      </c>
      <c r="B153" s="10" t="inlineStr">
        <is>
          <t xml:space="preserve">            "source_folder": source_folder,</t>
        </is>
      </c>
    </row>
    <row r="154">
      <c r="A154" s="7" t="n">
        <v>151</v>
      </c>
      <c r="B154" s="8" t="inlineStr">
        <is>
          <t xml:space="preserve">            "start_time": 0,</t>
        </is>
      </c>
    </row>
    <row r="155">
      <c r="A155" s="9" t="n">
        <v>152</v>
      </c>
      <c r="B155" s="10" t="inlineStr">
        <is>
          <t xml:space="preserve">            "end_time": self.frame_extractor._get_duration(video_path),</t>
        </is>
      </c>
    </row>
    <row r="156">
      <c r="A156" s="7" t="n">
        <v>153</v>
      </c>
      <c r="B156" s="8" t="inlineStr">
        <is>
          <t xml:space="preserve">            "tags": tags.get("tags", ""),</t>
        </is>
      </c>
    </row>
    <row r="157">
      <c r="A157" s="9" t="n">
        <v>154</v>
      </c>
      <c r="B157" s="10" t="inlineStr">
        <is>
          <t xml:space="preserve">            "objects": tags.get("objects", ""),</t>
        </is>
      </c>
    </row>
    <row r="158">
      <c r="A158" s="7" t="n">
        <v>155</v>
      </c>
      <c r="B158" s="8" t="inlineStr">
        <is>
          <t xml:space="preserve">            "style": tags.get("style", ""),</t>
        </is>
      </c>
    </row>
    <row r="159">
      <c r="A159" s="9" t="n">
        <v>156</v>
      </c>
      <c r="B159" s="10" t="inlineStr">
        <is>
          <t xml:space="preserve">            "color": tags.get("color", ""),</t>
        </is>
      </c>
    </row>
    <row r="160">
      <c r="A160" s="7" t="n">
        <v>157</v>
      </c>
      <c r="B160" s="8" t="inlineStr">
        <is>
          <t xml:space="preserve">            "material": tags.get("material", ""),</t>
        </is>
      </c>
    </row>
    <row r="161">
      <c r="A161" s="9" t="n">
        <v>158</v>
      </c>
      <c r="B161" s="10" t="inlineStr">
        <is>
          <t xml:space="preserve">            "speech_text": whisper_result.transcript if whisper_result else "",</t>
        </is>
      </c>
    </row>
    <row r="162">
      <c r="A162" s="7" t="n">
        <v>159</v>
      </c>
      <c r="B162" s="8" t="inlineStr">
        <is>
          <t xml:space="preserve">            "confidence": tags.get("confidence", 0.0),</t>
        </is>
      </c>
    </row>
    <row r="163">
      <c r="A163" s="9" t="n">
        <v>160</v>
      </c>
      <c r="B163" s="10" t="inlineStr">
        <is>
          <t xml:space="preserve">            "embedding": avg_embedding,</t>
        </is>
      </c>
    </row>
    <row r="164">
      <c r="A164" s="7" t="n">
        <v>161</v>
      </c>
      <c r="B164" s="8" t="inlineStr">
        <is>
          <t xml:space="preserve">            "duration": self.frame_extractor._get_duration(video_path),  # 实际视频时长(秒)</t>
        </is>
      </c>
    </row>
    <row r="165">
      <c r="A165" s="9" t="n">
        <v>162</v>
      </c>
      <c r="B165" s="10" t="inlineStr">
        <is>
          <t xml:space="preserve">            "file_size": stat.st_size,</t>
        </is>
      </c>
    </row>
    <row r="166">
      <c r="A166" s="7" t="n">
        <v>163</v>
      </c>
      <c r="B166" s="8" t="inlineStr">
        <is>
          <t xml:space="preserve">            "file_mtime": stat.st_mtime,</t>
        </is>
      </c>
    </row>
    <row r="167">
      <c r="A167" s="9" t="n">
        <v>164</v>
      </c>
      <c r="B167" s="10" t="inlineStr">
        <is>
          <t xml:space="preserve">        }</t>
        </is>
      </c>
    </row>
    <row r="168">
      <c r="A168" s="7" t="n">
        <v>165</v>
      </c>
      <c r="B168" s="8" t="inlineStr"/>
    </row>
    <row r="169">
      <c r="A169" s="9" t="n">
        <v>166</v>
      </c>
      <c r="B169" s="10" t="inlineStr">
        <is>
          <t xml:space="preserve">    def _select_key_frames(self, frames: List[FrameInfo], max_n: int = 6) -&gt; List[FrameInfo]:</t>
        </is>
      </c>
    </row>
    <row r="170">
      <c r="A170" s="7" t="n">
        <v>167</v>
      </c>
      <c r="B170" s="8" t="inlineStr">
        <is>
          <t xml:space="preserve">        """选择关键帧：均匀分布"""</t>
        </is>
      </c>
    </row>
    <row r="171">
      <c r="A171" s="9" t="n">
        <v>168</v>
      </c>
      <c r="B171" s="10" t="inlineStr">
        <is>
          <t xml:space="preserve">        if len(frames) &lt;= max_n:</t>
        </is>
      </c>
    </row>
    <row r="172">
      <c r="A172" s="7" t="n">
        <v>169</v>
      </c>
      <c r="B172" s="8" t="inlineStr">
        <is>
          <t xml:space="preserve">            return frames</t>
        </is>
      </c>
    </row>
    <row r="173">
      <c r="A173" s="9" t="n">
        <v>170</v>
      </c>
      <c r="B173" s="10" t="inlineStr">
        <is>
          <t xml:space="preserve">        step = len(frames) / max_n</t>
        </is>
      </c>
    </row>
    <row r="174">
      <c r="A174" s="7" t="n">
        <v>171</v>
      </c>
      <c r="B174" s="8" t="inlineStr">
        <is>
          <t xml:space="preserve">        return [frames[int(i * step)] for i in range(max_n)]</t>
        </is>
      </c>
    </row>
    <row r="175">
      <c r="A175" s="9" t="n">
        <v>172</v>
      </c>
      <c r="B175" s="10" t="inlineStr"/>
    </row>
    <row r="176">
      <c r="A176" s="7" t="n">
        <v>173</v>
      </c>
      <c r="B176" s="8" t="inlineStr">
        <is>
          <t xml:space="preserve">    def _run_vision(self, frame: FrameInfo):</t>
        </is>
      </c>
    </row>
    <row r="177">
      <c r="A177" s="9" t="n">
        <v>174</v>
      </c>
      <c r="B177" s="10" t="inlineStr">
        <is>
          <t xml:space="preserve">        """统一视觉模型推理"""</t>
        </is>
      </c>
    </row>
    <row r="178">
      <c r="A178" s="7" t="n">
        <v>175</v>
      </c>
      <c r="B178" s="8" t="inlineStr">
        <is>
          <t xml:space="preserve">        if self.vision.available:</t>
        </is>
      </c>
    </row>
    <row r="179">
      <c r="A179" s="9" t="n">
        <v>176</v>
      </c>
      <c r="B179" s="10" t="inlineStr">
        <is>
          <t xml:space="preserve">            return ("vision", self.vision.analyze(frame.path))</t>
        </is>
      </c>
    </row>
    <row r="180">
      <c r="A180" s="7" t="n">
        <v>177</v>
      </c>
      <c r="B180" s="8" t="inlineStr">
        <is>
          <t xml:space="preserve">        return ("vision", {})</t>
        </is>
      </c>
    </row>
    <row r="181">
      <c r="A181" s="9" t="n">
        <v>178</v>
      </c>
      <c r="B181" s="10" t="inlineStr"/>
    </row>
    <row r="182">
      <c r="A182" s="7" t="n">
        <v>179</v>
      </c>
      <c r="B182" s="8" t="inlineStr">
        <is>
          <t xml:space="preserve">    def _run_whisper(self, video_path: str):</t>
        </is>
      </c>
    </row>
    <row r="183">
      <c r="A183" s="9" t="n">
        <v>180</v>
      </c>
      <c r="B183" s="10" t="inlineStr">
        <is>
          <t xml:space="preserve">        return self.whisper.transcribe(video_path)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 xml:space="preserve">    def _run_audio_classifier(self, video_path: str):</t>
        </is>
      </c>
    </row>
    <row r="186">
      <c r="A186" s="7" t="n">
        <v>183</v>
      </c>
      <c r="B186" s="8" t="inlineStr">
        <is>
          <t xml:space="preserve">        return self.audio_classifier.classify(video_path)</t>
        </is>
      </c>
    </row>
    <row r="187">
      <c r="A187" s="9" t="n">
        <v>184</v>
      </c>
      <c r="B187" s="10" t="inlineStr"/>
    </row>
    <row r="188">
      <c r="A188" s="7" t="n">
        <v>185</v>
      </c>
      <c r="B188" s="8" t="inlineStr">
        <is>
          <t xml:space="preserve">    def _generate_dense_caption(self, tags: dict, whisper_result, video_path: str) -&gt; str:</t>
        </is>
      </c>
    </row>
    <row r="189">
      <c r="A189" s="9" t="n">
        <v>186</v>
      </c>
      <c r="B189" s="10" t="inlineStr">
        <is>
          <t xml:space="preserve">        """生成密集自然语言字幕描述"""</t>
        </is>
      </c>
    </row>
    <row r="190">
      <c r="A190" s="7" t="n">
        <v>187</v>
      </c>
      <c r="B190" s="8" t="inlineStr">
        <is>
          <t xml:space="preserve">        try:</t>
        </is>
      </c>
    </row>
    <row r="191">
      <c r="A191" s="9" t="n">
        <v>188</v>
      </c>
      <c r="B191" s="10" t="inlineStr">
        <is>
          <t xml:space="preserve">            from core.multimodal_embedding import MultimodalEmbedding</t>
        </is>
      </c>
    </row>
    <row r="192">
      <c r="A192" s="7" t="n">
        <v>189</v>
      </c>
      <c r="B192" s="8" t="inlineStr">
        <is>
          <t xml:space="preserve">            embedder = MultimodalEmbedding()</t>
        </is>
      </c>
    </row>
    <row r="193">
      <c r="A193" s="9" t="n">
        <v>190</v>
      </c>
      <c r="B193" s="10" t="inlineStr">
        <is>
          <t xml:space="preserve">            audio_tags = {"emotion": getattr(whisper_result, "ambient_type", "")} if whisper_result else None</t>
        </is>
      </c>
    </row>
    <row r="194">
      <c r="A194" s="7" t="n">
        <v>191</v>
      </c>
      <c r="B194" s="8" t="inlineStr">
        <is>
          <t xml:space="preserve">            return embedder.generate_dense_caption(</t>
        </is>
      </c>
    </row>
    <row r="195">
      <c r="A195" s="9" t="n">
        <v>192</v>
      </c>
      <c r="B195" s="10" t="inlineStr">
        <is>
          <t xml:space="preserve">                vision_tags=tags,</t>
        </is>
      </c>
    </row>
    <row r="196">
      <c r="A196" s="7" t="n">
        <v>193</v>
      </c>
      <c r="B196" s="8" t="inlineStr">
        <is>
          <t xml:space="preserve">                audio_tags=audio_tags,</t>
        </is>
      </c>
    </row>
    <row r="197">
      <c r="A197" s="9" t="n">
        <v>194</v>
      </c>
      <c r="B197" s="10" t="inlineStr">
        <is>
          <t xml:space="preserve">                video_path=video_path</t>
        </is>
      </c>
    </row>
    <row r="198">
      <c r="A198" s="7" t="n">
        <v>195</v>
      </c>
      <c r="B198" s="8" t="inlineStr">
        <is>
          <t xml:space="preserve">            )</t>
        </is>
      </c>
    </row>
    <row r="199">
      <c r="A199" s="9" t="n">
        <v>196</v>
      </c>
      <c r="B199" s="10" t="inlineStr">
        <is>
          <t xml:space="preserve">        except Exception:</t>
        </is>
      </c>
    </row>
    <row r="200">
      <c r="A200" s="7" t="n">
        <v>197</v>
      </c>
      <c r="B200" s="8" t="inlineStr">
        <is>
          <t xml:space="preserve">            # 降级：简单拼接标签</t>
        </is>
      </c>
    </row>
    <row r="201">
      <c r="A201" s="9" t="n">
        <v>198</v>
      </c>
      <c r="B201" s="10" t="inlineStr">
        <is>
          <t xml:space="preserve">            parts = []</t>
        </is>
      </c>
    </row>
    <row r="202">
      <c r="A202" s="7" t="n">
        <v>199</v>
      </c>
      <c r="B202" s="8" t="inlineStr">
        <is>
          <t xml:space="preserve">            for key in ["objects","materials","colors","style","scene_type"]:</t>
        </is>
      </c>
    </row>
    <row r="203">
      <c r="A203" s="9" t="n">
        <v>200</v>
      </c>
      <c r="B203" s="10" t="inlineStr">
        <is>
          <t xml:space="preserve">                val = tags.get(key, "")</t>
        </is>
      </c>
    </row>
    <row r="204">
      <c r="A204" s="7" t="n">
        <v>201</v>
      </c>
      <c r="B204" s="8" t="inlineStr">
        <is>
          <t xml:space="preserve">                if val:</t>
        </is>
      </c>
    </row>
    <row r="205">
      <c r="A205" s="9" t="n">
        <v>202</v>
      </c>
      <c r="B205" s="10" t="inlineStr">
        <is>
          <t xml:space="preserve">                    parts.append(val if isinstance(val, str) else ",".join(val[:3]))</t>
        </is>
      </c>
    </row>
    <row r="206">
      <c r="A206" s="7" t="n">
        <v>203</v>
      </c>
      <c r="B206" s="8" t="inlineStr">
        <is>
          <t xml:space="preserve">            return "岛台展示: " + "; ".join(parts[:3]) if parts else Path(video_path).stem[:60]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core\audio_models.py</t>
        </is>
      </c>
      <c r="C1" s="5" t="inlineStr">
        <is>
          <t>行数: 572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AI素材库 — 音频识别模型封装 (v11.0 强制双轨: SenseVoice + Whisper)</t>
        </is>
      </c>
    </row>
    <row r="6">
      <c r="A6" s="7" t="n">
        <v>3</v>
      </c>
      <c r="B6" s="8">
        <f>=======================================================================</f>
        <v/>
      </c>
    </row>
    <row r="7">
      <c r="A7" s="9" t="n">
        <v>4</v>
      </c>
      <c r="B7" s="10" t="inlineStr">
        <is>
          <t>SenseVoice: 情绪识别 (7种) + 事件检测 (6种) + 多语言ASR</t>
        </is>
      </c>
    </row>
    <row r="8">
      <c r="A8" s="7" t="n">
        <v>5</v>
      </c>
      <c r="B8" s="8" t="inlineStr">
        <is>
          <t>Whisper:    语音转文字 (large-v3)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两个模型同时运行，结果合并到 AudioResult。</t>
        </is>
      </c>
    </row>
    <row r="11">
      <c r="A11" s="9" t="n">
        <v>8</v>
      </c>
      <c r="B11" s="10" t="inlineStr">
        <is>
          <t>无降级——任一模型不可用则抛出 RuntimeError。</t>
        </is>
      </c>
    </row>
    <row r="12">
      <c r="A12" s="7" t="n">
        <v>9</v>
      </c>
      <c r="B12" s="8" t="inlineStr">
        <is>
          <t>"""</t>
        </is>
      </c>
    </row>
    <row r="13">
      <c r="A13" s="9" t="n">
        <v>10</v>
      </c>
      <c r="B13" s="10" t="inlineStr">
        <is>
          <t>import os</t>
        </is>
      </c>
    </row>
    <row r="14">
      <c r="A14" s="7" t="n">
        <v>11</v>
      </c>
      <c r="B14" s="8" t="inlineStr">
        <is>
          <t>import re</t>
        </is>
      </c>
    </row>
    <row r="15">
      <c r="A15" s="9" t="n">
        <v>12</v>
      </c>
      <c r="B15" s="10" t="inlineStr">
        <is>
          <t>import tempfile</t>
        </is>
      </c>
    </row>
    <row r="16">
      <c r="A16" s="7" t="n">
        <v>13</v>
      </c>
      <c r="B16" s="8" t="inlineStr">
        <is>
          <t>from pathlib import Path</t>
        </is>
      </c>
    </row>
    <row r="17">
      <c r="A17" s="9" t="n">
        <v>14</v>
      </c>
      <c r="B17" s="10" t="inlineStr">
        <is>
          <t>from utils.silent_subprocess import run as _silent_run</t>
        </is>
      </c>
    </row>
    <row r="18">
      <c r="A18" s="7" t="n">
        <v>15</v>
      </c>
      <c r="B18" s="8" t="inlineStr">
        <is>
          <t>from typing import Optional, List</t>
        </is>
      </c>
    </row>
    <row r="19">
      <c r="A19" s="9" t="n">
        <v>16</v>
      </c>
      <c r="B19" s="10" t="inlineStr">
        <is>
          <t>from dataclasses import dataclass, field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PROJECT_ROOT = Path(__file__).parent.parent</t>
        </is>
      </c>
    </row>
    <row r="22">
      <c r="A22" s="7" t="n">
        <v>19</v>
      </c>
      <c r="B22" s="8" t="inlineStr">
        <is>
          <t>SENSEVOICE_MODEL_DIR = PROJECT_ROOT / "models" / "SenseVoiceSmall"</t>
        </is>
      </c>
    </row>
    <row r="23">
      <c r="A23" s="9" t="n">
        <v>20</v>
      </c>
      <c r="B23" s="10" t="inlineStr">
        <is>
          <t># v12.0: 持久缓存目录 — 避免每次实例化都复制 ~900MB 模型到临时目录</t>
        </is>
      </c>
    </row>
    <row r="24">
      <c r="A24" s="7" t="n">
        <v>21</v>
      </c>
      <c r="B24" s="8" t="inlineStr">
        <is>
          <t>_SENSEVOICE_CACHE = Path.home() / ".treecut" / "models" / "sensevoice"</t>
        </is>
      </c>
    </row>
    <row r="25">
      <c r="A25" s="9" t="n">
        <v>22</v>
      </c>
      <c r="B25" s="10" t="inlineStr">
        <is>
          <t>_SENSEVOICE_CACHE.mkdir(parents=True, exist_ok=True)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SENSEVOICE_FIX = f"""</t>
        </is>
      </c>
    </row>
    <row r="28">
      <c r="A28" s="7" t="n">
        <v>25</v>
      </c>
      <c r="B28" s="8">
        <f>===========================================================</f>
        <v/>
      </c>
    </row>
    <row r="29">
      <c r="A29" s="9" t="n">
        <v>26</v>
      </c>
      <c r="B29" s="10" t="inlineStr">
        <is>
          <t xml:space="preserve">  错误：SenseVoice 模型不可用</t>
        </is>
      </c>
    </row>
    <row r="30">
      <c r="A30" s="7" t="n">
        <v>27</v>
      </c>
      <c r="B30" s="8">
        <f>===========================================================</f>
        <v/>
      </c>
    </row>
    <row r="31">
      <c r="A31" s="9" t="n">
        <v>28</v>
      </c>
      <c r="B31" s="10" t="inlineStr">
        <is>
          <t xml:space="preserve">  模型目录: {SENSEVOICE_MODEL_DIR}</t>
        </is>
      </c>
    </row>
    <row r="32">
      <c r="A32" s="7" t="n">
        <v>29</v>
      </c>
      <c r="B32" s="8" t="inlineStr">
        <is>
          <t xml:space="preserve">  必需文件: model.pt (~893 MB)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 xml:space="preserve">  修复方法:</t>
        </is>
      </c>
    </row>
    <row r="35">
      <c r="A35" s="9" t="n">
        <v>32</v>
      </c>
      <c r="B35" s="10" t="inlineStr">
        <is>
          <t xml:space="preserve">  1. pip install funasr modelscope torchaudio</t>
        </is>
      </c>
    </row>
    <row r="36">
      <c r="A36" s="7" t="n">
        <v>33</v>
      </c>
      <c r="B36" s="8" t="inlineStr">
        <is>
          <t xml:space="preserve">  2. modelscope download --model FunAudioLLM/SenseVoiceSmall --local_dir {SENSEVOICE_MODEL_DIR}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 xml:space="preserve">  如果已有 model.pt 但 funasr 未安装:</t>
        </is>
      </c>
    </row>
    <row r="39">
      <c r="A39" s="9" t="n">
        <v>36</v>
      </c>
      <c r="B39" s="10" t="inlineStr">
        <is>
          <t xml:space="preserve">  3. pip install funasr&gt;=1.1.2</t>
        </is>
      </c>
    </row>
    <row r="40">
      <c r="A40" s="7" t="n">
        <v>37</v>
      </c>
      <c r="B40" s="8">
        <f>===========================================================</f>
        <v/>
      </c>
    </row>
    <row r="41">
      <c r="A41" s="9" t="n">
        <v>38</v>
      </c>
      <c r="B41" s="10" t="inlineStr">
        <is>
          <t>"""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>WHISPER_FIX = """</t>
        </is>
      </c>
    </row>
    <row r="44">
      <c r="A44" s="7" t="n">
        <v>41</v>
      </c>
      <c r="B44" s="8">
        <f>===========================================================</f>
        <v/>
      </c>
    </row>
    <row r="45">
      <c r="A45" s="9" t="n">
        <v>42</v>
      </c>
      <c r="B45" s="10" t="inlineStr">
        <is>
          <t xml:space="preserve">  错误：Faster-Whisper 不可用</t>
        </is>
      </c>
    </row>
    <row r="46">
      <c r="A46" s="7" t="n">
        <v>43</v>
      </c>
      <c r="B46" s="8">
        <f>===========================================================</f>
        <v/>
      </c>
    </row>
    <row r="47">
      <c r="A47" s="9" t="n">
        <v>44</v>
      </c>
      <c r="B47" s="10" t="inlineStr">
        <is>
          <t xml:space="preserve">  修复: pip install faster-whisper</t>
        </is>
      </c>
    </row>
    <row r="48">
      <c r="A48" s="7" t="n">
        <v>45</v>
      </c>
      <c r="B48" s="8">
        <f>===========================================================</f>
        <v/>
      </c>
    </row>
    <row r="49">
      <c r="A49" s="9" t="n">
        <v>46</v>
      </c>
      <c r="B49" s="10" t="inlineStr">
        <is>
          <t>"""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/>
    </row>
    <row r="52">
      <c r="A52" s="7" t="n">
        <v>49</v>
      </c>
      <c r="B52" s="8" t="inlineStr">
        <is>
          <t>@dataclass</t>
        </is>
      </c>
    </row>
    <row r="53">
      <c r="A53" s="9" t="n">
        <v>50</v>
      </c>
      <c r="B53" s="10" t="inlineStr">
        <is>
          <t>class AudioResult:</t>
        </is>
      </c>
    </row>
    <row r="54">
      <c r="A54" s="7" t="n">
        <v>51</v>
      </c>
      <c r="B54" s="8" t="inlineStr">
        <is>
          <t xml:space="preserve">    """音频识别统一结果 (v11.0 — 包含情绪+事件)"""</t>
        </is>
      </c>
    </row>
    <row r="55">
      <c r="A55" s="9" t="n">
        <v>52</v>
      </c>
      <c r="B55" s="10" t="inlineStr">
        <is>
          <t xml:space="preserve">    # ── 语音转写 (Whisper) ──</t>
        </is>
      </c>
    </row>
    <row r="56">
      <c r="A56" s="7" t="n">
        <v>53</v>
      </c>
      <c r="B56" s="8" t="inlineStr">
        <is>
          <t xml:space="preserve">    transcript: str = ""</t>
        </is>
      </c>
    </row>
    <row r="57">
      <c r="A57" s="9" t="n">
        <v>54</v>
      </c>
      <c r="B57" s="10" t="inlineStr">
        <is>
          <t xml:space="preserve">    segments: List[dict] = field(default_factory=list)</t>
        </is>
      </c>
    </row>
    <row r="58">
      <c r="A58" s="7" t="n">
        <v>55</v>
      </c>
      <c r="B58" s="8" t="inlineStr">
        <is>
          <t xml:space="preserve">    language: str = "zh"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# ── 情绪识别 (SenseVoice) ──</t>
        </is>
      </c>
    </row>
    <row r="61">
      <c r="A61" s="9" t="n">
        <v>58</v>
      </c>
      <c r="B61" s="10" t="inlineStr">
        <is>
          <t xml:space="preserve">    emotion: str = "neutral"                    # happy/sad/angry/neutral/fearful/disgusted/surprised</t>
        </is>
      </c>
    </row>
    <row r="62">
      <c r="A62" s="7" t="n">
        <v>59</v>
      </c>
      <c r="B62" s="8" t="inlineStr">
        <is>
          <t xml:space="preserve">    emotion_confidence: float = 0.0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# ── 事件检测 (SenseVoice) ──</t>
        </is>
      </c>
    </row>
    <row r="65">
      <c r="A65" s="9" t="n">
        <v>62</v>
      </c>
      <c r="B65" s="10" t="inlineStr">
        <is>
          <t xml:space="preserve">    events: List[str] = field(default_factory=list)  # bgm/applause/laughter/cry/cough/sneeze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# ── 启发式分类 (librosa — 辅助) ──</t>
        </is>
      </c>
    </row>
    <row r="68">
      <c r="A68" s="7" t="n">
        <v>65</v>
      </c>
      <c r="B68" s="8" t="inlineStr">
        <is>
          <t xml:space="preserve">    has_music: bool = False</t>
        </is>
      </c>
    </row>
    <row r="69">
      <c r="A69" s="9" t="n">
        <v>66</v>
      </c>
      <c r="B69" s="10" t="inlineStr">
        <is>
          <t xml:space="preserve">    has_laugh: bool = False</t>
        </is>
      </c>
    </row>
    <row r="70">
      <c r="A70" s="7" t="n">
        <v>67</v>
      </c>
      <c r="B70" s="8" t="inlineStr">
        <is>
          <t xml:space="preserve">    has_speech: bool = False</t>
        </is>
      </c>
    </row>
    <row r="71">
      <c r="A71" s="9" t="n">
        <v>68</v>
      </c>
      <c r="B71" s="10" t="inlineStr">
        <is>
          <t xml:space="preserve">    ambient_type: str = "silent"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# ── 置信度 ──</t>
        </is>
      </c>
    </row>
    <row r="74">
      <c r="A74" s="7" t="n">
        <v>71</v>
      </c>
      <c r="B74" s="8" t="inlineStr">
        <is>
          <t xml:space="preserve">    speech_confidence: float = 0.0</t>
        </is>
      </c>
    </row>
    <row r="75">
      <c r="A75" s="9" t="n">
        <v>72</v>
      </c>
      <c r="B75" s="10" t="inlineStr">
        <is>
          <t xml:space="preserve">    audio_class_confidence: float = 0.0</t>
        </is>
      </c>
    </row>
    <row r="76">
      <c r="A76" s="7" t="n">
        <v>73</v>
      </c>
      <c r="B76" s="8" t="inlineStr"/>
    </row>
    <row r="77">
      <c r="A77" s="9" t="n">
        <v>74</v>
      </c>
      <c r="B77" s="10" t="inlineStr"/>
    </row>
    <row r="78">
      <c r="A78" s="7" t="n">
        <v>75</v>
      </c>
      <c r="B78" s="8" t="inlineStr">
        <is>
          <t># ═══════════════════════════════════════════</t>
        </is>
      </c>
    </row>
    <row r="79">
      <c r="A79" s="9" t="n">
        <v>76</v>
      </c>
      <c r="B79" s="10" t="inlineStr">
        <is>
          <t># 公共工具: 从视频提取音频</t>
        </is>
      </c>
    </row>
    <row r="80">
      <c r="A80" s="7" t="n">
        <v>77</v>
      </c>
      <c r="B80" s="8" t="inlineStr">
        <is>
          <t># ═══════════════════════════════════════════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>
        <is>
          <t>def _extract_audio(video_path: str) -&gt; Optional[str]:</t>
        </is>
      </c>
    </row>
    <row r="83">
      <c r="A83" s="9" t="n">
        <v>80</v>
      </c>
      <c r="B83" s="10" t="inlineStr">
        <is>
          <t xml:space="preserve">    """提取视频音轨为临时WAV — 模块级公共函数"""</t>
        </is>
      </c>
    </row>
    <row r="84">
      <c r="A84" s="7" t="n">
        <v>81</v>
      </c>
      <c r="B84" s="8" t="inlineStr">
        <is>
          <t xml:space="preserve">    try:</t>
        </is>
      </c>
    </row>
    <row r="85">
      <c r="A85" s="9" t="n">
        <v>82</v>
      </c>
      <c r="B85" s="10" t="inlineStr">
        <is>
          <t xml:space="preserve">        tmp = tempfile.mktemp(suffix=".wav")</t>
        </is>
      </c>
    </row>
    <row r="86">
      <c r="A86" s="7" t="n">
        <v>83</v>
      </c>
      <c r="B86" s="8" t="inlineStr">
        <is>
          <t xml:space="preserve">        _silent_run([</t>
        </is>
      </c>
    </row>
    <row r="87">
      <c r="A87" s="9" t="n">
        <v>84</v>
      </c>
      <c r="B87" s="10" t="inlineStr">
        <is>
          <t xml:space="preserve">            "ffmpeg", "-y", "-i", video_path,</t>
        </is>
      </c>
    </row>
    <row r="88">
      <c r="A88" s="7" t="n">
        <v>85</v>
      </c>
      <c r="B88" s="8" t="inlineStr">
        <is>
          <t xml:space="preserve">            "-vn", "-acodec", "pcm_s16le", "-ar", "16000", "-ac", "1", tmp</t>
        </is>
      </c>
    </row>
    <row r="89">
      <c r="A89" s="9" t="n">
        <v>86</v>
      </c>
      <c r="B89" s="10" t="inlineStr">
        <is>
          <t xml:space="preserve">        ], capture_output=True, timeout=30)</t>
        </is>
      </c>
    </row>
    <row r="90">
      <c r="A90" s="7" t="n">
        <v>87</v>
      </c>
      <c r="B90" s="8" t="inlineStr">
        <is>
          <t xml:space="preserve">        if os.path.exists(tmp):</t>
        </is>
      </c>
    </row>
    <row r="91">
      <c r="A91" s="9" t="n">
        <v>88</v>
      </c>
      <c r="B91" s="10" t="inlineStr">
        <is>
          <t xml:space="preserve">            return tmp</t>
        </is>
      </c>
    </row>
    <row r="92">
      <c r="A92" s="7" t="n">
        <v>89</v>
      </c>
      <c r="B92" s="8" t="inlineStr">
        <is>
          <t xml:space="preserve">        return None</t>
        </is>
      </c>
    </row>
    <row r="93">
      <c r="A93" s="9" t="n">
        <v>90</v>
      </c>
      <c r="B93" s="10" t="inlineStr">
        <is>
          <t xml:space="preserve">    except Exception:</t>
        </is>
      </c>
    </row>
    <row r="94">
      <c r="A94" s="7" t="n">
        <v>91</v>
      </c>
      <c r="B94" s="8" t="inlineStr">
        <is>
          <t xml:space="preserve">        return None</t>
        </is>
      </c>
    </row>
    <row r="95">
      <c r="A95" s="9" t="n">
        <v>92</v>
      </c>
      <c r="B95" s="10" t="inlineStr"/>
    </row>
    <row r="96">
      <c r="A96" s="7" t="n">
        <v>93</v>
      </c>
      <c r="B96" s="8" t="inlineStr"/>
    </row>
    <row r="97">
      <c r="A97" s="9" t="n">
        <v>94</v>
      </c>
      <c r="B97" s="10" t="inlineStr">
        <is>
          <t># ═══════════════════════════════════════════</t>
        </is>
      </c>
    </row>
    <row r="98">
      <c r="A98" s="7" t="n">
        <v>95</v>
      </c>
      <c r="B98" s="8" t="inlineStr">
        <is>
          <t># SenseVoice — 情绪 + 事件检测 (强制)</t>
        </is>
      </c>
    </row>
    <row r="99">
      <c r="A99" s="9" t="n">
        <v>96</v>
      </c>
      <c r="B99" s="10" t="inlineStr">
        <is>
          <t># ═══════════════════════════════════════════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>class SenseVoiceEngine:</t>
        </is>
      </c>
    </row>
    <row r="102">
      <c r="A102" s="7" t="n">
        <v>99</v>
      </c>
      <c r="B102" s="8" t="inlineStr">
        <is>
          <t xml:space="preserve">    """</t>
        </is>
      </c>
    </row>
    <row r="103">
      <c r="A103" s="9" t="n">
        <v>100</v>
      </c>
      <c r="B103" s="10" t="inlineStr">
        <is>
          <t xml:space="preserve">    强制 SenseVoice 引擎 — 情绪 (7种) + 事件 (6种) + ASR</t>
        </is>
      </c>
    </row>
    <row r="104">
      <c r="A104" s="7" t="n">
        <v>101</v>
      </c>
      <c r="B104" s="8" t="inlineStr">
        <is>
          <t xml:space="preserve">    若模型不可用则抛出 RuntimeError，不降级。</t>
        </is>
      </c>
    </row>
    <row r="105">
      <c r="A105" s="9" t="n">
        <v>102</v>
      </c>
      <c r="B105" s="10" t="inlineStr">
        <is>
          <t xml:space="preserve">    """</t>
        </is>
      </c>
    </row>
    <row r="106">
      <c r="A106" s="7" t="n">
        <v>103</v>
      </c>
      <c r="B106" s="8" t="inlineStr"/>
    </row>
    <row r="107">
      <c r="A107" s="9" t="n">
        <v>104</v>
      </c>
      <c r="B107" s="10" t="inlineStr">
        <is>
          <t xml:space="preserve">    # SenseVoice 特殊 Token</t>
        </is>
      </c>
    </row>
    <row r="108">
      <c r="A108" s="7" t="n">
        <v>105</v>
      </c>
      <c r="B108" s="8" t="inlineStr">
        <is>
          <t xml:space="preserve">    EMOTION_TOKENS = {</t>
        </is>
      </c>
    </row>
    <row r="109">
      <c r="A109" s="9" t="n">
        <v>106</v>
      </c>
      <c r="B109" s="10" t="inlineStr">
        <is>
          <t xml:space="preserve">        "&lt;|HAPPY|&gt;": "happy", "&lt;|SAD|&gt;": "sad", "&lt;|ANGRY|&gt;": "angry",</t>
        </is>
      </c>
    </row>
    <row r="110">
      <c r="A110" s="7" t="n">
        <v>107</v>
      </c>
      <c r="B110" s="8" t="inlineStr">
        <is>
          <t xml:space="preserve">        "&lt;|NEUTRAL|&gt;": "neutral", "&lt;|FEARFUL|&gt;": "fearful",</t>
        </is>
      </c>
    </row>
    <row r="111">
      <c r="A111" s="9" t="n">
        <v>108</v>
      </c>
      <c r="B111" s="10" t="inlineStr">
        <is>
          <t xml:space="preserve">        "&lt;|DISGUSTED|&gt;": "disgusted", "&lt;|SURPRISED|&gt;": "surprised",</t>
        </is>
      </c>
    </row>
    <row r="112">
      <c r="A112" s="7" t="n">
        <v>109</v>
      </c>
      <c r="B112" s="8" t="inlineStr">
        <is>
          <t xml:space="preserve">    }</t>
        </is>
      </c>
    </row>
    <row r="113">
      <c r="A113" s="9" t="n">
        <v>110</v>
      </c>
      <c r="B113" s="10" t="inlineStr">
        <is>
          <t xml:space="preserve">    EVENT_TOKENS = {</t>
        </is>
      </c>
    </row>
    <row r="114">
      <c r="A114" s="7" t="n">
        <v>111</v>
      </c>
      <c r="B114" s="8" t="inlineStr">
        <is>
          <t xml:space="preserve">        "&lt;|bgm|&gt;": "bgm", "&lt;|applause|&gt;": "applause",</t>
        </is>
      </c>
    </row>
    <row r="115">
      <c r="A115" s="9" t="n">
        <v>112</v>
      </c>
      <c r="B115" s="10" t="inlineStr">
        <is>
          <t xml:space="preserve">        "&lt;|laughter|&gt;": "laughter", "&lt;|cry|&gt;": "cry",</t>
        </is>
      </c>
    </row>
    <row r="116">
      <c r="A116" s="7" t="n">
        <v>113</v>
      </c>
      <c r="B116" s="8" t="inlineStr">
        <is>
          <t xml:space="preserve">        "&lt;|cough|&gt;": "cough", "&lt;|sneeze|&gt;": "sneeze",</t>
        </is>
      </c>
    </row>
    <row r="117">
      <c r="A117" s="9" t="n">
        <v>114</v>
      </c>
      <c r="B117" s="10" t="inlineStr">
        <is>
          <t xml:space="preserve">    }</t>
        </is>
      </c>
    </row>
    <row r="118">
      <c r="A118" s="7" t="n">
        <v>115</v>
      </c>
      <c r="B118" s="8" t="inlineStr">
        <is>
          <t xml:space="preserve">    LANGUAGE_TOKENS = {"&lt;|zh|&gt;", "&lt;|en|&gt;", "&lt;|ja|&gt;", "&lt;|ko|&gt;", "&lt;|yue|&gt;"}</t>
        </is>
      </c>
    </row>
    <row r="119">
      <c r="A119" s="9" t="n">
        <v>116</v>
      </c>
      <c r="B119" s="10" t="inlineStr">
        <is>
          <t xml:space="preserve">    ITN_TOKENS = {"&lt;|itn|&gt;"}</t>
        </is>
      </c>
    </row>
    <row r="120">
      <c r="A120" s="7" t="n">
        <v>117</v>
      </c>
      <c r="B120" s="8" t="inlineStr">
        <is>
          <t xml:space="preserve">    ALL_SPECIAL = EMOTION_TOKENS.keys() | EVENT_TOKENS.keys() | LANGUAGE_TOKENS | ITN_TOKENS</t>
        </is>
      </c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 xml:space="preserve">    def __init__(self, device: str = "cpu"):</t>
        </is>
      </c>
    </row>
    <row r="123">
      <c r="A123" s="9" t="n">
        <v>120</v>
      </c>
      <c r="B123" s="10" t="inlineStr">
        <is>
          <t xml:space="preserve">        self.device = device</t>
        </is>
      </c>
    </row>
    <row r="124">
      <c r="A124" s="7" t="n">
        <v>121</v>
      </c>
      <c r="B124" s="8" t="inlineStr">
        <is>
          <t xml:space="preserve">        self._model = None</t>
        </is>
      </c>
    </row>
    <row r="125">
      <c r="A125" s="9" t="n">
        <v>122</v>
      </c>
      <c r="B125" s="10" t="inlineStr">
        <is>
          <t xml:space="preserve">        self._loaded = False</t>
        </is>
      </c>
    </row>
    <row r="126">
      <c r="A126" s="7" t="n">
        <v>123</v>
      </c>
      <c r="B126" s="8" t="inlineStr">
        <is>
          <t xml:space="preserve">        self._tmp_model_dir = None</t>
        </is>
      </c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 xml:space="preserve">        if not SENSEVOICE_MODEL_DIR.exists():</t>
        </is>
      </c>
    </row>
    <row r="129">
      <c r="A129" s="9" t="n">
        <v>126</v>
      </c>
      <c r="B129" s="10" t="inlineStr">
        <is>
          <t xml:space="preserve">            raise RuntimeError(</t>
        </is>
      </c>
    </row>
    <row r="130">
      <c r="A130" s="7" t="n">
        <v>127</v>
      </c>
      <c r="B130" s="8" t="inlineStr">
        <is>
          <t xml:space="preserve">                f"SenseVoice 模型目录不存在: {SENSEVOICE_MODEL_DIR}\n{SENSEVOICE_FIX}"</t>
        </is>
      </c>
    </row>
    <row r="131">
      <c r="A131" s="9" t="n">
        <v>128</v>
      </c>
      <c r="B131" s="10" t="inlineStr">
        <is>
          <t xml:space="preserve">            )</t>
        </is>
      </c>
    </row>
    <row r="132">
      <c r="A132" s="7" t="n">
        <v>129</v>
      </c>
      <c r="B132" s="8" t="inlineStr"/>
    </row>
    <row r="133">
      <c r="A133" s="9" t="n">
        <v>130</v>
      </c>
      <c r="B133" s="10" t="inlineStr">
        <is>
          <t xml:space="preserve">        model_pt = SENSEVOICE_MODEL_DIR / "model.pt"</t>
        </is>
      </c>
    </row>
    <row r="134">
      <c r="A134" s="7" t="n">
        <v>131</v>
      </c>
      <c r="B134" s="8" t="inlineStr">
        <is>
          <t xml:space="preserve">        if not model_pt.exists():</t>
        </is>
      </c>
    </row>
    <row r="135">
      <c r="A135" s="9" t="n">
        <v>132</v>
      </c>
      <c r="B135" s="10" t="inlineStr">
        <is>
          <t xml:space="preserve">            raise RuntimeError(</t>
        </is>
      </c>
    </row>
    <row r="136">
      <c r="A136" s="7" t="n">
        <v>133</v>
      </c>
      <c r="B136" s="8" t="inlineStr">
        <is>
          <t xml:space="preserve">                f"SenseVoice 模型权重文件缺失: {model_pt}\n{SENSEVOICE_FIX}"</t>
        </is>
      </c>
    </row>
    <row r="137">
      <c r="A137" s="9" t="n">
        <v>134</v>
      </c>
      <c r="B137" s="10" t="inlineStr">
        <is>
          <t xml:space="preserve">            )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    # funasr may fail with Chinese paths on Windows.</t>
        </is>
      </c>
    </row>
    <row r="140">
      <c r="A140" s="7" t="n">
        <v>137</v>
      </c>
      <c r="B140" s="8" t="inlineStr">
        <is>
          <t xml:space="preserve">        # Workaround: copy model to ASCII temp dir if needed.</t>
        </is>
      </c>
    </row>
    <row r="141">
      <c r="A141" s="9" t="n">
        <v>138</v>
      </c>
      <c r="B141" s="10" t="inlineStr">
        <is>
          <t xml:space="preserve">        try:</t>
        </is>
      </c>
    </row>
    <row r="142">
      <c r="A142" s="7" t="n">
        <v>139</v>
      </c>
      <c r="B142" s="8" t="inlineStr">
        <is>
          <t xml:space="preserve">            from funasr import AutoModel</t>
        </is>
      </c>
    </row>
    <row r="143">
      <c r="A143" s="9" t="n">
        <v>140</v>
      </c>
      <c r="B143" s="10" t="inlineStr">
        <is>
          <t xml:space="preserve">            model_path_str = str(SENSEVOICE_MODEL_DIR)</t>
        </is>
      </c>
    </row>
    <row r="144">
      <c r="A144" s="7" t="n">
        <v>141</v>
      </c>
      <c r="B144" s="8" t="inlineStr">
        <is>
          <t xml:space="preserve">            print(f"   [SenseVoice] 加载模型 ({SENSEVOICE_MODEL_DIR})...")</t>
        </is>
      </c>
    </row>
    <row r="145">
      <c r="A145" s="9" t="n">
        <v>142</v>
      </c>
      <c r="B145" s="10" t="inlineStr"/>
    </row>
    <row r="146">
      <c r="A146" s="7" t="n">
        <v>143</v>
      </c>
      <c r="B146" s="8" t="inlineStr">
        <is>
          <t xml:space="preserve">            try:</t>
        </is>
      </c>
    </row>
    <row r="147">
      <c r="A147" s="9" t="n">
        <v>144</v>
      </c>
      <c r="B147" s="10" t="inlineStr">
        <is>
          <t xml:space="preserve">                self._model = AutoModel(</t>
        </is>
      </c>
    </row>
    <row r="148">
      <c r="A148" s="7" t="n">
        <v>145</v>
      </c>
      <c r="B148" s="8" t="inlineStr">
        <is>
          <t xml:space="preserve">                    model=model_path_str,</t>
        </is>
      </c>
    </row>
    <row r="149">
      <c r="A149" s="9" t="n">
        <v>146</v>
      </c>
      <c r="B149" s="10" t="inlineStr">
        <is>
          <t xml:space="preserve">                    vad_model="fsmn-vad",</t>
        </is>
      </c>
    </row>
    <row r="150">
      <c r="A150" s="7" t="n">
        <v>147</v>
      </c>
      <c r="B150" s="8" t="inlineStr">
        <is>
          <t xml:space="preserve">                    vad_kwargs={"max_single_segment_time": 30000},</t>
        </is>
      </c>
    </row>
    <row r="151">
      <c r="A151" s="9" t="n">
        <v>148</v>
      </c>
      <c r="B151" s="10" t="inlineStr">
        <is>
          <t xml:space="preserve">                    device=self.device,</t>
        </is>
      </c>
    </row>
    <row r="152">
      <c r="A152" s="7" t="n">
        <v>149</v>
      </c>
      <c r="B152" s="8" t="inlineStr">
        <is>
          <t xml:space="preserve">                    disable_update=True,</t>
        </is>
      </c>
    </row>
    <row r="153">
      <c r="A153" s="9" t="n">
        <v>150</v>
      </c>
      <c r="B153" s="10" t="inlineStr">
        <is>
          <t xml:space="preserve">                )</t>
        </is>
      </c>
    </row>
    <row r="154">
      <c r="A154" s="7" t="n">
        <v>151</v>
      </c>
      <c r="B154" s="8" t="inlineStr">
        <is>
          <t xml:space="preserve">            except Exception:</t>
        </is>
      </c>
    </row>
    <row r="155">
      <c r="A155" s="9" t="n">
        <v>152</v>
      </c>
      <c r="B155" s="10" t="inlineStr">
        <is>
          <t xml:space="preserve">                # v12.0: 中文路径规避 — 使用持久缓存目录（不再每次复制到临时目录）</t>
        </is>
      </c>
    </row>
    <row r="156">
      <c r="A156" s="7" t="n">
        <v>153</v>
      </c>
      <c r="B156" s="8" t="inlineStr">
        <is>
          <t xml:space="preserve">                import shutil as _shutil</t>
        </is>
      </c>
    </row>
    <row r="157">
      <c r="A157" s="9" t="n">
        <v>154</v>
      </c>
      <c r="B157" s="10" t="inlineStr">
        <is>
          <t xml:space="preserve">                self._tmp_model_dir = str(_SENSEVOICE_CACHE)</t>
        </is>
      </c>
    </row>
    <row r="158">
      <c r="A158" s="7" t="n">
        <v>155</v>
      </c>
      <c r="B158" s="8" t="inlineStr">
        <is>
          <t xml:space="preserve">                # 仅首次复制模型文件; 后续启动直接复用缓存</t>
        </is>
      </c>
    </row>
    <row r="159">
      <c r="A159" s="9" t="n">
        <v>156</v>
      </c>
      <c r="B159" s="10" t="inlineStr">
        <is>
          <t xml:space="preserve">                if not (_SENSEVOICE_CACHE / "config.yaml").exists():</t>
        </is>
      </c>
    </row>
    <row r="160">
      <c r="A160" s="7" t="n">
        <v>157</v>
      </c>
      <c r="B160" s="8" t="inlineStr">
        <is>
          <t xml:space="preserve">                    print(f"   [SenseVoice] 首次缓存模型到: {self._tmp_model_dir}")</t>
        </is>
      </c>
    </row>
    <row r="161">
      <c r="A161" s="9" t="n">
        <v>158</v>
      </c>
      <c r="B161" s="10" t="inlineStr">
        <is>
          <t xml:space="preserve">                    for item in SENSEVOICE_MODEL_DIR.iterdir():</t>
        </is>
      </c>
    </row>
    <row r="162">
      <c r="A162" s="7" t="n">
        <v>159</v>
      </c>
      <c r="B162" s="8" t="inlineStr">
        <is>
          <t xml:space="preserve">                        src = str(item)</t>
        </is>
      </c>
    </row>
    <row r="163">
      <c r="A163" s="9" t="n">
        <v>160</v>
      </c>
      <c r="B163" s="10" t="inlineStr">
        <is>
          <t xml:space="preserve">                        dst = os.path.join(self._tmp_model_dir, item.name)</t>
        </is>
      </c>
    </row>
    <row r="164">
      <c r="A164" s="7" t="n">
        <v>161</v>
      </c>
      <c r="B164" s="8" t="inlineStr">
        <is>
          <t xml:space="preserve">                        if item.is_file():</t>
        </is>
      </c>
    </row>
    <row r="165">
      <c r="A165" s="9" t="n">
        <v>162</v>
      </c>
      <c r="B165" s="10" t="inlineStr">
        <is>
          <t xml:space="preserve">                            _shutil.copy2(src, dst)</t>
        </is>
      </c>
    </row>
    <row r="166">
      <c r="A166" s="7" t="n">
        <v>163</v>
      </c>
      <c r="B166" s="8" t="inlineStr">
        <is>
          <t xml:space="preserve">                        elif item.is_dir() and not item.name.startswith('.') and not item.name.startswith('_'):</t>
        </is>
      </c>
    </row>
    <row r="167">
      <c r="A167" s="9" t="n">
        <v>164</v>
      </c>
      <c r="B167" s="10" t="inlineStr">
        <is>
          <t xml:space="preserve">                            _shutil.copytree(src, dst, dirs_exist_ok=True,</t>
        </is>
      </c>
    </row>
    <row r="168">
      <c r="A168" s="7" t="n">
        <v>165</v>
      </c>
      <c r="B168" s="8" t="inlineStr">
        <is>
          <t xml:space="preserve">                                            ignore=_shutil.ignore_patterns('.*', '__pycache__'))</t>
        </is>
      </c>
    </row>
    <row r="169">
      <c r="A169" s="9" t="n">
        <v>166</v>
      </c>
      <c r="B169" s="10" t="inlineStr">
        <is>
          <t xml:space="preserve">                else:</t>
        </is>
      </c>
    </row>
    <row r="170">
      <c r="A170" s="7" t="n">
        <v>167</v>
      </c>
      <c r="B170" s="8" t="inlineStr">
        <is>
          <t xml:space="preserve">                    print(f"   [SenseVoice] 使用缓存模型: {self._tmp_model_dir}")</t>
        </is>
      </c>
    </row>
    <row r="171">
      <c r="A171" s="9" t="n">
        <v>168</v>
      </c>
      <c r="B171" s="10" t="inlineStr">
        <is>
          <t xml:space="preserve">                self._model = AutoModel(</t>
        </is>
      </c>
    </row>
    <row r="172">
      <c r="A172" s="7" t="n">
        <v>169</v>
      </c>
      <c r="B172" s="8" t="inlineStr">
        <is>
          <t xml:space="preserve">                    model=self._tmp_model_dir,</t>
        </is>
      </c>
    </row>
    <row r="173">
      <c r="A173" s="9" t="n">
        <v>170</v>
      </c>
      <c r="B173" s="10" t="inlineStr">
        <is>
          <t xml:space="preserve">                    vad_model="fsmn-vad",</t>
        </is>
      </c>
    </row>
    <row r="174">
      <c r="A174" s="7" t="n">
        <v>171</v>
      </c>
      <c r="B174" s="8" t="inlineStr">
        <is>
          <t xml:space="preserve">                    vad_kwargs={"max_single_segment_time": 30000},</t>
        </is>
      </c>
    </row>
    <row r="175">
      <c r="A175" s="9" t="n">
        <v>172</v>
      </c>
      <c r="B175" s="10" t="inlineStr">
        <is>
          <t xml:space="preserve">                    device=self.device,</t>
        </is>
      </c>
    </row>
    <row r="176">
      <c r="A176" s="7" t="n">
        <v>173</v>
      </c>
      <c r="B176" s="8" t="inlineStr">
        <is>
          <t xml:space="preserve">                    disable_update=True,</t>
        </is>
      </c>
    </row>
    <row r="177">
      <c r="A177" s="9" t="n">
        <v>174</v>
      </c>
      <c r="B177" s="10" t="inlineStr">
        <is>
          <t xml:space="preserve">                )</t>
        </is>
      </c>
    </row>
    <row r="178">
      <c r="A178" s="7" t="n">
        <v>175</v>
      </c>
      <c r="B178" s="8" t="inlineStr"/>
    </row>
    <row r="179">
      <c r="A179" s="9" t="n">
        <v>176</v>
      </c>
      <c r="B179" s="10" t="inlineStr">
        <is>
          <t xml:space="preserve">            self._loaded = True</t>
        </is>
      </c>
    </row>
    <row r="180">
      <c r="A180" s="7" t="n">
        <v>177</v>
      </c>
      <c r="B180" s="8" t="inlineStr">
        <is>
          <t xml:space="preserve">            print(f"   [SenseVoice] 加载成功 (device={self.device})")</t>
        </is>
      </c>
    </row>
    <row r="181">
      <c r="A181" s="9" t="n">
        <v>178</v>
      </c>
      <c r="B181" s="10" t="inlineStr"/>
    </row>
    <row r="182">
      <c r="A182" s="7" t="n">
        <v>179</v>
      </c>
      <c r="B182" s="8" t="inlineStr">
        <is>
          <t xml:space="preserve">        except ImportError as e:</t>
        </is>
      </c>
    </row>
    <row r="183">
      <c r="A183" s="9" t="n">
        <v>180</v>
      </c>
      <c r="B183" s="10" t="inlineStr">
        <is>
          <t xml:space="preserve">            raise RuntimeError(</t>
        </is>
      </c>
    </row>
    <row r="184">
      <c r="A184" s="7" t="n">
        <v>181</v>
      </c>
      <c r="B184" s="8" t="inlineStr">
        <is>
          <t xml:space="preserve">                f"缺少 funasr 依赖: {e}\n请运行: pip install funasr&gt;=1.1.2 modelscope torchaudio"</t>
        </is>
      </c>
    </row>
    <row r="185">
      <c r="A185" s="9" t="n">
        <v>182</v>
      </c>
      <c r="B185" s="10" t="inlineStr">
        <is>
          <t xml:space="preserve">            ) from e</t>
        </is>
      </c>
    </row>
    <row r="186">
      <c r="A186" s="7" t="n">
        <v>183</v>
      </c>
      <c r="B186" s="8" t="inlineStr">
        <is>
          <t xml:space="preserve">        except Exception as e:</t>
        </is>
      </c>
    </row>
    <row r="187">
      <c r="A187" s="9" t="n">
        <v>184</v>
      </c>
      <c r="B187" s="10" t="inlineStr">
        <is>
          <t xml:space="preserve">            raise RuntimeError(</t>
        </is>
      </c>
    </row>
    <row r="188">
      <c r="A188" s="7" t="n">
        <v>185</v>
      </c>
      <c r="B188" s="8" t="inlineStr">
        <is>
          <t xml:space="preserve">                f"SenseVoice 加载失败: {e}\n{SENSEVOICE_FIX}"</t>
        </is>
      </c>
    </row>
    <row r="189">
      <c r="A189" s="9" t="n">
        <v>186</v>
      </c>
      <c r="B189" s="10" t="inlineStr">
        <is>
          <t xml:space="preserve">            ) from e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 xml:space="preserve">    @property</t>
        </is>
      </c>
    </row>
    <row r="192">
      <c r="A192" s="7" t="n">
        <v>189</v>
      </c>
      <c r="B192" s="8" t="inlineStr">
        <is>
          <t xml:space="preserve">    def available(self) -&gt; bool:</t>
        </is>
      </c>
    </row>
    <row r="193">
      <c r="A193" s="9" t="n">
        <v>190</v>
      </c>
      <c r="B193" s="10" t="inlineStr">
        <is>
          <t xml:space="preserve">        return self._loaded and self._model is not None</t>
        </is>
      </c>
    </row>
    <row r="194">
      <c r="A194" s="7" t="n">
        <v>191</v>
      </c>
      <c r="B194" s="8" t="inlineStr"/>
    </row>
    <row r="195">
      <c r="A195" s="9" t="n">
        <v>192</v>
      </c>
      <c r="B195" s="10" t="inlineStr">
        <is>
          <t xml:space="preserve">    def __del__(self):</t>
        </is>
      </c>
    </row>
    <row r="196">
      <c r="A196" s="7" t="n">
        <v>193</v>
      </c>
      <c r="B196" s="8" t="inlineStr">
        <is>
          <t xml:space="preserve">        # v12.0: 持久缓存目录不删除 — 下次启动直接复用</t>
        </is>
      </c>
    </row>
    <row r="197">
      <c r="A197" s="9" t="n">
        <v>194</v>
      </c>
      <c r="B197" s="10" t="inlineStr">
        <is>
          <t xml:space="preserve">        # 只有旧版临时目录才需要清理</t>
        </is>
      </c>
    </row>
    <row r="198">
      <c r="A198" s="7" t="n">
        <v>195</v>
      </c>
      <c r="B198" s="8" t="inlineStr">
        <is>
          <t xml:space="preserve">        if (self._tmp_model_dir and os.path.exists(self._tmp_model_dir)</t>
        </is>
      </c>
    </row>
    <row r="199">
      <c r="A199" s="9" t="n">
        <v>196</v>
      </c>
      <c r="B199" s="10" t="inlineStr">
        <is>
          <t xml:space="preserve">                and 'sensevoice_' in self._tmp_model_dir  # 旧版 temp 前缀</t>
        </is>
      </c>
    </row>
    <row r="200">
      <c r="A200" s="7" t="n">
        <v>197</v>
      </c>
      <c r="B200" s="8" t="inlineStr">
        <is>
          <t xml:space="preserve">                and '.treecut' not in self._tmp_model_dir):</t>
        </is>
      </c>
    </row>
    <row r="201">
      <c r="A201" s="9" t="n">
        <v>198</v>
      </c>
      <c r="B201" s="10" t="inlineStr">
        <is>
          <t xml:space="preserve">            import shutil</t>
        </is>
      </c>
    </row>
    <row r="202">
      <c r="A202" s="7" t="n">
        <v>199</v>
      </c>
      <c r="B202" s="8" t="inlineStr">
        <is>
          <t xml:space="preserve">            shutil.rmtree(self._tmp_model_dir, ignore_errors=True)</t>
        </is>
      </c>
    </row>
    <row r="203">
      <c r="A203" s="9" t="n">
        <v>200</v>
      </c>
      <c r="B203" s="10" t="inlineStr"/>
    </row>
    <row r="204">
      <c r="A204" s="7" t="n">
        <v>201</v>
      </c>
      <c r="B204" s="8" t="inlineStr">
        <is>
          <t xml:space="preserve">    def analyze(self, audio_path: str) -&gt; dict:</t>
        </is>
      </c>
    </row>
    <row r="205">
      <c r="A205" s="9" t="n">
        <v>202</v>
      </c>
      <c r="B205" s="10" t="inlineStr">
        <is>
          <t xml:space="preserve">        """</t>
        </is>
      </c>
    </row>
    <row r="206">
      <c r="A206" s="7" t="n">
        <v>203</v>
      </c>
      <c r="B206" s="8" t="inlineStr">
        <is>
          <t xml:space="preserve">        分析音频 — 返回情绪 + 事件 + 文本</t>
        </is>
      </c>
    </row>
    <row r="207">
      <c r="A207" s="9" t="n">
        <v>204</v>
      </c>
      <c r="B207" s="10" t="inlineStr">
        <is>
          <t xml:space="preserve">        {</t>
        </is>
      </c>
    </row>
    <row r="208">
      <c r="A208" s="7" t="n">
        <v>205</v>
      </c>
      <c r="B208" s="8" t="inlineStr">
        <is>
          <t xml:space="preserve">          "text": "清洗后的转写文本",</t>
        </is>
      </c>
    </row>
    <row r="209">
      <c r="A209" s="9" t="n">
        <v>206</v>
      </c>
      <c r="B209" s="10" t="inlineStr">
        <is>
          <t xml:space="preserve">          "emotion": "happy",</t>
        </is>
      </c>
    </row>
    <row r="210">
      <c r="A210" s="7" t="n">
        <v>207</v>
      </c>
      <c r="B210" s="8" t="inlineStr">
        <is>
          <t xml:space="preserve">          "emotion_confidence": 0.92,</t>
        </is>
      </c>
    </row>
    <row r="211">
      <c r="A211" s="9" t="n">
        <v>208</v>
      </c>
      <c r="B211" s="10" t="inlineStr">
        <is>
          <t xml:space="preserve">          "events": ["bgm", "laughter"],</t>
        </is>
      </c>
    </row>
    <row r="212">
      <c r="A212" s="7" t="n">
        <v>209</v>
      </c>
      <c r="B212" s="8" t="inlineStr">
        <is>
          <t xml:space="preserve">          "language": "zh",</t>
        </is>
      </c>
    </row>
    <row r="213">
      <c r="A213" s="9" t="n">
        <v>210</v>
      </c>
      <c r="B213" s="10" t="inlineStr">
        <is>
          <t xml:space="preserve">          "raw_text": "带特殊Token的原始输出"</t>
        </is>
      </c>
    </row>
    <row r="214">
      <c r="A214" s="7" t="n">
        <v>211</v>
      </c>
      <c r="B214" s="8" t="inlineStr">
        <is>
          <t xml:space="preserve">        }</t>
        </is>
      </c>
    </row>
    <row r="215">
      <c r="A215" s="9" t="n">
        <v>212</v>
      </c>
      <c r="B215" s="10" t="inlineStr">
        <is>
          <t xml:space="preserve">        """</t>
        </is>
      </c>
    </row>
    <row r="216">
      <c r="A216" s="7" t="n">
        <v>213</v>
      </c>
      <c r="B216" s="8" t="inlineStr">
        <is>
          <t xml:space="preserve">        if not self.available:</t>
        </is>
      </c>
    </row>
    <row r="217">
      <c r="A217" s="9" t="n">
        <v>214</v>
      </c>
      <c r="B217" s="10" t="inlineStr">
        <is>
          <t xml:space="preserve">            raise RuntimeError("SenseVoice 未初始化")</t>
        </is>
      </c>
    </row>
    <row r="218">
      <c r="A218" s="7" t="n">
        <v>215</v>
      </c>
      <c r="B218" s="8" t="inlineStr"/>
    </row>
    <row r="219">
      <c r="A219" s="9" t="n">
        <v>216</v>
      </c>
      <c r="B219" s="10" t="inlineStr">
        <is>
          <t xml:space="preserve">        try:</t>
        </is>
      </c>
    </row>
    <row r="220">
      <c r="A220" s="7" t="n">
        <v>217</v>
      </c>
      <c r="B220" s="8" t="inlineStr">
        <is>
          <t xml:space="preserve">            result = self._model.generate(</t>
        </is>
      </c>
    </row>
    <row r="221">
      <c r="A221" s="9" t="n">
        <v>218</v>
      </c>
      <c r="B221" s="10" t="inlineStr">
        <is>
          <t xml:space="preserve">                input=audio_path,</t>
        </is>
      </c>
    </row>
    <row r="222">
      <c r="A222" s="7" t="n">
        <v>219</v>
      </c>
      <c r="B222" s="8" t="inlineStr">
        <is>
          <t xml:space="preserve">                cache={},</t>
        </is>
      </c>
    </row>
    <row r="223">
      <c r="A223" s="9" t="n">
        <v>220</v>
      </c>
      <c r="B223" s="10" t="inlineStr">
        <is>
          <t xml:space="preserve">                language="auto",</t>
        </is>
      </c>
    </row>
    <row r="224">
      <c r="A224" s="7" t="n">
        <v>221</v>
      </c>
      <c r="B224" s="8" t="inlineStr">
        <is>
          <t xml:space="preserve">                use_itn=True,</t>
        </is>
      </c>
    </row>
    <row r="225">
      <c r="A225" s="9" t="n">
        <v>222</v>
      </c>
      <c r="B225" s="10" t="inlineStr">
        <is>
          <t xml:space="preserve">                batch_size_s=60,</t>
        </is>
      </c>
    </row>
    <row r="226">
      <c r="A226" s="7" t="n">
        <v>223</v>
      </c>
      <c r="B226" s="8" t="inlineStr">
        <is>
          <t xml:space="preserve">                merge_vad=True,</t>
        </is>
      </c>
    </row>
    <row r="227">
      <c r="A227" s="9" t="n">
        <v>224</v>
      </c>
      <c r="B227" s="10" t="inlineStr">
        <is>
          <t xml:space="preserve">                merge_length_s=15,</t>
        </is>
      </c>
    </row>
    <row r="228">
      <c r="A228" s="7" t="n">
        <v>225</v>
      </c>
      <c r="B228" s="8" t="inlineStr">
        <is>
          <t xml:space="preserve">            )</t>
        </is>
      </c>
    </row>
    <row r="229">
      <c r="A229" s="9" t="n">
        <v>226</v>
      </c>
      <c r="B229" s="10" t="inlineStr"/>
    </row>
    <row r="230">
      <c r="A230" s="7" t="n">
        <v>227</v>
      </c>
      <c r="B230" s="8" t="inlineStr">
        <is>
          <t xml:space="preserve">            if not result or not isinstance(result, list):</t>
        </is>
      </c>
    </row>
    <row r="231">
      <c r="A231" s="9" t="n">
        <v>228</v>
      </c>
      <c r="B231" s="10" t="inlineStr">
        <is>
          <t xml:space="preserve">                raise RuntimeError(f"SenseVoice 返回空结果: {result}")</t>
        </is>
      </c>
    </row>
    <row r="232">
      <c r="A232" s="7" t="n">
        <v>229</v>
      </c>
      <c r="B232" s="8" t="inlineStr"/>
    </row>
    <row r="233">
      <c r="A233" s="9" t="n">
        <v>230</v>
      </c>
      <c r="B233" s="10" t="inlineStr">
        <is>
          <t xml:space="preserve">            raw_text = result[0].get("text", "")</t>
        </is>
      </c>
    </row>
    <row r="234">
      <c r="A234" s="7" t="n">
        <v>231</v>
      </c>
      <c r="B234" s="8" t="inlineStr"/>
    </row>
    <row r="235">
      <c r="A235" s="9" t="n">
        <v>232</v>
      </c>
      <c r="B235" s="10" t="inlineStr">
        <is>
          <t xml:space="preserve">            # 解析特殊 Token</t>
        </is>
      </c>
    </row>
    <row r="236">
      <c r="A236" s="7" t="n">
        <v>233</v>
      </c>
      <c r="B236" s="8" t="inlineStr">
        <is>
          <t xml:space="preserve">            emotion = "neutral"</t>
        </is>
      </c>
    </row>
    <row r="237">
      <c r="A237" s="9" t="n">
        <v>234</v>
      </c>
      <c r="B237" s="10" t="inlineStr">
        <is>
          <t xml:space="preserve">            events = []</t>
        </is>
      </c>
    </row>
    <row r="238">
      <c r="A238" s="7" t="n">
        <v>235</v>
      </c>
      <c r="B238" s="8" t="inlineStr">
        <is>
          <t xml:space="preserve">            language = "zh"</t>
        </is>
      </c>
    </row>
    <row r="239">
      <c r="A239" s="9" t="n">
        <v>236</v>
      </c>
      <c r="B239" s="10" t="inlineStr"/>
    </row>
    <row r="240">
      <c r="A240" s="7" t="n">
        <v>237</v>
      </c>
      <c r="B240" s="8" t="inlineStr">
        <is>
          <t xml:space="preserve">            for tok_full, emotion_name in self.EMOTION_TOKENS.items():</t>
        </is>
      </c>
    </row>
    <row r="241">
      <c r="A241" s="9" t="n">
        <v>238</v>
      </c>
      <c r="B241" s="10" t="inlineStr">
        <is>
          <t xml:space="preserve">                if tok_full in raw_text:</t>
        </is>
      </c>
    </row>
    <row r="242">
      <c r="A242" s="7" t="n">
        <v>239</v>
      </c>
      <c r="B242" s="8" t="inlineStr">
        <is>
          <t xml:space="preserve">                    emotion = emotion_name</t>
        </is>
      </c>
    </row>
    <row r="243">
      <c r="A243" s="9" t="n">
        <v>240</v>
      </c>
      <c r="B243" s="10" t="inlineStr">
        <is>
          <t xml:space="preserve">                    break</t>
        </is>
      </c>
    </row>
    <row r="244">
      <c r="A244" s="7" t="n">
        <v>241</v>
      </c>
      <c r="B244" s="8" t="inlineStr"/>
    </row>
    <row r="245">
      <c r="A245" s="9" t="n">
        <v>242</v>
      </c>
      <c r="B245" s="10" t="inlineStr">
        <is>
          <t xml:space="preserve">            for tok_full, event_name in self.EVENT_TOKENS.items():</t>
        </is>
      </c>
    </row>
    <row r="246">
      <c r="A246" s="7" t="n">
        <v>243</v>
      </c>
      <c r="B246" s="8" t="inlineStr">
        <is>
          <t xml:space="preserve">                if tok_full in raw_text:</t>
        </is>
      </c>
    </row>
    <row r="247">
      <c r="A247" s="9" t="n">
        <v>244</v>
      </c>
      <c r="B247" s="10" t="inlineStr">
        <is>
          <t xml:space="preserve">                    events.append(event_name)</t>
        </is>
      </c>
    </row>
    <row r="248">
      <c r="A248" s="7" t="n">
        <v>245</v>
      </c>
      <c r="B248" s="8" t="inlineStr"/>
    </row>
    <row r="249">
      <c r="A249" s="9" t="n">
        <v>246</v>
      </c>
      <c r="B249" s="10" t="inlineStr">
        <is>
          <t xml:space="preserve">            for lang_tok in self.LANGUAGE_TOKENS:</t>
        </is>
      </c>
    </row>
    <row r="250">
      <c r="A250" s="7" t="n">
        <v>247</v>
      </c>
      <c r="B250" s="8" t="inlineStr">
        <is>
          <t xml:space="preserve">                if lang_tok in raw_text:</t>
        </is>
      </c>
    </row>
    <row r="251">
      <c r="A251" s="9" t="n">
        <v>248</v>
      </c>
      <c r="B251" s="10" t="inlineStr">
        <is>
          <t xml:space="preserve">                    language = lang_tok.strip("&lt;&gt;|").split("|")[0]</t>
        </is>
      </c>
    </row>
    <row r="252">
      <c r="A252" s="7" t="n">
        <v>249</v>
      </c>
      <c r="B252" s="8" t="inlineStr">
        <is>
          <t xml:space="preserve">                    break</t>
        </is>
      </c>
    </row>
    <row r="253">
      <c r="A253" s="9" t="n">
        <v>250</v>
      </c>
      <c r="B253" s="10" t="inlineStr"/>
    </row>
    <row r="254">
      <c r="A254" s="7" t="n">
        <v>251</v>
      </c>
      <c r="B254" s="8" t="inlineStr">
        <is>
          <t xml:space="preserve">            # 清洗文本 (移除所有特殊Token)</t>
        </is>
      </c>
    </row>
    <row r="255">
      <c r="A255" s="9" t="n">
        <v>252</v>
      </c>
      <c r="B255" s="10" t="inlineStr">
        <is>
          <t xml:space="preserve">            clean_text = self._clean_text(raw_text)</t>
        </is>
      </c>
    </row>
    <row r="256">
      <c r="A256" s="7" t="n">
        <v>253</v>
      </c>
      <c r="B256" s="8" t="inlineStr"/>
    </row>
    <row r="257">
      <c r="A257" s="9" t="n">
        <v>254</v>
      </c>
      <c r="B257" s="10" t="inlineStr">
        <is>
          <t xml:space="preserve">            return {</t>
        </is>
      </c>
    </row>
    <row r="258">
      <c r="A258" s="7" t="n">
        <v>255</v>
      </c>
      <c r="B258" s="8" t="inlineStr">
        <is>
          <t xml:space="preserve">                "text": clean_text,</t>
        </is>
      </c>
    </row>
    <row r="259">
      <c r="A259" s="9" t="n">
        <v>256</v>
      </c>
      <c r="B259" s="10" t="inlineStr">
        <is>
          <t xml:space="preserve">                "emotion": emotion,</t>
        </is>
      </c>
    </row>
    <row r="260">
      <c r="A260" s="7" t="n">
        <v>257</v>
      </c>
      <c r="B260" s="8" t="inlineStr">
        <is>
          <t xml:space="preserve">                "emotion_confidence": 0.85,  # SenseVoice 不单独输出置信度</t>
        </is>
      </c>
    </row>
    <row r="261">
      <c r="A261" s="9" t="n">
        <v>258</v>
      </c>
      <c r="B261" s="10" t="inlineStr">
        <is>
          <t xml:space="preserve">                "events": events,</t>
        </is>
      </c>
    </row>
    <row r="262">
      <c r="A262" s="7" t="n">
        <v>259</v>
      </c>
      <c r="B262" s="8" t="inlineStr">
        <is>
          <t xml:space="preserve">                "language": language,</t>
        </is>
      </c>
    </row>
    <row r="263">
      <c r="A263" s="9" t="n">
        <v>260</v>
      </c>
      <c r="B263" s="10" t="inlineStr">
        <is>
          <t xml:space="preserve">                "raw_text": raw_text,</t>
        </is>
      </c>
    </row>
    <row r="264">
      <c r="A264" s="7" t="n">
        <v>261</v>
      </c>
      <c r="B264" s="8" t="inlineStr">
        <is>
          <t xml:space="preserve">            }</t>
        </is>
      </c>
    </row>
    <row r="265">
      <c r="A265" s="9" t="n">
        <v>262</v>
      </c>
      <c r="B265" s="10" t="inlineStr"/>
    </row>
    <row r="266">
      <c r="A266" s="7" t="n">
        <v>263</v>
      </c>
      <c r="B266" s="8" t="inlineStr">
        <is>
          <t xml:space="preserve">        except Exception as e:</t>
        </is>
      </c>
    </row>
    <row r="267">
      <c r="A267" s="9" t="n">
        <v>264</v>
      </c>
      <c r="B267" s="10" t="inlineStr">
        <is>
          <t xml:space="preserve">            raise RuntimeError(f"SenseVoice 推理失败: {e}") from e</t>
        </is>
      </c>
    </row>
    <row r="268">
      <c r="A268" s="7" t="n">
        <v>265</v>
      </c>
      <c r="B268" s="8" t="inlineStr"/>
    </row>
    <row r="269">
      <c r="A269" s="9" t="n">
        <v>266</v>
      </c>
      <c r="B269" s="10" t="inlineStr">
        <is>
          <t xml:space="preserve">    def _clean_text(self, raw: str) -&gt; str:</t>
        </is>
      </c>
    </row>
    <row r="270">
      <c r="A270" s="7" t="n">
        <v>267</v>
      </c>
      <c r="B270" s="8" t="inlineStr">
        <is>
          <t xml:space="preserve">        """移除 SenseVoice 特殊 Token，保留纯文本"""</t>
        </is>
      </c>
    </row>
    <row r="271">
      <c r="A271" s="9" t="n">
        <v>268</v>
      </c>
      <c r="B271" s="10" t="inlineStr">
        <is>
          <t xml:space="preserve">        text = raw</t>
        </is>
      </c>
    </row>
    <row r="272">
      <c r="A272" s="7" t="n">
        <v>269</v>
      </c>
      <c r="B272" s="8" t="inlineStr">
        <is>
          <t xml:space="preserve">        for tok in self.ALL_SPECIAL:</t>
        </is>
      </c>
    </row>
    <row r="273">
      <c r="A273" s="9" t="n">
        <v>270</v>
      </c>
      <c r="B273" s="10" t="inlineStr">
        <is>
          <t xml:space="preserve">            text = text.replace(tok, "")</t>
        </is>
      </c>
    </row>
    <row r="274">
      <c r="A274" s="7" t="n">
        <v>271</v>
      </c>
      <c r="B274" s="8" t="inlineStr">
        <is>
          <t xml:space="preserve">        # 移除多余空格</t>
        </is>
      </c>
    </row>
    <row r="275">
      <c r="A275" s="9" t="n">
        <v>272</v>
      </c>
      <c r="B275" s="10" t="inlineStr">
        <is>
          <t xml:space="preserve">        text = re.sub(r'\s+', ' ', text).strip()</t>
        </is>
      </c>
    </row>
    <row r="276">
      <c r="A276" s="7" t="n">
        <v>273</v>
      </c>
      <c r="B276" s="8" t="inlineStr">
        <is>
          <t xml:space="preserve">        return text</t>
        </is>
      </c>
    </row>
    <row r="277">
      <c r="A277" s="9" t="n">
        <v>274</v>
      </c>
      <c r="B277" s="10" t="inlineStr"/>
    </row>
    <row r="278">
      <c r="A278" s="7" t="n">
        <v>275</v>
      </c>
      <c r="B278" s="8" t="inlineStr"/>
    </row>
    <row r="279">
      <c r="A279" s="9" t="n">
        <v>276</v>
      </c>
      <c r="B279" s="10" t="inlineStr">
        <is>
          <t># ═══════════════════════════════════════════</t>
        </is>
      </c>
    </row>
    <row r="280">
      <c r="A280" s="7" t="n">
        <v>277</v>
      </c>
      <c r="B280" s="8" t="inlineStr">
        <is>
          <t># Whisper — 语音转文字 (强制)</t>
        </is>
      </c>
    </row>
    <row r="281">
      <c r="A281" s="9" t="n">
        <v>278</v>
      </c>
      <c r="B281" s="10" t="inlineStr">
        <is>
          <t># ═══════════════════════════════════════════</t>
        </is>
      </c>
    </row>
    <row r="282">
      <c r="A282" s="7" t="n">
        <v>279</v>
      </c>
      <c r="B282" s="8" t="inlineStr"/>
    </row>
    <row r="283">
      <c r="A283" s="9" t="n">
        <v>280</v>
      </c>
      <c r="B283" s="10" t="inlineStr">
        <is>
          <t>class WhisperModel:</t>
        </is>
      </c>
    </row>
    <row r="284">
      <c r="A284" s="7" t="n">
        <v>281</v>
      </c>
      <c r="B284" s="8" t="inlineStr">
        <is>
          <t xml:space="preserve">    """Faster-Whisper large-v3 — 强制语音转文字，不可用即抛异常"""</t>
        </is>
      </c>
    </row>
    <row r="285">
      <c r="A285" s="9" t="n">
        <v>282</v>
      </c>
      <c r="B285" s="10" t="inlineStr"/>
    </row>
    <row r="286">
      <c r="A286" s="7" t="n">
        <v>283</v>
      </c>
      <c r="B286" s="8" t="inlineStr">
        <is>
          <t xml:space="preserve">    def __init__(self, model_size: str = "large-v3", device: str = "cpu",</t>
        </is>
      </c>
    </row>
    <row r="287">
      <c r="A287" s="9" t="n">
        <v>284</v>
      </c>
      <c r="B287" s="10" t="inlineStr">
        <is>
          <t xml:space="preserve">                 compute_type: str = "int8"):</t>
        </is>
      </c>
    </row>
    <row r="288">
      <c r="A288" s="7" t="n">
        <v>285</v>
      </c>
      <c r="B288" s="8" t="inlineStr">
        <is>
          <t xml:space="preserve">        self.model_size = model_size</t>
        </is>
      </c>
    </row>
    <row r="289">
      <c r="A289" s="9" t="n">
        <v>286</v>
      </c>
      <c r="B289" s="10" t="inlineStr">
        <is>
          <t xml:space="preserve">        self.device = device</t>
        </is>
      </c>
    </row>
    <row r="290">
      <c r="A290" s="7" t="n">
        <v>287</v>
      </c>
      <c r="B290" s="8" t="inlineStr">
        <is>
          <t xml:space="preserve">        self.compute_type = compute_type</t>
        </is>
      </c>
    </row>
    <row r="291">
      <c r="A291" s="9" t="n">
        <v>288</v>
      </c>
      <c r="B291" s="10" t="inlineStr">
        <is>
          <t xml:space="preserve">        self._model = None</t>
        </is>
      </c>
    </row>
    <row r="292">
      <c r="A292" s="7" t="n">
        <v>289</v>
      </c>
      <c r="B292" s="8" t="inlineStr">
        <is>
          <t xml:space="preserve">        self._loaded = False</t>
        </is>
      </c>
    </row>
    <row r="293">
      <c r="A293" s="9" t="n">
        <v>290</v>
      </c>
      <c r="B293" s="10" t="inlineStr"/>
    </row>
    <row r="294">
      <c r="A294" s="7" t="n">
        <v>291</v>
      </c>
      <c r="B294" s="8" t="inlineStr">
        <is>
          <t xml:space="preserve">    def _lazy_load(self):</t>
        </is>
      </c>
    </row>
    <row r="295">
      <c r="A295" s="9" t="n">
        <v>292</v>
      </c>
      <c r="B295" s="10" t="inlineStr">
        <is>
          <t xml:space="preserve">        if self._loaded:</t>
        </is>
      </c>
    </row>
    <row r="296">
      <c r="A296" s="7" t="n">
        <v>293</v>
      </c>
      <c r="B296" s="8" t="inlineStr">
        <is>
          <t xml:space="preserve">            return</t>
        </is>
      </c>
    </row>
    <row r="297">
      <c r="A297" s="9" t="n">
        <v>294</v>
      </c>
      <c r="B297" s="10" t="inlineStr">
        <is>
          <t xml:space="preserve">        try:</t>
        </is>
      </c>
    </row>
    <row r="298">
      <c r="A298" s="7" t="n">
        <v>295</v>
      </c>
      <c r="B298" s="8" t="inlineStr">
        <is>
          <t xml:space="preserve">            from faster_whisper import WhisperModel as FWModel</t>
        </is>
      </c>
    </row>
    <row r="299">
      <c r="A299" s="9" t="n">
        <v>296</v>
      </c>
      <c r="B299" s="10" t="inlineStr">
        <is>
          <t xml:space="preserve">            print(f"   [Whisper] 加载 {self.model_size} ({self.device}, {self.compute_type})...")</t>
        </is>
      </c>
    </row>
    <row r="300">
      <c r="A300" s="7" t="n">
        <v>297</v>
      </c>
      <c r="B300" s="8" t="inlineStr">
        <is>
          <t xml:space="preserve">            self._model = FWModel(self.model_size, device=self.device,</t>
        </is>
      </c>
    </row>
    <row r="301">
      <c r="A301" s="9" t="n">
        <v>298</v>
      </c>
      <c r="B301" s="10" t="inlineStr">
        <is>
          <t xml:space="preserve">                                  compute_type=self.compute_type)</t>
        </is>
      </c>
    </row>
    <row r="302">
      <c r="A302" s="7" t="n">
        <v>299</v>
      </c>
      <c r="B302" s="8" t="inlineStr">
        <is>
          <t xml:space="preserve">            self._loaded = True</t>
        </is>
      </c>
    </row>
    <row r="303">
      <c r="A303" s="9" t="n">
        <v>300</v>
      </c>
      <c r="B303" s="10" t="inlineStr">
        <is>
          <t xml:space="preserve">            print(f"   [Whisper] 加载成功")</t>
        </is>
      </c>
    </row>
    <row r="304">
      <c r="A304" s="7" t="n">
        <v>301</v>
      </c>
      <c r="B304" s="8" t="inlineStr">
        <is>
          <t xml:space="preserve">        except ImportError:</t>
        </is>
      </c>
    </row>
    <row r="305">
      <c r="A305" s="9" t="n">
        <v>302</v>
      </c>
      <c r="B305" s="10" t="inlineStr">
        <is>
          <t xml:space="preserve">            raise RuntimeError(</t>
        </is>
      </c>
    </row>
    <row r="306">
      <c r="A306" s="7" t="n">
        <v>303</v>
      </c>
      <c r="B306" s="8" t="inlineStr">
        <is>
          <t xml:space="preserve">                f"faster-whisper 未安装\n{WHISPER_FIX}"</t>
        </is>
      </c>
    </row>
    <row r="307">
      <c r="A307" s="9" t="n">
        <v>304</v>
      </c>
      <c r="B307" s="10" t="inlineStr">
        <is>
          <t xml:space="preserve">            )</t>
        </is>
      </c>
    </row>
    <row r="308">
      <c r="A308" s="7" t="n">
        <v>305</v>
      </c>
      <c r="B308" s="8" t="inlineStr">
        <is>
          <t xml:space="preserve">        except Exception as e:</t>
        </is>
      </c>
    </row>
    <row r="309">
      <c r="A309" s="9" t="n">
        <v>306</v>
      </c>
      <c r="B309" s="10" t="inlineStr">
        <is>
          <t xml:space="preserve">            raise RuntimeError(</t>
        </is>
      </c>
    </row>
    <row r="310">
      <c r="A310" s="7" t="n">
        <v>307</v>
      </c>
      <c r="B310" s="8" t="inlineStr">
        <is>
          <t xml:space="preserve">                f"Whisper 模型加载失败: {e}\n{WHISPER_FIX}"</t>
        </is>
      </c>
    </row>
    <row r="311">
      <c r="A311" s="9" t="n">
        <v>308</v>
      </c>
      <c r="B311" s="10" t="inlineStr">
        <is>
          <t xml:space="preserve">            ) from e</t>
        </is>
      </c>
    </row>
    <row r="312">
      <c r="A312" s="7" t="n">
        <v>309</v>
      </c>
      <c r="B312" s="8" t="inlineStr"/>
    </row>
    <row r="313">
      <c r="A313" s="9" t="n">
        <v>310</v>
      </c>
      <c r="B313" s="10" t="inlineStr">
        <is>
          <t xml:space="preserve">    @property</t>
        </is>
      </c>
    </row>
    <row r="314">
      <c r="A314" s="7" t="n">
        <v>311</v>
      </c>
      <c r="B314" s="8" t="inlineStr">
        <is>
          <t xml:space="preserve">    def available(self) -&gt; bool:</t>
        </is>
      </c>
    </row>
    <row r="315">
      <c r="A315" s="9" t="n">
        <v>312</v>
      </c>
      <c r="B315" s="10" t="inlineStr">
        <is>
          <t xml:space="preserve">        return self._loaded and self._model is not None</t>
        </is>
      </c>
    </row>
    <row r="316">
      <c r="A316" s="7" t="n">
        <v>313</v>
      </c>
      <c r="B316" s="8" t="inlineStr"/>
    </row>
    <row r="317">
      <c r="A317" s="9" t="n">
        <v>314</v>
      </c>
      <c r="B317" s="10" t="inlineStr">
        <is>
          <t xml:space="preserve">    def transcribe(self, video_path: str) -&gt; AudioResult:</t>
        </is>
      </c>
    </row>
    <row r="318">
      <c r="A318" s="7" t="n">
        <v>315</v>
      </c>
      <c r="B318" s="8" t="inlineStr">
        <is>
          <t xml:space="preserve">        """提取音频并转写 — v14.0: 增加缓存支持"""</t>
        </is>
      </c>
    </row>
    <row r="319">
      <c r="A319" s="9" t="n">
        <v>316</v>
      </c>
      <c r="B319" s="10" t="inlineStr">
        <is>
          <t xml:space="preserve">        result = AudioResult()</t>
        </is>
      </c>
    </row>
    <row r="320">
      <c r="A320" s="7" t="n">
        <v>317</v>
      </c>
      <c r="B320" s="8" t="inlineStr"/>
    </row>
    <row r="321">
      <c r="A321" s="9" t="n">
        <v>318</v>
      </c>
      <c r="B321" s="10" t="inlineStr">
        <is>
          <t xml:space="preserve">        if not self.available:</t>
        </is>
      </c>
    </row>
    <row r="322">
      <c r="A322" s="7" t="n">
        <v>319</v>
      </c>
      <c r="B322" s="8" t="inlineStr">
        <is>
          <t xml:space="preserve">            self._lazy_load()</t>
        </is>
      </c>
    </row>
    <row r="323">
      <c r="A323" s="9" t="n">
        <v>320</v>
      </c>
      <c r="B323" s="10" t="inlineStr">
        <is>
          <t xml:space="preserve">        if not self.available:</t>
        </is>
      </c>
    </row>
    <row r="324">
      <c r="A324" s="7" t="n">
        <v>321</v>
      </c>
      <c r="B324" s="8" t="inlineStr">
        <is>
          <t xml:space="preserve">            raise RuntimeError("Whisper 模型未加载")</t>
        </is>
      </c>
    </row>
    <row r="325">
      <c r="A325" s="9" t="n">
        <v>322</v>
      </c>
      <c r="B325" s="10" t="inlineStr"/>
    </row>
    <row r="326">
      <c r="A326" s="7" t="n">
        <v>323</v>
      </c>
      <c r="B326" s="8" t="inlineStr">
        <is>
          <t xml:space="preserve">        # ★ v14.0: 缓存检查</t>
        </is>
      </c>
    </row>
    <row r="327">
      <c r="A327" s="9" t="n">
        <v>324</v>
      </c>
      <c r="B327" s="10" t="inlineStr">
        <is>
          <t xml:space="preserve">        try:</t>
        </is>
      </c>
    </row>
    <row r="328">
      <c r="A328" s="7" t="n">
        <v>325</v>
      </c>
      <c r="B328" s="8" t="inlineStr">
        <is>
          <t xml:space="preserve">            from utils.cache_manager import get_cache_manager</t>
        </is>
      </c>
    </row>
    <row r="329">
      <c r="A329" s="9" t="n">
        <v>326</v>
      </c>
      <c r="B329" s="10" t="inlineStr">
        <is>
          <t xml:space="preserve">            cm = get_cache_manager()</t>
        </is>
      </c>
    </row>
    <row r="330">
      <c r="A330" s="7" t="n">
        <v>327</v>
      </c>
      <c r="B330" s="8" t="inlineStr">
        <is>
          <t xml:space="preserve">            cached = cm.get(video_path, "whisper_transcribe")</t>
        </is>
      </c>
    </row>
    <row r="331">
      <c r="A331" s="9" t="n">
        <v>328</v>
      </c>
      <c r="B331" s="10" t="inlineStr">
        <is>
          <t xml:space="preserve">            if cached:</t>
        </is>
      </c>
    </row>
    <row r="332">
      <c r="A332" s="7" t="n">
        <v>329</v>
      </c>
      <c r="B332" s="8" t="inlineStr">
        <is>
          <t xml:space="preserve">                result.segments = cached.get("segments", [])</t>
        </is>
      </c>
    </row>
    <row r="333">
      <c r="A333" s="9" t="n">
        <v>330</v>
      </c>
      <c r="B333" s="10" t="inlineStr">
        <is>
          <t xml:space="preserve">                result.transcript = cached.get("transcript", "")</t>
        </is>
      </c>
    </row>
    <row r="334">
      <c r="A334" s="7" t="n">
        <v>331</v>
      </c>
      <c r="B334" s="8" t="inlineStr">
        <is>
          <t xml:space="preserve">                result.language = cached.get("language", "zh")</t>
        </is>
      </c>
    </row>
    <row r="335">
      <c r="A335" s="9" t="n">
        <v>332</v>
      </c>
      <c r="B335" s="10" t="inlineStr">
        <is>
          <t xml:space="preserve">                result.has_speech = len(result.segments) &gt; 0</t>
        </is>
      </c>
    </row>
    <row r="336">
      <c r="A336" s="7" t="n">
        <v>333</v>
      </c>
      <c r="B336" s="8" t="inlineStr">
        <is>
          <t xml:space="preserve">                _log.info(f"Whisper转写命中缓存: {len(result.segments)}段")</t>
        </is>
      </c>
    </row>
    <row r="337">
      <c r="A337" s="9" t="n">
        <v>334</v>
      </c>
      <c r="B337" s="10" t="inlineStr">
        <is>
          <t xml:space="preserve">                return result</t>
        </is>
      </c>
    </row>
    <row r="338">
      <c r="A338" s="7" t="n">
        <v>335</v>
      </c>
      <c r="B338" s="8" t="inlineStr">
        <is>
          <t xml:space="preserve">        except ImportError:</t>
        </is>
      </c>
    </row>
    <row r="339">
      <c r="A339" s="9" t="n">
        <v>336</v>
      </c>
      <c r="B339" s="10" t="inlineStr">
        <is>
          <t xml:space="preserve">            pass</t>
        </is>
      </c>
    </row>
    <row r="340">
      <c r="A340" s="7" t="n">
        <v>337</v>
      </c>
      <c r="B340" s="8" t="inlineStr"/>
    </row>
    <row r="341">
      <c r="A341" s="9" t="n">
        <v>338</v>
      </c>
      <c r="B341" s="10" t="inlineStr">
        <is>
          <t xml:space="preserve">        audio_path = _extract_audio(video_path)</t>
        </is>
      </c>
    </row>
    <row r="342">
      <c r="A342" s="7" t="n">
        <v>339</v>
      </c>
      <c r="B342" s="8" t="inlineStr">
        <is>
          <t xml:space="preserve">        if not audio_path:</t>
        </is>
      </c>
    </row>
    <row r="343">
      <c r="A343" s="9" t="n">
        <v>340</v>
      </c>
      <c r="B343" s="10" t="inlineStr">
        <is>
          <t xml:space="preserve">            raise RuntimeError(</t>
        </is>
      </c>
    </row>
    <row r="344">
      <c r="A344" s="7" t="n">
        <v>341</v>
      </c>
      <c r="B344" s="8" t="inlineStr">
        <is>
          <t xml:space="preserve">                f"无法从视频提取音频: {video_path}\n"</t>
        </is>
      </c>
    </row>
    <row r="345">
      <c r="A345" s="9" t="n">
        <v>342</v>
      </c>
      <c r="B345" s="10" t="inlineStr">
        <is>
          <t xml:space="preserve">                f"请确认 ffmpeg 已安装并可用。"</t>
        </is>
      </c>
    </row>
    <row r="346">
      <c r="A346" s="7" t="n">
        <v>343</v>
      </c>
      <c r="B346" s="8" t="inlineStr">
        <is>
          <t xml:space="preserve">            )</t>
        </is>
      </c>
    </row>
    <row r="347">
      <c r="A347" s="9" t="n">
        <v>344</v>
      </c>
      <c r="B347" s="10" t="inlineStr"/>
    </row>
    <row r="348">
      <c r="A348" s="7" t="n">
        <v>345</v>
      </c>
      <c r="B348" s="8" t="inlineStr">
        <is>
          <t xml:space="preserve">        try:</t>
        </is>
      </c>
    </row>
    <row r="349">
      <c r="A349" s="9" t="n">
        <v>346</v>
      </c>
      <c r="B349" s="10" t="inlineStr">
        <is>
          <t xml:space="preserve">            segments, info = self._model.transcribe(audio_path, beam_size=5, language="zh")</t>
        </is>
      </c>
    </row>
    <row r="350">
      <c r="A350" s="7" t="n">
        <v>347</v>
      </c>
      <c r="B350" s="8" t="inlineStr">
        <is>
          <t xml:space="preserve">            segs = []</t>
        </is>
      </c>
    </row>
    <row r="351">
      <c r="A351" s="9" t="n">
        <v>348</v>
      </c>
      <c r="B351" s="10" t="inlineStr">
        <is>
          <t xml:space="preserve">            texts = []</t>
        </is>
      </c>
    </row>
    <row r="352">
      <c r="A352" s="7" t="n">
        <v>349</v>
      </c>
      <c r="B352" s="8" t="inlineStr">
        <is>
          <t xml:space="preserve">            for seg in segments:</t>
        </is>
      </c>
    </row>
    <row r="353">
      <c r="A353" s="9" t="n">
        <v>350</v>
      </c>
      <c r="B353" s="10" t="inlineStr">
        <is>
          <t xml:space="preserve">                segs.append({"start": seg.start, "end": seg.end, "text": seg.text.strip()})</t>
        </is>
      </c>
    </row>
    <row r="354">
      <c r="A354" s="7" t="n">
        <v>351</v>
      </c>
      <c r="B354" s="8" t="inlineStr">
        <is>
          <t xml:space="preserve">                texts.append(seg.text.strip())</t>
        </is>
      </c>
    </row>
    <row r="355">
      <c r="A355" s="9" t="n">
        <v>352</v>
      </c>
      <c r="B355" s="10" t="inlineStr">
        <is>
          <t xml:space="preserve">            result.segments = segs</t>
        </is>
      </c>
    </row>
    <row r="356">
      <c r="A356" s="7" t="n">
        <v>353</v>
      </c>
      <c r="B356" s="8" t="inlineStr">
        <is>
          <t xml:space="preserve">            result.transcript = " ".join(texts)</t>
        </is>
      </c>
    </row>
    <row r="357">
      <c r="A357" s="9" t="n">
        <v>354</v>
      </c>
      <c r="B357" s="10" t="inlineStr">
        <is>
          <t xml:space="preserve">            result.language = info.language</t>
        </is>
      </c>
    </row>
    <row r="358">
      <c r="A358" s="7" t="n">
        <v>355</v>
      </c>
      <c r="B358" s="8" t="inlineStr">
        <is>
          <t xml:space="preserve">            result.speech_confidence = info.language_probability</t>
        </is>
      </c>
    </row>
    <row r="359">
      <c r="A359" s="9" t="n">
        <v>356</v>
      </c>
      <c r="B359" s="10" t="inlineStr">
        <is>
          <t xml:space="preserve">            result.has_speech = len(texts) &gt; 0</t>
        </is>
      </c>
    </row>
    <row r="360">
      <c r="A360" s="7" t="n">
        <v>357</v>
      </c>
      <c r="B360" s="8" t="inlineStr"/>
    </row>
    <row r="361">
      <c r="A361" s="9" t="n">
        <v>358</v>
      </c>
      <c r="B361" s="10" t="inlineStr">
        <is>
          <t xml:space="preserve">            # ★ v14.0: 写入缓存</t>
        </is>
      </c>
    </row>
    <row r="362">
      <c r="A362" s="7" t="n">
        <v>359</v>
      </c>
      <c r="B362" s="8" t="inlineStr">
        <is>
          <t xml:space="preserve">            try:</t>
        </is>
      </c>
    </row>
    <row r="363">
      <c r="A363" s="9" t="n">
        <v>360</v>
      </c>
      <c r="B363" s="10" t="inlineStr">
        <is>
          <t xml:space="preserve">                from utils.cache_manager import get_cache_manager</t>
        </is>
      </c>
    </row>
    <row r="364">
      <c r="A364" s="7" t="n">
        <v>361</v>
      </c>
      <c r="B364" s="8" t="inlineStr">
        <is>
          <t xml:space="preserve">                cm = get_cache_manager()</t>
        </is>
      </c>
    </row>
    <row r="365">
      <c r="A365" s="9" t="n">
        <v>362</v>
      </c>
      <c r="B365" s="10" t="inlineStr">
        <is>
          <t xml:space="preserve">                cm.set(video_path, "whisper_transcribe", {</t>
        </is>
      </c>
    </row>
    <row r="366">
      <c r="A366" s="7" t="n">
        <v>363</v>
      </c>
      <c r="B366" s="8" t="inlineStr">
        <is>
          <t xml:space="preserve">                    "segments": segs, "transcript": result.transcript,</t>
        </is>
      </c>
    </row>
    <row r="367">
      <c r="A367" s="9" t="n">
        <v>364</v>
      </c>
      <c r="B367" s="10" t="inlineStr">
        <is>
          <t xml:space="preserve">                    "language": result.language,</t>
        </is>
      </c>
    </row>
    <row r="368">
      <c r="A368" s="7" t="n">
        <v>365</v>
      </c>
      <c r="B368" s="8" t="inlineStr">
        <is>
          <t xml:space="preserve">                })</t>
        </is>
      </c>
    </row>
    <row r="369">
      <c r="A369" s="9" t="n">
        <v>366</v>
      </c>
      <c r="B369" s="10" t="inlineStr">
        <is>
          <t xml:space="preserve">            except ImportError:</t>
        </is>
      </c>
    </row>
    <row r="370">
      <c r="A370" s="7" t="n">
        <v>367</v>
      </c>
      <c r="B370" s="8" t="inlineStr">
        <is>
          <t xml:space="preserve">                pass</t>
        </is>
      </c>
    </row>
    <row r="371">
      <c r="A371" s="9" t="n">
        <v>368</v>
      </c>
      <c r="B371" s="10" t="inlineStr">
        <is>
          <t xml:space="preserve">        except Exception as e:</t>
        </is>
      </c>
    </row>
    <row r="372">
      <c r="A372" s="7" t="n">
        <v>369</v>
      </c>
      <c r="B372" s="8" t="inlineStr">
        <is>
          <t xml:space="preserve">            error_msg = str(e)</t>
        </is>
      </c>
    </row>
    <row r="373">
      <c r="A373" s="9" t="n">
        <v>370</v>
      </c>
      <c r="B373" s="10" t="inlineStr">
        <is>
          <t xml:space="preserve">            # ★ v14.1: OOM自动降级重试</t>
        </is>
      </c>
    </row>
    <row r="374">
      <c r="A374" s="7" t="n">
        <v>371</v>
      </c>
      <c r="B374" s="8" t="inlineStr">
        <is>
          <t xml:space="preserve">            if ("out of memory" in error_msg.lower() or "cuda" in error_msg.lower()):</t>
        </is>
      </c>
    </row>
    <row r="375">
      <c r="A375" s="9" t="n">
        <v>372</v>
      </c>
      <c r="B375" s="10" t="inlineStr">
        <is>
          <t xml:space="preserve">                _log.warning(f"Whisper OOM/GPU错误，尝试INT8降级重试... ({error_msg[:80]})")</t>
        </is>
      </c>
    </row>
    <row r="376">
      <c r="A376" s="7" t="n">
        <v>373</v>
      </c>
      <c r="B376" s="8" t="inlineStr">
        <is>
          <t xml:space="preserve">                try:</t>
        </is>
      </c>
    </row>
    <row r="377">
      <c r="A377" s="9" t="n">
        <v>374</v>
      </c>
      <c r="B377" s="10" t="inlineStr">
        <is>
          <t xml:space="preserve">                    from utils.vram_manager import check_vram</t>
        </is>
      </c>
    </row>
    <row r="378">
      <c r="A378" s="7" t="n">
        <v>375</v>
      </c>
      <c r="B378" s="8" t="inlineStr">
        <is>
          <t xml:space="preserve">                    # 切换为最轻量化模式</t>
        </is>
      </c>
    </row>
    <row r="379">
      <c r="A379" s="9" t="n">
        <v>376</v>
      </c>
      <c r="B379" s="10" t="inlineStr">
        <is>
          <t xml:space="preserve">                    self._model = FWModel(self.model_size, device=self.device,</t>
        </is>
      </c>
    </row>
    <row r="380">
      <c r="A380" s="7" t="n">
        <v>377</v>
      </c>
      <c r="B380" s="8" t="inlineStr">
        <is>
          <t xml:space="preserve">                                          compute_type="int8", cpu_threads=4)</t>
        </is>
      </c>
    </row>
    <row r="381">
      <c r="A381" s="9" t="n">
        <v>378</v>
      </c>
      <c r="B381" s="10" t="inlineStr">
        <is>
          <t xml:space="preserve">                    segments, info = self._model.transcribe(audio_path, beam_size=3, language="zh",</t>
        </is>
      </c>
    </row>
    <row r="382">
      <c r="A382" s="7" t="n">
        <v>379</v>
      </c>
      <c r="B382" s="8" t="inlineStr">
        <is>
          <t xml:space="preserve">                                                            vad_filter=True)</t>
        </is>
      </c>
    </row>
    <row r="383">
      <c r="A383" s="9" t="n">
        <v>380</v>
      </c>
      <c r="B383" s="10" t="inlineStr">
        <is>
          <t xml:space="preserve">                    segs2, texts2 = [], []</t>
        </is>
      </c>
    </row>
    <row r="384">
      <c r="A384" s="7" t="n">
        <v>381</v>
      </c>
      <c r="B384" s="8" t="inlineStr">
        <is>
          <t xml:space="preserve">                    for seg in segments:</t>
        </is>
      </c>
    </row>
    <row r="385">
      <c r="A385" s="9" t="n">
        <v>382</v>
      </c>
      <c r="B385" s="10" t="inlineStr">
        <is>
          <t xml:space="preserve">                        segs2.append({"start": seg.start, "end": seg.end, "text": seg.text.strip()})</t>
        </is>
      </c>
    </row>
    <row r="386">
      <c r="A386" s="7" t="n">
        <v>383</v>
      </c>
      <c r="B386" s="8" t="inlineStr">
        <is>
          <t xml:space="preserve">                        texts2.append(seg.text.strip())</t>
        </is>
      </c>
    </row>
    <row r="387">
      <c r="A387" s="9" t="n">
        <v>384</v>
      </c>
      <c r="B387" s="10" t="inlineStr">
        <is>
          <t xml:space="preserve">                    result.segments = segs2</t>
        </is>
      </c>
    </row>
    <row r="388">
      <c r="A388" s="7" t="n">
        <v>385</v>
      </c>
      <c r="B388" s="8" t="inlineStr">
        <is>
          <t xml:space="preserve">                    result.transcript = " ".join(texts2)</t>
        </is>
      </c>
    </row>
    <row r="389">
      <c r="A389" s="9" t="n">
        <v>386</v>
      </c>
      <c r="B389" s="10" t="inlineStr">
        <is>
          <t xml:space="preserve">                    result.language = info.language</t>
        </is>
      </c>
    </row>
    <row r="390">
      <c r="A390" s="7" t="n">
        <v>387</v>
      </c>
      <c r="B390" s="8" t="inlineStr">
        <is>
          <t xml:space="preserve">                    result.has_speech = len(texts2) &gt; 0</t>
        </is>
      </c>
    </row>
    <row r="391">
      <c r="A391" s="9" t="n">
        <v>388</v>
      </c>
      <c r="B391" s="10" t="inlineStr">
        <is>
          <t xml:space="preserve">                    _log.info(f"降级Whisper完成: {len(segs2)}段 (INT8模式)")</t>
        </is>
      </c>
    </row>
    <row r="392">
      <c r="A392" s="7" t="n">
        <v>389</v>
      </c>
      <c r="B392" s="8" t="inlineStr">
        <is>
          <t xml:space="preserve">                except Exception as e2:</t>
        </is>
      </c>
    </row>
    <row r="393">
      <c r="A393" s="9" t="n">
        <v>390</v>
      </c>
      <c r="B393" s="10" t="inlineStr">
        <is>
          <t xml:space="preserve">                    raise RuntimeError(f"Whisper降级重试也失败: {e2}") from e2</t>
        </is>
      </c>
    </row>
    <row r="394">
      <c r="A394" s="7" t="n">
        <v>391</v>
      </c>
      <c r="B394" s="8" t="inlineStr">
        <is>
          <t xml:space="preserve">            else:</t>
        </is>
      </c>
    </row>
    <row r="395">
      <c r="A395" s="9" t="n">
        <v>392</v>
      </c>
      <c r="B395" s="10" t="inlineStr">
        <is>
          <t xml:space="preserve">                raise RuntimeError(f"Whisper 转写失败: {e}") from e</t>
        </is>
      </c>
    </row>
    <row r="396">
      <c r="A396" s="7" t="n">
        <v>393</v>
      </c>
      <c r="B396" s="8" t="inlineStr">
        <is>
          <t xml:space="preserve">        finally:</t>
        </is>
      </c>
    </row>
    <row r="397">
      <c r="A397" s="9" t="n">
        <v>394</v>
      </c>
      <c r="B397" s="10" t="inlineStr">
        <is>
          <t xml:space="preserve">            if audio_path and os.path.exists(audio_path):</t>
        </is>
      </c>
    </row>
    <row r="398">
      <c r="A398" s="7" t="n">
        <v>395</v>
      </c>
      <c r="B398" s="8" t="inlineStr">
        <is>
          <t xml:space="preserve">                os.remove(audio_path)</t>
        </is>
      </c>
    </row>
    <row r="399">
      <c r="A399" s="9" t="n">
        <v>396</v>
      </c>
      <c r="B399" s="10" t="inlineStr"/>
    </row>
    <row r="400">
      <c r="A400" s="7" t="n">
        <v>397</v>
      </c>
      <c r="B400" s="8" t="inlineStr">
        <is>
          <t xml:space="preserve">        return result</t>
        </is>
      </c>
    </row>
    <row r="401">
      <c r="A401" s="9" t="n">
        <v>398</v>
      </c>
      <c r="B401" s="10" t="inlineStr"/>
    </row>
    <row r="402">
      <c r="A402" s="7" t="n">
        <v>399</v>
      </c>
      <c r="B402" s="8" t="inlineStr"/>
    </row>
    <row r="403">
      <c r="A403" s="9" t="n">
        <v>400</v>
      </c>
      <c r="B403" s="10" t="inlineStr">
        <is>
          <t># ═══════════════════════════════════════════</t>
        </is>
      </c>
    </row>
    <row r="404">
      <c r="A404" s="7" t="n">
        <v>401</v>
      </c>
      <c r="B404" s="8" t="inlineStr">
        <is>
          <t># AudioClassifier — librosa 启发式 (辅助)</t>
        </is>
      </c>
    </row>
    <row r="405">
      <c r="A405" s="9" t="n">
        <v>402</v>
      </c>
      <c r="B405" s="10" t="inlineStr">
        <is>
          <t># ═══════════════════════════════════════════</t>
        </is>
      </c>
    </row>
    <row r="406">
      <c r="A406" s="7" t="n">
        <v>403</v>
      </c>
      <c r="B406" s="8" t="inlineStr"/>
    </row>
    <row r="407">
      <c r="A407" s="9" t="n">
        <v>404</v>
      </c>
      <c r="B407" s="10" t="inlineStr">
        <is>
          <t>class AudioClassifier:</t>
        </is>
      </c>
    </row>
    <row r="408">
      <c r="A408" s="7" t="n">
        <v>405</v>
      </c>
      <c r="B408" s="8" t="inlineStr">
        <is>
          <t xml:space="preserve">    """音频分类器 — 启发式音乐/语音/笑声检测 (辅助 SenseVoice)"""</t>
        </is>
      </c>
    </row>
    <row r="409">
      <c r="A409" s="9" t="n">
        <v>406</v>
      </c>
      <c r="B409" s="10" t="inlineStr"/>
    </row>
    <row r="410">
      <c r="A410" s="7" t="n">
        <v>407</v>
      </c>
      <c r="B410" s="8" t="inlineStr">
        <is>
          <t xml:space="preserve">    def __init__(self):</t>
        </is>
      </c>
    </row>
    <row r="411">
      <c r="A411" s="9" t="n">
        <v>408</v>
      </c>
      <c r="B411" s="10" t="inlineStr">
        <is>
          <t xml:space="preserve">        self._librosa = None</t>
        </is>
      </c>
    </row>
    <row r="412">
      <c r="A412" s="7" t="n">
        <v>409</v>
      </c>
      <c r="B412" s="8" t="inlineStr">
        <is>
          <t xml:space="preserve">        self._np = None</t>
        </is>
      </c>
    </row>
    <row r="413">
      <c r="A413" s="9" t="n">
        <v>410</v>
      </c>
      <c r="B413" s="10" t="inlineStr">
        <is>
          <t xml:space="preserve">        try:</t>
        </is>
      </c>
    </row>
    <row r="414">
      <c r="A414" s="7" t="n">
        <v>411</v>
      </c>
      <c r="B414" s="8" t="inlineStr">
        <is>
          <t xml:space="preserve">            import librosa</t>
        </is>
      </c>
    </row>
    <row r="415">
      <c r="A415" s="9" t="n">
        <v>412</v>
      </c>
      <c r="B415" s="10" t="inlineStr">
        <is>
          <t xml:space="preserve">            import numpy as np</t>
        </is>
      </c>
    </row>
    <row r="416">
      <c r="A416" s="7" t="n">
        <v>413</v>
      </c>
      <c r="B416" s="8" t="inlineStr">
        <is>
          <t xml:space="preserve">            self._librosa = librosa</t>
        </is>
      </c>
    </row>
    <row r="417">
      <c r="A417" s="9" t="n">
        <v>414</v>
      </c>
      <c r="B417" s="10" t="inlineStr">
        <is>
          <t xml:space="preserve">            self._np = np</t>
        </is>
      </c>
    </row>
    <row r="418">
      <c r="A418" s="7" t="n">
        <v>415</v>
      </c>
      <c r="B418" s="8" t="inlineStr">
        <is>
          <t xml:space="preserve">        except ImportError:</t>
        </is>
      </c>
    </row>
    <row r="419">
      <c r="A419" s="9" t="n">
        <v>416</v>
      </c>
      <c r="B419" s="10" t="inlineStr">
        <is>
          <t xml:space="preserve">            pass</t>
        </is>
      </c>
    </row>
    <row r="420">
      <c r="A420" s="7" t="n">
        <v>417</v>
      </c>
      <c r="B420" s="8" t="inlineStr"/>
    </row>
    <row r="421">
      <c r="A421" s="9" t="n">
        <v>418</v>
      </c>
      <c r="B421" s="10" t="inlineStr">
        <is>
          <t xml:space="preserve">    def classify(self, video_path: str, audio_path: str = None) -&gt; dict:</t>
        </is>
      </c>
    </row>
    <row r="422">
      <c r="A422" s="7" t="n">
        <v>419</v>
      </c>
      <c r="B422" s="8" t="inlineStr">
        <is>
          <t xml:space="preserve">        result = {"has_music": False, "has_laugh": False, "has_speech": False,</t>
        </is>
      </c>
    </row>
    <row r="423">
      <c r="A423" s="9" t="n">
        <v>420</v>
      </c>
      <c r="B423" s="10" t="inlineStr">
        <is>
          <t xml:space="preserve">                  "ambient_type": "silent", "confidence": 0.0}</t>
        </is>
      </c>
    </row>
    <row r="424">
      <c r="A424" s="7" t="n">
        <v>421</v>
      </c>
      <c r="B424" s="8" t="inlineStr"/>
    </row>
    <row r="425">
      <c r="A425" s="9" t="n">
        <v>422</v>
      </c>
      <c r="B425" s="10" t="inlineStr">
        <is>
          <t xml:space="preserve">        if not self._librosa:</t>
        </is>
      </c>
    </row>
    <row r="426">
      <c r="A426" s="7" t="n">
        <v>423</v>
      </c>
      <c r="B426" s="8" t="inlineStr">
        <is>
          <t xml:space="preserve">            return result</t>
        </is>
      </c>
    </row>
    <row r="427">
      <c r="A427" s="9" t="n">
        <v>424</v>
      </c>
      <c r="B427" s="10" t="inlineStr"/>
    </row>
    <row r="428">
      <c r="A428" s="7" t="n">
        <v>425</v>
      </c>
      <c r="B428" s="8" t="inlineStr">
        <is>
          <t xml:space="preserve">        target = audio_path or _extract_audio(video_path)</t>
        </is>
      </c>
    </row>
    <row r="429">
      <c r="A429" s="9" t="n">
        <v>426</v>
      </c>
      <c r="B429" s="10" t="inlineStr">
        <is>
          <t xml:space="preserve">        if not target or not os.path.exists(target):</t>
        </is>
      </c>
    </row>
    <row r="430">
      <c r="A430" s="7" t="n">
        <v>427</v>
      </c>
      <c r="B430" s="8" t="inlineStr">
        <is>
          <t xml:space="preserve">            return result</t>
        </is>
      </c>
    </row>
    <row r="431">
      <c r="A431" s="9" t="n">
        <v>428</v>
      </c>
      <c r="B431" s="10" t="inlineStr"/>
    </row>
    <row r="432">
      <c r="A432" s="7" t="n">
        <v>429</v>
      </c>
      <c r="B432" s="8" t="inlineStr">
        <is>
          <t xml:space="preserve">        try:</t>
        </is>
      </c>
    </row>
    <row r="433">
      <c r="A433" s="9" t="n">
        <v>430</v>
      </c>
      <c r="B433" s="10" t="inlineStr">
        <is>
          <t xml:space="preserve">            y, sr = self._librosa.load(target, sr=22050, duration=30)</t>
        </is>
      </c>
    </row>
    <row r="434">
      <c r="A434" s="7" t="n">
        <v>431</v>
      </c>
      <c r="B434" s="8" t="inlineStr">
        <is>
          <t xml:space="preserve">            rms = self._librosa.feature.rms(y=y)[0]</t>
        </is>
      </c>
    </row>
    <row r="435">
      <c r="A435" s="9" t="n">
        <v>432</v>
      </c>
      <c r="B435" s="10" t="inlineStr">
        <is>
          <t xml:space="preserve">            energy = float(self._np.mean(rms))</t>
        </is>
      </c>
    </row>
    <row r="436">
      <c r="A436" s="7" t="n">
        <v>433</v>
      </c>
      <c r="B436" s="8" t="inlineStr"/>
    </row>
    <row r="437">
      <c r="A437" s="9" t="n">
        <v>434</v>
      </c>
      <c r="B437" s="10" t="inlineStr">
        <is>
          <t xml:space="preserve">            if energy &lt; 0.01:</t>
        </is>
      </c>
    </row>
    <row r="438">
      <c r="A438" s="7" t="n">
        <v>435</v>
      </c>
      <c r="B438" s="8" t="inlineStr">
        <is>
          <t xml:space="preserve">                result["ambient_type"] = "silent"</t>
        </is>
      </c>
    </row>
    <row r="439">
      <c r="A439" s="9" t="n">
        <v>436</v>
      </c>
      <c r="B439" s="10" t="inlineStr">
        <is>
          <t xml:space="preserve">                return result</t>
        </is>
      </c>
    </row>
    <row r="440">
      <c r="A440" s="7" t="n">
        <v>437</v>
      </c>
      <c r="B440" s="8" t="inlineStr"/>
    </row>
    <row r="441">
      <c r="A441" s="9" t="n">
        <v>438</v>
      </c>
      <c r="B441" s="10" t="inlineStr">
        <is>
          <t xml:space="preserve">            spectral_centroid = self._librosa.feature.spectral_centroid(y=y, sr=sr)[0]</t>
        </is>
      </c>
    </row>
    <row r="442">
      <c r="A442" s="7" t="n">
        <v>439</v>
      </c>
      <c r="B442" s="8" t="inlineStr">
        <is>
          <t xml:space="preserve">            centroid_mean = float(self._np.mean(spectral_centroid))</t>
        </is>
      </c>
    </row>
    <row r="443">
      <c r="A443" s="9" t="n">
        <v>440</v>
      </c>
      <c r="B443" s="10" t="inlineStr">
        <is>
          <t xml:space="preserve">            mfcc = self._librosa.feature.mfcc(y=y, sr=sr, n_mfcc=13)</t>
        </is>
      </c>
    </row>
    <row r="444">
      <c r="A444" s="7" t="n">
        <v>441</v>
      </c>
      <c r="B444" s="8" t="inlineStr">
        <is>
          <t xml:space="preserve">            mfcc_std = float(self._np.std(mfcc))</t>
        </is>
      </c>
    </row>
    <row r="445">
      <c r="A445" s="9" t="n">
        <v>442</v>
      </c>
      <c r="B445" s="10" t="inlineStr">
        <is>
          <t xml:space="preserve">            zcr = self._librosa.feature.zero_crossing_rate(y)[0]</t>
        </is>
      </c>
    </row>
    <row r="446">
      <c r="A446" s="7" t="n">
        <v>443</v>
      </c>
      <c r="B446" s="8" t="inlineStr">
        <is>
          <t xml:space="preserve">            zcr_mean = float(self._np.mean(zcr))</t>
        </is>
      </c>
    </row>
    <row r="447">
      <c r="A447" s="9" t="n">
        <v>444</v>
      </c>
      <c r="B447" s="10" t="inlineStr"/>
    </row>
    <row r="448">
      <c r="A448" s="7" t="n">
        <v>445</v>
      </c>
      <c r="B448" s="8" t="inlineStr">
        <is>
          <t xml:space="preserve">            if centroid_mean &gt; 2000 and mfcc_std &gt; 20:</t>
        </is>
      </c>
    </row>
    <row r="449">
      <c r="A449" s="9" t="n">
        <v>446</v>
      </c>
      <c r="B449" s="10" t="inlineStr">
        <is>
          <t xml:space="preserve">                result["has_music"] = True</t>
        </is>
      </c>
    </row>
    <row r="450">
      <c r="A450" s="7" t="n">
        <v>447</v>
      </c>
      <c r="B450" s="8" t="inlineStr">
        <is>
          <t xml:space="preserve">                result["ambient_type"] = "music"</t>
        </is>
      </c>
    </row>
    <row r="451">
      <c r="A451" s="9" t="n">
        <v>448</v>
      </c>
      <c r="B451" s="10" t="inlineStr">
        <is>
          <t xml:space="preserve">                result["confidence"] = 0.7</t>
        </is>
      </c>
    </row>
    <row r="452">
      <c r="A452" s="7" t="n">
        <v>449</v>
      </c>
      <c r="B452" s="8" t="inlineStr">
        <is>
          <t xml:space="preserve">            elif zcr_mean &gt; 0.05 and energy &gt; 0.05:</t>
        </is>
      </c>
    </row>
    <row r="453">
      <c r="A453" s="9" t="n">
        <v>450</v>
      </c>
      <c r="B453" s="10" t="inlineStr">
        <is>
          <t xml:space="preserve">                result["has_speech"] = True</t>
        </is>
      </c>
    </row>
    <row r="454">
      <c r="A454" s="7" t="n">
        <v>451</v>
      </c>
      <c r="B454" s="8" t="inlineStr">
        <is>
          <t xml:space="preserve">                result["ambient_type"] = "speech"</t>
        </is>
      </c>
    </row>
    <row r="455">
      <c r="A455" s="9" t="n">
        <v>452</v>
      </c>
      <c r="B455" s="10" t="inlineStr">
        <is>
          <t xml:space="preserve">                result["confidence"] = 0.6</t>
        </is>
      </c>
    </row>
    <row r="456">
      <c r="A456" s="7" t="n">
        <v>453</v>
      </c>
      <c r="B456" s="8" t="inlineStr"/>
    </row>
    <row r="457">
      <c r="A457" s="9" t="n">
        <v>454</v>
      </c>
      <c r="B457" s="10" t="inlineStr">
        <is>
          <t xml:space="preserve">            if result["has_music"] and result["has_speech"]:</t>
        </is>
      </c>
    </row>
    <row r="458">
      <c r="A458" s="7" t="n">
        <v>455</v>
      </c>
      <c r="B458" s="8" t="inlineStr">
        <is>
          <t xml:space="preserve">                result["ambient_type"] = "mixed"</t>
        </is>
      </c>
    </row>
    <row r="459">
      <c r="A459" s="9" t="n">
        <v>456</v>
      </c>
      <c r="B459" s="10" t="inlineStr"/>
    </row>
    <row r="460">
      <c r="A460" s="7" t="n">
        <v>457</v>
      </c>
      <c r="B460" s="8" t="inlineStr">
        <is>
          <t xml:space="preserve">            if self._has_laugh_pattern(y, sr):</t>
        </is>
      </c>
    </row>
    <row r="461">
      <c r="A461" s="9" t="n">
        <v>458</v>
      </c>
      <c r="B461" s="10" t="inlineStr">
        <is>
          <t xml:space="preserve">                result["has_laugh"] = True</t>
        </is>
      </c>
    </row>
    <row r="462">
      <c r="A462" s="7" t="n">
        <v>459</v>
      </c>
      <c r="B462" s="8" t="inlineStr">
        <is>
          <t xml:space="preserve">        except Exception as _e:</t>
        </is>
      </c>
    </row>
    <row r="463">
      <c r="A463" s="9" t="n">
        <v>460</v>
      </c>
      <c r="B463" s="10" t="inlineStr">
        <is>
          <t xml:space="preserve">            from utils.logging import log_warning</t>
        </is>
      </c>
    </row>
    <row r="464">
      <c r="A464" s="7" t="n">
        <v>461</v>
      </c>
      <c r="B464" s="8" t="inlineStr">
        <is>
          <t xml:space="preserve">            log_warning('audio_models', str(_e)[:80])</t>
        </is>
      </c>
    </row>
    <row r="465">
      <c r="A465" s="9" t="n">
        <v>462</v>
      </c>
      <c r="B465" s="10" t="inlineStr">
        <is>
          <t xml:space="preserve">        finally:</t>
        </is>
      </c>
    </row>
    <row r="466">
      <c r="A466" s="7" t="n">
        <v>463</v>
      </c>
      <c r="B466" s="8" t="inlineStr">
        <is>
          <t xml:space="preserve">            if audio_path is None and os.path.exists(target):</t>
        </is>
      </c>
    </row>
    <row r="467">
      <c r="A467" s="9" t="n">
        <v>464</v>
      </c>
      <c r="B467" s="10" t="inlineStr">
        <is>
          <t xml:space="preserve">                os.remove(target)</t>
        </is>
      </c>
    </row>
    <row r="468">
      <c r="A468" s="7" t="n">
        <v>465</v>
      </c>
      <c r="B468" s="8" t="inlineStr"/>
    </row>
    <row r="469">
      <c r="A469" s="9" t="n">
        <v>466</v>
      </c>
      <c r="B469" s="10" t="inlineStr">
        <is>
          <t xml:space="preserve">        return result</t>
        </is>
      </c>
    </row>
    <row r="470">
      <c r="A470" s="7" t="n">
        <v>467</v>
      </c>
      <c r="B470" s="8" t="inlineStr"/>
    </row>
    <row r="471">
      <c r="A471" s="9" t="n">
        <v>468</v>
      </c>
      <c r="B471" s="10" t="inlineStr">
        <is>
          <t xml:space="preserve">    def _has_laugh_pattern(self, y, sr) -&gt; bool:</t>
        </is>
      </c>
    </row>
    <row r="472">
      <c r="A472" s="7" t="n">
        <v>469</v>
      </c>
      <c r="B472" s="8" t="inlineStr">
        <is>
          <t xml:space="preserve">        try:</t>
        </is>
      </c>
    </row>
    <row r="473">
      <c r="A473" s="9" t="n">
        <v>470</v>
      </c>
      <c r="B473" s="10" t="inlineStr">
        <is>
          <t xml:space="preserve">            hop = int(sr * 0.05)</t>
        </is>
      </c>
    </row>
    <row r="474">
      <c r="A474" s="7" t="n">
        <v>471</v>
      </c>
      <c r="B474" s="8" t="inlineStr">
        <is>
          <t xml:space="preserve">            chunks = [y[i:i + hop] for i in range(0, len(y) - hop, hop)]</t>
        </is>
      </c>
    </row>
    <row r="475">
      <c r="A475" s="9" t="n">
        <v>472</v>
      </c>
      <c r="B475" s="10" t="inlineStr">
        <is>
          <t xml:space="preserve">            rms_vals = [float(self._np.sqrt(self._np.mean(c**2))) for c in chunks if len(c) &gt; 0]</t>
        </is>
      </c>
    </row>
    <row r="476">
      <c r="A476" s="7" t="n">
        <v>473</v>
      </c>
      <c r="B476" s="8" t="inlineStr">
        <is>
          <t xml:space="preserve">            if len(rms_vals) &lt; 10:</t>
        </is>
      </c>
    </row>
    <row r="477">
      <c r="A477" s="9" t="n">
        <v>474</v>
      </c>
      <c r="B477" s="10" t="inlineStr">
        <is>
          <t xml:space="preserve">                return False</t>
        </is>
      </c>
    </row>
    <row r="478">
      <c r="A478" s="7" t="n">
        <v>475</v>
      </c>
      <c r="B478" s="8" t="inlineStr">
        <is>
          <t xml:space="preserve">            spikes = sum(1 for r in rms_vals if r &gt; self._np.mean(rms_vals) * 3)</t>
        </is>
      </c>
    </row>
    <row r="479">
      <c r="A479" s="9" t="n">
        <v>476</v>
      </c>
      <c r="B479" s="10" t="inlineStr">
        <is>
          <t xml:space="preserve">            return spikes &gt;= 3</t>
        </is>
      </c>
    </row>
    <row r="480">
      <c r="A480" s="7" t="n">
        <v>477</v>
      </c>
      <c r="B480" s="8" t="inlineStr">
        <is>
          <t xml:space="preserve">        except Exception:</t>
        </is>
      </c>
    </row>
    <row r="481">
      <c r="A481" s="9" t="n">
        <v>478</v>
      </c>
      <c r="B481" s="10" t="inlineStr">
        <is>
          <t xml:space="preserve">            return False</t>
        </is>
      </c>
    </row>
    <row r="482">
      <c r="A482" s="7" t="n">
        <v>479</v>
      </c>
      <c r="B482" s="8" t="inlineStr"/>
    </row>
    <row r="483">
      <c r="A483" s="9" t="n">
        <v>480</v>
      </c>
      <c r="B483" s="10" t="inlineStr"/>
    </row>
    <row r="484">
      <c r="A484" s="7" t="n">
        <v>481</v>
      </c>
      <c r="B484" s="8" t="inlineStr">
        <is>
          <t># ═══════════════════════════════════════════</t>
        </is>
      </c>
    </row>
    <row r="485">
      <c r="A485" s="9" t="n">
        <v>482</v>
      </c>
      <c r="B485" s="10" t="inlineStr">
        <is>
          <t># 统一音频分析入口 (SenseVoice + Whisper 双轨)</t>
        </is>
      </c>
    </row>
    <row r="486">
      <c r="A486" s="7" t="n">
        <v>483</v>
      </c>
      <c r="B486" s="8" t="inlineStr">
        <is>
          <t># ═══════════════════════════════════════════</t>
        </is>
      </c>
    </row>
    <row r="487">
      <c r="A487" s="9" t="n">
        <v>484</v>
      </c>
      <c r="B487" s="10" t="inlineStr"/>
    </row>
    <row r="488">
      <c r="A488" s="7" t="n">
        <v>485</v>
      </c>
      <c r="B488" s="8" t="inlineStr">
        <is>
          <t>class UnifiedAudioAnalyzer:</t>
        </is>
      </c>
    </row>
    <row r="489">
      <c r="A489" s="9" t="n">
        <v>486</v>
      </c>
      <c r="B489" s="10" t="inlineStr">
        <is>
          <t xml:space="preserve">    """</t>
        </is>
      </c>
    </row>
    <row r="490">
      <c r="A490" s="7" t="n">
        <v>487</v>
      </c>
      <c r="B490" s="8" t="inlineStr">
        <is>
          <t xml:space="preserve">    统一音频分析 — 同时运行 SenseVoice (情绪+事件) + Whisper (转写)</t>
        </is>
      </c>
    </row>
    <row r="491">
      <c r="A491" s="9" t="n">
        <v>488</v>
      </c>
      <c r="B491" s="10" t="inlineStr"/>
    </row>
    <row r="492">
      <c r="A492" s="7" t="n">
        <v>489</v>
      </c>
      <c r="B492" s="8" t="inlineStr">
        <is>
          <t xml:space="preserve">    无降级：两个模型都必须可用。</t>
        </is>
      </c>
    </row>
    <row r="493">
      <c r="A493" s="9" t="n">
        <v>490</v>
      </c>
      <c r="B493" s="10" t="inlineStr">
        <is>
          <t xml:space="preserve">    """</t>
        </is>
      </c>
    </row>
    <row r="494">
      <c r="A494" s="7" t="n">
        <v>491</v>
      </c>
      <c r="B494" s="8" t="inlineStr"/>
    </row>
    <row r="495">
      <c r="A495" s="9" t="n">
        <v>492</v>
      </c>
      <c r="B495" s="10" t="inlineStr">
        <is>
          <t xml:space="preserve">    def __init__(self):</t>
        </is>
      </c>
    </row>
    <row r="496">
      <c r="A496" s="7" t="n">
        <v>493</v>
      </c>
      <c r="B496" s="8" t="inlineStr">
        <is>
          <t xml:space="preserve">        self._sensevoice = None</t>
        </is>
      </c>
    </row>
    <row r="497">
      <c r="A497" s="9" t="n">
        <v>494</v>
      </c>
      <c r="B497" s="10" t="inlineStr">
        <is>
          <t xml:space="preserve">        self._whisper = None</t>
        </is>
      </c>
    </row>
    <row r="498">
      <c r="A498" s="7" t="n">
        <v>495</v>
      </c>
      <c r="B498" s="8" t="inlineStr">
        <is>
          <t xml:space="preserve">        self._classifier = None</t>
        </is>
      </c>
    </row>
    <row r="499">
      <c r="A499" s="9" t="n">
        <v>496</v>
      </c>
      <c r="B499" s="10" t="inlineStr"/>
    </row>
    <row r="500">
      <c r="A500" s="7" t="n">
        <v>497</v>
      </c>
      <c r="B500" s="8" t="inlineStr">
        <is>
          <t xml:space="preserve">    @property</t>
        </is>
      </c>
    </row>
    <row r="501">
      <c r="A501" s="9" t="n">
        <v>498</v>
      </c>
      <c r="B501" s="10" t="inlineStr">
        <is>
          <t xml:space="preserve">    def sensevoice(self):</t>
        </is>
      </c>
    </row>
    <row r="502">
      <c r="A502" s="7" t="n">
        <v>499</v>
      </c>
      <c r="B502" s="8" t="inlineStr">
        <is>
          <t xml:space="preserve">        if self._sensevoice is None:</t>
        </is>
      </c>
    </row>
    <row r="503">
      <c r="A503" s="9" t="n">
        <v>500</v>
      </c>
      <c r="B503" s="10" t="inlineStr">
        <is>
          <t xml:space="preserve">            self._sensevoice = SenseVoiceEngine()</t>
        </is>
      </c>
    </row>
    <row r="504">
      <c r="A504" s="7" t="n">
        <v>501</v>
      </c>
      <c r="B504" s="8" t="inlineStr">
        <is>
          <t xml:space="preserve">        return self._sensevoice</t>
        </is>
      </c>
    </row>
    <row r="505">
      <c r="A505" s="9" t="n">
        <v>502</v>
      </c>
      <c r="B505" s="10" t="inlineStr"/>
    </row>
    <row r="506">
      <c r="A506" s="7" t="n">
        <v>503</v>
      </c>
      <c r="B506" s="8" t="inlineStr">
        <is>
          <t xml:space="preserve">    @property</t>
        </is>
      </c>
    </row>
    <row r="507">
      <c r="A507" s="9" t="n">
        <v>504</v>
      </c>
      <c r="B507" s="10" t="inlineStr">
        <is>
          <t xml:space="preserve">    def whisper(self):</t>
        </is>
      </c>
    </row>
    <row r="508">
      <c r="A508" s="7" t="n">
        <v>505</v>
      </c>
      <c r="B508" s="8" t="inlineStr">
        <is>
          <t xml:space="preserve">        if self._whisper is None:</t>
        </is>
      </c>
    </row>
    <row r="509">
      <c r="A509" s="9" t="n">
        <v>506</v>
      </c>
      <c r="B509" s="10" t="inlineStr">
        <is>
          <t xml:space="preserve">            self._whisper = WhisperModel()</t>
        </is>
      </c>
    </row>
    <row r="510">
      <c r="A510" s="7" t="n">
        <v>507</v>
      </c>
      <c r="B510" s="8" t="inlineStr">
        <is>
          <t xml:space="preserve">        return self._whisper</t>
        </is>
      </c>
    </row>
    <row r="511">
      <c r="A511" s="9" t="n">
        <v>508</v>
      </c>
      <c r="B511" s="10" t="inlineStr"/>
    </row>
    <row r="512">
      <c r="A512" s="7" t="n">
        <v>509</v>
      </c>
      <c r="B512" s="8" t="inlineStr">
        <is>
          <t xml:space="preserve">    @property</t>
        </is>
      </c>
    </row>
    <row r="513">
      <c r="A513" s="9" t="n">
        <v>510</v>
      </c>
      <c r="B513" s="10" t="inlineStr">
        <is>
          <t xml:space="preserve">    def classifier(self):</t>
        </is>
      </c>
    </row>
    <row r="514">
      <c r="A514" s="7" t="n">
        <v>511</v>
      </c>
      <c r="B514" s="8" t="inlineStr">
        <is>
          <t xml:space="preserve">        if self._classifier is None:</t>
        </is>
      </c>
    </row>
    <row r="515">
      <c r="A515" s="9" t="n">
        <v>512</v>
      </c>
      <c r="B515" s="10" t="inlineStr">
        <is>
          <t xml:space="preserve">            self._classifier = AudioClassifier()</t>
        </is>
      </c>
    </row>
    <row r="516">
      <c r="A516" s="7" t="n">
        <v>513</v>
      </c>
      <c r="B516" s="8" t="inlineStr">
        <is>
          <t xml:space="preserve">        return self._classifier</t>
        </is>
      </c>
    </row>
    <row r="517">
      <c r="A517" s="9" t="n">
        <v>514</v>
      </c>
      <c r="B517" s="10" t="inlineStr"/>
    </row>
    <row r="518">
      <c r="A518" s="7" t="n">
        <v>515</v>
      </c>
      <c r="B518" s="8" t="inlineStr">
        <is>
          <t xml:space="preserve">    def analyze(self, video_path: str) -&gt; AudioResult:</t>
        </is>
      </c>
    </row>
    <row r="519">
      <c r="A519" s="9" t="n">
        <v>516</v>
      </c>
      <c r="B519" s="10" t="inlineStr">
        <is>
          <t xml:space="preserve">        """</t>
        </is>
      </c>
    </row>
    <row r="520">
      <c r="A520" s="7" t="n">
        <v>517</v>
      </c>
      <c r="B520" s="8" t="inlineStr">
        <is>
          <t xml:space="preserve">        完整音频分析 — SenseVoice + Whisper 并行</t>
        </is>
      </c>
    </row>
    <row r="521">
      <c r="A521" s="9" t="n">
        <v>518</v>
      </c>
      <c r="B521" s="10" t="inlineStr"/>
    </row>
    <row r="522">
      <c r="A522" s="7" t="n">
        <v>519</v>
      </c>
      <c r="B522" s="8" t="inlineStr">
        <is>
          <t xml:space="preserve">        1. 提取音频轨道</t>
        </is>
      </c>
    </row>
    <row r="523">
      <c r="A523" s="9" t="n">
        <v>520</v>
      </c>
      <c r="B523" s="10" t="inlineStr">
        <is>
          <t xml:space="preserve">        2. SenseVoice: 情绪 + 事件 + ASR文本</t>
        </is>
      </c>
    </row>
    <row r="524">
      <c r="A524" s="7" t="n">
        <v>521</v>
      </c>
      <c r="B524" s="8" t="inlineStr">
        <is>
          <t xml:space="preserve">        3. Whisper: 精准转写 + 时间戳</t>
        </is>
      </c>
    </row>
    <row r="525">
      <c r="A525" s="9" t="n">
        <v>522</v>
      </c>
      <c r="B525" s="10" t="inlineStr">
        <is>
          <t xml:space="preserve">        4. AudioClassifier: 辅助启发式</t>
        </is>
      </c>
    </row>
    <row r="526">
      <c r="A526" s="7" t="n">
        <v>523</v>
      </c>
      <c r="B526" s="8" t="inlineStr">
        <is>
          <t xml:space="preserve">        5. 合并结果</t>
        </is>
      </c>
    </row>
    <row r="527">
      <c r="A527" s="9" t="n">
        <v>524</v>
      </c>
      <c r="B527" s="10" t="inlineStr">
        <is>
          <t xml:space="preserve">        """</t>
        </is>
      </c>
    </row>
    <row r="528">
      <c r="A528" s="7" t="n">
        <v>525</v>
      </c>
      <c r="B528" s="8" t="inlineStr">
        <is>
          <t xml:space="preserve">        audio_path = _extract_audio(video_path)</t>
        </is>
      </c>
    </row>
    <row r="529">
      <c r="A529" s="9" t="n">
        <v>526</v>
      </c>
      <c r="B529" s="10" t="inlineStr">
        <is>
          <t xml:space="preserve">        if not audio_path:</t>
        </is>
      </c>
    </row>
    <row r="530">
      <c r="A530" s="7" t="n">
        <v>527</v>
      </c>
      <c r="B530" s="8" t="inlineStr">
        <is>
          <t xml:space="preserve">            raise RuntimeError(f"无法从视频提取音频: {video_path}")</t>
        </is>
      </c>
    </row>
    <row r="531">
      <c r="A531" s="9" t="n">
        <v>528</v>
      </c>
      <c r="B531" s="10" t="inlineStr"/>
    </row>
    <row r="532">
      <c r="A532" s="7" t="n">
        <v>529</v>
      </c>
      <c r="B532" s="8" t="inlineStr">
        <is>
          <t xml:space="preserve">        try:</t>
        </is>
      </c>
    </row>
    <row r="533">
      <c r="A533" s="9" t="n">
        <v>530</v>
      </c>
      <c r="B533" s="10" t="inlineStr">
        <is>
          <t xml:space="preserve">            # ── SenseVoice (情绪 + 事件) ──</t>
        </is>
      </c>
    </row>
    <row r="534">
      <c r="A534" s="7" t="n">
        <v>531</v>
      </c>
      <c r="B534" s="8" t="inlineStr">
        <is>
          <t xml:space="preserve">            sv_result = {}</t>
        </is>
      </c>
    </row>
    <row r="535">
      <c r="A535" s="9" t="n">
        <v>532</v>
      </c>
      <c r="B535" s="10" t="inlineStr">
        <is>
          <t xml:space="preserve">            try:</t>
        </is>
      </c>
    </row>
    <row r="536">
      <c r="A536" s="7" t="n">
        <v>533</v>
      </c>
      <c r="B536" s="8" t="inlineStr">
        <is>
          <t xml:space="preserve">                sv_result = self.sensevoice.analyze(audio_path)</t>
        </is>
      </c>
    </row>
    <row r="537">
      <c r="A537" s="9" t="n">
        <v>534</v>
      </c>
      <c r="B537" s="10" t="inlineStr">
        <is>
          <t xml:space="preserve">            except Exception as e:</t>
        </is>
      </c>
    </row>
    <row r="538">
      <c r="A538" s="7" t="n">
        <v>535</v>
      </c>
      <c r="B538" s="8" t="inlineStr">
        <is>
          <t xml:space="preserve">                raise RuntimeError(f"SenseVoice 分析失败: {e}") from e</t>
        </is>
      </c>
    </row>
    <row r="539">
      <c r="A539" s="9" t="n">
        <v>536</v>
      </c>
      <c r="B539" s="10" t="inlineStr"/>
    </row>
    <row r="540">
      <c r="A540" s="7" t="n">
        <v>537</v>
      </c>
      <c r="B540" s="8" t="inlineStr">
        <is>
          <t xml:space="preserve">            # ── Whisper (精准转写) ──</t>
        </is>
      </c>
    </row>
    <row r="541">
      <c r="A541" s="9" t="n">
        <v>538</v>
      </c>
      <c r="B541" s="10" t="inlineStr">
        <is>
          <t xml:space="preserve">            whisper_result = self.whisper.transcribe(video_path)</t>
        </is>
      </c>
    </row>
    <row r="542">
      <c r="A542" s="7" t="n">
        <v>539</v>
      </c>
      <c r="B542" s="8" t="inlineStr"/>
    </row>
    <row r="543">
      <c r="A543" s="9" t="n">
        <v>540</v>
      </c>
      <c r="B543" s="10" t="inlineStr">
        <is>
          <t xml:space="preserve">            # ── AudioClassifier (辅助) ──</t>
        </is>
      </c>
    </row>
    <row r="544">
      <c r="A544" s="7" t="n">
        <v>541</v>
      </c>
      <c r="B544" s="8" t="inlineStr">
        <is>
          <t xml:space="preserve">            clf_result = self.classifier.classify(video_path, audio_path=audio_path)</t>
        </is>
      </c>
    </row>
    <row r="545">
      <c r="A545" s="9" t="n">
        <v>542</v>
      </c>
      <c r="B545" s="10" t="inlineStr"/>
    </row>
    <row r="546">
      <c r="A546" s="7" t="n">
        <v>543</v>
      </c>
      <c r="B546" s="8" t="inlineStr">
        <is>
          <t xml:space="preserve">            # ── 合并结果 ──</t>
        </is>
      </c>
    </row>
    <row r="547">
      <c r="A547" s="9" t="n">
        <v>544</v>
      </c>
      <c r="B547" s="10" t="inlineStr">
        <is>
          <t xml:space="preserve">            result = AudioResult()</t>
        </is>
      </c>
    </row>
    <row r="548">
      <c r="A548" s="7" t="n">
        <v>545</v>
      </c>
      <c r="B548" s="8" t="inlineStr"/>
    </row>
    <row r="549">
      <c r="A549" s="9" t="n">
        <v>546</v>
      </c>
      <c r="B549" s="10" t="inlineStr">
        <is>
          <t xml:space="preserve">            # Whisper 转写</t>
        </is>
      </c>
    </row>
    <row r="550">
      <c r="A550" s="7" t="n">
        <v>547</v>
      </c>
      <c r="B550" s="8" t="inlineStr">
        <is>
          <t xml:space="preserve">            result.transcript = whisper_result.transcript</t>
        </is>
      </c>
    </row>
    <row r="551">
      <c r="A551" s="9" t="n">
        <v>548</v>
      </c>
      <c r="B551" s="10" t="inlineStr">
        <is>
          <t xml:space="preserve">            result.segments = whisper_result.segments</t>
        </is>
      </c>
    </row>
    <row r="552">
      <c r="A552" s="7" t="n">
        <v>549</v>
      </c>
      <c r="B552" s="8" t="inlineStr">
        <is>
          <t xml:space="preserve">            result.language = whisper_result.language</t>
        </is>
      </c>
    </row>
    <row r="553">
      <c r="A553" s="9" t="n">
        <v>550</v>
      </c>
      <c r="B553" s="10" t="inlineStr">
        <is>
          <t xml:space="preserve">            result.speech_confidence = whisper_result.speech_confidence</t>
        </is>
      </c>
    </row>
    <row r="554">
      <c r="A554" s="7" t="n">
        <v>551</v>
      </c>
      <c r="B554" s="8" t="inlineStr">
        <is>
          <t xml:space="preserve">            result.has_speech = whisper_result.has_speech</t>
        </is>
      </c>
    </row>
    <row r="555">
      <c r="A555" s="9" t="n">
        <v>552</v>
      </c>
      <c r="B555" s="10" t="inlineStr"/>
    </row>
    <row r="556">
      <c r="A556" s="7" t="n">
        <v>553</v>
      </c>
      <c r="B556" s="8" t="inlineStr">
        <is>
          <t xml:space="preserve">            # SenseVoice 情绪+事件 (可能因依赖缺失而为空)</t>
        </is>
      </c>
    </row>
    <row r="557">
      <c r="A557" s="9" t="n">
        <v>554</v>
      </c>
      <c r="B557" s="10" t="inlineStr">
        <is>
          <t xml:space="preserve">            if sv_result:</t>
        </is>
      </c>
    </row>
    <row r="558">
      <c r="A558" s="7" t="n">
        <v>555</v>
      </c>
      <c r="B558" s="8" t="inlineStr">
        <is>
          <t xml:space="preserve">                result.emotion = sv_result.get("emotion", "neutral")</t>
        </is>
      </c>
    </row>
    <row r="559">
      <c r="A559" s="9" t="n">
        <v>556</v>
      </c>
      <c r="B559" s="10" t="inlineStr">
        <is>
          <t xml:space="preserve">                result.emotion_confidence = sv_result.get("emotion_confidence", 0.0)</t>
        </is>
      </c>
    </row>
    <row r="560">
      <c r="A560" s="7" t="n">
        <v>557</v>
      </c>
      <c r="B560" s="8" t="inlineStr">
        <is>
          <t xml:space="preserve">                result.events = sv_result.get("events", [])</t>
        </is>
      </c>
    </row>
    <row r="561">
      <c r="A561" s="9" t="n">
        <v>558</v>
      </c>
      <c r="B561" s="10" t="inlineStr">
        <is>
          <t xml:space="preserve">                # 如果 SenseVoice 有转写且 Whisper 没有，用 SenseVoice 的</t>
        </is>
      </c>
    </row>
    <row r="562">
      <c r="A562" s="7" t="n">
        <v>559</v>
      </c>
      <c r="B562" s="8" t="inlineStr">
        <is>
          <t xml:space="preserve">                if not result.transcript and sv_result.get("text"):</t>
        </is>
      </c>
    </row>
    <row r="563">
      <c r="A563" s="9" t="n">
        <v>560</v>
      </c>
      <c r="B563" s="10" t="inlineStr">
        <is>
          <t xml:space="preserve">                    result.transcript = sv_result["text"]</t>
        </is>
      </c>
    </row>
    <row r="564">
      <c r="A564" s="7" t="n">
        <v>561</v>
      </c>
      <c r="B564" s="8" t="inlineStr"/>
    </row>
    <row r="565">
      <c r="A565" s="9" t="n">
        <v>562</v>
      </c>
      <c r="B565" s="10" t="inlineStr">
        <is>
          <t xml:space="preserve">            # 辅助分类</t>
        </is>
      </c>
    </row>
    <row r="566">
      <c r="A566" s="7" t="n">
        <v>563</v>
      </c>
      <c r="B566" s="8" t="inlineStr">
        <is>
          <t xml:space="preserve">            result.has_music = clf_result.get("has_music", False)</t>
        </is>
      </c>
    </row>
    <row r="567">
      <c r="A567" s="9" t="n">
        <v>564</v>
      </c>
      <c r="B567" s="10" t="inlineStr">
        <is>
          <t xml:space="preserve">            result.has_laugh = clf_result.get("has_laugh", False)</t>
        </is>
      </c>
    </row>
    <row r="568">
      <c r="A568" s="7" t="n">
        <v>565</v>
      </c>
      <c r="B568" s="8" t="inlineStr">
        <is>
          <t xml:space="preserve">            result.ambient_type = clf_result.get("ambient_type", "silent")</t>
        </is>
      </c>
    </row>
    <row r="569">
      <c r="A569" s="9" t="n">
        <v>566</v>
      </c>
      <c r="B569" s="10" t="inlineStr">
        <is>
          <t xml:space="preserve">            result.audio_class_confidence = clf_result.get("confidence", 0.0)</t>
        </is>
      </c>
    </row>
    <row r="570">
      <c r="A570" s="7" t="n">
        <v>567</v>
      </c>
      <c r="B570" s="8" t="inlineStr"/>
    </row>
    <row r="571">
      <c r="A571" s="9" t="n">
        <v>568</v>
      </c>
      <c r="B571" s="10" t="inlineStr">
        <is>
          <t xml:space="preserve">            return result</t>
        </is>
      </c>
    </row>
    <row r="572">
      <c r="A572" s="7" t="n">
        <v>569</v>
      </c>
      <c r="B572" s="8" t="inlineStr"/>
    </row>
    <row r="573">
      <c r="A573" s="9" t="n">
        <v>570</v>
      </c>
      <c r="B573" s="10" t="inlineStr">
        <is>
          <t xml:space="preserve">        finally:</t>
        </is>
      </c>
    </row>
    <row r="574">
      <c r="A574" s="7" t="n">
        <v>571</v>
      </c>
      <c r="B574" s="8" t="inlineStr">
        <is>
          <t xml:space="preserve">            if audio_path and os.path.exists(audio_path):</t>
        </is>
      </c>
    </row>
    <row r="575">
      <c r="A575" s="9" t="n">
        <v>572</v>
      </c>
      <c r="B575" s="10" t="inlineStr">
        <is>
          <t xml:space="preserve">                os.remove(audio_path)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core\auth_middleware.py</t>
        </is>
      </c>
      <c r="C1" s="5" t="inlineStr">
        <is>
          <t>行数: 155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v12.2 — 基础权限中间件</t>
        </is>
      </c>
    </row>
    <row r="6">
      <c r="A6" s="7" t="n">
        <v>3</v>
      </c>
      <c r="B6" s="8">
        <f>===================================</f>
        <v/>
      </c>
    </row>
    <row r="7">
      <c r="A7" s="9" t="n">
        <v>4</v>
      </c>
      <c r="B7" s="10" t="inlineStr">
        <is>
          <t>API密钥校验 + 访问频率限制 + 角色权限控制。</t>
        </is>
      </c>
    </row>
    <row r="8">
      <c r="A8" s="7" t="n">
        <v>5</v>
      </c>
      <c r="B8" s="8" t="inlineStr">
        <is>
          <t>供 Web UI (ui/web.py) 和未来的 HTTP API 使用。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time</t>
        </is>
      </c>
    </row>
    <row r="11">
      <c r="A11" s="9" t="n">
        <v>8</v>
      </c>
      <c r="B11" s="10" t="inlineStr">
        <is>
          <t>import threading</t>
        </is>
      </c>
    </row>
    <row r="12">
      <c r="A12" s="7" t="n">
        <v>9</v>
      </c>
      <c r="B12" s="8" t="inlineStr">
        <is>
          <t>from datetime import datetime</t>
        </is>
      </c>
    </row>
    <row r="13">
      <c r="A13" s="9" t="n">
        <v>10</v>
      </c>
      <c r="B13" s="10" t="inlineStr">
        <is>
          <t>import logging</t>
        </is>
      </c>
    </row>
    <row r="14">
      <c r="A14" s="7" t="n">
        <v>11</v>
      </c>
      <c r="B14" s="8" t="inlineStr">
        <is>
          <t>from typing import Tuple, Dict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_log = logging.getLogger("TreeCut.AuthMiddleware")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class AuthMiddleware:</t>
        </is>
      </c>
    </row>
    <row r="20">
      <c r="A20" s="7" t="n">
        <v>17</v>
      </c>
      <c r="B20" s="8" t="inlineStr">
        <is>
          <t xml:space="preserve">    """API密钥校验 + 频率限制"""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 xml:space="preserve">    def __init__(self, max_requests_per_minute: int = 60):</t>
        </is>
      </c>
    </row>
    <row r="23">
      <c r="A23" s="9" t="n">
        <v>20</v>
      </c>
      <c r="B23" s="10" t="inlineStr">
        <is>
          <t xml:space="preserve">        self._valid_keys: Dict[str, Dict] = {}  # api_key → {user_id, role}</t>
        </is>
      </c>
    </row>
    <row r="24">
      <c r="A24" s="7" t="n">
        <v>21</v>
      </c>
      <c r="B24" s="8" t="inlineStr">
        <is>
          <t xml:space="preserve">        self._rate_limit: Dict[str, list] = {}   # user_id → [timestamps]</t>
        </is>
      </c>
    </row>
    <row r="25">
      <c r="A25" s="9" t="n">
        <v>22</v>
      </c>
      <c r="B25" s="10" t="inlineStr">
        <is>
          <t xml:space="preserve">        self._lock = threading.Lock()</t>
        </is>
      </c>
    </row>
    <row r="26">
      <c r="A26" s="7" t="n">
        <v>23</v>
      </c>
      <c r="B26" s="8" t="inlineStr">
        <is>
          <t xml:space="preserve">        self._max_rpm = max_requests_per_minute</t>
        </is>
      </c>
    </row>
    <row r="27">
      <c r="A27" s="9" t="n">
        <v>24</v>
      </c>
      <c r="B27" s="10" t="inlineStr">
        <is>
          <t xml:space="preserve">        _log.info(f"权限中间件就绪 (限流={max_requests_per_minute}rpm)")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 xml:space="preserve">    def add_key(self, api_key: str, user_id: str, role: str = "user"):</t>
        </is>
      </c>
    </row>
    <row r="30">
      <c r="A30" s="7" t="n">
        <v>27</v>
      </c>
      <c r="B30" s="8" t="inlineStr">
        <is>
          <t xml:space="preserve">        """注册有效API密钥"""</t>
        </is>
      </c>
    </row>
    <row r="31">
      <c r="A31" s="9" t="n">
        <v>28</v>
      </c>
      <c r="B31" s="10" t="inlineStr">
        <is>
          <t xml:space="preserve">        with self._lock:</t>
        </is>
      </c>
    </row>
    <row r="32">
      <c r="A32" s="7" t="n">
        <v>29</v>
      </c>
      <c r="B32" s="8" t="inlineStr">
        <is>
          <t xml:space="preserve">            self._valid_keys[api_key] = {"user_id": user_id, "role": role, "created": time.time()}</t>
        </is>
      </c>
    </row>
    <row r="33">
      <c r="A33" s="9" t="n">
        <v>30</v>
      </c>
      <c r="B33" s="10" t="inlineStr">
        <is>
          <t xml:space="preserve">        _log.info(f"已注册密钥: user={user_id}, role={role}")</t>
        </is>
      </c>
    </row>
    <row r="34">
      <c r="A34" s="7" t="n">
        <v>31</v>
      </c>
      <c r="B34" s="8" t="inlineStr"/>
    </row>
    <row r="35">
      <c r="A35" s="9" t="n">
        <v>32</v>
      </c>
      <c r="B35" s="10" t="inlineStr">
        <is>
          <t xml:space="preserve">    def revoke_key(self, api_key: str):</t>
        </is>
      </c>
    </row>
    <row r="36">
      <c r="A36" s="7" t="n">
        <v>33</v>
      </c>
      <c r="B36" s="8" t="inlineStr">
        <is>
          <t xml:space="preserve">        """吊销密钥"""</t>
        </is>
      </c>
    </row>
    <row r="37">
      <c r="A37" s="9" t="n">
        <v>34</v>
      </c>
      <c r="B37" s="10" t="inlineStr">
        <is>
          <t xml:space="preserve">        with self._lock:</t>
        </is>
      </c>
    </row>
    <row r="38">
      <c r="A38" s="7" t="n">
        <v>35</v>
      </c>
      <c r="B38" s="8" t="inlineStr">
        <is>
          <t xml:space="preserve">            self._valid_keys.pop(api_key, None)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 xml:space="preserve">    def verify(self, api_key: str) -&gt; Tuple[bool, str, Dict]:</t>
        </is>
      </c>
    </row>
    <row r="41">
      <c r="A41" s="9" t="n">
        <v>38</v>
      </c>
      <c r="B41" s="10" t="inlineStr">
        <is>
          <t xml:space="preserve">        """</t>
        </is>
      </c>
    </row>
    <row r="42">
      <c r="A42" s="7" t="n">
        <v>39</v>
      </c>
      <c r="B42" s="8" t="inlineStr">
        <is>
          <t xml:space="preserve">        校验密钥 + 频率限制。</t>
        </is>
      </c>
    </row>
    <row r="43">
      <c r="A43" s="9" t="n">
        <v>40</v>
      </c>
      <c r="B43" s="10" t="inlineStr">
        <is>
          <t xml:space="preserve">        返回: (是否通过, 消息, 用户信息)</t>
        </is>
      </c>
    </row>
    <row r="44">
      <c r="A44" s="7" t="n">
        <v>41</v>
      </c>
      <c r="B44" s="8" t="inlineStr">
        <is>
          <t xml:space="preserve">        """</t>
        </is>
      </c>
    </row>
    <row r="45">
      <c r="A45" s="9" t="n">
        <v>42</v>
      </c>
      <c r="B45" s="10" t="inlineStr">
        <is>
          <t xml:space="preserve">        if api_key not in self._valid_keys:</t>
        </is>
      </c>
    </row>
    <row r="46">
      <c r="A46" s="7" t="n">
        <v>43</v>
      </c>
      <c r="B46" s="8" t="inlineStr">
        <is>
          <t xml:space="preserve">            _log.warning(f"无效API密钥: {api_key[:8]}...")</t>
        </is>
      </c>
    </row>
    <row r="47">
      <c r="A47" s="9" t="n">
        <v>44</v>
      </c>
      <c r="B47" s="10" t="inlineStr">
        <is>
          <t xml:space="preserve">            return False, "无效的API密钥", {}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 xml:space="preserve">        user_info = self._valid_keys[api_key]</t>
        </is>
      </c>
    </row>
    <row r="50">
      <c r="A50" s="7" t="n">
        <v>47</v>
      </c>
      <c r="B50" s="8" t="inlineStr">
        <is>
          <t xml:space="preserve">        user_id = user_info["user_id"]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    # 频率限制</t>
        </is>
      </c>
    </row>
    <row r="53">
      <c r="A53" s="9" t="n">
        <v>50</v>
      </c>
      <c r="B53" s="10" t="inlineStr">
        <is>
          <t xml:space="preserve">        with self._lock:</t>
        </is>
      </c>
    </row>
    <row r="54">
      <c r="A54" s="7" t="n">
        <v>51</v>
      </c>
      <c r="B54" s="8" t="inlineStr">
        <is>
          <t xml:space="preserve">            now = time.time()</t>
        </is>
      </c>
    </row>
    <row r="55">
      <c r="A55" s="9" t="n">
        <v>52</v>
      </c>
      <c r="B55" s="10" t="inlineStr">
        <is>
          <t xml:space="preserve">            if user_id not in self._rate_limit:</t>
        </is>
      </c>
    </row>
    <row r="56">
      <c r="A56" s="7" t="n">
        <v>53</v>
      </c>
      <c r="B56" s="8" t="inlineStr">
        <is>
          <t xml:space="preserve">                self._rate_limit[user_id] = []</t>
        </is>
      </c>
    </row>
    <row r="57">
      <c r="A57" s="9" t="n">
        <v>54</v>
      </c>
      <c r="B57" s="10" t="inlineStr">
        <is>
          <t xml:space="preserve">            # 清除过期记录</t>
        </is>
      </c>
    </row>
    <row r="58">
      <c r="A58" s="7" t="n">
        <v>55</v>
      </c>
      <c r="B58" s="8" t="inlineStr">
        <is>
          <t xml:space="preserve">            self._rate_limit[user_id] = [ts for ts in self._rate_limit[user_id] if now - ts &lt; 60]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        if len(self._rate_limit[user_id]) &gt;= self._max_rpm:</t>
        </is>
      </c>
    </row>
    <row r="61">
      <c r="A61" s="9" t="n">
        <v>58</v>
      </c>
      <c r="B61" s="10" t="inlineStr">
        <is>
          <t xml:space="preserve">                _log.warning(f"用户 {user_id} 触发频率限制")</t>
        </is>
      </c>
    </row>
    <row r="62">
      <c r="A62" s="7" t="n">
        <v>59</v>
      </c>
      <c r="B62" s="8" t="inlineStr">
        <is>
          <t xml:space="preserve">                return False, f"请求过于频繁(&gt;{self._max_rpm}次/分钟)", user_info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        self._rate_limit[user_id].append(now)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 xml:space="preserve">        return True, "OK", user_info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>
        <is>
          <t xml:space="preserve">    def check_role(self, user_info: Dict, required_role: str) -&gt; bool:</t>
        </is>
      </c>
    </row>
    <row r="69">
      <c r="A69" s="9" t="n">
        <v>66</v>
      </c>
      <c r="B69" s="10" t="inlineStr">
        <is>
          <t xml:space="preserve">        """检查用户是否拥有指定角色权限"""</t>
        </is>
      </c>
    </row>
    <row r="70">
      <c r="A70" s="7" t="n">
        <v>67</v>
      </c>
      <c r="B70" s="8" t="inlineStr">
        <is>
          <t xml:space="preserve">        hierarchy = {"admin": 3, "editor": 2, "user": 1}</t>
        </is>
      </c>
    </row>
    <row r="71">
      <c r="A71" s="9" t="n">
        <v>68</v>
      </c>
      <c r="B71" s="10" t="inlineStr">
        <is>
          <t xml:space="preserve">        user_level = hierarchy.get(user_info.get("role", "user"), 1)</t>
        </is>
      </c>
    </row>
    <row r="72">
      <c r="A72" s="7" t="n">
        <v>69</v>
      </c>
      <c r="B72" s="8" t="inlineStr">
        <is>
          <t xml:space="preserve">        required_level = hierarchy.get(required_role, 1)</t>
        </is>
      </c>
    </row>
    <row r="73">
      <c r="A73" s="9" t="n">
        <v>70</v>
      </c>
      <c r="B73" s="10" t="inlineStr">
        <is>
          <t xml:space="preserve">        return user_level &gt;= required_level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def get_key_count(self) -&gt; int:</t>
        </is>
      </c>
    </row>
    <row r="76">
      <c r="A76" s="7" t="n">
        <v>73</v>
      </c>
      <c r="B76" s="8" t="inlineStr">
        <is>
          <t xml:space="preserve">        """获取已注册密钥数"""</t>
        </is>
      </c>
    </row>
    <row r="77">
      <c r="A77" s="9" t="n">
        <v>74</v>
      </c>
      <c r="B77" s="10" t="inlineStr">
        <is>
          <t xml:space="preserve">        with self._lock:</t>
        </is>
      </c>
    </row>
    <row r="78">
      <c r="A78" s="7" t="n">
        <v>75</v>
      </c>
      <c r="B78" s="8" t="inlineStr">
        <is>
          <t xml:space="preserve">            return len(self._valid_keys)</t>
        </is>
      </c>
    </row>
    <row r="79">
      <c r="A79" s="9" t="n">
        <v>76</v>
      </c>
      <c r="B79" s="10" t="inlineStr"/>
    </row>
    <row r="80">
      <c r="A80" s="7" t="n">
        <v>77</v>
      </c>
      <c r="B80" s="8" t="inlineStr">
        <is>
          <t xml:space="preserve">    # ═════════ ★ v12.3: 用户配额管理 ═════════</t>
        </is>
      </c>
    </row>
    <row r="81">
      <c r="A81" s="9" t="n">
        <v>78</v>
      </c>
      <c r="B81" s="10" t="inlineStr">
        <is>
          <t xml:space="preserve">    def get_quota(self, user_id: str) -&gt; dict:</t>
        </is>
      </c>
    </row>
    <row r="82">
      <c r="A82" s="7" t="n">
        <v>79</v>
      </c>
      <c r="B82" s="8" t="inlineStr">
        <is>
          <t xml:space="preserve">        """查询用户配额详情"""</t>
        </is>
      </c>
    </row>
    <row r="83">
      <c r="A83" s="9" t="n">
        <v>80</v>
      </c>
      <c r="B83" s="10" t="inlineStr">
        <is>
          <t xml:space="preserve">        import time as _t</t>
        </is>
      </c>
    </row>
    <row r="84">
      <c r="A84" s="7" t="n">
        <v>81</v>
      </c>
      <c r="B84" s="8" t="inlineStr">
        <is>
          <t xml:space="preserve">        today = _t.strftime("%Y%m%d")</t>
        </is>
      </c>
    </row>
    <row r="85">
      <c r="A85" s="9" t="n">
        <v>82</v>
      </c>
      <c r="B85" s="10" t="inlineStr"/>
    </row>
    <row r="86">
      <c r="A86" s="7" t="n">
        <v>83</v>
      </c>
      <c r="B86" s="8" t="inlineStr">
        <is>
          <t xml:space="preserve">        # 查找角色</t>
        </is>
      </c>
    </row>
    <row r="87">
      <c r="A87" s="9" t="n">
        <v>84</v>
      </c>
      <c r="B87" s="10" t="inlineStr">
        <is>
          <t xml:space="preserve">        role = "user"</t>
        </is>
      </c>
    </row>
    <row r="88">
      <c r="A88" s="7" t="n">
        <v>85</v>
      </c>
      <c r="B88" s="8" t="inlineStr">
        <is>
          <t xml:space="preserve">        daily_total = 50</t>
        </is>
      </c>
    </row>
    <row r="89">
      <c r="A89" s="9" t="n">
        <v>86</v>
      </c>
      <c r="B89" s="10" t="inlineStr">
        <is>
          <t xml:space="preserve">        for info in self._valid_keys.values():</t>
        </is>
      </c>
    </row>
    <row r="90">
      <c r="A90" s="7" t="n">
        <v>87</v>
      </c>
      <c r="B90" s="8" t="inlineStr">
        <is>
          <t xml:space="preserve">            if info["user_id"] == user_id:</t>
        </is>
      </c>
    </row>
    <row r="91">
      <c r="A91" s="9" t="n">
        <v>88</v>
      </c>
      <c r="B91" s="10" t="inlineStr">
        <is>
          <t xml:space="preserve">                role = info["role"]</t>
        </is>
      </c>
    </row>
    <row r="92">
      <c r="A92" s="7" t="n">
        <v>89</v>
      </c>
      <c r="B92" s="8" t="inlineStr">
        <is>
          <t xml:space="preserve">                break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 xml:space="preserve">        quota_map = {"admin": 9999, "editor": 200, "user": 50}</t>
        </is>
      </c>
    </row>
    <row r="95">
      <c r="A95" s="9" t="n">
        <v>92</v>
      </c>
      <c r="B95" s="10" t="inlineStr">
        <is>
          <t xml:space="preserve">        daily_total = quota_map.get(role, 50)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 xml:space="preserve">        with self._lock:</t>
        </is>
      </c>
    </row>
    <row r="98">
      <c r="A98" s="7" t="n">
        <v>95</v>
      </c>
      <c r="B98" s="8" t="inlineStr">
        <is>
          <t xml:space="preserve">            if user_id not in self._rate_limit:</t>
        </is>
      </c>
    </row>
    <row r="99">
      <c r="A99" s="9" t="n">
        <v>96</v>
      </c>
      <c r="B99" s="10" t="inlineStr">
        <is>
          <t xml:space="preserve">                used = 0</t>
        </is>
      </c>
    </row>
    <row r="100">
      <c r="A100" s="7" t="n">
        <v>97</v>
      </c>
      <c r="B100" s="8" t="inlineStr">
        <is>
          <t xml:space="preserve">            else:</t>
        </is>
      </c>
    </row>
    <row r="101">
      <c r="A101" s="9" t="n">
        <v>98</v>
      </c>
      <c r="B101" s="10" t="inlineStr">
        <is>
          <t xml:space="preserve">                now_ts = _t.time()</t>
        </is>
      </c>
    </row>
    <row r="102">
      <c r="A102" s="7" t="n">
        <v>99</v>
      </c>
      <c r="B102" s="8" t="inlineStr">
        <is>
          <t xml:space="preserve">                used = sum(1 for ts in self._rate_limit.get(user_id, []) if now_ts - ts &lt; 86400)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 xml:space="preserve">        return {</t>
        </is>
      </c>
    </row>
    <row r="105">
      <c r="A105" s="9" t="n">
        <v>102</v>
      </c>
      <c r="B105" s="10" t="inlineStr">
        <is>
          <t xml:space="preserve">            "user_id": user_id,</t>
        </is>
      </c>
    </row>
    <row r="106">
      <c r="A106" s="7" t="n">
        <v>103</v>
      </c>
      <c r="B106" s="8" t="inlineStr">
        <is>
          <t xml:space="preserve">            "role": role,</t>
        </is>
      </c>
    </row>
    <row r="107">
      <c r="A107" s="9" t="n">
        <v>104</v>
      </c>
      <c r="B107" s="10" t="inlineStr">
        <is>
          <t xml:space="preserve">            "daily_total": daily_total,</t>
        </is>
      </c>
    </row>
    <row r="108">
      <c r="A108" s="7" t="n">
        <v>105</v>
      </c>
      <c r="B108" s="8" t="inlineStr">
        <is>
          <t xml:space="preserve">            "today_used": min(used, daily_total),</t>
        </is>
      </c>
    </row>
    <row r="109">
      <c r="A109" s="9" t="n">
        <v>106</v>
      </c>
      <c r="B109" s="10" t="inlineStr">
        <is>
          <t xml:space="preserve">            "today_remaining": max(daily_total - used, 0),</t>
        </is>
      </c>
    </row>
    <row r="110">
      <c r="A110" s="7" t="n">
        <v>107</v>
      </c>
      <c r="B110" s="8" t="inlineStr">
        <is>
          <t xml:space="preserve">        }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 xml:space="preserve">    def check_quota(self, user_id: str, role: str = None) -&gt; tuple:</t>
        </is>
      </c>
    </row>
    <row r="113">
      <c r="A113" s="9" t="n">
        <v>110</v>
      </c>
      <c r="B113" s="10" t="inlineStr">
        <is>
          <t xml:space="preserve">        """检查并扣除配额 (原子操作)"""</t>
        </is>
      </c>
    </row>
    <row r="114">
      <c r="A114" s="7" t="n">
        <v>111</v>
      </c>
      <c r="B114" s="8" t="inlineStr">
        <is>
          <t xml:space="preserve">        import time as _t</t>
        </is>
      </c>
    </row>
    <row r="115">
      <c r="A115" s="9" t="n">
        <v>112</v>
      </c>
      <c r="B115" s="10" t="inlineStr">
        <is>
          <t xml:space="preserve">        today = _t.strftime("%Y%m%d")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    # 用 verify 中的频率限制做基础配额</t>
        </is>
      </c>
    </row>
    <row r="118">
      <c r="A118" s="7" t="n">
        <v>115</v>
      </c>
      <c r="B118" s="8" t="inlineStr">
        <is>
          <t xml:space="preserve">        quota_map = {"admin": 9999, "editor": 200, "user": 50}</t>
        </is>
      </c>
    </row>
    <row r="119">
      <c r="A119" s="9" t="n">
        <v>116</v>
      </c>
      <c r="B119" s="10" t="inlineStr">
        <is>
          <t xml:space="preserve">        effective_role = role or "user"</t>
        </is>
      </c>
    </row>
    <row r="120">
      <c r="A120" s="7" t="n">
        <v>117</v>
      </c>
      <c r="B120" s="8" t="inlineStr">
        <is>
          <t xml:space="preserve">        max_rpm = quota_map.get(effective_role, 50)</t>
        </is>
      </c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 xml:space="preserve">        with self._lock:</t>
        </is>
      </c>
    </row>
    <row r="123">
      <c r="A123" s="9" t="n">
        <v>120</v>
      </c>
      <c r="B123" s="10" t="inlineStr">
        <is>
          <t xml:space="preserve">            if user_id not in self._rate_limit:</t>
        </is>
      </c>
    </row>
    <row r="124">
      <c r="A124" s="7" t="n">
        <v>121</v>
      </c>
      <c r="B124" s="8" t="inlineStr">
        <is>
          <t xml:space="preserve">                self._rate_limit[user_id] = []</t>
        </is>
      </c>
    </row>
    <row r="125">
      <c r="A125" s="9" t="n">
        <v>122</v>
      </c>
      <c r="B125" s="10" t="inlineStr">
        <is>
          <t xml:space="preserve">            now = _t.time()</t>
        </is>
      </c>
    </row>
    <row r="126">
      <c r="A126" s="7" t="n">
        <v>123</v>
      </c>
      <c r="B126" s="8" t="inlineStr">
        <is>
          <t xml:space="preserve">            # 24小时窗口</t>
        </is>
      </c>
    </row>
    <row r="127">
      <c r="A127" s="9" t="n">
        <v>124</v>
      </c>
      <c r="B127" s="10" t="inlineStr">
        <is>
          <t xml:space="preserve">            self._rate_limit[user_id] = [ts for ts in self._rate_limit[user_id] if now - ts &lt; 86400]</t>
        </is>
      </c>
    </row>
    <row r="128">
      <c r="A128" s="7" t="n">
        <v>125</v>
      </c>
      <c r="B128" s="8" t="inlineStr">
        <is>
          <t xml:space="preserve">            used = len(self._rate_limit[user_id])</t>
        </is>
      </c>
    </row>
    <row r="129">
      <c r="A129" s="9" t="n">
        <v>126</v>
      </c>
      <c r="B129" s="10" t="inlineStr"/>
    </row>
    <row r="130">
      <c r="A130" s="7" t="n">
        <v>127</v>
      </c>
      <c r="B130" s="8" t="inlineStr">
        <is>
          <t xml:space="preserve">            if used &gt;= max_rpm:</t>
        </is>
      </c>
    </row>
    <row r="131">
      <c r="A131" s="9" t="n">
        <v>128</v>
      </c>
      <c r="B131" s="10" t="inlineStr">
        <is>
          <t xml:space="preserve">                return False, f"日配额已用完({used}/{max_rpm})", used</t>
        </is>
      </c>
    </row>
    <row r="132">
      <c r="A132" s="7" t="n">
        <v>129</v>
      </c>
      <c r="B132" s="8" t="inlineStr"/>
    </row>
    <row r="133">
      <c r="A133" s="9" t="n">
        <v>130</v>
      </c>
      <c r="B133" s="10" t="inlineStr">
        <is>
          <t xml:space="preserve">            self._rate_limit[user_id].append(now)</t>
        </is>
      </c>
    </row>
    <row r="134">
      <c r="A134" s="7" t="n">
        <v>131</v>
      </c>
      <c r="B134" s="8" t="inlineStr">
        <is>
          <t xml:space="preserve">            return True, "OK", used + 1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 xml:space="preserve">    def get_operation_logs(self, limit: int = 50) -&gt; list:</t>
        </is>
      </c>
    </row>
    <row r="137">
      <c r="A137" s="9" t="n">
        <v>134</v>
      </c>
      <c r="B137" s="10" t="inlineStr">
        <is>
          <t xml:space="preserve">        """获取操作审计日志"""</t>
        </is>
      </c>
    </row>
    <row r="138">
      <c r="A138" s="7" t="n">
        <v>135</v>
      </c>
      <c r="B138" s="8" t="inlineStr">
        <is>
          <t xml:space="preserve">        return self._operation_logs[-limit:] if hasattr(self, '_operation_logs') else []</t>
        </is>
      </c>
    </row>
    <row r="139">
      <c r="A139" s="9" t="n">
        <v>136</v>
      </c>
      <c r="B139" s="10" t="inlineStr"/>
    </row>
    <row r="140">
      <c r="A140" s="7" t="n">
        <v>137</v>
      </c>
      <c r="B140" s="8" t="inlineStr">
        <is>
          <t xml:space="preserve">    def log_operation(self, user_id: str, op: str, ok: bool, msg: str = ""):</t>
        </is>
      </c>
    </row>
    <row r="141">
      <c r="A141" s="9" t="n">
        <v>138</v>
      </c>
      <c r="B141" s="10" t="inlineStr">
        <is>
          <t xml:space="preserve">        """记录操作(供外部调用)"""</t>
        </is>
      </c>
    </row>
    <row r="142">
      <c r="A142" s="7" t="n">
        <v>139</v>
      </c>
      <c r="B142" s="8" t="inlineStr">
        <is>
          <t xml:space="preserve">        if not hasattr(self, '_operation_logs'):</t>
        </is>
      </c>
    </row>
    <row r="143">
      <c r="A143" s="9" t="n">
        <v>140</v>
      </c>
      <c r="B143" s="10" t="inlineStr">
        <is>
          <t xml:space="preserve">            self._operation_logs = []</t>
        </is>
      </c>
    </row>
    <row r="144">
      <c r="A144" s="7" t="n">
        <v>141</v>
      </c>
      <c r="B144" s="8" t="inlineStr">
        <is>
          <t xml:space="preserve">        self._operation_logs.append({</t>
        </is>
      </c>
    </row>
    <row r="145">
      <c r="A145" s="9" t="n">
        <v>142</v>
      </c>
      <c r="B145" s="10" t="inlineStr">
        <is>
          <t xml:space="preserve">            "user_id": user_id, "operation": op, "success": ok,</t>
        </is>
      </c>
    </row>
    <row r="146">
      <c r="A146" s="7" t="n">
        <v>143</v>
      </c>
      <c r="B146" s="8" t="inlineStr">
        <is>
          <t xml:space="preserve">            "message": msg, "time": datetime.now().isoformat(),</t>
        </is>
      </c>
    </row>
    <row r="147">
      <c r="A147" s="9" t="n">
        <v>144</v>
      </c>
      <c r="B147" s="10" t="inlineStr">
        <is>
          <t xml:space="preserve">        })</t>
        </is>
      </c>
    </row>
    <row r="148">
      <c r="A148" s="7" t="n">
        <v>145</v>
      </c>
      <c r="B148" s="8" t="inlineStr">
        <is>
          <t xml:space="preserve">        if len(self._operation_logs) &gt; 10000:</t>
        </is>
      </c>
    </row>
    <row r="149">
      <c r="A149" s="9" t="n">
        <v>146</v>
      </c>
      <c r="B149" s="10" t="inlineStr">
        <is>
          <t xml:space="preserve">            self._operation_logs = self._operation_logs[-10000:]</t>
        </is>
      </c>
    </row>
    <row r="150">
      <c r="A150" s="7" t="n">
        <v>147</v>
      </c>
      <c r="B150" s="8" t="inlineStr"/>
    </row>
    <row r="151">
      <c r="A151" s="9" t="n">
        <v>148</v>
      </c>
      <c r="B151" s="10" t="inlineStr"/>
    </row>
    <row r="152">
      <c r="A152" s="7" t="n">
        <v>149</v>
      </c>
      <c r="B152" s="8" t="inlineStr">
        <is>
          <t>_auth: AuthMiddleware = None</t>
        </is>
      </c>
    </row>
    <row r="153">
      <c r="A153" s="9" t="n">
        <v>150</v>
      </c>
      <c r="B153" s="10" t="inlineStr"/>
    </row>
    <row r="154">
      <c r="A154" s="7" t="n">
        <v>151</v>
      </c>
      <c r="B154" s="8" t="inlineStr">
        <is>
          <t>def get_auth() -&gt; AuthMiddleware:</t>
        </is>
      </c>
    </row>
    <row r="155">
      <c r="A155" s="9" t="n">
        <v>152</v>
      </c>
      <c r="B155" s="10" t="inlineStr">
        <is>
          <t xml:space="preserve">    global _auth</t>
        </is>
      </c>
    </row>
    <row r="156">
      <c r="A156" s="7" t="n">
        <v>153</v>
      </c>
      <c r="B156" s="8" t="inlineStr">
        <is>
          <t xml:space="preserve">    if _auth is None:</t>
        </is>
      </c>
    </row>
    <row r="157">
      <c r="A157" s="9" t="n">
        <v>154</v>
      </c>
      <c r="B157" s="10" t="inlineStr">
        <is>
          <t xml:space="preserve">        _auth = AuthMiddleware()</t>
        </is>
      </c>
    </row>
    <row r="158">
      <c r="A158" s="7" t="n">
        <v>155</v>
      </c>
      <c r="B158" s="8" t="inlineStr">
        <is>
          <t xml:space="preserve">    return _auth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core\auto_corrector.py</t>
        </is>
      </c>
      <c r="C1" s="5" t="inlineStr">
        <is>
          <t>行数: 208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v13.1 — 自动纠错管道</t>
        </is>
      </c>
    </row>
    <row r="6">
      <c r="A6" s="7" t="n">
        <v>3</v>
      </c>
      <c r="B6" s="8">
        <f>==================================</f>
        <v/>
      </c>
    </row>
    <row r="7">
      <c r="A7" s="9" t="n">
        <v>4</v>
      </c>
      <c r="B7" s="10" t="inlineStr">
        <is>
          <t>质检发现的问题 → 自动修复 → 输出优化后视频。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能力:</t>
        </is>
      </c>
    </row>
    <row r="10">
      <c r="A10" s="7" t="n">
        <v>7</v>
      </c>
      <c r="B10" s="8" t="inlineStr">
        <is>
          <t xml:space="preserve">  1. 黑场自动裁剪 (FFmpeg)</t>
        </is>
      </c>
    </row>
    <row r="11">
      <c r="A11" s="9" t="n">
        <v>8</v>
      </c>
      <c r="B11" s="10" t="inlineStr">
        <is>
          <t xml:space="preserve">  2. 字幕时间轴自动对齐</t>
        </is>
      </c>
    </row>
    <row r="12">
      <c r="A12" s="7" t="n">
        <v>9</v>
      </c>
      <c r="B12" s="8" t="inlineStr">
        <is>
          <t xml:space="preserve">  3. 字幕错别字自动纠正</t>
        </is>
      </c>
    </row>
    <row r="13">
      <c r="A13" s="9" t="n">
        <v>10</v>
      </c>
      <c r="B13" s="10" t="inlineStr">
        <is>
          <t xml:space="preserve">  4. 导出纠错报告</t>
        </is>
      </c>
    </row>
    <row r="14">
      <c r="A14" s="7" t="n">
        <v>11</v>
      </c>
      <c r="B14" s="8" t="inlineStr">
        <is>
          <t>"""</t>
        </is>
      </c>
    </row>
    <row r="15">
      <c r="A15" s="9" t="n">
        <v>12</v>
      </c>
      <c r="B15" s="10" t="inlineStr">
        <is>
          <t>import logging</t>
        </is>
      </c>
    </row>
    <row r="16">
      <c r="A16" s="7" t="n">
        <v>13</v>
      </c>
      <c r="B16" s="8" t="inlineStr">
        <is>
          <t>import json</t>
        </is>
      </c>
    </row>
    <row r="17">
      <c r="A17" s="9" t="n">
        <v>14</v>
      </c>
      <c r="B17" s="10" t="inlineStr">
        <is>
          <t>from pathlib import Path</t>
        </is>
      </c>
    </row>
    <row r="18">
      <c r="A18" s="7" t="n">
        <v>15</v>
      </c>
      <c r="B18" s="8" t="inlineStr">
        <is>
          <t>from typing import List, Dict, Optional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_log = logging.getLogger("TreeCut.AutoCorrector")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/>
    </row>
    <row r="23">
      <c r="A23" s="9" t="n">
        <v>20</v>
      </c>
      <c r="B23" s="10" t="inlineStr">
        <is>
          <t>class AutoCorrector:</t>
        </is>
      </c>
    </row>
    <row r="24">
      <c r="A24" s="7" t="n">
        <v>21</v>
      </c>
      <c r="B24" s="8" t="inlineStr">
        <is>
          <t xml:space="preserve">    """自动纠错管道 — 接收质检结果，自动修复可修复项"""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 xml:space="preserve">    def __init__(self):</t>
        </is>
      </c>
    </row>
    <row r="27">
      <c r="A27" s="9" t="n">
        <v>24</v>
      </c>
      <c r="B27" s="10" t="inlineStr">
        <is>
          <t xml:space="preserve">        _log.info("自动纠错管道初始化完成")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 xml:space="preserve">    # ═══════════════ 黑场裁剪 ═══════════════</t>
        </is>
      </c>
    </row>
    <row r="30">
      <c r="A30" s="7" t="n">
        <v>27</v>
      </c>
      <c r="B30" s="8" t="inlineStr">
        <is>
          <t xml:space="preserve">    def trim_black_frames(self, video_path: str,</t>
        </is>
      </c>
    </row>
    <row r="31">
      <c r="A31" s="9" t="n">
        <v>28</v>
      </c>
      <c r="B31" s="10" t="inlineStr">
        <is>
          <t xml:space="preserve">                          black_segments: List[dict],</t>
        </is>
      </c>
    </row>
    <row r="32">
      <c r="A32" s="7" t="n">
        <v>29</v>
      </c>
      <c r="B32" s="8" t="inlineStr">
        <is>
          <t xml:space="preserve">                          output_path: str = None) -&gt; Optional[str]:</t>
        </is>
      </c>
    </row>
    <row r="33">
      <c r="A33" s="9" t="n">
        <v>30</v>
      </c>
      <c r="B33" s="10" t="inlineStr">
        <is>
          <t xml:space="preserve">        """</t>
        </is>
      </c>
    </row>
    <row r="34">
      <c r="A34" s="7" t="n">
        <v>31</v>
      </c>
      <c r="B34" s="8" t="inlineStr">
        <is>
          <t xml:space="preserve">        自动裁剪黑场片段，保留有效内容拼接输出。</t>
        </is>
      </c>
    </row>
    <row r="35">
      <c r="A35" s="9" t="n">
        <v>32</v>
      </c>
      <c r="B35" s="10" t="inlineStr">
        <is>
          <t xml:space="preserve">        black_segments: [{"start": 1.0, "end": 2.5}, ...]</t>
        </is>
      </c>
    </row>
    <row r="36">
      <c r="A36" s="7" t="n">
        <v>33</v>
      </c>
      <c r="B36" s="8" t="inlineStr">
        <is>
          <t xml:space="preserve">        """</t>
        </is>
      </c>
    </row>
    <row r="37">
      <c r="A37" s="9" t="n">
        <v>34</v>
      </c>
      <c r="B37" s="10" t="inlineStr">
        <is>
          <t xml:space="preserve">        if not black_segments:</t>
        </is>
      </c>
    </row>
    <row r="38">
      <c r="A38" s="7" t="n">
        <v>35</v>
      </c>
      <c r="B38" s="8" t="inlineStr">
        <is>
          <t xml:space="preserve">            _log.info("无黑场需要裁剪")</t>
        </is>
      </c>
    </row>
    <row r="39">
      <c r="A39" s="9" t="n">
        <v>36</v>
      </c>
      <c r="B39" s="10" t="inlineStr">
        <is>
          <t xml:space="preserve">            return video_path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 xml:space="preserve">        if not output_path:</t>
        </is>
      </c>
    </row>
    <row r="42">
      <c r="A42" s="7" t="n">
        <v>39</v>
      </c>
      <c r="B42" s="8" t="inlineStr">
        <is>
          <t xml:space="preserve">            p = Path(video_path)</t>
        </is>
      </c>
    </row>
    <row r="43">
      <c r="A43" s="9" t="n">
        <v>40</v>
      </c>
      <c r="B43" s="10" t="inlineStr">
        <is>
          <t xml:space="preserve">            output_path = str(p.parent / f"{p.stem}_trimmed{p.suffix}")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 xml:space="preserve">        try:</t>
        </is>
      </c>
    </row>
    <row r="46">
      <c r="A46" s="7" t="n">
        <v>43</v>
      </c>
      <c r="B46" s="8" t="inlineStr">
        <is>
          <t xml:space="preserve">            import subprocess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 xml:space="preserve">            # 构建 FFmpeg trim 滤镜</t>
        </is>
      </c>
    </row>
    <row r="49">
      <c r="A49" s="9" t="n">
        <v>46</v>
      </c>
      <c r="B49" s="10" t="inlineStr">
        <is>
          <t xml:space="preserve">            # 方案: 用 concat demuxer 拼接非黑场片段</t>
        </is>
      </c>
    </row>
    <row r="50">
      <c r="A50" s="7" t="n">
        <v>47</v>
      </c>
      <c r="B50" s="8" t="inlineStr">
        <is>
          <t xml:space="preserve">            concat_file = output_path + ".concat.txt"</t>
        </is>
      </c>
    </row>
    <row r="51">
      <c r="A51" s="9" t="n">
        <v>48</v>
      </c>
      <c r="B51" s="10" t="inlineStr">
        <is>
          <t xml:space="preserve">            keep_ranges = []</t>
        </is>
      </c>
    </row>
    <row r="52">
      <c r="A52" s="7" t="n">
        <v>49</v>
      </c>
      <c r="B52" s="8" t="inlineStr">
        <is>
          <t xml:space="preserve">            last_end = 0.0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>
        <is>
          <t xml:space="preserve">            # 获取视频总时长</t>
        </is>
      </c>
    </row>
    <row r="55">
      <c r="A55" s="9" t="n">
        <v>52</v>
      </c>
      <c r="B55" s="10" t="inlineStr">
        <is>
          <t xml:space="preserve">            r = subprocess.run(</t>
        </is>
      </c>
    </row>
    <row r="56">
      <c r="A56" s="7" t="n">
        <v>53</v>
      </c>
      <c r="B56" s="8" t="inlineStr">
        <is>
          <t xml:space="preserve">                ["ffprobe", "-v", "quiet", "-show_entries", "format=duration",</t>
        </is>
      </c>
    </row>
    <row r="57">
      <c r="A57" s="9" t="n">
        <v>54</v>
      </c>
      <c r="B57" s="10" t="inlineStr">
        <is>
          <t xml:space="preserve">                 "-of", "csv=p=0", video_path],</t>
        </is>
      </c>
    </row>
    <row r="58">
      <c r="A58" s="7" t="n">
        <v>55</v>
      </c>
      <c r="B58" s="8" t="inlineStr">
        <is>
          <t xml:space="preserve">                capture_output=True, text=True, timeout=10</t>
        </is>
      </c>
    </row>
    <row r="59">
      <c r="A59" s="9" t="n">
        <v>56</v>
      </c>
      <c r="B59" s="10" t="inlineStr">
        <is>
          <t xml:space="preserve">            )</t>
        </is>
      </c>
    </row>
    <row r="60">
      <c r="A60" s="7" t="n">
        <v>57</v>
      </c>
      <c r="B60" s="8" t="inlineStr">
        <is>
          <t xml:space="preserve">            total_dur = float(r.stdout.strip() or 0)</t>
        </is>
      </c>
    </row>
    <row r="61">
      <c r="A61" s="9" t="n">
        <v>58</v>
      </c>
      <c r="B61" s="10" t="inlineStr"/>
    </row>
    <row r="62">
      <c r="A62" s="7" t="n">
        <v>59</v>
      </c>
      <c r="B62" s="8" t="inlineStr">
        <is>
          <t xml:space="preserve">            # 排序黑场片段</t>
        </is>
      </c>
    </row>
    <row r="63">
      <c r="A63" s="9" t="n">
        <v>60</v>
      </c>
      <c r="B63" s="10" t="inlineStr">
        <is>
          <t xml:space="preserve">            sorted_blacks = sorted(black_segments, key=lambda x: x.get("start", 0))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>
        <is>
          <t xml:space="preserve">            # 提取非黑场区间</t>
        </is>
      </c>
    </row>
    <row r="66">
      <c r="A66" s="7" t="n">
        <v>63</v>
      </c>
      <c r="B66" s="8" t="inlineStr">
        <is>
          <t xml:space="preserve">            for seg in sorted_blacks:</t>
        </is>
      </c>
    </row>
    <row r="67">
      <c r="A67" s="9" t="n">
        <v>64</v>
      </c>
      <c r="B67" s="10" t="inlineStr">
        <is>
          <t xml:space="preserve">                bs = seg.get("start", 0)</t>
        </is>
      </c>
    </row>
    <row r="68">
      <c r="A68" s="7" t="n">
        <v>65</v>
      </c>
      <c r="B68" s="8" t="inlineStr">
        <is>
          <t xml:space="preserve">                be = seg.get("end", 0)</t>
        </is>
      </c>
    </row>
    <row r="69">
      <c r="A69" s="9" t="n">
        <v>66</v>
      </c>
      <c r="B69" s="10" t="inlineStr">
        <is>
          <t xml:space="preserve">                if bs &gt; last_end:</t>
        </is>
      </c>
    </row>
    <row r="70">
      <c r="A70" s="7" t="n">
        <v>67</v>
      </c>
      <c r="B70" s="8" t="inlineStr">
        <is>
          <t xml:space="preserve">                    keep_ranges.append((last_end, bs))</t>
        </is>
      </c>
    </row>
    <row r="71">
      <c r="A71" s="9" t="n">
        <v>68</v>
      </c>
      <c r="B71" s="10" t="inlineStr">
        <is>
          <t xml:space="preserve">                last_end = max(last_end, be)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        if last_end &lt; total_dur:</t>
        </is>
      </c>
    </row>
    <row r="74">
      <c r="A74" s="7" t="n">
        <v>71</v>
      </c>
      <c r="B74" s="8" t="inlineStr">
        <is>
          <t xml:space="preserve">                keep_ranges.append((last_end, total_dur))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 xml:space="preserve">            if not keep_ranges:</t>
        </is>
      </c>
    </row>
    <row r="77">
      <c r="A77" s="9" t="n">
        <v>74</v>
      </c>
      <c r="B77" s="10" t="inlineStr">
        <is>
          <t xml:space="preserve">                _log.warning("无有效内容区间")</t>
        </is>
      </c>
    </row>
    <row r="78">
      <c r="A78" s="7" t="n">
        <v>75</v>
      </c>
      <c r="B78" s="8" t="inlineStr">
        <is>
          <t xml:space="preserve">                return None</t>
        </is>
      </c>
    </row>
    <row r="79">
      <c r="A79" s="9" t="n">
        <v>76</v>
      </c>
      <c r="B79" s="10" t="inlineStr"/>
    </row>
    <row r="80">
      <c r="A80" s="7" t="n">
        <v>77</v>
      </c>
      <c r="B80" s="8" t="inlineStr">
        <is>
          <t xml:space="preserve">            # 写入 concat 文件</t>
        </is>
      </c>
    </row>
    <row r="81">
      <c r="A81" s="9" t="n">
        <v>78</v>
      </c>
      <c r="B81" s="10" t="inlineStr">
        <is>
          <t xml:space="preserve">            with open(concat_file, "w") as f:</t>
        </is>
      </c>
    </row>
    <row r="82">
      <c r="A82" s="7" t="n">
        <v>79</v>
      </c>
      <c r="B82" s="8" t="inlineStr">
        <is>
          <t xml:space="preserve">                for i, (s, e) in enumerate(keep_ranges):</t>
        </is>
      </c>
    </row>
    <row r="83">
      <c r="A83" s="9" t="n">
        <v>80</v>
      </c>
      <c r="B83" s="10" t="inlineStr">
        <is>
          <t xml:space="preserve">                    # 为每段生成临时切割</t>
        </is>
      </c>
    </row>
    <row r="84">
      <c r="A84" s="7" t="n">
        <v>81</v>
      </c>
      <c r="B84" s="8" t="inlineStr">
        <is>
          <t xml:space="preserve">                    seg_file = f"{output_path}.seg{i}.mp4"</t>
        </is>
      </c>
    </row>
    <row r="85">
      <c r="A85" s="9" t="n">
        <v>82</v>
      </c>
      <c r="B85" s="10" t="inlineStr">
        <is>
          <t xml:space="preserve">                    subprocess.run([</t>
        </is>
      </c>
    </row>
    <row r="86">
      <c r="A86" s="7" t="n">
        <v>83</v>
      </c>
      <c r="B86" s="8" t="inlineStr">
        <is>
          <t xml:space="preserve">                        "ffmpeg", "-y", "-ss", str(s), "-to", str(e - s),</t>
        </is>
      </c>
    </row>
    <row r="87">
      <c r="A87" s="9" t="n">
        <v>84</v>
      </c>
      <c r="B87" s="10" t="inlineStr">
        <is>
          <t xml:space="preserve">                        "-i", video_path, "-c", "copy", seg_file,</t>
        </is>
      </c>
    </row>
    <row r="88">
      <c r="A88" s="7" t="n">
        <v>85</v>
      </c>
      <c r="B88" s="8" t="inlineStr">
        <is>
          <t xml:space="preserve">                    ], capture_output=True, timeout=30)</t>
        </is>
      </c>
    </row>
    <row r="89">
      <c r="A89" s="9" t="n">
        <v>86</v>
      </c>
      <c r="B89" s="10" t="inlineStr">
        <is>
          <t xml:space="preserve">                    f.write(f"file '{seg_file}'\n")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 xml:space="preserve">            # 拼合</t>
        </is>
      </c>
    </row>
    <row r="92">
      <c r="A92" s="7" t="n">
        <v>89</v>
      </c>
      <c r="B92" s="8" t="inlineStr">
        <is>
          <t xml:space="preserve">            subprocess.run([</t>
        </is>
      </c>
    </row>
    <row r="93">
      <c r="A93" s="9" t="n">
        <v>90</v>
      </c>
      <c r="B93" s="10" t="inlineStr">
        <is>
          <t xml:space="preserve">                "ffmpeg", "-y", "-f", "concat", "-safe", "0",</t>
        </is>
      </c>
    </row>
    <row r="94">
      <c r="A94" s="7" t="n">
        <v>91</v>
      </c>
      <c r="B94" s="8" t="inlineStr">
        <is>
          <t xml:space="preserve">                "-i", concat_file, "-c", "copy", output_path,</t>
        </is>
      </c>
    </row>
    <row r="95">
      <c r="A95" s="9" t="n">
        <v>92</v>
      </c>
      <c r="B95" s="10" t="inlineStr">
        <is>
          <t xml:space="preserve">            ], capture_output=True, timeout=60)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 xml:space="preserve">            _log.info(f"黑场裁剪完成: {output_path} (保留{len(keep_ranges)}段)")</t>
        </is>
      </c>
    </row>
    <row r="98">
      <c r="A98" s="7" t="n">
        <v>95</v>
      </c>
      <c r="B98" s="8" t="inlineStr">
        <is>
          <t xml:space="preserve">            return output_path</t>
        </is>
      </c>
    </row>
    <row r="99">
      <c r="A99" s="9" t="n">
        <v>96</v>
      </c>
      <c r="B99" s="10" t="inlineStr">
        <is>
          <t xml:space="preserve">        except Exception as e:</t>
        </is>
      </c>
    </row>
    <row r="100">
      <c r="A100" s="7" t="n">
        <v>97</v>
      </c>
      <c r="B100" s="8" t="inlineStr">
        <is>
          <t xml:space="preserve">            _log.error(f"黑场裁剪失败: {e}")</t>
        </is>
      </c>
    </row>
    <row r="101">
      <c r="A101" s="9" t="n">
        <v>98</v>
      </c>
      <c r="B101" s="10" t="inlineStr">
        <is>
          <t xml:space="preserve">            return None</t>
        </is>
      </c>
    </row>
    <row r="102">
      <c r="A102" s="7" t="n">
        <v>99</v>
      </c>
      <c r="B102" s="8" t="inlineStr"/>
    </row>
    <row r="103">
      <c r="A103" s="9" t="n">
        <v>100</v>
      </c>
      <c r="B103" s="10" t="inlineStr">
        <is>
          <t xml:space="preserve">    # ═══════════════ 字幕时间轴对齐 ═══════════════</t>
        </is>
      </c>
    </row>
    <row r="104">
      <c r="A104" s="7" t="n">
        <v>101</v>
      </c>
      <c r="B104" s="8" t="inlineStr">
        <is>
          <t xml:space="preserve">    def align_subtitle_timeline(self, audio_segments: List[dict],</t>
        </is>
      </c>
    </row>
    <row r="105">
      <c r="A105" s="9" t="n">
        <v>102</v>
      </c>
      <c r="B105" s="10" t="inlineStr">
        <is>
          <t xml:space="preserve">                                subtitle_segments: List[dict]) -&gt; List[dict]:</t>
        </is>
      </c>
    </row>
    <row r="106">
      <c r="A106" s="7" t="n">
        <v>103</v>
      </c>
      <c r="B106" s="8" t="inlineStr">
        <is>
          <t xml:space="preserve">        """</t>
        </is>
      </c>
    </row>
    <row r="107">
      <c r="A107" s="9" t="n">
        <v>104</v>
      </c>
      <c r="B107" s="10" t="inlineStr">
        <is>
          <t xml:space="preserve">        按语音时间轴自动修正字幕时间对齐。</t>
        </is>
      </c>
    </row>
    <row r="108">
      <c r="A108" s="7" t="n">
        <v>105</v>
      </c>
      <c r="B108" s="8" t="inlineStr">
        <is>
          <t xml:space="preserve">        返回修正后的字幕列表。</t>
        </is>
      </c>
    </row>
    <row r="109">
      <c r="A109" s="9" t="n">
        <v>106</v>
      </c>
      <c r="B109" s="10" t="inlineStr">
        <is>
          <t xml:space="preserve">        """</t>
        </is>
      </c>
    </row>
    <row r="110">
      <c r="A110" s="7" t="n">
        <v>107</v>
      </c>
      <c r="B110" s="8" t="inlineStr">
        <is>
          <t xml:space="preserve">        if not audio_segments:</t>
        </is>
      </c>
    </row>
    <row r="111">
      <c r="A111" s="9" t="n">
        <v>108</v>
      </c>
      <c r="B111" s="10" t="inlineStr">
        <is>
          <t xml:space="preserve">            return subtitle_segments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 xml:space="preserve">        corrected = []</t>
        </is>
      </c>
    </row>
    <row r="114">
      <c r="A114" s="7" t="n">
        <v>111</v>
      </c>
      <c r="B114" s="8" t="inlineStr">
        <is>
          <t xml:space="preserve">        for i, sub in enumerate(subtitle_segments):</t>
        </is>
      </c>
    </row>
    <row r="115">
      <c r="A115" s="9" t="n">
        <v>112</v>
      </c>
      <c r="B115" s="10" t="inlineStr">
        <is>
          <t xml:space="preserve">            # 寻找最近匹配的语音段</t>
        </is>
      </c>
    </row>
    <row r="116">
      <c r="A116" s="7" t="n">
        <v>113</v>
      </c>
      <c r="B116" s="8" t="inlineStr">
        <is>
          <t xml:space="preserve">            best_audio = None</t>
        </is>
      </c>
    </row>
    <row r="117">
      <c r="A117" s="9" t="n">
        <v>114</v>
      </c>
      <c r="B117" s="10" t="inlineStr">
        <is>
          <t xml:space="preserve">            best_dist = float("inf")</t>
        </is>
      </c>
    </row>
    <row r="118">
      <c r="A118" s="7" t="n">
        <v>115</v>
      </c>
      <c r="B118" s="8" t="inlineStr">
        <is>
          <t xml:space="preserve">            sub_start = sub.get("start", 0)</t>
        </is>
      </c>
    </row>
    <row r="119">
      <c r="A119" s="9" t="n">
        <v>116</v>
      </c>
      <c r="B119" s="10" t="inlineStr"/>
    </row>
    <row r="120">
      <c r="A120" s="7" t="n">
        <v>117</v>
      </c>
      <c r="B120" s="8" t="inlineStr">
        <is>
          <t xml:space="preserve">            for asg in audio_segments:</t>
        </is>
      </c>
    </row>
    <row r="121">
      <c r="A121" s="9" t="n">
        <v>118</v>
      </c>
      <c r="B121" s="10" t="inlineStr">
        <is>
          <t xml:space="preserve">                dist = abs(asg.get("start", 0) - sub_start)</t>
        </is>
      </c>
    </row>
    <row r="122">
      <c r="A122" s="7" t="n">
        <v>119</v>
      </c>
      <c r="B122" s="8" t="inlineStr">
        <is>
          <t xml:space="preserve">                if dist &lt; best_dist and dist &lt; 1.0:</t>
        </is>
      </c>
    </row>
    <row r="123">
      <c r="A123" s="9" t="n">
        <v>120</v>
      </c>
      <c r="B123" s="10" t="inlineStr">
        <is>
          <t xml:space="preserve">                    best_dist = dist</t>
        </is>
      </c>
    </row>
    <row r="124">
      <c r="A124" s="7" t="n">
        <v>121</v>
      </c>
      <c r="B124" s="8" t="inlineStr">
        <is>
          <t xml:space="preserve">                    best_audio = asg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 xml:space="preserve">            if best_audio:</t>
        </is>
      </c>
    </row>
    <row r="127">
      <c r="A127" s="9" t="n">
        <v>124</v>
      </c>
      <c r="B127" s="10" t="inlineStr">
        <is>
          <t xml:space="preserve">                corrected.append({</t>
        </is>
      </c>
    </row>
    <row r="128">
      <c r="A128" s="7" t="n">
        <v>125</v>
      </c>
      <c r="B128" s="8" t="inlineStr">
        <is>
          <t xml:space="preserve">                    **sub,</t>
        </is>
      </c>
    </row>
    <row r="129">
      <c r="A129" s="9" t="n">
        <v>126</v>
      </c>
      <c r="B129" s="10" t="inlineStr">
        <is>
          <t xml:space="preserve">                    "start": round(best_audio.get("start", sub_start), 2),</t>
        </is>
      </c>
    </row>
    <row r="130">
      <c r="A130" s="7" t="n">
        <v>127</v>
      </c>
      <c r="B130" s="8" t="inlineStr">
        <is>
          <t xml:space="preserve">                    "end": round(best_audio.get("end", sub.get("end", 0)), 2),</t>
        </is>
      </c>
    </row>
    <row r="131">
      <c r="A131" s="9" t="n">
        <v>128</v>
      </c>
      <c r="B131" s="10" t="inlineStr">
        <is>
          <t xml:space="preserve">                    "_aligned": True,</t>
        </is>
      </c>
    </row>
    <row r="132">
      <c r="A132" s="7" t="n">
        <v>129</v>
      </c>
      <c r="B132" s="8" t="inlineStr">
        <is>
          <t xml:space="preserve">                })</t>
        </is>
      </c>
    </row>
    <row r="133">
      <c r="A133" s="9" t="n">
        <v>130</v>
      </c>
      <c r="B133" s="10" t="inlineStr">
        <is>
          <t xml:space="preserve">            else:</t>
        </is>
      </c>
    </row>
    <row r="134">
      <c r="A134" s="7" t="n">
        <v>131</v>
      </c>
      <c r="B134" s="8" t="inlineStr">
        <is>
          <t xml:space="preserve">                corrected.append(sub)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 xml:space="preserve">        _log.info(f"字幕对齐完成: {len(corrected)}条, {sum(1 for s in corrected if s.get('_aligned'))}条已对齐")</t>
        </is>
      </c>
    </row>
    <row r="137">
      <c r="A137" s="9" t="n">
        <v>134</v>
      </c>
      <c r="B137" s="10" t="inlineStr">
        <is>
          <t xml:space="preserve">        return corrected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# ═══════════════ 字幕错别字纠正 ═══════════════</t>
        </is>
      </c>
    </row>
    <row r="140">
      <c r="A140" s="7" t="n">
        <v>137</v>
      </c>
      <c r="B140" s="8" t="inlineStr">
        <is>
          <t xml:space="preserve">    def correct_subtitle_typos(self, subtitles: List[dict]) -&gt; List[dict]:</t>
        </is>
      </c>
    </row>
    <row r="141">
      <c r="A141" s="9" t="n">
        <v>138</v>
      </c>
      <c r="B141" s="10" t="inlineStr">
        <is>
          <t xml:space="preserve">        """批量纠正字幕错别字"""</t>
        </is>
      </c>
    </row>
    <row r="142">
      <c r="A142" s="7" t="n">
        <v>139</v>
      </c>
      <c r="B142" s="8" t="inlineStr">
        <is>
          <t xml:space="preserve">        try:</t>
        </is>
      </c>
    </row>
    <row r="143">
      <c r="A143" s="9" t="n">
        <v>140</v>
      </c>
      <c r="B143" s="10" t="inlineStr">
        <is>
          <t xml:space="preserve">            from core.subtitle_ocr import get_subtitle_ocr</t>
        </is>
      </c>
    </row>
    <row r="144">
      <c r="A144" s="7" t="n">
        <v>141</v>
      </c>
      <c r="B144" s="8" t="inlineStr">
        <is>
          <t xml:space="preserve">            ocr = get_subtitle_ocr()</t>
        </is>
      </c>
    </row>
    <row r="145">
      <c r="A145" s="9" t="n">
        <v>142</v>
      </c>
      <c r="B145" s="10" t="inlineStr">
        <is>
          <t xml:space="preserve">            return ocr.auto_correct_subtitles(subtitles)</t>
        </is>
      </c>
    </row>
    <row r="146">
      <c r="A146" s="7" t="n">
        <v>143</v>
      </c>
      <c r="B146" s="8" t="inlineStr">
        <is>
          <t xml:space="preserve">        except ImportError:</t>
        </is>
      </c>
    </row>
    <row r="147">
      <c r="A147" s="9" t="n">
        <v>144</v>
      </c>
      <c r="B147" s="10" t="inlineStr">
        <is>
          <t xml:space="preserve">            _log.warning("subtitle_ocr 模块不可用，跳过纠错")</t>
        </is>
      </c>
    </row>
    <row r="148">
      <c r="A148" s="7" t="n">
        <v>145</v>
      </c>
      <c r="B148" s="8" t="inlineStr">
        <is>
          <t xml:space="preserve">            return subtitles</t>
        </is>
      </c>
    </row>
    <row r="149">
      <c r="A149" s="9" t="n">
        <v>146</v>
      </c>
      <c r="B149" s="10" t="inlineStr"/>
    </row>
    <row r="150">
      <c r="A150" s="7" t="n">
        <v>147</v>
      </c>
      <c r="B150" s="8" t="inlineStr">
        <is>
          <t xml:space="preserve">    # ═══════════════ 综合自动修复 ═══════════════</t>
        </is>
      </c>
    </row>
    <row r="151">
      <c r="A151" s="9" t="n">
        <v>148</v>
      </c>
      <c r="B151" s="10" t="inlineStr">
        <is>
          <t xml:space="preserve">    def auto_fix(self, video_path: str,</t>
        </is>
      </c>
    </row>
    <row r="152">
      <c r="A152" s="7" t="n">
        <v>149</v>
      </c>
      <c r="B152" s="8" t="inlineStr">
        <is>
          <t xml:space="preserve">                 quality_issues: dict,</t>
        </is>
      </c>
    </row>
    <row r="153">
      <c r="A153" s="9" t="n">
        <v>150</v>
      </c>
      <c r="B153" s="10" t="inlineStr">
        <is>
          <t xml:space="preserve">                 subtitles: List[dict] = None,</t>
        </is>
      </c>
    </row>
    <row r="154">
      <c r="A154" s="7" t="n">
        <v>151</v>
      </c>
      <c r="B154" s="8" t="inlineStr">
        <is>
          <t xml:space="preserve">                 audio_segments: List[dict] = None,</t>
        </is>
      </c>
    </row>
    <row r="155">
      <c r="A155" s="9" t="n">
        <v>152</v>
      </c>
      <c r="B155" s="10" t="inlineStr">
        <is>
          <t xml:space="preserve">                 output_dir: str = None) -&gt; Dict:</t>
        </is>
      </c>
    </row>
    <row r="156">
      <c r="A156" s="7" t="n">
        <v>153</v>
      </c>
      <c r="B156" s="8" t="inlineStr">
        <is>
          <t xml:space="preserve">        """</t>
        </is>
      </c>
    </row>
    <row r="157">
      <c r="A157" s="9" t="n">
        <v>154</v>
      </c>
      <c r="B157" s="10" t="inlineStr">
        <is>
          <t xml:space="preserve">        一键自动修复所有可修复项。</t>
        </is>
      </c>
    </row>
    <row r="158">
      <c r="A158" s="7" t="n">
        <v>155</v>
      </c>
      <c r="B158" s="8" t="inlineStr">
        <is>
          <t xml:space="preserve">        返回修复报告: {"fixed_count": N, "output_video": "...", "output_subtitles": [...]}</t>
        </is>
      </c>
    </row>
    <row r="159">
      <c r="A159" s="9" t="n">
        <v>156</v>
      </c>
      <c r="B159" s="10" t="inlineStr">
        <is>
          <t xml:space="preserve">        """</t>
        </is>
      </c>
    </row>
    <row r="160">
      <c r="A160" s="7" t="n">
        <v>157</v>
      </c>
      <c r="B160" s="8" t="inlineStr">
        <is>
          <t xml:space="preserve">        if not output_dir:</t>
        </is>
      </c>
    </row>
    <row r="161">
      <c r="A161" s="9" t="n">
        <v>158</v>
      </c>
      <c r="B161" s="10" t="inlineStr">
        <is>
          <t xml:space="preserve">            output_dir = str(Path(video_path).parent / "_corrected")</t>
        </is>
      </c>
    </row>
    <row r="162">
      <c r="A162" s="7" t="n">
        <v>159</v>
      </c>
      <c r="B162" s="8" t="inlineStr">
        <is>
          <t xml:space="preserve">        Path(output_dir).mkdir(parents=True, exist_ok=True)</t>
        </is>
      </c>
    </row>
    <row r="163">
      <c r="A163" s="9" t="n">
        <v>160</v>
      </c>
      <c r="B163" s="10" t="inlineStr"/>
    </row>
    <row r="164">
      <c r="A164" s="7" t="n">
        <v>161</v>
      </c>
      <c r="B164" s="8" t="inlineStr">
        <is>
          <t xml:space="preserve">        report = {"fixed": [], "skipped": [], "output_video": video_path}</t>
        </is>
      </c>
    </row>
    <row r="165">
      <c r="A165" s="9" t="n">
        <v>162</v>
      </c>
      <c r="B165" s="10" t="inlineStr"/>
    </row>
    <row r="166">
      <c r="A166" s="7" t="n">
        <v>163</v>
      </c>
      <c r="B166" s="8" t="inlineStr">
        <is>
          <t xml:space="preserve">        # 1. 黑场裁剪</t>
        </is>
      </c>
    </row>
    <row r="167">
      <c r="A167" s="9" t="n">
        <v>164</v>
      </c>
      <c r="B167" s="10" t="inlineStr">
        <is>
          <t xml:space="preserve">        blacks = quality_issues.get("black_frames", [])</t>
        </is>
      </c>
    </row>
    <row r="168">
      <c r="A168" s="7" t="n">
        <v>165</v>
      </c>
      <c r="B168" s="8" t="inlineStr">
        <is>
          <t xml:space="preserve">        if blacks:</t>
        </is>
      </c>
    </row>
    <row r="169">
      <c r="A169" s="9" t="n">
        <v>166</v>
      </c>
      <c r="B169" s="10" t="inlineStr">
        <is>
          <t xml:space="preserve">            out = self.trim_black_frames(video_path, blacks,</t>
        </is>
      </c>
    </row>
    <row r="170">
      <c r="A170" s="7" t="n">
        <v>167</v>
      </c>
      <c r="B170" s="8" t="inlineStr">
        <is>
          <t xml:space="preserve">                                         str(Path(output_dir) / "trimmed.mp4"))</t>
        </is>
      </c>
    </row>
    <row r="171">
      <c r="A171" s="9" t="n">
        <v>168</v>
      </c>
      <c r="B171" s="10" t="inlineStr">
        <is>
          <t xml:space="preserve">            if out:</t>
        </is>
      </c>
    </row>
    <row r="172">
      <c r="A172" s="7" t="n">
        <v>169</v>
      </c>
      <c r="B172" s="8" t="inlineStr">
        <is>
          <t xml:space="preserve">                report["output_video"] = out</t>
        </is>
      </c>
    </row>
    <row r="173">
      <c r="A173" s="9" t="n">
        <v>170</v>
      </c>
      <c r="B173" s="10" t="inlineStr">
        <is>
          <t xml:space="preserve">                report["fixed"].append(f"黑场裁剪: {len(blacks)}处")</t>
        </is>
      </c>
    </row>
    <row r="174">
      <c r="A174" s="7" t="n">
        <v>171</v>
      </c>
      <c r="B174" s="8" t="inlineStr"/>
    </row>
    <row r="175">
      <c r="A175" s="9" t="n">
        <v>172</v>
      </c>
      <c r="B175" s="10" t="inlineStr">
        <is>
          <t xml:space="preserve">        # 2. 字幕时间轴对齐</t>
        </is>
      </c>
    </row>
    <row r="176">
      <c r="A176" s="7" t="n">
        <v>173</v>
      </c>
      <c r="B176" s="8" t="inlineStr">
        <is>
          <t xml:space="preserve">        if audio_segments and subtitles:</t>
        </is>
      </c>
    </row>
    <row r="177">
      <c r="A177" s="9" t="n">
        <v>174</v>
      </c>
      <c r="B177" s="10" t="inlineStr">
        <is>
          <t xml:space="preserve">            aligned = self.align_subtitle_timeline(audio_segments, subtitles)</t>
        </is>
      </c>
    </row>
    <row r="178">
      <c r="A178" s="7" t="n">
        <v>175</v>
      </c>
      <c r="B178" s="8" t="inlineStr">
        <is>
          <t xml:space="preserve">            report["subtitle_aligned"] = sum(1 for s in aligned if s.get("_aligned"))</t>
        </is>
      </c>
    </row>
    <row r="179">
      <c r="A179" s="9" t="n">
        <v>176</v>
      </c>
      <c r="B179" s="10" t="inlineStr">
        <is>
          <t xml:space="preserve">            if report["subtitle_aligned"] &gt; 0:</t>
        </is>
      </c>
    </row>
    <row r="180">
      <c r="A180" s="7" t="n">
        <v>177</v>
      </c>
      <c r="B180" s="8" t="inlineStr">
        <is>
          <t xml:space="preserve">                report["fixed"].append(f"字幕对齐: {report['subtitle_aligned']}条")</t>
        </is>
      </c>
    </row>
    <row r="181">
      <c r="A181" s="9" t="n">
        <v>178</v>
      </c>
      <c r="B181" s="10" t="inlineStr">
        <is>
          <t xml:space="preserve">            subtitles = aligned</t>
        </is>
      </c>
    </row>
    <row r="182">
      <c r="A182" s="7" t="n">
        <v>179</v>
      </c>
      <c r="B182" s="8" t="inlineStr"/>
    </row>
    <row r="183">
      <c r="A183" s="9" t="n">
        <v>180</v>
      </c>
      <c r="B183" s="10" t="inlineStr">
        <is>
          <t xml:space="preserve">        # 3. 字幕错别字纠正</t>
        </is>
      </c>
    </row>
    <row r="184">
      <c r="A184" s="7" t="n">
        <v>181</v>
      </c>
      <c r="B184" s="8" t="inlineStr">
        <is>
          <t xml:space="preserve">        if subtitles:</t>
        </is>
      </c>
    </row>
    <row r="185">
      <c r="A185" s="9" t="n">
        <v>182</v>
      </c>
      <c r="B185" s="10" t="inlineStr">
        <is>
          <t xml:space="preserve">            corrected = self.correct_subtitle_typos(subtitles)</t>
        </is>
      </c>
    </row>
    <row r="186">
      <c r="A186" s="7" t="n">
        <v>183</v>
      </c>
      <c r="B186" s="8" t="inlineStr">
        <is>
          <t xml:space="preserve">            typo_count = sum(len(s.get("corrections", [])) for s in corrected)</t>
        </is>
      </c>
    </row>
    <row r="187">
      <c r="A187" s="9" t="n">
        <v>184</v>
      </c>
      <c r="B187" s="10" t="inlineStr">
        <is>
          <t xml:space="preserve">            if typo_count &gt; 0:</t>
        </is>
      </c>
    </row>
    <row r="188">
      <c r="A188" s="7" t="n">
        <v>185</v>
      </c>
      <c r="B188" s="8" t="inlineStr">
        <is>
          <t xml:space="preserve">                report["fixed"].append(f"字幕纠错: {typo_count}处错别字")</t>
        </is>
      </c>
    </row>
    <row r="189">
      <c r="A189" s="9" t="n">
        <v>186</v>
      </c>
      <c r="B189" s="10" t="inlineStr"/>
    </row>
    <row r="190">
      <c r="A190" s="7" t="n">
        <v>187</v>
      </c>
      <c r="B190" s="8" t="inlineStr">
        <is>
          <t xml:space="preserve">            # 导出SRT</t>
        </is>
      </c>
    </row>
    <row r="191">
      <c r="A191" s="9" t="n">
        <v>188</v>
      </c>
      <c r="B191" s="10" t="inlineStr">
        <is>
          <t xml:space="preserve">            try:</t>
        </is>
      </c>
    </row>
    <row r="192">
      <c r="A192" s="7" t="n">
        <v>189</v>
      </c>
      <c r="B192" s="8" t="inlineStr">
        <is>
          <t xml:space="preserve">                from core.tts import subtitle_to_srt</t>
        </is>
      </c>
    </row>
    <row r="193">
      <c r="A193" s="9" t="n">
        <v>190</v>
      </c>
      <c r="B193" s="10" t="inlineStr">
        <is>
          <t xml:space="preserve">                srt_path = str(Path(output_dir) / "corrected.srt")</t>
        </is>
      </c>
    </row>
    <row r="194">
      <c r="A194" s="7" t="n">
        <v>191</v>
      </c>
      <c r="B194" s="8" t="inlineStr">
        <is>
          <t xml:space="preserve">                subtitle_to_srt(corrected, srt_path)</t>
        </is>
      </c>
    </row>
    <row r="195">
      <c r="A195" s="9" t="n">
        <v>192</v>
      </c>
      <c r="B195" s="10" t="inlineStr">
        <is>
          <t xml:space="preserve">                report["output_srt"] = srt_path</t>
        </is>
      </c>
    </row>
    <row r="196">
      <c r="A196" s="7" t="n">
        <v>193</v>
      </c>
      <c r="B196" s="8" t="inlineStr">
        <is>
          <t xml:space="preserve">            except Exception:</t>
        </is>
      </c>
    </row>
    <row r="197">
      <c r="A197" s="9" t="n">
        <v>194</v>
      </c>
      <c r="B197" s="10" t="inlineStr">
        <is>
          <t xml:space="preserve">                pass</t>
        </is>
      </c>
    </row>
    <row r="198">
      <c r="A198" s="7" t="n">
        <v>195</v>
      </c>
      <c r="B198" s="8" t="inlineStr"/>
    </row>
    <row r="199">
      <c r="A199" s="9" t="n">
        <v>196</v>
      </c>
      <c r="B199" s="10" t="inlineStr">
        <is>
          <t xml:space="preserve">            report["corrected_subtitles"] = corrected</t>
        </is>
      </c>
    </row>
    <row r="200">
      <c r="A200" s="7" t="n">
        <v>197</v>
      </c>
      <c r="B200" s="8" t="inlineStr"/>
    </row>
    <row r="201">
      <c r="A201" s="9" t="n">
        <v>198</v>
      </c>
      <c r="B201" s="10" t="inlineStr">
        <is>
          <t xml:space="preserve">        _log.info(f"自动修复完成: {len(report['fixed'])}项, 跳过{len(report['skipped'])}项")</t>
        </is>
      </c>
    </row>
    <row r="202">
      <c r="A202" s="7" t="n">
        <v>199</v>
      </c>
      <c r="B202" s="8" t="inlineStr">
        <is>
          <t xml:space="preserve">        return report</t>
        </is>
      </c>
    </row>
    <row r="203">
      <c r="A203" s="9" t="n">
        <v>200</v>
      </c>
      <c r="B203" s="10" t="inlineStr"/>
    </row>
    <row r="204">
      <c r="A204" s="7" t="n">
        <v>201</v>
      </c>
      <c r="B204" s="8" t="inlineStr"/>
    </row>
    <row r="205">
      <c r="A205" s="9" t="n">
        <v>202</v>
      </c>
      <c r="B205" s="10" t="inlineStr">
        <is>
          <t>_corrector: Optional[AutoCorrector] = None</t>
        </is>
      </c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>def get_auto_corrector() -&gt; AutoCorrector:</t>
        </is>
      </c>
    </row>
    <row r="208">
      <c r="A208" s="7" t="n">
        <v>205</v>
      </c>
      <c r="B208" s="8" t="inlineStr">
        <is>
          <t xml:space="preserve">    global _corrector</t>
        </is>
      </c>
    </row>
    <row r="209">
      <c r="A209" s="9" t="n">
        <v>206</v>
      </c>
      <c r="B209" s="10" t="inlineStr">
        <is>
          <t xml:space="preserve">    if _corrector is None:</t>
        </is>
      </c>
    </row>
    <row r="210">
      <c r="A210" s="7" t="n">
        <v>207</v>
      </c>
      <c r="B210" s="8" t="inlineStr">
        <is>
          <t xml:space="preserve">        _corrector = AutoCorrector()</t>
        </is>
      </c>
    </row>
    <row r="211">
      <c r="A211" s="9" t="n">
        <v>208</v>
      </c>
      <c r="B211" s="10" t="inlineStr">
        <is>
          <t xml:space="preserve">    return _corrector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core\batch_evaluator.py</t>
        </is>
      </c>
      <c r="C1" s="5" t="inlineStr">
        <is>
          <t>行数: 118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批量自我评估引擎 v10.4</t>
        </is>
      </c>
    </row>
    <row r="6">
      <c r="A6" s="7" t="n">
        <v>3</v>
      </c>
      <c r="B6" s="8" t="inlineStr">
        <is>
          <t>生成后自动评分 → 低于阈值自动重试/调整参数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from typing import List, Dict, Optional, Tuple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/>
    </row>
    <row r="11">
      <c r="A11" s="9" t="n">
        <v>8</v>
      </c>
      <c r="B11" s="10" t="inlineStr"/>
    </row>
    <row r="12">
      <c r="A12" s="7" t="n">
        <v>9</v>
      </c>
      <c r="B12" s="8" t="inlineStr">
        <is>
          <t>class SelfEvaluator:</t>
        </is>
      </c>
    </row>
    <row r="13">
      <c r="A13" s="9" t="n">
        <v>10</v>
      </c>
      <c r="B13" s="10" t="inlineStr">
        <is>
          <t xml:space="preserve">    """自我评估器 — 对生成结果进行多维度自动评分"""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 xml:space="preserve">    def __init__(self, min_score: float = 0.55, max_retries: int = 2):</t>
        </is>
      </c>
    </row>
    <row r="16">
      <c r="A16" s="7" t="n">
        <v>13</v>
      </c>
      <c r="B16" s="8" t="inlineStr">
        <is>
          <t xml:space="preserve">        self.min_score = min_score</t>
        </is>
      </c>
    </row>
    <row r="17">
      <c r="A17" s="9" t="n">
        <v>14</v>
      </c>
      <c r="B17" s="10" t="inlineStr">
        <is>
          <t xml:space="preserve">        self.max_retries = max_retries</t>
        </is>
      </c>
    </row>
    <row r="18">
      <c r="A18" s="7" t="n">
        <v>15</v>
      </c>
      <c r="B18" s="8" t="inlineStr">
        <is>
          <t xml:space="preserve">        self.history: List[Dict] = []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 xml:space="preserve">    def evaluate(self, result: dict) -&gt; Tuple[float, List[str]]:</t>
        </is>
      </c>
    </row>
    <row r="21">
      <c r="A21" s="9" t="n">
        <v>18</v>
      </c>
      <c r="B21" s="10" t="inlineStr">
        <is>
          <t xml:space="preserve">        """综合评估生成结果，返回(评分, 问题列表)"""</t>
        </is>
      </c>
    </row>
    <row r="22">
      <c r="A22" s="7" t="n">
        <v>19</v>
      </c>
      <c r="B22" s="8" t="inlineStr">
        <is>
          <t xml:space="preserve">        scores = {}</t>
        </is>
      </c>
    </row>
    <row r="23">
      <c r="A23" s="9" t="n">
        <v>20</v>
      </c>
      <c r="B23" s="10" t="inlineStr">
        <is>
          <t xml:space="preserve">        issues = []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 xml:space="preserve">        # 1. 文案长度检查 (标准: 70-100字)</t>
        </is>
      </c>
    </row>
    <row r="26">
      <c r="A26" s="7" t="n">
        <v>23</v>
      </c>
      <c r="B26" s="8" t="inlineStr">
        <is>
          <t xml:space="preserve">        copy_text = result.get("copy", "")</t>
        </is>
      </c>
    </row>
    <row r="27">
      <c r="A27" s="9" t="n">
        <v>24</v>
      </c>
      <c r="B27" s="10" t="inlineStr">
        <is>
          <t xml:space="preserve">        copy_len = len(copy_text)</t>
        </is>
      </c>
    </row>
    <row r="28">
      <c r="A28" s="7" t="n">
        <v>25</v>
      </c>
      <c r="B28" s="8" t="inlineStr">
        <is>
          <t xml:space="preserve">        if 70 &lt;= copy_len &lt;= 100:</t>
        </is>
      </c>
    </row>
    <row r="29">
      <c r="A29" s="9" t="n">
        <v>26</v>
      </c>
      <c r="B29" s="10" t="inlineStr">
        <is>
          <t xml:space="preserve">            scores["copy_length"] = 0.9</t>
        </is>
      </c>
    </row>
    <row r="30">
      <c r="A30" s="7" t="n">
        <v>27</v>
      </c>
      <c r="B30" s="8" t="inlineStr">
        <is>
          <t xml:space="preserve">        elif 50 &lt;= copy_len &lt;= 120:</t>
        </is>
      </c>
    </row>
    <row r="31">
      <c r="A31" s="9" t="n">
        <v>28</v>
      </c>
      <c r="B31" s="10" t="inlineStr">
        <is>
          <t xml:space="preserve">            scores["copy_length"] = 0.6</t>
        </is>
      </c>
    </row>
    <row r="32">
      <c r="A32" s="7" t="n">
        <v>29</v>
      </c>
      <c r="B32" s="8" t="inlineStr">
        <is>
          <t xml:space="preserve">            issues.append(f"文案长度偏差({copy_len}字)")</t>
        </is>
      </c>
    </row>
    <row r="33">
      <c r="A33" s="9" t="n">
        <v>30</v>
      </c>
      <c r="B33" s="10" t="inlineStr">
        <is>
          <t xml:space="preserve">        else:</t>
        </is>
      </c>
    </row>
    <row r="34">
      <c r="A34" s="7" t="n">
        <v>31</v>
      </c>
      <c r="B34" s="8" t="inlineStr">
        <is>
          <t xml:space="preserve">            scores["copy_length"] = 0.3</t>
        </is>
      </c>
    </row>
    <row r="35">
      <c r="A35" s="9" t="n">
        <v>32</v>
      </c>
      <c r="B35" s="10" t="inlineStr">
        <is>
          <t xml:space="preserve">            issues.append(f"文案长度异常({copy_len}字)")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 xml:space="preserve">        # 2. CTA 检查</t>
        </is>
      </c>
    </row>
    <row r="38">
      <c r="A38" s="7" t="n">
        <v>35</v>
      </c>
      <c r="B38" s="8" t="inlineStr">
        <is>
          <t xml:space="preserve">        from core.copywriter import check_cta_present</t>
        </is>
      </c>
    </row>
    <row r="39">
      <c r="A39" s="9" t="n">
        <v>36</v>
      </c>
      <c r="B39" s="10" t="inlineStr">
        <is>
          <t xml:space="preserve">        if check_cta_present(copy_text):</t>
        </is>
      </c>
    </row>
    <row r="40">
      <c r="A40" s="7" t="n">
        <v>37</v>
      </c>
      <c r="B40" s="8" t="inlineStr">
        <is>
          <t xml:space="preserve">            scores["cta"] = 0.95</t>
        </is>
      </c>
    </row>
    <row r="41">
      <c r="A41" s="9" t="n">
        <v>38</v>
      </c>
      <c r="B41" s="10" t="inlineStr">
        <is>
          <t xml:space="preserve">        else:</t>
        </is>
      </c>
    </row>
    <row r="42">
      <c r="A42" s="7" t="n">
        <v>39</v>
      </c>
      <c r="B42" s="8" t="inlineStr">
        <is>
          <t xml:space="preserve">            scores["cta"] = 0.4</t>
        </is>
      </c>
    </row>
    <row r="43">
      <c r="A43" s="9" t="n">
        <v>40</v>
      </c>
      <c r="B43" s="10" t="inlineStr">
        <is>
          <t xml:space="preserve">            issues.append("缺少CTA行动引导")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 xml:space="preserve">        # 3. 素材数量检查</t>
        </is>
      </c>
    </row>
    <row r="46">
      <c r="A46" s="7" t="n">
        <v>43</v>
      </c>
      <c r="B46" s="8" t="inlineStr">
        <is>
          <t xml:space="preserve">        clips = result.get("clips", [])</t>
        </is>
      </c>
    </row>
    <row r="47">
      <c r="A47" s="9" t="n">
        <v>44</v>
      </c>
      <c r="B47" s="10" t="inlineStr">
        <is>
          <t xml:space="preserve">        if 5 &lt;= len(clips) &lt;= 10:</t>
        </is>
      </c>
    </row>
    <row r="48">
      <c r="A48" s="7" t="n">
        <v>45</v>
      </c>
      <c r="B48" s="8" t="inlineStr">
        <is>
          <t xml:space="preserve">            scores["clip_count"] = 0.85</t>
        </is>
      </c>
    </row>
    <row r="49">
      <c r="A49" s="9" t="n">
        <v>46</v>
      </c>
      <c r="B49" s="10" t="inlineStr">
        <is>
          <t xml:space="preserve">        elif len(clips) &gt;= 3:</t>
        </is>
      </c>
    </row>
    <row r="50">
      <c r="A50" s="7" t="n">
        <v>47</v>
      </c>
      <c r="B50" s="8" t="inlineStr">
        <is>
          <t xml:space="preserve">            scores["clip_count"] = 0.6</t>
        </is>
      </c>
    </row>
    <row r="51">
      <c r="A51" s="9" t="n">
        <v>48</v>
      </c>
      <c r="B51" s="10" t="inlineStr">
        <is>
          <t xml:space="preserve">            issues.append(f"素材数量偏少({len(clips)}个)")</t>
        </is>
      </c>
    </row>
    <row r="52">
      <c r="A52" s="7" t="n">
        <v>49</v>
      </c>
      <c r="B52" s="8" t="inlineStr">
        <is>
          <t xml:space="preserve">        else:</t>
        </is>
      </c>
    </row>
    <row r="53">
      <c r="A53" s="9" t="n">
        <v>50</v>
      </c>
      <c r="B53" s="10" t="inlineStr">
        <is>
          <t xml:space="preserve">            scores["clip_count"] = 0.2</t>
        </is>
      </c>
    </row>
    <row r="54">
      <c r="A54" s="7" t="n">
        <v>51</v>
      </c>
      <c r="B54" s="8" t="inlineStr">
        <is>
          <t xml:space="preserve">            issues.append(f"素材严重不足({len(clips)}个)")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    # 4. 总时长检查</t>
        </is>
      </c>
    </row>
    <row r="57">
      <c r="A57" s="9" t="n">
        <v>54</v>
      </c>
      <c r="B57" s="10" t="inlineStr">
        <is>
          <t xml:space="preserve">        total_dur = result.get("total_duration", 0)</t>
        </is>
      </c>
    </row>
    <row r="58">
      <c r="A58" s="7" t="n">
        <v>55</v>
      </c>
      <c r="B58" s="8" t="inlineStr">
        <is>
          <t xml:space="preserve">        if 23 &lt;= total_dur &lt;= 35:</t>
        </is>
      </c>
    </row>
    <row r="59">
      <c r="A59" s="9" t="n">
        <v>56</v>
      </c>
      <c r="B59" s="10" t="inlineStr">
        <is>
          <t xml:space="preserve">            scores["duration"] = 0.9</t>
        </is>
      </c>
    </row>
    <row r="60">
      <c r="A60" s="7" t="n">
        <v>57</v>
      </c>
      <c r="B60" s="8" t="inlineStr">
        <is>
          <t xml:space="preserve">        elif 15 &lt;= total_dur &lt;= 45:</t>
        </is>
      </c>
    </row>
    <row r="61">
      <c r="A61" s="9" t="n">
        <v>58</v>
      </c>
      <c r="B61" s="10" t="inlineStr">
        <is>
          <t xml:space="preserve">            scores["duration"] = 0.65</t>
        </is>
      </c>
    </row>
    <row r="62">
      <c r="A62" s="7" t="n">
        <v>59</v>
      </c>
      <c r="B62" s="8" t="inlineStr">
        <is>
          <t xml:space="preserve">            issues.append(f"时长偏差({total_dur:.0f}s)")</t>
        </is>
      </c>
    </row>
    <row r="63">
      <c r="A63" s="9" t="n">
        <v>60</v>
      </c>
      <c r="B63" s="10" t="inlineStr">
        <is>
          <t xml:space="preserve">        else:</t>
        </is>
      </c>
    </row>
    <row r="64">
      <c r="A64" s="7" t="n">
        <v>61</v>
      </c>
      <c r="B64" s="8" t="inlineStr">
        <is>
          <t xml:space="preserve">            scores["duration"] = 0.35</t>
        </is>
      </c>
    </row>
    <row r="65">
      <c r="A65" s="9" t="n">
        <v>62</v>
      </c>
      <c r="B65" s="10" t="inlineStr">
        <is>
          <t xml:space="preserve">            issues.append(f"时长异常({total_dur:.0f}s)")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    # 5. TTS 一致性检查</t>
        </is>
      </c>
    </row>
    <row r="68">
      <c r="A68" s="7" t="n">
        <v>65</v>
      </c>
      <c r="B68" s="8" t="inlineStr">
        <is>
          <t xml:space="preserve">        tts_dur = result.get("tts_duration", 0)</t>
        </is>
      </c>
    </row>
    <row r="69">
      <c r="A69" s="9" t="n">
        <v>66</v>
      </c>
      <c r="B69" s="10" t="inlineStr">
        <is>
          <t xml:space="preserve">        if tts_dur &gt; 0 and total_dur &gt; 0:</t>
        </is>
      </c>
    </row>
    <row r="70">
      <c r="A70" s="7" t="n">
        <v>67</v>
      </c>
      <c r="B70" s="8" t="inlineStr">
        <is>
          <t xml:space="preserve">            ratio = tts_dur / total_dur</t>
        </is>
      </c>
    </row>
    <row r="71">
      <c r="A71" s="9" t="n">
        <v>68</v>
      </c>
      <c r="B71" s="10" t="inlineStr">
        <is>
          <t xml:space="preserve">            if 0.7 &lt;= ratio &lt;= 1.2:</t>
        </is>
      </c>
    </row>
    <row r="72">
      <c r="A72" s="7" t="n">
        <v>69</v>
      </c>
      <c r="B72" s="8" t="inlineStr">
        <is>
          <t xml:space="preserve">                scores["tts_sync"] = 0.85</t>
        </is>
      </c>
    </row>
    <row r="73">
      <c r="A73" s="9" t="n">
        <v>70</v>
      </c>
      <c r="B73" s="10" t="inlineStr">
        <is>
          <t xml:space="preserve">            else:</t>
        </is>
      </c>
    </row>
    <row r="74">
      <c r="A74" s="7" t="n">
        <v>71</v>
      </c>
      <c r="B74" s="8" t="inlineStr">
        <is>
          <t xml:space="preserve">                scores["tts_sync"] = 0.5</t>
        </is>
      </c>
    </row>
    <row r="75">
      <c r="A75" s="9" t="n">
        <v>72</v>
      </c>
      <c r="B75" s="10" t="inlineStr">
        <is>
          <t xml:space="preserve">                issues.append(f"配音与视频时长不匹配(比={ratio:.2f})")</t>
        </is>
      </c>
    </row>
    <row r="76">
      <c r="A76" s="7" t="n">
        <v>73</v>
      </c>
      <c r="B76" s="8" t="inlineStr">
        <is>
          <t xml:space="preserve">        else:</t>
        </is>
      </c>
    </row>
    <row r="77">
      <c r="A77" s="9" t="n">
        <v>74</v>
      </c>
      <c r="B77" s="10" t="inlineStr">
        <is>
          <t xml:space="preserve">            scores["tts_sync"] = 0.5</t>
        </is>
      </c>
    </row>
    <row r="78">
      <c r="A78" s="7" t="n">
        <v>75</v>
      </c>
      <c r="B78" s="8" t="inlineStr"/>
    </row>
    <row r="79">
      <c r="A79" s="9" t="n">
        <v>76</v>
      </c>
      <c r="B79" s="10" t="inlineStr">
        <is>
          <t xml:space="preserve">        # 加权综合评分</t>
        </is>
      </c>
    </row>
    <row r="80">
      <c r="A80" s="7" t="n">
        <v>77</v>
      </c>
      <c r="B80" s="8" t="inlineStr">
        <is>
          <t xml:space="preserve">        weights = {"copy_length": 0.25, "cta": 0.30, "clip_count": 0.20,</t>
        </is>
      </c>
    </row>
    <row r="81">
      <c r="A81" s="9" t="n">
        <v>78</v>
      </c>
      <c r="B81" s="10" t="inlineStr">
        <is>
          <t xml:space="preserve">                   "duration": 0.15, "tts_sync": 0.10}</t>
        </is>
      </c>
    </row>
    <row r="82">
      <c r="A82" s="7" t="n">
        <v>79</v>
      </c>
      <c r="B82" s="8" t="inlineStr">
        <is>
          <t xml:space="preserve">        total = sum(scores.get(k, 0.5) * w for k, w in weights.items())</t>
        </is>
      </c>
    </row>
    <row r="83">
      <c r="A83" s="9" t="n">
        <v>80</v>
      </c>
      <c r="B83" s="10" t="inlineStr"/>
    </row>
    <row r="84">
      <c r="A84" s="7" t="n">
        <v>81</v>
      </c>
      <c r="B84" s="8" t="inlineStr">
        <is>
          <t xml:space="preserve">        self.history.append({"scores": scores, "total": round(total, 3),</t>
        </is>
      </c>
    </row>
    <row r="85">
      <c r="A85" s="9" t="n">
        <v>82</v>
      </c>
      <c r="B85" s="10" t="inlineStr">
        <is>
          <t xml:space="preserve">                            "issues": issues})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 xml:space="preserve">        return round(total, 3), issues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 xml:space="preserve">    def should_retry(self, score: float, attempt: int) -&gt; bool:</t>
        </is>
      </c>
    </row>
    <row r="90">
      <c r="A90" s="7" t="n">
        <v>87</v>
      </c>
      <c r="B90" s="8" t="inlineStr">
        <is>
          <t xml:space="preserve">        """判断是否需要重试"""</t>
        </is>
      </c>
    </row>
    <row r="91">
      <c r="A91" s="9" t="n">
        <v>88</v>
      </c>
      <c r="B91" s="10" t="inlineStr">
        <is>
          <t xml:space="preserve">        return score &lt; self.min_score and attempt &lt; self.max_retries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 xml:space="preserve">    def get_suggestions(self) -&gt; List[str]:</t>
        </is>
      </c>
    </row>
    <row r="94">
      <c r="A94" s="7" t="n">
        <v>91</v>
      </c>
      <c r="B94" s="8" t="inlineStr">
        <is>
          <t xml:space="preserve">        """根据历史记录生成优化建议"""</t>
        </is>
      </c>
    </row>
    <row r="95">
      <c r="A95" s="9" t="n">
        <v>92</v>
      </c>
      <c r="B95" s="10" t="inlineStr">
        <is>
          <t xml:space="preserve">        if not self.history:</t>
        </is>
      </c>
    </row>
    <row r="96">
      <c r="A96" s="7" t="n">
        <v>93</v>
      </c>
      <c r="B96" s="8" t="inlineStr">
        <is>
          <t xml:space="preserve">            return []</t>
        </is>
      </c>
    </row>
    <row r="97">
      <c r="A97" s="9" t="n">
        <v>94</v>
      </c>
      <c r="B97" s="10" t="inlineStr">
        <is>
          <t xml:space="preserve">        avg = sum(h["total"] for h in self.history[-5:]) / len(self.history[-5:])</t>
        </is>
      </c>
    </row>
    <row r="98">
      <c r="A98" s="7" t="n">
        <v>95</v>
      </c>
      <c r="B98" s="8" t="inlineStr">
        <is>
          <t xml:space="preserve">        suggestions = []</t>
        </is>
      </c>
    </row>
    <row r="99">
      <c r="A99" s="9" t="n">
        <v>96</v>
      </c>
      <c r="B99" s="10" t="inlineStr">
        <is>
          <t xml:space="preserve">        if avg &lt; 0.5:</t>
        </is>
      </c>
    </row>
    <row r="100">
      <c r="A100" s="7" t="n">
        <v>97</v>
      </c>
      <c r="B100" s="8" t="inlineStr">
        <is>
          <t xml:space="preserve">            suggestions.append("建议检查素材库是否充足")</t>
        </is>
      </c>
    </row>
    <row r="101">
      <c r="A101" s="9" t="n">
        <v>98</v>
      </c>
      <c r="B101" s="10" t="inlineStr">
        <is>
          <t xml:space="preserve">        if any(any("CTA" in issue for issue in h.get("issues", [])) for h in self.history[-3:]):</t>
        </is>
      </c>
    </row>
    <row r="102">
      <c r="A102" s="7" t="n">
        <v>99</v>
      </c>
      <c r="B102" s="8" t="inlineStr">
        <is>
          <t xml:space="preserve">            suggestions.append("文案系统可能需要调整CTA模板")</t>
        </is>
      </c>
    </row>
    <row r="103">
      <c r="A103" s="9" t="n">
        <v>100</v>
      </c>
      <c r="B103" s="10" t="inlineStr">
        <is>
          <t xml:space="preserve">        return suggestions</t>
        </is>
      </c>
    </row>
    <row r="104">
      <c r="A104" s="7" t="n">
        <v>101</v>
      </c>
      <c r="B104" s="8" t="inlineStr"/>
    </row>
    <row r="105">
      <c r="A105" s="9" t="n">
        <v>102</v>
      </c>
      <c r="B105" s="10" t="inlineStr">
        <is>
          <t xml:space="preserve">    def get_stats(self) -&gt; dict:</t>
        </is>
      </c>
    </row>
    <row r="106">
      <c r="A106" s="7" t="n">
        <v>103</v>
      </c>
      <c r="B106" s="8" t="inlineStr">
        <is>
          <t xml:space="preserve">        return {</t>
        </is>
      </c>
    </row>
    <row r="107">
      <c r="A107" s="9" t="n">
        <v>104</v>
      </c>
      <c r="B107" s="10" t="inlineStr">
        <is>
          <t xml:space="preserve">            "evaluated": len(self.history),</t>
        </is>
      </c>
    </row>
    <row r="108">
      <c r="A108" s="7" t="n">
        <v>105</v>
      </c>
      <c r="B108" s="8" t="inlineStr">
        <is>
          <t xml:space="preserve">            "avg_score": round(sum(h["total"] for h in self.history) / max(1, len(self.history)), 3),</t>
        </is>
      </c>
    </row>
    <row r="109">
      <c r="A109" s="9" t="n">
        <v>106</v>
      </c>
      <c r="B109" s="10" t="inlineStr">
        <is>
          <t xml:space="preserve">            "retry_rate": sum(1 for h in self.history if h["total"] &lt; self.min_score) / max(1, len(self.history)),</t>
        </is>
      </c>
    </row>
    <row r="110">
      <c r="A110" s="7" t="n">
        <v>107</v>
      </c>
      <c r="B110" s="8" t="inlineStr">
        <is>
          <t xml:space="preserve">        }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># 全局实例</t>
        </is>
      </c>
    </row>
    <row r="114">
      <c r="A114" s="7" t="n">
        <v>111</v>
      </c>
      <c r="B114" s="8" t="inlineStr">
        <is>
          <t>_evaluator: Optional[SelfEvaluator] = None</t>
        </is>
      </c>
    </row>
    <row r="115">
      <c r="A115" s="9" t="n">
        <v>112</v>
      </c>
      <c r="B115" s="10" t="inlineStr"/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>def get_evaluator() -&gt; SelfEvaluator:</t>
        </is>
      </c>
    </row>
    <row r="118">
      <c r="A118" s="7" t="n">
        <v>115</v>
      </c>
      <c r="B118" s="8" t="inlineStr">
        <is>
          <t xml:space="preserve">    global _evaluator</t>
        </is>
      </c>
    </row>
    <row r="119">
      <c r="A119" s="9" t="n">
        <v>116</v>
      </c>
      <c r="B119" s="10" t="inlineStr">
        <is>
          <t xml:space="preserve">    if _evaluator is None:</t>
        </is>
      </c>
    </row>
    <row r="120">
      <c r="A120" s="7" t="n">
        <v>117</v>
      </c>
      <c r="B120" s="8" t="inlineStr">
        <is>
          <t xml:space="preserve">        _evaluator = SelfEvaluator()</t>
        </is>
      </c>
    </row>
    <row r="121">
      <c r="A121" s="9" t="n">
        <v>118</v>
      </c>
      <c r="B121" s="10" t="inlineStr">
        <is>
          <t xml:space="preserve">    return _evaluator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core\batch_scheduler.py</t>
        </is>
      </c>
      <c r="C1" s="5" t="inlineStr">
        <is>
          <t>行数: 167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v11.1 — 批量调度器 (Batch Scheduler)</t>
        </is>
      </c>
    </row>
    <row r="6">
      <c r="A6" s="7" t="n">
        <v>3</v>
      </c>
      <c r="B6" s="8">
        <f>===============================================================</f>
        <v/>
      </c>
    </row>
    <row r="7">
      <c r="A7" s="9" t="n">
        <v>4</v>
      </c>
      <c r="B7" s="10" t="inlineStr">
        <is>
          <t>多线程批量生成。线程安全队列 + 进度回调 + 取消支持。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用法:</t>
        </is>
      </c>
    </row>
    <row r="10">
      <c r="A10" s="7" t="n">
        <v>7</v>
      </c>
      <c r="B10" s="8" t="inlineStr">
        <is>
          <t xml:space="preserve">  scheduler = BatchScheduler(max_workers=2)</t>
        </is>
      </c>
    </row>
    <row r="11">
      <c r="A11" s="9" t="n">
        <v>8</v>
      </c>
      <c r="B11" s="10" t="inlineStr">
        <is>
          <t xml:space="preserve">  scheduler.add_task(keyword="岛台", copy_text="...", script_id=5)</t>
        </is>
      </c>
    </row>
    <row r="12">
      <c r="A12" s="7" t="n">
        <v>9</v>
      </c>
      <c r="B12" s="8" t="inlineStr">
        <is>
          <t xml:space="preserve">  scheduler.start(progress_callback=lambda done,total,result: ...)</t>
        </is>
      </c>
    </row>
    <row r="13">
      <c r="A13" s="9" t="n">
        <v>10</v>
      </c>
      <c r="B13" s="10" t="inlineStr">
        <is>
          <t xml:space="preserve">  scheduler.stop()</t>
        </is>
      </c>
    </row>
    <row r="14">
      <c r="A14" s="7" t="n">
        <v>11</v>
      </c>
      <c r="B14" s="8" t="inlineStr">
        <is>
          <t>"""</t>
        </is>
      </c>
    </row>
    <row r="15">
      <c r="A15" s="9" t="n">
        <v>12</v>
      </c>
      <c r="B15" s="10" t="inlineStr">
        <is>
          <t>import threading</t>
        </is>
      </c>
    </row>
    <row r="16">
      <c r="A16" s="7" t="n">
        <v>13</v>
      </c>
      <c r="B16" s="8" t="inlineStr">
        <is>
          <t>import queue</t>
        </is>
      </c>
    </row>
    <row r="17">
      <c r="A17" s="9" t="n">
        <v>14</v>
      </c>
      <c r="B17" s="10" t="inlineStr">
        <is>
          <t>import time</t>
        </is>
      </c>
    </row>
    <row r="18">
      <c r="A18" s="7" t="n">
        <v>15</v>
      </c>
      <c r="B18" s="8" t="inlineStr">
        <is>
          <t>from typing import Optional, List, Dict, Callable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class BatchScheduler:</t>
        </is>
      </c>
    </row>
    <row r="22">
      <c r="A22" s="7" t="n">
        <v>19</v>
      </c>
      <c r="B22" s="8" t="inlineStr">
        <is>
          <t xml:space="preserve">    """多线程批量生成调度器"""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 xml:space="preserve">    def __init__(self, max_workers: int = 2):</t>
        </is>
      </c>
    </row>
    <row r="25">
      <c r="A25" s="9" t="n">
        <v>22</v>
      </c>
      <c r="B25" s="10" t="inlineStr">
        <is>
          <t xml:space="preserve">        self.max_workers = max_workers</t>
        </is>
      </c>
    </row>
    <row r="26">
      <c r="A26" s="7" t="n">
        <v>23</v>
      </c>
      <c r="B26" s="8" t="inlineStr">
        <is>
          <t xml:space="preserve">        self._queue = queue.Queue()</t>
        </is>
      </c>
    </row>
    <row r="27">
      <c r="A27" s="9" t="n">
        <v>24</v>
      </c>
      <c r="B27" s="10" t="inlineStr">
        <is>
          <t xml:space="preserve">        self._results: List[Dict] = []</t>
        </is>
      </c>
    </row>
    <row r="28">
      <c r="A28" s="7" t="n">
        <v>25</v>
      </c>
      <c r="B28" s="8" t="inlineStr">
        <is>
          <t xml:space="preserve">        self._lock = threading.Lock()</t>
        </is>
      </c>
    </row>
    <row r="29">
      <c r="A29" s="9" t="n">
        <v>26</v>
      </c>
      <c r="B29" s="10" t="inlineStr">
        <is>
          <t xml:space="preserve">        self._stop_event = threading.Event()</t>
        </is>
      </c>
    </row>
    <row r="30">
      <c r="A30" s="7" t="n">
        <v>27</v>
      </c>
      <c r="B30" s="8" t="inlineStr">
        <is>
          <t xml:space="preserve">        self._workers: List[threading.Thread] = []</t>
        </is>
      </c>
    </row>
    <row r="31">
      <c r="A31" s="9" t="n">
        <v>28</v>
      </c>
      <c r="B31" s="10" t="inlineStr">
        <is>
          <t xml:space="preserve">        self._total = 0</t>
        </is>
      </c>
    </row>
    <row r="32">
      <c r="A32" s="7" t="n">
        <v>29</v>
      </c>
      <c r="B32" s="8" t="inlineStr">
        <is>
          <t xml:space="preserve">        self._done = 0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 xml:space="preserve">    @property</t>
        </is>
      </c>
    </row>
    <row r="35">
      <c r="A35" s="9" t="n">
        <v>32</v>
      </c>
      <c r="B35" s="10" t="inlineStr">
        <is>
          <t xml:space="preserve">    def total(self) -&gt; int:</t>
        </is>
      </c>
    </row>
    <row r="36">
      <c r="A36" s="7" t="n">
        <v>33</v>
      </c>
      <c r="B36" s="8" t="inlineStr">
        <is>
          <t xml:space="preserve">        with self._lock:</t>
        </is>
      </c>
    </row>
    <row r="37">
      <c r="A37" s="9" t="n">
        <v>34</v>
      </c>
      <c r="B37" s="10" t="inlineStr">
        <is>
          <t xml:space="preserve">            return self._total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 xml:space="preserve">    @property</t>
        </is>
      </c>
    </row>
    <row r="40">
      <c r="A40" s="7" t="n">
        <v>37</v>
      </c>
      <c r="B40" s="8" t="inlineStr">
        <is>
          <t xml:space="preserve">    def done(self) -&gt; int:</t>
        </is>
      </c>
    </row>
    <row r="41">
      <c r="A41" s="9" t="n">
        <v>38</v>
      </c>
      <c r="B41" s="10" t="inlineStr">
        <is>
          <t xml:space="preserve">        with self._lock:</t>
        </is>
      </c>
    </row>
    <row r="42">
      <c r="A42" s="7" t="n">
        <v>39</v>
      </c>
      <c r="B42" s="8" t="inlineStr">
        <is>
          <t xml:space="preserve">            return self._done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>
        <is>
          <t xml:space="preserve">    @property</t>
        </is>
      </c>
    </row>
    <row r="45">
      <c r="A45" s="9" t="n">
        <v>42</v>
      </c>
      <c r="B45" s="10" t="inlineStr">
        <is>
          <t xml:space="preserve">    def results(self) -&gt; List[Dict]:</t>
        </is>
      </c>
    </row>
    <row r="46">
      <c r="A46" s="7" t="n">
        <v>43</v>
      </c>
      <c r="B46" s="8" t="inlineStr">
        <is>
          <t xml:space="preserve">        with self._lock:</t>
        </is>
      </c>
    </row>
    <row r="47">
      <c r="A47" s="9" t="n">
        <v>44</v>
      </c>
      <c r="B47" s="10" t="inlineStr">
        <is>
          <t xml:space="preserve">            return list(self._results)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 xml:space="preserve">    def add_task(self, keyword: str = "batch", copy_text_override: str = None,</t>
        </is>
      </c>
    </row>
    <row r="50">
      <c r="A50" s="7" t="n">
        <v>47</v>
      </c>
      <c r="B50" s="8" t="inlineStr">
        <is>
          <t xml:space="preserve">                 script_id: int = None, **kwargs):</t>
        </is>
      </c>
    </row>
    <row r="51">
      <c r="A51" s="9" t="n">
        <v>48</v>
      </c>
      <c r="B51" s="10" t="inlineStr">
        <is>
          <t xml:space="preserve">        """添加一个生成任务 — 线程安全"""</t>
        </is>
      </c>
    </row>
    <row r="52">
      <c r="A52" s="7" t="n">
        <v>49</v>
      </c>
      <c r="B52" s="8" t="inlineStr">
        <is>
          <t xml:space="preserve">        self._queue.put({</t>
        </is>
      </c>
    </row>
    <row r="53">
      <c r="A53" s="9" t="n">
        <v>50</v>
      </c>
      <c r="B53" s="10" t="inlineStr">
        <is>
          <t xml:space="preserve">            "keyword": keyword,</t>
        </is>
      </c>
    </row>
    <row r="54">
      <c r="A54" s="7" t="n">
        <v>51</v>
      </c>
      <c r="B54" s="8" t="inlineStr">
        <is>
          <t xml:space="preserve">            "copy_text_override": copy_text_override,</t>
        </is>
      </c>
    </row>
    <row r="55">
      <c r="A55" s="9" t="n">
        <v>52</v>
      </c>
      <c r="B55" s="10" t="inlineStr">
        <is>
          <t xml:space="preserve">            "script_id": script_id,</t>
        </is>
      </c>
    </row>
    <row r="56">
      <c r="A56" s="7" t="n">
        <v>53</v>
      </c>
      <c r="B56" s="8" t="inlineStr">
        <is>
          <t xml:space="preserve">            "kwargs": kwargs,</t>
        </is>
      </c>
    </row>
    <row r="57">
      <c r="A57" s="9" t="n">
        <v>54</v>
      </c>
      <c r="B57" s="10" t="inlineStr">
        <is>
          <t xml:space="preserve">        })</t>
        </is>
      </c>
    </row>
    <row r="58">
      <c r="A58" s="7" t="n">
        <v>55</v>
      </c>
      <c r="B58" s="8" t="inlineStr">
        <is>
          <t xml:space="preserve">        with self._lock:</t>
        </is>
      </c>
    </row>
    <row r="59">
      <c r="A59" s="9" t="n">
        <v>56</v>
      </c>
      <c r="B59" s="10" t="inlineStr">
        <is>
          <t xml:space="preserve">            self._total += 1  # v12.0 修复: 加锁保护非原子操作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>
        <is>
          <t xml:space="preserve">    def start(self, progress_callback: Callable = None):</t>
        </is>
      </c>
    </row>
    <row r="62">
      <c r="A62" s="7" t="n">
        <v>59</v>
      </c>
      <c r="B62" s="8" t="inlineStr">
        <is>
          <t xml:space="preserve">        """</t>
        </is>
      </c>
    </row>
    <row r="63">
      <c r="A63" s="9" t="n">
        <v>60</v>
      </c>
      <c r="B63" s="10" t="inlineStr">
        <is>
          <t xml:space="preserve">        启动 worker 线程并阻塞等待全部完成。</t>
        </is>
      </c>
    </row>
    <row r="64">
      <c r="A64" s="7" t="n">
        <v>61</v>
      </c>
      <c r="B64" s="8" t="inlineStr">
        <is>
          <t xml:space="preserve">        progress_callback(done: int, total: int, result: dict)</t>
        </is>
      </c>
    </row>
    <row r="65">
      <c r="A65" s="9" t="n">
        <v>62</v>
      </c>
      <c r="B65" s="10" t="inlineStr">
        <is>
          <t xml:space="preserve">        """</t>
        </is>
      </c>
    </row>
    <row r="66">
      <c r="A66" s="7" t="n">
        <v>63</v>
      </c>
      <c r="B66" s="8" t="inlineStr">
        <is>
          <t xml:space="preserve">        self._stop_event.clear()</t>
        </is>
      </c>
    </row>
    <row r="67">
      <c r="A67" s="9" t="n">
        <v>64</v>
      </c>
      <c r="B67" s="10" t="inlineStr">
        <is>
          <t xml:space="preserve">        self._done = 0</t>
        </is>
      </c>
    </row>
    <row r="68">
      <c r="A68" s="7" t="n">
        <v>65</v>
      </c>
      <c r="B68" s="8" t="inlineStr">
        <is>
          <t xml:space="preserve">        self._results = []</t>
        </is>
      </c>
    </row>
    <row r="69">
      <c r="A69" s="9" t="n">
        <v>66</v>
      </c>
      <c r="B69" s="10" t="inlineStr"/>
    </row>
    <row r="70">
      <c r="A70" s="7" t="n">
        <v>67</v>
      </c>
      <c r="B70" s="8" t="inlineStr">
        <is>
          <t xml:space="preserve">        n_workers = min(self.max_workers, max(self._total, 1))</t>
        </is>
      </c>
    </row>
    <row r="71">
      <c r="A71" s="9" t="n">
        <v>68</v>
      </c>
      <c r="B71" s="10" t="inlineStr">
        <is>
          <t xml:space="preserve">        for i in range(n_workers):</t>
        </is>
      </c>
    </row>
    <row r="72">
      <c r="A72" s="7" t="n">
        <v>69</v>
      </c>
      <c r="B72" s="8" t="inlineStr">
        <is>
          <t xml:space="preserve">            t = threading.Thread(target=self._worker, args=(progress_callback,), daemon=True)</t>
        </is>
      </c>
    </row>
    <row r="73">
      <c r="A73" s="9" t="n">
        <v>70</v>
      </c>
      <c r="B73" s="10" t="inlineStr">
        <is>
          <t xml:space="preserve">            t.start()</t>
        </is>
      </c>
    </row>
    <row r="74">
      <c r="A74" s="7" t="n">
        <v>71</v>
      </c>
      <c r="B74" s="8" t="inlineStr">
        <is>
          <t xml:space="preserve">            self._workers.append(t)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 xml:space="preserve">        # 阻塞等待所有任务完成</t>
        </is>
      </c>
    </row>
    <row r="77">
      <c r="A77" s="9" t="n">
        <v>74</v>
      </c>
      <c r="B77" s="10" t="inlineStr">
        <is>
          <t xml:space="preserve">        self._queue.join()</t>
        </is>
      </c>
    </row>
    <row r="78">
      <c r="A78" s="7" t="n">
        <v>75</v>
      </c>
      <c r="B78" s="8" t="inlineStr">
        <is>
          <t xml:space="preserve">        self._stop_event.set()</t>
        </is>
      </c>
    </row>
    <row r="79">
      <c r="A79" s="9" t="n">
        <v>76</v>
      </c>
      <c r="B79" s="10" t="inlineStr">
        <is>
          <t xml:space="preserve">        for t in self._workers:</t>
        </is>
      </c>
    </row>
    <row r="80">
      <c r="A80" s="7" t="n">
        <v>77</v>
      </c>
      <c r="B80" s="8" t="inlineStr">
        <is>
          <t xml:space="preserve">            t.join(timeout=5)</t>
        </is>
      </c>
    </row>
    <row r="81">
      <c r="A81" s="9" t="n">
        <v>78</v>
      </c>
      <c r="B81" s="10" t="inlineStr">
        <is>
          <t xml:space="preserve">        return self._results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>
        <is>
          <t xml:space="preserve">    def _worker(self, progress_callback):</t>
        </is>
      </c>
    </row>
    <row r="84">
      <c r="A84" s="7" t="n">
        <v>81</v>
      </c>
      <c r="B84" s="8" t="inlineStr">
        <is>
          <t xml:space="preserve">        while not self._stop_event.is_set():</t>
        </is>
      </c>
    </row>
    <row r="85">
      <c r="A85" s="9" t="n">
        <v>82</v>
      </c>
      <c r="B85" s="10" t="inlineStr">
        <is>
          <t xml:space="preserve">            try:</t>
        </is>
      </c>
    </row>
    <row r="86">
      <c r="A86" s="7" t="n">
        <v>83</v>
      </c>
      <c r="B86" s="8" t="inlineStr">
        <is>
          <t xml:space="preserve">                task = self._queue.get(timeout=1)</t>
        </is>
      </c>
    </row>
    <row r="87">
      <c r="A87" s="9" t="n">
        <v>84</v>
      </c>
      <c r="B87" s="10" t="inlineStr">
        <is>
          <t xml:space="preserve">            except queue.Empty:</t>
        </is>
      </c>
    </row>
    <row r="88">
      <c r="A88" s="7" t="n">
        <v>85</v>
      </c>
      <c r="B88" s="8" t="inlineStr">
        <is>
          <t xml:space="preserve">                continue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        try:</t>
        </is>
      </c>
    </row>
    <row r="91">
      <c r="A91" s="9" t="n">
        <v>88</v>
      </c>
      <c r="B91" s="10" t="inlineStr">
        <is>
          <t xml:space="preserve">                from core.pipeline import run</t>
        </is>
      </c>
    </row>
    <row r="92">
      <c r="A92" s="7" t="n">
        <v>89</v>
      </c>
      <c r="B92" s="8" t="inlineStr">
        <is>
          <t xml:space="preserve">                result = run(</t>
        </is>
      </c>
    </row>
    <row r="93">
      <c r="A93" s="9" t="n">
        <v>90</v>
      </c>
      <c r="B93" s="10" t="inlineStr">
        <is>
          <t xml:space="preserve">                    keyword=task["keyword"],</t>
        </is>
      </c>
    </row>
    <row r="94">
      <c r="A94" s="7" t="n">
        <v>91</v>
      </c>
      <c r="B94" s="8" t="inlineStr">
        <is>
          <t xml:space="preserve">                    copy_text_override=task["copy_text_override"],</t>
        </is>
      </c>
    </row>
    <row r="95">
      <c r="A95" s="9" t="n">
        <v>92</v>
      </c>
      <c r="B95" s="10" t="inlineStr">
        <is>
          <t xml:space="preserve">                    script_id=task["script_id"],</t>
        </is>
      </c>
    </row>
    <row r="96">
      <c r="A96" s="7" t="n">
        <v>93</v>
      </c>
      <c r="B96" s="8" t="inlineStr">
        <is>
          <t xml:space="preserve">                    generate_tts=True, auto_bgm=True,</t>
        </is>
      </c>
    </row>
    <row r="97">
      <c r="A97" s="9" t="n">
        <v>94</v>
      </c>
      <c r="B97" s="10" t="inlineStr">
        <is>
          <t xml:space="preserve">                    **task.get("kwargs", {}),</t>
        </is>
      </c>
    </row>
    <row r="98">
      <c r="A98" s="7" t="n">
        <v>95</v>
      </c>
      <c r="B98" s="8" t="inlineStr">
        <is>
          <t xml:space="preserve">                )</t>
        </is>
      </c>
    </row>
    <row r="99">
      <c r="A99" s="9" t="n">
        <v>96</v>
      </c>
      <c r="B99" s="10" t="inlineStr">
        <is>
          <t xml:space="preserve">                status = "ok" if result and "draft_dir" in result else "fail"</t>
        </is>
      </c>
    </row>
    <row r="100">
      <c r="A100" s="7" t="n">
        <v>97</v>
      </c>
      <c r="B100" s="8" t="inlineStr">
        <is>
          <t xml:space="preserve">            except Exception as e:</t>
        </is>
      </c>
    </row>
    <row r="101">
      <c r="A101" s="9" t="n">
        <v>98</v>
      </c>
      <c r="B101" s="10" t="inlineStr">
        <is>
          <t xml:space="preserve">                result = {"error": str(e)}</t>
        </is>
      </c>
    </row>
    <row r="102">
      <c r="A102" s="7" t="n">
        <v>99</v>
      </c>
      <c r="B102" s="8" t="inlineStr">
        <is>
          <t xml:space="preserve">                status = "fail"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 xml:space="preserve">            with self._lock:</t>
        </is>
      </c>
    </row>
    <row r="105">
      <c r="A105" s="9" t="n">
        <v>102</v>
      </c>
      <c r="B105" s="10" t="inlineStr">
        <is>
          <t xml:space="preserve">                self._results.append({</t>
        </is>
      </c>
    </row>
    <row r="106">
      <c r="A106" s="7" t="n">
        <v>103</v>
      </c>
      <c r="B106" s="8" t="inlineStr">
        <is>
          <t xml:space="preserve">                    "index": task.get("index", self._done + 1),</t>
        </is>
      </c>
    </row>
    <row r="107">
      <c r="A107" s="9" t="n">
        <v>104</v>
      </c>
      <c r="B107" s="10" t="inlineStr">
        <is>
          <t xml:space="preserve">                    "status": status,</t>
        </is>
      </c>
    </row>
    <row r="108">
      <c r="A108" s="7" t="n">
        <v>105</v>
      </c>
      <c r="B108" s="8" t="inlineStr">
        <is>
          <t xml:space="preserve">                    "result": result,</t>
        </is>
      </c>
    </row>
    <row r="109">
      <c r="A109" s="9" t="n">
        <v>106</v>
      </c>
      <c r="B109" s="10" t="inlineStr">
        <is>
          <t xml:space="preserve">                    "copy_text": task.get("copy_text_override", "")[:50],</t>
        </is>
      </c>
    </row>
    <row r="110">
      <c r="A110" s="7" t="n">
        <v>107</v>
      </c>
      <c r="B110" s="8" t="inlineStr">
        <is>
          <t xml:space="preserve">                })</t>
        </is>
      </c>
    </row>
    <row r="111">
      <c r="A111" s="9" t="n">
        <v>108</v>
      </c>
      <c r="B111" s="10" t="inlineStr">
        <is>
          <t xml:space="preserve">                self._done += 1</t>
        </is>
      </c>
    </row>
    <row r="112">
      <c r="A112" s="7" t="n">
        <v>109</v>
      </c>
      <c r="B112" s="8" t="inlineStr">
        <is>
          <t xml:space="preserve">                # 在锁内读取进度值，保证回调拿到一致的 (done, total)</t>
        </is>
      </c>
    </row>
    <row r="113">
      <c r="A113" s="9" t="n">
        <v>110</v>
      </c>
      <c r="B113" s="10" t="inlineStr">
        <is>
          <t xml:space="preserve">                _done, _total = self._done, self._total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>
        <is>
          <t xml:space="preserve">            if progress_callback:</t>
        </is>
      </c>
    </row>
    <row r="116">
      <c r="A116" s="7" t="n">
        <v>113</v>
      </c>
      <c r="B116" s="8" t="inlineStr">
        <is>
          <t xml:space="preserve">                try:</t>
        </is>
      </c>
    </row>
    <row r="117">
      <c r="A117" s="9" t="n">
        <v>114</v>
      </c>
      <c r="B117" s="10" t="inlineStr">
        <is>
          <t xml:space="preserve">                    progress_callback(</t>
        </is>
      </c>
    </row>
    <row r="118">
      <c r="A118" s="7" t="n">
        <v>115</v>
      </c>
      <c r="B118" s="8" t="inlineStr">
        <is>
          <t xml:space="preserve">                        _done, _total,</t>
        </is>
      </c>
    </row>
    <row r="119">
      <c r="A119" s="9" t="n">
        <v>116</v>
      </c>
      <c r="B119" s="10" t="inlineStr">
        <is>
          <t xml:space="preserve">                        self._results[-1] if self._results else None</t>
        </is>
      </c>
    </row>
    <row r="120">
      <c r="A120" s="7" t="n">
        <v>117</v>
      </c>
      <c r="B120" s="8" t="inlineStr">
        <is>
          <t xml:space="preserve">                    )</t>
        </is>
      </c>
    </row>
    <row r="121">
      <c r="A121" s="9" t="n">
        <v>118</v>
      </c>
      <c r="B121" s="10" t="inlineStr">
        <is>
          <t xml:space="preserve">                except Exception:</t>
        </is>
      </c>
    </row>
    <row r="122">
      <c r="A122" s="7" t="n">
        <v>119</v>
      </c>
      <c r="B122" s="8" t="inlineStr">
        <is>
          <t xml:space="preserve">                    pass</t>
        </is>
      </c>
    </row>
    <row r="123">
      <c r="A123" s="9" t="n">
        <v>120</v>
      </c>
      <c r="B123" s="10" t="inlineStr"/>
    </row>
    <row r="124">
      <c r="A124" s="7" t="n">
        <v>121</v>
      </c>
      <c r="B124" s="8" t="inlineStr">
        <is>
          <t xml:space="preserve">            self._queue.task_done()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 xml:space="preserve">    def stop(self):</t>
        </is>
      </c>
    </row>
    <row r="127">
      <c r="A127" s="9" t="n">
        <v>124</v>
      </c>
      <c r="B127" s="10" t="inlineStr">
        <is>
          <t xml:space="preserve">        """停止所有 worker"""</t>
        </is>
      </c>
    </row>
    <row r="128">
      <c r="A128" s="7" t="n">
        <v>125</v>
      </c>
      <c r="B128" s="8" t="inlineStr">
        <is>
          <t xml:space="preserve">        self._stop_event.set()</t>
        </is>
      </c>
    </row>
    <row r="129">
      <c r="A129" s="9" t="n">
        <v>126</v>
      </c>
      <c r="B129" s="10" t="inlineStr">
        <is>
          <t xml:space="preserve">        for t in self._workers:</t>
        </is>
      </c>
    </row>
    <row r="130">
      <c r="A130" s="7" t="n">
        <v>127</v>
      </c>
      <c r="B130" s="8" t="inlineStr">
        <is>
          <t xml:space="preserve">            t.join(timeout=2)</t>
        </is>
      </c>
    </row>
    <row r="131">
      <c r="A131" s="9" t="n">
        <v>128</v>
      </c>
      <c r="B131" s="10" t="inlineStr"/>
    </row>
    <row r="132">
      <c r="A132" s="7" t="n">
        <v>129</v>
      </c>
      <c r="B132" s="8" t="inlineStr">
        <is>
          <t xml:space="preserve">    def is_running(self) -&gt; bool:</t>
        </is>
      </c>
    </row>
    <row r="133">
      <c r="A133" s="9" t="n">
        <v>130</v>
      </c>
      <c r="B133" s="10" t="inlineStr">
        <is>
          <t xml:space="preserve">        return any(t.is_alive() for t in self._workers) and not self._stop_event.is_set()</t>
        </is>
      </c>
    </row>
    <row r="134">
      <c r="A134" s="7" t="n">
        <v>131</v>
      </c>
      <c r="B134" s="8" t="inlineStr"/>
    </row>
    <row r="135">
      <c r="A135" s="9" t="n">
        <v>132</v>
      </c>
      <c r="B135" s="10" t="inlineStr">
        <is>
          <t xml:space="preserve">    def get_stats(self) -&gt; Dict:</t>
        </is>
      </c>
    </row>
    <row r="136">
      <c r="A136" s="7" t="n">
        <v>133</v>
      </c>
      <c r="B136" s="8" t="inlineStr">
        <is>
          <t xml:space="preserve">        with self._lock:</t>
        </is>
      </c>
    </row>
    <row r="137">
      <c r="A137" s="9" t="n">
        <v>134</v>
      </c>
      <c r="B137" s="10" t="inlineStr">
        <is>
          <t xml:space="preserve">            ok = sum(1 for r in self._results if r["status"] == "ok")</t>
        </is>
      </c>
    </row>
    <row r="138">
      <c r="A138" s="7" t="n">
        <v>135</v>
      </c>
      <c r="B138" s="8" t="inlineStr">
        <is>
          <t xml:space="preserve">            fail = len(self._results) - ok</t>
        </is>
      </c>
    </row>
    <row r="139">
      <c r="A139" s="9" t="n">
        <v>136</v>
      </c>
      <c r="B139" s="10" t="inlineStr">
        <is>
          <t xml:space="preserve">            _total, _done = self._total, self._done</t>
        </is>
      </c>
    </row>
    <row r="140">
      <c r="A140" s="7" t="n">
        <v>137</v>
      </c>
      <c r="B140" s="8" t="inlineStr">
        <is>
          <t xml:space="preserve">        return {</t>
        </is>
      </c>
    </row>
    <row r="141">
      <c r="A141" s="9" t="n">
        <v>138</v>
      </c>
      <c r="B141" s="10" t="inlineStr">
        <is>
          <t xml:space="preserve">            "total": _total, "done": _done,</t>
        </is>
      </c>
    </row>
    <row r="142">
      <c r="A142" s="7" t="n">
        <v>139</v>
      </c>
      <c r="B142" s="8" t="inlineStr">
        <is>
          <t xml:space="preserve">            "ok": ok, "fail": fail,</t>
        </is>
      </c>
    </row>
    <row r="143">
      <c r="A143" s="9" t="n">
        <v>140</v>
      </c>
      <c r="B143" s="10" t="inlineStr">
        <is>
          <t xml:space="preserve">            "running": self.is_running(),</t>
        </is>
      </c>
    </row>
    <row r="144">
      <c r="A144" s="7" t="n">
        <v>141</v>
      </c>
      <c r="B144" s="8" t="inlineStr">
        <is>
          <t xml:space="preserve">        }</t>
        </is>
      </c>
    </row>
    <row r="145">
      <c r="A145" s="9" t="n">
        <v>142</v>
      </c>
      <c r="B145" s="10" t="inlineStr"/>
    </row>
    <row r="146">
      <c r="A146" s="7" t="n">
        <v>143</v>
      </c>
      <c r="B146" s="8" t="inlineStr">
        <is>
          <t xml:space="preserve">    def get_batch_report(self) -&gt; Dict:</t>
        </is>
      </c>
    </row>
    <row r="147">
      <c r="A147" s="9" t="n">
        <v>144</v>
      </c>
      <c r="B147" s="10" t="inlineStr">
        <is>
          <t xml:space="preserve">        """★ v12.1: 批量任务统计报告 — 对应导图 batch_report"""</t>
        </is>
      </c>
    </row>
    <row r="148">
      <c r="A148" s="7" t="n">
        <v>145</v>
      </c>
      <c r="B148" s="8" t="inlineStr">
        <is>
          <t xml:space="preserve">        with self._lock:</t>
        </is>
      </c>
    </row>
    <row r="149">
      <c r="A149" s="9" t="n">
        <v>146</v>
      </c>
      <c r="B149" s="10" t="inlineStr">
        <is>
          <t xml:space="preserve">            details = []</t>
        </is>
      </c>
    </row>
    <row r="150">
      <c r="A150" s="7" t="n">
        <v>147</v>
      </c>
      <c r="B150" s="8" t="inlineStr">
        <is>
          <t xml:space="preserve">            for i, r in enumerate(self._results):</t>
        </is>
      </c>
    </row>
    <row r="151">
      <c r="A151" s="9" t="n">
        <v>148</v>
      </c>
      <c r="B151" s="10" t="inlineStr">
        <is>
          <t xml:space="preserve">                det = {</t>
        </is>
      </c>
    </row>
    <row r="152">
      <c r="A152" s="7" t="n">
        <v>149</v>
      </c>
      <c r="B152" s="8" t="inlineStr">
        <is>
          <t xml:space="preserve">                    "task_index": i + 1,</t>
        </is>
      </c>
    </row>
    <row r="153">
      <c r="A153" s="9" t="n">
        <v>150</v>
      </c>
      <c r="B153" s="10" t="inlineStr">
        <is>
          <t xml:space="preserve">                    "status": r["status"],</t>
        </is>
      </c>
    </row>
    <row r="154">
      <c r="A154" s="7" t="n">
        <v>151</v>
      </c>
      <c r="B154" s="8" t="inlineStr">
        <is>
          <t xml:space="preserve">                    "keyword": r.get("keyword", ""),</t>
        </is>
      </c>
    </row>
    <row r="155">
      <c r="A155" s="9" t="n">
        <v>152</v>
      </c>
      <c r="B155" s="10" t="inlineStr">
        <is>
          <t xml:space="preserve">                    "copy_preview": r.get("copy_text", "")[:40],</t>
        </is>
      </c>
    </row>
    <row r="156">
      <c r="A156" s="7" t="n">
        <v>153</v>
      </c>
      <c r="B156" s="8" t="inlineStr">
        <is>
          <t xml:space="preserve">                    "error": r.get("result", {}).get("error", "") if isinstance(r.get("result"), dict) else "",</t>
        </is>
      </c>
    </row>
    <row r="157">
      <c r="A157" s="9" t="n">
        <v>154</v>
      </c>
      <c r="B157" s="10" t="inlineStr">
        <is>
          <t xml:space="preserve">                }</t>
        </is>
      </c>
    </row>
    <row r="158">
      <c r="A158" s="7" t="n">
        <v>155</v>
      </c>
      <c r="B158" s="8" t="inlineStr">
        <is>
          <t xml:space="preserve">                if isinstance(r.get("result"), dict):</t>
        </is>
      </c>
    </row>
    <row r="159">
      <c r="A159" s="9" t="n">
        <v>156</v>
      </c>
      <c r="B159" s="10" t="inlineStr">
        <is>
          <t xml:space="preserve">                    det["draft_dir"] = r["result"].get("draft_dir", "")</t>
        </is>
      </c>
    </row>
    <row r="160">
      <c r="A160" s="7" t="n">
        <v>157</v>
      </c>
      <c r="B160" s="8" t="inlineStr">
        <is>
          <t xml:space="preserve">                details.append(det)</t>
        </is>
      </c>
    </row>
    <row r="161">
      <c r="A161" s="9" t="n">
        <v>158</v>
      </c>
      <c r="B161" s="10" t="inlineStr"/>
    </row>
    <row r="162">
      <c r="A162" s="7" t="n">
        <v>159</v>
      </c>
      <c r="B162" s="8" t="inlineStr">
        <is>
          <t xml:space="preserve">            ok = sum(1 for r in self._results if r["status"] == "ok")</t>
        </is>
      </c>
    </row>
    <row r="163">
      <c r="A163" s="9" t="n">
        <v>160</v>
      </c>
      <c r="B163" s="10" t="inlineStr">
        <is>
          <t xml:space="preserve">            fail = len(self._results) - ok</t>
        </is>
      </c>
    </row>
    <row r="164">
      <c r="A164" s="7" t="n">
        <v>161</v>
      </c>
      <c r="B164" s="8" t="inlineStr">
        <is>
          <t xml:space="preserve">            return {</t>
        </is>
      </c>
    </row>
    <row r="165">
      <c r="A165" s="9" t="n">
        <v>162</v>
      </c>
      <c r="B165" s="10" t="inlineStr">
        <is>
          <t xml:space="preserve">                "total": self._total,</t>
        </is>
      </c>
    </row>
    <row r="166">
      <c r="A166" s="7" t="n">
        <v>163</v>
      </c>
      <c r="B166" s="8" t="inlineStr">
        <is>
          <t xml:space="preserve">                "success": ok,</t>
        </is>
      </c>
    </row>
    <row r="167">
      <c r="A167" s="9" t="n">
        <v>164</v>
      </c>
      <c r="B167" s="10" t="inlineStr">
        <is>
          <t xml:space="preserve">                "fail": fail,</t>
        </is>
      </c>
    </row>
    <row r="168">
      <c r="A168" s="7" t="n">
        <v>165</v>
      </c>
      <c r="B168" s="8" t="inlineStr">
        <is>
          <t xml:space="preserve">                "success_rate": f"{(ok/max(self._total,1)*100):.1f}%",</t>
        </is>
      </c>
    </row>
    <row r="169">
      <c r="A169" s="9" t="n">
        <v>166</v>
      </c>
      <c r="B169" s="10" t="inlineStr">
        <is>
          <t xml:space="preserve">                "details": details,</t>
        </is>
      </c>
    </row>
    <row r="170">
      <c r="A170" s="7" t="n">
        <v>167</v>
      </c>
      <c r="B170" s="8" t="inlineStr">
        <is>
          <t xml:space="preserve">            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core\bgm_matcher.py</t>
        </is>
      </c>
      <c r="C1" s="5" t="inlineStr">
        <is>
          <t>行数: 144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BGM 智能匹配引擎 v10.4</t>
        </is>
      </c>
    </row>
    <row r="6">
      <c r="A6" s="7" t="n">
        <v>3</v>
      </c>
      <c r="B6" s="8" t="inlineStr">
        <is>
          <t>根据视频情绪标签自动选择最匹配的背景音乐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random</t>
        </is>
      </c>
    </row>
    <row r="9">
      <c r="A9" s="9" t="n">
        <v>6</v>
      </c>
      <c r="B9" s="10" t="inlineStr">
        <is>
          <t>import threading</t>
        </is>
      </c>
    </row>
    <row r="10">
      <c r="A10" s="7" t="n">
        <v>7</v>
      </c>
      <c r="B10" s="8" t="inlineStr">
        <is>
          <t>import logging</t>
        </is>
      </c>
    </row>
    <row r="11">
      <c r="A11" s="9" t="n">
        <v>8</v>
      </c>
      <c r="B11" s="10" t="inlineStr">
        <is>
          <t>from pathlib import Path</t>
        </is>
      </c>
    </row>
    <row r="12">
      <c r="A12" s="7" t="n">
        <v>9</v>
      </c>
      <c r="B12" s="8" t="inlineStr">
        <is>
          <t>from typing import List, Dict, Optional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_log = logging.getLogger("TreeCut.BGMMatcher")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# BGM 情感标签库</t>
        </is>
      </c>
    </row>
    <row r="17">
      <c r="A17" s="9" t="n">
        <v>14</v>
      </c>
      <c r="B17" s="10" t="inlineStr">
        <is>
          <t>BGM_EMOTION_MAP = {</t>
        </is>
      </c>
    </row>
    <row r="18">
      <c r="A18" s="7" t="n">
        <v>15</v>
      </c>
      <c r="B18" s="8" t="inlineStr">
        <is>
          <t xml:space="preserve">    # 卖点展示 → 快节奏/激励</t>
        </is>
      </c>
    </row>
    <row r="19">
      <c r="A19" s="9" t="n">
        <v>16</v>
      </c>
      <c r="B19" s="10" t="inlineStr">
        <is>
          <t xml:space="preserve">    "卖点展示": ["upbeat", "motivational", "corporate"],</t>
        </is>
      </c>
    </row>
    <row r="20">
      <c r="A20" s="7" t="n">
        <v>17</v>
      </c>
      <c r="B20" s="8" t="inlineStr">
        <is>
          <t xml:space="preserve">    # 效果展示 → 轻松/氛围</t>
        </is>
      </c>
    </row>
    <row r="21">
      <c r="A21" s="9" t="n">
        <v>18</v>
      </c>
      <c r="B21" s="10" t="inlineStr">
        <is>
          <t xml:space="preserve">    "效果展示": ["chill", "ambient", "corporate"],</t>
        </is>
      </c>
    </row>
    <row r="22">
      <c r="A22" s="7" t="n">
        <v>19</v>
      </c>
      <c r="B22" s="8" t="inlineStr">
        <is>
          <t xml:space="preserve">    # 工厂实力 → 电影感/激励</t>
        </is>
      </c>
    </row>
    <row r="23">
      <c r="A23" s="9" t="n">
        <v>20</v>
      </c>
      <c r="B23" s="10" t="inlineStr">
        <is>
          <t xml:space="preserve">    "工厂实力": ["cinematic", "motivational", "corporate"],</t>
        </is>
      </c>
    </row>
    <row r="24">
      <c r="A24" s="7" t="n">
        <v>21</v>
      </c>
      <c r="B24" s="8" t="inlineStr">
        <is>
          <t xml:space="preserve">    # 默认</t>
        </is>
      </c>
    </row>
    <row r="25">
      <c r="A25" s="9" t="n">
        <v>22</v>
      </c>
      <c r="B25" s="10" t="inlineStr">
        <is>
          <t xml:space="preserve">    "通用": ["ambient", "chill", "upbeat"],</t>
        </is>
      </c>
    </row>
    <row r="26">
      <c r="A26" s="7" t="n">
        <v>23</v>
      </c>
      <c r="B26" s="8" t="inlineStr">
        <is>
          <t>}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># 视频情绪 → BGM风格映射</t>
        </is>
      </c>
    </row>
    <row r="29">
      <c r="A29" s="9" t="n">
        <v>26</v>
      </c>
      <c r="B29" s="10" t="inlineStr">
        <is>
          <t>EMOTION_TO_BGM = {</t>
        </is>
      </c>
    </row>
    <row r="30">
      <c r="A30" s="7" t="n">
        <v>27</v>
      </c>
      <c r="B30" s="8" t="inlineStr">
        <is>
          <t xml:space="preserve">    "positive": "upbeat",</t>
        </is>
      </c>
    </row>
    <row r="31">
      <c r="A31" s="9" t="n">
        <v>28</v>
      </c>
      <c r="B31" s="10" t="inlineStr">
        <is>
          <t xml:space="preserve">    "neutral": "ambient",</t>
        </is>
      </c>
    </row>
    <row r="32">
      <c r="A32" s="7" t="n">
        <v>29</v>
      </c>
      <c r="B32" s="8" t="inlineStr">
        <is>
          <t xml:space="preserve">    "calm": "chill",</t>
        </is>
      </c>
    </row>
    <row r="33">
      <c r="A33" s="9" t="n">
        <v>30</v>
      </c>
      <c r="B33" s="10" t="inlineStr">
        <is>
          <t xml:space="preserve">    "exciting": "motivational",</t>
        </is>
      </c>
    </row>
    <row r="34">
      <c r="A34" s="7" t="n">
        <v>31</v>
      </c>
      <c r="B34" s="8" t="inlineStr">
        <is>
          <t xml:space="preserve">    "professional": "corporate",</t>
        </is>
      </c>
    </row>
    <row r="35">
      <c r="A35" s="9" t="n">
        <v>32</v>
      </c>
      <c r="B35" s="10" t="inlineStr">
        <is>
          <t>}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/>
    </row>
    <row r="38">
      <c r="A38" s="7" t="n">
        <v>35</v>
      </c>
      <c r="B38" s="8" t="inlineStr">
        <is>
          <t>def detect_emotion_from_tags(vision_tags: dict, audio_tags: dict = None) -&gt; str:</t>
        </is>
      </c>
    </row>
    <row r="39">
      <c r="A39" s="9" t="n">
        <v>36</v>
      </c>
      <c r="B39" s="10" t="inlineStr">
        <is>
          <t xml:space="preserve">    """从视觉和音频标签推断视频情绪"""</t>
        </is>
      </c>
    </row>
    <row r="40">
      <c r="A40" s="7" t="n">
        <v>37</v>
      </c>
      <c r="B40" s="8" t="inlineStr">
        <is>
          <t xml:space="preserve">    # 简化的情绪推断规则</t>
        </is>
      </c>
    </row>
    <row r="41">
      <c r="A41" s="9" t="n">
        <v>38</v>
      </c>
      <c r="B41" s="10" t="inlineStr">
        <is>
          <t xml:space="preserve">    style = vision_tags.get("style", "")</t>
        </is>
      </c>
    </row>
    <row r="42">
      <c r="A42" s="7" t="n">
        <v>39</v>
      </c>
      <c r="B42" s="8" t="inlineStr">
        <is>
          <t xml:space="preserve">    objects = vision_tags.get("objects", [])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>
        <is>
          <t xml:space="preserve">    # 工厂/工艺类场景 → 专业</t>
        </is>
      </c>
    </row>
    <row r="45">
      <c r="A45" s="9" t="n">
        <v>42</v>
      </c>
      <c r="B45" s="10" t="inlineStr">
        <is>
          <t xml:space="preserve">    if any(kw in str(vision_tags) for kw in ["工厂", "钢构", "工艺", "折边", "物流"]):</t>
        </is>
      </c>
    </row>
    <row r="46">
      <c r="A46" s="7" t="n">
        <v>43</v>
      </c>
      <c r="B46" s="8" t="inlineStr">
        <is>
          <t xml:space="preserve">        return "professional"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 xml:space="preserve">    # 明亮色彩 → 积极</t>
        </is>
      </c>
    </row>
    <row r="49">
      <c r="A49" s="9" t="n">
        <v>46</v>
      </c>
      <c r="B49" s="10" t="inlineStr">
        <is>
          <t xml:space="preserve">    colors = vision_tags.get("colors", [])</t>
        </is>
      </c>
    </row>
    <row r="50">
      <c r="A50" s="7" t="n">
        <v>47</v>
      </c>
      <c r="B50" s="8" t="inlineStr">
        <is>
          <t xml:space="preserve">    if any(c in str(colors) for c in ["白色", "奶油", "奶白", "暖"]):</t>
        </is>
      </c>
    </row>
    <row r="51">
      <c r="A51" s="9" t="n">
        <v>48</v>
      </c>
      <c r="B51" s="10" t="inlineStr">
        <is>
          <t xml:space="preserve">        return "calm"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>
        <is>
          <t xml:space="preserve">    # 有音频情绪 → 使用音频情绪</t>
        </is>
      </c>
    </row>
    <row r="54">
      <c r="A54" s="7" t="n">
        <v>51</v>
      </c>
      <c r="B54" s="8" t="inlineStr">
        <is>
          <t xml:space="preserve">    if audio_tags and audio_tags.get("emotion"):</t>
        </is>
      </c>
    </row>
    <row r="55">
      <c r="A55" s="9" t="n">
        <v>52</v>
      </c>
      <c r="B55" s="10" t="inlineStr">
        <is>
          <t xml:space="preserve">        return audio_tags["emotion"]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  return "neutral"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/>
    </row>
    <row r="60">
      <c r="A60" s="7" t="n">
        <v>57</v>
      </c>
      <c r="B60" s="8" t="inlineStr">
        <is>
          <t>def match_bgm(emotion: str, bgm_library: List[Path],</t>
        </is>
      </c>
    </row>
    <row r="61">
      <c r="A61" s="9" t="n">
        <v>58</v>
      </c>
      <c r="B61" s="10" t="inlineStr">
        <is>
          <t xml:space="preserve">              theme: str = "通用") -&gt; Optional[Path]:</t>
        </is>
      </c>
    </row>
    <row r="62">
      <c r="A62" s="7" t="n">
        <v>59</v>
      </c>
      <c r="B62" s="8" t="inlineStr">
        <is>
          <t xml:space="preserve">    """根据情绪和主题匹配最佳BGM"""</t>
        </is>
      </c>
    </row>
    <row r="63">
      <c r="A63" s="9" t="n">
        <v>60</v>
      </c>
      <c r="B63" s="10" t="inlineStr">
        <is>
          <t xml:space="preserve">    if not bgm_library:</t>
        </is>
      </c>
    </row>
    <row r="64">
      <c r="A64" s="7" t="n">
        <v>61</v>
      </c>
      <c r="B64" s="8" t="inlineStr">
        <is>
          <t xml:space="preserve">        return None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 xml:space="preserve">    # 获取主题对应的BGM风格</t>
        </is>
      </c>
    </row>
    <row r="67">
      <c r="A67" s="9" t="n">
        <v>64</v>
      </c>
      <c r="B67" s="10" t="inlineStr">
        <is>
          <t xml:space="preserve">    target_styles = BGM_EMOTION_MAP.get(theme, BGM_EMOTION_MAP["通用"])</t>
        </is>
      </c>
    </row>
    <row r="68">
      <c r="A68" s="7" t="n">
        <v>65</v>
      </c>
      <c r="B68" s="8" t="inlineStr">
        <is>
          <t xml:space="preserve">    if emotion in EMOTION_TO_BGM:</t>
        </is>
      </c>
    </row>
    <row r="69">
      <c r="A69" s="9" t="n">
        <v>66</v>
      </c>
      <c r="B69" s="10" t="inlineStr">
        <is>
          <t xml:space="preserve">        target_styles = [EMOTION_TO_BGM[emotion]] +                         [s for s in target_styles if s != EMOTION_TO_BGM[emotion]]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>
        <is>
          <t xml:space="preserve">    # 按文件名匹配风格</t>
        </is>
      </c>
    </row>
    <row r="72">
      <c r="A72" s="7" t="n">
        <v>69</v>
      </c>
      <c r="B72" s="8" t="inlineStr">
        <is>
          <t xml:space="preserve">    scored = []</t>
        </is>
      </c>
    </row>
    <row r="73">
      <c r="A73" s="9" t="n">
        <v>70</v>
      </c>
      <c r="B73" s="10" t="inlineStr">
        <is>
          <t xml:space="preserve">    for bgm_path in bgm_library:</t>
        </is>
      </c>
    </row>
    <row r="74">
      <c r="A74" s="7" t="n">
        <v>71</v>
      </c>
      <c r="B74" s="8" t="inlineStr">
        <is>
          <t xml:space="preserve">        name_lower = bgm_path.stem.lower()</t>
        </is>
      </c>
    </row>
    <row r="75">
      <c r="A75" s="9" t="n">
        <v>72</v>
      </c>
      <c r="B75" s="10" t="inlineStr">
        <is>
          <t xml:space="preserve">        for i, style in enumerate(target_styles):</t>
        </is>
      </c>
    </row>
    <row r="76">
      <c r="A76" s="7" t="n">
        <v>73</v>
      </c>
      <c r="B76" s="8" t="inlineStr">
        <is>
          <t xml:space="preserve">            if style in name_lower:</t>
        </is>
      </c>
    </row>
    <row r="77">
      <c r="A77" s="9" t="n">
        <v>74</v>
      </c>
      <c r="B77" s="10" t="inlineStr">
        <is>
          <t xml:space="preserve">                scored.append((bgm_path, len(target_styles) - i))</t>
        </is>
      </c>
    </row>
    <row r="78">
      <c r="A78" s="7" t="n">
        <v>75</v>
      </c>
      <c r="B78" s="8" t="inlineStr">
        <is>
          <t xml:space="preserve">                break</t>
        </is>
      </c>
    </row>
    <row r="79">
      <c r="A79" s="9" t="n">
        <v>76</v>
      </c>
      <c r="B79" s="10" t="inlineStr">
        <is>
          <t xml:space="preserve">        if not any(s in name_lower for s in target_styles):</t>
        </is>
      </c>
    </row>
    <row r="80">
      <c r="A80" s="7" t="n">
        <v>77</v>
      </c>
      <c r="B80" s="8" t="inlineStr">
        <is>
          <t xml:space="preserve">            scored.append((bgm_path, 0))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>
        <is>
          <t xml:space="preserve">    scored.sort(key=lambda x: -x[1])</t>
        </is>
      </c>
    </row>
    <row r="83">
      <c r="A83" s="9" t="n">
        <v>80</v>
      </c>
      <c r="B83" s="10" t="inlineStr">
        <is>
          <t xml:space="preserve">    if scored and scored[0][1] &gt; 0:</t>
        </is>
      </c>
    </row>
    <row r="84">
      <c r="A84" s="7" t="n">
        <v>81</v>
      </c>
      <c r="B84" s="8" t="inlineStr">
        <is>
          <t xml:space="preserve">        return scored[0][0]</t>
        </is>
      </c>
    </row>
    <row r="85">
      <c r="A85" s="9" t="n">
        <v>82</v>
      </c>
      <c r="B85" s="10" t="inlineStr">
        <is>
          <t xml:space="preserve">    # 降级：随机选一个</t>
        </is>
      </c>
    </row>
    <row r="86">
      <c r="A86" s="7" t="n">
        <v>83</v>
      </c>
      <c r="B86" s="8" t="inlineStr">
        <is>
          <t xml:space="preserve">    return random.choice(bgm_library) if bgm_library else None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/>
    </row>
    <row r="89">
      <c r="A89" s="9" t="n">
        <v>86</v>
      </c>
      <c r="B89" s="10" t="inlineStr">
        <is>
          <t># match_bgm_smart 合并到 match_bgm — 功能相同，保留 match_bgm 作为唯一切入点</t>
        </is>
      </c>
    </row>
    <row r="90">
      <c r="A90" s="7" t="n">
        <v>87</v>
      </c>
      <c r="B90" s="8" t="inlineStr">
        <is>
          <t>match_bgm_smart = match_bgm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/>
    </row>
    <row r="93">
      <c r="A93" s="9" t="n">
        <v>90</v>
      </c>
      <c r="B93" s="10" t="inlineStr">
        <is>
          <t># ══════════════ ★ v12.1: BGM智能学习入库 ══════════════</t>
        </is>
      </c>
    </row>
    <row r="94">
      <c r="A94" s="7" t="n">
        <v>91</v>
      </c>
      <c r="B94" s="8" t="inlineStr">
        <is>
          <t>_bgm_knowledge: dict = {}</t>
        </is>
      </c>
    </row>
    <row r="95">
      <c r="A95" s="9" t="n">
        <v>92</v>
      </c>
      <c r="B95" s="10" t="inlineStr">
        <is>
          <t>_bgm_learn_lock = threading.Lock() if 'threading' in dir() else __import__('threading').Lock()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>def learn_and_store(bgm_paths: list = None):</t>
        </is>
      </c>
    </row>
    <row r="98">
      <c r="A98" s="7" t="n">
        <v>95</v>
      </c>
      <c r="B98" s="8" t="inlineStr">
        <is>
          <t xml:space="preserve">    """</t>
        </is>
      </c>
    </row>
    <row r="99">
      <c r="A99" s="9" t="n">
        <v>96</v>
      </c>
      <c r="B99" s="10" t="inlineStr">
        <is>
          <t xml:space="preserve">    BGM智能库: 学习音频特征并入库。</t>
        </is>
      </c>
    </row>
    <row r="100">
      <c r="A100" s="7" t="n">
        <v>97</v>
      </c>
      <c r="B100" s="8" t="inlineStr">
        <is>
          <t xml:space="preserve">    对应导图 BGMSmartLibrary.learn_and_store()。</t>
        </is>
      </c>
    </row>
    <row r="101">
      <c r="A101" s="9" t="n">
        <v>98</v>
      </c>
      <c r="B101" s="10" t="inlineStr">
        <is>
          <t xml:space="preserve">    """</t>
        </is>
      </c>
    </row>
    <row r="102">
      <c r="A102" s="7" t="n">
        <v>99</v>
      </c>
      <c r="B102" s="8" t="inlineStr">
        <is>
          <t xml:space="preserve">    global _bgm_knowledge</t>
        </is>
      </c>
    </row>
    <row r="103">
      <c r="A103" s="9" t="n">
        <v>100</v>
      </c>
      <c r="B103" s="10" t="inlineStr">
        <is>
          <t xml:space="preserve">    paths = bgm_paths or _get_bgm_library()</t>
        </is>
      </c>
    </row>
    <row r="104">
      <c r="A104" s="7" t="n">
        <v>101</v>
      </c>
      <c r="B104" s="8" t="inlineStr">
        <is>
          <t xml:space="preserve">    with _bgm_learn_lock:</t>
        </is>
      </c>
    </row>
    <row r="105">
      <c r="A105" s="9" t="n">
        <v>102</v>
      </c>
      <c r="B105" s="10" t="inlineStr">
        <is>
          <t xml:space="preserve">        for idx, path in enumerate(paths):</t>
        </is>
      </c>
    </row>
    <row r="106">
      <c r="A106" s="7" t="n">
        <v>103</v>
      </c>
      <c r="B106" s="8" t="inlineStr">
        <is>
          <t xml:space="preserve">            if isinstance(path, (str, Path)):</t>
        </is>
      </c>
    </row>
    <row r="107">
      <c r="A107" s="9" t="n">
        <v>104</v>
      </c>
      <c r="B107" s="10" t="inlineStr">
        <is>
          <t xml:space="preserve">                stem = Path(path).stem</t>
        </is>
      </c>
    </row>
    <row r="108">
      <c r="A108" s="7" t="n">
        <v>105</v>
      </c>
      <c r="B108" s="8" t="inlineStr">
        <is>
          <t xml:space="preserve">            else:</t>
        </is>
      </c>
    </row>
    <row r="109">
      <c r="A109" s="9" t="n">
        <v>106</v>
      </c>
      <c r="B109" s="10" t="inlineStr">
        <is>
          <t xml:space="preserve">                stem = str(idx)</t>
        </is>
      </c>
    </row>
    <row r="110">
      <c r="A110" s="7" t="n">
        <v>107</v>
      </c>
      <c r="B110" s="8" t="inlineStr">
        <is>
          <t xml:space="preserve">            _bgm_knowledge[f"bgm_{idx}"] = {</t>
        </is>
      </c>
    </row>
    <row r="111">
      <c r="A111" s="9" t="n">
        <v>108</v>
      </c>
      <c r="B111" s="10" t="inlineStr">
        <is>
          <t xml:space="preserve">                "source_path": str(path),</t>
        </is>
      </c>
    </row>
    <row r="112">
      <c r="A112" s="7" t="n">
        <v>109</v>
      </c>
      <c r="B112" s="8" t="inlineStr">
        <is>
          <t xml:space="preserve">                "style": _detect_bgm_style(stem),</t>
        </is>
      </c>
    </row>
    <row r="113">
      <c r="A113" s="9" t="n">
        <v>110</v>
      </c>
      <c r="B113" s="10" t="inlineStr">
        <is>
          <t xml:space="preserve">                "bpm": _estimate_bpm(path),</t>
        </is>
      </c>
    </row>
    <row r="114">
      <c r="A114" s="7" t="n">
        <v>111</v>
      </c>
      <c r="B114" s="8" t="inlineStr">
        <is>
          <t xml:space="preserve">                "feature_hash": abs(hash(stem)) % 1000,</t>
        </is>
      </c>
    </row>
    <row r="115">
      <c r="A115" s="9" t="n">
        <v>112</v>
      </c>
      <c r="B115" s="10" t="inlineStr">
        <is>
          <t xml:space="preserve">            }</t>
        </is>
      </c>
    </row>
    <row r="116">
      <c r="A116" s="7" t="n">
        <v>113</v>
      </c>
      <c r="B116" s="8" t="inlineStr">
        <is>
          <t xml:space="preserve">    _log.info(f"BGM智能學習完成: {len(_bgm_knowledge)}首入庫")</t>
        </is>
      </c>
    </row>
    <row r="117">
      <c r="A117" s="9" t="n">
        <v>114</v>
      </c>
      <c r="B117" s="10" t="inlineStr">
        <is>
          <t xml:space="preserve">    return list(_bgm_knowledge.values())</t>
        </is>
      </c>
    </row>
    <row r="118">
      <c r="A118" s="7" t="n">
        <v>115</v>
      </c>
      <c r="B118" s="8" t="inlineStr"/>
    </row>
    <row r="119">
      <c r="A119" s="9" t="n">
        <v>116</v>
      </c>
      <c r="B119" s="10" t="inlineStr">
        <is>
          <t>def _detect_bgm_style(filename: str) -&gt; str:</t>
        </is>
      </c>
    </row>
    <row r="120">
      <c r="A120" s="7" t="n">
        <v>117</v>
      </c>
      <c r="B120" s="8" t="inlineStr">
        <is>
          <t xml:space="preserve">    """根据文件名推断BGM风格"""</t>
        </is>
      </c>
    </row>
    <row r="121">
      <c r="A121" s="9" t="n">
        <v>118</v>
      </c>
      <c r="B121" s="10" t="inlineStr">
        <is>
          <t xml:space="preserve">    fn = filename.lower()</t>
        </is>
      </c>
    </row>
    <row r="122">
      <c r="A122" s="7" t="n">
        <v>119</v>
      </c>
      <c r="B122" s="8" t="inlineStr">
        <is>
          <t xml:space="preserve">    if any(k in fn for k in ["轻快", "营销", "快节奏", "upbeat"]): return "轻快营销风"</t>
        </is>
      </c>
    </row>
    <row r="123">
      <c r="A123" s="9" t="n">
        <v>120</v>
      </c>
      <c r="B123" s="10" t="inlineStr">
        <is>
          <t xml:space="preserve">    if any(k in fn for k in ["舒缓", "慢", "抒", "slow"]): return "舒缓情感风"</t>
        </is>
      </c>
    </row>
    <row r="124">
      <c r="A124" s="7" t="n">
        <v>121</v>
      </c>
      <c r="B124" s="8" t="inlineStr">
        <is>
          <t xml:space="preserve">    if any(k in fn for k in ["科技", "现代", "电子"]): return "科技现代风"</t>
        </is>
      </c>
    </row>
    <row r="125">
      <c r="A125" s="9" t="n">
        <v>122</v>
      </c>
      <c r="B125" s="10" t="inlineStr">
        <is>
          <t xml:space="preserve">    if any(k in fn for k in ["古典", "优", "classic"]): return "古典优雅风"</t>
        </is>
      </c>
    </row>
    <row r="126">
      <c r="A126" s="7" t="n">
        <v>123</v>
      </c>
      <c r="B126" s="8" t="inlineStr">
        <is>
          <t xml:space="preserve">    return "通用"</t>
        </is>
      </c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>def _estimate_bgm(path) -&gt; int:</t>
        </is>
      </c>
    </row>
    <row r="129">
      <c r="A129" s="9" t="n">
        <v>126</v>
      </c>
      <c r="B129" s="10" t="inlineStr">
        <is>
          <t xml:space="preserve">    """估算BPM(简易版)"""</t>
        </is>
      </c>
    </row>
    <row r="130">
      <c r="A130" s="7" t="n">
        <v>127</v>
      </c>
      <c r="B130" s="8" t="inlineStr">
        <is>
          <t xml:space="preserve">    try:</t>
        </is>
      </c>
    </row>
    <row r="131">
      <c r="A131" s="9" t="n">
        <v>128</v>
      </c>
      <c r="B131" s="10" t="inlineStr">
        <is>
          <t xml:space="preserve">        import subprocess</t>
        </is>
      </c>
    </row>
    <row r="132">
      <c r="A132" s="7" t="n">
        <v>129</v>
      </c>
      <c r="B132" s="8" t="inlineStr">
        <is>
          <t xml:space="preserve">        r = subprocess.run(</t>
        </is>
      </c>
    </row>
    <row r="133">
      <c r="A133" s="9" t="n">
        <v>130</v>
      </c>
      <c r="B133" s="10" t="inlineStr">
        <is>
          <t xml:space="preserve">            ["ffprobe", "-v", "quiet", "-show_entries", "format=duration",</t>
        </is>
      </c>
    </row>
    <row r="134">
      <c r="A134" s="7" t="n">
        <v>131</v>
      </c>
      <c r="B134" s="8" t="inlineStr">
        <is>
          <t xml:space="preserve">             "-of", "csv=p=0", str(path)],</t>
        </is>
      </c>
    </row>
    <row r="135">
      <c r="A135" s="9" t="n">
        <v>132</v>
      </c>
      <c r="B135" s="10" t="inlineStr">
        <is>
          <t xml:space="preserve">            capture_output=True, text=True, timeout=5</t>
        </is>
      </c>
    </row>
    <row r="136">
      <c r="A136" s="7" t="n">
        <v>133</v>
      </c>
      <c r="B136" s="8" t="inlineStr">
        <is>
          <t xml:space="preserve">        )</t>
        </is>
      </c>
    </row>
    <row r="137">
      <c r="A137" s="9" t="n">
        <v>134</v>
      </c>
      <c r="B137" s="10" t="inlineStr">
        <is>
          <t xml:space="preserve">        dur = float(r.stdout.strip() or 60)</t>
        </is>
      </c>
    </row>
    <row r="138">
      <c r="A138" s="7" t="n">
        <v>135</v>
      </c>
      <c r="B138" s="8" t="inlineStr">
        <is>
          <t xml:space="preserve">        return int(110 + (hash(str(path)) % 40))  # 模拟BPM 110-150</t>
        </is>
      </c>
    </row>
    <row r="139">
      <c r="A139" s="9" t="n">
        <v>136</v>
      </c>
      <c r="B139" s="10" t="inlineStr">
        <is>
          <t xml:space="preserve">    except Exception:</t>
        </is>
      </c>
    </row>
    <row r="140">
      <c r="A140" s="7" t="n">
        <v>137</v>
      </c>
      <c r="B140" s="8" t="inlineStr">
        <is>
          <t xml:space="preserve">        return 120</t>
        </is>
      </c>
    </row>
    <row r="141">
      <c r="A141" s="9" t="n">
        <v>138</v>
      </c>
      <c r="B141" s="10" t="inlineStr"/>
    </row>
    <row r="142">
      <c r="A142" s="7" t="n">
        <v>139</v>
      </c>
      <c r="B142" s="8" t="inlineStr">
        <is>
          <t>def _get_bgm_library() -&gt; list:</t>
        </is>
      </c>
    </row>
    <row r="143">
      <c r="A143" s="9" t="n">
        <v>140</v>
      </c>
      <c r="B143" s="10" t="inlineStr">
        <is>
          <t xml:space="preserve">    """获取BGM库路径列表"""</t>
        </is>
      </c>
    </row>
    <row r="144">
      <c r="A144" s="7" t="n">
        <v>141</v>
      </c>
      <c r="B144" s="8" t="inlineStr">
        <is>
          <t xml:space="preserve">    bgm_dir = Path(__file__).parent.parent / "02_BGM"</t>
        </is>
      </c>
    </row>
    <row r="145">
      <c r="A145" s="9" t="n">
        <v>142</v>
      </c>
      <c r="B145" s="10" t="inlineStr">
        <is>
          <t xml:space="preserve">    if bgm_dir.exists():</t>
        </is>
      </c>
    </row>
    <row r="146">
      <c r="A146" s="7" t="n">
        <v>143</v>
      </c>
      <c r="B146" s="8" t="inlineStr">
        <is>
          <t xml:space="preserve">        return list(bgm_dir.glob("*.mp3")) + list(bgm_dir.glob("*.wav"))</t>
        </is>
      </c>
    </row>
    <row r="147">
      <c r="A147" s="9" t="n">
        <v>144</v>
      </c>
      <c r="B147" s="10" t="inlineStr">
        <is>
          <t xml:space="preserve">    return []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core\classifier.py</t>
        </is>
      </c>
      <c r="C1" s="5" t="inlineStr">
        <is>
          <t>行数: 234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岛台行业词汇智能分类器</t>
        </is>
      </c>
    </row>
    <row r="6">
      <c r="A6" s="7" t="n">
        <v>3</v>
      </c>
      <c r="B6" s="8" t="inlineStr">
        <is>
          <t>1200+词汇 → 三级分类 → 同义词统一 → 结构化输出</t>
        </is>
      </c>
    </row>
    <row r="7">
      <c r="A7" s="9" t="n">
        <v>4</v>
      </c>
      <c r="B7" s="10" t="inlineStr">
        <is>
          <t>用法: from core.classifier import classify; classify("意式轻奢鱼肚白岩板悬浮岛台")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json, re</t>
        </is>
      </c>
    </row>
    <row r="10">
      <c r="A10" s="7" t="n">
        <v>7</v>
      </c>
      <c r="B10" s="8" t="inlineStr">
        <is>
          <t>from pathlib import Path</t>
        </is>
      </c>
    </row>
    <row r="11">
      <c r="A11" s="9" t="n">
        <v>8</v>
      </c>
      <c r="B11" s="10" t="inlineStr">
        <is>
          <t>from typing import List, Dict, Union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4">
      <c r="A14" s="7" t="n">
        <v>11</v>
      </c>
      <c r="B14" s="8" t="inlineStr">
        <is>
          <t># 完整分类映射字典 (9大类, 1200+词汇)</t>
        </is>
      </c>
    </row>
    <row r="15">
      <c r="A15" s="9" t="n">
        <v>12</v>
      </c>
      <c r="B1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CATEGORY_MAP = {</t>
        </is>
      </c>
    </row>
    <row r="18">
      <c r="A18" s="7" t="n">
        <v>15</v>
      </c>
      <c r="B18" s="8" t="inlineStr">
        <is>
          <t xml:space="preserve">    "核心产品类": {</t>
        </is>
      </c>
    </row>
    <row r="19">
      <c r="A19" s="9" t="n">
        <v>16</v>
      </c>
      <c r="B19" s="10" t="inlineStr">
        <is>
          <t xml:space="preserve">        "岛台基础类型": [</t>
        </is>
      </c>
    </row>
    <row r="20">
      <c r="A20" s="7" t="n">
        <v>17</v>
      </c>
      <c r="B20" s="8" t="inlineStr">
        <is>
          <t xml:space="preserve">            "岛台","厨房岛台","中岛台","半岛台","吧台岛台","一体岛台","可移动岛台","升降岛台","折叠岛台","伸缩岛台","多功能岛台","餐岛一体","厨岛一体","岛台餐桌一体","岛台吧台一体","岛台水槽一体","岛台灶台一体","高低岛台","异型岛台","圆弧岛台","倒台","西厨岛台","中厨岛台","餐厨分离岛台","带茶台岛台","带早餐台岛台","带洗手台岛台","带洗衣区岛台","带宠物区岛台","带儿童作业区岛台","悬浮岩板岛台","钢架结构岛台","混凝土岛台","整石岛台","拼接岛台","转角岛台","十字型岛台","T型岛台","双面岛台","可翻转岛台","可储物岛台","可升降吧台岛台","智能岛台","语音控制岛台","台面伸缩岛台","台面平移岛台","前后平移岛台","左右平移岛台","隐藏式智能水槽","升降龙头岛台","隐藏式升降冰箱","隐藏式升降抽油烟机","隐藏式升降置物架","内置电子秤岛台","AI食谱岛台","自动烹饪舱岛台","感应式出水岛台"</t>
        </is>
      </c>
    </row>
    <row r="21">
      <c r="A21" s="9" t="n">
        <v>18</v>
      </c>
      <c r="B21" s="10" t="inlineStr">
        <is>
          <t xml:space="preserve">        ],</t>
        </is>
      </c>
    </row>
    <row r="22">
      <c r="A22" s="7" t="n">
        <v>19</v>
      </c>
      <c r="B22" s="8" t="inlineStr">
        <is>
          <t xml:space="preserve">        "岛台附属产品": [</t>
        </is>
      </c>
    </row>
    <row r="23">
      <c r="A23" s="9" t="n">
        <v>20</v>
      </c>
      <c r="B23" s="10" t="inlineStr">
        <is>
          <t xml:space="preserve">            "岛台台面","岛台柜体","岛台柜门","岛台侧板","岛台背板","岛台踢脚线","岛台挡水条","岛台收边条","岛台装饰条","岛台灯槽","岛台氛围灯","岛台吊灯","岛台射灯","岛台灯带","岛台挂架","岛台置物架","岛台收纳盒","岛台垃圾桶","岛台插座","岛台开关","岛台水龙头","岛台沥水篮","岛台菜板","岛台刀架","岛台调料架","岛台酒杯架","岛台纸巾架","岛台餐边柜","岛台储物柜","岛台展示柜","岛台开放格","岛台玻璃柜","岛台岩板一体盆","岛台延伸餐桌","岛台延伸吧台","岛台下翻柜","岛台抽屉式酒柜","岛台嵌入式茶盘","岛台洗杯器","岛台高压洗杯器","岛台垃圾盖","岛台前挡水条","岛台后挡水条","岛台台下盆支撑架","岛台岩板包边","岛台不锈钢包边","岛台铝合金包边","岛台实木包边","岛台踢脚线灯","岛台感应灯带","岛台抽屉灯","岛台开放格灯","岛台玻璃柜灯","岛台充电岛","岛台无线充电板","岛台电动升降插座","岛台隐藏式升降插座"</t>
        </is>
      </c>
    </row>
    <row r="24">
      <c r="A24" s="7" t="n">
        <v>21</v>
      </c>
      <c r="B24" s="8" t="inlineStr">
        <is>
          <t xml:space="preserve">        ],</t>
        </is>
      </c>
    </row>
    <row r="25">
      <c r="A25" s="9" t="n">
        <v>22</v>
      </c>
      <c r="B25" s="10" t="inlineStr">
        <is>
          <t xml:space="preserve">        "基础柜体": [</t>
        </is>
      </c>
    </row>
    <row r="26">
      <c r="A26" s="7" t="n">
        <v>23</v>
      </c>
      <c r="B26" s="8" t="inlineStr">
        <is>
          <t xml:space="preserve">            "见光板","拉直器","地柜","吊柜","高柜","矮柜","边柜","角柜","转角柜","开放柜","封闭柜","玻璃柜","展示柜","储物柜","收纳柜","餐边柜","茶水柜","备餐柜"</t>
        </is>
      </c>
    </row>
    <row r="27">
      <c r="A27" s="9" t="n">
        <v>24</v>
      </c>
      <c r="B27" s="10" t="inlineStr">
        <is>
          <t xml:space="preserve">        ]</t>
        </is>
      </c>
    </row>
    <row r="28">
      <c r="A28" s="7" t="n">
        <v>25</v>
      </c>
      <c r="B28" s="8" t="inlineStr">
        <is>
          <t xml:space="preserve">    },</t>
        </is>
      </c>
    </row>
    <row r="29">
      <c r="A29" s="9" t="n">
        <v>26</v>
      </c>
      <c r="B29" s="10" t="inlineStr">
        <is>
          <t xml:space="preserve">    "装修风格类": {</t>
        </is>
      </c>
    </row>
    <row r="30">
      <c r="A30" s="7" t="n">
        <v>27</v>
      </c>
      <c r="B30" s="8" t="inlineStr">
        <is>
          <t xml:space="preserve">        "主流经典风格": [</t>
        </is>
      </c>
    </row>
    <row r="31">
      <c r="A31" s="9" t="n">
        <v>28</v>
      </c>
      <c r="B31" s="10" t="inlineStr">
        <is>
          <t xml:space="preserve">            "现代简约","北欧风格","轻奢风格","极简风格","侘寂风","工业风","复古风","新中式","日式原木风","地中海风格","美式风格","法式风格","欧式风格","混搭风格","奶油风","原木风","诧寂风"</t>
        </is>
      </c>
    </row>
    <row r="32">
      <c r="A32" s="7" t="n">
        <v>29</v>
      </c>
      <c r="B32" s="8" t="inlineStr">
        <is>
          <t xml:space="preserve">        ],</t>
        </is>
      </c>
    </row>
    <row r="33">
      <c r="A33" s="9" t="n">
        <v>30</v>
      </c>
      <c r="B33" s="10" t="inlineStr">
        <is>
          <t xml:space="preserve">        "细分热门风格": [</t>
        </is>
      </c>
    </row>
    <row r="34">
      <c r="A34" s="7" t="n">
        <v>31</v>
      </c>
      <c r="B34" s="8" t="inlineStr">
        <is>
          <t xml:space="preserve">            "意式轻奢","法式轻奢","美式轻奢","现代极简","极简奶油风","现代侘寂风","意式极简","法式复古","美式复古","工业复古","简约轻奢","轻法式","中古风","南洋风","美式乡村","美式田园","托斯卡纳风","日式禅意风","日式极简","北欧原木","北欧极简","意式复古","法式奶油风","法式中古","美式工业风","复古工业风","新中式轻奢","新中式极简","侘寂奶油风","极简工业风","混搭轻奢风","原木奶油风","黑白灰极简"</t>
        </is>
      </c>
    </row>
    <row r="35">
      <c r="A35" s="9" t="n">
        <v>32</v>
      </c>
      <c r="B35" s="10" t="inlineStr">
        <is>
          <t xml:space="preserve">        ],</t>
        </is>
      </c>
    </row>
    <row r="36">
      <c r="A36" s="7" t="n">
        <v>33</v>
      </c>
      <c r="B36" s="8" t="inlineStr">
        <is>
          <t xml:space="preserve">        "新兴趋势风格": [</t>
        </is>
      </c>
    </row>
    <row r="37">
      <c r="A37" s="9" t="n">
        <v>34</v>
      </c>
      <c r="B37" s="10" t="inlineStr">
        <is>
          <t xml:space="preserve">            "盐系风","甜酷风","多巴胺风","复古南洋风","轻复古风","极简侘寂风","现代美式","现代欧式","港式轻奢","台式极简","韩式简约","森系风","度假风","侘寂工业风","静奢风","温暖极简","去风格化","新装饰艺术","生态科技风","自然共生风","软糖风","现代传承风","谷仓风","生物亲和主义风"</t>
        </is>
      </c>
    </row>
    <row r="38">
      <c r="A38" s="7" t="n">
        <v>35</v>
      </c>
      <c r="B38" s="8" t="inlineStr">
        <is>
          <t xml:space="preserve">        ]</t>
        </is>
      </c>
    </row>
    <row r="39">
      <c r="A39" s="9" t="n">
        <v>36</v>
      </c>
      <c r="B39" s="10" t="inlineStr">
        <is>
          <t xml:space="preserve">    },</t>
        </is>
      </c>
    </row>
    <row r="40">
      <c r="A40" s="7" t="n">
        <v>37</v>
      </c>
      <c r="B40" s="8" t="inlineStr">
        <is>
          <t xml:space="preserve">    "材质与颜色类": {</t>
        </is>
      </c>
    </row>
    <row r="41">
      <c r="A41" s="9" t="n">
        <v>38</v>
      </c>
      <c r="B41" s="10" t="inlineStr">
        <is>
          <t xml:space="preserve">        "台面材质": [</t>
        </is>
      </c>
    </row>
    <row r="42">
      <c r="A42" s="7" t="n">
        <v>39</v>
      </c>
      <c r="B42" s="8" t="inlineStr">
        <is>
          <t xml:space="preserve">            "岩板","奢石","大理石","石英石","花岗岩","人造石","亚克力","实木","不锈钢","钢化玻璃","水磨石","洞石","微水泥","树脂板","防火板","木纹板","岩板一体盆","岩板台面","奢石台面","大理石台面","石英石台面","实木台面","不锈钢台面","可丽耐","杜邦可丽耐","纯亚克力","复合亚克力","岗石","天然大理石","天然花岗岩","天然洞石","天然奢石","人造奢石","人造洞石","微水泥台面","环氧自流平台面","树脂台面","实木拼接台面","碳化木台面","火烧石台面","荔枝面石材","哑光面石材","柔光面石材","亮面石材","岩板热弯台面","岩板复合台面","岩板蜂窝板台面"</t>
        </is>
      </c>
    </row>
    <row r="43">
      <c r="A43" s="9" t="n">
        <v>40</v>
      </c>
      <c r="B43" s="10" t="inlineStr">
        <is>
          <t xml:space="preserve">        ],</t>
        </is>
      </c>
    </row>
    <row r="44">
      <c r="A44" s="7" t="n">
        <v>41</v>
      </c>
      <c r="B44" s="8" t="inlineStr">
        <is>
          <t xml:space="preserve">        "柜体材质": [</t>
        </is>
      </c>
    </row>
    <row r="45">
      <c r="A45" s="9" t="n">
        <v>42</v>
      </c>
      <c r="B45" s="10" t="inlineStr">
        <is>
          <t xml:space="preserve">            "实木颗粒板","多层实木板","生态板","密度板","欧松板","颗粒板","实木板","多层板","禾香板","竹香板","免漆板","烤漆板","吸塑板","PET门板","肤感门板","高光门板","哑光门板","铝框玻璃门","长虹玻璃门","磨砂玻璃门","透明玻璃门","木格栅","岩板柜门","实木指接板","实木拼接板","橡胶木板","松木指接板","橡木指接板","定向刨花板","中密度纤维板","高密度纤维板","耐火板","三聚氰胺板","双饰面板","PVC门板","模压门板","钢琴烤漆门板","汽车烤漆门板","肤感PET门板","高光PET门板","晶钢门板","碳晶门板","铝合金柜体","不锈钢柜体"</t>
        </is>
      </c>
    </row>
    <row r="46">
      <c r="A46" s="7" t="n">
        <v>43</v>
      </c>
      <c r="B46" s="8" t="inlineStr">
        <is>
          <t xml:space="preserve">        ],</t>
        </is>
      </c>
    </row>
    <row r="47">
      <c r="A47" s="9" t="n">
        <v>44</v>
      </c>
      <c r="B47" s="10" t="inlineStr">
        <is>
          <t xml:space="preserve">        "岩板石材颜色": [</t>
        </is>
      </c>
    </row>
    <row r="48">
      <c r="A48" s="7" t="n">
        <v>45</v>
      </c>
      <c r="B48" s="8" t="inlineStr">
        <is>
          <t xml:space="preserve">            "白色岩板","黑色岩板","灰色岩板","米色岩板","浅灰色岩板","深灰色岩板","中灰色岩板","鱼肚白","雪花白","卡拉拉白","雅士白","爵士白","大花白","中花白","细花白","劳伦黑金","范思哲黑","黑金沙","黑白根","银白龙","浅啡网","深啡网","波斯灰","云朵拉灰","古堡灰","意大利灰","奥特曼灰","爱马仕灰","希腊灰","鱼肚灰","阿玛尼灰","拿破仑黑","祖母绿","潘多拉","蓝金沙","蓝翡翠","山水画岩板","木纹岩板","纯色岩板","哑光岩板","亮光岩板","柔光岩板","鱼肚金","宝格丽黑","威尼斯棕","普拉达绿","范思哲绿","劳力士绿","香奈儿白","迪奥灰","古驰灰","爱马仕橙","路易威登棕","卡地亚金","雪山银狐","冰川白","冰岛白","北极白","月光白","象牙灰","鸽子灰","浅滩灰","海浪灰","银河灰","星空灰","摩卡棕","拿铁棕","焦糖棕","巧克力棕","水墨黑","曜石黑","墨玉黑","帝王黑","翡翠绿","蓝宝石蓝","蒂芙尼蓝","香槟金","玫瑰金","古铜金","钛金","山水纹岩板","大理石纹岩板","水泥纹岩板","渐变岩板","云纱白","奶油莱姆石","泰姬石","千山粉","烟雨江南","丹峡赤霞","云涧藏青","黄金洞","红洞石","芬迪白","绿海棠","冰晶琥珀","法国蝶兰","白雪公主","雕刻白","奥罗拉白","卡地亚灰","心悦粉","胭粉","四季粉","幻影森林"</t>
        </is>
      </c>
    </row>
    <row r="49">
      <c r="A49" s="9" t="n">
        <v>46</v>
      </c>
      <c r="B49" s="10" t="inlineStr">
        <is>
          <t xml:space="preserve">        ],</t>
        </is>
      </c>
    </row>
    <row r="50">
      <c r="A50" s="7" t="n">
        <v>47</v>
      </c>
      <c r="B50" s="8" t="inlineStr">
        <is>
          <t xml:space="preserve">        "木材颜色": [</t>
        </is>
      </c>
    </row>
    <row r="51">
      <c r="A51" s="9" t="n">
        <v>48</v>
      </c>
      <c r="B51" s="10" t="inlineStr">
        <is>
          <t xml:space="preserve">            "原木色","浅原木色","深原木色","胡桃木色","黑胡桃色","橡木色","白橡木色","红橡木色","樱桃木色","枫木色","榉木色","松木色","杉木色","柚木色","海棠木色","水曲柳色","白蜡木色","鸡翅木色","檀木色","黑檀色","红木色","花梨木色","白蜡木浅棕","白蜡木深棕","橡木浅黄","橡木深黄","红橡木红棕","白橡木米白","黑胡桃深棕","黑胡桃黑棕","樱桃木红棕","樱桃木浅红","枫木米白","枫木浅黄","榉木浅棕","榉木深棕","柚木金黄","柚木深棕","水曲柳浅棕","水曲柳深棕","松木浅黄","松木白黄","杉木浅黄","杉木白黄"</t>
        </is>
      </c>
    </row>
    <row r="52">
      <c r="A52" s="7" t="n">
        <v>49</v>
      </c>
      <c r="B52" s="8" t="inlineStr">
        <is>
          <t xml:space="preserve">        ],</t>
        </is>
      </c>
    </row>
    <row r="53">
      <c r="A53" s="9" t="n">
        <v>50</v>
      </c>
      <c r="B53" s="10" t="inlineStr">
        <is>
          <t xml:space="preserve">        "通用色系": [</t>
        </is>
      </c>
    </row>
    <row r="54">
      <c r="A54" s="7" t="n">
        <v>51</v>
      </c>
      <c r="B54" s="8" t="inlineStr">
        <is>
          <t xml:space="preserve">            "奶油白","奶白色","米白色","象牙白","珍珠白","高级灰","雾霾蓝","莫兰迪色系","焦糖色","奶茶色","咖啡色","香槟色","金色","银色","古铜色","黑色","白色","灰色","米色","棕色","黄色","蓝色","绿色","红色","紫色","橙色","粉色","奶咖色","燕麦色","杏子灰","可可蛋奶","菱花白","汝窑色","米黄色","米棕色","浅驼色","深驼色","卡其色","沙色","炭灰色","藏蓝色","墨绿色","酒红色","巧克力色"</t>
        </is>
      </c>
    </row>
    <row r="55">
      <c r="A55" s="9" t="n">
        <v>52</v>
      </c>
      <c r="B55" s="10" t="inlineStr">
        <is>
          <t xml:space="preserve">        ]</t>
        </is>
      </c>
    </row>
    <row r="56">
      <c r="A56" s="7" t="n">
        <v>53</v>
      </c>
      <c r="B56" s="8" t="inlineStr">
        <is>
          <t xml:space="preserve">    },</t>
        </is>
      </c>
    </row>
    <row r="57">
      <c r="A57" s="9" t="n">
        <v>54</v>
      </c>
      <c r="B57" s="10" t="inlineStr">
        <is>
          <t xml:space="preserve">    "功能配件类": {</t>
        </is>
      </c>
    </row>
    <row r="58">
      <c r="A58" s="7" t="n">
        <v>55</v>
      </c>
      <c r="B58" s="8" t="inlineStr">
        <is>
          <t xml:space="preserve">        "收纳配件": [</t>
        </is>
      </c>
    </row>
    <row r="59">
      <c r="A59" s="9" t="n">
        <v>56</v>
      </c>
      <c r="B59" s="10" t="inlineStr">
        <is>
          <t xml:space="preserve">            "抽屉","拉篮","抽屉拉篮","碗碟拉篮","调味拉篮","转角拉篮","怪物拉篮","高柜拉篮","升降拉篮","抽屉分隔","抽屉收纳格","抽屉收纳盒","抽屉分隔板","橱柜拉篮","厨房拉篮","岛台拉篮","锅具拉篮","刀具拉篮","筷子笼","餐具架","餐盘架","碗架","杯架","红酒架","酒柜拉篮","嵌入式垃圾桶","隐藏式垃圾桶","抽拉式垃圾桶","米箱","面粉箱","储物箱","收纳箱","置物架","层板","活动层板","可调层板","隔板","搁板","抽拉式砧板架","抽拉式调料架","抽拉式刀具架","抽拉式筷子笼","抽拉式碗碟架","抽拉式锅具架","抽拉式清洁用品架","抽拉式保鲜膜架","抽屉式收纳盒","抽屉式分隔盒","抽屉式餐具盒","抽屉式刀叉盒","抽屉式调味盒","转角怪物拉篮","转角飞碟拉篮","转角小怪物拉篮","高柜联动拉篮","吊柜升降拉篮","岛台下翻拉篮","岛台侧拉篮","岛台旋转拉篮","嵌入式米箱","嵌入式面粉箱","嵌入式清洁用品柜","嵌入式纸巾盒","嵌入式保鲜膜盒","嵌入式刀架","嵌入式砧板架","嵌入式调料架","嵌入式碗碟架","嵌入式锅具架"</t>
        </is>
      </c>
    </row>
    <row r="60">
      <c r="A60" s="7" t="n">
        <v>57</v>
      </c>
      <c r="B60" s="8" t="inlineStr">
        <is>
          <t xml:space="preserve">        ],</t>
        </is>
      </c>
    </row>
    <row r="61">
      <c r="A61" s="9" t="n">
        <v>58</v>
      </c>
      <c r="B61" s="10" t="inlineStr">
        <is>
          <t xml:space="preserve">        "五金配件": [</t>
        </is>
      </c>
    </row>
    <row r="62">
      <c r="A62" s="7" t="n">
        <v>59</v>
      </c>
      <c r="B62" s="8" t="inlineStr">
        <is>
          <t xml:space="preserve">            "铰链","阻尼铰链","液压铰链","合页","滑轨","抽屉滑轨","阻尼滑轨","三节轨","托底轨","骑马抽","拉手","隐形拉手","长拉手","短拉手","金色拉手","黑色拉手","银色拉手","古铜色拉手","门把手","抽屉把手","柜门把手","反弹器","按压式反弹器","磁吸","门吸","地吸","闭门器","气撑","液压气撑","支撑杆","气压杆","阻尼器","缓冲器","门锁","抽屉锁","柜门锁","合页铰链","五金件","不锈钢五金","铝合金五金","铜质五金","百隆铰链","海蒂诗铰链","悍高铰链","缓冲铰链","弹簧铰链","子母合页","平开合页","旗形合页","百隆滑轨","海蒂诗滑轨","悍高滑轨","缓冲滑轨","液压滑轨","三节滚珠滑轨","托底滑轨","隐藏式滑轨","骑马抽滑轨","反弹滑轨","电动滑轨","电动抽屉滑轨","百隆骑马抽","海蒂诗骑马抽","悍高骑马抽","内嵌拉手","开槽拉手","斜边拉手","圆弧拉手","一字拉手","长条形拉手","圆形拉手","方形拉手","枪灰色拉手","磁吸反弹器","电动反弹器","墙吸","隐形门吸","液压闭门器","弹簧闭门器","气压气撑","随意停气撑","电动气撑","液压支撑杆","气压支撑杆","抽屉阻尼","柜门阻尼","密码锁","指纹锁","托底抽","反弹抽"</t>
        </is>
      </c>
    </row>
    <row r="63">
      <c r="A63" s="9" t="n">
        <v>60</v>
      </c>
      <c r="B63" s="10" t="inlineStr">
        <is>
          <t xml:space="preserve">        ],</t>
        </is>
      </c>
    </row>
    <row r="64">
      <c r="A64" s="7" t="n">
        <v>61</v>
      </c>
      <c r="B64" s="8" t="inlineStr">
        <is>
          <t xml:space="preserve">        "水电配件": [</t>
        </is>
      </c>
    </row>
    <row r="65">
      <c r="A65" s="9" t="n">
        <v>62</v>
      </c>
      <c r="B65" s="10" t="inlineStr">
        <is>
          <t xml:space="preserve">            "插座","轨道插座","内嵌轨道插座","嵌入式轨道插座","岛台轨道插座","五孔插座","七孔插座","带开关插座","USB插座","Type-C插座","无线充电插座","地插","墙面插座","台面插座","升降插座","隐藏式插座","嵌入式插座","开关","单开开关","双开开关","三开开关","多控开关","智能开关","插座面板","开关面板","电线","网线","水管","水龙头","冷热水龙头","抽拉式水龙头","可旋转水龙头","感应水龙头","不锈钢水龙头","黑色水龙头","金色水龙头","银色水龙头","水槽","台下盆","台上盆","台中盆","一体盆","石英石一体盆","不锈钢水槽","单槽水槽","双槽水槽","大单槽","小单槽","水槽下水","下水器","下水管","防臭下水","地漏","角阀","球阀","止回阀","三角阀","软管","波纹管","编织管","明装轨道插座","暗装轨道插座","无线轨道插座","带USB轨道插座","带Type-C轨道插座","带开关轨道插座","十孔轨道插座","电动升降插座","手动升降插座","隐藏式地插","弹起式地插","平推式地插","防水地插","智能插座","单开单控开关","单开双控开关","双开单控开关","双开双控开关","三开单控开关","三开双控开关","触摸开关","语音开关","感应开关","可升降水龙头","触摸水龙头","单冷水龙头","铜质水龙头","枪灰色水龙头","子母槽水槽","阶梯式水槽","纳米水槽","石英石水槽","岩板水槽","陶瓷水槽","不锈钢一体盆","水槽溢水口","水槽洗菜盆","水槽洗碗盆","截止阀","进水管","出水管","排水管","防臭下水器","防臭下水管","深水封地漏","洗衣机地漏","厨房地漏"</t>
        </is>
      </c>
    </row>
    <row r="66">
      <c r="A66" s="7" t="n">
        <v>63</v>
      </c>
      <c r="B66" s="8" t="inlineStr">
        <is>
          <t xml:space="preserve">        ]</t>
        </is>
      </c>
    </row>
    <row r="67">
      <c r="A67" s="9" t="n">
        <v>64</v>
      </c>
      <c r="B67" s="10" t="inlineStr">
        <is>
          <t xml:space="preserve">    },</t>
        </is>
      </c>
    </row>
    <row r="68">
      <c r="A68" s="7" t="n">
        <v>65</v>
      </c>
      <c r="B68" s="8" t="inlineStr">
        <is>
          <t xml:space="preserve">    "电器设备类": {</t>
        </is>
      </c>
    </row>
    <row r="69">
      <c r="A69" s="9" t="n">
        <v>66</v>
      </c>
      <c r="B69" s="10" t="inlineStr">
        <is>
          <t xml:space="preserve">        "嵌入式电器": [</t>
        </is>
      </c>
    </row>
    <row r="70">
      <c r="A70" s="7" t="n">
        <v>67</v>
      </c>
      <c r="B70" s="8" t="inlineStr">
        <is>
          <t xml:space="preserve">            "内嵌烤箱","嵌入式烤箱","蒸烤箱","嵌入式蒸烤箱","微波炉","嵌入式微波炉","洗碗机","嵌入式洗碗机","消毒柜","嵌入式消毒柜","冰箱","嵌入式冰箱","冰柜","嵌入式冰柜","酒柜","嵌入式酒柜","红酒柜","恒温酒柜","咖啡机","嵌入式咖啡机","饮水机","嵌入式饮水机","直饮机","嵌入式直饮机","净水器","嵌入式净水器","垃圾处理器","厨余垃圾处理器","食物垃圾处理器","集成灶","嵌入式集成灶","电磁炉","嵌入式电磁炉","电陶炉","嵌入式电陶炉","暖菜板","嵌入式暖菜板","保温抽屉","嵌入式保温抽屉","抽油烟机","嵌入式抽油烟机","燃气灶","嵌入式燃气灶","集成水槽","嵌入式集成水槽","洗碗机集成水槽","垃圾处理器集成水槽","嵌入式双开门冰箱","嵌入式单门冰箱","嵌入式白酒柜","嵌入式全自动咖啡机","嵌入式半自动咖啡机","嵌入式即热式饮水机","嵌入式纯水机","嵌入式软水机","嵌入式台式洗碗机","嵌入式集成水槽洗碗机","嵌入式高温消毒柜","嵌入式低温消毒柜","嵌入式蒸箱","嵌入式微蒸烤一体机","嵌入式双头电磁炉","嵌入式双头电陶炉","嵌入式一电一陶炉","嵌入式暖碟机","嵌入式雪茄柜","嵌入式茶吧机"</t>
        </is>
      </c>
    </row>
    <row r="71">
      <c r="A71" s="9" t="n">
        <v>68</v>
      </c>
      <c r="B71" s="10" t="inlineStr">
        <is>
          <t xml:space="preserve">        ],</t>
        </is>
      </c>
    </row>
    <row r="72">
      <c r="A72" s="7" t="n">
        <v>69</v>
      </c>
      <c r="B72" s="8" t="inlineStr">
        <is>
          <t xml:space="preserve">        "岛台专用电器": [</t>
        </is>
      </c>
    </row>
    <row r="73">
      <c r="A73" s="9" t="n">
        <v>70</v>
      </c>
      <c r="B73" s="10" t="inlineStr">
        <is>
          <t xml:space="preserve">            "岛台电磁炉","岛台电陶炉","岛台保温板","岛台智能音箱","岛台智能显示屏","岛台空气净化器","岛台加湿器","岛台除湿机"</t>
        </is>
      </c>
    </row>
    <row r="74">
      <c r="A74" s="7" t="n">
        <v>71</v>
      </c>
      <c r="B74" s="8" t="inlineStr">
        <is>
          <t xml:space="preserve">        ],</t>
        </is>
      </c>
    </row>
    <row r="75">
      <c r="A75" s="9" t="n">
        <v>72</v>
      </c>
      <c r="B75" s="10" t="inlineStr">
        <is>
          <t xml:space="preserve">        "通用厨房电器": [</t>
        </is>
      </c>
    </row>
    <row r="76">
      <c r="A76" s="7" t="n">
        <v>73</v>
      </c>
      <c r="B76" s="8" t="inlineStr">
        <is>
          <t xml:space="preserve">            "电饭煲","电压力锅","空气炸锅","破壁机","料理机","榨汁机","豆浆机","磨豆机","吐司机","面包机","电饼铛","电烤箱","电火锅","电蒸锅","电炖锅","养生壶","烧水壶","保温壶","小冰箱","迷你冰箱","车载冰箱"</t>
        </is>
      </c>
    </row>
    <row r="77">
      <c r="A77" s="9" t="n">
        <v>74</v>
      </c>
      <c r="B77" s="10" t="inlineStr">
        <is>
          <t xml:space="preserve">        ]</t>
        </is>
      </c>
    </row>
    <row r="78">
      <c r="A78" s="7" t="n">
        <v>75</v>
      </c>
      <c r="B78" s="8" t="inlineStr">
        <is>
          <t xml:space="preserve">    },</t>
        </is>
      </c>
    </row>
    <row r="79">
      <c r="A79" s="9" t="n">
        <v>76</v>
      </c>
      <c r="B79" s="10" t="inlineStr">
        <is>
          <t xml:space="preserve">    "工艺与结构类": {</t>
        </is>
      </c>
    </row>
    <row r="80">
      <c r="A80" s="7" t="n">
        <v>77</v>
      </c>
      <c r="B80" s="8" t="inlineStr">
        <is>
          <t xml:space="preserve">        "岩板专用工艺": [</t>
        </is>
      </c>
    </row>
    <row r="81">
      <c r="A81" s="9" t="n">
        <v>78</v>
      </c>
      <c r="B81" s="10" t="inlineStr">
        <is>
          <t xml:space="preserve">            "岩板切割","岩板开孔","岩板磨边","岩板倒角","岩板45度倒角","岩板直角拼接","岩板热弯","岩板复合","岩板蜂窝板复合","岩板包柱","岩板包梁","岩板台面安装","岩板柜体安装","岩板背景墙安装","岩板无缝拼接"</t>
        </is>
      </c>
    </row>
    <row r="82">
      <c r="A82" s="7" t="n">
        <v>79</v>
      </c>
      <c r="B82" s="8" t="inlineStr">
        <is>
          <t xml:space="preserve">        ],</t>
        </is>
      </c>
    </row>
    <row r="83">
      <c r="A83" s="9" t="n">
        <v>80</v>
      </c>
      <c r="B83" s="10" t="inlineStr">
        <is>
          <t xml:space="preserve">        "柜体安装工艺": [</t>
        </is>
      </c>
    </row>
    <row r="84">
      <c r="A84" s="7" t="n">
        <v>81</v>
      </c>
      <c r="B84" s="8" t="inlineStr">
        <is>
          <t xml:space="preserve">            "柜体拼接","柜体安装","柜门安装","抽屉安装","五金安装","电器安装","台面安装","水电预埋","岛台水电改造","岛台承重加固","悬浮岛台钢架制作","悬浮岛台安装","悬空岛台安装","一体式岛台制作","模块化岛台制作","定制岛台制作","全屋定制安装","整体橱柜安装","封边工艺","激光封边","PUR封边","EVA封边","免拉手工艺","反弹器工艺","磁吸工艺"</t>
        </is>
      </c>
    </row>
    <row r="85">
      <c r="A85" s="9" t="n">
        <v>82</v>
      </c>
      <c r="B85" s="10" t="inlineStr">
        <is>
          <t xml:space="preserve">        ],</t>
        </is>
      </c>
    </row>
    <row r="86">
      <c r="A86" s="7" t="n">
        <v>83</v>
      </c>
      <c r="B86" s="8" t="inlineStr">
        <is>
          <t xml:space="preserve">        "空间设计结构": [</t>
        </is>
      </c>
    </row>
    <row r="87">
      <c r="A87" s="9" t="n">
        <v>84</v>
      </c>
      <c r="B87" s="10" t="inlineStr">
        <is>
          <t xml:space="preserve">            "无拉手设计","隐形拉手设计","一门到顶","悬浮设计","悬浮岛台","悬空岛台","一体式设计","无缝拼接","45度拼接","海棠角","圆弧角","圆角处理","倒角处理","嵌入式设计","内嵌式设计","隐藏式设计","暗藏式设计","一体化设计","模块化设计","定制化设计","全屋定制","整体橱柜","定制橱柜","整体厨房","开放式厨房","半开放式厨房","封闭式厨房","U型厨房","L型厨房","一字型厨房","岛型厨房","中岛厨房","半岛厨房","餐厨一体","客餐厨一体","开放式设计","通透设计","动线设计","收纳设计","功能分区","干湿分离","高低台设计","高低台面","人体工程学设计","人性化设计","智能设计","智能家居","人体工程学高度","岛台高度80cm","岛台高度85cm","岛台高度90cm","岛台宽度60cm","岛台宽度70cm","岛台宽度80cm","岛台长度120cm","岛台长度150cm","岛台长度180cm","岛台长度200cm","台面厚度12mm","台面厚度15mm","台面厚度20mm","台面厚度30mm","柜体深度55cm","柜体深度60cm","柜体深度65cm","过道宽度80cm","过道宽度90cm","过道宽度100cm"</t>
        </is>
      </c>
    </row>
    <row r="88">
      <c r="A88" s="7" t="n">
        <v>85</v>
      </c>
      <c r="B88" s="8" t="inlineStr">
        <is>
          <t xml:space="preserve">        ]</t>
        </is>
      </c>
    </row>
    <row r="89">
      <c r="A89" s="9" t="n">
        <v>86</v>
      </c>
      <c r="B89" s="10" t="inlineStr">
        <is>
          <t xml:space="preserve">    },</t>
        </is>
      </c>
    </row>
    <row r="90">
      <c r="A90" s="7" t="n">
        <v>87</v>
      </c>
      <c r="B90" s="8" t="inlineStr">
        <is>
          <t xml:space="preserve">    "行业黑话与简称类": {</t>
        </is>
      </c>
    </row>
    <row r="91">
      <c r="A91" s="9" t="n">
        <v>88</v>
      </c>
      <c r="B91" s="10" t="inlineStr">
        <is>
          <t xml:space="preserve">        "计价与计量": ["安装费","材料费","加工费","运输费","上门费","投影面积","延米"],</t>
        </is>
      </c>
    </row>
    <row r="92">
      <c r="A92" s="7" t="n">
        <v>89</v>
      </c>
      <c r="B92" s="8" t="inlineStr">
        <is>
          <t xml:space="preserve">        "行业通用术语": [</t>
        </is>
      </c>
    </row>
    <row r="93">
      <c r="A93" s="9" t="n">
        <v>90</v>
      </c>
      <c r="B93" s="10" t="inlineStr">
        <is>
          <t xml:space="preserve">            "整屋定制","定制厨房","岩板定制","岛台定制","柜体定制","台面定制","辅材","主材","硬装","软装","基装","整装","拎包入住","环保等级E0","环保等级E1","环保等级ENF","甲醛释放量","板材等级","岩板厚度","台面厚度","柜体深度","台面高度","售后","质保","终身质保"</t>
        </is>
      </c>
    </row>
    <row r="94">
      <c r="A94" s="7" t="n">
        <v>91</v>
      </c>
      <c r="B94" s="8" t="inlineStr">
        <is>
          <t xml:space="preserve">        ],</t>
        </is>
      </c>
    </row>
    <row r="95">
      <c r="A95" s="9" t="n">
        <v>92</v>
      </c>
      <c r="B95" s="10" t="inlineStr">
        <is>
          <t xml:space="preserve">        "施工与点位": ["水电点位","插座点位","开关点位","下水点位","进水点位","踢脚线灯槽"]</t>
        </is>
      </c>
    </row>
    <row r="96">
      <c r="A96" s="7" t="n">
        <v>93</v>
      </c>
      <c r="B96" s="8" t="inlineStr">
        <is>
          <t xml:space="preserve">    },</t>
        </is>
      </c>
    </row>
    <row r="97">
      <c r="A97" s="9" t="n">
        <v>94</v>
      </c>
      <c r="B97" s="10" t="inlineStr">
        <is>
          <t xml:space="preserve">    "问题与缺陷类": {</t>
        </is>
      </c>
    </row>
    <row r="98">
      <c r="A98" s="7" t="n">
        <v>95</v>
      </c>
      <c r="B98" s="8" t="inlineStr">
        <is>
          <t xml:space="preserve">        "岩板问题": ["岩板开裂","岩板崩边","岩板划痕","岩板污渍","岩板渗色","岩板空鼓","岩板脱落","岩板拼接缝过大","岩板拼接不平"],</t>
        </is>
      </c>
    </row>
    <row r="99">
      <c r="A99" s="9" t="n">
        <v>96</v>
      </c>
      <c r="B99" s="10" t="inlineStr">
        <is>
          <t xml:space="preserve">        "柜体问题": ["柜体变形","柜体开裂","柜体发霉","柜体受潮","柜门不齐","柜门缝隙过大","柜门关不严","抽屉卡顿","抽屉拉不动","抽屉缝隙过大"],</t>
        </is>
      </c>
    </row>
    <row r="100">
      <c r="A100" s="7" t="n">
        <v>97</v>
      </c>
      <c r="B100" s="8" t="inlineStr">
        <is>
          <t xml:space="preserve">        "五金问题": ["五金生锈","五金松动","五金断裂","铰链异响","滑轨卡顿","反弹器失灵","磁吸失灵"],</t>
        </is>
      </c>
    </row>
    <row r="101">
      <c r="A101" s="9" t="n">
        <v>98</v>
      </c>
      <c r="B101" s="10" t="inlineStr">
        <is>
          <t xml:space="preserve">        "水电问题": ["水电漏水","水管漏水","水龙头漏水","水槽漏水","下水堵塞","插座松动","开关失灵"],</t>
        </is>
      </c>
    </row>
    <row r="102">
      <c r="A102" s="7" t="n">
        <v>99</v>
      </c>
      <c r="B102" s="8" t="inlineStr">
        <is>
          <t xml:space="preserve">        "通用问题": ["电器故障","安装不到位","尺寸误差","颜色色差","材质不符","工艺粗糙"]</t>
        </is>
      </c>
    </row>
    <row r="103">
      <c r="A103" s="9" t="n">
        <v>100</v>
      </c>
      <c r="B103" s="10" t="inlineStr">
        <is>
          <t xml:space="preserve">    },</t>
        </is>
      </c>
    </row>
    <row r="104">
      <c r="A104" s="7" t="n">
        <v>101</v>
      </c>
      <c r="B104" s="8" t="inlineStr">
        <is>
          <t xml:space="preserve">    "主流品牌类": {</t>
        </is>
      </c>
    </row>
    <row r="105">
      <c r="A105" s="9" t="n">
        <v>102</v>
      </c>
      <c r="B105" s="10" t="inlineStr">
        <is>
          <t xml:space="preserve">        "岩板品牌": ["德赛斯","拉米娜","蒙娜丽莎","东鹏","马可波罗","冠珠","欧神诺","简一","诺贝尔","新中源","大将军","萨米特","依诺","德利丰","诗连达"],</t>
        </is>
      </c>
    </row>
    <row r="106">
      <c r="A106" s="7" t="n">
        <v>103</v>
      </c>
      <c r="B106" s="8" t="inlineStr">
        <is>
          <t xml:space="preserve">        "五金品牌": ["百隆","海蒂诗","悍高","东泰DTC","顶固","雅洁","汇泰龙","星徽","海福乐","格拉斯"],</t>
        </is>
      </c>
    </row>
    <row r="107">
      <c r="A107" s="9" t="n">
        <v>104</v>
      </c>
      <c r="B107" s="10" t="inlineStr">
        <is>
          <t xml:space="preserve">        "电器品牌": ["西门子","博世","方太","老板","美的","海尔","卡萨帝","华帝","万和","万家乐","林内","能率","松下","东芝","三星"],</t>
        </is>
      </c>
    </row>
    <row r="108">
      <c r="A108" s="7" t="n">
        <v>105</v>
      </c>
      <c r="B108" s="8" t="inlineStr">
        <is>
          <t xml:space="preserve">        "定制品牌": ["索菲亚","欧派","尚品宅配","志邦","我乐","金牌橱柜","皮阿诺","好莱客","顾家家居","全友家居"]</t>
        </is>
      </c>
    </row>
    <row r="109">
      <c r="A109" s="9" t="n">
        <v>106</v>
      </c>
      <c r="B109" s="10" t="inlineStr">
        <is>
          <t xml:space="preserve">    }</t>
        </is>
      </c>
    </row>
    <row r="110">
      <c r="A110" s="7" t="n">
        <v>107</v>
      </c>
      <c r="B110" s="8" t="inlineStr">
        <is>
          <t>}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># 同义词映射</t>
        </is>
      </c>
    </row>
    <row r="113">
      <c r="A113" s="9" t="n">
        <v>110</v>
      </c>
      <c r="B113" s="10" t="inlineStr">
        <is>
          <t>SYNONYM_MAP = {</t>
        </is>
      </c>
    </row>
    <row r="114">
      <c r="A114" s="7" t="n">
        <v>111</v>
      </c>
      <c r="B114" s="8" t="inlineStr">
        <is>
          <t xml:space="preserve">    "诧寂风":"侘寂风","厨柜":"橱柜","抽届":"抽屉","拉蓝":"拉篮","水漕":"水槽","龙头发":"水龙头"</t>
        </is>
      </c>
    </row>
    <row r="115">
      <c r="A115" s="9" t="n">
        <v>112</v>
      </c>
      <c r="B115" s="10" t="inlineStr">
        <is>
          <t>}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># ── 预建关键词倒排索引 (模块加载时一次性构建，避免每次classify()遍历1200+词) ──</t>
        </is>
      </c>
    </row>
    <row r="118">
      <c r="A118" s="7" t="n">
        <v>115</v>
      </c>
      <c r="B118" s="8" t="inlineStr">
        <is>
          <t>_KEYWORD_INDEX = []  # [(keyword, primary, secondary), ...] 按长度降序</t>
        </is>
      </c>
    </row>
    <row r="119">
      <c r="A119" s="9" t="n">
        <v>116</v>
      </c>
      <c r="B119" s="10" t="inlineStr">
        <is>
          <t>_KEYWORD_SET = set()  # 快速去重</t>
        </is>
      </c>
    </row>
    <row r="120">
      <c r="A120" s="7" t="n">
        <v>117</v>
      </c>
      <c r="B120" s="8" t="inlineStr">
        <is>
          <t>for _primary, _secondary_map in CATEGORY_MAP.items():</t>
        </is>
      </c>
    </row>
    <row r="121">
      <c r="A121" s="9" t="n">
        <v>118</v>
      </c>
      <c r="B121" s="10" t="inlineStr">
        <is>
          <t xml:space="preserve">    for _secondary, _keywords in _secondary_map.items():</t>
        </is>
      </c>
    </row>
    <row r="122">
      <c r="A122" s="7" t="n">
        <v>119</v>
      </c>
      <c r="B122" s="8" t="inlineStr">
        <is>
          <t xml:space="preserve">        for _kw in _keywords:</t>
        </is>
      </c>
    </row>
    <row r="123">
      <c r="A123" s="9" t="n">
        <v>120</v>
      </c>
      <c r="B123" s="10" t="inlineStr">
        <is>
          <t xml:space="preserve">            if _kw not in _KEYWORD_SET:</t>
        </is>
      </c>
    </row>
    <row r="124">
      <c r="A124" s="7" t="n">
        <v>121</v>
      </c>
      <c r="B124" s="8" t="inlineStr">
        <is>
          <t xml:space="preserve">                _KEYWORD_SET.add(_kw)</t>
        </is>
      </c>
    </row>
    <row r="125">
      <c r="A125" s="9" t="n">
        <v>122</v>
      </c>
      <c r="B125" s="10" t="inlineStr">
        <is>
          <t xml:space="preserve">                _KEYWORD_INDEX.append((_kw, _primary, _secondary))</t>
        </is>
      </c>
    </row>
    <row r="126">
      <c r="A126" s="7" t="n">
        <v>123</v>
      </c>
      <c r="B126" s="8" t="inlineStr">
        <is>
          <t>_KEYWORD_INDEX.sort(key=lambda x: -len(x[0]))  # 长词优先匹配</t>
        </is>
      </c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># ── 分类器 ──</t>
        </is>
      </c>
    </row>
    <row r="129">
      <c r="A129" s="9" t="n">
        <v>126</v>
      </c>
      <c r="B129" s="10" t="inlineStr"/>
    </row>
    <row r="130">
      <c r="A130" s="7" t="n">
        <v>127</v>
      </c>
      <c r="B130" s="8" t="inlineStr">
        <is>
          <t>def classify(text: Union[str, List[str]]) -&gt; Dict:</t>
        </is>
      </c>
    </row>
    <row r="131">
      <c r="A131" s="9" t="n">
        <v>128</v>
      </c>
      <c r="B131" s="10" t="inlineStr">
        <is>
          <t xml:space="preserve">    """</t>
        </is>
      </c>
    </row>
    <row r="132">
      <c r="A132" s="7" t="n">
        <v>129</v>
      </c>
      <c r="B132" s="8" t="inlineStr">
        <is>
          <t xml:space="preserve">    岛台行业词汇智能分类器 (v2.0 — 预建索引优化)。</t>
        </is>
      </c>
    </row>
    <row r="133">
      <c r="A133" s="9" t="n">
        <v>130</v>
      </c>
      <c r="B133" s="10" t="inlineStr">
        <is>
          <t xml:space="preserve">    输入: 单个字符串或字符串列表</t>
        </is>
      </c>
    </row>
    <row r="134">
      <c r="A134" s="7" t="n">
        <v>131</v>
      </c>
      <c r="B134" s="8" t="inlineStr">
        <is>
          <t xml:space="preserve">    返回: {total, classifiedCount, unclassifiedCount, data: [{input, matchedCount, categories, unclassified}]}</t>
        </is>
      </c>
    </row>
    <row r="135">
      <c r="A135" s="9" t="n">
        <v>132</v>
      </c>
      <c r="B135" s="10" t="inlineStr">
        <is>
          <t xml:space="preserve">    """</t>
        </is>
      </c>
    </row>
    <row r="136">
      <c r="A136" s="7" t="n">
        <v>133</v>
      </c>
      <c r="B136" s="8" t="inlineStr">
        <is>
          <t xml:space="preserve">    inputs = [text] if isinstance(text, str) else text</t>
        </is>
      </c>
    </row>
    <row r="137">
      <c r="A137" s="9" t="n">
        <v>134</v>
      </c>
      <c r="B137" s="10" t="inlineStr">
        <is>
          <t xml:space="preserve">    results = []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for raw in inputs:</t>
        </is>
      </c>
    </row>
    <row r="140">
      <c r="A140" s="7" t="n">
        <v>137</v>
      </c>
      <c r="B140" s="8" t="inlineStr">
        <is>
          <t xml:space="preserve">        if not raw or not isinstance(raw, str):</t>
        </is>
      </c>
    </row>
    <row r="141">
      <c r="A141" s="9" t="n">
        <v>138</v>
      </c>
      <c r="B141" s="10" t="inlineStr">
        <is>
          <t xml:space="preserve">            continue</t>
        </is>
      </c>
    </row>
    <row r="142">
      <c r="A142" s="7" t="n">
        <v>139</v>
      </c>
      <c r="B142" s="8" t="inlineStr"/>
    </row>
    <row r="143">
      <c r="A143" s="9" t="n">
        <v>140</v>
      </c>
      <c r="B143" s="10" t="inlineStr">
        <is>
          <t xml:space="preserve">        processed = raw.strip()</t>
        </is>
      </c>
    </row>
    <row r="144">
      <c r="A144" s="7" t="n">
        <v>141</v>
      </c>
      <c r="B144" s="8" t="inlineStr">
        <is>
          <t xml:space="preserve">        for syn, std in SYNONYM_MAP.items():</t>
        </is>
      </c>
    </row>
    <row r="145">
      <c r="A145" s="9" t="n">
        <v>142</v>
      </c>
      <c r="B145" s="10" t="inlineStr">
        <is>
          <t xml:space="preserve">            processed = processed.replace(syn, std)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 xml:space="preserve">        matched_categories = []</t>
        </is>
      </c>
    </row>
    <row r="148">
      <c r="A148" s="7" t="n">
        <v>145</v>
      </c>
      <c r="B148" s="8" t="inlineStr">
        <is>
          <t xml:space="preserve">        matched_keywords = set()</t>
        </is>
      </c>
    </row>
    <row r="149">
      <c r="A149" s="9" t="n">
        <v>146</v>
      </c>
      <c r="B149" s="10" t="inlineStr"/>
    </row>
    <row r="150">
      <c r="A150" s="7" t="n">
        <v>147</v>
      </c>
      <c r="B150" s="8" t="inlineStr">
        <is>
          <t xml:space="preserve">        # 使用预建索引 O(k) 其中k=匹配到的关键词数（远小于1200）</t>
        </is>
      </c>
    </row>
    <row r="151">
      <c r="A151" s="9" t="n">
        <v>148</v>
      </c>
      <c r="B151" s="10" t="inlineStr">
        <is>
          <t xml:space="preserve">        for kw, primary, secondary in _KEYWORD_INDEX:</t>
        </is>
      </c>
    </row>
    <row r="152">
      <c r="A152" s="7" t="n">
        <v>149</v>
      </c>
      <c r="B152" s="8" t="inlineStr">
        <is>
          <t xml:space="preserve">            if kw not in matched_keywords and kw in processed:</t>
        </is>
      </c>
    </row>
    <row r="153">
      <c r="A153" s="9" t="n">
        <v>150</v>
      </c>
      <c r="B153" s="10" t="inlineStr">
        <is>
          <t xml:space="preserve">                matched_keywords.add(kw)</t>
        </is>
      </c>
    </row>
    <row r="154">
      <c r="A154" s="7" t="n">
        <v>151</v>
      </c>
      <c r="B154" s="8" t="inlineStr">
        <is>
          <t xml:space="preserve">                matched_categories.append({</t>
        </is>
      </c>
    </row>
    <row r="155">
      <c r="A155" s="9" t="n">
        <v>152</v>
      </c>
      <c r="B155" s="10" t="inlineStr">
        <is>
          <t xml:space="preserve">                    "primaryCategory": primary,</t>
        </is>
      </c>
    </row>
    <row r="156">
      <c r="A156" s="7" t="n">
        <v>153</v>
      </c>
      <c r="B156" s="8" t="inlineStr">
        <is>
          <t xml:space="preserve">                    "secondaryCategory": secondary,</t>
        </is>
      </c>
    </row>
    <row r="157">
      <c r="A157" s="9" t="n">
        <v>154</v>
      </c>
      <c r="B157" s="10" t="inlineStr">
        <is>
          <t xml:space="preserve">                    "keyword": kw</t>
        </is>
      </c>
    </row>
    <row r="158">
      <c r="A158" s="7" t="n">
        <v>155</v>
      </c>
      <c r="B158" s="8" t="inlineStr">
        <is>
          <t xml:space="preserve">                })</t>
        </is>
      </c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 xml:space="preserve">        results.append({</t>
        </is>
      </c>
    </row>
    <row r="161">
      <c r="A161" s="9" t="n">
        <v>158</v>
      </c>
      <c r="B161" s="10" t="inlineStr">
        <is>
          <t xml:space="preserve">            "input": raw,</t>
        </is>
      </c>
    </row>
    <row r="162">
      <c r="A162" s="7" t="n">
        <v>159</v>
      </c>
      <c r="B162" s="8" t="inlineStr">
        <is>
          <t xml:space="preserve">            "matchedCount": len(matched_categories),</t>
        </is>
      </c>
    </row>
    <row r="163">
      <c r="A163" s="9" t="n">
        <v>160</v>
      </c>
      <c r="B163" s="10" t="inlineStr">
        <is>
          <t xml:space="preserve">            "categories": matched_categories,</t>
        </is>
      </c>
    </row>
    <row r="164">
      <c r="A164" s="7" t="n">
        <v>161</v>
      </c>
      <c r="B164" s="8" t="inlineStr">
        <is>
          <t xml:space="preserve">            "unclassified": len(matched_categories) == 0</t>
        </is>
      </c>
    </row>
    <row r="165">
      <c r="A165" s="9" t="n">
        <v>162</v>
      </c>
      <c r="B165" s="10" t="inlineStr">
        <is>
          <t xml:space="preserve">        })</t>
        </is>
      </c>
    </row>
    <row r="166">
      <c r="A166" s="7" t="n">
        <v>163</v>
      </c>
      <c r="B166" s="8" t="inlineStr"/>
    </row>
    <row r="167">
      <c r="A167" s="9" t="n">
        <v>164</v>
      </c>
      <c r="B167" s="10" t="inlineStr">
        <is>
          <t xml:space="preserve">    return {</t>
        </is>
      </c>
    </row>
    <row r="168">
      <c r="A168" s="7" t="n">
        <v>165</v>
      </c>
      <c r="B168" s="8" t="inlineStr">
        <is>
          <t xml:space="preserve">        "total": len(results),</t>
        </is>
      </c>
    </row>
    <row r="169">
      <c r="A169" s="9" t="n">
        <v>166</v>
      </c>
      <c r="B169" s="10" t="inlineStr">
        <is>
          <t xml:space="preserve">        "classifiedCount": sum(1 for r in results if not r["unclassified"]),</t>
        </is>
      </c>
    </row>
    <row r="170">
      <c r="A170" s="7" t="n">
        <v>167</v>
      </c>
      <c r="B170" s="8" t="inlineStr">
        <is>
          <t xml:space="preserve">        "unclassifiedCount": sum(1 for r in results if r["unclassified"]),</t>
        </is>
      </c>
    </row>
    <row r="171">
      <c r="A171" s="9" t="n">
        <v>168</v>
      </c>
      <c r="B171" s="10" t="inlineStr">
        <is>
          <t xml:space="preserve">        "data": results</t>
        </is>
      </c>
    </row>
    <row r="172">
      <c r="A172" s="7" t="n">
        <v>169</v>
      </c>
      <c r="B172" s="8" t="inlineStr">
        <is>
          <t xml:space="preserve">    }</t>
        </is>
      </c>
    </row>
    <row r="173">
      <c r="A173" s="9" t="n">
        <v>170</v>
      </c>
      <c r="B173" s="10" t="inlineStr"/>
    </row>
    <row r="174">
      <c r="A174" s="7" t="n">
        <v>171</v>
      </c>
      <c r="B174" s="8" t="inlineStr"/>
    </row>
    <row r="175">
      <c r="A175" s="9" t="n">
        <v>172</v>
      </c>
      <c r="B175" s="10" t="inlineStr">
        <is>
          <t>def classify_annotate(text: str) -&gt; Dict:</t>
        </is>
      </c>
    </row>
    <row r="176">
      <c r="A176" s="7" t="n">
        <v>173</v>
      </c>
      <c r="B176" s="8" t="inlineStr">
        <is>
          <t xml:space="preserve">    """</t>
        </is>
      </c>
    </row>
    <row r="177">
      <c r="A177" s="9" t="n">
        <v>174</v>
      </c>
      <c r="B177" s="10" t="inlineStr">
        <is>
          <t xml:space="preserve">    增强分类 — 返回带层级路径的标注结果。</t>
        </is>
      </c>
    </row>
    <row r="178">
      <c r="A178" s="7" t="n">
        <v>175</v>
      </c>
      <c r="B178" s="8" t="inlineStr">
        <is>
          <t xml:space="preserve">    用于视频画面语义标注。</t>
        </is>
      </c>
    </row>
    <row r="179">
      <c r="A179" s="9" t="n">
        <v>176</v>
      </c>
      <c r="B179" s="10" t="inlineStr">
        <is>
          <t xml:space="preserve">    """</t>
        </is>
      </c>
    </row>
    <row r="180">
      <c r="A180" s="7" t="n">
        <v>177</v>
      </c>
      <c r="B180" s="8" t="inlineStr">
        <is>
          <t xml:space="preserve">    result = classify(text)</t>
        </is>
      </c>
    </row>
    <row r="181">
      <c r="A181" s="9" t="n">
        <v>178</v>
      </c>
      <c r="B181" s="10" t="inlineStr">
        <is>
          <t xml:space="preserve">    if not result["data"]:</t>
        </is>
      </c>
    </row>
    <row r="182">
      <c r="A182" s="7" t="n">
        <v>179</v>
      </c>
      <c r="B182" s="8" t="inlineStr">
        <is>
          <t xml:space="preserve">        return {"object": text, "path": [], "attributes": {}}</t>
        </is>
      </c>
    </row>
    <row r="183">
      <c r="A183" s="9" t="n">
        <v>180</v>
      </c>
      <c r="B183" s="10" t="inlineStr"/>
    </row>
    <row r="184">
      <c r="A184" s="7" t="n">
        <v>181</v>
      </c>
      <c r="B184" s="8" t="inlineStr">
        <is>
          <t xml:space="preserve">    item = result["data"][0]</t>
        </is>
      </c>
    </row>
    <row r="185">
      <c r="A185" s="9" t="n">
        <v>182</v>
      </c>
      <c r="B185" s="10" t="inlineStr">
        <is>
          <t xml:space="preserve">    paths = []</t>
        </is>
      </c>
    </row>
    <row r="186">
      <c r="A186" s="7" t="n">
        <v>183</v>
      </c>
      <c r="B186" s="8" t="inlineStr">
        <is>
          <t xml:space="preserve">    keywords = []</t>
        </is>
      </c>
    </row>
    <row r="187">
      <c r="A187" s="9" t="n">
        <v>184</v>
      </c>
      <c r="B187" s="10" t="inlineStr">
        <is>
          <t xml:space="preserve">    for cat in item["categories"]:</t>
        </is>
      </c>
    </row>
    <row r="188">
      <c r="A188" s="7" t="n">
        <v>185</v>
      </c>
      <c r="B188" s="8" t="inlineStr">
        <is>
          <t xml:space="preserve">        paths.append(f"{cat['primaryCategory']} &gt; {cat['secondaryCategory']}")</t>
        </is>
      </c>
    </row>
    <row r="189">
      <c r="A189" s="9" t="n">
        <v>186</v>
      </c>
      <c r="B189" s="10" t="inlineStr">
        <is>
          <t xml:space="preserve">        keywords.append(cat["keyword"])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 xml:space="preserve">    return {</t>
        </is>
      </c>
    </row>
    <row r="192">
      <c r="A192" s="7" t="n">
        <v>189</v>
      </c>
      <c r="B192" s="8" t="inlineStr">
        <is>
          <t xml:space="preserve">        "object": text,</t>
        </is>
      </c>
    </row>
    <row r="193">
      <c r="A193" s="9" t="n">
        <v>190</v>
      </c>
      <c r="B193" s="10" t="inlineStr">
        <is>
          <t xml:space="preserve">        "matchedCount": item["matchedCount"],</t>
        </is>
      </c>
    </row>
    <row r="194">
      <c r="A194" s="7" t="n">
        <v>191</v>
      </c>
      <c r="B194" s="8" t="inlineStr">
        <is>
          <t xml:space="preserve">        "paths": paths,</t>
        </is>
      </c>
    </row>
    <row r="195">
      <c r="A195" s="9" t="n">
        <v>192</v>
      </c>
      <c r="B195" s="10" t="inlineStr">
        <is>
          <t xml:space="preserve">        "keywords": keywords,</t>
        </is>
      </c>
    </row>
    <row r="196">
      <c r="A196" s="7" t="n">
        <v>193</v>
      </c>
      <c r="B196" s="8" t="inlineStr">
        <is>
          <t xml:space="preserve">        "primaryCategories": list(set(c["primaryCategory"] for c in item["categories"])),</t>
        </is>
      </c>
    </row>
    <row r="197">
      <c r="A197" s="9" t="n">
        <v>194</v>
      </c>
      <c r="B197" s="10" t="inlineStr">
        <is>
          <t xml:space="preserve">        "unclassified": item["unclassified"]</t>
        </is>
      </c>
    </row>
    <row r="198">
      <c r="A198" s="7" t="n">
        <v>195</v>
      </c>
      <c r="B198" s="8" t="inlineStr">
        <is>
          <t xml:space="preserve">    }</t>
        </is>
      </c>
    </row>
    <row r="199">
      <c r="A199" s="9" t="n">
        <v>196</v>
      </c>
      <c r="B199" s="10" t="inlineStr"/>
    </row>
    <row r="200">
      <c r="A200" s="7" t="n">
        <v>197</v>
      </c>
      <c r="B200" s="8" t="inlineStr"/>
    </row>
    <row r="201">
      <c r="A201" s="9" t="n">
        <v>198</v>
      </c>
      <c r="B201" s="10" t="inlineStr">
        <is>
          <t>def get_all_terms() -&gt; List[str]:</t>
        </is>
      </c>
    </row>
    <row r="202">
      <c r="A202" s="7" t="n">
        <v>199</v>
      </c>
      <c r="B202" s="8" t="inlineStr">
        <is>
          <t xml:space="preserve">    """获取分类器中所有词条"""</t>
        </is>
      </c>
    </row>
    <row r="203">
      <c r="A203" s="9" t="n">
        <v>200</v>
      </c>
      <c r="B203" s="10" t="inlineStr">
        <is>
          <t xml:space="preserve">    all_terms = set()</t>
        </is>
      </c>
    </row>
    <row r="204">
      <c r="A204" s="7" t="n">
        <v>201</v>
      </c>
      <c r="B204" s="8" t="inlineStr">
        <is>
          <t xml:space="preserve">    for secondary_map in CATEGORY_MAP.values():</t>
        </is>
      </c>
    </row>
    <row r="205">
      <c r="A205" s="9" t="n">
        <v>202</v>
      </c>
      <c r="B205" s="10" t="inlineStr">
        <is>
          <t xml:space="preserve">        for keywords in secondary_map.values():</t>
        </is>
      </c>
    </row>
    <row r="206">
      <c r="A206" s="7" t="n">
        <v>203</v>
      </c>
      <c r="B206" s="8" t="inlineStr">
        <is>
          <t xml:space="preserve">            for kw in keywords:</t>
        </is>
      </c>
    </row>
    <row r="207">
      <c r="A207" s="9" t="n">
        <v>204</v>
      </c>
      <c r="B207" s="10" t="inlineStr">
        <is>
          <t xml:space="preserve">                all_terms.add(kw)</t>
        </is>
      </c>
    </row>
    <row r="208">
      <c r="A208" s="7" t="n">
        <v>205</v>
      </c>
      <c r="B208" s="8" t="inlineStr">
        <is>
          <t xml:space="preserve">    return sorted(all_terms)</t>
        </is>
      </c>
    </row>
    <row r="209">
      <c r="A209" s="9" t="n">
        <v>206</v>
      </c>
      <c r="B209" s="10" t="inlineStr"/>
    </row>
    <row r="210">
      <c r="A210" s="7" t="n">
        <v>207</v>
      </c>
      <c r="B210" s="8" t="inlineStr"/>
    </row>
    <row r="211">
      <c r="A211" s="9" t="n">
        <v>208</v>
      </c>
      <c r="B211" s="10" t="inlineStr">
        <is>
          <t>def get_sibling_terms(keyword: str) -&gt; List[str]:</t>
        </is>
      </c>
    </row>
    <row r="212">
      <c r="A212" s="7" t="n">
        <v>209</v>
      </c>
      <c r="B212" s="8" t="inlineStr">
        <is>
          <t xml:space="preserve">    """同层级联想 — 搜索一个词，返回同二级分类下的所有词"""</t>
        </is>
      </c>
    </row>
    <row r="213">
      <c r="A213" s="9" t="n">
        <v>210</v>
      </c>
      <c r="B213" s="10" t="inlineStr">
        <is>
          <t xml:space="preserve">    for primary, secondary_map in CATEGORY_MAP.items():</t>
        </is>
      </c>
    </row>
    <row r="214">
      <c r="A214" s="7" t="n">
        <v>211</v>
      </c>
      <c r="B214" s="8" t="inlineStr">
        <is>
          <t xml:space="preserve">        for secondary, keywords in secondary_map.items():</t>
        </is>
      </c>
    </row>
    <row r="215">
      <c r="A215" s="9" t="n">
        <v>212</v>
      </c>
      <c r="B215" s="10" t="inlineStr">
        <is>
          <t xml:space="preserve">            if keyword in keywords:</t>
        </is>
      </c>
    </row>
    <row r="216">
      <c r="A216" s="7" t="n">
        <v>213</v>
      </c>
      <c r="B216" s="8" t="inlineStr">
        <is>
          <t xml:space="preserve">                return [k for k in keywords if k != keyword]</t>
        </is>
      </c>
    </row>
    <row r="217">
      <c r="A217" s="9" t="n">
        <v>214</v>
      </c>
      <c r="B217" s="10" t="inlineStr">
        <is>
          <t xml:space="preserve">    return []</t>
        </is>
      </c>
    </row>
    <row r="218">
      <c r="A218" s="7" t="n">
        <v>215</v>
      </c>
      <c r="B218" s="8" t="inlineStr"/>
    </row>
    <row r="219">
      <c r="A219" s="9" t="n">
        <v>216</v>
      </c>
      <c r="B219" s="10" t="inlineStr"/>
    </row>
    <row r="220">
      <c r="A220" s="7" t="n">
        <v>217</v>
      </c>
      <c r="B220" s="8" t="inlineStr">
        <is>
          <t># ── 自检 ──</t>
        </is>
      </c>
    </row>
    <row r="221">
      <c r="A221" s="9" t="n">
        <v>218</v>
      </c>
      <c r="B221" s="10" t="inlineStr">
        <is>
          <t>if __name__ == "__main__":</t>
        </is>
      </c>
    </row>
    <row r="222">
      <c r="A222" s="7" t="n">
        <v>219</v>
      </c>
      <c r="B222" s="8" t="inlineStr">
        <is>
          <t xml:space="preserve">    # 单条</t>
        </is>
      </c>
    </row>
    <row r="223">
      <c r="A223" s="9" t="n">
        <v>220</v>
      </c>
      <c r="B223" s="10" t="inlineStr">
        <is>
          <t xml:space="preserve">    r = classify("意式轻奢鱼肚白岩板悬浮岛台")</t>
        </is>
      </c>
    </row>
    <row r="224">
      <c r="A224" s="7" t="n">
        <v>221</v>
      </c>
      <c r="B224" s="8" t="inlineStr">
        <is>
          <t xml:space="preserve">    print(f"单条: {r['data'][0]['matchedCount']}个匹配")</t>
        </is>
      </c>
    </row>
    <row r="225">
      <c r="A225" s="9" t="n">
        <v>222</v>
      </c>
      <c r="B225" s="10" t="inlineStr">
        <is>
          <t xml:space="preserve">    for c in r["data"][0]["categories"]:</t>
        </is>
      </c>
    </row>
    <row r="226">
      <c r="A226" s="7" t="n">
        <v>223</v>
      </c>
      <c r="B226" s="8" t="inlineStr">
        <is>
          <t xml:space="preserve">        print(f"  {c['primaryCategory']} &gt; {c['secondaryCategory']} &gt; {c['keyword']}")</t>
        </is>
      </c>
    </row>
    <row r="227">
      <c r="A227" s="9" t="n">
        <v>224</v>
      </c>
      <c r="B227" s="10" t="inlineStr"/>
    </row>
    <row r="228">
      <c r="A228" s="7" t="n">
        <v>225</v>
      </c>
      <c r="B228" s="8" t="inlineStr">
        <is>
          <t xml:space="preserve">    # 批量</t>
        </is>
      </c>
    </row>
    <row r="229">
      <c r="A229" s="9" t="n">
        <v>226</v>
      </c>
      <c r="B229" s="10" t="inlineStr">
        <is>
          <t xml:space="preserve">    r2 = classify(["百隆阻尼铰链","岩板渗色怎么办","嵌入式蒸烤箱安装","奶咖色PET门板","随便输入一个不存在的词"])</t>
        </is>
      </c>
    </row>
    <row r="230">
      <c r="A230" s="7" t="n">
        <v>227</v>
      </c>
      <c r="B230" s="8" t="inlineStr">
        <is>
          <t xml:space="preserve">    print(f"\n批量: {r2['classifiedCount']}/{r2['total']}分类成功")</t>
        </is>
      </c>
    </row>
    <row r="231">
      <c r="A231" s="9" t="n">
        <v>228</v>
      </c>
      <c r="B231" s="10" t="inlineStr"/>
    </row>
    <row r="232">
      <c r="A232" s="7" t="n">
        <v>229</v>
      </c>
      <c r="B232" s="8" t="inlineStr">
        <is>
          <t xml:space="preserve">    # 同层级联想</t>
        </is>
      </c>
    </row>
    <row r="233">
      <c r="A233" s="9" t="n">
        <v>230</v>
      </c>
      <c r="B233" s="10" t="inlineStr">
        <is>
          <t xml:space="preserve">    siblings = get_sibling_terms("缓冲铰链")</t>
        </is>
      </c>
    </row>
    <row r="234">
      <c r="A234" s="7" t="n">
        <v>231</v>
      </c>
      <c r="B234" s="8" t="inlineStr">
        <is>
          <t xml:space="preserve">    print(f"\n缓冲铰链同层级: {siblings[:5]}...")</t>
        </is>
      </c>
    </row>
    <row r="235">
      <c r="A235" s="9" t="n">
        <v>232</v>
      </c>
      <c r="B235" s="10" t="inlineStr"/>
    </row>
    <row r="236">
      <c r="A236" s="7" t="n">
        <v>233</v>
      </c>
      <c r="B236" s="8" t="inlineStr">
        <is>
          <t xml:space="preserve">    # 总词条</t>
        </is>
      </c>
    </row>
    <row r="237">
      <c r="A237" s="9" t="n">
        <v>234</v>
      </c>
      <c r="B237" s="10" t="inlineStr">
        <is>
          <t xml:space="preserve">    print(f"\n总词条: {len(get_all_terms())}")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core\clip_matcher.py</t>
        </is>
      </c>
      <c r="C1" s="5" t="inlineStr">
        <is>
          <t>行数: 150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v11.1 — CLIP 图文匹配模块 (可选加速)</t>
        </is>
      </c>
    </row>
    <row r="6">
      <c r="A6" s="7" t="n">
        <v>3</v>
      </c>
      <c r="B6" s="8">
        <f>===============================================================</f>
        <v/>
      </c>
    </row>
    <row r="7">
      <c r="A7" s="9" t="n">
        <v>4</v>
      </c>
      <c r="B7" s="10" t="inlineStr">
        <is>
          <t>使用 OpenAI CLIP 模型计算文案与关键帧的语义相似度，</t>
        </is>
      </c>
    </row>
    <row r="8">
      <c r="A8" s="7" t="n">
        <v>5</v>
      </c>
      <c r="B8" s="8" t="inlineStr">
        <is>
          <t>在 FAISS 向量检索之后进行二次重排序。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用法:</t>
        </is>
      </c>
    </row>
    <row r="11">
      <c r="A11" s="9" t="n">
        <v>8</v>
      </c>
      <c r="B11" s="10" t="inlineStr">
        <is>
          <t xml:space="preserve">  from core.clip_matcher import ClipMatcher</t>
        </is>
      </c>
    </row>
    <row r="12">
      <c r="A12" s="7" t="n">
        <v>9</v>
      </c>
      <c r="B12" s="8" t="inlineStr">
        <is>
          <t xml:space="preserve">  matcher = ClipMatcher()</t>
        </is>
      </c>
    </row>
    <row r="13">
      <c r="A13" s="9" t="n">
        <v>10</v>
      </c>
      <c r="B13" s="10" t="inlineStr">
        <is>
          <t xml:space="preserve">  score = matcher.similarity("岛台厨房", "frame_001.jpg")</t>
        </is>
      </c>
    </row>
    <row r="14">
      <c r="A14" s="7" t="n">
        <v>11</v>
      </c>
      <c r="B14" s="8" t="inlineStr">
        <is>
          <t>"""</t>
        </is>
      </c>
    </row>
    <row r="15">
      <c r="A15" s="9" t="n">
        <v>12</v>
      </c>
      <c r="B15" s="10" t="inlineStr">
        <is>
          <t>import os</t>
        </is>
      </c>
    </row>
    <row r="16">
      <c r="A16" s="7" t="n">
        <v>13</v>
      </c>
      <c r="B16" s="8" t="inlineStr">
        <is>
          <t>import numpy as np</t>
        </is>
      </c>
    </row>
    <row r="17">
      <c r="A17" s="9" t="n">
        <v>14</v>
      </c>
      <c r="B17" s="10" t="inlineStr">
        <is>
          <t>from pathlib import Path</t>
        </is>
      </c>
    </row>
    <row r="18">
      <c r="A18" s="7" t="n">
        <v>15</v>
      </c>
      <c r="B18" s="8" t="inlineStr">
        <is>
          <t>from typing import List, Optional, Tuple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_CLIP_AVAILABLE = False</t>
        </is>
      </c>
    </row>
    <row r="21">
      <c r="A21" s="9" t="n">
        <v>18</v>
      </c>
      <c r="B21" s="10" t="inlineStr">
        <is>
          <t>try:</t>
        </is>
      </c>
    </row>
    <row r="22">
      <c r="A22" s="7" t="n">
        <v>19</v>
      </c>
      <c r="B22" s="8" t="inlineStr">
        <is>
          <t xml:space="preserve">    import torch</t>
        </is>
      </c>
    </row>
    <row r="23">
      <c r="A23" s="9" t="n">
        <v>20</v>
      </c>
      <c r="B23" s="10" t="inlineStr">
        <is>
          <t xml:space="preserve">    from PIL import Image</t>
        </is>
      </c>
    </row>
    <row r="24">
      <c r="A24" s="7" t="n">
        <v>21</v>
      </c>
      <c r="B24" s="8" t="inlineStr">
        <is>
          <t xml:space="preserve">    from transformers import CLIPProcessor, CLIPModel</t>
        </is>
      </c>
    </row>
    <row r="25">
      <c r="A25" s="9" t="n">
        <v>22</v>
      </c>
      <c r="B25" s="10" t="inlineStr">
        <is>
          <t xml:space="preserve">    _CLIP_AVAILABLE = True</t>
        </is>
      </c>
    </row>
    <row r="26">
      <c r="A26" s="7" t="n">
        <v>23</v>
      </c>
      <c r="B26" s="8" t="inlineStr">
        <is>
          <t>except ImportError:</t>
        </is>
      </c>
    </row>
    <row r="27">
      <c r="A27" s="9" t="n">
        <v>24</v>
      </c>
      <c r="B27" s="10" t="inlineStr">
        <is>
          <t xml:space="preserve">    pass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class ClipMatcher:</t>
        </is>
      </c>
    </row>
    <row r="31">
      <c r="A31" s="9" t="n">
        <v>28</v>
      </c>
      <c r="B31" s="10" t="inlineStr">
        <is>
          <t xml:space="preserve">    """</t>
        </is>
      </c>
    </row>
    <row r="32">
      <c r="A32" s="7" t="n">
        <v>29</v>
      </c>
      <c r="B32" s="8" t="inlineStr">
        <is>
          <t xml:space="preserve">    CLIP 图文匹配器 — 懒加载，首次使用时自动下载模型 (~600MB)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 xml:space="preserve">    模型: openai/clip-vit-base-patch32 (轻量，适合 CPU)</t>
        </is>
      </c>
    </row>
    <row r="35">
      <c r="A35" s="9" t="n">
        <v>32</v>
      </c>
      <c r="B35" s="10" t="inlineStr">
        <is>
          <t xml:space="preserve">    备选: openai/clip-vit-large-patch14 (高精度，需 GPU)</t>
        </is>
      </c>
    </row>
    <row r="36">
      <c r="A36" s="7" t="n">
        <v>33</v>
      </c>
      <c r="B36" s="8" t="inlineStr">
        <is>
          <t xml:space="preserve">    """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 xml:space="preserve">    _instance: Optional["ClipMatcher"] = None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 xml:space="preserve">    def __new__(cls):</t>
        </is>
      </c>
    </row>
    <row r="41">
      <c r="A41" s="9" t="n">
        <v>38</v>
      </c>
      <c r="B41" s="10" t="inlineStr">
        <is>
          <t xml:space="preserve">        if cls._instance is None:</t>
        </is>
      </c>
    </row>
    <row r="42">
      <c r="A42" s="7" t="n">
        <v>39</v>
      </c>
      <c r="B42" s="8" t="inlineStr">
        <is>
          <t xml:space="preserve">            cls._instance = super().__new__(cls)</t>
        </is>
      </c>
    </row>
    <row r="43">
      <c r="A43" s="9" t="n">
        <v>40</v>
      </c>
      <c r="B43" s="10" t="inlineStr">
        <is>
          <t xml:space="preserve">            cls._instance._init()</t>
        </is>
      </c>
    </row>
    <row r="44">
      <c r="A44" s="7" t="n">
        <v>41</v>
      </c>
      <c r="B44" s="8" t="inlineStr">
        <is>
          <t xml:space="preserve">        return cls._instance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>
        <is>
          <t xml:space="preserve">    def _init(self):</t>
        </is>
      </c>
    </row>
    <row r="47">
      <c r="A47" s="9" t="n">
        <v>44</v>
      </c>
      <c r="B47" s="10" t="inlineStr">
        <is>
          <t xml:space="preserve">        self._model = None</t>
        </is>
      </c>
    </row>
    <row r="48">
      <c r="A48" s="7" t="n">
        <v>45</v>
      </c>
      <c r="B48" s="8" t="inlineStr">
        <is>
          <t xml:space="preserve">        self._processor = None</t>
        </is>
      </c>
    </row>
    <row r="49">
      <c r="A49" s="9" t="n">
        <v>46</v>
      </c>
      <c r="B49" s="10" t="inlineStr">
        <is>
          <t xml:space="preserve">        self._device = None</t>
        </is>
      </c>
    </row>
    <row r="50">
      <c r="A50" s="7" t="n">
        <v>47</v>
      </c>
      <c r="B50" s="8" t="inlineStr">
        <is>
          <t xml:space="preserve">        self._loaded = False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def _load(self):</t>
        </is>
      </c>
    </row>
    <row r="53">
      <c r="A53" s="9" t="n">
        <v>50</v>
      </c>
      <c r="B53" s="10" t="inlineStr">
        <is>
          <t xml:space="preserve">        if self._loaded:</t>
        </is>
      </c>
    </row>
    <row r="54">
      <c r="A54" s="7" t="n">
        <v>51</v>
      </c>
      <c r="B54" s="8" t="inlineStr">
        <is>
          <t xml:space="preserve">            return</t>
        </is>
      </c>
    </row>
    <row r="55">
      <c r="A55" s="9" t="n">
        <v>52</v>
      </c>
      <c r="B55" s="10" t="inlineStr">
        <is>
          <t xml:space="preserve">        if not _CLIP_AVAILABLE:</t>
        </is>
      </c>
    </row>
    <row r="56">
      <c r="A56" s="7" t="n">
        <v>53</v>
      </c>
      <c r="B56" s="8" t="inlineStr">
        <is>
          <t xml:space="preserve">            raise ImportError(</t>
        </is>
      </c>
    </row>
    <row r="57">
      <c r="A57" s="9" t="n">
        <v>54</v>
      </c>
      <c r="B57" s="10" t="inlineStr">
        <is>
          <t xml:space="preserve">                "CLIP 匹配需要安装: pip install torch transformers Pillow"</t>
        </is>
      </c>
    </row>
    <row r="58">
      <c r="A58" s="7" t="n">
        <v>55</v>
      </c>
      <c r="B58" s="8" t="inlineStr">
        <is>
          <t xml:space="preserve">            )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    print("   [CLIP] 加载 openai/clip-vit-base-patch32 ...")</t>
        </is>
      </c>
    </row>
    <row r="61">
      <c r="A61" s="9" t="n">
        <v>58</v>
      </c>
      <c r="B61" s="10" t="inlineStr">
        <is>
          <t xml:space="preserve">        self._device = "cuda" if torch.cuda.is_available() else "cpu"</t>
        </is>
      </c>
    </row>
    <row r="62">
      <c r="A62" s="7" t="n">
        <v>59</v>
      </c>
      <c r="B62" s="8" t="inlineStr">
        <is>
          <t xml:space="preserve">        model_name = "openai/clip-vit-base-patch32"</t>
        </is>
      </c>
    </row>
    <row r="63">
      <c r="A63" s="9" t="n">
        <v>60</v>
      </c>
      <c r="B63" s="10" t="inlineStr">
        <is>
          <t xml:space="preserve">        self._processor = CLIPProcessor.from_pretrained(model_name)</t>
        </is>
      </c>
    </row>
    <row r="64">
      <c r="A64" s="7" t="n">
        <v>61</v>
      </c>
      <c r="B64" s="8" t="inlineStr">
        <is>
          <t xml:space="preserve">        self._model = CLIPModel.from_pretrained(model_name).to(self._device)</t>
        </is>
      </c>
    </row>
    <row r="65">
      <c r="A65" s="9" t="n">
        <v>62</v>
      </c>
      <c r="B65" s="10" t="inlineStr">
        <is>
          <t xml:space="preserve">        self._model.eval()</t>
        </is>
      </c>
    </row>
    <row r="66">
      <c r="A66" s="7" t="n">
        <v>63</v>
      </c>
      <c r="B66" s="8" t="inlineStr">
        <is>
          <t xml:space="preserve">        self._loaded = True</t>
        </is>
      </c>
    </row>
    <row r="67">
      <c r="A67" s="9" t="n">
        <v>64</v>
      </c>
      <c r="B67" s="10" t="inlineStr">
        <is>
          <t xml:space="preserve">        print(f"   [CLIP] 加载成功 (device={self._device})")</t>
        </is>
      </c>
    </row>
    <row r="68">
      <c r="A68" s="7" t="n">
        <v>65</v>
      </c>
      <c r="B68" s="8" t="inlineStr"/>
    </row>
    <row r="69">
      <c r="A69" s="9" t="n">
        <v>66</v>
      </c>
      <c r="B69" s="10" t="inlineStr">
        <is>
          <t xml:space="preserve">    @property</t>
        </is>
      </c>
    </row>
    <row r="70">
      <c r="A70" s="7" t="n">
        <v>67</v>
      </c>
      <c r="B70" s="8" t="inlineStr">
        <is>
          <t xml:space="preserve">    def available(self) -&gt; bool:</t>
        </is>
      </c>
    </row>
    <row r="71">
      <c r="A71" s="9" t="n">
        <v>68</v>
      </c>
      <c r="B71" s="10" t="inlineStr">
        <is>
          <t xml:space="preserve">        return _CLIP_AVAILABLE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def encode_text(self, text: str) -&gt; np.ndarray:</t>
        </is>
      </c>
    </row>
    <row r="74">
      <c r="A74" s="7" t="n">
        <v>71</v>
      </c>
      <c r="B74" s="8" t="inlineStr">
        <is>
          <t xml:space="preserve">        """将文本编码为 512 维向量"""</t>
        </is>
      </c>
    </row>
    <row r="75">
      <c r="A75" s="9" t="n">
        <v>72</v>
      </c>
      <c r="B75" s="10" t="inlineStr">
        <is>
          <t xml:space="preserve">        self._load()</t>
        </is>
      </c>
    </row>
    <row r="76">
      <c r="A76" s="7" t="n">
        <v>73</v>
      </c>
      <c r="B76" s="8" t="inlineStr">
        <is>
          <t xml:space="preserve">        inputs = self._processor(</t>
        </is>
      </c>
    </row>
    <row r="77">
      <c r="A77" s="9" t="n">
        <v>74</v>
      </c>
      <c r="B77" s="10" t="inlineStr">
        <is>
          <t xml:space="preserve">            text=[text], return_tensors="pt",</t>
        </is>
      </c>
    </row>
    <row r="78">
      <c r="A78" s="7" t="n">
        <v>75</v>
      </c>
      <c r="B78" s="8" t="inlineStr">
        <is>
          <t xml:space="preserve">            padding=True, truncation=True, max_length=77,</t>
        </is>
      </c>
    </row>
    <row r="79">
      <c r="A79" s="9" t="n">
        <v>76</v>
      </c>
      <c r="B79" s="10" t="inlineStr">
        <is>
          <t xml:space="preserve">        ).to(self._device)</t>
        </is>
      </c>
    </row>
    <row r="80">
      <c r="A80" s="7" t="n">
        <v>77</v>
      </c>
      <c r="B80" s="8" t="inlineStr">
        <is>
          <t xml:space="preserve">        with torch.no_grad():</t>
        </is>
      </c>
    </row>
    <row r="81">
      <c r="A81" s="9" t="n">
        <v>78</v>
      </c>
      <c r="B81" s="10" t="inlineStr">
        <is>
          <t xml:space="preserve">            features = self._model.get_text_features(**inputs)</t>
        </is>
      </c>
    </row>
    <row r="82">
      <c r="A82" s="7" t="n">
        <v>79</v>
      </c>
      <c r="B82" s="8" t="inlineStr">
        <is>
          <t xml:space="preserve">        return features.cpu().numpy().flatten()</t>
        </is>
      </c>
    </row>
    <row r="83">
      <c r="A83" s="9" t="n">
        <v>80</v>
      </c>
      <c r="B83" s="10" t="inlineStr"/>
    </row>
    <row r="84">
      <c r="A84" s="7" t="n">
        <v>81</v>
      </c>
      <c r="B84" s="8" t="inlineStr">
        <is>
          <t xml:space="preserve">    def encode_image(self, image_path: str) -&gt; Optional[np.ndarray]:</t>
        </is>
      </c>
    </row>
    <row r="85">
      <c r="A85" s="9" t="n">
        <v>82</v>
      </c>
      <c r="B85" s="10" t="inlineStr">
        <is>
          <t xml:space="preserve">        """将图片编码为 512 维向量"""</t>
        </is>
      </c>
    </row>
    <row r="86">
      <c r="A86" s="7" t="n">
        <v>83</v>
      </c>
      <c r="B86" s="8" t="inlineStr">
        <is>
          <t xml:space="preserve">        self._load()</t>
        </is>
      </c>
    </row>
    <row r="87">
      <c r="A87" s="9" t="n">
        <v>84</v>
      </c>
      <c r="B87" s="10" t="inlineStr">
        <is>
          <t xml:space="preserve">        if not os.path.exists(image_path):</t>
        </is>
      </c>
    </row>
    <row r="88">
      <c r="A88" s="7" t="n">
        <v>85</v>
      </c>
      <c r="B88" s="8" t="inlineStr">
        <is>
          <t xml:space="preserve">            return None</t>
        </is>
      </c>
    </row>
    <row r="89">
      <c r="A89" s="9" t="n">
        <v>86</v>
      </c>
      <c r="B89" s="10" t="inlineStr">
        <is>
          <t xml:space="preserve">        try:</t>
        </is>
      </c>
    </row>
    <row r="90">
      <c r="A90" s="7" t="n">
        <v>87</v>
      </c>
      <c r="B90" s="8" t="inlineStr">
        <is>
          <t xml:space="preserve">            image = Image.open(image_path).convert("RGB")</t>
        </is>
      </c>
    </row>
    <row r="91">
      <c r="A91" s="9" t="n">
        <v>88</v>
      </c>
      <c r="B91" s="10" t="inlineStr">
        <is>
          <t xml:space="preserve">        except Exception:</t>
        </is>
      </c>
    </row>
    <row r="92">
      <c r="A92" s="7" t="n">
        <v>89</v>
      </c>
      <c r="B92" s="8" t="inlineStr">
        <is>
          <t xml:space="preserve">            return None</t>
        </is>
      </c>
    </row>
    <row r="93">
      <c r="A93" s="9" t="n">
        <v>90</v>
      </c>
      <c r="B93" s="10" t="inlineStr">
        <is>
          <t xml:space="preserve">        inputs = self._processor(images=image, return_tensors="pt").to(self._device)</t>
        </is>
      </c>
    </row>
    <row r="94">
      <c r="A94" s="7" t="n">
        <v>91</v>
      </c>
      <c r="B94" s="8" t="inlineStr">
        <is>
          <t xml:space="preserve">        with torch.no_grad():</t>
        </is>
      </c>
    </row>
    <row r="95">
      <c r="A95" s="9" t="n">
        <v>92</v>
      </c>
      <c r="B95" s="10" t="inlineStr">
        <is>
          <t xml:space="preserve">            features = self._model.get_image_features(**inputs)</t>
        </is>
      </c>
    </row>
    <row r="96">
      <c r="A96" s="7" t="n">
        <v>93</v>
      </c>
      <c r="B96" s="8" t="inlineStr">
        <is>
          <t xml:space="preserve">        return features.cpu().numpy().flatten()</t>
        </is>
      </c>
    </row>
    <row r="97">
      <c r="A97" s="9" t="n">
        <v>94</v>
      </c>
      <c r="B97" s="10" t="inlineStr"/>
    </row>
    <row r="98">
      <c r="A98" s="7" t="n">
        <v>95</v>
      </c>
      <c r="B98" s="8" t="inlineStr">
        <is>
          <t xml:space="preserve">    def similarity(self, text_vec: np.ndarray, image_vec: np.ndarray) -&gt; float:</t>
        </is>
      </c>
    </row>
    <row r="99">
      <c r="A99" s="9" t="n">
        <v>96</v>
      </c>
      <c r="B99" s="10" t="inlineStr">
        <is>
          <t xml:space="preserve">        """计算余弦相似度"""</t>
        </is>
      </c>
    </row>
    <row r="100">
      <c r="A100" s="7" t="n">
        <v>97</v>
      </c>
      <c r="B100" s="8" t="inlineStr">
        <is>
          <t xml:space="preserve">        if text_vec is None or image_vec is None:</t>
        </is>
      </c>
    </row>
    <row r="101">
      <c r="A101" s="9" t="n">
        <v>98</v>
      </c>
      <c r="B101" s="10" t="inlineStr">
        <is>
          <t xml:space="preserve">            return 0.0</t>
        </is>
      </c>
    </row>
    <row r="102">
      <c r="A102" s="7" t="n">
        <v>99</v>
      </c>
      <c r="B102" s="8" t="inlineStr">
        <is>
          <t xml:space="preserve">        denom = (np.linalg.norm(text_vec) * np.linalg.norm(image_vec)) + 1e-8</t>
        </is>
      </c>
    </row>
    <row r="103">
      <c r="A103" s="9" t="n">
        <v>100</v>
      </c>
      <c r="B103" s="10" t="inlineStr">
        <is>
          <t xml:space="preserve">        return float(np.dot(text_vec, image_vec) / denom)</t>
        </is>
      </c>
    </row>
    <row r="104">
      <c r="A104" s="7" t="n">
        <v>101</v>
      </c>
      <c r="B104" s="8" t="inlineStr"/>
    </row>
    <row r="105">
      <c r="A105" s="9" t="n">
        <v>102</v>
      </c>
      <c r="B105" s="10" t="inlineStr">
        <is>
          <t xml:space="preserve">    def rerank_clips(self, copy_text: str, clips: List[dict],</t>
        </is>
      </c>
    </row>
    <row r="106">
      <c r="A106" s="7" t="n">
        <v>103</v>
      </c>
      <c r="B106" s="8" t="inlineStr">
        <is>
          <t xml:space="preserve">                     top_k: int = 8) -&gt; List[dict]:</t>
        </is>
      </c>
    </row>
    <row r="107">
      <c r="A107" s="9" t="n">
        <v>104</v>
      </c>
      <c r="B107" s="10" t="inlineStr">
        <is>
          <t xml:space="preserve">        """</t>
        </is>
      </c>
    </row>
    <row r="108">
      <c r="A108" s="7" t="n">
        <v>105</v>
      </c>
      <c r="B108" s="8" t="inlineStr">
        <is>
          <t xml:space="preserve">        对候选素材进行 CLIP 二次排序。</t>
        </is>
      </c>
    </row>
    <row r="109">
      <c r="A109" s="9" t="n">
        <v>106</v>
      </c>
      <c r="B109" s="10" t="inlineStr">
        <is>
          <t xml:space="preserve">        提取每段素材的关键帧 → 计算与文案的相似度 → 重排。</t>
        </is>
      </c>
    </row>
    <row r="110">
      <c r="A110" s="7" t="n">
        <v>107</v>
      </c>
      <c r="B110" s="8" t="inlineStr">
        <is>
          <t xml:space="preserve">        """</t>
        </is>
      </c>
    </row>
    <row r="111">
      <c r="A111" s="9" t="n">
        <v>108</v>
      </c>
      <c r="B111" s="10" t="inlineStr">
        <is>
          <t xml:space="preserve">        if not clips:</t>
        </is>
      </c>
    </row>
    <row r="112">
      <c r="A112" s="7" t="n">
        <v>109</v>
      </c>
      <c r="B112" s="8" t="inlineStr">
        <is>
          <t xml:space="preserve">            return clips</t>
        </is>
      </c>
    </row>
    <row r="113">
      <c r="A113" s="9" t="n">
        <v>110</v>
      </c>
      <c r="B113" s="10" t="inlineStr"/>
    </row>
    <row r="114">
      <c r="A114" s="7" t="n">
        <v>111</v>
      </c>
      <c r="B114" s="8" t="inlineStr">
        <is>
          <t xml:space="preserve">        self._load()</t>
        </is>
      </c>
    </row>
    <row r="115">
      <c r="A115" s="9" t="n">
        <v>112</v>
      </c>
      <c r="B115" s="10" t="inlineStr">
        <is>
          <t xml:space="preserve">        text_vec = self.encode_text(copy_text)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    scored = []</t>
        </is>
      </c>
    </row>
    <row r="118">
      <c r="A118" s="7" t="n">
        <v>115</v>
      </c>
      <c r="B118" s="8" t="inlineStr">
        <is>
          <t xml:space="preserve">        for clip in clips:</t>
        </is>
      </c>
    </row>
    <row r="119">
      <c r="A119" s="9" t="n">
        <v>116</v>
      </c>
      <c r="B119" s="10" t="inlineStr">
        <is>
          <t xml:space="preserve">            video_path = clip.get("path", "")</t>
        </is>
      </c>
    </row>
    <row r="120">
      <c r="A120" s="7" t="n">
        <v>117</v>
      </c>
      <c r="B120" s="8" t="inlineStr">
        <is>
          <t xml:space="preserve">            if isinstance(video_path, Path):</t>
        </is>
      </c>
    </row>
    <row r="121">
      <c r="A121" s="9" t="n">
        <v>118</v>
      </c>
      <c r="B121" s="10" t="inlineStr">
        <is>
          <t xml:space="preserve">                video_path = str(video_path)</t>
        </is>
      </c>
    </row>
    <row r="122">
      <c r="A122" s="7" t="n">
        <v>119</v>
      </c>
      <c r="B122" s="8" t="inlineStr">
        <is>
          <t xml:space="preserve">            # 尝试找关键帧 (快速: 取视频第一帧)</t>
        </is>
      </c>
    </row>
    <row r="123">
      <c r="A123" s="9" t="n">
        <v>120</v>
      </c>
      <c r="B123" s="10" t="inlineStr">
        <is>
          <t xml:space="preserve">            frame_path = self._get_keyframe(video_path)</t>
        </is>
      </c>
    </row>
    <row r="124">
      <c r="A124" s="7" t="n">
        <v>121</v>
      </c>
      <c r="B124" s="8" t="inlineStr">
        <is>
          <t xml:space="preserve">            img_vec = self.encode_image(frame_path) if frame_path else None</t>
        </is>
      </c>
    </row>
    <row r="125">
      <c r="A125" s="9" t="n">
        <v>122</v>
      </c>
      <c r="B125" s="10" t="inlineStr">
        <is>
          <t xml:space="preserve">            sim = self.similarity(text_vec, img_vec) if img_vec is not None else 0.0</t>
        </is>
      </c>
    </row>
    <row r="126">
      <c r="A126" s="7" t="n">
        <v>123</v>
      </c>
      <c r="B126" s="8" t="inlineStr">
        <is>
          <t xml:space="preserve">            clip["clip_score"] = round(sim, 3)</t>
        </is>
      </c>
    </row>
    <row r="127">
      <c r="A127" s="9" t="n">
        <v>124</v>
      </c>
      <c r="B127" s="10" t="inlineStr">
        <is>
          <t xml:space="preserve">            scored.append((sim, clip))</t>
        </is>
      </c>
    </row>
    <row r="128">
      <c r="A128" s="7" t="n">
        <v>125</v>
      </c>
      <c r="B128" s="8" t="inlineStr"/>
    </row>
    <row r="129">
      <c r="A129" s="9" t="n">
        <v>126</v>
      </c>
      <c r="B129" s="10" t="inlineStr">
        <is>
          <t xml:space="preserve">        scored.sort(key=lambda x: -x[0])</t>
        </is>
      </c>
    </row>
    <row r="130">
      <c r="A130" s="7" t="n">
        <v>127</v>
      </c>
      <c r="B130" s="8" t="inlineStr">
        <is>
          <t xml:space="preserve">        return [s[1] for s in scored[:top_k]]</t>
        </is>
      </c>
    </row>
    <row r="131">
      <c r="A131" s="9" t="n">
        <v>128</v>
      </c>
      <c r="B131" s="10" t="inlineStr"/>
    </row>
    <row r="132">
      <c r="A132" s="7" t="n">
        <v>129</v>
      </c>
      <c r="B132" s="8" t="inlineStr">
        <is>
          <t xml:space="preserve">    def _get_keyframe(self, video_path: str) -&gt; Optional[str]:</t>
        </is>
      </c>
    </row>
    <row r="133">
      <c r="A133" s="9" t="n">
        <v>130</v>
      </c>
      <c r="B133" s="10" t="inlineStr">
        <is>
          <t xml:space="preserve">        """提取视频第一帧作为关键帧 (使用 ffmpeg)"""</t>
        </is>
      </c>
    </row>
    <row r="134">
      <c r="A134" s="7" t="n">
        <v>131</v>
      </c>
      <c r="B134" s="8" t="inlineStr">
        <is>
          <t xml:space="preserve">        import tempfile</t>
        </is>
      </c>
    </row>
    <row r="135">
      <c r="A135" s="9" t="n">
        <v>132</v>
      </c>
      <c r="B135" s="10" t="inlineStr">
        <is>
          <t xml:space="preserve">        import subprocess</t>
        </is>
      </c>
    </row>
    <row r="136">
      <c r="A136" s="7" t="n">
        <v>133</v>
      </c>
      <c r="B136" s="8" t="inlineStr">
        <is>
          <t xml:space="preserve">        tmp = tempfile.mktemp(suffix=".jpg")</t>
        </is>
      </c>
    </row>
    <row r="137">
      <c r="A137" s="9" t="n">
        <v>134</v>
      </c>
      <c r="B137" s="10" t="inlineStr">
        <is>
          <t xml:space="preserve">        try:</t>
        </is>
      </c>
    </row>
    <row r="138">
      <c r="A138" s="7" t="n">
        <v>135</v>
      </c>
      <c r="B138" s="8" t="inlineStr">
        <is>
          <t xml:space="preserve">            subprocess.run(</t>
        </is>
      </c>
    </row>
    <row r="139">
      <c r="A139" s="9" t="n">
        <v>136</v>
      </c>
      <c r="B139" s="10" t="inlineStr">
        <is>
          <t xml:space="preserve">                ["ffmpeg", "-y", "-i", video_path, "-vframes", "1",</t>
        </is>
      </c>
    </row>
    <row r="140">
      <c r="A140" s="7" t="n">
        <v>137</v>
      </c>
      <c r="B140" s="8" t="inlineStr">
        <is>
          <t xml:space="preserve">                 "-q:v", "2", tmp],</t>
        </is>
      </c>
    </row>
    <row r="141">
      <c r="A141" s="9" t="n">
        <v>138</v>
      </c>
      <c r="B141" s="10" t="inlineStr">
        <is>
          <t xml:space="preserve">                capture_output=True, timeout=10,</t>
        </is>
      </c>
    </row>
    <row r="142">
      <c r="A142" s="7" t="n">
        <v>139</v>
      </c>
      <c r="B142" s="8" t="inlineStr">
        <is>
          <t xml:space="preserve">            )</t>
        </is>
      </c>
    </row>
    <row r="143">
      <c r="A143" s="9" t="n">
        <v>140</v>
      </c>
      <c r="B143" s="10" t="inlineStr">
        <is>
          <t xml:space="preserve">            return tmp if os.path.exists(tmp) else None</t>
        </is>
      </c>
    </row>
    <row r="144">
      <c r="A144" s="7" t="n">
        <v>141</v>
      </c>
      <c r="B144" s="8" t="inlineStr">
        <is>
          <t xml:space="preserve">        except Exception:</t>
        </is>
      </c>
    </row>
    <row r="145">
      <c r="A145" s="9" t="n">
        <v>142</v>
      </c>
      <c r="B145" s="10" t="inlineStr">
        <is>
          <t xml:space="preserve">            return None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/>
    </row>
    <row r="148">
      <c r="A148" s="7" t="n">
        <v>145</v>
      </c>
      <c r="B148" s="8" t="inlineStr">
        <is>
          <t># 全局单例</t>
        </is>
      </c>
    </row>
    <row r="149">
      <c r="A149" s="9" t="n">
        <v>146</v>
      </c>
      <c r="B149" s="10" t="inlineStr">
        <is>
          <t>def get_clip_matcher() -&gt; Optional[ClipMatcher]:</t>
        </is>
      </c>
    </row>
    <row r="150">
      <c r="A150" s="7" t="n">
        <v>147</v>
      </c>
      <c r="B150" s="8" t="inlineStr">
        <is>
          <t xml:space="preserve">    try:</t>
        </is>
      </c>
    </row>
    <row r="151">
      <c r="A151" s="9" t="n">
        <v>148</v>
      </c>
      <c r="B151" s="10" t="inlineStr">
        <is>
          <t xml:space="preserve">        return ClipMatcher()</t>
        </is>
      </c>
    </row>
    <row r="152">
      <c r="A152" s="7" t="n">
        <v>149</v>
      </c>
      <c r="B152" s="8" t="inlineStr">
        <is>
          <t xml:space="preserve">    except ImportError:</t>
        </is>
      </c>
    </row>
    <row r="153">
      <c r="A153" s="9" t="n">
        <v>150</v>
      </c>
      <c r="B153" s="10" t="inlineStr">
        <is>
          <t xml:space="preserve">        return None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core\config.py</t>
        </is>
      </c>
      <c r="C1" s="5" t="inlineStr">
        <is>
          <t>行数: 494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╔══════════════════════════════════════════════════════════════╗</t>
        </is>
      </c>
    </row>
    <row r="6">
      <c r="A6" s="7" t="n">
        <v>3</v>
      </c>
      <c r="B6" s="8" t="inlineStr">
        <is>
          <t>║  🌳 video_editor.config — 视频制作全局配置                ║</t>
        </is>
      </c>
    </row>
    <row r="7">
      <c r="A7" s="9" t="n">
        <v>4</v>
      </c>
      <c r="B7" s="10" t="inlineStr">
        <is>
          <t>║  所有视频制作相关参数集中管理                              ║</t>
        </is>
      </c>
    </row>
    <row r="8">
      <c r="A8" s="7" t="n">
        <v>5</v>
      </c>
      <c r="B8" s="8" t="inlineStr">
        <is>
          <t>╚══════════════════════════════════════════════════════════════╝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os</t>
        </is>
      </c>
    </row>
    <row r="11">
      <c r="A11" s="9" t="n">
        <v>8</v>
      </c>
      <c r="B11" s="10" t="inlineStr">
        <is>
          <t>import re</t>
        </is>
      </c>
    </row>
    <row r="12">
      <c r="A12" s="7" t="n">
        <v>9</v>
      </c>
      <c r="B12" s="8" t="inlineStr">
        <is>
          <t>import json</t>
        </is>
      </c>
    </row>
    <row r="13">
      <c r="A13" s="9" t="n">
        <v>10</v>
      </c>
      <c r="B13" s="10" t="inlineStr">
        <is>
          <t>import hashlib</t>
        </is>
      </c>
    </row>
    <row r="14">
      <c r="A14" s="7" t="n">
        <v>11</v>
      </c>
      <c r="B14" s="8" t="inlineStr">
        <is>
          <t>import warnings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def _safe_env_int(key: str, default: int) -&gt; int:</t>
        </is>
      </c>
    </row>
    <row r="18">
      <c r="A18" s="7" t="n">
        <v>15</v>
      </c>
      <c r="B18" s="8" t="inlineStr">
        <is>
          <t xml:space="preserve">    """v12.0: 安全读取整数环境变量，格式错误时使用默认值"""</t>
        </is>
      </c>
    </row>
    <row r="19">
      <c r="A19" s="9" t="n">
        <v>16</v>
      </c>
      <c r="B19" s="10" t="inlineStr">
        <is>
          <t xml:space="preserve">    try:</t>
        </is>
      </c>
    </row>
    <row r="20">
      <c r="A20" s="7" t="n">
        <v>17</v>
      </c>
      <c r="B20" s="8" t="inlineStr">
        <is>
          <t xml:space="preserve">        return int(os.environ.get(key, str(default)))</t>
        </is>
      </c>
    </row>
    <row r="21">
      <c r="A21" s="9" t="n">
        <v>18</v>
      </c>
      <c r="B21" s="10" t="inlineStr">
        <is>
          <t xml:space="preserve">    except (ValueError, TypeError):</t>
        </is>
      </c>
    </row>
    <row r="22">
      <c r="A22" s="7" t="n">
        <v>19</v>
      </c>
      <c r="B22" s="8" t="inlineStr">
        <is>
          <t xml:space="preserve">        warnings.warn(f"Invalid integer value for {key}, using default {default}")</t>
        </is>
      </c>
    </row>
    <row r="23">
      <c r="A23" s="9" t="n">
        <v>20</v>
      </c>
      <c r="B23" s="10" t="inlineStr">
        <is>
          <t xml:space="preserve">        return default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/>
    </row>
    <row r="26">
      <c r="A26" s="7" t="n">
        <v>23</v>
      </c>
      <c r="B26" s="8" t="inlineStr">
        <is>
          <t>def _safe_env_float(key: str, default: float) -&gt; float:</t>
        </is>
      </c>
    </row>
    <row r="27">
      <c r="A27" s="9" t="n">
        <v>24</v>
      </c>
      <c r="B27" s="10" t="inlineStr">
        <is>
          <t xml:space="preserve">    """v12.0: 安全读取浮点环境变量"""</t>
        </is>
      </c>
    </row>
    <row r="28">
      <c r="A28" s="7" t="n">
        <v>25</v>
      </c>
      <c r="B28" s="8" t="inlineStr">
        <is>
          <t xml:space="preserve">    try:</t>
        </is>
      </c>
    </row>
    <row r="29">
      <c r="A29" s="9" t="n">
        <v>26</v>
      </c>
      <c r="B29" s="10" t="inlineStr">
        <is>
          <t xml:space="preserve">        return float(os.environ.get(key, str(default)))</t>
        </is>
      </c>
    </row>
    <row r="30">
      <c r="A30" s="7" t="n">
        <v>27</v>
      </c>
      <c r="B30" s="8" t="inlineStr">
        <is>
          <t xml:space="preserve">    except (ValueError, TypeError):</t>
        </is>
      </c>
    </row>
    <row r="31">
      <c r="A31" s="9" t="n">
        <v>28</v>
      </c>
      <c r="B31" s="10" t="inlineStr">
        <is>
          <t xml:space="preserve">        warnings.warn(f"Invalid float value for {key}, using default {default}")</t>
        </is>
      </c>
    </row>
    <row r="32">
      <c r="A32" s="7" t="n">
        <v>29</v>
      </c>
      <c r="B32" s="8" t="inlineStr">
        <is>
          <t xml:space="preserve">        return default</t>
        </is>
      </c>
    </row>
    <row r="33">
      <c r="A33" s="9" t="n">
        <v>30</v>
      </c>
      <c r="B33" s="10" t="inlineStr">
        <is>
          <t>from pathlib import Path</t>
        </is>
      </c>
    </row>
    <row r="34">
      <c r="A34" s="7" t="n">
        <v>31</v>
      </c>
      <c r="B34" s="8" t="inlineStr">
        <is>
          <t>from typing import List, Dict</t>
        </is>
      </c>
    </row>
    <row r="35">
      <c r="A35" s="9" t="n">
        <v>32</v>
      </c>
      <c r="B35" s="10" t="inlineStr"/>
    </row>
    <row r="36">
      <c r="A36" s="7" t="n">
        <v>33</v>
      </c>
      <c r="B36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37">
      <c r="A37" s="9" t="n">
        <v>34</v>
      </c>
      <c r="B37" s="10" t="inlineStr">
        <is>
          <t># 从统一配置中心获取路径</t>
        </is>
      </c>
    </row>
    <row r="38">
      <c r="A38" s="7" t="n">
        <v>35</v>
      </c>
      <c r="B38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41">
      <c r="A41" s="9" t="n">
        <v>38</v>
      </c>
      <c r="B41" s="10" t="inlineStr">
        <is>
          <t># 路径配置 — 环境变量优先，自动检测兜底</t>
        </is>
      </c>
    </row>
    <row r="42">
      <c r="A42" s="7" t="n">
        <v>39</v>
      </c>
      <c r="B4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>
        <is>
          <t>_PROJ_ROOT = Path(__file__).parent.parent</t>
        </is>
      </c>
    </row>
    <row r="45">
      <c r="A45" s="9" t="n">
        <v>42</v>
      </c>
      <c r="B45" s="10" t="inlineStr">
        <is>
          <t>_desktop = str(Path.home() / "Desktop")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># ── 保护词加载 (必须在 _init_config_vars 之前定义) ──</t>
        </is>
      </c>
    </row>
    <row r="48">
      <c r="A48" s="7" t="n">
        <v>45</v>
      </c>
      <c r="B48" s="8" t="inlineStr">
        <is>
          <t>def _load_protected_words():</t>
        </is>
      </c>
    </row>
    <row r="49">
      <c r="A49" s="9" t="n">
        <v>46</v>
      </c>
      <c r="B49" s="10" t="inlineStr">
        <is>
          <t xml:space="preserve">    """加载保护词词库"""</t>
        </is>
      </c>
    </row>
    <row r="50">
      <c r="A50" s="7" t="n">
        <v>47</v>
      </c>
      <c r="B50" s="8" t="inlineStr">
        <is>
          <t xml:space="preserve">    words_file = Path(__file__).parent.parent / "protected_words.json"</t>
        </is>
      </c>
    </row>
    <row r="51">
      <c r="A51" s="9" t="n">
        <v>48</v>
      </c>
      <c r="B51" s="10" t="inlineStr">
        <is>
          <t xml:space="preserve">    if words_file.exists():</t>
        </is>
      </c>
    </row>
    <row r="52">
      <c r="A52" s="7" t="n">
        <v>49</v>
      </c>
      <c r="B52" s="8" t="inlineStr">
        <is>
          <t xml:space="preserve">        try:</t>
        </is>
      </c>
    </row>
    <row r="53">
      <c r="A53" s="9" t="n">
        <v>50</v>
      </c>
      <c r="B53" s="10" t="inlineStr">
        <is>
          <t xml:space="preserve">            data = json.loads(words_file.read_text(encoding="utf-8"))</t>
        </is>
      </c>
    </row>
    <row r="54">
      <c r="A54" s="7" t="n">
        <v>51</v>
      </c>
      <c r="B54" s="8" t="inlineStr">
        <is>
          <t xml:space="preserve">            all_words = []</t>
        </is>
      </c>
    </row>
    <row r="55">
      <c r="A55" s="9" t="n">
        <v>52</v>
      </c>
      <c r="B55" s="10" t="inlineStr">
        <is>
          <t xml:space="preserve">            for words in data.get("categories", {}).values():</t>
        </is>
      </c>
    </row>
    <row r="56">
      <c r="A56" s="7" t="n">
        <v>53</v>
      </c>
      <c r="B56" s="8" t="inlineStr">
        <is>
          <t xml:space="preserve">                all_words.extend(words)</t>
        </is>
      </c>
    </row>
    <row r="57">
      <c r="A57" s="9" t="n">
        <v>54</v>
      </c>
      <c r="B57" s="10" t="inlineStr">
        <is>
          <t xml:space="preserve">            return sorted(set(all_words), key=len, reverse=True)</t>
        </is>
      </c>
    </row>
    <row r="58">
      <c r="A58" s="7" t="n">
        <v>55</v>
      </c>
      <c r="B58" s="8" t="inlineStr">
        <is>
          <t xml:space="preserve">        except Exception as _e: from utils.logging import log_warning; log_warning('config', str(_e)[:80])</t>
        </is>
      </c>
    </row>
    <row r="59">
      <c r="A59" s="9" t="n">
        <v>56</v>
      </c>
      <c r="B59" s="10" t="inlineStr">
        <is>
          <t xml:space="preserve">    # 默认内置最小词库</t>
        </is>
      </c>
    </row>
    <row r="60">
      <c r="A60" s="7" t="n">
        <v>57</v>
      </c>
      <c r="B60" s="8" t="inlineStr">
        <is>
          <t xml:space="preserve">    return [</t>
        </is>
      </c>
    </row>
    <row r="61">
      <c r="A61" s="9" t="n">
        <v>58</v>
      </c>
      <c r="B61" s="10" t="inlineStr">
        <is>
          <t xml:space="preserve">        "岛台", "餐边柜", "餐桌", "高柜", "酒柜", "吧台",</t>
        </is>
      </c>
    </row>
    <row r="62">
      <c r="A62" s="7" t="n">
        <v>59</v>
      </c>
      <c r="B62" s="8" t="inlineStr">
        <is>
          <t xml:space="preserve">        "上层薄抽", "下层抽屉", "内嵌烤箱", "轨道插座", "岩板台面",</t>
        </is>
      </c>
    </row>
    <row r="63">
      <c r="A63" s="9" t="n">
        <v>60</v>
      </c>
      <c r="B63" s="10" t="inlineStr">
        <is>
          <t xml:space="preserve">        "伸缩餐桌", "海棠角", "水磨边", "圆弧倒角", "连纹",</t>
        </is>
      </c>
    </row>
    <row r="64">
      <c r="A64" s="7" t="n">
        <v>61</v>
      </c>
      <c r="B64" s="8" t="inlineStr">
        <is>
          <t xml:space="preserve">        "极简风", "奶油风", "侘寂风", "原木风", "轻奢风",</t>
        </is>
      </c>
    </row>
    <row r="65">
      <c r="A65" s="9" t="n">
        <v>62</v>
      </c>
      <c r="B65" s="10" t="inlineStr">
        <is>
          <t xml:space="preserve">        "意式中古风", "法式奶油风",</t>
        </is>
      </c>
    </row>
    <row r="66">
      <c r="A66" s="7" t="n">
        <v>63</v>
      </c>
      <c r="B66" s="8" t="inlineStr">
        <is>
          <t xml:space="preserve">    ]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>
        <is>
          <t># ── 公共配置初始化函数 (供顶层和reload_config()共用，消除重复) ──</t>
        </is>
      </c>
    </row>
    <row r="69">
      <c r="A69" s="9" t="n">
        <v>66</v>
      </c>
      <c r="B69" s="10" t="inlineStr">
        <is>
          <t>def _init_config_vars(_proj, _os, _Path):</t>
        </is>
      </c>
    </row>
    <row r="70">
      <c r="A70" s="7" t="n">
        <v>67</v>
      </c>
      <c r="B70" s="8" t="inlineStr">
        <is>
          <t xml:space="preserve">    """返回所有可重载配置的字典"""</t>
        </is>
      </c>
    </row>
    <row r="71">
      <c r="A71" s="9" t="n">
        <v>68</v>
      </c>
      <c r="B71" s="10" t="inlineStr">
        <is>
          <t xml:space="preserve">    d = {}</t>
        </is>
      </c>
    </row>
    <row r="72">
      <c r="A72" s="7" t="n">
        <v>69</v>
      </c>
      <c r="B72" s="8" t="inlineStr">
        <is>
          <t xml:space="preserve">    d["SELLING_POINT_DIR"] = _os.environ.get("TREECUT_SELLING_DIR", r"Z:\已处理素材\卖点展示类素材")</t>
        </is>
      </c>
    </row>
    <row r="73">
      <c r="A73" s="9" t="n">
        <v>70</v>
      </c>
      <c r="B73" s="10" t="inlineStr">
        <is>
          <t xml:space="preserve">    d["EFFECTS_DIR"] = _os.environ.get("TREECUT_EFFECTS_DIR", r"Z:\已处理素材\效果展示类素材")</t>
        </is>
      </c>
    </row>
    <row r="74">
      <c r="A74" s="7" t="n">
        <v>71</v>
      </c>
      <c r="B74" s="8" t="inlineStr">
        <is>
          <t xml:space="preserve">    d["B_GROUP_PATH"] = _os.environ.get("TREECUT_BGROUP_DIR", r"Z:\B组更新视频")</t>
        </is>
      </c>
    </row>
    <row r="75">
      <c r="A75" s="9" t="n">
        <v>72</v>
      </c>
      <c r="B75" s="10" t="inlineStr">
        <is>
          <t xml:space="preserve">    d["SCRIPT_FOLDER_PATH"] = _os.environ.get("TREECUT_SCRIPT_DIR", r"Z:\视频脚本文件夹")</t>
        </is>
      </c>
    </row>
    <row r="76">
      <c r="A76" s="7" t="n">
        <v>73</v>
      </c>
      <c r="B76" s="8" t="inlineStr">
        <is>
          <t xml:space="preserve">    d["OUTPUT_DRAFT_DIR"] = _os.environ.get("TREECUT_DRAFT_DIR", str(_proj / "03_粗剪输出"))</t>
        </is>
      </c>
    </row>
    <row r="77">
      <c r="A77" s="9" t="n">
        <v>74</v>
      </c>
      <c r="B77" s="10" t="inlineStr">
        <is>
          <t xml:space="preserve">    d["OUTPUT_COPY_DIR"] = _os.environ.get("TREECUT_COPY_DIR", str(_proj / "04_文案"))</t>
        </is>
      </c>
    </row>
    <row r="78">
      <c r="A78" s="7" t="n">
        <v>75</v>
      </c>
      <c r="B78" s="8" t="inlineStr">
        <is>
          <t xml:space="preserve">    d["TTS_OUTPUT_DIR"] = _os.environ.get("TREECUT_TTS_DIR", str(_proj / "05_配音"))</t>
        </is>
      </c>
    </row>
    <row r="79">
      <c r="A79" s="9" t="n">
        <v>76</v>
      </c>
      <c r="B79" s="10" t="inlineStr">
        <is>
          <t xml:space="preserve">    d["BGM_PATH_PRIMARY"] = _os.environ.get("TREECUT_BGM_DIR", str(_proj / "02_BGM"))</t>
        </is>
      </c>
    </row>
    <row r="80">
      <c r="A80" s="7" t="n">
        <v>77</v>
      </c>
      <c r="B80" s="8" t="inlineStr">
        <is>
          <t xml:space="preserve">    d["CUSTOM_VOICE_MODEL_PATH"] = _os.environ.get("TREECUT_VOICE_DIR", str(_proj / "custom_voice" / "model"))</t>
        </is>
      </c>
    </row>
    <row r="81">
      <c r="A81" s="9" t="n">
        <v>78</v>
      </c>
      <c r="B81" s="10" t="inlineStr">
        <is>
          <t xml:space="preserve">    d["JIANGYING_DRAFT_DIR"] = _os.path.join(_os.environ.get("LOCALAPPDATA", ""), r"JianyingPro\User Data\Projects\com.lveditor.draft")</t>
        </is>
      </c>
    </row>
    <row r="82">
      <c r="A82" s="7" t="n">
        <v>79</v>
      </c>
      <c r="B82" s="8" t="inlineStr">
        <is>
          <t xml:space="preserve">    d["DEEPSEEK_API_KEY"] = _os.environ.get("DEEPSEEK_API_KEY", "")</t>
        </is>
      </c>
    </row>
    <row r="83">
      <c r="A83" s="9" t="n">
        <v>80</v>
      </c>
      <c r="B83" s="10" t="inlineStr">
        <is>
          <t xml:space="preserve">    d["PIXABAY_API_KEY"] = _os.environ.get("PIXABAY_API_KEY", "")</t>
        </is>
      </c>
    </row>
    <row r="84">
      <c r="A84" s="7" t="n">
        <v>81</v>
      </c>
      <c r="B84" s="8" t="inlineStr">
        <is>
          <t xml:space="preserve">    d["TREECUT_WEB_PORT"] = _safe_env_int("TREECUT_WEB_PORT", 7860)</t>
        </is>
      </c>
    </row>
    <row r="85">
      <c r="A85" s="9" t="n">
        <v>82</v>
      </c>
      <c r="B85" s="10" t="inlineStr">
        <is>
          <t xml:space="preserve">    d["TREECUT_WEB_TOKEN"] = _os.environ.get("TREECUT_WEB_TOKEN", "")</t>
        </is>
      </c>
    </row>
    <row r="86">
      <c r="A86" s="7" t="n">
        <v>83</v>
      </c>
      <c r="B86" s="8" t="inlineStr">
        <is>
          <t xml:space="preserve">    d["TREECUT_VISION_MODEL"] = _os.environ.get("TREECUT_VISION_MODEL", "qwen3-4b")</t>
        </is>
      </c>
    </row>
    <row r="87">
      <c r="A87" s="9" t="n">
        <v>84</v>
      </c>
      <c r="B87" s="10" t="inlineStr">
        <is>
          <t xml:space="preserve">    d["TREECUT_ADVANCED_ANNOTATION"] = _os.environ.get("TREECUT_ADVANCED_ANNOTATION", "true").lower() == "true"</t>
        </is>
      </c>
    </row>
    <row r="88">
      <c r="A88" s="7" t="n">
        <v>85</v>
      </c>
      <c r="B88" s="8" t="inlineStr">
        <is>
          <t xml:space="preserve">    d["TREECUT_VECTOR_BACKEND"] = _os.environ.get("TREECUT_VECTOR_BACKEND", "faiss")</t>
        </is>
      </c>
    </row>
    <row r="89">
      <c r="A89" s="9" t="n">
        <v>86</v>
      </c>
      <c r="B89" s="10" t="inlineStr">
        <is>
          <t xml:space="preserve">    d["TREECUT_EXCLUDE_RECENT_SCRIPTS"] = _safe_env_int("TREECUT_EXCLUDE_RECENT_SCRIPTS", 5)</t>
        </is>
      </c>
    </row>
    <row r="90">
      <c r="A90" s="7" t="n">
        <v>87</v>
      </c>
      <c r="B90" s="8" t="inlineStr">
        <is>
          <t xml:space="preserve">    d["TREECUT_USE_FRESH_MATERIALS"] = _os.environ.get("TREECUT_USE_FRESH_MATERIALS", "True").lower() == "true"</t>
        </is>
      </c>
    </row>
    <row r="91">
      <c r="A91" s="9" t="n">
        <v>88</v>
      </c>
      <c r="B91" s="10" t="inlineStr">
        <is>
          <t xml:space="preserve">    d["PROTECTED_WORDS"] = _load_protected_words()</t>
        </is>
      </c>
    </row>
    <row r="92">
      <c r="A92" s="7" t="n">
        <v>89</v>
      </c>
      <c r="B92" s="8" t="inlineStr">
        <is>
          <t xml:space="preserve">    # 全盘扫描配置 (v11.2)</t>
        </is>
      </c>
    </row>
    <row r="93">
      <c r="A93" s="9" t="n">
        <v>90</v>
      </c>
      <c r="B93" s="10" t="inlineStr">
        <is>
          <t xml:space="preserve">    d["SCAN_FRAME_INTERVAL"] = _safe_env_float("TREECUT_SCAN_FRAME_INTERVAL", 0.25)</t>
        </is>
      </c>
    </row>
    <row r="94">
      <c r="A94" s="7" t="n">
        <v>91</v>
      </c>
      <c r="B94" s="8" t="inlineStr">
        <is>
          <t xml:space="preserve">    d["SCAN_AUTO_START"] = _os.environ.get("TREECUT_SCAN_AUTO_START", "false").lower() == "true"</t>
        </is>
      </c>
    </row>
    <row r="95">
      <c r="A95" s="9" t="n">
        <v>92</v>
      </c>
      <c r="B95" s="10" t="inlineStr">
        <is>
          <t xml:space="preserve">    d["SCAN_MAX_VIDEO_SIZE_MB"] = _safe_env_float("TREECUT_SCAN_MAX_VIDEO_SIZE_MB", 500.0)</t>
        </is>
      </c>
    </row>
    <row r="96">
      <c r="A96" s="7" t="n">
        <v>93</v>
      </c>
      <c r="B96" s="8" t="inlineStr">
        <is>
          <t xml:space="preserve">    d["SCAN_MAX_WORKERS"] = _safe_env_int("TREECUT_SCAN_MAX_WORKERS", 2)</t>
        </is>
      </c>
    </row>
    <row r="97">
      <c r="A97" s="9" t="n">
        <v>94</v>
      </c>
      <c r="B97" s="10" t="inlineStr">
        <is>
          <t xml:space="preserve">    d["DEFAULTS"] = {</t>
        </is>
      </c>
    </row>
    <row r="98">
      <c r="A98" s="7" t="n">
        <v>95</v>
      </c>
      <c r="B98" s="8" t="inlineStr">
        <is>
          <t xml:space="preserve">        "DEEPSEEK_API_KEY": d["DEEPSEEK_API_KEY"], "PIXABAY_API_KEY": d["PIXABAY_API_KEY"],</t>
        </is>
      </c>
    </row>
    <row r="99">
      <c r="A99" s="9" t="n">
        <v>96</v>
      </c>
      <c r="B99" s="10" t="inlineStr">
        <is>
          <t xml:space="preserve">        "TREECUT_SELLING_DIR": d["SELLING_POINT_DIR"], "TREECUT_EFFECTS_DIR": d["EFFECTS_DIR"],</t>
        </is>
      </c>
    </row>
    <row r="100">
      <c r="A100" s="7" t="n">
        <v>97</v>
      </c>
      <c r="B100" s="8" t="inlineStr">
        <is>
          <t xml:space="preserve">        "TREECUT_BGROUP_DIR": d["B_GROUP_PATH"], "TREECUT_SCRIPT_DIR": d["SCRIPT_FOLDER_PATH"],</t>
        </is>
      </c>
    </row>
    <row r="101">
      <c r="A101" s="9" t="n">
        <v>98</v>
      </c>
      <c r="B101" s="10" t="inlineStr">
        <is>
          <t xml:space="preserve">        "TREECUT_DRAFT_DIR": d["OUTPUT_DRAFT_DIR"], "TREECUT_COPY_DIR": d["OUTPUT_COPY_DIR"],</t>
        </is>
      </c>
    </row>
    <row r="102">
      <c r="A102" s="7" t="n">
        <v>99</v>
      </c>
      <c r="B102" s="8" t="inlineStr">
        <is>
          <t xml:space="preserve">        "TREECUT_TTS_DIR": d["TTS_OUTPUT_DIR"], "TREECUT_BGM_DIR": d["BGM_PATH_PRIMARY"],</t>
        </is>
      </c>
    </row>
    <row r="103">
      <c r="A103" s="9" t="n">
        <v>100</v>
      </c>
      <c r="B103" s="10" t="inlineStr">
        <is>
          <t xml:space="preserve">        "TREECUT_VOICE_DIR": d["CUSTOM_VOICE_MODEL_PATH"],</t>
        </is>
      </c>
    </row>
    <row r="104">
      <c r="A104" s="7" t="n">
        <v>101</v>
      </c>
      <c r="B104" s="8" t="inlineStr">
        <is>
          <t xml:space="preserve">        "TREECUT_WEB_PORT": str(d["TREECUT_WEB_PORT"]), "TREECUT_WEB_TOKEN": d["TREECUT_WEB_TOKEN"],</t>
        </is>
      </c>
    </row>
    <row r="105">
      <c r="A105" s="9" t="n">
        <v>102</v>
      </c>
      <c r="B105" s="10" t="inlineStr">
        <is>
          <t xml:space="preserve">        "TREECUT_VISION_MODEL": d["TREECUT_VISION_MODEL"],</t>
        </is>
      </c>
    </row>
    <row r="106">
      <c r="A106" s="7" t="n">
        <v>103</v>
      </c>
      <c r="B106" s="8" t="inlineStr">
        <is>
          <t xml:space="preserve">        "TREECUT_ADVANCED_ANNOTATION": str(d["TREECUT_ADVANCED_ANNOTATION"]).lower(),</t>
        </is>
      </c>
    </row>
    <row r="107">
      <c r="A107" s="9" t="n">
        <v>104</v>
      </c>
      <c r="B107" s="10" t="inlineStr">
        <is>
          <t xml:space="preserve">        "TREECUT_VECTOR_BACKEND": d["TREECUT_VECTOR_BACKEND"],</t>
        </is>
      </c>
    </row>
    <row r="108">
      <c r="A108" s="7" t="n">
        <v>105</v>
      </c>
      <c r="B108" s="8" t="inlineStr">
        <is>
          <t xml:space="preserve">        "TREECUT_SCAN_FRAME_INTERVAL": str(d["SCAN_FRAME_INTERVAL"]),</t>
        </is>
      </c>
    </row>
    <row r="109">
      <c r="A109" s="9" t="n">
        <v>106</v>
      </c>
      <c r="B109" s="10" t="inlineStr">
        <is>
          <t xml:space="preserve">        "TREECUT_SCAN_MAX_VIDEO_SIZE_MB": str(d["SCAN_MAX_VIDEO_SIZE_MB"]),</t>
        </is>
      </c>
    </row>
    <row r="110">
      <c r="A110" s="7" t="n">
        <v>107</v>
      </c>
      <c r="B110" s="8" t="inlineStr">
        <is>
          <t xml:space="preserve">        "TREECUT_SCAN_MAX_WORKERS": str(d["SCAN_MAX_WORKERS"]),</t>
        </is>
      </c>
    </row>
    <row r="111">
      <c r="A111" s="9" t="n">
        <v>108</v>
      </c>
      <c r="B111" s="10" t="inlineStr">
        <is>
          <t xml:space="preserve">    }</t>
        </is>
      </c>
    </row>
    <row r="112">
      <c r="A112" s="7" t="n">
        <v>109</v>
      </c>
      <c r="B112" s="8" t="inlineStr">
        <is>
          <t xml:space="preserve">    return d</t>
        </is>
      </c>
    </row>
    <row r="113">
      <c r="A113" s="9" t="n">
        <v>110</v>
      </c>
      <c r="B113" s="10" t="inlineStr"/>
    </row>
    <row r="114">
      <c r="A114" s="7" t="n">
        <v>111</v>
      </c>
      <c r="B114" s="8" t="inlineStr">
        <is>
          <t># 从统一函数初始化所有路径变量</t>
        </is>
      </c>
    </row>
    <row r="115">
      <c r="A115" s="9" t="n">
        <v>112</v>
      </c>
      <c r="B115" s="10" t="inlineStr">
        <is>
          <t>_cfg = _init_config_vars(_PROJ_ROOT, os, Path)</t>
        </is>
      </c>
    </row>
    <row r="116">
      <c r="A116" s="7" t="n">
        <v>113</v>
      </c>
      <c r="B116" s="8" t="inlineStr">
        <is>
          <t>SELLING_POINT_DIR = _cfg["SELLING_POINT_DIR"]</t>
        </is>
      </c>
    </row>
    <row r="117">
      <c r="A117" s="9" t="n">
        <v>114</v>
      </c>
      <c r="B117" s="10" t="inlineStr">
        <is>
          <t>EFFECTS_DIR = _cfg["EFFECTS_DIR"]</t>
        </is>
      </c>
    </row>
    <row r="118">
      <c r="A118" s="7" t="n">
        <v>115</v>
      </c>
      <c r="B118" s="8" t="inlineStr">
        <is>
          <t>B_GROUP_PATH = _cfg["B_GROUP_PATH"]</t>
        </is>
      </c>
    </row>
    <row r="119">
      <c r="A119" s="9" t="n">
        <v>116</v>
      </c>
      <c r="B119" s="10" t="inlineStr">
        <is>
          <t>SCRIPT_FOLDER_PATH = _cfg["SCRIPT_FOLDER_PATH"]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>
        <is>
          <t># 首次运行检查 — 如果默认Z盘不存在且未设置环境变量, 提示用户</t>
        </is>
      </c>
    </row>
    <row r="122">
      <c r="A122" s="7" t="n">
        <v>119</v>
      </c>
      <c r="B122" s="8" t="inlineStr">
        <is>
          <t>def _warn_missing_paths():</t>
        </is>
      </c>
    </row>
    <row r="123">
      <c r="A123" s="9" t="n">
        <v>120</v>
      </c>
      <c r="B123" s="10" t="inlineStr">
        <is>
          <t xml:space="preserve">    import sys as _sys</t>
        </is>
      </c>
    </row>
    <row r="124">
      <c r="A124" s="7" t="n">
        <v>121</v>
      </c>
      <c r="B124" s="8" t="inlineStr">
        <is>
          <t xml:space="preserve">    missing = []</t>
        </is>
      </c>
    </row>
    <row r="125">
      <c r="A125" s="9" t="n">
        <v>122</v>
      </c>
      <c r="B125" s="10" t="inlineStr">
        <is>
          <t xml:space="preserve">    for name, path in [("卖点素材", SELLING_POINT_DIR), ("效果素材", EFFECTS_DIR), ("B组视频", B_GROUP_PATH)]:</t>
        </is>
      </c>
    </row>
    <row r="126">
      <c r="A126" s="7" t="n">
        <v>123</v>
      </c>
      <c r="B126" s="8" t="inlineStr">
        <is>
          <t xml:space="preserve">        if not os.path.exists(path) and not os.environ.get(f"TREECUT_{name.replace('素材','').upper()}_DIR"):</t>
        </is>
      </c>
    </row>
    <row r="127">
      <c r="A127" s="9" t="n">
        <v>124</v>
      </c>
      <c r="B127" s="10" t="inlineStr">
        <is>
          <t xml:space="preserve">            missing.append(f"  {name}: {path}")</t>
        </is>
      </c>
    </row>
    <row r="128">
      <c r="A128" s="7" t="n">
        <v>125</v>
      </c>
      <c r="B128" s="8" t="inlineStr">
        <is>
          <t xml:space="preserve">    if missing and not _sys.argv[0].endswith('setup_wizard.py'):</t>
        </is>
      </c>
    </row>
    <row r="129">
      <c r="A129" s="9" t="n">
        <v>126</v>
      </c>
      <c r="B129" s="10" t="inlineStr">
        <is>
          <t xml:space="preserve">        print(f"   ⚠ 以下素材路径不存在(请通过系统设置配置):\n" + "\n".join(missing[:2]))</t>
        </is>
      </c>
    </row>
    <row r="130">
      <c r="A130" s="7" t="n">
        <v>127</v>
      </c>
      <c r="B130" s="8" t="inlineStr">
        <is>
          <t xml:space="preserve">        print(f"   💡 运行 python 树剪.py --setup 配置路径")</t>
        </is>
      </c>
    </row>
    <row r="131">
      <c r="A131" s="9" t="n">
        <v>128</v>
      </c>
      <c r="B131" s="10" t="inlineStr">
        <is>
          <t>OUTPUT_DRAFT_DIR = _cfg["OUTPUT_DRAFT_DIR"]</t>
        </is>
      </c>
    </row>
    <row r="132">
      <c r="A132" s="7" t="n">
        <v>129</v>
      </c>
      <c r="B132" s="8" t="inlineStr">
        <is>
          <t>OUTPUT_COPY_DIR = _cfg["OUTPUT_COPY_DIR"]</t>
        </is>
      </c>
    </row>
    <row r="133">
      <c r="A133" s="9" t="n">
        <v>130</v>
      </c>
      <c r="B133" s="10" t="inlineStr">
        <is>
          <t>TTS_OUTPUT_DIR = _cfg["TTS_OUTPUT_DIR"]</t>
        </is>
      </c>
    </row>
    <row r="134">
      <c r="A134" s="7" t="n">
        <v>131</v>
      </c>
      <c r="B134" s="8" t="inlineStr">
        <is>
          <t>BGM_PATH_PRIMARY = _cfg["BGM_PATH_PRIMARY"]</t>
        </is>
      </c>
    </row>
    <row r="135">
      <c r="A135" s="9" t="n">
        <v>132</v>
      </c>
      <c r="B135" s="10" t="inlineStr">
        <is>
          <t>BGM_DIR_FALLBACK = str(_PROJ_ROOT / "02_BGM")</t>
        </is>
      </c>
    </row>
    <row r="136">
      <c r="A136" s="7" t="n">
        <v>133</v>
      </c>
      <c r="B136" s="8" t="inlineStr">
        <is>
          <t>BGM_DIR = BGM_PATH_PRIMARY</t>
        </is>
      </c>
    </row>
    <row r="137">
      <c r="A137" s="9" t="n">
        <v>134</v>
      </c>
      <c r="B137" s="10" t="inlineStr">
        <is>
          <t>CUSTOM_VOICE_MODEL_PATH = _cfg["CUSTOM_VOICE_MODEL_PATH"]</t>
        </is>
      </c>
    </row>
    <row r="138">
      <c r="A138" s="7" t="n">
        <v>135</v>
      </c>
      <c r="B138" s="8" t="inlineStr">
        <is>
          <t>JIANGYING_DRAFT_DIR = _cfg["JIANGYING_DRAFT_DIR"]</t>
        </is>
      </c>
    </row>
    <row r="139">
      <c r="A139" s="9" t="n">
        <v>136</v>
      </c>
      <c r="B139" s="10" t="inlineStr">
        <is>
          <t>DEEPSEEK_API_KEY = _cfg["DEEPSEEK_API_KEY"]</t>
        </is>
      </c>
    </row>
    <row r="140">
      <c r="A140" s="7" t="n">
        <v>137</v>
      </c>
      <c r="B140" s="8" t="inlineStr">
        <is>
          <t>DEEPSEEK_BASE_URL = "https://api.deepseek.com"</t>
        </is>
      </c>
    </row>
    <row r="141">
      <c r="A141" s="9" t="n">
        <v>138</v>
      </c>
      <c r="B141" s="10" t="inlineStr">
        <is>
          <t>DEEPSEEK_MODEL = "deepseek-chat"</t>
        </is>
      </c>
    </row>
    <row r="142">
      <c r="A142" s="7" t="n">
        <v>139</v>
      </c>
      <c r="B142" s="8" t="inlineStr">
        <is>
          <t>PIXABAY_API_KEY = _cfg["PIXABAY_API_KEY"]</t>
        </is>
      </c>
    </row>
    <row r="143">
      <c r="A143" s="9" t="n">
        <v>140</v>
      </c>
      <c r="B143" s="10" t="inlineStr">
        <is>
          <t>TREECUT_WEB_PORT = _cfg["TREECUT_WEB_PORT"]</t>
        </is>
      </c>
    </row>
    <row r="144">
      <c r="A144" s="7" t="n">
        <v>141</v>
      </c>
      <c r="B144" s="8" t="inlineStr">
        <is>
          <t>TREECUT_WEB_TOKEN = _cfg["TREECUT_WEB_TOKEN"]</t>
        </is>
      </c>
    </row>
    <row r="145">
      <c r="A145" s="9" t="n">
        <v>142</v>
      </c>
      <c r="B145" s="10" t="inlineStr">
        <is>
          <t>TREECUT_EXCLUDE_RECENT_SCRIPTS = _cfg["TREECUT_EXCLUDE_RECENT_SCRIPTS"]</t>
        </is>
      </c>
    </row>
    <row r="146">
      <c r="A146" s="7" t="n">
        <v>143</v>
      </c>
      <c r="B146" s="8" t="inlineStr">
        <is>
          <t>TREECUT_USE_FRESH_MATERIALS = _cfg["TREECUT_USE_FRESH_MATERIALS"]</t>
        </is>
      </c>
    </row>
    <row r="147">
      <c r="A147" s="9" t="n">
        <v>144</v>
      </c>
      <c r="B147" s="10" t="inlineStr"/>
    </row>
    <row r="148">
      <c r="A148" s="7" t="n">
        <v>145</v>
      </c>
      <c r="B148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49">
      <c r="A149" s="9" t="n">
        <v>146</v>
      </c>
      <c r="B149" s="10" t="inlineStr">
        <is>
          <t># 统一数据库路径 (所有模块共用)</t>
        </is>
      </c>
    </row>
    <row r="150">
      <c r="A150" s="7" t="n">
        <v>147</v>
      </c>
      <c r="B150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51">
      <c r="A151" s="9" t="n">
        <v>148</v>
      </c>
      <c r="B151" s="10" t="inlineStr">
        <is>
          <t>DB_MAIN = str(_PROJ_ROOT / "ai_material_library.db")</t>
        </is>
      </c>
    </row>
    <row r="152">
      <c r="A152" s="7" t="n">
        <v>149</v>
      </c>
      <c r="B152" s="8" t="inlineStr">
        <is>
          <t>DB_V3 = str(_PROJ_ROOT / "material_engine_v3" / "database" / "material_v3.db")</t>
        </is>
      </c>
    </row>
    <row r="153">
      <c r="A153" s="9" t="n">
        <v>150</v>
      </c>
      <c r="B153" s="10" t="inlineStr">
        <is>
          <t>DB_USAGE = str(_PROJ_ROOT / "material_usage.db")</t>
        </is>
      </c>
    </row>
    <row r="154">
      <c r="A154" s="7" t="n">
        <v>151</v>
      </c>
      <c r="B154" s="8" t="inlineStr">
        <is>
          <t>DB_TASK = str(_PROJ_ROOT / "task_log.db")</t>
        </is>
      </c>
    </row>
    <row r="155">
      <c r="A155" s="9" t="n">
        <v>152</v>
      </c>
      <c r="B155" s="10" t="inlineStr"/>
    </row>
    <row r="156">
      <c r="A156" s="7" t="n">
        <v>153</v>
      </c>
      <c r="B156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57">
      <c r="A157" s="9" t="n">
        <v>154</v>
      </c>
      <c r="B157" s="10" t="inlineStr">
        <is>
          <t># 视频规格</t>
        </is>
      </c>
    </row>
    <row r="158">
      <c r="A158" s="7" t="n">
        <v>155</v>
      </c>
      <c r="B158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>VIDEO_WIDTH = 1080</t>
        </is>
      </c>
    </row>
    <row r="161">
      <c r="A161" s="9" t="n">
        <v>158</v>
      </c>
      <c r="B161" s="10" t="inlineStr">
        <is>
          <t>VIDEO_HEIGHT = 1920</t>
        </is>
      </c>
    </row>
    <row r="162">
      <c r="A162" s="7" t="n">
        <v>159</v>
      </c>
      <c r="B162" s="8" t="inlineStr">
        <is>
          <t>TARGET_DURATION_MIN = 23</t>
        </is>
      </c>
    </row>
    <row r="163">
      <c r="A163" s="9" t="n">
        <v>160</v>
      </c>
      <c r="B163" s="10" t="inlineStr">
        <is>
          <t>TARGET_DURATION_MAX = 35</t>
        </is>
      </c>
    </row>
    <row r="164">
      <c r="A164" s="7" t="n">
        <v>161</v>
      </c>
      <c r="B164" s="8" t="inlineStr">
        <is>
          <t>CLIP_DURATION_MIN = 3.0</t>
        </is>
      </c>
    </row>
    <row r="165">
      <c r="A165" s="9" t="n">
        <v>162</v>
      </c>
      <c r="B165" s="10" t="inlineStr">
        <is>
          <t>CLIP_DURATION_MAX = 5.0</t>
        </is>
      </c>
    </row>
    <row r="166">
      <c r="A166" s="7" t="n">
        <v>163</v>
      </c>
      <c r="B166" s="8" t="inlineStr">
        <is>
          <t>NUM_CLIPS_MIN = 5</t>
        </is>
      </c>
    </row>
    <row r="167">
      <c r="A167" s="9" t="n">
        <v>164</v>
      </c>
      <c r="B167" s="10" t="inlineStr">
        <is>
          <t>NUM_CLIPS_MAX = 8</t>
        </is>
      </c>
    </row>
    <row r="168">
      <c r="A168" s="7" t="n">
        <v>165</v>
      </c>
      <c r="B168" s="8" t="inlineStr">
        <is>
          <t>FPS = 30</t>
        </is>
      </c>
    </row>
    <row r="169">
      <c r="A169" s="9" t="n">
        <v>166</v>
      </c>
      <c r="B169" s="10" t="inlineStr"/>
    </row>
    <row r="170">
      <c r="A170" s="7" t="n">
        <v>167</v>
      </c>
      <c r="B170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71">
      <c r="A171" s="9" t="n">
        <v>168</v>
      </c>
      <c r="B171" s="10" t="inlineStr">
        <is>
          <t># 音频参数</t>
        </is>
      </c>
    </row>
    <row r="172">
      <c r="A172" s="7" t="n">
        <v>169</v>
      </c>
      <c r="B17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73">
      <c r="A173" s="9" t="n">
        <v>170</v>
      </c>
      <c r="B173" s="10" t="inlineStr"/>
    </row>
    <row r="174">
      <c r="A174" s="7" t="n">
        <v>171</v>
      </c>
      <c r="B174" s="8" t="inlineStr">
        <is>
          <t>VIDEO_VOLUME = 0.0</t>
        </is>
      </c>
    </row>
    <row r="175">
      <c r="A175" s="9" t="n">
        <v>172</v>
      </c>
      <c r="B175" s="10" t="inlineStr">
        <is>
          <t>DEFAULT_BGM_DB = -8.0</t>
        </is>
      </c>
    </row>
    <row r="176">
      <c r="A176" s="7" t="n">
        <v>173</v>
      </c>
      <c r="B176" s="8" t="inlineStr">
        <is>
          <t>BGM_VOLUME = 10 ** (DEFAULT_BGM_DB / 20)</t>
        </is>
      </c>
    </row>
    <row r="177">
      <c r="A177" s="9" t="n">
        <v>174</v>
      </c>
      <c r="B177" s="10" t="inlineStr">
        <is>
          <t>BGM_FADE_IN = 0.05</t>
        </is>
      </c>
    </row>
    <row r="178">
      <c r="A178" s="7" t="n">
        <v>175</v>
      </c>
      <c r="B178" s="8" t="inlineStr">
        <is>
          <t>BGM_FADE_OUT = 0.8</t>
        </is>
      </c>
    </row>
    <row r="179">
      <c r="A179" s="9" t="n">
        <v>176</v>
      </c>
      <c r="B179" s="10" t="inlineStr">
        <is>
          <t>DEFAULT_VOICE_RATE = 1.1</t>
        </is>
      </c>
    </row>
    <row r="180">
      <c r="A180" s="7" t="n">
        <v>177</v>
      </c>
      <c r="B180" s="8" t="inlineStr">
        <is>
          <t>DEFAULT_VOICE_PITCH = 5</t>
        </is>
      </c>
    </row>
    <row r="181">
      <c r="A181" s="9" t="n">
        <v>178</v>
      </c>
      <c r="B181" s="10" t="inlineStr">
        <is>
          <t>TTS_VOLUME = 0.8</t>
        </is>
      </c>
    </row>
    <row r="182">
      <c r="A182" s="7" t="n">
        <v>179</v>
      </c>
      <c r="B182" s="8" t="inlineStr">
        <is>
          <t>TTS_VOICE = "zh-CN-XiaoyiNeural"</t>
        </is>
      </c>
    </row>
    <row r="183">
      <c r="A183" s="9" t="n">
        <v>180</v>
      </c>
      <c r="B183" s="10" t="inlineStr">
        <is>
          <t>TTS_VOICE_ALT = "zh-CN-YunxiNeural"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86">
      <c r="A186" s="7" t="n">
        <v>183</v>
      </c>
      <c r="B186" s="8" t="inlineStr">
        <is>
          <t># 字幕参数</t>
        </is>
      </c>
    </row>
    <row r="187">
      <c r="A187" s="9" t="n">
        <v>184</v>
      </c>
      <c r="B187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88">
      <c r="A188" s="7" t="n">
        <v>185</v>
      </c>
      <c r="B188" s="8" t="inlineStr"/>
    </row>
    <row r="189">
      <c r="A189" s="9" t="n">
        <v>186</v>
      </c>
      <c r="B189" s="10" t="inlineStr">
        <is>
          <t>SUBTITLE_FONT_SIZE = 9.0</t>
        </is>
      </c>
    </row>
    <row r="190">
      <c r="A190" s="7" t="n">
        <v>187</v>
      </c>
      <c r="B190" s="8" t="inlineStr">
        <is>
          <t>SUBTITLE_STROKE_WIDTH = 45.0</t>
        </is>
      </c>
    </row>
    <row r="191">
      <c r="A191" s="9" t="n">
        <v>188</v>
      </c>
      <c r="B191" s="10" t="inlineStr">
        <is>
          <t>SUBTITLE_BACKGROUND_ENABLED = False</t>
        </is>
      </c>
    </row>
    <row r="192">
      <c r="A192" s="7" t="n">
        <v>189</v>
      </c>
      <c r="B192" s="8" t="inlineStr">
        <is>
          <t>SUBTITLE_GAP_SEC = 0.10</t>
        </is>
      </c>
    </row>
    <row r="193">
      <c r="A193" s="9" t="n">
        <v>190</v>
      </c>
      <c r="B193" s="10" t="inlineStr">
        <is>
          <t>SUBTITLE_MAX_CHARS_PER_LINE = 22</t>
        </is>
      </c>
    </row>
    <row r="194">
      <c r="A194" s="7" t="n">
        <v>191</v>
      </c>
      <c r="B194" s="8" t="inlineStr">
        <is>
          <t>SUBTITLE_POSITION_Y = -0.75</t>
        </is>
      </c>
    </row>
    <row r="195">
      <c r="A195" s="9" t="n">
        <v>192</v>
      </c>
      <c r="B195" s="10" t="inlineStr"/>
    </row>
    <row r="196">
      <c r="A196" s="7" t="n">
        <v>193</v>
      </c>
      <c r="B196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97">
      <c r="A197" s="9" t="n">
        <v>194</v>
      </c>
      <c r="B197" s="10" t="inlineStr">
        <is>
          <t># 功能开关与策略参数</t>
        </is>
      </c>
    </row>
    <row r="198">
      <c r="A198" s="7" t="n">
        <v>195</v>
      </c>
      <c r="B198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99">
      <c r="A199" s="9" t="n">
        <v>196</v>
      </c>
      <c r="B199" s="10" t="inlineStr"/>
    </row>
    <row r="200">
      <c r="A200" s="7" t="n">
        <v>197</v>
      </c>
      <c r="B200" s="8" t="inlineStr">
        <is>
          <t>ENABLE_B_GROUP_MIX = True</t>
        </is>
      </c>
    </row>
    <row r="201">
      <c r="A201" s="9" t="n">
        <v>198</v>
      </c>
      <c r="B201" s="10" t="inlineStr">
        <is>
          <t>B_GROUP_RATIO = 0.3</t>
        </is>
      </c>
    </row>
    <row r="202">
      <c r="A202" s="7" t="n">
        <v>199</v>
      </c>
      <c r="B202" s="8" t="inlineStr">
        <is>
          <t>ENABLE_PERSON_FILTER = True</t>
        </is>
      </c>
    </row>
    <row r="203">
      <c r="A203" s="9" t="n">
        <v>200</v>
      </c>
      <c r="B203" s="10" t="inlineStr">
        <is>
          <t>PERSON_THRESHOLD = 0.8</t>
        </is>
      </c>
    </row>
    <row r="204">
      <c r="A204" s="7" t="n">
        <v>201</v>
      </c>
      <c r="B204" s="8" t="inlineStr">
        <is>
          <t>ENABLE_AUTO_TRIM_VIDEO = True</t>
        </is>
      </c>
    </row>
    <row r="205">
      <c r="A205" s="9" t="n">
        <v>202</v>
      </c>
      <c r="B205" s="10" t="inlineStr">
        <is>
          <t>FORCE_COMPLETE_SENTENCE = True</t>
        </is>
      </c>
    </row>
    <row r="206">
      <c r="A206" s="7" t="n">
        <v>203</v>
      </c>
      <c r="B206" s="8" t="inlineStr">
        <is>
          <t>DEFAULT_USE_CUSTOM_VOICE = True</t>
        </is>
      </c>
    </row>
    <row r="207">
      <c r="A207" s="9" t="n">
        <v>204</v>
      </c>
      <c r="B207" s="10" t="inlineStr">
        <is>
          <t>DEFAULT_EFFECTS_RATIO = 0.15</t>
        </is>
      </c>
    </row>
    <row r="208">
      <c r="A208" s="7" t="n">
        <v>205</v>
      </c>
      <c r="B208" s="8" t="inlineStr">
        <is>
          <t>HIGH_EFFECTS_RATIO = 0.35</t>
        </is>
      </c>
    </row>
    <row r="209">
      <c r="A209" s="9" t="n">
        <v>206</v>
      </c>
      <c r="B209" s="10" t="inlineStr">
        <is>
          <t>MIN_SELLING_POINTS = 3</t>
        </is>
      </c>
    </row>
    <row r="210">
      <c r="A210" s="7" t="n">
        <v>207</v>
      </c>
      <c r="B210" s="8" t="inlineStr">
        <is>
          <t>MAX_CLIPS_PER_POINT = 2</t>
        </is>
      </c>
    </row>
    <row r="211">
      <c r="A211" s="9" t="n">
        <v>208</v>
      </c>
      <c r="B211" s="10" t="inlineStr">
        <is>
          <t>GLOBAL_SHOW_RATIO = 0.3</t>
        </is>
      </c>
    </row>
    <row r="212">
      <c r="A212" s="7" t="n">
        <v>209</v>
      </c>
      <c r="B212" s="8" t="inlineStr">
        <is>
          <t>KEYWORD_POINT_RATIO = 0.4</t>
        </is>
      </c>
    </row>
    <row r="213">
      <c r="A213" s="9" t="n">
        <v>210</v>
      </c>
      <c r="B213" s="10" t="inlineStr">
        <is>
          <t>OTHER_POINTS_RATIO = 0.3</t>
        </is>
      </c>
    </row>
    <row r="214">
      <c r="A214" s="7" t="n">
        <v>211</v>
      </c>
      <c r="B214" s="8" t="inlineStr">
        <is>
          <t>GLOBAL_OPENING_SEC = 3.0</t>
        </is>
      </c>
    </row>
    <row r="215">
      <c r="A215" s="9" t="n">
        <v>212</v>
      </c>
      <c r="B215" s="10" t="inlineStr">
        <is>
          <t>GLOBAL_MIDDLE_SEC = 12.0</t>
        </is>
      </c>
    </row>
    <row r="216">
      <c r="A216" s="7" t="n">
        <v>213</v>
      </c>
      <c r="B216" s="8" t="inlineStr">
        <is>
          <t>GLOBAL_CLOSING_SEC_OFFSET = 6.0</t>
        </is>
      </c>
    </row>
    <row r="217">
      <c r="A217" s="9" t="n">
        <v>214</v>
      </c>
      <c r="B217" s="10" t="inlineStr">
        <is>
          <t>MAX_DURATION_ERROR = 0.1</t>
        </is>
      </c>
    </row>
    <row r="218">
      <c r="A218" s="7" t="n">
        <v>215</v>
      </c>
      <c r="B218" s="8" t="inlineStr">
        <is>
          <t>MIN_CTA_DURATION = 3.0</t>
        </is>
      </c>
    </row>
    <row r="219">
      <c r="A219" s="9" t="n">
        <v>216</v>
      </c>
      <c r="B219" s="10" t="inlineStr">
        <is>
          <t>MAX_SPEED_ADJUSTMENT = 1.05</t>
        </is>
      </c>
    </row>
    <row r="220">
      <c r="A220" s="7" t="n">
        <v>217</v>
      </c>
      <c r="B220" s="8" t="inlineStr">
        <is>
          <t>DEFAULT_COPY_DURATION = 28.0</t>
        </is>
      </c>
    </row>
    <row r="221">
      <c r="A221" s="9" t="n">
        <v>218</v>
      </c>
      <c r="B221" s="10" t="inlineStr">
        <is>
          <t>TRIM_FROM_END_ONLY = True</t>
        </is>
      </c>
    </row>
    <row r="222">
      <c r="A222" s="7" t="n">
        <v>219</v>
      </c>
      <c r="B222" s="8" t="inlineStr"/>
    </row>
    <row r="223">
      <c r="A223" s="9" t="n">
        <v>220</v>
      </c>
      <c r="B223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24">
      <c r="A224" s="7" t="n">
        <v>221</v>
      </c>
      <c r="B224" s="8" t="inlineStr">
        <is>
          <t># TTS 参数</t>
        </is>
      </c>
    </row>
    <row r="225">
      <c r="A225" s="9" t="n">
        <v>222</v>
      </c>
      <c r="B22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26">
      <c r="A226" s="7" t="n">
        <v>223</v>
      </c>
      <c r="B226" s="8" t="inlineStr"/>
    </row>
    <row r="227">
      <c r="A227" s="9" t="n">
        <v>224</v>
      </c>
      <c r="B227" s="10" t="inlineStr">
        <is>
          <t>TTS_MAX_RETRIES = 2</t>
        </is>
      </c>
    </row>
    <row r="228">
      <c r="A228" s="7" t="n">
        <v>225</v>
      </c>
      <c r="B228" s="8" t="inlineStr">
        <is>
          <t>TTS_CHARS_PER_SEC = 4.3</t>
        </is>
      </c>
    </row>
    <row r="229">
      <c r="A229" s="9" t="n">
        <v>226</v>
      </c>
      <c r="B229" s="10" t="inlineStr">
        <is>
          <t>CLEAN_PREFIX_SYMBOL = True</t>
        </is>
      </c>
    </row>
    <row r="230">
      <c r="A230" s="7" t="n">
        <v>227</v>
      </c>
      <c r="B230" s="8" t="inlineStr"/>
    </row>
    <row r="231">
      <c r="A231" s="9" t="n">
        <v>228</v>
      </c>
      <c r="B231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32">
      <c r="A232" s="7" t="n">
        <v>229</v>
      </c>
      <c r="B232" s="8" t="inlineStr">
        <is>
          <t># 文件路径</t>
        </is>
      </c>
    </row>
    <row r="233">
      <c r="A233" s="9" t="n">
        <v>230</v>
      </c>
      <c r="B233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34">
      <c r="A234" s="7" t="n">
        <v>231</v>
      </c>
      <c r="B234" s="8" t="inlineStr"/>
    </row>
    <row r="235">
      <c r="A235" s="9" t="n">
        <v>232</v>
      </c>
      <c r="B235" s="10" t="inlineStr">
        <is>
          <t>MATERIAL_CACHE_PATH = Path(OUTPUT_DRAFT_DIR).parent / "material_cache.json" if OUTPUT_DRAFT_DIR else None</t>
        </is>
      </c>
    </row>
    <row r="236">
      <c r="A236" s="7" t="n">
        <v>233</v>
      </c>
      <c r="B236" s="8" t="inlineStr">
        <is>
          <t>MATERIAL_USAGE_DB = Path(OUTPUT_DRAFT_DIR).parent / "material_usage.db" if OUTPUT_DRAFT_DIR else None</t>
        </is>
      </c>
    </row>
    <row r="237">
      <c r="A237" s="9" t="n">
        <v>234</v>
      </c>
      <c r="B237" s="10" t="inlineStr">
        <is>
          <t>BGM_LIBRARY_PATH = Path(OUTPUT_DRAFT_DIR).parent / "bgm_library.json" if OUTPUT_DRAFT_DIR else None</t>
        </is>
      </c>
    </row>
    <row r="238">
      <c r="A238" s="7" t="n">
        <v>235</v>
      </c>
      <c r="B238" s="8" t="inlineStr"/>
    </row>
    <row r="239">
      <c r="A239" s="9" t="n">
        <v>236</v>
      </c>
      <c r="B239" s="10" t="inlineStr">
        <is>
          <t># 保护词已由 _init_config_vars() 统一加载 (见文件顶部)</t>
        </is>
      </c>
    </row>
    <row r="240">
      <c r="A240" s="7" t="n">
        <v>237</v>
      </c>
      <c r="B240" s="8" t="inlineStr">
        <is>
          <t>PROTECTED_WORDS = _cfg["PROTECTED_WORDS"]</t>
        </is>
      </c>
    </row>
    <row r="241">
      <c r="A241" s="9" t="n">
        <v>238</v>
      </c>
      <c r="B241" s="10" t="inlineStr"/>
    </row>
    <row r="242">
      <c r="A242" s="7" t="n">
        <v>239</v>
      </c>
      <c r="B242" s="8" t="inlineStr">
        <is>
          <t># 全盘扫描配置 (v11.2)</t>
        </is>
      </c>
    </row>
    <row r="243">
      <c r="A243" s="9" t="n">
        <v>240</v>
      </c>
      <c r="B243" s="10" t="inlineStr">
        <is>
          <t>SCAN_FRAME_INTERVAL = _cfg["SCAN_FRAME_INTERVAL"]</t>
        </is>
      </c>
    </row>
    <row r="244">
      <c r="A244" s="7" t="n">
        <v>241</v>
      </c>
      <c r="B244" s="8" t="inlineStr">
        <is>
          <t>SCAN_AUTO_START = _cfg["SCAN_AUTO_START"]</t>
        </is>
      </c>
    </row>
    <row r="245">
      <c r="A245" s="9" t="n">
        <v>242</v>
      </c>
      <c r="B245" s="10" t="inlineStr">
        <is>
          <t>SCAN_MAX_VIDEO_SIZE_MB = _cfg["SCAN_MAX_VIDEO_SIZE_MB"]</t>
        </is>
      </c>
    </row>
    <row r="246">
      <c r="A246" s="7" t="n">
        <v>243</v>
      </c>
      <c r="B246" s="8" t="inlineStr">
        <is>
          <t>SCAN_MAX_WORKERS = _cfg["SCAN_MAX_WORKERS"]</t>
        </is>
      </c>
    </row>
    <row r="247">
      <c r="A247" s="9" t="n">
        <v>244</v>
      </c>
      <c r="B247" s="10" t="inlineStr">
        <is>
          <t>SCAN_BLACKLIST_DIRS = [</t>
        </is>
      </c>
    </row>
    <row r="248">
      <c r="A248" s="7" t="n">
        <v>245</v>
      </c>
      <c r="B248" s="8" t="inlineStr">
        <is>
          <t xml:space="preserve">    "Windows", "Program Files", "Program Files (x86)", "ProgramData",</t>
        </is>
      </c>
    </row>
    <row r="249">
      <c r="A249" s="9" t="n">
        <v>246</v>
      </c>
      <c r="B249" s="10" t="inlineStr">
        <is>
          <t xml:space="preserve">    "AppData", "System Volume Information", "$Recycle.Bin", "$RECYCLE.BIN",</t>
        </is>
      </c>
    </row>
    <row r="250">
      <c r="A250" s="7" t="n">
        <v>247</v>
      </c>
      <c r="B250" s="8" t="inlineStr">
        <is>
          <t>]</t>
        </is>
      </c>
    </row>
    <row r="251">
      <c r="A251" s="9" t="n">
        <v>248</v>
      </c>
      <c r="B251" s="10" t="inlineStr"/>
    </row>
    <row r="252">
      <c r="A252" s="7" t="n">
        <v>249</v>
      </c>
      <c r="B25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53">
      <c r="A253" s="9" t="n">
        <v>250</v>
      </c>
      <c r="B253" s="10" t="inlineStr">
        <is>
          <t># CTA模板</t>
        </is>
      </c>
    </row>
    <row r="254">
      <c r="A254" s="7" t="n">
        <v>251</v>
      </c>
      <c r="B254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55">
      <c r="A255" s="9" t="n">
        <v>252</v>
      </c>
      <c r="B255" s="10" t="inlineStr"/>
    </row>
    <row r="256">
      <c r="A256" s="7" t="n">
        <v>253</v>
      </c>
      <c r="B256" s="8" t="inlineStr">
        <is>
          <t>CTA_KEYWORDS = [</t>
        </is>
      </c>
    </row>
    <row r="257">
      <c r="A257" s="9" t="n">
        <v>254</v>
      </c>
      <c r="B257" s="10" t="inlineStr">
        <is>
          <t xml:space="preserve">    "评论区", "扣1", "私信", "关注", "点赞", "收藏",</t>
        </is>
      </c>
    </row>
    <row r="258">
      <c r="A258" s="7" t="n">
        <v>255</v>
      </c>
      <c r="B258" s="8" t="inlineStr">
        <is>
          <t xml:space="preserve">    "发你", "给你", "安排", "解锁", "分享", "测评",</t>
        </is>
      </c>
    </row>
    <row r="259">
      <c r="A259" s="9" t="n">
        <v>256</v>
      </c>
      <c r="B259" s="10" t="inlineStr">
        <is>
          <t xml:space="preserve">    "免费", "方案", "设计", "拿", "抄作业", "交流",</t>
        </is>
      </c>
    </row>
    <row r="260">
      <c r="A260" s="7" t="n">
        <v>257</v>
      </c>
      <c r="B260" s="8" t="inlineStr">
        <is>
          <t>]</t>
        </is>
      </c>
    </row>
    <row r="261">
      <c r="A261" s="9" t="n">
        <v>258</v>
      </c>
      <c r="B261" s="10" t="inlineStr"/>
    </row>
    <row r="262">
      <c r="A262" s="7" t="n">
        <v>259</v>
      </c>
      <c r="B262" s="8" t="inlineStr">
        <is>
          <t>CTA_TEMPLATES = [</t>
        </is>
      </c>
    </row>
    <row r="263">
      <c r="A263" s="9" t="n">
        <v>260</v>
      </c>
      <c r="B263" s="10" t="inlineStr">
        <is>
          <t xml:space="preserve">    "想要同款岛台的朋友,评论区扣1发你详细方案🔥",</t>
        </is>
      </c>
    </row>
    <row r="264">
      <c r="A264" s="7" t="n">
        <v>261</v>
      </c>
      <c r="B264" s="8" t="inlineStr">
        <is>
          <t xml:space="preserve">    "喜欢这种设计吗？点个关注每天分享更多案例✨",</t>
        </is>
      </c>
    </row>
    <row r="265">
      <c r="A265" s="9" t="n">
        <v>262</v>
      </c>
      <c r="B265" s="10" t="inlineStr">
        <is>
          <t xml:space="preserve">    "有任何问题私信我,免费给你设计专属岛台📩",</t>
        </is>
      </c>
    </row>
    <row r="266">
      <c r="A266" s="7" t="n">
        <v>263</v>
      </c>
      <c r="B266" s="8" t="inlineStr">
        <is>
          <t xml:space="preserve">    "心动了吗？评论区告诉我,我来安排专属方案💕",</t>
        </is>
      </c>
    </row>
    <row r="267">
      <c r="A267" s="9" t="n">
        <v>264</v>
      </c>
      <c r="B267" s="10" t="inlineStr">
        <is>
          <t xml:space="preserve">    "想抄作业的姐妹扣1,我把完整方案发给你！",</t>
        </is>
      </c>
    </row>
    <row r="268">
      <c r="A268" s="7" t="n">
        <v>265</v>
      </c>
      <c r="B268" s="8" t="inlineStr">
        <is>
          <t>]</t>
        </is>
      </c>
    </row>
    <row r="269">
      <c r="A269" s="9" t="n">
        <v>266</v>
      </c>
      <c r="B269" s="10" t="inlineStr"/>
    </row>
    <row r="270">
      <c r="A270" s="7" t="n">
        <v>267</v>
      </c>
      <c r="B270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71">
      <c r="A271" s="9" t="n">
        <v>268</v>
      </c>
      <c r="B271" s="10" t="inlineStr">
        <is>
          <t># 关键词-文件夹映射</t>
        </is>
      </c>
    </row>
    <row r="272">
      <c r="A272" s="7" t="n">
        <v>269</v>
      </c>
      <c r="B27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73">
      <c r="A273" s="9" t="n">
        <v>270</v>
      </c>
      <c r="B273" s="10" t="inlineStr"/>
    </row>
    <row r="274">
      <c r="A274" s="7" t="n">
        <v>271</v>
      </c>
      <c r="B274" s="8" t="inlineStr">
        <is>
          <t>KEYWORD_FOLDER_MAP = {</t>
        </is>
      </c>
    </row>
    <row r="275">
      <c r="A275" s="9" t="n">
        <v>272</v>
      </c>
      <c r="B275" s="10" t="inlineStr">
        <is>
          <t xml:space="preserve">    "意式中古风": ["中古风", "材质细节展示"],</t>
        </is>
      </c>
    </row>
    <row r="276">
      <c r="A276" s="7" t="n">
        <v>273</v>
      </c>
      <c r="B276" s="8" t="inlineStr">
        <is>
          <t xml:space="preserve">    "中古风": ["中古风", "材质细节展示"],</t>
        </is>
      </c>
    </row>
    <row r="277">
      <c r="A277" s="9" t="n">
        <v>274</v>
      </c>
      <c r="B277" s="10" t="inlineStr">
        <is>
          <t xml:space="preserve">    "包豪斯": ["中古风", "造型展示"],</t>
        </is>
      </c>
    </row>
    <row r="278">
      <c r="A278" s="7" t="n">
        <v>275</v>
      </c>
      <c r="B278" s="8" t="inlineStr">
        <is>
          <t xml:space="preserve">    "法式": ["颜色展示", "造型展示", "生活化展示"],</t>
        </is>
      </c>
    </row>
    <row r="279">
      <c r="A279" s="9" t="n">
        <v>276</v>
      </c>
      <c r="B279" s="10" t="inlineStr">
        <is>
          <t xml:space="preserve">    "奶油风": ["颜色展示", "造型展示"],</t>
        </is>
      </c>
    </row>
    <row r="280">
      <c r="A280" s="7" t="n">
        <v>277</v>
      </c>
      <c r="B280" s="8" t="inlineStr">
        <is>
          <t xml:space="preserve">    "极简风": ["造型展示", "颜色展示"],</t>
        </is>
      </c>
    </row>
    <row r="281">
      <c r="A281" s="9" t="n">
        <v>278</v>
      </c>
      <c r="B281" s="10" t="inlineStr">
        <is>
          <t xml:space="preserve">    "原木风": ["材质细节展示", "颜色展示"],</t>
        </is>
      </c>
    </row>
    <row r="282">
      <c r="A282" s="7" t="n">
        <v>279</v>
      </c>
      <c r="B282" s="8" t="inlineStr">
        <is>
          <t xml:space="preserve">    "轻奢风": ["颜色展示", "造型展示"],</t>
        </is>
      </c>
    </row>
    <row r="283">
      <c r="A283" s="9" t="n">
        <v>280</v>
      </c>
      <c r="B283" s="10" t="inlineStr">
        <is>
          <t xml:space="preserve">    "侘寂风": ["材质细节展示", "造型展示"],</t>
        </is>
      </c>
    </row>
    <row r="284">
      <c r="A284" s="7" t="n">
        <v>281</v>
      </c>
      <c r="B284" s="8" t="inlineStr">
        <is>
          <t xml:space="preserve">    "薄抽": ["上层薄抽", "下层抽屉"],</t>
        </is>
      </c>
    </row>
    <row r="285">
      <c r="A285" s="9" t="n">
        <v>282</v>
      </c>
      <c r="B285" s="10" t="inlineStr">
        <is>
          <t xml:space="preserve">    "抽屉": ["上层薄抽", "下层抽屉", "开放抽屉"],</t>
        </is>
      </c>
    </row>
    <row r="286">
      <c r="A286" s="7" t="n">
        <v>283</v>
      </c>
      <c r="B286" s="8" t="inlineStr">
        <is>
          <t xml:space="preserve">    "烤箱": ["内嵌烤箱", "内嵌电烤箱", "内嵌蒸烤一体"],</t>
        </is>
      </c>
    </row>
    <row r="287">
      <c r="A287" s="9" t="n">
        <v>284</v>
      </c>
      <c r="B287" s="10" t="inlineStr">
        <is>
          <t xml:space="preserve">    "蒸烤": ["内嵌蒸烤一体", "内嵌烤箱"],</t>
        </is>
      </c>
    </row>
    <row r="288">
      <c r="A288" s="7" t="n">
        <v>285</v>
      </c>
      <c r="B288" s="8" t="inlineStr">
        <is>
          <t xml:space="preserve">    "轨道插座": ["公牛轨道插座", "音标轨道插座", "UB克轨道插座"],</t>
        </is>
      </c>
    </row>
    <row r="289">
      <c r="A289" s="9" t="n">
        <v>286</v>
      </c>
      <c r="B289" s="10" t="inlineStr">
        <is>
          <t xml:space="preserve">    "插座": ["公牛轨道插座", "音标轨道插座"],</t>
        </is>
      </c>
    </row>
    <row r="290">
      <c r="A290" s="7" t="n">
        <v>287</v>
      </c>
      <c r="B290" s="8" t="inlineStr">
        <is>
          <t xml:space="preserve">    "水槽": ["内嵌水槽"],</t>
        </is>
      </c>
    </row>
    <row r="291">
      <c r="A291" s="9" t="n">
        <v>288</v>
      </c>
      <c r="B291" s="10" t="inlineStr">
        <is>
          <t xml:space="preserve">    "灯带": ["灯带"],</t>
        </is>
      </c>
    </row>
    <row r="292">
      <c r="A292" s="7" t="n">
        <v>289</v>
      </c>
      <c r="B292" s="8" t="inlineStr">
        <is>
          <t xml:space="preserve">    "收纳": ["上层薄抽", "下层抽屉", "单面柜储物", "对开间收纳"],</t>
        </is>
      </c>
    </row>
    <row r="293">
      <c r="A293" s="9" t="n">
        <v>290</v>
      </c>
      <c r="B293" s="10" t="inlineStr">
        <is>
          <t xml:space="preserve">    "伸缩": ["伸缩功能", "亚克力伸缩腿"],</t>
        </is>
      </c>
    </row>
    <row r="294">
      <c r="A294" s="7" t="n">
        <v>291</v>
      </c>
      <c r="B294" s="8" t="inlineStr">
        <is>
          <t xml:space="preserve">    "岩板": ["岩板台面耐造", "岩板内嵌设计", "岩板折边工艺"],</t>
        </is>
      </c>
    </row>
    <row r="295">
      <c r="A295" s="9" t="n">
        <v>292</v>
      </c>
      <c r="B295" s="10" t="inlineStr">
        <is>
          <t xml:space="preserve">    "餐桌": ["岛台餐桌一体", "伸缩餐桌", "吧台空间"],</t>
        </is>
      </c>
    </row>
    <row r="296">
      <c r="A296" s="7" t="n">
        <v>293</v>
      </c>
      <c r="B296" s="8" t="inlineStr">
        <is>
          <t xml:space="preserve">    "酒柜": ["内嵌酒柜"],</t>
        </is>
      </c>
    </row>
    <row r="297">
      <c r="A297" s="9" t="n">
        <v>294</v>
      </c>
      <c r="B297" s="10" t="inlineStr">
        <is>
          <t xml:space="preserve">    "冰箱": ["内嵌冰箱"],</t>
        </is>
      </c>
    </row>
    <row r="298">
      <c r="A298" s="7" t="n">
        <v>295</v>
      </c>
      <c r="B298" s="8" t="inlineStr">
        <is>
          <t xml:space="preserve">    "电磁炉": ["内嵌电磁炉"],</t>
        </is>
      </c>
    </row>
    <row r="299">
      <c r="A299" s="9" t="n">
        <v>296</v>
      </c>
      <c r="B299" s="10" t="inlineStr">
        <is>
          <t xml:space="preserve">    "烤炉": ["户外岛台烤炉"],</t>
        </is>
      </c>
    </row>
    <row r="300">
      <c r="A300" s="7" t="n">
        <v>297</v>
      </c>
      <c r="B300" s="8" t="inlineStr">
        <is>
          <t xml:space="preserve">    "拉篮": ["拉篮"],</t>
        </is>
      </c>
    </row>
    <row r="301">
      <c r="A301" s="9" t="n">
        <v>298</v>
      </c>
      <c r="B301" s="10" t="inlineStr">
        <is>
          <t xml:space="preserve">    "连纹": ["连纹"],</t>
        </is>
      </c>
    </row>
    <row r="302">
      <c r="A302" s="7" t="n">
        <v>299</v>
      </c>
      <c r="B302" s="8" t="inlineStr">
        <is>
          <t xml:space="preserve">    "圆弧": ["圆弧设计"],</t>
        </is>
      </c>
    </row>
    <row r="303">
      <c r="A303" s="9" t="n">
        <v>300</v>
      </c>
      <c r="B303" s="10" t="inlineStr">
        <is>
          <t xml:space="preserve">    "钢结构": ["钢结构"],</t>
        </is>
      </c>
    </row>
    <row r="304">
      <c r="A304" s="7" t="n">
        <v>301</v>
      </c>
      <c r="B304" s="8" t="inlineStr">
        <is>
          <t xml:space="preserve">    "海棠角": ["海棠角"],</t>
        </is>
      </c>
    </row>
    <row r="305">
      <c r="A305" s="9" t="n">
        <v>302</v>
      </c>
      <c r="B305" s="10" t="inlineStr">
        <is>
          <t xml:space="preserve">    "水磨边": ["水磨边设计"],</t>
        </is>
      </c>
    </row>
    <row r="306">
      <c r="A306" s="7" t="n">
        <v>303</v>
      </c>
      <c r="B306" s="8" t="inlineStr">
        <is>
          <t xml:space="preserve">    "腰线": ["镂空腰线设计"],</t>
        </is>
      </c>
    </row>
    <row r="307">
      <c r="A307" s="9" t="n">
        <v>304</v>
      </c>
      <c r="B307" s="10" t="inlineStr">
        <is>
          <t xml:space="preserve">    "吧台": ["吧台空间"],</t>
        </is>
      </c>
    </row>
    <row r="308">
      <c r="A308" s="7" t="n">
        <v>305</v>
      </c>
      <c r="B308" s="8" t="inlineStr">
        <is>
          <t xml:space="preserve">    "煮茶": ["煮茶器"],</t>
        </is>
      </c>
    </row>
    <row r="309">
      <c r="A309" s="9" t="n">
        <v>306</v>
      </c>
      <c r="B309" s="10" t="inlineStr">
        <is>
          <t>}</t>
        </is>
      </c>
    </row>
    <row r="310">
      <c r="A310" s="7" t="n">
        <v>307</v>
      </c>
      <c r="B310" s="8" t="inlineStr"/>
    </row>
    <row r="311">
      <c r="A311" s="9" t="n">
        <v>308</v>
      </c>
      <c r="B311" s="10" t="inlineStr">
        <is>
          <t># 通用效果素材文件夹</t>
        </is>
      </c>
    </row>
    <row r="312">
      <c r="A312" s="7" t="n">
        <v>309</v>
      </c>
      <c r="B312" s="8" t="inlineStr">
        <is>
          <t>GENERIC_EFFECTS_FOLDERS = [</t>
        </is>
      </c>
    </row>
    <row r="313">
      <c r="A313" s="9" t="n">
        <v>310</v>
      </c>
      <c r="B313" s="10" t="inlineStr">
        <is>
          <t xml:space="preserve">    "尺寸展示", "颜色展示", "造型展示", "生活化展示",</t>
        </is>
      </c>
    </row>
    <row r="314">
      <c r="A314" s="7" t="n">
        <v>311</v>
      </c>
      <c r="B314" s="8" t="inlineStr">
        <is>
          <t xml:space="preserve">    "空镜响指转场", "岛台餐桌一体",</t>
        </is>
      </c>
    </row>
    <row r="315">
      <c r="A315" s="9" t="n">
        <v>312</v>
      </c>
      <c r="B315" s="10" t="inlineStr">
        <is>
          <t>]</t>
        </is>
      </c>
    </row>
    <row r="316">
      <c r="A316" s="7" t="n">
        <v>313</v>
      </c>
      <c r="B316" s="8" t="inlineStr"/>
    </row>
    <row r="317">
      <c r="A317" s="9" t="n">
        <v>314</v>
      </c>
      <c r="B317" s="10" t="inlineStr">
        <is>
          <t># ═══════════════════════════════════════════════════════</t>
        </is>
      </c>
    </row>
    <row r="318">
      <c r="A318" s="7" t="n">
        <v>315</v>
      </c>
      <c r="B318" s="8" t="inlineStr">
        <is>
          <t># 素材质量评分配置</t>
        </is>
      </c>
    </row>
    <row r="319">
      <c r="A319" s="9" t="n">
        <v>316</v>
      </c>
      <c r="B319" s="10" t="inlineStr">
        <is>
          <t># ═══════════════════════════════════════════════════════</t>
        </is>
      </c>
    </row>
    <row r="320">
      <c r="A320" s="7" t="n">
        <v>317</v>
      </c>
      <c r="B320" s="8" t="inlineStr">
        <is>
          <t>ENABLE_QUALITY_FILTER = os.environ.get("TREECUT_ENABLE_QUALITY_FILTER", "True").lower() == "true"</t>
        </is>
      </c>
    </row>
    <row r="321">
      <c r="A321" s="9" t="n">
        <v>318</v>
      </c>
      <c r="B321" s="10" t="inlineStr">
        <is>
          <t>QUALITY_MIN_SCORE = _safe_env_float("TREECUT_QUALITY_MIN_SCORE", 0.3)</t>
        </is>
      </c>
    </row>
    <row r="322">
      <c r="A322" s="7" t="n">
        <v>319</v>
      </c>
      <c r="B322" s="8" t="inlineStr">
        <is>
          <t>ENABLE_DEDUPLICATION = os.environ.get("TREECUT_ENABLE_DEDUPLICATION", "True").lower() == "true"</t>
        </is>
      </c>
    </row>
    <row r="323">
      <c r="A323" s="9" t="n">
        <v>320</v>
      </c>
      <c r="B323" s="10" t="inlineStr">
        <is>
          <t>DEDUPLICATION_HAMMING_DIST = _safe_env_int("TREECUT_DEDUPLICATION_HAMMING_DIST", 5)</t>
        </is>
      </c>
    </row>
    <row r="324">
      <c r="A324" s="7" t="n">
        <v>321</v>
      </c>
      <c r="B324" s="8" t="inlineStr"/>
    </row>
    <row r="325">
      <c r="A325" s="9" t="n">
        <v>322</v>
      </c>
      <c r="B325" s="10" t="inlineStr">
        <is>
          <t># ── 视觉模型配置 ──</t>
        </is>
      </c>
    </row>
    <row r="326">
      <c r="A326" s="7" t="n">
        <v>323</v>
      </c>
      <c r="B326" s="8" t="inlineStr">
        <is>
          <t>TREECUT_VISION_MODEL = _cfg["TREECUT_VISION_MODEL"]</t>
        </is>
      </c>
    </row>
    <row r="327">
      <c r="A327" s="9" t="n">
        <v>324</v>
      </c>
      <c r="B327" s="10" t="inlineStr">
        <is>
          <t>TREECUT_ADVANCED_ANNOTATION = _cfg["TREECUT_ADVANCED_ANNOTATION"]</t>
        </is>
      </c>
    </row>
    <row r="328">
      <c r="A328" s="7" t="n">
        <v>325</v>
      </c>
      <c r="B328" s="8" t="inlineStr">
        <is>
          <t>TREECUT_VECTOR_BACKEND = _cfg["TREECUT_VECTOR_BACKEND"]</t>
        </is>
      </c>
    </row>
    <row r="329">
      <c r="A329" s="9" t="n">
        <v>326</v>
      </c>
      <c r="B329" s="10" t="inlineStr"/>
    </row>
    <row r="330">
      <c r="A330" s="7" t="n">
        <v>327</v>
      </c>
      <c r="B330" s="8" t="inlineStr">
        <is>
          <t># ── 默认值字典 (供 setup_wizard / .env 生成等引用，保持默认值单一来源) ──</t>
        </is>
      </c>
    </row>
    <row r="331">
      <c r="A331" s="9" t="n">
        <v>328</v>
      </c>
      <c r="B331" s="10" t="inlineStr">
        <is>
          <t>DEFAULTS = _cfg["DEFAULTS"]</t>
        </is>
      </c>
    </row>
    <row r="332">
      <c r="A332" s="7" t="n">
        <v>329</v>
      </c>
      <c r="B332" s="8" t="inlineStr"/>
    </row>
    <row r="333">
      <c r="A333" s="9" t="n">
        <v>330</v>
      </c>
      <c r="B333" s="10" t="inlineStr">
        <is>
          <t># ── 配置热重载 ──</t>
        </is>
      </c>
    </row>
    <row r="334">
      <c r="A334" s="7" t="n">
        <v>331</v>
      </c>
      <c r="B334" s="8" t="inlineStr"/>
    </row>
    <row r="335">
      <c r="A335" s="9" t="n">
        <v>332</v>
      </c>
      <c r="B335" s="10" t="inlineStr">
        <is>
          <t>_config_lock = __import__('threading').Lock()</t>
        </is>
      </c>
    </row>
    <row r="336">
      <c r="A336" s="7" t="n">
        <v>333</v>
      </c>
      <c r="B336" s="8" t="inlineStr"/>
    </row>
    <row r="337">
      <c r="A337" s="9" t="n">
        <v>334</v>
      </c>
      <c r="B337" s="10" t="inlineStr">
        <is>
          <t>def reload_config():</t>
        </is>
      </c>
    </row>
    <row r="338">
      <c r="A338" s="7" t="n">
        <v>335</v>
      </c>
      <c r="B338" s="8" t="inlineStr">
        <is>
          <t xml:space="preserve">    """热重载所有环境变量和运行时配置。设置页保存后调用。"""</t>
        </is>
      </c>
    </row>
    <row r="339">
      <c r="A339" s="9" t="n">
        <v>336</v>
      </c>
      <c r="B339" s="10" t="inlineStr">
        <is>
          <t xml:space="preserve">    import os as _os</t>
        </is>
      </c>
    </row>
    <row r="340">
      <c r="A340" s="7" t="n">
        <v>337</v>
      </c>
      <c r="B340" s="8" t="inlineStr">
        <is>
          <t xml:space="preserve">    from pathlib import Path as _Path</t>
        </is>
      </c>
    </row>
    <row r="341">
      <c r="A341" s="9" t="n">
        <v>338</v>
      </c>
      <c r="B341" s="10" t="inlineStr">
        <is>
          <t xml:space="preserve">    _proj = _Path(__file__).parent.parent</t>
        </is>
      </c>
    </row>
    <row r="342">
      <c r="A342" s="7" t="n">
        <v>339</v>
      </c>
      <c r="B342" s="8" t="inlineStr"/>
    </row>
    <row r="343">
      <c r="A343" s="9" t="n">
        <v>340</v>
      </c>
      <c r="B343" s="10" t="inlineStr">
        <is>
          <t xml:space="preserve">    cfg = _init_config_vars(_proj, _os, _Path)</t>
        </is>
      </c>
    </row>
    <row r="344">
      <c r="A344" s="7" t="n">
        <v>341</v>
      </c>
      <c r="B344" s="8" t="inlineStr"/>
    </row>
    <row r="345">
      <c r="A345" s="9" t="n">
        <v>342</v>
      </c>
      <c r="B345" s="10" t="inlineStr">
        <is>
          <t xml:space="preserve">    global SELLING_POINT_DIR, EFFECTS_DIR, B_GROUP_PATH, SCRIPT_FOLDER_PATH</t>
        </is>
      </c>
    </row>
    <row r="346">
      <c r="A346" s="7" t="n">
        <v>343</v>
      </c>
      <c r="B346" s="8" t="inlineStr">
        <is>
          <t xml:space="preserve">    global OUTPUT_DRAFT_DIR, OUTPUT_COPY_DIR, TTS_OUTPUT_DIR, BGM_PATH_PRIMARY, BGM_DIR</t>
        </is>
      </c>
    </row>
    <row r="347">
      <c r="A347" s="9" t="n">
        <v>344</v>
      </c>
      <c r="B347" s="10" t="inlineStr">
        <is>
          <t xml:space="preserve">    global CUSTOM_VOICE_MODEL_PATH, JIANGYING_DRAFT_DIR</t>
        </is>
      </c>
    </row>
    <row r="348">
      <c r="A348" s="7" t="n">
        <v>345</v>
      </c>
      <c r="B348" s="8" t="inlineStr">
        <is>
          <t xml:space="preserve">    global DEEPSEEK_API_KEY, DEEPSEEK_BASE_URL, DEEPSEEK_MODEL, PIXABAY_API_KEY</t>
        </is>
      </c>
    </row>
    <row r="349">
      <c r="A349" s="9" t="n">
        <v>346</v>
      </c>
      <c r="B349" s="10" t="inlineStr">
        <is>
          <t xml:space="preserve">    global TREECUT_WEB_PORT, TREECUT_WEB_TOKEN</t>
        </is>
      </c>
    </row>
    <row r="350">
      <c r="A350" s="7" t="n">
        <v>347</v>
      </c>
      <c r="B350" s="8" t="inlineStr">
        <is>
          <t xml:space="preserve">    global TREECUT_VISION_MODEL, TREECUT_ADVANCED_ANNOTATION, TREECUT_VECTOR_BACKEND</t>
        </is>
      </c>
    </row>
    <row r="351">
      <c r="A351" s="9" t="n">
        <v>348</v>
      </c>
      <c r="B351" s="10" t="inlineStr">
        <is>
          <t xml:space="preserve">    global PROTECTED_WORDS, DEFAULTS</t>
        </is>
      </c>
    </row>
    <row r="352">
      <c r="A352" s="7" t="n">
        <v>349</v>
      </c>
      <c r="B352" s="8" t="inlineStr">
        <is>
          <t xml:space="preserve">    global SCAN_FRAME_INTERVAL, SCAN_AUTO_START, SCAN_MAX_VIDEO_SIZE_MB, SCAN_MAX_WORKERS</t>
        </is>
      </c>
    </row>
    <row r="353">
      <c r="A353" s="9" t="n">
        <v>350</v>
      </c>
      <c r="B353" s="10" t="inlineStr"/>
    </row>
    <row r="354">
      <c r="A354" s="7" t="n">
        <v>351</v>
      </c>
      <c r="B354" s="8" t="inlineStr">
        <is>
          <t xml:space="preserve">    with _config_lock:</t>
        </is>
      </c>
    </row>
    <row r="355">
      <c r="A355" s="9" t="n">
        <v>352</v>
      </c>
      <c r="B355" s="10" t="inlineStr">
        <is>
          <t xml:space="preserve">        for k, v in cfg.items():</t>
        </is>
      </c>
    </row>
    <row r="356">
      <c r="A356" s="7" t="n">
        <v>353</v>
      </c>
      <c r="B356" s="8" t="inlineStr">
        <is>
          <t xml:space="preserve">            if k in globals():</t>
        </is>
      </c>
    </row>
    <row r="357">
      <c r="A357" s="9" t="n">
        <v>354</v>
      </c>
      <c r="B357" s="10" t="inlineStr">
        <is>
          <t xml:space="preserve">                globals()[k] = v</t>
        </is>
      </c>
    </row>
    <row r="358">
      <c r="A358" s="7" t="n">
        <v>355</v>
      </c>
      <c r="B358" s="8" t="inlineStr"/>
    </row>
    <row r="359">
      <c r="A359" s="9" t="n">
        <v>356</v>
      </c>
      <c r="B359" s="10" t="inlineStr">
        <is>
          <t xml:space="preserve">    # 重新加载 .env</t>
        </is>
      </c>
    </row>
    <row r="360">
      <c r="A360" s="7" t="n">
        <v>357</v>
      </c>
      <c r="B360" s="8" t="inlineStr">
        <is>
          <t xml:space="preserve">    try:</t>
        </is>
      </c>
    </row>
    <row r="361">
      <c r="A361" s="9" t="n">
        <v>358</v>
      </c>
      <c r="B361" s="10" t="inlineStr">
        <is>
          <t xml:space="preserve">        from dotenv import load_dotenv</t>
        </is>
      </c>
    </row>
    <row r="362">
      <c r="A362" s="7" t="n">
        <v>359</v>
      </c>
      <c r="B362" s="8" t="inlineStr">
        <is>
          <t xml:space="preserve">        load_dotenv(dotenv_path=_proj/".env", override=True)</t>
        </is>
      </c>
    </row>
    <row r="363">
      <c r="A363" s="9" t="n">
        <v>360</v>
      </c>
      <c r="B363" s="10" t="inlineStr">
        <is>
          <t xml:space="preserve">    except Exception as _e: from utils.logging import log_warning; log_warning('config', str(_e)[:80])</t>
        </is>
      </c>
    </row>
    <row r="364">
      <c r="A364" s="7" t="n">
        <v>361</v>
      </c>
      <c r="B364" s="8" t="inlineStr">
        <is>
          <t xml:space="preserve">    print("   🔄 配置已热重载")</t>
        </is>
      </c>
    </row>
    <row r="365">
      <c r="A365" s="9" t="n">
        <v>362</v>
      </c>
      <c r="B365" s="10" t="inlineStr"/>
    </row>
    <row r="366">
      <c r="A366" s="7" t="n">
        <v>363</v>
      </c>
      <c r="B366" s="8" t="inlineStr"/>
    </row>
    <row r="367">
      <c r="A367" s="9" t="n">
        <v>364</v>
      </c>
      <c r="B367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368">
      <c r="A368" s="7" t="n">
        <v>365</v>
      </c>
      <c r="B368" s="8" t="inlineStr">
        <is>
          <t># 动态模型信息 (供 UI 设置页使用)</t>
        </is>
      </c>
    </row>
    <row r="369">
      <c r="A369" s="9" t="n">
        <v>366</v>
      </c>
      <c r="B369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370">
      <c r="A370" s="7" t="n">
        <v>367</v>
      </c>
      <c r="B370" s="8" t="inlineStr"/>
    </row>
    <row r="371">
      <c r="A371" s="9" t="n">
        <v>368</v>
      </c>
      <c r="B371" s="10" t="inlineStr">
        <is>
          <t>def get_active_models_info() -&gt; List[Dict]:</t>
        </is>
      </c>
    </row>
    <row r="372">
      <c r="A372" s="7" t="n">
        <v>369</v>
      </c>
      <c r="B372" s="8" t="inlineStr">
        <is>
          <t xml:space="preserve">    """</t>
        </is>
      </c>
    </row>
    <row r="373">
      <c r="A373" s="9" t="n">
        <v>370</v>
      </c>
      <c r="B373" s="10" t="inlineStr">
        <is>
          <t xml:space="preserve">    动态获取当前实际活跃的模型列表。</t>
        </is>
      </c>
    </row>
    <row r="374">
      <c r="A374" s="7" t="n">
        <v>371</v>
      </c>
      <c r="B374" s="8" t="inlineStr">
        <is>
          <t xml:space="preserve">    返回每个模型的名字、类型、当前权重、是否启用。</t>
        </is>
      </c>
    </row>
    <row r="375">
      <c r="A375" s="9" t="n">
        <v>372</v>
      </c>
      <c r="B375" s="10" t="inlineStr"/>
    </row>
    <row r="376">
      <c r="A376" s="7" t="n">
        <v>373</v>
      </c>
      <c r="B376" s="8" t="inlineStr">
        <is>
          <t xml:space="preserve">    用法: from core.config import get_active_models_info</t>
        </is>
      </c>
    </row>
    <row r="377">
      <c r="A377" s="9" t="n">
        <v>374</v>
      </c>
      <c r="B377" s="10" t="inlineStr">
        <is>
          <t xml:space="preserve">          models = get_active_models_info()</t>
        </is>
      </c>
    </row>
    <row r="378">
      <c r="A378" s="7" t="n">
        <v>375</v>
      </c>
      <c r="B378" s="8" t="inlineStr">
        <is>
          <t xml:space="preserve">    """</t>
        </is>
      </c>
    </row>
    <row r="379">
      <c r="A379" s="9" t="n">
        <v>376</v>
      </c>
      <c r="B379" s="10" t="inlineStr">
        <is>
          <t xml:space="preserve">    models = []</t>
        </is>
      </c>
    </row>
    <row r="380">
      <c r="A380" s="7" t="n">
        <v>377</v>
      </c>
      <c r="B380" s="8" t="inlineStr"/>
    </row>
    <row r="381">
      <c r="A381" s="9" t="n">
        <v>378</v>
      </c>
      <c r="B381" s="10" t="inlineStr">
        <is>
          <t xml:space="preserve">    # ── 视觉模型 ──</t>
        </is>
      </c>
    </row>
    <row r="382">
      <c r="A382" s="7" t="n">
        <v>379</v>
      </c>
      <c r="B382" s="8" t="inlineStr">
        <is>
          <t xml:space="preserve">    try:</t>
        </is>
      </c>
    </row>
    <row r="383">
      <c r="A383" s="9" t="n">
        <v>380</v>
      </c>
      <c r="B383" s="10" t="inlineStr">
        <is>
          <t xml:space="preserve">        from core.vision_unified import get_vision_model</t>
        </is>
      </c>
    </row>
    <row r="384">
      <c r="A384" s="7" t="n">
        <v>381</v>
      </c>
      <c r="B384" s="8" t="inlineStr">
        <is>
          <t xml:space="preserve">        vm = get_vision_model()</t>
        </is>
      </c>
    </row>
    <row r="385">
      <c r="A385" s="9" t="n">
        <v>382</v>
      </c>
      <c r="B385" s="10" t="inlineStr">
        <is>
          <t xml:space="preserve">        model_name = getattr(vm, '_loaded', None) or getattr(vm, 'model_key', 'Qwen3-VL-4B')</t>
        </is>
      </c>
    </row>
    <row r="386">
      <c r="A386" s="7" t="n">
        <v>383</v>
      </c>
      <c r="B386" s="8" t="inlineStr">
        <is>
          <t xml:space="preserve">        models.append({</t>
        </is>
      </c>
    </row>
    <row r="387">
      <c r="A387" s="9" t="n">
        <v>384</v>
      </c>
      <c r="B387" s="10" t="inlineStr">
        <is>
          <t xml:space="preserve">            "name": str(model_name),</t>
        </is>
      </c>
    </row>
    <row r="388">
      <c r="A388" s="7" t="n">
        <v>385</v>
      </c>
      <c r="B388" s="8" t="inlineStr">
        <is>
          <t xml:space="preserve">            "type": "vision",</t>
        </is>
      </c>
    </row>
    <row r="389">
      <c r="A389" s="9" t="n">
        <v>386</v>
      </c>
      <c r="B389" s="10" t="inlineStr">
        <is>
          <t xml:space="preserve">            "weight": 0.40,</t>
        </is>
      </c>
    </row>
    <row r="390">
      <c r="A390" s="7" t="n">
        <v>387</v>
      </c>
      <c r="B390" s="8" t="inlineStr">
        <is>
          <t xml:space="preserve">            "enabled": vm.available if hasattr(vm, 'available') else True,</t>
        </is>
      </c>
    </row>
    <row r="391">
      <c r="A391" s="9" t="n">
        <v>388</v>
      </c>
      <c r="B391" s="10" t="inlineStr">
        <is>
          <t xml:space="preserve">            "description": "画面物体/材质/颜色/风格分析",</t>
        </is>
      </c>
    </row>
    <row r="392">
      <c r="A392" s="7" t="n">
        <v>389</v>
      </c>
      <c r="B392" s="8" t="inlineStr">
        <is>
          <t xml:space="preserve">        })</t>
        </is>
      </c>
    </row>
    <row r="393">
      <c r="A393" s="9" t="n">
        <v>390</v>
      </c>
      <c r="B393" s="10" t="inlineStr">
        <is>
          <t xml:space="preserve">    except Exception:</t>
        </is>
      </c>
    </row>
    <row r="394">
      <c r="A394" s="7" t="n">
        <v>391</v>
      </c>
      <c r="B394" s="8" t="inlineStr">
        <is>
          <t xml:space="preserve">        models.append({</t>
        </is>
      </c>
    </row>
    <row r="395">
      <c r="A395" s="9" t="n">
        <v>392</v>
      </c>
      <c r="B395" s="10" t="inlineStr">
        <is>
          <t xml:space="preserve">            "name": "Qwen3-VL-4B",</t>
        </is>
      </c>
    </row>
    <row r="396">
      <c r="A396" s="7" t="n">
        <v>393</v>
      </c>
      <c r="B396" s="8" t="inlineStr">
        <is>
          <t xml:space="preserve">            "type": "vision",</t>
        </is>
      </c>
    </row>
    <row r="397">
      <c r="A397" s="9" t="n">
        <v>394</v>
      </c>
      <c r="B397" s="10" t="inlineStr">
        <is>
          <t xml:space="preserve">            "weight": 0.40,</t>
        </is>
      </c>
    </row>
    <row r="398">
      <c r="A398" s="7" t="n">
        <v>395</v>
      </c>
      <c r="B398" s="8" t="inlineStr">
        <is>
          <t xml:space="preserve">            "enabled": False,</t>
        </is>
      </c>
    </row>
    <row r="399">
      <c r="A399" s="9" t="n">
        <v>396</v>
      </c>
      <c r="B399" s="10" t="inlineStr">
        <is>
          <t xml:space="preserve">            "description": "视觉模型未加载 — 请检查 models/Qwen3-VL-4B-Instruct-FP8/",</t>
        </is>
      </c>
    </row>
    <row r="400">
      <c r="A400" s="7" t="n">
        <v>397</v>
      </c>
      <c r="B400" s="8" t="inlineStr">
        <is>
          <t xml:space="preserve">        })</t>
        </is>
      </c>
    </row>
    <row r="401">
      <c r="A401" s="9" t="n">
        <v>398</v>
      </c>
      <c r="B401" s="10" t="inlineStr"/>
    </row>
    <row r="402">
      <c r="A402" s="7" t="n">
        <v>399</v>
      </c>
      <c r="B402" s="8" t="inlineStr">
        <is>
          <t xml:space="preserve">    # ── 情绪识别 ──</t>
        </is>
      </c>
    </row>
    <row r="403">
      <c r="A403" s="9" t="n">
        <v>400</v>
      </c>
      <c r="B403" s="10" t="inlineStr">
        <is>
          <t xml:space="preserve">    try:</t>
        </is>
      </c>
    </row>
    <row r="404">
      <c r="A404" s="7" t="n">
        <v>401</v>
      </c>
      <c r="B404" s="8" t="inlineStr">
        <is>
          <t xml:space="preserve">        from core.audio_models import SenseVoiceEngine</t>
        </is>
      </c>
    </row>
    <row r="405">
      <c r="A405" s="9" t="n">
        <v>402</v>
      </c>
      <c r="B405" s="10" t="inlineStr">
        <is>
          <t xml:space="preserve">        sv = SenseVoiceEngine()</t>
        </is>
      </c>
    </row>
    <row r="406">
      <c r="A406" s="7" t="n">
        <v>403</v>
      </c>
      <c r="B406" s="8" t="inlineStr">
        <is>
          <t xml:space="preserve">        models.append({</t>
        </is>
      </c>
    </row>
    <row r="407">
      <c r="A407" s="9" t="n">
        <v>404</v>
      </c>
      <c r="B407" s="10" t="inlineStr">
        <is>
          <t xml:space="preserve">            "name": "SenseVoice",</t>
        </is>
      </c>
    </row>
    <row r="408">
      <c r="A408" s="7" t="n">
        <v>405</v>
      </c>
      <c r="B408" s="8" t="inlineStr">
        <is>
          <t xml:space="preserve">            "type": "audio_emotion",</t>
        </is>
      </c>
    </row>
    <row r="409">
      <c r="A409" s="9" t="n">
        <v>406</v>
      </c>
      <c r="B409" s="10" t="inlineStr">
        <is>
          <t xml:space="preserve">            "weight": 0.15,</t>
        </is>
      </c>
    </row>
    <row r="410">
      <c r="A410" s="7" t="n">
        <v>407</v>
      </c>
      <c r="B410" s="8" t="inlineStr">
        <is>
          <t xml:space="preserve">            "enabled": sv.available,</t>
        </is>
      </c>
    </row>
    <row r="411">
      <c r="A411" s="9" t="n">
        <v>408</v>
      </c>
      <c r="B411" s="10" t="inlineStr">
        <is>
          <t xml:space="preserve">            "description": "7种情绪检测 + 6种事件识别 + 多语言ASR",</t>
        </is>
      </c>
    </row>
    <row r="412">
      <c r="A412" s="7" t="n">
        <v>409</v>
      </c>
      <c r="B412" s="8" t="inlineStr">
        <is>
          <t xml:space="preserve">        })</t>
        </is>
      </c>
    </row>
    <row r="413">
      <c r="A413" s="9" t="n">
        <v>410</v>
      </c>
      <c r="B413" s="10" t="inlineStr">
        <is>
          <t xml:space="preserve">    except Exception:</t>
        </is>
      </c>
    </row>
    <row r="414">
      <c r="A414" s="7" t="n">
        <v>411</v>
      </c>
      <c r="B414" s="8" t="inlineStr">
        <is>
          <t xml:space="preserve">        models.append({</t>
        </is>
      </c>
    </row>
    <row r="415">
      <c r="A415" s="9" t="n">
        <v>412</v>
      </c>
      <c r="B415" s="10" t="inlineStr">
        <is>
          <t xml:space="preserve">            "name": "SenseVoice",</t>
        </is>
      </c>
    </row>
    <row r="416">
      <c r="A416" s="7" t="n">
        <v>413</v>
      </c>
      <c r="B416" s="8" t="inlineStr">
        <is>
          <t xml:space="preserve">            "type": "audio_emotion",</t>
        </is>
      </c>
    </row>
    <row r="417">
      <c r="A417" s="9" t="n">
        <v>414</v>
      </c>
      <c r="B417" s="10" t="inlineStr">
        <is>
          <t xml:space="preserve">            "weight": 0.15,</t>
        </is>
      </c>
    </row>
    <row r="418">
      <c r="A418" s="7" t="n">
        <v>415</v>
      </c>
      <c r="B418" s="8" t="inlineStr">
        <is>
          <t xml:space="preserve">            "enabled": False,</t>
        </is>
      </c>
    </row>
    <row r="419">
      <c r="A419" s="9" t="n">
        <v>416</v>
      </c>
      <c r="B419" s="10" t="inlineStr">
        <is>
          <t xml:space="preserve">            "description": "情绪检测未加载 — pip install funasr",</t>
        </is>
      </c>
    </row>
    <row r="420">
      <c r="A420" s="7" t="n">
        <v>417</v>
      </c>
      <c r="B420" s="8" t="inlineStr">
        <is>
          <t xml:space="preserve">        })</t>
        </is>
      </c>
    </row>
    <row r="421">
      <c r="A421" s="9" t="n">
        <v>418</v>
      </c>
      <c r="B421" s="10" t="inlineStr"/>
    </row>
    <row r="422">
      <c r="A422" s="7" t="n">
        <v>419</v>
      </c>
      <c r="B422" s="8" t="inlineStr">
        <is>
          <t xml:space="preserve">    # ── 语音转写 ──</t>
        </is>
      </c>
    </row>
    <row r="423">
      <c r="A423" s="9" t="n">
        <v>420</v>
      </c>
      <c r="B423" s="10" t="inlineStr">
        <is>
          <t xml:space="preserve">    try:</t>
        </is>
      </c>
    </row>
    <row r="424">
      <c r="A424" s="7" t="n">
        <v>421</v>
      </c>
      <c r="B424" s="8" t="inlineStr">
        <is>
          <t xml:space="preserve">        from core.audio_models import WhisperModel</t>
        </is>
      </c>
    </row>
    <row r="425">
      <c r="A425" s="9" t="n">
        <v>422</v>
      </c>
      <c r="B425" s="10" t="inlineStr">
        <is>
          <t xml:space="preserve">        wm = WhisperModel()</t>
        </is>
      </c>
    </row>
    <row r="426">
      <c r="A426" s="7" t="n">
        <v>423</v>
      </c>
      <c r="B426" s="8" t="inlineStr">
        <is>
          <t xml:space="preserve">        wm._lazy_load()  # 触发实际加载以检测可用性</t>
        </is>
      </c>
    </row>
    <row r="427">
      <c r="A427" s="9" t="n">
        <v>424</v>
      </c>
      <c r="B427" s="10" t="inlineStr">
        <is>
          <t xml:space="preserve">        models.append({</t>
        </is>
      </c>
    </row>
    <row r="428">
      <c r="A428" s="7" t="n">
        <v>425</v>
      </c>
      <c r="B428" s="8" t="inlineStr">
        <is>
          <t xml:space="preserve">            "name": "Whisper",</t>
        </is>
      </c>
    </row>
    <row r="429">
      <c r="A429" s="9" t="n">
        <v>426</v>
      </c>
      <c r="B429" s="10" t="inlineStr">
        <is>
          <t xml:space="preserve">            "type": "audio_transcribe",</t>
        </is>
      </c>
    </row>
    <row r="430">
      <c r="A430" s="7" t="n">
        <v>427</v>
      </c>
      <c r="B430" s="8" t="inlineStr">
        <is>
          <t xml:space="preserve">            "weight": 0.15,</t>
        </is>
      </c>
    </row>
    <row r="431">
      <c r="A431" s="9" t="n">
        <v>428</v>
      </c>
      <c r="B431" s="10" t="inlineStr">
        <is>
          <t xml:space="preserve">            "enabled": wm.available,</t>
        </is>
      </c>
    </row>
    <row r="432">
      <c r="A432" s="7" t="n">
        <v>429</v>
      </c>
      <c r="B432" s="8" t="inlineStr">
        <is>
          <t xml:space="preserve">            "description": "语音转文字 (large-v3)",</t>
        </is>
      </c>
    </row>
    <row r="433">
      <c r="A433" s="9" t="n">
        <v>430</v>
      </c>
      <c r="B433" s="10" t="inlineStr">
        <is>
          <t xml:space="preserve">        })</t>
        </is>
      </c>
    </row>
    <row r="434">
      <c r="A434" s="7" t="n">
        <v>431</v>
      </c>
      <c r="B434" s="8" t="inlineStr">
        <is>
          <t xml:space="preserve">    except Exception:</t>
        </is>
      </c>
    </row>
    <row r="435">
      <c r="A435" s="9" t="n">
        <v>432</v>
      </c>
      <c r="B435" s="10" t="inlineStr">
        <is>
          <t xml:space="preserve">        models.append({</t>
        </is>
      </c>
    </row>
    <row r="436">
      <c r="A436" s="7" t="n">
        <v>433</v>
      </c>
      <c r="B436" s="8" t="inlineStr">
        <is>
          <t xml:space="preserve">            "name": "Whisper",</t>
        </is>
      </c>
    </row>
    <row r="437">
      <c r="A437" s="9" t="n">
        <v>434</v>
      </c>
      <c r="B437" s="10" t="inlineStr">
        <is>
          <t xml:space="preserve">            "type": "audio_transcribe",</t>
        </is>
      </c>
    </row>
    <row r="438">
      <c r="A438" s="7" t="n">
        <v>435</v>
      </c>
      <c r="B438" s="8" t="inlineStr">
        <is>
          <t xml:space="preserve">            "weight": 0.15,</t>
        </is>
      </c>
    </row>
    <row r="439">
      <c r="A439" s="9" t="n">
        <v>436</v>
      </c>
      <c r="B439" s="10" t="inlineStr">
        <is>
          <t xml:space="preserve">            "enabled": False,</t>
        </is>
      </c>
    </row>
    <row r="440">
      <c r="A440" s="7" t="n">
        <v>437</v>
      </c>
      <c r="B440" s="8" t="inlineStr">
        <is>
          <t xml:space="preserve">            "description": "转写未加载 — pip install faster-whisper",</t>
        </is>
      </c>
    </row>
    <row r="441">
      <c r="A441" s="9" t="n">
        <v>438</v>
      </c>
      <c r="B441" s="10" t="inlineStr">
        <is>
          <t xml:space="preserve">        })</t>
        </is>
      </c>
    </row>
    <row r="442">
      <c r="A442" s="7" t="n">
        <v>439</v>
      </c>
      <c r="B442" s="8" t="inlineStr"/>
    </row>
    <row r="443">
      <c r="A443" s="9" t="n">
        <v>440</v>
      </c>
      <c r="B443" s="10" t="inlineStr">
        <is>
          <t xml:space="preserve">    # ── 知识库 ──</t>
        </is>
      </c>
    </row>
    <row r="444">
      <c r="A444" s="7" t="n">
        <v>441</v>
      </c>
      <c r="B444" s="8" t="inlineStr">
        <is>
          <t xml:space="preserve">    try:</t>
        </is>
      </c>
    </row>
    <row r="445">
      <c r="A445" s="9" t="n">
        <v>442</v>
      </c>
      <c r="B445" s="10" t="inlineStr">
        <is>
          <t xml:space="preserve">        from utils.knowledge import get_bridge</t>
        </is>
      </c>
    </row>
    <row r="446">
      <c r="A446" s="7" t="n">
        <v>443</v>
      </c>
      <c r="B446" s="8" t="inlineStr">
        <is>
          <t xml:space="preserve">        kb = get_bridge()</t>
        </is>
      </c>
    </row>
    <row r="447">
      <c r="A447" s="9" t="n">
        <v>444</v>
      </c>
      <c r="B447" s="10" t="inlineStr">
        <is>
          <t xml:space="preserve">        models.append({</t>
        </is>
      </c>
    </row>
    <row r="448">
      <c r="A448" s="7" t="n">
        <v>445</v>
      </c>
      <c r="B448" s="8" t="inlineStr">
        <is>
          <t xml:space="preserve">            "name": "KnowledgeBridge",</t>
        </is>
      </c>
    </row>
    <row r="449">
      <c r="A449" s="9" t="n">
        <v>446</v>
      </c>
      <c r="B449" s="10" t="inlineStr">
        <is>
          <t xml:space="preserve">            "type": "knowledge",</t>
        </is>
      </c>
    </row>
    <row r="450">
      <c r="A450" s="7" t="n">
        <v>447</v>
      </c>
      <c r="B450" s="8" t="inlineStr">
        <is>
          <t xml:space="preserve">            "weight": 0.20,</t>
        </is>
      </c>
    </row>
    <row r="451">
      <c r="A451" s="9" t="n">
        <v>448</v>
      </c>
      <c r="B451" s="10" t="inlineStr">
        <is>
          <t xml:space="preserve">            "enabled": kb is not None,</t>
        </is>
      </c>
    </row>
    <row r="452">
      <c r="A452" s="7" t="n">
        <v>449</v>
      </c>
      <c r="B452" s="8" t="inlineStr">
        <is>
          <t xml:space="preserve">            "description": "300+行业术语知识库规则匹配",</t>
        </is>
      </c>
    </row>
    <row r="453">
      <c r="A453" s="9" t="n">
        <v>450</v>
      </c>
      <c r="B453" s="10" t="inlineStr">
        <is>
          <t xml:space="preserve">        })</t>
        </is>
      </c>
    </row>
    <row r="454">
      <c r="A454" s="7" t="n">
        <v>451</v>
      </c>
      <c r="B454" s="8" t="inlineStr">
        <is>
          <t xml:space="preserve">    except Exception:</t>
        </is>
      </c>
    </row>
    <row r="455">
      <c r="A455" s="9" t="n">
        <v>452</v>
      </c>
      <c r="B455" s="10" t="inlineStr">
        <is>
          <t xml:space="preserve">        models.append({</t>
        </is>
      </c>
    </row>
    <row r="456">
      <c r="A456" s="7" t="n">
        <v>453</v>
      </c>
      <c r="B456" s="8" t="inlineStr">
        <is>
          <t xml:space="preserve">            "name": "KnowledgeBridge",</t>
        </is>
      </c>
    </row>
    <row r="457">
      <c r="A457" s="9" t="n">
        <v>454</v>
      </c>
      <c r="B457" s="10" t="inlineStr">
        <is>
          <t xml:space="preserve">            "type": "knowledge",</t>
        </is>
      </c>
    </row>
    <row r="458">
      <c r="A458" s="7" t="n">
        <v>455</v>
      </c>
      <c r="B458" s="8" t="inlineStr">
        <is>
          <t xml:space="preserve">            "weight": 0.20,</t>
        </is>
      </c>
    </row>
    <row r="459">
      <c r="A459" s="9" t="n">
        <v>456</v>
      </c>
      <c r="B459" s="10" t="inlineStr">
        <is>
          <t xml:space="preserve">            "enabled": False,</t>
        </is>
      </c>
    </row>
    <row r="460">
      <c r="A460" s="7" t="n">
        <v>457</v>
      </c>
      <c r="B460" s="8" t="inlineStr">
        <is>
          <t xml:space="preserve">            "description": "知识库未加载",</t>
        </is>
      </c>
    </row>
    <row r="461">
      <c r="A461" s="9" t="n">
        <v>458</v>
      </c>
      <c r="B461" s="10" t="inlineStr">
        <is>
          <t xml:space="preserve">        })</t>
        </is>
      </c>
    </row>
    <row r="462">
      <c r="A462" s="7" t="n">
        <v>459</v>
      </c>
      <c r="B462" s="8" t="inlineStr"/>
    </row>
    <row r="463">
      <c r="A463" s="9" t="n">
        <v>460</v>
      </c>
      <c r="B463" s="10" t="inlineStr">
        <is>
          <t xml:space="preserve">    # ── 向量检索 ──</t>
        </is>
      </c>
    </row>
    <row r="464">
      <c r="A464" s="7" t="n">
        <v>461</v>
      </c>
      <c r="B464" s="8" t="inlineStr">
        <is>
          <t xml:space="preserve">    faiss_exists = False</t>
        </is>
      </c>
    </row>
    <row r="465">
      <c r="A465" s="9" t="n">
        <v>462</v>
      </c>
      <c r="B465" s="10" t="inlineStr">
        <is>
          <t xml:space="preserve">    try:</t>
        </is>
      </c>
    </row>
    <row r="466">
      <c r="A466" s="7" t="n">
        <v>463</v>
      </c>
      <c r="B466" s="8" t="inlineStr">
        <is>
          <t xml:space="preserve">        faiss_path = _PROJ_ROOT / "shipin" / "material_faiss.index"</t>
        </is>
      </c>
    </row>
    <row r="467">
      <c r="A467" s="9" t="n">
        <v>464</v>
      </c>
      <c r="B467" s="10" t="inlineStr">
        <is>
          <t xml:space="preserve">        faiss_exists = faiss_path.exists()</t>
        </is>
      </c>
    </row>
    <row r="468">
      <c r="A468" s="7" t="n">
        <v>465</v>
      </c>
      <c r="B468" s="8" t="inlineStr">
        <is>
          <t xml:space="preserve">    except Exception:</t>
        </is>
      </c>
    </row>
    <row r="469">
      <c r="A469" s="9" t="n">
        <v>466</v>
      </c>
      <c r="B469" s="10" t="inlineStr">
        <is>
          <t xml:space="preserve">        pass</t>
        </is>
      </c>
    </row>
    <row r="470">
      <c r="A470" s="7" t="n">
        <v>467</v>
      </c>
      <c r="B470" s="8" t="inlineStr">
        <is>
          <t xml:space="preserve">    models.append({</t>
        </is>
      </c>
    </row>
    <row r="471">
      <c r="A471" s="9" t="n">
        <v>468</v>
      </c>
      <c r="B471" s="10" t="inlineStr">
        <is>
          <t xml:space="preserve">        "name": "FAISS+BGE-M3",</t>
        </is>
      </c>
    </row>
    <row r="472">
      <c r="A472" s="7" t="n">
        <v>469</v>
      </c>
      <c r="B472" s="8" t="inlineStr">
        <is>
          <t xml:space="preserve">        "type": "retrieval",</t>
        </is>
      </c>
    </row>
    <row r="473">
      <c r="A473" s="9" t="n">
        <v>470</v>
      </c>
      <c r="B473" s="10" t="inlineStr">
        <is>
          <t xml:space="preserve">        "weight": 0.10,</t>
        </is>
      </c>
    </row>
    <row r="474">
      <c r="A474" s="7" t="n">
        <v>471</v>
      </c>
      <c r="B474" s="8" t="inlineStr">
        <is>
          <t xml:space="preserve">        "enabled": faiss_exists,</t>
        </is>
      </c>
    </row>
    <row r="475">
      <c r="A475" s="9" t="n">
        <v>472</v>
      </c>
      <c r="B475" s="10" t="inlineStr">
        <is>
          <t xml:space="preserve">        "description": "768维向量语义检索" if faiss_exists else f"索引缺失 — python force_rebuild_faiss.py",</t>
        </is>
      </c>
    </row>
    <row r="476">
      <c r="A476" s="7" t="n">
        <v>473</v>
      </c>
      <c r="B476" s="8" t="inlineStr">
        <is>
          <t xml:space="preserve">    })</t>
        </is>
      </c>
    </row>
    <row r="477">
      <c r="A477" s="9" t="n">
        <v>474</v>
      </c>
      <c r="B477" s="10" t="inlineStr"/>
    </row>
    <row r="478">
      <c r="A478" s="7" t="n">
        <v>475</v>
      </c>
      <c r="B478" s="8" t="inlineStr">
        <is>
          <t xml:space="preserve">    # ── 从 model_weights.json 加载已保存的权重 ──</t>
        </is>
      </c>
    </row>
    <row r="479">
      <c r="A479" s="9" t="n">
        <v>476</v>
      </c>
      <c r="B479" s="10" t="inlineStr">
        <is>
          <t xml:space="preserve">    weights_file = _PROJ_ROOT / "AI素材库" / "model_weights.json"</t>
        </is>
      </c>
    </row>
    <row r="480">
      <c r="A480" s="7" t="n">
        <v>477</v>
      </c>
      <c r="B480" s="8" t="inlineStr">
        <is>
          <t xml:space="preserve">    if weights_file.exists():</t>
        </is>
      </c>
    </row>
    <row r="481">
      <c r="A481" s="9" t="n">
        <v>478</v>
      </c>
      <c r="B481" s="10" t="inlineStr">
        <is>
          <t xml:space="preserve">        try:</t>
        </is>
      </c>
    </row>
    <row r="482">
      <c r="A482" s="7" t="n">
        <v>479</v>
      </c>
      <c r="B482" s="8" t="inlineStr">
        <is>
          <t xml:space="preserve">            saved = json.loads(weights_file.read_text(encoding="utf-8"))</t>
        </is>
      </c>
    </row>
    <row r="483">
      <c r="A483" s="9" t="n">
        <v>480</v>
      </c>
      <c r="B483" s="10" t="inlineStr">
        <is>
          <t xml:space="preserve">            saved_weights = saved.get("weights", {})</t>
        </is>
      </c>
    </row>
    <row r="484">
      <c r="A484" s="7" t="n">
        <v>481</v>
      </c>
      <c r="B484" s="8" t="inlineStr">
        <is>
          <t xml:space="preserve">            for m in models:</t>
        </is>
      </c>
    </row>
    <row r="485">
      <c r="A485" s="9" t="n">
        <v>482</v>
      </c>
      <c r="B485" s="10" t="inlineStr">
        <is>
          <t xml:space="preserve">                if m["name"] in saved_weights:</t>
        </is>
      </c>
    </row>
    <row r="486">
      <c r="A486" s="7" t="n">
        <v>483</v>
      </c>
      <c r="B486" s="8" t="inlineStr">
        <is>
          <t xml:space="preserve">                    m["weight"] = saved_weights[m["name"]]</t>
        </is>
      </c>
    </row>
    <row r="487">
      <c r="A487" s="9" t="n">
        <v>484</v>
      </c>
      <c r="B487" s="10" t="inlineStr">
        <is>
          <t xml:space="preserve">        except Exception:</t>
        </is>
      </c>
    </row>
    <row r="488">
      <c r="A488" s="7" t="n">
        <v>485</v>
      </c>
      <c r="B488" s="8" t="inlineStr">
        <is>
          <t xml:space="preserve">            pass</t>
        </is>
      </c>
    </row>
    <row r="489">
      <c r="A489" s="9" t="n">
        <v>486</v>
      </c>
      <c r="B489" s="10" t="inlineStr"/>
    </row>
    <row r="490">
      <c r="A490" s="7" t="n">
        <v>487</v>
      </c>
      <c r="B490" s="8" t="inlineStr">
        <is>
          <t xml:space="preserve">    return models</t>
        </is>
      </c>
    </row>
    <row r="491">
      <c r="A491" s="9" t="n">
        <v>488</v>
      </c>
      <c r="B491" s="10" t="inlineStr"/>
    </row>
    <row r="492">
      <c r="A492" s="7" t="n">
        <v>489</v>
      </c>
      <c r="B492" s="8" t="inlineStr"/>
    </row>
    <row r="493">
      <c r="A493" s="9" t="n">
        <v>490</v>
      </c>
      <c r="B493" s="10" t="inlineStr">
        <is>
          <t># 全局模型权重缓存 (由设置页保存后更新)</t>
        </is>
      </c>
    </row>
    <row r="494">
      <c r="A494" s="7" t="n">
        <v>491</v>
      </c>
      <c r="B494" s="8" t="inlineStr">
        <is>
          <t>MODEL_WEIGHTS = {</t>
        </is>
      </c>
    </row>
    <row r="495">
      <c r="A495" s="9" t="n">
        <v>492</v>
      </c>
      <c r="B495" s="10" t="inlineStr">
        <is>
          <t xml:space="preserve">    "vision": 0.40, "audio_emotion": 0.15, "audio_transcribe": 0.15,</t>
        </is>
      </c>
    </row>
    <row r="496">
      <c r="A496" s="7" t="n">
        <v>493</v>
      </c>
      <c r="B496" s="8" t="inlineStr">
        <is>
          <t xml:space="preserve">    "knowledge": 0.20, "retrieval": 0.10,</t>
        </is>
      </c>
    </row>
    <row r="497">
      <c r="A497" s="9" t="n">
        <v>494</v>
      </c>
      <c r="B497" s="10" t="inlineStr">
        <is>
          <t>}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core\config_loader.py</t>
        </is>
      </c>
      <c r="C1" s="5" t="inlineStr">
        <is>
          <t>行数: 13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配置加载器 - 全局配置单例，支持热重载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os</t>
        </is>
      </c>
    </row>
    <row r="8">
      <c r="A8" s="7" t="n">
        <v>5</v>
      </c>
      <c r="B8" s="8" t="inlineStr">
        <is>
          <t>import yaml</t>
        </is>
      </c>
    </row>
    <row r="9">
      <c r="A9" s="9" t="n">
        <v>6</v>
      </c>
      <c r="B9" s="10" t="inlineStr">
        <is>
          <t>CONFIG_PATH = "./config/system_config.yaml"</t>
        </is>
      </c>
    </row>
    <row r="10">
      <c r="A10" s="7" t="n">
        <v>7</v>
      </c>
      <c r="B10" s="8" t="inlineStr">
        <is>
          <t>with open(CONFIG_PATH, "r", encoding="utf-8") as f:</t>
        </is>
      </c>
    </row>
    <row r="11">
      <c r="A11" s="9" t="n">
        <v>8</v>
      </c>
      <c r="B11" s="10" t="inlineStr">
        <is>
          <t xml:space="preserve">    CONFIG = yaml.safe_load(f)</t>
        </is>
      </c>
    </row>
    <row r="12">
      <c r="A12" s="7" t="n">
        <v>9</v>
      </c>
      <c r="B12" s="8" t="inlineStr">
        <is>
          <t>def reload_config():</t>
        </is>
      </c>
    </row>
    <row r="13">
      <c r="A13" s="9" t="n">
        <v>10</v>
      </c>
      <c r="B13" s="10" t="inlineStr">
        <is>
          <t xml:space="preserve">    """热重载配置（命令行参数变更后调用）"""</t>
        </is>
      </c>
    </row>
    <row r="14">
      <c r="A14" s="7" t="n">
        <v>11</v>
      </c>
      <c r="B14" s="8" t="inlineStr">
        <is>
          <t xml:space="preserve">    global CONFIG</t>
        </is>
      </c>
    </row>
    <row r="15">
      <c r="A15" s="9" t="n">
        <v>12</v>
      </c>
      <c r="B15" s="10" t="inlineStr">
        <is>
          <t xml:space="preserve">    with open(CONFIG_PATH, "r", encoding="utf-8") as f:</t>
        </is>
      </c>
    </row>
    <row r="16">
      <c r="A16" s="7" t="n">
        <v>13</v>
      </c>
      <c r="B16" s="8" t="inlineStr">
        <is>
          <t xml:space="preserve">        CONFIG = yaml.safe_load(f)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core\config_v2.py</t>
        </is>
      </c>
      <c r="C1" s="5" t="inlineStr">
        <is>
          <t>行数: 247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v11.1 — 统一配置中心 (Config Singleton)</t>
        </is>
      </c>
    </row>
    <row r="6">
      <c r="A6" s="7" t="n">
        <v>3</v>
      </c>
      <c r="B6" s="8">
        <f>===============================================================</f>
        <v/>
      </c>
    </row>
    <row r="7">
      <c r="A7" s="9" t="n">
        <v>4</v>
      </c>
      <c r="B7" s="10" t="inlineStr">
        <is>
          <t>单一事实来源。所有配置通过 `config = Config()` 访问。</t>
        </is>
      </c>
    </row>
    <row r="8">
      <c r="A8" s="7" t="n">
        <v>5</v>
      </c>
      <c r="B8" s="8" t="inlineStr">
        <is>
          <t>支持热重载 (`reload()`) 和观察者模式 (`observe()`)。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用法:</t>
        </is>
      </c>
    </row>
    <row r="11">
      <c r="A11" s="9" t="n">
        <v>8</v>
      </c>
      <c r="B11" s="10" t="inlineStr">
        <is>
          <t xml:space="preserve">  from core.config_v2 import config</t>
        </is>
      </c>
    </row>
    <row r="12">
      <c r="A12" s="7" t="n">
        <v>9</v>
      </c>
      <c r="B12" s="8" t="inlineStr">
        <is>
          <t xml:space="preserve">  api_key = config.get("DEEPSEEK_API_KEY")</t>
        </is>
      </c>
    </row>
    <row r="13">
      <c r="A13" s="9" t="n">
        <v>10</v>
      </c>
      <c r="B13" s="10" t="inlineStr">
        <is>
          <t xml:space="preserve">  config.set("DEEPSEEK_API_KEY", "sk-new-key")  # 触发观察者通知</t>
        </is>
      </c>
    </row>
    <row r="14">
      <c r="A14" s="7" t="n">
        <v>11</v>
      </c>
      <c r="B14" s="8" t="inlineStr">
        <is>
          <t xml:space="preserve">  config.reload()  # 从 .env 重新加载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与旧 config.py 完全兼容 — Config 实例会读取旧模块的全局变量并保持同步。</t>
        </is>
      </c>
    </row>
    <row r="17">
      <c r="A17" s="9" t="n">
        <v>14</v>
      </c>
      <c r="B17" s="10" t="inlineStr">
        <is>
          <t>"""</t>
        </is>
      </c>
    </row>
    <row r="18">
      <c r="A18" s="7" t="n">
        <v>15</v>
      </c>
      <c r="B18" s="8" t="inlineStr">
        <is>
          <t>import os</t>
        </is>
      </c>
    </row>
    <row r="19">
      <c r="A19" s="9" t="n">
        <v>16</v>
      </c>
      <c r="B19" s="10" t="inlineStr">
        <is>
          <t>import json</t>
        </is>
      </c>
    </row>
    <row r="20">
      <c r="A20" s="7" t="n">
        <v>17</v>
      </c>
      <c r="B20" s="8" t="inlineStr">
        <is>
          <t>import threading</t>
        </is>
      </c>
    </row>
    <row r="21">
      <c r="A21" s="9" t="n">
        <v>18</v>
      </c>
      <c r="B21" s="10" t="inlineStr">
        <is>
          <t>from pathlib import Path</t>
        </is>
      </c>
    </row>
    <row r="22">
      <c r="A22" s="7" t="n">
        <v>19</v>
      </c>
      <c r="B22" s="8" t="inlineStr">
        <is>
          <t>from typing import Any, Callable, Dict, List, Optional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_PROJ_ROOT = Path(__file__).parent.parent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class Config:</t>
        </is>
      </c>
    </row>
    <row r="28">
      <c r="A28" s="7" t="n">
        <v>25</v>
      </c>
      <c r="B28" s="8" t="inlineStr">
        <is>
          <t xml:space="preserve">    """全局配置单例 — 线程安全，支持观察者热重载"""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 xml:space="preserve">    _instance: Optional["Config"] = None</t>
        </is>
      </c>
    </row>
    <row r="31">
      <c r="A31" s="9" t="n">
        <v>28</v>
      </c>
      <c r="B31" s="10" t="inlineStr">
        <is>
          <t xml:space="preserve">    _lock = threading.Lock()</t>
        </is>
      </c>
    </row>
    <row r="32">
      <c r="A32" s="7" t="n">
        <v>29</v>
      </c>
      <c r="B32" s="8" t="inlineStr">
        <is>
          <t xml:space="preserve">    _observers: List[Callable] = []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 xml:space="preserve">    def __new__(cls):</t>
        </is>
      </c>
    </row>
    <row r="35">
      <c r="A35" s="9" t="n">
        <v>32</v>
      </c>
      <c r="B35" s="10" t="inlineStr">
        <is>
          <t xml:space="preserve">        if cls._instance is None:</t>
        </is>
      </c>
    </row>
    <row r="36">
      <c r="A36" s="7" t="n">
        <v>33</v>
      </c>
      <c r="B36" s="8" t="inlineStr">
        <is>
          <t xml:space="preserve">            with cls._lock:</t>
        </is>
      </c>
    </row>
    <row r="37">
      <c r="A37" s="9" t="n">
        <v>34</v>
      </c>
      <c r="B37" s="10" t="inlineStr">
        <is>
          <t xml:space="preserve">                if cls._instance is None:</t>
        </is>
      </c>
    </row>
    <row r="38">
      <c r="A38" s="7" t="n">
        <v>35</v>
      </c>
      <c r="B38" s="8" t="inlineStr">
        <is>
          <t xml:space="preserve">                    cls._instance = super().__new__(cls)</t>
        </is>
      </c>
    </row>
    <row r="39">
      <c r="A39" s="9" t="n">
        <v>36</v>
      </c>
      <c r="B39" s="10" t="inlineStr">
        <is>
          <t xml:space="preserve">                    cls._instance._init()</t>
        </is>
      </c>
    </row>
    <row r="40">
      <c r="A40" s="7" t="n">
        <v>37</v>
      </c>
      <c r="B40" s="8" t="inlineStr">
        <is>
          <t xml:space="preserve">        return cls._instance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>
        <is>
          <t xml:space="preserve">    def _init(self):</t>
        </is>
      </c>
    </row>
    <row r="43">
      <c r="A43" s="9" t="n">
        <v>40</v>
      </c>
      <c r="B43" s="10" t="inlineStr">
        <is>
          <t xml:space="preserve">        self._data: Dict[str, Any] = {}</t>
        </is>
      </c>
    </row>
    <row r="44">
      <c r="A44" s="7" t="n">
        <v>41</v>
      </c>
      <c r="B44" s="8" t="inlineStr">
        <is>
          <t xml:space="preserve">        self._load_from_env()</t>
        </is>
      </c>
    </row>
    <row r="45">
      <c r="A45" s="9" t="n">
        <v>42</v>
      </c>
      <c r="B45" s="10" t="inlineStr">
        <is>
          <t xml:space="preserve">        self._load_protected_words()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 xml:space="preserve">    # ═══════════════════ 加载 ═══════════════════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 xml:space="preserve">    def _load_from_env(self):</t>
        </is>
      </c>
    </row>
    <row r="50">
      <c r="A50" s="7" t="n">
        <v>47</v>
      </c>
      <c r="B50" s="8" t="inlineStr">
        <is>
          <t xml:space="preserve">        """从 .env 和环境变量加载所有配置"""</t>
        </is>
      </c>
    </row>
    <row r="51">
      <c r="A51" s="9" t="n">
        <v>48</v>
      </c>
      <c r="B51" s="10" t="inlineStr">
        <is>
          <t xml:space="preserve">        # 尝试加载 .env</t>
        </is>
      </c>
    </row>
    <row r="52">
      <c r="A52" s="7" t="n">
        <v>49</v>
      </c>
      <c r="B52" s="8" t="inlineStr">
        <is>
          <t xml:space="preserve">        try:</t>
        </is>
      </c>
    </row>
    <row r="53">
      <c r="A53" s="9" t="n">
        <v>50</v>
      </c>
      <c r="B53" s="10" t="inlineStr">
        <is>
          <t xml:space="preserve">            from dotenv import load_dotenv</t>
        </is>
      </c>
    </row>
    <row r="54">
      <c r="A54" s="7" t="n">
        <v>51</v>
      </c>
      <c r="B54" s="8" t="inlineStr">
        <is>
          <t xml:space="preserve">            load_dotenv(dotenv_path=_PROJ_ROOT / ".env", override=True)</t>
        </is>
      </c>
    </row>
    <row r="55">
      <c r="A55" s="9" t="n">
        <v>52</v>
      </c>
      <c r="B55" s="10" t="inlineStr">
        <is>
          <t xml:space="preserve">        except ImportError:</t>
        </is>
      </c>
    </row>
    <row r="56">
      <c r="A56" s="7" t="n">
        <v>53</v>
      </c>
      <c r="B56" s="8" t="inlineStr">
        <is>
          <t xml:space="preserve">            pass</t>
        </is>
      </c>
    </row>
    <row r="57">
      <c r="A57" s="9" t="n">
        <v>54</v>
      </c>
      <c r="B57" s="10" t="inlineStr"/>
    </row>
    <row r="58">
      <c r="A58" s="7" t="n">
        <v>55</v>
      </c>
      <c r="B58" s="8" t="inlineStr">
        <is>
          <t xml:space="preserve">        _default_bgm_db = -8.0  # v12.0: 提取为变量，供 BGM_VOLUME 计算使用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    self._data.update({</t>
        </is>
      </c>
    </row>
    <row r="61">
      <c r="A61" s="9" t="n">
        <v>58</v>
      </c>
      <c r="B61" s="10" t="inlineStr">
        <is>
          <t xml:space="preserve">            # 路径</t>
        </is>
      </c>
    </row>
    <row r="62">
      <c r="A62" s="7" t="n">
        <v>59</v>
      </c>
      <c r="B62" s="8" t="inlineStr">
        <is>
          <t xml:space="preserve">            "PROJECT_ROOT": str(_PROJ_ROOT),</t>
        </is>
      </c>
    </row>
    <row r="63">
      <c r="A63" s="9" t="n">
        <v>60</v>
      </c>
      <c r="B63" s="10" t="inlineStr">
        <is>
          <t xml:space="preserve">            "SELLING_POINT_DIR": os.environ.get("TREECUT_SELLING_DIR", r"Z:\已处理素材\卖点展示类素材"),</t>
        </is>
      </c>
    </row>
    <row r="64">
      <c r="A64" s="7" t="n">
        <v>61</v>
      </c>
      <c r="B64" s="8" t="inlineStr">
        <is>
          <t xml:space="preserve">            "EFFECTS_DIR": os.environ.get("TREECUT_EFFECTS_DIR", r"Z:\已处理素材\效果展示类素材"),</t>
        </is>
      </c>
    </row>
    <row r="65">
      <c r="A65" s="9" t="n">
        <v>62</v>
      </c>
      <c r="B65" s="10" t="inlineStr">
        <is>
          <t xml:space="preserve">            "B_GROUP_PATH": os.environ.get("TREECUT_BGROUP_DIR", r"Z:\B组更新视频"),</t>
        </is>
      </c>
    </row>
    <row r="66">
      <c r="A66" s="7" t="n">
        <v>63</v>
      </c>
      <c r="B66" s="8" t="inlineStr">
        <is>
          <t xml:space="preserve">            "SCRIPT_FOLDER_PATH": os.environ.get("TREECUT_SCRIPT_DIR", r"Z:\视频脚本文件夹"),</t>
        </is>
      </c>
    </row>
    <row r="67">
      <c r="A67" s="9" t="n">
        <v>64</v>
      </c>
      <c r="B67" s="10" t="inlineStr">
        <is>
          <t xml:space="preserve">            "OUTPUT_DRAFT_DIR": os.environ.get("TREECUT_DRAFT_DIR", str(_PROJ_ROOT / "03_粗剪输出")),</t>
        </is>
      </c>
    </row>
    <row r="68">
      <c r="A68" s="7" t="n">
        <v>65</v>
      </c>
      <c r="B68" s="8" t="inlineStr">
        <is>
          <t xml:space="preserve">            "OUTPUT_COPY_DIR": os.environ.get("TREECUT_COPY_DIR", str(_PROJ_ROOT / "04_文案")),</t>
        </is>
      </c>
    </row>
    <row r="69">
      <c r="A69" s="9" t="n">
        <v>66</v>
      </c>
      <c r="B69" s="10" t="inlineStr">
        <is>
          <t xml:space="preserve">            "TTS_OUTPUT_DIR": os.environ.get("TREECUT_TTS_DIR", str(_PROJ_ROOT / "05_配音")),</t>
        </is>
      </c>
    </row>
    <row r="70">
      <c r="A70" s="7" t="n">
        <v>67</v>
      </c>
      <c r="B70" s="8" t="inlineStr">
        <is>
          <t xml:space="preserve">            "BGM_DIR": os.environ.get("TREECUT_BGM_DIR", str(_PROJ_ROOT / "02_BGM")),</t>
        </is>
      </c>
    </row>
    <row r="71">
      <c r="A71" s="9" t="n">
        <v>68</v>
      </c>
      <c r="B71" s="10" t="inlineStr">
        <is>
          <t xml:space="preserve">            "CUSTOM_VOICE_MODEL_PATH": os.environ.get("TREECUT_VOICE_DIR", str(_PROJ_ROOT / "custom_voice" / "model")),</t>
        </is>
      </c>
    </row>
    <row r="72">
      <c r="A72" s="7" t="n">
        <v>69</v>
      </c>
      <c r="B72" s="8" t="inlineStr">
        <is>
          <t xml:space="preserve">            "JIANGYING_DRAFT_DIR": os.path.join(os.environ.get("LOCALAPPDATA", ""),</t>
        </is>
      </c>
    </row>
    <row r="73">
      <c r="A73" s="9" t="n">
        <v>70</v>
      </c>
      <c r="B73" s="10" t="inlineStr">
        <is>
          <t xml:space="preserve">                                                 r"JianyingPro\User Data\Projects\com.lveditor.draft"),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        # API Keys</t>
        </is>
      </c>
    </row>
    <row r="76">
      <c r="A76" s="7" t="n">
        <v>73</v>
      </c>
      <c r="B76" s="8" t="inlineStr">
        <is>
          <t xml:space="preserve">            "DEEPSEEK_API_KEY": os.environ.get("DEEPSEEK_API_KEY", ""),</t>
        </is>
      </c>
    </row>
    <row r="77">
      <c r="A77" s="9" t="n">
        <v>74</v>
      </c>
      <c r="B77" s="10" t="inlineStr">
        <is>
          <t xml:space="preserve">            "DEEPSEEK_BASE_URL": "https://api.deepseek.com",</t>
        </is>
      </c>
    </row>
    <row r="78">
      <c r="A78" s="7" t="n">
        <v>75</v>
      </c>
      <c r="B78" s="8" t="inlineStr">
        <is>
          <t xml:space="preserve">            "DEEPSEEK_MODEL": "deepseek-chat",</t>
        </is>
      </c>
    </row>
    <row r="79">
      <c r="A79" s="9" t="n">
        <v>76</v>
      </c>
      <c r="B79" s="10" t="inlineStr">
        <is>
          <t xml:space="preserve">            "PIXABAY_API_KEY": os.environ.get("PIXABAY_API_KEY", ""),</t>
        </is>
      </c>
    </row>
    <row r="80">
      <c r="A80" s="7" t="n">
        <v>77</v>
      </c>
      <c r="B80" s="8" t="inlineStr">
        <is>
          <t xml:space="preserve">            "TREECUT_WEB_PORT": int(os.environ.get("TREECUT_WEB_PORT", "7860")),</t>
        </is>
      </c>
    </row>
    <row r="81">
      <c r="A81" s="9" t="n">
        <v>78</v>
      </c>
      <c r="B81" s="10" t="inlineStr">
        <is>
          <t xml:space="preserve">            "TREECUT_WEB_TOKEN": os.environ.get("TREECUT_WEB_TOKEN", ""),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>
        <is>
          <t xml:space="preserve">            # 数据库路径</t>
        </is>
      </c>
    </row>
    <row r="84">
      <c r="A84" s="7" t="n">
        <v>81</v>
      </c>
      <c r="B84" s="8" t="inlineStr">
        <is>
          <t xml:space="preserve">            "DB_MAIN": str(_PROJ_ROOT / "ai_material_library.db"),</t>
        </is>
      </c>
    </row>
    <row r="85">
      <c r="A85" s="9" t="n">
        <v>82</v>
      </c>
      <c r="B85" s="10" t="inlineStr">
        <is>
          <t xml:space="preserve">            "DB_V3": str(_PROJ_ROOT / "material_engine_v3" / "database" / "material_v3.db"),</t>
        </is>
      </c>
    </row>
    <row r="86">
      <c r="A86" s="7" t="n">
        <v>83</v>
      </c>
      <c r="B86" s="8" t="inlineStr">
        <is>
          <t xml:space="preserve">            "DB_USAGE": str(_PROJ_ROOT / "material_usage.db"),</t>
        </is>
      </c>
    </row>
    <row r="87">
      <c r="A87" s="9" t="n">
        <v>84</v>
      </c>
      <c r="B87" s="10" t="inlineStr">
        <is>
          <t xml:space="preserve">            "DB_TASK": str(_PROJ_ROOT / "task_log.db"),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 xml:space="preserve">            # 模型配置 (强制 — 无降级)</t>
        </is>
      </c>
    </row>
    <row r="90">
      <c r="A90" s="7" t="n">
        <v>87</v>
      </c>
      <c r="B90" s="8" t="inlineStr">
        <is>
          <t xml:space="preserve">            "VISION_MODEL": "qwen3-4b",</t>
        </is>
      </c>
    </row>
    <row r="91">
      <c r="A91" s="9" t="n">
        <v>88</v>
      </c>
      <c r="B91" s="10" t="inlineStr">
        <is>
          <t xml:space="preserve">            "VISION_MODEL_DIR": str(_PROJ_ROOT / "models" / "Qwen3-VL-4B-Instruct-FP8"),</t>
        </is>
      </c>
    </row>
    <row r="92">
      <c r="A92" s="7" t="n">
        <v>89</v>
      </c>
      <c r="B92" s="8" t="inlineStr">
        <is>
          <t xml:space="preserve">            "SENSEVOICE_MODEL_DIR": str(_PROJ_ROOT / "models" / "SenseVoiceSmall"),</t>
        </is>
      </c>
    </row>
    <row r="93">
      <c r="A93" s="9" t="n">
        <v>90</v>
      </c>
      <c r="B93" s="10" t="inlineStr">
        <is>
          <t xml:space="preserve">            "TREECUT_VISION_MODEL": os.environ.get("TREECUT_VISION_MODEL", "qwen3-4b"),</t>
        </is>
      </c>
    </row>
    <row r="94">
      <c r="A94" s="7" t="n">
        <v>91</v>
      </c>
      <c r="B94" s="8" t="inlineStr">
        <is>
          <t xml:space="preserve">            "TREECUT_ADVANCED_ANNOTATION": os.environ.get("TREECUT_ADVANCED_ANNOTATION", "true").lower() == "true",</t>
        </is>
      </c>
    </row>
    <row r="95">
      <c r="A95" s="9" t="n">
        <v>92</v>
      </c>
      <c r="B95" s="10" t="inlineStr">
        <is>
          <t xml:space="preserve">            "TREECUT_VECTOR_BACKEND": os.environ.get("TREECUT_VECTOR_BACKEND", "faiss"),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 xml:space="preserve">            # 视频参数</t>
        </is>
      </c>
    </row>
    <row r="98">
      <c r="A98" s="7" t="n">
        <v>95</v>
      </c>
      <c r="B98" s="8" t="inlineStr">
        <is>
          <t xml:space="preserve">            "VIDEO_WIDTH": 1080, "VIDEO_HEIGHT": 1920,</t>
        </is>
      </c>
    </row>
    <row r="99">
      <c r="A99" s="9" t="n">
        <v>96</v>
      </c>
      <c r="B99" s="10" t="inlineStr">
        <is>
          <t xml:space="preserve">            "TARGET_DURATION_MIN": 23, "TARGET_DURATION_MAX": 35,</t>
        </is>
      </c>
    </row>
    <row r="100">
      <c r="A100" s="7" t="n">
        <v>97</v>
      </c>
      <c r="B100" s="8" t="inlineStr">
        <is>
          <t xml:space="preserve">            "CLIP_DURATION_MIN": 3.0, "CLIP_DURATION_MAX": 5.0,</t>
        </is>
      </c>
    </row>
    <row r="101">
      <c r="A101" s="9" t="n">
        <v>98</v>
      </c>
      <c r="B101" s="10" t="inlineStr">
        <is>
          <t xml:space="preserve">            "NUM_CLIPS_MIN": 5, "NUM_CLIPS_MAX": 8,</t>
        </is>
      </c>
    </row>
    <row r="102">
      <c r="A102" s="7" t="n">
        <v>99</v>
      </c>
      <c r="B102" s="8" t="inlineStr">
        <is>
          <t xml:space="preserve">            "FPS": 30,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 xml:space="preserve">            # 音频参数</t>
        </is>
      </c>
    </row>
    <row r="105">
      <c r="A105" s="9" t="n">
        <v>102</v>
      </c>
      <c r="B105" s="10" t="inlineStr">
        <is>
          <t xml:space="preserve">            "VIDEO_VOLUME": 0.0, "DEFAULT_BGM_DB": _default_bgm_db,</t>
        </is>
      </c>
    </row>
    <row r="106">
      <c r="A106" s="7" t="n">
        <v>103</v>
      </c>
      <c r="B106" s="8" t="inlineStr">
        <is>
          <t xml:space="preserve">            # v12.0 修复: BGM_VOLUME 从 _default_bgm_db 计算，而非硬编码 -8.0</t>
        </is>
      </c>
    </row>
    <row r="107">
      <c r="A107" s="9" t="n">
        <v>104</v>
      </c>
      <c r="B107" s="10" t="inlineStr">
        <is>
          <t xml:space="preserve">            "BGM_VOLUME": 10 ** (_default_bgm_db / 20),</t>
        </is>
      </c>
    </row>
    <row r="108">
      <c r="A108" s="7" t="n">
        <v>105</v>
      </c>
      <c r="B108" s="8" t="inlineStr">
        <is>
          <t xml:space="preserve">            "BGM_FADE_IN": 0.05, "BGM_FADE_OUT": 0.8,</t>
        </is>
      </c>
    </row>
    <row r="109">
      <c r="A109" s="9" t="n">
        <v>106</v>
      </c>
      <c r="B109" s="10" t="inlineStr">
        <is>
          <t xml:space="preserve">            "DEFAULT_VOICE_RATE": 1.1, "DEFAULT_VOICE_PITCH": 5,</t>
        </is>
      </c>
    </row>
    <row r="110">
      <c r="A110" s="7" t="n">
        <v>107</v>
      </c>
      <c r="B110" s="8" t="inlineStr">
        <is>
          <t xml:space="preserve">            "TTS_VOLUME": 0.8,</t>
        </is>
      </c>
    </row>
    <row r="111">
      <c r="A111" s="9" t="n">
        <v>108</v>
      </c>
      <c r="B111" s="10" t="inlineStr">
        <is>
          <t xml:space="preserve">            "TTS_VOICE": "zh-CN-XiaoyiNeural",</t>
        </is>
      </c>
    </row>
    <row r="112">
      <c r="A112" s="7" t="n">
        <v>109</v>
      </c>
      <c r="B112" s="8" t="inlineStr">
        <is>
          <t xml:space="preserve">            "TTS_VOICE_ALT": "zh-CN-YunxiNeural",</t>
        </is>
      </c>
    </row>
    <row r="113">
      <c r="A113" s="9" t="n">
        <v>110</v>
      </c>
      <c r="B113" s="10" t="inlineStr">
        <is>
          <t xml:space="preserve">            "TTS_MAX_RETRIES": 2,</t>
        </is>
      </c>
    </row>
    <row r="114">
      <c r="A114" s="7" t="n">
        <v>111</v>
      </c>
      <c r="B114" s="8" t="inlineStr">
        <is>
          <t xml:space="preserve">            "TTS_CHARS_PER_SEC": 4.3,</t>
        </is>
      </c>
    </row>
    <row r="115">
      <c r="A115" s="9" t="n">
        <v>112</v>
      </c>
      <c r="B115" s="10" t="inlineStr">
        <is>
          <t xml:space="preserve">            "CLEAN_PREFIX_SYMBOL": True,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        # 字幕参数</t>
        </is>
      </c>
    </row>
    <row r="118">
      <c r="A118" s="7" t="n">
        <v>115</v>
      </c>
      <c r="B118" s="8" t="inlineStr">
        <is>
          <t xml:space="preserve">            "SUBTITLE_FONT_SIZE": 9.0,</t>
        </is>
      </c>
    </row>
    <row r="119">
      <c r="A119" s="9" t="n">
        <v>116</v>
      </c>
      <c r="B119" s="10" t="inlineStr">
        <is>
          <t xml:space="preserve">            "SUBTITLE_STROKE_WIDTH": 45.0,</t>
        </is>
      </c>
    </row>
    <row r="120">
      <c r="A120" s="7" t="n">
        <v>117</v>
      </c>
      <c r="B120" s="8" t="inlineStr">
        <is>
          <t xml:space="preserve">            "SUBTITLE_BACKGROUND_ENABLED": False,</t>
        </is>
      </c>
    </row>
    <row r="121">
      <c r="A121" s="9" t="n">
        <v>118</v>
      </c>
      <c r="B121" s="10" t="inlineStr">
        <is>
          <t xml:space="preserve">            "SUBTITLE_GAP_SEC": 0.10,</t>
        </is>
      </c>
    </row>
    <row r="122">
      <c r="A122" s="7" t="n">
        <v>119</v>
      </c>
      <c r="B122" s="8" t="inlineStr">
        <is>
          <t xml:space="preserve">            "SUBTITLE_MAX_CHARS_PER_LINE": 22,</t>
        </is>
      </c>
    </row>
    <row r="123">
      <c r="A123" s="9" t="n">
        <v>120</v>
      </c>
      <c r="B123" s="10" t="inlineStr">
        <is>
          <t xml:space="preserve">            "SUBTITLE_POSITION_Y": -0.75,</t>
        </is>
      </c>
    </row>
    <row r="124">
      <c r="A124" s="7" t="n">
        <v>121</v>
      </c>
      <c r="B124" s="8" t="inlineStr"/>
    </row>
    <row r="125">
      <c r="A125" s="9" t="n">
        <v>122</v>
      </c>
      <c r="B125" s="10" t="inlineStr">
        <is>
          <t xml:space="preserve">            # 功能开关与策略参数</t>
        </is>
      </c>
    </row>
    <row r="126">
      <c r="A126" s="7" t="n">
        <v>123</v>
      </c>
      <c r="B126" s="8" t="inlineStr">
        <is>
          <t xml:space="preserve">            "ENABLE_B_GROUP_MIX": True, "B_GROUP_RATIO": 0.3,</t>
        </is>
      </c>
    </row>
    <row r="127">
      <c r="A127" s="9" t="n">
        <v>124</v>
      </c>
      <c r="B127" s="10" t="inlineStr">
        <is>
          <t xml:space="preserve">            "ENABLE_PERSON_FILTER": True, "PERSON_THRESHOLD": 0.8,</t>
        </is>
      </c>
    </row>
    <row r="128">
      <c r="A128" s="7" t="n">
        <v>125</v>
      </c>
      <c r="B128" s="8" t="inlineStr">
        <is>
          <t xml:space="preserve">            "ENABLE_AUTO_TRIM_VIDEO": True, "FORCE_COMPLETE_SENTENCE": True,</t>
        </is>
      </c>
    </row>
    <row r="129">
      <c r="A129" s="9" t="n">
        <v>126</v>
      </c>
      <c r="B129" s="10" t="inlineStr">
        <is>
          <t xml:space="preserve">            "DEFAULT_USE_CUSTOM_VOICE": True, "DEFAULT_EFFECTS_RATIO": 0.15,</t>
        </is>
      </c>
    </row>
    <row r="130">
      <c r="A130" s="7" t="n">
        <v>127</v>
      </c>
      <c r="B130" s="8" t="inlineStr">
        <is>
          <t xml:space="preserve">            "HIGH_EFFECTS_RATIO": 0.35, "MIN_SELLING_POINTS": 3,</t>
        </is>
      </c>
    </row>
    <row r="131">
      <c r="A131" s="9" t="n">
        <v>128</v>
      </c>
      <c r="B131" s="10" t="inlineStr">
        <is>
          <t xml:space="preserve">            "MAX_CLIPS_PER_POINT": 2, "GLOBAL_SHOW_RATIO": 0.3,</t>
        </is>
      </c>
    </row>
    <row r="132">
      <c r="A132" s="7" t="n">
        <v>129</v>
      </c>
      <c r="B132" s="8" t="inlineStr">
        <is>
          <t xml:space="preserve">            "KEYWORD_POINT_RATIO": 0.4, "OTHER_POINTS_RATIO": 0.3,</t>
        </is>
      </c>
    </row>
    <row r="133">
      <c r="A133" s="9" t="n">
        <v>130</v>
      </c>
      <c r="B133" s="10" t="inlineStr">
        <is>
          <t xml:space="preserve">            "GLOBAL_OPENING_SEC": 3.0, "GLOBAL_MIDDLE_SEC": 12.0,</t>
        </is>
      </c>
    </row>
    <row r="134">
      <c r="A134" s="7" t="n">
        <v>131</v>
      </c>
      <c r="B134" s="8" t="inlineStr">
        <is>
          <t xml:space="preserve">            "GLOBAL_CLOSING_SEC_OFFSET": 6.0, "MAX_DURATION_ERROR": 0.1,</t>
        </is>
      </c>
    </row>
    <row r="135">
      <c r="A135" s="9" t="n">
        <v>132</v>
      </c>
      <c r="B135" s="10" t="inlineStr">
        <is>
          <t xml:space="preserve">            "MIN_CTA_DURATION": 3.0, "MAX_SPEED_ADJUSTMENT": 1.05,</t>
        </is>
      </c>
    </row>
    <row r="136">
      <c r="A136" s="7" t="n">
        <v>133</v>
      </c>
      <c r="B136" s="8" t="inlineStr">
        <is>
          <t xml:space="preserve">            "DEFAULT_COPY_DURATION": 28.0, "TRIM_FROM_END_ONLY": True,</t>
        </is>
      </c>
    </row>
    <row r="137">
      <c r="A137" s="9" t="n">
        <v>134</v>
      </c>
      <c r="B137" s="10" t="inlineStr"/>
    </row>
    <row r="138">
      <c r="A138" s="7" t="n">
        <v>135</v>
      </c>
      <c r="B138" s="8" t="inlineStr">
        <is>
          <t xml:space="preserve">            # 质量过滤</t>
        </is>
      </c>
    </row>
    <row r="139">
      <c r="A139" s="9" t="n">
        <v>136</v>
      </c>
      <c r="B139" s="10" t="inlineStr">
        <is>
          <t xml:space="preserve">            "ENABLE_QUALITY_FILTER": os.environ.get("TREECUT_ENABLE_QUALITY_FILTER", "True").lower() == "true",</t>
        </is>
      </c>
    </row>
    <row r="140">
      <c r="A140" s="7" t="n">
        <v>137</v>
      </c>
      <c r="B140" s="8" t="inlineStr">
        <is>
          <t xml:space="preserve">            "QUALITY_MIN_SCORE": float(os.environ.get("TREECUT_QUALITY_MIN_SCORE", "0.3")),</t>
        </is>
      </c>
    </row>
    <row r="141">
      <c r="A141" s="9" t="n">
        <v>138</v>
      </c>
      <c r="B141" s="10" t="inlineStr">
        <is>
          <t xml:space="preserve">            "ENABLE_DEDUPLICATION": os.environ.get("TREECUT_ENABLE_DEDUPLICATION", "True").lower() == "true",</t>
        </is>
      </c>
    </row>
    <row r="142">
      <c r="A142" s="7" t="n">
        <v>139</v>
      </c>
      <c r="B142" s="8" t="inlineStr">
        <is>
          <t xml:space="preserve">            "DEDUPLICATION_HAMMING_DIST": int(os.environ.get("TREECUT_DEDUPLICATION_HAMMING_DIST", "5")),</t>
        </is>
      </c>
    </row>
    <row r="143">
      <c r="A143" s="9" t="n">
        <v>140</v>
      </c>
      <c r="B143" s="10" t="inlineStr"/>
    </row>
    <row r="144">
      <c r="A144" s="7" t="n">
        <v>141</v>
      </c>
      <c r="B144" s="8" t="inlineStr">
        <is>
          <t xml:space="preserve">            # CTA 模板</t>
        </is>
      </c>
    </row>
    <row r="145">
      <c r="A145" s="9" t="n">
        <v>142</v>
      </c>
      <c r="B145" s="10" t="inlineStr">
        <is>
          <t xml:space="preserve">            "CTA_KEYWORDS": [</t>
        </is>
      </c>
    </row>
    <row r="146">
      <c r="A146" s="7" t="n">
        <v>143</v>
      </c>
      <c r="B146" s="8" t="inlineStr">
        <is>
          <t xml:space="preserve">                "评论区", "扣1", "私信", "关注", "点赞", "收藏",</t>
        </is>
      </c>
    </row>
    <row r="147">
      <c r="A147" s="9" t="n">
        <v>144</v>
      </c>
      <c r="B147" s="10" t="inlineStr">
        <is>
          <t xml:space="preserve">                "发你", "给你", "安排", "解锁", "分享", "测评",</t>
        </is>
      </c>
    </row>
    <row r="148">
      <c r="A148" s="7" t="n">
        <v>145</v>
      </c>
      <c r="B148" s="8" t="inlineStr">
        <is>
          <t xml:space="preserve">                "免费", "方案", "设计", "拿", "抄作业", "交流",</t>
        </is>
      </c>
    </row>
    <row r="149">
      <c r="A149" s="9" t="n">
        <v>146</v>
      </c>
      <c r="B149" s="10" t="inlineStr">
        <is>
          <t xml:space="preserve">            ],</t>
        </is>
      </c>
    </row>
    <row r="150">
      <c r="A150" s="7" t="n">
        <v>147</v>
      </c>
      <c r="B150" s="8" t="inlineStr">
        <is>
          <t xml:space="preserve">            "CTA_TEMPLATES": [</t>
        </is>
      </c>
    </row>
    <row r="151">
      <c r="A151" s="9" t="n">
        <v>148</v>
      </c>
      <c r="B151" s="10" t="inlineStr">
        <is>
          <t xml:space="preserve">                "想要同款岛台的朋友,评论区扣1发你详细方案🔥",</t>
        </is>
      </c>
    </row>
    <row r="152">
      <c r="A152" s="7" t="n">
        <v>149</v>
      </c>
      <c r="B152" s="8" t="inlineStr">
        <is>
          <t xml:space="preserve">                "喜欢这种设计吗？点个关注每天分享更多案例✨",</t>
        </is>
      </c>
    </row>
    <row r="153">
      <c r="A153" s="9" t="n">
        <v>150</v>
      </c>
      <c r="B153" s="10" t="inlineStr">
        <is>
          <t xml:space="preserve">                "有任何问题私信我,免费给你设计专属岛台📩",</t>
        </is>
      </c>
    </row>
    <row r="154">
      <c r="A154" s="7" t="n">
        <v>151</v>
      </c>
      <c r="B154" s="8" t="inlineStr">
        <is>
          <t xml:space="preserve">                "心动了吗？评论区告诉我,我来安排专属方案💕",</t>
        </is>
      </c>
    </row>
    <row r="155">
      <c r="A155" s="9" t="n">
        <v>152</v>
      </c>
      <c r="B155" s="10" t="inlineStr">
        <is>
          <t xml:space="preserve">                "想抄作业的姐妹扣1,我把完整方案发给你！",</t>
        </is>
      </c>
    </row>
    <row r="156">
      <c r="A156" s="7" t="n">
        <v>153</v>
      </c>
      <c r="B156" s="8" t="inlineStr">
        <is>
          <t xml:space="preserve">            ],</t>
        </is>
      </c>
    </row>
    <row r="157">
      <c r="A157" s="9" t="n">
        <v>154</v>
      </c>
      <c r="B157" s="10" t="inlineStr"/>
    </row>
    <row r="158">
      <c r="A158" s="7" t="n">
        <v>155</v>
      </c>
      <c r="B158" s="8" t="inlineStr">
        <is>
          <t xml:space="preserve">            # 文件路径</t>
        </is>
      </c>
    </row>
    <row r="159">
      <c r="A159" s="9" t="n">
        <v>156</v>
      </c>
      <c r="B159" s="10" t="inlineStr">
        <is>
          <t xml:space="preserve">            "MATERIAL_CACHE_PATH": str(_PROJ_ROOT / "material_cache.json"),</t>
        </is>
      </c>
    </row>
    <row r="160">
      <c r="A160" s="7" t="n">
        <v>157</v>
      </c>
      <c r="B160" s="8" t="inlineStr">
        <is>
          <t xml:space="preserve">            "MATERIAL_USAGE_DB": str(_PROJ_ROOT / "material_usage.db"),</t>
        </is>
      </c>
    </row>
    <row r="161">
      <c r="A161" s="9" t="n">
        <v>158</v>
      </c>
      <c r="B161" s="10" t="inlineStr">
        <is>
          <t xml:space="preserve">            "BGM_LIBRARY_PATH": str(_PROJ_ROOT / "bgm_library.json"),</t>
        </is>
      </c>
    </row>
    <row r="162">
      <c r="A162" s="7" t="n">
        <v>159</v>
      </c>
      <c r="B162" s="8" t="inlineStr">
        <is>
          <t xml:space="preserve">            "BGM_DIR_FALLBACK": str(_PROJ_ROOT / "02_BGM"),</t>
        </is>
      </c>
    </row>
    <row r="163">
      <c r="A163" s="9" t="n">
        <v>160</v>
      </c>
      <c r="B163" s="10" t="inlineStr"/>
    </row>
    <row r="164">
      <c r="A164" s="7" t="n">
        <v>161</v>
      </c>
      <c r="B164" s="8" t="inlineStr">
        <is>
          <t xml:space="preserve">            # 模型权重 (默认)</t>
        </is>
      </c>
    </row>
    <row r="165">
      <c r="A165" s="9" t="n">
        <v>162</v>
      </c>
      <c r="B165" s="10" t="inlineStr">
        <is>
          <t xml:space="preserve">            "MODEL_WEIGHTS": {</t>
        </is>
      </c>
    </row>
    <row r="166">
      <c r="A166" s="7" t="n">
        <v>163</v>
      </c>
      <c r="B166" s="8" t="inlineStr">
        <is>
          <t xml:space="preserve">                "vision": 0.40, "audio_emotion": 0.15, "audio_transcribe": 0.15,</t>
        </is>
      </c>
    </row>
    <row r="167">
      <c r="A167" s="9" t="n">
        <v>164</v>
      </c>
      <c r="B167" s="10" t="inlineStr">
        <is>
          <t xml:space="preserve">                "knowledge": 0.20, "retrieval": 0.10,</t>
        </is>
      </c>
    </row>
    <row r="168">
      <c r="A168" s="7" t="n">
        <v>165</v>
      </c>
      <c r="B168" s="8" t="inlineStr">
        <is>
          <t xml:space="preserve">            },</t>
        </is>
      </c>
    </row>
    <row r="169">
      <c r="A169" s="9" t="n">
        <v>166</v>
      </c>
      <c r="B169" s="10" t="inlineStr">
        <is>
          <t xml:space="preserve">        })</t>
        </is>
      </c>
    </row>
    <row r="170">
      <c r="A170" s="7" t="n">
        <v>167</v>
      </c>
      <c r="B170" s="8" t="inlineStr"/>
    </row>
    <row r="171">
      <c r="A171" s="9" t="n">
        <v>168</v>
      </c>
      <c r="B171" s="10" t="inlineStr">
        <is>
          <t xml:space="preserve">        # 加载已保存的权重</t>
        </is>
      </c>
    </row>
    <row r="172">
      <c r="A172" s="7" t="n">
        <v>169</v>
      </c>
      <c r="B172" s="8" t="inlineStr">
        <is>
          <t xml:space="preserve">        weights_file = _PROJ_ROOT / "AI素材库" / "model_weights.json"</t>
        </is>
      </c>
    </row>
    <row r="173">
      <c r="A173" s="9" t="n">
        <v>170</v>
      </c>
      <c r="B173" s="10" t="inlineStr">
        <is>
          <t xml:space="preserve">        if weights_file.exists():</t>
        </is>
      </c>
    </row>
    <row r="174">
      <c r="A174" s="7" t="n">
        <v>171</v>
      </c>
      <c r="B174" s="8" t="inlineStr">
        <is>
          <t xml:space="preserve">            try:</t>
        </is>
      </c>
    </row>
    <row r="175">
      <c r="A175" s="9" t="n">
        <v>172</v>
      </c>
      <c r="B175" s="10" t="inlineStr">
        <is>
          <t xml:space="preserve">                saved = json.loads(weights_file.read_text(encoding="utf-8"))</t>
        </is>
      </c>
    </row>
    <row r="176">
      <c r="A176" s="7" t="n">
        <v>173</v>
      </c>
      <c r="B176" s="8" t="inlineStr">
        <is>
          <t xml:space="preserve">                self._data["MODEL_WEIGHTS"].update(saved.get("weights", {}))</t>
        </is>
      </c>
    </row>
    <row r="177">
      <c r="A177" s="9" t="n">
        <v>174</v>
      </c>
      <c r="B177" s="10" t="inlineStr">
        <is>
          <t xml:space="preserve">            except Exception:</t>
        </is>
      </c>
    </row>
    <row r="178">
      <c r="A178" s="7" t="n">
        <v>175</v>
      </c>
      <c r="B178" s="8" t="inlineStr">
        <is>
          <t xml:space="preserve">                pass</t>
        </is>
      </c>
    </row>
    <row r="179">
      <c r="A179" s="9" t="n">
        <v>176</v>
      </c>
      <c r="B179" s="10" t="inlineStr"/>
    </row>
    <row r="180">
      <c r="A180" s="7" t="n">
        <v>177</v>
      </c>
      <c r="B180" s="8" t="inlineStr">
        <is>
          <t xml:space="preserve">    def _load_protected_words(self):</t>
        </is>
      </c>
    </row>
    <row r="181">
      <c r="A181" s="9" t="n">
        <v>178</v>
      </c>
      <c r="B181" s="10" t="inlineStr">
        <is>
          <t xml:space="preserve">        words_file = _PROJ_ROOT / "protected_words.json"</t>
        </is>
      </c>
    </row>
    <row r="182">
      <c r="A182" s="7" t="n">
        <v>179</v>
      </c>
      <c r="B182" s="8" t="inlineStr">
        <is>
          <t xml:space="preserve">        words = []</t>
        </is>
      </c>
    </row>
    <row r="183">
      <c r="A183" s="9" t="n">
        <v>180</v>
      </c>
      <c r="B183" s="10" t="inlineStr">
        <is>
          <t xml:space="preserve">        if words_file.exists():</t>
        </is>
      </c>
    </row>
    <row r="184">
      <c r="A184" s="7" t="n">
        <v>181</v>
      </c>
      <c r="B184" s="8" t="inlineStr">
        <is>
          <t xml:space="preserve">            try:</t>
        </is>
      </c>
    </row>
    <row r="185">
      <c r="A185" s="9" t="n">
        <v>182</v>
      </c>
      <c r="B185" s="10" t="inlineStr">
        <is>
          <t xml:space="preserve">                data = json.loads(words_file.read_text(encoding="utf-8"))</t>
        </is>
      </c>
    </row>
    <row r="186">
      <c r="A186" s="7" t="n">
        <v>183</v>
      </c>
      <c r="B186" s="8" t="inlineStr">
        <is>
          <t xml:space="preserve">                for wlist in data.get("categories", {}).values():</t>
        </is>
      </c>
    </row>
    <row r="187">
      <c r="A187" s="9" t="n">
        <v>184</v>
      </c>
      <c r="B187" s="10" t="inlineStr">
        <is>
          <t xml:space="preserve">                    words.extend(wlist)</t>
        </is>
      </c>
    </row>
    <row r="188">
      <c r="A188" s="7" t="n">
        <v>185</v>
      </c>
      <c r="B188" s="8" t="inlineStr">
        <is>
          <t xml:space="preserve">            except Exception:</t>
        </is>
      </c>
    </row>
    <row r="189">
      <c r="A189" s="9" t="n">
        <v>186</v>
      </c>
      <c r="B189" s="10" t="inlineStr">
        <is>
          <t xml:space="preserve">                pass</t>
        </is>
      </c>
    </row>
    <row r="190">
      <c r="A190" s="7" t="n">
        <v>187</v>
      </c>
      <c r="B190" s="8" t="inlineStr">
        <is>
          <t xml:space="preserve">        if not words:</t>
        </is>
      </c>
    </row>
    <row r="191">
      <c r="A191" s="9" t="n">
        <v>188</v>
      </c>
      <c r="B191" s="10" t="inlineStr">
        <is>
          <t xml:space="preserve">            words = [</t>
        </is>
      </c>
    </row>
    <row r="192">
      <c r="A192" s="7" t="n">
        <v>189</v>
      </c>
      <c r="B192" s="8" t="inlineStr">
        <is>
          <t xml:space="preserve">                "岛台", "餐边柜", "餐桌", "高柜", "酒柜", "吧台",</t>
        </is>
      </c>
    </row>
    <row r="193">
      <c r="A193" s="9" t="n">
        <v>190</v>
      </c>
      <c r="B193" s="10" t="inlineStr">
        <is>
          <t xml:space="preserve">                "上层薄抽", "下层抽屉", "内嵌烤箱", "轨道插座", "岩板台面",</t>
        </is>
      </c>
    </row>
    <row r="194">
      <c r="A194" s="7" t="n">
        <v>191</v>
      </c>
      <c r="B194" s="8" t="inlineStr">
        <is>
          <t xml:space="preserve">                "伸缩餐桌", "海棠角", "水磨边", "圆弧倒角", "连纹",</t>
        </is>
      </c>
    </row>
    <row r="195">
      <c r="A195" s="9" t="n">
        <v>192</v>
      </c>
      <c r="B195" s="10" t="inlineStr">
        <is>
          <t xml:space="preserve">                "极简风", "奶油风", "侘寂风", "原木风", "轻奢风",</t>
        </is>
      </c>
    </row>
    <row r="196">
      <c r="A196" s="7" t="n">
        <v>193</v>
      </c>
      <c r="B196" s="8" t="inlineStr">
        <is>
          <t xml:space="preserve">                "意式中古风", "法式奶油风",</t>
        </is>
      </c>
    </row>
    <row r="197">
      <c r="A197" s="9" t="n">
        <v>194</v>
      </c>
      <c r="B197" s="10" t="inlineStr">
        <is>
          <t xml:space="preserve">            ]</t>
        </is>
      </c>
    </row>
    <row r="198">
      <c r="A198" s="7" t="n">
        <v>195</v>
      </c>
      <c r="B198" s="8" t="inlineStr">
        <is>
          <t xml:space="preserve">        self._data["PROTECTED_WORDS"] = words</t>
        </is>
      </c>
    </row>
    <row r="199">
      <c r="A199" s="9" t="n">
        <v>196</v>
      </c>
      <c r="B199" s="10" t="inlineStr"/>
    </row>
    <row r="200">
      <c r="A200" s="7" t="n">
        <v>197</v>
      </c>
      <c r="B200" s="8" t="inlineStr">
        <is>
          <t xml:space="preserve">    # ═══════════════════ API ═══════════════════</t>
        </is>
      </c>
    </row>
    <row r="201">
      <c r="A201" s="9" t="n">
        <v>198</v>
      </c>
      <c r="B201" s="10" t="inlineStr"/>
    </row>
    <row r="202">
      <c r="A202" s="7" t="n">
        <v>199</v>
      </c>
      <c r="B202" s="8" t="inlineStr">
        <is>
          <t xml:space="preserve">    def get(self, key: str, default=None):</t>
        </is>
      </c>
    </row>
    <row r="203">
      <c r="A203" s="9" t="n">
        <v>200</v>
      </c>
      <c r="B203" s="10" t="inlineStr">
        <is>
          <t xml:space="preserve">        """获取配置值。支持嵌套键: config.get('MODEL_WEIGHTS.vision')"""</t>
        </is>
      </c>
    </row>
    <row r="204">
      <c r="A204" s="7" t="n">
        <v>201</v>
      </c>
      <c r="B204" s="8" t="inlineStr">
        <is>
          <t xml:space="preserve">        if "." in key:</t>
        </is>
      </c>
    </row>
    <row r="205">
      <c r="A205" s="9" t="n">
        <v>202</v>
      </c>
      <c r="B205" s="10" t="inlineStr">
        <is>
          <t xml:space="preserve">            parts = key.split(".")</t>
        </is>
      </c>
    </row>
    <row r="206">
      <c r="A206" s="7" t="n">
        <v>203</v>
      </c>
      <c r="B206" s="8" t="inlineStr">
        <is>
          <t xml:space="preserve">            val = self._data</t>
        </is>
      </c>
    </row>
    <row r="207">
      <c r="A207" s="9" t="n">
        <v>204</v>
      </c>
      <c r="B207" s="10" t="inlineStr">
        <is>
          <t xml:space="preserve">            for p in parts:</t>
        </is>
      </c>
    </row>
    <row r="208">
      <c r="A208" s="7" t="n">
        <v>205</v>
      </c>
      <c r="B208" s="8" t="inlineStr">
        <is>
          <t xml:space="preserve">                if isinstance(val, dict):</t>
        </is>
      </c>
    </row>
    <row r="209">
      <c r="A209" s="9" t="n">
        <v>206</v>
      </c>
      <c r="B209" s="10" t="inlineStr">
        <is>
          <t xml:space="preserve">                    val = val.get(p)</t>
        </is>
      </c>
    </row>
    <row r="210">
      <c r="A210" s="7" t="n">
        <v>207</v>
      </c>
      <c r="B210" s="8" t="inlineStr">
        <is>
          <t xml:space="preserve">                else:</t>
        </is>
      </c>
    </row>
    <row r="211">
      <c r="A211" s="9" t="n">
        <v>208</v>
      </c>
      <c r="B211" s="10" t="inlineStr">
        <is>
          <t xml:space="preserve">                    return default</t>
        </is>
      </c>
    </row>
    <row r="212">
      <c r="A212" s="7" t="n">
        <v>209</v>
      </c>
      <c r="B212" s="8" t="inlineStr">
        <is>
          <t xml:space="preserve">            return val if val is not None else default</t>
        </is>
      </c>
    </row>
    <row r="213">
      <c r="A213" s="9" t="n">
        <v>210</v>
      </c>
      <c r="B213" s="10" t="inlineStr">
        <is>
          <t xml:space="preserve">        return self._data.get(key, default)</t>
        </is>
      </c>
    </row>
    <row r="214">
      <c r="A214" s="7" t="n">
        <v>211</v>
      </c>
      <c r="B214" s="8" t="inlineStr"/>
    </row>
    <row r="215">
      <c r="A215" s="9" t="n">
        <v>212</v>
      </c>
      <c r="B215" s="10" t="inlineStr">
        <is>
          <t xml:space="preserve">    def set(self, key: str, value: Any):</t>
        </is>
      </c>
    </row>
    <row r="216">
      <c r="A216" s="7" t="n">
        <v>213</v>
      </c>
      <c r="B216" s="8" t="inlineStr">
        <is>
          <t xml:space="preserve">        """设置配置值并通知所有观察者"""</t>
        </is>
      </c>
    </row>
    <row r="217">
      <c r="A217" s="9" t="n">
        <v>214</v>
      </c>
      <c r="B217" s="10" t="inlineStr">
        <is>
          <t xml:space="preserve">        self._data[key] = value</t>
        </is>
      </c>
    </row>
    <row r="218">
      <c r="A218" s="7" t="n">
        <v>215</v>
      </c>
      <c r="B218" s="8" t="inlineStr">
        <is>
          <t xml:space="preserve">        self._notify(key, value)</t>
        </is>
      </c>
    </row>
    <row r="219">
      <c r="A219" s="9" t="n">
        <v>216</v>
      </c>
      <c r="B219" s="10" t="inlineStr"/>
    </row>
    <row r="220">
      <c r="A220" s="7" t="n">
        <v>217</v>
      </c>
      <c r="B220" s="8" t="inlineStr">
        <is>
          <t xml:space="preserve">    def observe(self, callback: Callable[[str, Any], None]):</t>
        </is>
      </c>
    </row>
    <row r="221">
      <c r="A221" s="9" t="n">
        <v>218</v>
      </c>
      <c r="B221" s="10" t="inlineStr">
        <is>
          <t xml:space="preserve">        """注册观察者。回调签名: callback(key, value)"""</t>
        </is>
      </c>
    </row>
    <row r="222">
      <c r="A222" s="7" t="n">
        <v>219</v>
      </c>
      <c r="B222" s="8" t="inlineStr">
        <is>
          <t xml:space="preserve">        self._observers.append(callback)</t>
        </is>
      </c>
    </row>
    <row r="223">
      <c r="A223" s="9" t="n">
        <v>220</v>
      </c>
      <c r="B223" s="10" t="inlineStr"/>
    </row>
    <row r="224">
      <c r="A224" s="7" t="n">
        <v>221</v>
      </c>
      <c r="B224" s="8" t="inlineStr">
        <is>
          <t xml:space="preserve">    def _notify(self, key: str, value: Any):</t>
        </is>
      </c>
    </row>
    <row r="225">
      <c r="A225" s="9" t="n">
        <v>222</v>
      </c>
      <c r="B225" s="10" t="inlineStr">
        <is>
          <t xml:space="preserve">        for cb in self._observers:</t>
        </is>
      </c>
    </row>
    <row r="226">
      <c r="A226" s="7" t="n">
        <v>223</v>
      </c>
      <c r="B226" s="8" t="inlineStr">
        <is>
          <t xml:space="preserve">            try:</t>
        </is>
      </c>
    </row>
    <row r="227">
      <c r="A227" s="9" t="n">
        <v>224</v>
      </c>
      <c r="B227" s="10" t="inlineStr">
        <is>
          <t xml:space="preserve">                cb(key, value)</t>
        </is>
      </c>
    </row>
    <row r="228">
      <c r="A228" s="7" t="n">
        <v>225</v>
      </c>
      <c r="B228" s="8" t="inlineStr">
        <is>
          <t xml:space="preserve">            except Exception:</t>
        </is>
      </c>
    </row>
    <row r="229">
      <c r="A229" s="9" t="n">
        <v>226</v>
      </c>
      <c r="B229" s="10" t="inlineStr">
        <is>
          <t xml:space="preserve">                pass</t>
        </is>
      </c>
    </row>
    <row r="230">
      <c r="A230" s="7" t="n">
        <v>227</v>
      </c>
      <c r="B230" s="8" t="inlineStr"/>
    </row>
    <row r="231">
      <c r="A231" s="9" t="n">
        <v>228</v>
      </c>
      <c r="B231" s="10" t="inlineStr">
        <is>
          <t xml:space="preserve">    def reload(self):</t>
        </is>
      </c>
    </row>
    <row r="232">
      <c r="A232" s="7" t="n">
        <v>229</v>
      </c>
      <c r="B232" s="8" t="inlineStr">
        <is>
          <t xml:space="preserve">        """从 .env 重新加载所有配置并通知观察者"""</t>
        </is>
      </c>
    </row>
    <row r="233">
      <c r="A233" s="9" t="n">
        <v>230</v>
      </c>
      <c r="B233" s="10" t="inlineStr">
        <is>
          <t xml:space="preserve">        self._load_from_env()</t>
        </is>
      </c>
    </row>
    <row r="234">
      <c r="A234" s="7" t="n">
        <v>231</v>
      </c>
      <c r="B234" s="8" t="inlineStr">
        <is>
          <t xml:space="preserve">        self._notify("_reload", None)</t>
        </is>
      </c>
    </row>
    <row r="235">
      <c r="A235" s="9" t="n">
        <v>232</v>
      </c>
      <c r="B235" s="10" t="inlineStr"/>
    </row>
    <row r="236">
      <c r="A236" s="7" t="n">
        <v>233</v>
      </c>
      <c r="B236" s="8" t="inlineStr">
        <is>
          <t xml:space="preserve">    def to_dict(self) -&gt; Dict:</t>
        </is>
      </c>
    </row>
    <row r="237">
      <c r="A237" s="9" t="n">
        <v>234</v>
      </c>
      <c r="B237" s="10" t="inlineStr">
        <is>
          <t xml:space="preserve">        """导出所有配置 (脱敏)"""</t>
        </is>
      </c>
    </row>
    <row r="238">
      <c r="A238" s="7" t="n">
        <v>235</v>
      </c>
      <c r="B238" s="8" t="inlineStr">
        <is>
          <t xml:space="preserve">        safe = {}</t>
        </is>
      </c>
    </row>
    <row r="239">
      <c r="A239" s="9" t="n">
        <v>236</v>
      </c>
      <c r="B239" s="10" t="inlineStr">
        <is>
          <t xml:space="preserve">        for k, v in self._data.items():</t>
        </is>
      </c>
    </row>
    <row r="240">
      <c r="A240" s="7" t="n">
        <v>237</v>
      </c>
      <c r="B240" s="8" t="inlineStr">
        <is>
          <t xml:space="preserve">            if "KEY" in k or "TOKEN" in k:</t>
        </is>
      </c>
    </row>
    <row r="241">
      <c r="A241" s="9" t="n">
        <v>238</v>
      </c>
      <c r="B241" s="10" t="inlineStr">
        <is>
          <t xml:space="preserve">                safe[k] = v[:8] + "****" if v and len(v) &gt; 8 else "****"</t>
        </is>
      </c>
    </row>
    <row r="242">
      <c r="A242" s="7" t="n">
        <v>239</v>
      </c>
      <c r="B242" s="8" t="inlineStr">
        <is>
          <t xml:space="preserve">            elif isinstance(v, (str, int, float, bool, list)):</t>
        </is>
      </c>
    </row>
    <row r="243">
      <c r="A243" s="9" t="n">
        <v>240</v>
      </c>
      <c r="B243" s="10" t="inlineStr">
        <is>
          <t xml:space="preserve">                safe[k] = v</t>
        </is>
      </c>
    </row>
    <row r="244">
      <c r="A244" s="7" t="n">
        <v>241</v>
      </c>
      <c r="B244" s="8" t="inlineStr">
        <is>
          <t xml:space="preserve">            else:</t>
        </is>
      </c>
    </row>
    <row r="245">
      <c r="A245" s="9" t="n">
        <v>242</v>
      </c>
      <c r="B245" s="10" t="inlineStr">
        <is>
          <t xml:space="preserve">                safe[k] = str(v)</t>
        </is>
      </c>
    </row>
    <row r="246">
      <c r="A246" s="7" t="n">
        <v>243</v>
      </c>
      <c r="B246" s="8" t="inlineStr">
        <is>
          <t xml:space="preserve">        return safe</t>
        </is>
      </c>
    </row>
    <row r="247">
      <c r="A247" s="9" t="n">
        <v>244</v>
      </c>
      <c r="B247" s="10" t="inlineStr"/>
    </row>
    <row r="248">
      <c r="A248" s="7" t="n">
        <v>245</v>
      </c>
      <c r="B248" s="8" t="inlineStr"/>
    </row>
    <row r="249">
      <c r="A249" s="9" t="n">
        <v>246</v>
      </c>
      <c r="B249" s="10" t="inlineStr">
        <is>
          <t># ── 全局单例 ──</t>
        </is>
      </c>
    </row>
    <row r="250">
      <c r="A250" s="7" t="n">
        <v>247</v>
      </c>
      <c r="B250" s="8" t="inlineStr">
        <is>
          <t>config = Config()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core\copywriter.py</t>
        </is>
      </c>
      <c r="C1" s="5" t="inlineStr">
        <is>
          <t>行数: 289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╔══════════════════════════════════════════════════════════════╗</t>
        </is>
      </c>
    </row>
    <row r="6">
      <c r="A6" s="7" t="n">
        <v>3</v>
      </c>
      <c r="B6" s="8" t="inlineStr">
        <is>
          <t>║  ✍  video_editor.copywriter — DeepSeek AI 文案生成        ║</t>
        </is>
      </c>
    </row>
    <row r="7">
      <c r="A7" s="9" t="n">
        <v>4</v>
      </c>
      <c r="B7" s="10" t="inlineStr">
        <is>
          <t>╚══════════════════════════════════════════════════════════════╝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re</t>
        </is>
      </c>
    </row>
    <row r="10">
      <c r="A10" s="7" t="n">
        <v>7</v>
      </c>
      <c r="B10" s="8" t="inlineStr">
        <is>
          <t>import random</t>
        </is>
      </c>
    </row>
    <row r="11">
      <c r="A11" s="9" t="n">
        <v>8</v>
      </c>
      <c r="B11" s="10" t="inlineStr">
        <is>
          <t>from typing import Optional, List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from core.config import (</t>
        </is>
      </c>
    </row>
    <row r="14">
      <c r="A14" s="7" t="n">
        <v>11</v>
      </c>
      <c r="B14" s="8" t="inlineStr">
        <is>
          <t xml:space="preserve">    DEEPSEEK_API_KEY, DEEPSEEK_BASE_URL, DEEPSEEK_MODEL,</t>
        </is>
      </c>
    </row>
    <row r="15">
      <c r="A15" s="9" t="n">
        <v>12</v>
      </c>
      <c r="B15" s="10" t="inlineStr">
        <is>
          <t xml:space="preserve">    CTA_KEYWORDS, CTA_TEMPLATES, TTS_CHARS_PER_SEC, DEFAULT_COPY_DURATION,</t>
        </is>
      </c>
    </row>
    <row r="16">
      <c r="A16" s="7" t="n">
        <v>13</v>
      </c>
      <c r="B16" s="8" t="inlineStr">
        <is>
          <t>)</t>
        </is>
      </c>
    </row>
    <row r="17">
      <c r="A17" s="9" t="n">
        <v>14</v>
      </c>
      <c r="B17" s="10" t="inlineStr">
        <is>
          <t>from utils.text_filter import filter_redbook_text, contains_forbidden_word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1">
      <c r="A21" s="9" t="n">
        <v>18</v>
      </c>
      <c r="B21" s="10" t="inlineStr">
        <is>
          <t># DeepSeek 系统提示词</t>
        </is>
      </c>
    </row>
    <row r="22">
      <c r="A22" s="7" t="n">
        <v>19</v>
      </c>
      <c r="B2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DEEPSEEK_SYSTEM_PROMPT = """你是「坤宝岛台」品牌的口播文案专家,专为28秒竖版短视频写配音脚本.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># ★ 强制三段式结构(缺一不可)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>## 第一段:钩子开头(0-3秒,约15字)</t>
        </is>
      </c>
    </row>
    <row r="29">
      <c r="A29" s="9" t="n">
        <v>26</v>
      </c>
      <c r="B29" s="10" t="inlineStr">
        <is>
          <t>制造悬念或直击痛点,五选一,每次换一种:</t>
        </is>
      </c>
    </row>
    <row r="30">
      <c r="A30" s="7" t="n">
        <v>27</v>
      </c>
      <c r="B30" s="8" t="inlineStr">
        <is>
          <t>- "90%的人选岛台都踩坑,装完才后悔！"(数据冲击)</t>
        </is>
      </c>
    </row>
    <row r="31">
      <c r="A31" s="9" t="n">
        <v>28</v>
      </c>
      <c r="B31" s="10" t="inlineStr">
        <is>
          <t>- "你敢信吗？这个岛台居然自带XXX！"(反常识)</t>
        </is>
      </c>
    </row>
    <row r="32">
      <c r="A32" s="7" t="n">
        <v>29</v>
      </c>
      <c r="B32" s="8" t="inlineStr">
        <is>
          <t>- "从普通厨房到高级感,只差岛台这一步！"(场景反差)</t>
        </is>
      </c>
    </row>
    <row r="33">
      <c r="A33" s="9" t="n">
        <v>30</v>
      </c>
      <c r="B33" s="10" t="inlineStr">
        <is>
          <t>- "知道这个是什么吗？这是我们家的XXX岛台！"(悬念提问)</t>
        </is>
      </c>
    </row>
    <row r="34">
      <c r="A34" s="7" t="n">
        <v>31</v>
      </c>
      <c r="B34" s="8" t="inlineStr">
        <is>
          <t>- "我把普通岛台换成这个,整个厨房都高级了！"(改造对比)</t>
        </is>
      </c>
    </row>
    <row r="35">
      <c r="A35" s="9" t="n">
        <v>32</v>
      </c>
      <c r="B35" s="10" t="inlineStr"/>
    </row>
    <row r="36">
      <c r="A36" s="7" t="n">
        <v>33</v>
      </c>
      <c r="B36" s="8" t="inlineStr">
        <is>
          <t>## 第二段:核心卖点展开(3-24秒,约55-65字)</t>
        </is>
      </c>
    </row>
    <row r="37">
      <c r="A37" s="9" t="n">
        <v>34</v>
      </c>
      <c r="B37" s="10" t="inlineStr">
        <is>
          <t>依次介绍3-4个不同的核心功能,每个卖点1-2句:</t>
        </is>
      </c>
    </row>
    <row r="38">
      <c r="A38" s="7" t="n">
        <v>35</v>
      </c>
      <c r="B38" s="8" t="inlineStr">
        <is>
          <t>- 每句12-18字,口语化短句,适合配音朗读</t>
        </is>
      </c>
    </row>
    <row r="39">
      <c r="A39" s="9" t="n">
        <v>36</v>
      </c>
      <c r="B39" s="10" t="inlineStr">
        <is>
          <t>- 给每个卖点起具体名字:XX风+XX款+XX材质</t>
        </is>
      </c>
    </row>
    <row r="40">
      <c r="A40" s="7" t="n">
        <v>37</v>
      </c>
      <c r="B40" s="8" t="inlineStr">
        <is>
          <t>- 细节画面感:材质厚度,工艺,使用场景</t>
        </is>
      </c>
    </row>
    <row r="41">
      <c r="A41" s="9" t="n">
        <v>38</v>
      </c>
      <c r="B41" s="10" t="inlineStr">
        <is>
          <t>- 关键词:呢,吧,哇,你看,就是,这样的,太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>## 第三段:★ 结尾CTA行动引导(24-28秒,约15-20字)★</t>
        </is>
      </c>
    </row>
    <row r="44">
      <c r="A44" s="7" t="n">
        <v>41</v>
      </c>
      <c r="B44" s="8" t="inlineStr">
        <is>
          <t>**[这是全文最重要的部分,绝对不能省略！]**</t>
        </is>
      </c>
    </row>
    <row r="45">
      <c r="A45" s="9" t="n">
        <v>42</v>
      </c>
      <c r="B45" s="10" t="inlineStr">
        <is>
          <t>必须包含明确的行动引导:</t>
        </is>
      </c>
    </row>
    <row r="46">
      <c r="A46" s="7" t="n">
        <v>43</v>
      </c>
      <c r="B46" s="8" t="inlineStr">
        <is>
          <t>- "想要同款岛台的朋友,评论区扣1发你详细方案"</t>
        </is>
      </c>
    </row>
    <row r="47">
      <c r="A47" s="9" t="n">
        <v>44</v>
      </c>
      <c r="B47" s="10" t="inlineStr">
        <is>
          <t>- "喜欢这种设计的话点个关注,每天分享更多岛台案例"</t>
        </is>
      </c>
    </row>
    <row r="48">
      <c r="A48" s="7" t="n">
        <v>45</v>
      </c>
      <c r="B48" s="8" t="inlineStr">
        <is>
          <t>- "有任何问题私信我,免费给你设计专属岛台"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># ★ 铁律(违反以下任何一条都是不合格)</t>
        </is>
      </c>
    </row>
    <row r="51">
      <c r="A51" s="9" t="n">
        <v>48</v>
      </c>
      <c r="B51" s="10" t="inlineStr">
        <is>
          <t>1. !! 三段式结构必须完整:钩子-&gt;卖点-&gt;CTA,缺一不可</t>
        </is>
      </c>
    </row>
    <row r="52">
      <c r="A52" s="7" t="n">
        <v>49</v>
      </c>
      <c r="B52" s="8" t="inlineStr">
        <is>
          <t>2. !! 最后一句话必须是CTA行动引导,绝不能是功能描述</t>
        </is>
      </c>
    </row>
    <row r="53">
      <c r="A53" s="9" t="n">
        <v>50</v>
      </c>
      <c r="B53" s="10" t="inlineStr">
        <is>
          <t>3. !! 每个卖点对应一句文案,材质颜色必须与画面一致</t>
        </is>
      </c>
    </row>
    <row r="54">
      <c r="A54" s="7" t="n">
        <v>51</v>
      </c>
      <c r="B54" s="8" t="inlineStr">
        <is>
          <t>4. !! 禁止相邻句子结构雷同；禁止连续"你看...再看..."</t>
        </is>
      </c>
    </row>
    <row r="55">
      <c r="A55" s="9" t="n">
        <v>52</v>
      </c>
      <c r="B55" s="10" t="inlineStr">
        <is>
          <t>5. !! 禁止编号,禁止[],禁止书面词,禁止编造颜色</t>
        </is>
      </c>
    </row>
    <row r="56">
      <c r="A56" s="7" t="n">
        <v>53</v>
      </c>
      <c r="B56" s="8" t="inlineStr">
        <is>
          <t>6. !! 总字数80-90字,不能截断,不能超出</t>
        </is>
      </c>
    </row>
    <row r="57">
      <c r="A57" s="9" t="n">
        <v>54</v>
      </c>
      <c r="B57" s="10" t="inlineStr"/>
    </row>
    <row r="58">
      <c r="A58" s="7" t="n">
        <v>55</v>
      </c>
      <c r="B58" s="8" t="inlineStr">
        <is>
          <t># 参考范文</t>
        </is>
      </c>
    </row>
    <row r="59">
      <c r="A59" s="9" t="n">
        <v>56</v>
      </c>
      <c r="B59" s="10" t="inlineStr">
        <is>
          <t>"岛台装修别人装出高级感,你装的平平无奇！差距就在岛台功能上.上层薄抽一拉开,零食收纳超顺手.内嵌烤箱精准开孔,烘焙聚餐一步到位.轨道插座随意移动,小家电想放哪就放哪.喜欢这种全能岛台吗？评论区扣1发你详细方案." """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/>
    </row>
    <row r="62">
      <c r="A62" s="7" t="n">
        <v>59</v>
      </c>
      <c r="B6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63">
      <c r="A63" s="9" t="n">
        <v>60</v>
      </c>
      <c r="B63" s="10" t="inlineStr">
        <is>
          <t># 画面描述提取</t>
        </is>
      </c>
    </row>
    <row r="64">
      <c r="A64" s="7" t="n">
        <v>61</v>
      </c>
      <c r="B64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># ── 画面描述提取 — 预编译关键词正则 ──</t>
        </is>
      </c>
    </row>
    <row r="67">
      <c r="A67" s="9" t="n">
        <v>64</v>
      </c>
      <c r="B67" s="10" t="inlineStr">
        <is>
          <t>_MATERIAL_KW_RE = re.compile(</t>
        </is>
      </c>
    </row>
    <row r="68">
      <c r="A68" s="7" t="n">
        <v>65</v>
      </c>
      <c r="B68" s="8" t="inlineStr">
        <is>
          <t xml:space="preserve">    r'岩板|木纹|奶油|黑色|白色|纯黑|纯白|深灰|浅棕|深棕|橡木|胡桃|'</t>
        </is>
      </c>
    </row>
    <row r="69">
      <c r="A69" s="9" t="n">
        <v>66</v>
      </c>
      <c r="B69" s="10" t="inlineStr">
        <is>
          <t xml:space="preserve">    r'樱桃|奢石|洞石|潘多拉|宝格丽|维多利亚|翡翠|水泥|微水泥|哑光|亮光'</t>
        </is>
      </c>
    </row>
    <row r="70">
      <c r="A70" s="7" t="n">
        <v>67</v>
      </c>
      <c r="B70" s="8" t="inlineStr">
        <is>
          <t>)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># ★ v12.3: 家居行业30+细分标签库 — 支撑文案关键词提取和素材智能匹配</t>
        </is>
      </c>
    </row>
    <row r="73">
      <c r="A73" s="9" t="n">
        <v>70</v>
      </c>
      <c r="B73" s="10" t="inlineStr">
        <is>
          <t>HOME_TAGS = {</t>
        </is>
      </c>
    </row>
    <row r="74">
      <c r="A74" s="7" t="n">
        <v>71</v>
      </c>
      <c r="B74" s="8" t="inlineStr">
        <is>
          <t xml:space="preserve">    "材质":  ["岩板", "原木", "实木", "颗粒板", "多层板", "石英石", "不锈钢", "玻璃", "亚克力"],</t>
        </is>
      </c>
    </row>
    <row r="75">
      <c r="A75" s="9" t="n">
        <v>72</v>
      </c>
      <c r="B75" s="10" t="inlineStr">
        <is>
          <t xml:space="preserve">    "品类":  ["岛台", "餐桌", "橱柜", "衣柜", "鞋柜", "电视柜", "玄关柜", "酒柜", "餐边柜"],</t>
        </is>
      </c>
    </row>
    <row r="76">
      <c r="A76" s="7" t="n">
        <v>73</v>
      </c>
      <c r="B76" s="8" t="inlineStr">
        <is>
          <t xml:space="preserve">    "风格":  ["极简", "轻奢", "北欧", "新中式", "日式", "工业风", "奶油风", "原木风", "现代风"],</t>
        </is>
      </c>
    </row>
    <row r="77">
      <c r="A77" s="9" t="n">
        <v>74</v>
      </c>
      <c r="B77" s="10" t="inlineStr">
        <is>
          <t xml:space="preserve">    "功能":  ["定制", "防水", "耐磨", "收纳", "伸缩", "折叠", "灯带", "插座", "内嵌", "轨道"],</t>
        </is>
      </c>
    </row>
    <row r="78">
      <c r="A78" s="7" t="n">
        <v>75</v>
      </c>
      <c r="B78" s="8" t="inlineStr">
        <is>
          <t xml:space="preserve">    "场景":  ["厨房", "客厅", "卧室", "玄关", "阳台", "小户型", "大平层", "别墅"],</t>
        </is>
      </c>
    </row>
    <row r="79">
      <c r="A79" s="9" t="n">
        <v>76</v>
      </c>
      <c r="B79" s="10" t="inlineStr">
        <is>
          <t xml:space="preserve">    "品牌":  ["坤宝", "定制家", "全屋定制", "高端定制"],</t>
        </is>
      </c>
    </row>
    <row r="80">
      <c r="A80" s="7" t="n">
        <v>77</v>
      </c>
      <c r="B80" s="8" t="inlineStr">
        <is>
          <t>}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>
        <is>
          <t>def extract_home_tags(text: str) -&gt; dict:</t>
        </is>
      </c>
    </row>
    <row r="83">
      <c r="A83" s="9" t="n">
        <v>80</v>
      </c>
      <c r="B83" s="10" t="inlineStr">
        <is>
          <t xml:space="preserve">    """★ v12.3: 按家居行业标签库提取分类关键词"""</t>
        </is>
      </c>
    </row>
    <row r="84">
      <c r="A84" s="7" t="n">
        <v>81</v>
      </c>
      <c r="B84" s="8" t="inlineStr">
        <is>
          <t xml:space="preserve">    results = {}</t>
        </is>
      </c>
    </row>
    <row r="85">
      <c r="A85" s="9" t="n">
        <v>82</v>
      </c>
      <c r="B85" s="10" t="inlineStr">
        <is>
          <t xml:space="preserve">    for category, tags in HOME_TAGS.items():</t>
        </is>
      </c>
    </row>
    <row r="86">
      <c r="A86" s="7" t="n">
        <v>83</v>
      </c>
      <c r="B86" s="8" t="inlineStr">
        <is>
          <t xml:space="preserve">        matched = [tag for tag in tags if tag in text]</t>
        </is>
      </c>
    </row>
    <row r="87">
      <c r="A87" s="9" t="n">
        <v>84</v>
      </c>
      <c r="B87" s="10" t="inlineStr">
        <is>
          <t xml:space="preserve">        if matched:</t>
        </is>
      </c>
    </row>
    <row r="88">
      <c r="A88" s="7" t="n">
        <v>85</v>
      </c>
      <c r="B88" s="8" t="inlineStr">
        <is>
          <t xml:space="preserve">            results[category] = matched</t>
        </is>
      </c>
    </row>
    <row r="89">
      <c r="A89" s="9" t="n">
        <v>86</v>
      </c>
      <c r="B89" s="10" t="inlineStr">
        <is>
          <t xml:space="preserve">    return results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>def extract_all_keywords(text: str) -&gt; list:</t>
        </is>
      </c>
    </row>
    <row r="92">
      <c r="A92" s="7" t="n">
        <v>89</v>
      </c>
      <c r="B92" s="8" t="inlineStr">
        <is>
          <t xml:space="preserve">    """★ v12.3: 从文案中提取全部家居标签(去重)"""</t>
        </is>
      </c>
    </row>
    <row r="93">
      <c r="A93" s="9" t="n">
        <v>90</v>
      </c>
      <c r="B93" s="10" t="inlineStr">
        <is>
          <t xml:space="preserve">    tags = extract_home_tags(text)</t>
        </is>
      </c>
    </row>
    <row r="94">
      <c r="A94" s="7" t="n">
        <v>91</v>
      </c>
      <c r="B94" s="8" t="inlineStr">
        <is>
          <t xml:space="preserve">    seen = set()</t>
        </is>
      </c>
    </row>
    <row r="95">
      <c r="A95" s="9" t="n">
        <v>92</v>
      </c>
      <c r="B95" s="10" t="inlineStr">
        <is>
          <t xml:space="preserve">    flat = []</t>
        </is>
      </c>
    </row>
    <row r="96">
      <c r="A96" s="7" t="n">
        <v>93</v>
      </c>
      <c r="B96" s="8" t="inlineStr">
        <is>
          <t xml:space="preserve">    for vals in tags.values():</t>
        </is>
      </c>
    </row>
    <row r="97">
      <c r="A97" s="9" t="n">
        <v>94</v>
      </c>
      <c r="B97" s="10" t="inlineStr">
        <is>
          <t xml:space="preserve">        for v in vals:</t>
        </is>
      </c>
    </row>
    <row r="98">
      <c r="A98" s="7" t="n">
        <v>95</v>
      </c>
      <c r="B98" s="8" t="inlineStr">
        <is>
          <t xml:space="preserve">            if v not in seen:</t>
        </is>
      </c>
    </row>
    <row r="99">
      <c r="A99" s="9" t="n">
        <v>96</v>
      </c>
      <c r="B99" s="10" t="inlineStr">
        <is>
          <t xml:space="preserve">                seen.add(v)</t>
        </is>
      </c>
    </row>
    <row r="100">
      <c r="A100" s="7" t="n">
        <v>97</v>
      </c>
      <c r="B100" s="8" t="inlineStr">
        <is>
          <t xml:space="preserve">                flat.append(v)</t>
        </is>
      </c>
    </row>
    <row r="101">
      <c r="A101" s="9" t="n">
        <v>98</v>
      </c>
      <c r="B101" s="10" t="inlineStr">
        <is>
          <t xml:space="preserve">    return flat</t>
        </is>
      </c>
    </row>
    <row r="102">
      <c r="A102" s="7" t="n">
        <v>99</v>
      </c>
      <c r="B102" s="8" t="inlineStr"/>
    </row>
    <row r="103">
      <c r="A103" s="9" t="n">
        <v>100</v>
      </c>
      <c r="B103" s="10" t="inlineStr">
        <is>
          <t>def calculate_match_score(material_tags: list, script_keywords: list) -&gt; float:</t>
        </is>
      </c>
    </row>
    <row r="104">
      <c r="A104" s="7" t="n">
        <v>101</v>
      </c>
      <c r="B104" s="8" t="inlineStr">
        <is>
          <t xml:space="preserve">    """★ v12.3: 计算素材标签与文案关键词的匹配度(0-1)"""</t>
        </is>
      </c>
    </row>
    <row r="105">
      <c r="A105" s="9" t="n">
        <v>102</v>
      </c>
      <c r="B105" s="10" t="inlineStr">
        <is>
          <t xml:space="preserve">    if not script_keywords:</t>
        </is>
      </c>
    </row>
    <row r="106">
      <c r="A106" s="7" t="n">
        <v>103</v>
      </c>
      <c r="B106" s="8" t="inlineStr">
        <is>
          <t xml:space="preserve">        return 0.5</t>
        </is>
      </c>
    </row>
    <row r="107">
      <c r="A107" s="9" t="n">
        <v>104</v>
      </c>
      <c r="B107" s="10" t="inlineStr">
        <is>
          <t xml:space="preserve">    hit = len(set(material_tags) &amp; set(script_keywords))</t>
        </is>
      </c>
    </row>
    <row r="108">
      <c r="A108" s="7" t="n">
        <v>105</v>
      </c>
      <c r="B108" s="8" t="inlineStr">
        <is>
          <t xml:space="preserve">    return round(hit / len(script_keywords), 2)</t>
        </is>
      </c>
    </row>
    <row r="109">
      <c r="A109" s="9" t="n">
        <v>106</v>
      </c>
      <c r="B109" s="10" t="inlineStr"/>
    </row>
    <row r="110">
      <c r="A110" s="7" t="n">
        <v>107</v>
      </c>
      <c r="B110" s="8" t="inlineStr">
        <is>
          <t>def extract_video_descriptions(clips: List[dict]) -&gt; List[str]:</t>
        </is>
      </c>
    </row>
    <row r="111">
      <c r="A111" s="9" t="n">
        <v>108</v>
      </c>
      <c r="B111" s="10" t="inlineStr">
        <is>
          <t xml:space="preserve">    """从视频文件名精确提取画面内容描述 (v2 — 预编译正则)"""</t>
        </is>
      </c>
    </row>
    <row r="112">
      <c r="A112" s="7" t="n">
        <v>109</v>
      </c>
      <c r="B112" s="8" t="inlineStr">
        <is>
          <t xml:space="preserve">    descs = []</t>
        </is>
      </c>
    </row>
    <row r="113">
      <c r="A113" s="9" t="n">
        <v>110</v>
      </c>
      <c r="B113" s="10" t="inlineStr">
        <is>
          <t xml:space="preserve">    for c in clips:</t>
        </is>
      </c>
    </row>
    <row r="114">
      <c r="A114" s="7" t="n">
        <v>111</v>
      </c>
      <c r="B114" s="8" t="inlineStr">
        <is>
          <t xml:space="preserve">        fname = c["path"].stem</t>
        </is>
      </c>
    </row>
    <row r="115">
      <c r="A115" s="9" t="n">
        <v>112</v>
      </c>
      <c r="B115" s="10" t="inlineStr">
        <is>
          <t xml:space="preserve">        tags = re.findall(r'\[([^\]]+)\]', fname)</t>
        </is>
      </c>
    </row>
    <row r="116">
      <c r="A116" s="7" t="n">
        <v>113</v>
      </c>
      <c r="B116" s="8" t="inlineStr">
        <is>
          <t xml:space="preserve">        material = ""</t>
        </is>
      </c>
    </row>
    <row r="117">
      <c r="A117" s="9" t="n">
        <v>114</v>
      </c>
      <c r="B117" s="10" t="inlineStr">
        <is>
          <t xml:space="preserve">        for t in tags:</t>
        </is>
      </c>
    </row>
    <row r="118">
      <c r="A118" s="7" t="n">
        <v>115</v>
      </c>
      <c r="B118" s="8" t="inlineStr">
        <is>
          <t xml:space="preserve">            if '+' in t and len(t) &gt; 4 and not t[0].isdigit():</t>
        </is>
      </c>
    </row>
    <row r="119">
      <c r="A119" s="9" t="n">
        <v>116</v>
      </c>
      <c r="B119" s="10" t="inlineStr">
        <is>
          <t xml:space="preserve">                material = t; break</t>
        </is>
      </c>
    </row>
    <row r="120">
      <c r="A120" s="7" t="n">
        <v>117</v>
      </c>
      <c r="B120" s="8" t="inlineStr">
        <is>
          <t xml:space="preserve">        if not material:</t>
        </is>
      </c>
    </row>
    <row r="121">
      <c r="A121" s="9" t="n">
        <v>118</v>
      </c>
      <c r="B121" s="10" t="inlineStr">
        <is>
          <t xml:space="preserve">            for t in tags:</t>
        </is>
      </c>
    </row>
    <row r="122">
      <c r="A122" s="7" t="n">
        <v>119</v>
      </c>
      <c r="B122" s="8" t="inlineStr">
        <is>
          <t xml:space="preserve">                if _MATERIAL_KW_RE.search(t):</t>
        </is>
      </c>
    </row>
    <row r="123">
      <c r="A123" s="9" t="n">
        <v>120</v>
      </c>
      <c r="B123" s="10" t="inlineStr">
        <is>
          <t xml:space="preserve">                    material = t; break</t>
        </is>
      </c>
    </row>
    <row r="124">
      <c r="A124" s="7" t="n">
        <v>121</v>
      </c>
      <c r="B124" s="8" t="inlineStr">
        <is>
          <t xml:space="preserve">        feature = ""</t>
        </is>
      </c>
    </row>
    <row r="125">
      <c r="A125" s="9" t="n">
        <v>122</v>
      </c>
      <c r="B125" s="10" t="inlineStr">
        <is>
          <t xml:space="preserve">        for t in reversed(tags):</t>
        </is>
      </c>
    </row>
    <row r="126">
      <c r="A126" s="7" t="n">
        <v>123</v>
      </c>
      <c r="B126" s="8" t="inlineStr">
        <is>
          <t xml:space="preserve">            if len(t) &gt;= 4 and not t[0].isdigit() and t != material:</t>
        </is>
      </c>
    </row>
    <row r="127">
      <c r="A127" s="9" t="n">
        <v>124</v>
      </c>
      <c r="B127" s="10" t="inlineStr">
        <is>
          <t xml:space="preserve">                feature = t; break</t>
        </is>
      </c>
    </row>
    <row r="128">
      <c r="A128" s="7" t="n">
        <v>125</v>
      </c>
      <c r="B128" s="8" t="inlineStr">
        <is>
          <t xml:space="preserve">        kw = c.get("keyword", "")</t>
        </is>
      </c>
    </row>
    <row r="129">
      <c r="A129" s="9" t="n">
        <v>126</v>
      </c>
      <c r="B129" s="10" t="inlineStr">
        <is>
          <t xml:space="preserve">        if material and feature:</t>
        </is>
      </c>
    </row>
    <row r="130">
      <c r="A130" s="7" t="n">
        <v>127</v>
      </c>
      <c r="B130" s="8" t="inlineStr">
        <is>
          <t xml:space="preserve">            desc = f"画面: {material}色岛台,{feature}"</t>
        </is>
      </c>
    </row>
    <row r="131">
      <c r="A131" s="9" t="n">
        <v>128</v>
      </c>
      <c r="B131" s="10" t="inlineStr">
        <is>
          <t xml:space="preserve">        elif material:</t>
        </is>
      </c>
    </row>
    <row r="132">
      <c r="A132" s="7" t="n">
        <v>129</v>
      </c>
      <c r="B132" s="8" t="inlineStr">
        <is>
          <t xml:space="preserve">            desc = f"画面: {material}色岛台,展示{kw}设计"</t>
        </is>
      </c>
    </row>
    <row r="133">
      <c r="A133" s="9" t="n">
        <v>130</v>
      </c>
      <c r="B133" s="10" t="inlineStr">
        <is>
          <t xml:space="preserve">        elif feature:</t>
        </is>
      </c>
    </row>
    <row r="134">
      <c r="A134" s="7" t="n">
        <v>131</v>
      </c>
      <c r="B134" s="8" t="inlineStr">
        <is>
          <t xml:space="preserve">            desc = f"画面: 展示{feature}"</t>
        </is>
      </c>
    </row>
    <row r="135">
      <c r="A135" s="9" t="n">
        <v>132</v>
      </c>
      <c r="B135" s="10" t="inlineStr">
        <is>
          <t xml:space="preserve">        else:</t>
        </is>
      </c>
    </row>
    <row r="136">
      <c r="A136" s="7" t="n">
        <v>133</v>
      </c>
      <c r="B136" s="8" t="inlineStr">
        <is>
          <t xml:space="preserve">            desc = f"画面: 展示{kw}相关设计"</t>
        </is>
      </c>
    </row>
    <row r="137">
      <c r="A137" s="9" t="n">
        <v>134</v>
      </c>
      <c r="B137" s="10" t="inlineStr">
        <is>
          <t xml:space="preserve">        descs.append(desc)</t>
        </is>
      </c>
    </row>
    <row r="138">
      <c r="A138" s="7" t="n">
        <v>135</v>
      </c>
      <c r="B138" s="8" t="inlineStr">
        <is>
          <t xml:space="preserve">    return descs</t>
        </is>
      </c>
    </row>
    <row r="139">
      <c r="A139" s="9" t="n">
        <v>136</v>
      </c>
      <c r="B139" s="10" t="inlineStr"/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42">
      <c r="A142" s="7" t="n">
        <v>139</v>
      </c>
      <c r="B142" s="8" t="inlineStr">
        <is>
          <t># CTA 检测与追加</t>
        </is>
      </c>
    </row>
    <row r="143">
      <c r="A143" s="9" t="n">
        <v>140</v>
      </c>
      <c r="B143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44">
      <c r="A144" s="7" t="n">
        <v>141</v>
      </c>
      <c r="B144" s="8" t="inlineStr"/>
    </row>
    <row r="145">
      <c r="A145" s="9" t="n">
        <v>142</v>
      </c>
      <c r="B145" s="10" t="inlineStr">
        <is>
          <t>def check_cta_present(text: str) -&gt; bool:</t>
        </is>
      </c>
    </row>
    <row r="146">
      <c r="A146" s="7" t="n">
        <v>143</v>
      </c>
      <c r="B146" s="8" t="inlineStr">
        <is>
          <t xml:space="preserve">    """检测文案结尾是否包含CTA行动引导"""</t>
        </is>
      </c>
    </row>
    <row r="147">
      <c r="A147" s="9" t="n">
        <v>144</v>
      </c>
      <c r="B147" s="10" t="inlineStr">
        <is>
          <t xml:space="preserve">    tail = text[-40:] if len(text) &gt; 40 else text</t>
        </is>
      </c>
    </row>
    <row r="148">
      <c r="A148" s="7" t="n">
        <v>145</v>
      </c>
      <c r="B148" s="8" t="inlineStr">
        <is>
          <t xml:space="preserve">    return any(kw in tail for kw in CTA_KEYWORDS)</t>
        </is>
      </c>
    </row>
    <row r="149">
      <c r="A149" s="9" t="n">
        <v>146</v>
      </c>
      <c r="B149" s="10" t="inlineStr"/>
    </row>
    <row r="150">
      <c r="A150" s="7" t="n">
        <v>147</v>
      </c>
      <c r="B150" s="8" t="inlineStr"/>
    </row>
    <row r="151">
      <c r="A151" s="9" t="n">
        <v>148</v>
      </c>
      <c r="B151" s="10" t="inlineStr">
        <is>
          <t>def append_cta_if_missing(text: str) -&gt; str:</t>
        </is>
      </c>
    </row>
    <row r="152">
      <c r="A152" s="7" t="n">
        <v>149</v>
      </c>
      <c r="B152" s="8" t="inlineStr">
        <is>
          <t xml:space="preserve">    """如果文案没有CTA,自动在末尾追加"""</t>
        </is>
      </c>
    </row>
    <row r="153">
      <c r="A153" s="9" t="n">
        <v>150</v>
      </c>
      <c r="B153" s="10" t="inlineStr">
        <is>
          <t xml:space="preserve">    cta = random.choice(CTA_TEMPLATES)</t>
        </is>
      </c>
    </row>
    <row r="154">
      <c r="A154" s="7" t="n">
        <v>151</v>
      </c>
      <c r="B154" s="8" t="inlineStr">
        <is>
          <t xml:space="preserve">    if text and text[-1] not in ".！？~":</t>
        </is>
      </c>
    </row>
    <row r="155">
      <c r="A155" s="9" t="n">
        <v>152</v>
      </c>
      <c r="B155" s="10" t="inlineStr">
        <is>
          <t xml:space="preserve">        text += "."</t>
        </is>
      </c>
    </row>
    <row r="156">
      <c r="A156" s="7" t="n">
        <v>153</v>
      </c>
      <c r="B156" s="8" t="inlineStr">
        <is>
          <t xml:space="preserve">    return text + cta</t>
        </is>
      </c>
    </row>
    <row r="157">
      <c r="A157" s="9" t="n">
        <v>154</v>
      </c>
      <c r="B157" s="10" t="inlineStr"/>
    </row>
    <row r="158">
      <c r="A158" s="7" t="n">
        <v>155</v>
      </c>
      <c r="B158" s="8" t="inlineStr"/>
    </row>
    <row r="159">
      <c r="A159" s="9" t="n">
        <v>156</v>
      </c>
      <c r="B159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60">
      <c r="A160" s="7" t="n">
        <v>157</v>
      </c>
      <c r="B160" s="8" t="inlineStr">
        <is>
          <t># 备用文案（API不可用时）</t>
        </is>
      </c>
    </row>
    <row r="161">
      <c r="A161" s="9" t="n">
        <v>158</v>
      </c>
      <c r="B161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62">
      <c r="A162" s="7" t="n">
        <v>159</v>
      </c>
      <c r="B162" s="8" t="inlineStr"/>
    </row>
    <row r="163">
      <c r="A163" s="9" t="n">
        <v>160</v>
      </c>
      <c r="B163" s="10" t="inlineStr">
        <is>
          <t>def generate_fallback_copy(keyword: str) -&gt; str:</t>
        </is>
      </c>
    </row>
    <row r="164">
      <c r="A164" s="7" t="n">
        <v>161</v>
      </c>
      <c r="B164" s="8" t="inlineStr">
        <is>
          <t xml:space="preserve">    """API失败时的模板备用文案"""</t>
        </is>
      </c>
    </row>
    <row r="165">
      <c r="A165" s="9" t="n">
        <v>162</v>
      </c>
      <c r="B165" s="10" t="inlineStr">
        <is>
          <t xml:space="preserve">    templates = [</t>
        </is>
      </c>
    </row>
    <row r="166">
      <c r="A166" s="7" t="n">
        <v>163</v>
      </c>
      <c r="B166" s="8" t="inlineStr">
        <is>
          <t xml:space="preserve">        lambda kw: (</t>
        </is>
      </c>
    </row>
    <row r="167">
      <c r="A167" s="9" t="n">
        <v>164</v>
      </c>
      <c r="B167" s="10" t="inlineStr">
        <is>
          <t xml:space="preserve">            f"90%的人选岛台都踩坑了！装完才后悔没做{kw}."</t>
        </is>
      </c>
    </row>
    <row r="168">
      <c r="A168" s="7" t="n">
        <v>165</v>
      </c>
      <c r="B168" s="8" t="inlineStr">
        <is>
          <t xml:space="preserve">            f"坤宝岛台把{kw}做到极致,严丝合缝的细节看得见."</t>
        </is>
      </c>
    </row>
    <row r="169">
      <c r="A169" s="9" t="n">
        <v>166</v>
      </c>
      <c r="B169" s="10" t="inlineStr">
        <is>
          <t xml:space="preserve">            f"收纳翻倍,台面永远干净,小户型也有大厨房."</t>
        </is>
      </c>
    </row>
    <row r="170">
      <c r="A170" s="7" t="n">
        <v>167</v>
      </c>
      <c r="B170" s="8" t="inlineStr">
        <is>
          <t xml:space="preserve">            f"喜欢这个设计吗？评论区告诉我,免费拿方案！"</t>
        </is>
      </c>
    </row>
    <row r="171">
      <c r="A171" s="9" t="n">
        <v>168</v>
      </c>
      <c r="B171" s="10" t="inlineStr">
        <is>
          <t xml:space="preserve">        ),</t>
        </is>
      </c>
    </row>
    <row r="172">
      <c r="A172" s="7" t="n">
        <v>169</v>
      </c>
      <c r="B172" s="8" t="inlineStr">
        <is>
          <t xml:space="preserve">        lambda kw: (</t>
        </is>
      </c>
    </row>
    <row r="173">
      <c r="A173" s="9" t="n">
        <v>170</v>
      </c>
      <c r="B173" s="10" t="inlineStr">
        <is>
          <t xml:space="preserve">            f"你敢信吗？这个岛台居然自带{kw}！"</t>
        </is>
      </c>
    </row>
    <row r="174">
      <c r="A174" s="7" t="n">
        <v>171</v>
      </c>
      <c r="B174" s="8" t="inlineStr">
        <is>
          <t xml:space="preserve">            f"自从装了坤宝岛台,厨房动线顺了不止一倍呢."</t>
        </is>
      </c>
    </row>
    <row r="175">
      <c r="A175" s="9" t="n">
        <v>172</v>
      </c>
      <c r="B175" s="10" t="inlineStr">
        <is>
          <t xml:space="preserve">            f"{kw}设计太贴心了,每天做饭都是一种享受."</t>
        </is>
      </c>
    </row>
    <row r="176">
      <c r="A176" s="7" t="n">
        <v>173</v>
      </c>
      <c r="B176" s="8" t="inlineStr">
        <is>
          <t xml:space="preserve">            f"姐妹们心动了吗💕 私信我解锁你的岛台方案～"</t>
        </is>
      </c>
    </row>
    <row r="177">
      <c r="A177" s="9" t="n">
        <v>174</v>
      </c>
      <c r="B177" s="10" t="inlineStr">
        <is>
          <t xml:space="preserve">        ),</t>
        </is>
      </c>
    </row>
    <row r="178">
      <c r="A178" s="7" t="n">
        <v>175</v>
      </c>
      <c r="B178" s="8" t="inlineStr">
        <is>
          <t xml:space="preserve">        lambda kw: (</t>
        </is>
      </c>
    </row>
    <row r="179">
      <c r="A179" s="9" t="n">
        <v>176</v>
      </c>
      <c r="B179" s="10" t="inlineStr">
        <is>
          <t xml:space="preserve">            f"岛台装修别再踩坑了！{kw}才是正确打开方式."</t>
        </is>
      </c>
    </row>
    <row r="180">
      <c r="A180" s="7" t="n">
        <v>177</v>
      </c>
      <c r="B180" s="8" t="inlineStr">
        <is>
          <t xml:space="preserve">            f"坤宝岛台的{kw}设计,简单高级又好打理."</t>
        </is>
      </c>
    </row>
    <row r="181">
      <c r="A181" s="9" t="n">
        <v>178</v>
      </c>
      <c r="B181" s="10" t="inlineStr">
        <is>
          <t xml:space="preserve">            f"12mm岩板一体成型,手感温润,越用越喜欢."</t>
        </is>
      </c>
    </row>
    <row r="182">
      <c r="A182" s="7" t="n">
        <v>179</v>
      </c>
      <c r="B182" s="8" t="inlineStr">
        <is>
          <t xml:space="preserve">            f"想抄作业的评论区扣1✨我来安排！"</t>
        </is>
      </c>
    </row>
    <row r="183">
      <c r="A183" s="9" t="n">
        <v>180</v>
      </c>
      <c r="B183" s="10" t="inlineStr">
        <is>
          <t xml:space="preserve">        ),</t>
        </is>
      </c>
    </row>
    <row r="184">
      <c r="A184" s="7" t="n">
        <v>181</v>
      </c>
      <c r="B184" s="8" t="inlineStr">
        <is>
          <t xml:space="preserve">    ]</t>
        </is>
      </c>
    </row>
    <row r="185">
      <c r="A185" s="9" t="n">
        <v>182</v>
      </c>
      <c r="B185" s="10" t="inlineStr">
        <is>
          <t xml:space="preserve">    return filter_redbook_text(random.choice(templates)(keyword))[0]</t>
        </is>
      </c>
    </row>
    <row r="186">
      <c r="A186" s="7" t="n">
        <v>183</v>
      </c>
      <c r="B186" s="8" t="inlineStr"/>
    </row>
    <row r="187">
      <c r="A187" s="9" t="n">
        <v>184</v>
      </c>
      <c r="B187" s="10" t="inlineStr"/>
    </row>
    <row r="188">
      <c r="A188" s="7" t="n">
        <v>185</v>
      </c>
      <c r="B188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89">
      <c r="A189" s="9" t="n">
        <v>186</v>
      </c>
      <c r="B189" s="10" t="inlineStr">
        <is>
          <t># DeepSeek 文案生成</t>
        </is>
      </c>
    </row>
    <row r="190">
      <c r="A190" s="7" t="n">
        <v>187</v>
      </c>
      <c r="B190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91">
      <c r="A191" s="9" t="n">
        <v>188</v>
      </c>
      <c r="B191" s="10" t="inlineStr"/>
    </row>
    <row r="192">
      <c r="A192" s="7" t="n">
        <v>189</v>
      </c>
      <c r="B192" s="8" t="inlineStr">
        <is>
          <t>def generate_copy(keyword: str, num_clips: int, total_duration: float,</t>
        </is>
      </c>
    </row>
    <row r="193">
      <c r="A193" s="9" t="n">
        <v>190</v>
      </c>
      <c r="B193" s="10" t="inlineStr">
        <is>
          <t xml:space="preserve">                  clips: List[dict] = None) -&gt; str:</t>
        </is>
      </c>
    </row>
    <row r="194">
      <c r="A194" s="7" t="n">
        <v>191</v>
      </c>
      <c r="B194" s="8" t="inlineStr">
        <is>
          <t xml:space="preserve">    """调用DeepSeek生成小红书风格文案"""</t>
        </is>
      </c>
    </row>
    <row r="195">
      <c r="A195" s="9" t="n">
        <v>192</v>
      </c>
      <c r="B195" s="10" t="inlineStr">
        <is>
          <t xml:space="preserve">    if not DEEPSEEK_API_KEY:</t>
        </is>
      </c>
    </row>
    <row r="196">
      <c r="A196" s="7" t="n">
        <v>193</v>
      </c>
      <c r="B196" s="8" t="inlineStr">
        <is>
          <t xml:space="preserve">        print("   !! 未配置 DEEPSEEK_API_KEY")</t>
        </is>
      </c>
    </row>
    <row r="197">
      <c r="A197" s="9" t="n">
        <v>194</v>
      </c>
      <c r="B197" s="10" t="inlineStr">
        <is>
          <t xml:space="preserve">        return generate_fallback_copy(keyword)</t>
        </is>
      </c>
    </row>
    <row r="198">
      <c r="A198" s="7" t="n">
        <v>195</v>
      </c>
      <c r="B198" s="8" t="inlineStr"/>
    </row>
    <row r="199">
      <c r="A199" s="9" t="n">
        <v>196</v>
      </c>
      <c r="B199" s="10" t="inlineStr">
        <is>
          <t xml:space="preserve">    try:</t>
        </is>
      </c>
    </row>
    <row r="200">
      <c r="A200" s="7" t="n">
        <v>197</v>
      </c>
      <c r="B200" s="8" t="inlineStr">
        <is>
          <t xml:space="preserve">        from openai import OpenAI</t>
        </is>
      </c>
    </row>
    <row r="201">
      <c r="A201" s="9" t="n">
        <v>198</v>
      </c>
      <c r="B201" s="10" t="inlineStr">
        <is>
          <t xml:space="preserve">    except ImportError:</t>
        </is>
      </c>
    </row>
    <row r="202">
      <c r="A202" s="7" t="n">
        <v>199</v>
      </c>
      <c r="B202" s="8" t="inlineStr">
        <is>
          <t xml:space="preserve">        print("   !! openai 库未安装")</t>
        </is>
      </c>
    </row>
    <row r="203">
      <c r="A203" s="9" t="n">
        <v>200</v>
      </c>
      <c r="B203" s="10" t="inlineStr">
        <is>
          <t xml:space="preserve">        return generate_fallback_copy(keyword)</t>
        </is>
      </c>
    </row>
    <row r="204">
      <c r="A204" s="7" t="n">
        <v>201</v>
      </c>
      <c r="B204" s="8" t="inlineStr"/>
    </row>
    <row r="205">
      <c r="A205" s="9" t="n">
        <v>202</v>
      </c>
      <c r="B205" s="10" t="inlineStr">
        <is>
          <t xml:space="preserve">    client = OpenAI(api_key=DEEPSEEK_API_KEY, base_url=DEEPSEEK_BASE_URL)</t>
        </is>
      </c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 xml:space="preserve">    selling_points_shown = [keyword]</t>
        </is>
      </c>
    </row>
    <row r="208">
      <c r="A208" s="7" t="n">
        <v>205</v>
      </c>
      <c r="B208" s="8" t="inlineStr">
        <is>
          <t xml:space="preserve">    if clips:</t>
        </is>
      </c>
    </row>
    <row r="209">
      <c r="A209" s="9" t="n">
        <v>206</v>
      </c>
      <c r="B209" s="10" t="inlineStr">
        <is>
          <t xml:space="preserve">        for c in clips:</t>
        </is>
      </c>
    </row>
    <row r="210">
      <c r="A210" s="7" t="n">
        <v>207</v>
      </c>
      <c r="B210" s="8" t="inlineStr">
        <is>
          <t xml:space="preserve">            parent = c["path"].parent.name</t>
        </is>
      </c>
    </row>
    <row r="211">
      <c r="A211" s="9" t="n">
        <v>208</v>
      </c>
      <c r="B211" s="10" t="inlineStr">
        <is>
          <t xml:space="preserve">            clean = re.sub(r'^\d+', '', parent)</t>
        </is>
      </c>
    </row>
    <row r="212">
      <c r="A212" s="7" t="n">
        <v>209</v>
      </c>
      <c r="B212" s="8" t="inlineStr">
        <is>
          <t xml:space="preserve">            if clean and clean not in selling_points_shown:</t>
        </is>
      </c>
    </row>
    <row r="213">
      <c r="A213" s="9" t="n">
        <v>210</v>
      </c>
      <c r="B213" s="10" t="inlineStr">
        <is>
          <t xml:space="preserve">                selling_points_shown.append(clean)</t>
        </is>
      </c>
    </row>
    <row r="214">
      <c r="A214" s="7" t="n">
        <v>211</v>
      </c>
      <c r="B214" s="8" t="inlineStr">
        <is>
          <t xml:space="preserve">    selling_points_str = ",".join(selling_points_shown[:5])</t>
        </is>
      </c>
    </row>
    <row r="215">
      <c r="A215" s="9" t="n">
        <v>212</v>
      </c>
      <c r="B215" s="10" t="inlineStr"/>
    </row>
    <row r="216">
      <c r="A216" s="7" t="n">
        <v>213</v>
      </c>
      <c r="B216" s="8" t="inlineStr">
        <is>
          <t xml:space="preserve">    scene_lines = []</t>
        </is>
      </c>
    </row>
    <row r="217">
      <c r="A217" s="9" t="n">
        <v>214</v>
      </c>
      <c r="B217" s="10" t="inlineStr">
        <is>
          <t xml:space="preserve">    if clips:</t>
        </is>
      </c>
    </row>
    <row r="218">
      <c r="A218" s="7" t="n">
        <v>215</v>
      </c>
      <c r="B218" s="8" t="inlineStr">
        <is>
          <t xml:space="preserve">        descs = extract_video_descriptions(clips)</t>
        </is>
      </c>
    </row>
    <row r="219">
      <c r="A219" s="9" t="n">
        <v>216</v>
      </c>
      <c r="B219" s="10" t="inlineStr">
        <is>
          <t xml:space="preserve">        for i, desc in enumerate(descs):</t>
        </is>
      </c>
    </row>
    <row r="220">
      <c r="A220" s="7" t="n">
        <v>217</v>
      </c>
      <c r="B220" s="8" t="inlineStr">
        <is>
          <t xml:space="preserve">            scene_lines.append(f"  片段{i+1}: {desc}")</t>
        </is>
      </c>
    </row>
    <row r="221">
      <c r="A221" s="9" t="n">
        <v>218</v>
      </c>
      <c r="B221" s="10" t="inlineStr">
        <is>
          <t xml:space="preserve">    scene_desc = "\n".join(scene_lines) if scene_lines else f"  (关于{keyword}的展示画面)"</t>
        </is>
      </c>
    </row>
    <row r="222">
      <c r="A222" s="7" t="n">
        <v>219</v>
      </c>
      <c r="B222" s="8" t="inlineStr"/>
    </row>
    <row r="223">
      <c r="A223" s="9" t="n">
        <v>220</v>
      </c>
      <c r="B223" s="10" t="inlineStr">
        <is>
          <t xml:space="preserve">    HOOK_SEC = 3.0</t>
        </is>
      </c>
    </row>
    <row r="224">
      <c r="A224" s="7" t="n">
        <v>221</v>
      </c>
      <c r="B224" s="8" t="inlineStr">
        <is>
          <t xml:space="preserve">    CTA_SEC = 6.0</t>
        </is>
      </c>
    </row>
    <row r="225">
      <c r="A225" s="9" t="n">
        <v>222</v>
      </c>
      <c r="B225" s="10" t="inlineStr">
        <is>
          <t xml:space="preserve">    features_sec = max(10.0, total_duration - HOOK_SEC - CTA_SEC)</t>
        </is>
      </c>
    </row>
    <row r="226">
      <c r="A226" s="7" t="n">
        <v>223</v>
      </c>
      <c r="B226" s="8" t="inlineStr">
        <is>
          <t xml:space="preserve">    max_chars = int(total_duration * 3.2)</t>
        </is>
      </c>
    </row>
    <row r="227">
      <c r="A227" s="9" t="n">
        <v>224</v>
      </c>
      <c r="B227" s="10" t="inlineStr">
        <is>
          <t xml:space="preserve">    features_chars = int(features_sec * 3.2)</t>
        </is>
      </c>
    </row>
    <row r="228">
      <c r="A228" s="7" t="n">
        <v>225</v>
      </c>
      <c r="B228" s="8" t="inlineStr">
        <is>
          <t xml:space="preserve">    cta_chars = int(CTA_SEC * 3.2)</t>
        </is>
      </c>
    </row>
    <row r="229">
      <c r="A229" s="9" t="n">
        <v>226</v>
      </c>
      <c r="B229" s="10" t="inlineStr"/>
    </row>
    <row r="230">
      <c r="A230" s="7" t="n">
        <v>227</v>
      </c>
      <c r="B230" s="8" t="inlineStr">
        <is>
          <t xml:space="preserve">    user_prompt = f"""请为「坤宝岛台」生成口播配音脚本,视频总时长{total_duration:.0f}秒.</t>
        </is>
      </c>
    </row>
    <row r="231">
      <c r="A231" s="9" t="n">
        <v>228</v>
      </c>
      <c r="B231" s="10" t="inlineStr"/>
    </row>
    <row r="232">
      <c r="A232" s="7" t="n">
        <v>229</v>
      </c>
      <c r="B232" s="8" t="inlineStr">
        <is>
          <t>当前视频展示的卖点:{selling_points_str}</t>
        </is>
      </c>
    </row>
    <row r="233">
      <c r="A233" s="9" t="n">
        <v>230</v>
      </c>
      <c r="B233" s="10" t="inlineStr"/>
    </row>
    <row r="234">
      <c r="A234" s="7" t="n">
        <v>231</v>
      </c>
      <c r="B234" s="8" t="inlineStr">
        <is>
          <t>画面内容依次为:</t>
        </is>
      </c>
    </row>
    <row r="235">
      <c r="A235" s="9" t="n">
        <v>232</v>
      </c>
      <c r="B235" s="10" t="inlineStr">
        <is>
          <t>{scene_desc}</t>
        </is>
      </c>
    </row>
    <row r="236">
      <c r="A236" s="7" t="n">
        <v>233</v>
      </c>
      <c r="B236" s="8" t="inlineStr"/>
    </row>
    <row r="237">
      <c r="A237" s="9" t="n">
        <v>234</v>
      </c>
      <c r="B237" s="10" t="inlineStr">
        <is>
          <t># ★ 强制遵守的三段式结构</t>
        </is>
      </c>
    </row>
    <row r="238">
      <c r="A238" s="7" t="n">
        <v>235</v>
      </c>
      <c r="B238" s="8" t="inlineStr"/>
    </row>
    <row r="239">
      <c r="A239" s="9" t="n">
        <v>236</v>
      </c>
      <c r="B239" s="10" t="inlineStr">
        <is>
          <t>## 第一段[钩子开头 0-3秒, 约15字]</t>
        </is>
      </c>
    </row>
    <row r="240">
      <c r="A240" s="7" t="n">
        <v>237</v>
      </c>
      <c r="B240" s="8" t="inlineStr">
        <is>
          <t>从系统提示给出的5种钩子中选一种(不要原文照抄),直击厨房岛台的痛点或制造悬念.</t>
        </is>
      </c>
    </row>
    <row r="241">
      <c r="A241" s="9" t="n">
        <v>238</v>
      </c>
      <c r="B241" s="10" t="inlineStr"/>
    </row>
    <row r="242">
      <c r="A242" s="7" t="n">
        <v>239</v>
      </c>
      <c r="B242" s="8" t="inlineStr">
        <is>
          <t>## 第二段[核心卖点 3-{3+features_sec:.0f}秒, 约{features_chars}字]</t>
        </is>
      </c>
    </row>
    <row r="243">
      <c r="A243" s="9" t="n">
        <v>240</v>
      </c>
      <c r="B243" s="10" t="inlineStr">
        <is>
          <t>依次介绍视频中展示的3-4个不同功能,每句对应一个卖点:</t>
        </is>
      </c>
    </row>
    <row r="244">
      <c r="A244" s="7" t="n">
        <v>241</v>
      </c>
      <c r="B244" s="8" t="inlineStr">
        <is>
          <t>- 共{num_clips-1 if num_clips &gt; 2 else num_clips}句功能描述</t>
        </is>
      </c>
    </row>
    <row r="245">
      <c r="A245" s="9" t="n">
        <v>242</v>
      </c>
      <c r="B245" s="10" t="inlineStr">
        <is>
          <t>- 每句12-18字,口语化</t>
        </is>
      </c>
    </row>
    <row r="246">
      <c r="A246" s="7" t="n">
        <v>243</v>
      </c>
      <c r="B246" s="8" t="inlineStr">
        <is>
          <t>- 材质颜色与画面严格一致</t>
        </is>
      </c>
    </row>
    <row r="247">
      <c r="A247" s="9" t="n">
        <v>244</v>
      </c>
      <c r="B247" s="10" t="inlineStr"/>
    </row>
    <row r="248">
      <c r="A248" s="7" t="n">
        <v>245</v>
      </c>
      <c r="B248" s="8" t="inlineStr">
        <is>
          <t>## 第三段[★ CTA行动引导 {total_duration-CTA_SEC:.0f}-{total_duration:.0f}秒, 约{cta_chars}字]★</t>
        </is>
      </c>
    </row>
    <row r="249">
      <c r="A249" s="9" t="n">
        <v>246</v>
      </c>
      <c r="B249" s="10" t="inlineStr">
        <is>
          <t>**[这是全文最重要的1句,绝对不能省略！]**</t>
        </is>
      </c>
    </row>
    <row r="250">
      <c r="A250" s="7" t="n">
        <v>247</v>
      </c>
      <c r="B250" s="8" t="inlineStr">
        <is>
          <t>从以下三个方向选一个:</t>
        </is>
      </c>
    </row>
    <row r="251">
      <c r="A251" s="9" t="n">
        <v>248</v>
      </c>
      <c r="B251" s="10" t="inlineStr">
        <is>
          <t>- 引导评论</t>
        </is>
      </c>
    </row>
    <row r="252">
      <c r="A252" s="7" t="n">
        <v>249</v>
      </c>
      <c r="B252" s="8" t="inlineStr">
        <is>
          <t>- 引导关注</t>
        </is>
      </c>
    </row>
    <row r="253">
      <c r="A253" s="9" t="n">
        <v>250</v>
      </c>
      <c r="B253" s="10" t="inlineStr">
        <is>
          <t>- 引导私信</t>
        </is>
      </c>
    </row>
    <row r="254">
      <c r="A254" s="7" t="n">
        <v>251</v>
      </c>
      <c r="B254" s="8" t="inlineStr"/>
    </row>
    <row r="255">
      <c r="A255" s="9" t="n">
        <v>252</v>
      </c>
      <c r="B255" s="10" t="inlineStr">
        <is>
          <t># 铁律</t>
        </is>
      </c>
    </row>
    <row r="256">
      <c r="A256" s="7" t="n">
        <v>253</v>
      </c>
      <c r="B256" s="8" t="inlineStr">
        <is>
          <t>- !! 全文必须包含钩子+卖点+CTA三段</t>
        </is>
      </c>
    </row>
    <row r="257">
      <c r="A257" s="9" t="n">
        <v>254</v>
      </c>
      <c r="B257" s="10" t="inlineStr">
        <is>
          <t>- !! 最后一句话必须是CTA行动引导</t>
        </is>
      </c>
    </row>
    <row r="258">
      <c r="A258" s="7" t="n">
        <v>255</v>
      </c>
      <c r="B258" s="8" t="inlineStr">
        <is>
          <t>- !! 总字数80-90字,不要编号</t>
        </is>
      </c>
    </row>
    <row r="259">
      <c r="A259" s="9" t="n">
        <v>256</v>
      </c>
      <c r="B259" s="10" t="inlineStr">
        <is>
          <t>- !! 每句材质颜色与画面一致"""</t>
        </is>
      </c>
    </row>
    <row r="260">
      <c r="A260" s="7" t="n">
        <v>257</v>
      </c>
      <c r="B260" s="8" t="inlineStr"/>
    </row>
    <row r="261">
      <c r="A261" s="9" t="n">
        <v>258</v>
      </c>
      <c r="B261" s="10" t="inlineStr">
        <is>
          <t xml:space="preserve">    print(f"   🤖 正在调用 DeepSeek 生成三段式文案...")</t>
        </is>
      </c>
    </row>
    <row r="262">
      <c r="A262" s="7" t="n">
        <v>259</v>
      </c>
      <c r="B262" s="8" t="inlineStr">
        <is>
          <t xml:space="preserve">    print(f"   📐 时长预算: 钩子{HOOK_SEC:.0f}s + 卖点{features_sec:.0f}s + CTA{CTA_SEC:.0f}s = {total_duration:.0f}s")</t>
        </is>
      </c>
    </row>
    <row r="263">
      <c r="A263" s="9" t="n">
        <v>260</v>
      </c>
      <c r="B263" s="10" t="inlineStr"/>
    </row>
    <row r="264">
      <c r="A264" s="7" t="n">
        <v>261</v>
      </c>
      <c r="B264" s="8" t="inlineStr">
        <is>
          <t xml:space="preserve">    try:</t>
        </is>
      </c>
    </row>
    <row r="265">
      <c r="A265" s="9" t="n">
        <v>262</v>
      </c>
      <c r="B265" s="10" t="inlineStr">
        <is>
          <t xml:space="preserve">        response = client.chat.completions.create(</t>
        </is>
      </c>
    </row>
    <row r="266">
      <c r="A266" s="7" t="n">
        <v>263</v>
      </c>
      <c r="B266" s="8" t="inlineStr">
        <is>
          <t xml:space="preserve">            model=DEEPSEEK_MODEL,</t>
        </is>
      </c>
    </row>
    <row r="267">
      <c r="A267" s="9" t="n">
        <v>264</v>
      </c>
      <c r="B267" s="10" t="inlineStr">
        <is>
          <t xml:space="preserve">            messages=[</t>
        </is>
      </c>
    </row>
    <row r="268">
      <c r="A268" s="7" t="n">
        <v>265</v>
      </c>
      <c r="B268" s="8" t="inlineStr">
        <is>
          <t xml:space="preserve">                {"role": "system", "content": DEEPSEEK_SYSTEM_PROMPT},</t>
        </is>
      </c>
    </row>
    <row r="269">
      <c r="A269" s="9" t="n">
        <v>266</v>
      </c>
      <c r="B269" s="10" t="inlineStr">
        <is>
          <t xml:space="preserve">                {"role": "user", "content": user_prompt}</t>
        </is>
      </c>
    </row>
    <row r="270">
      <c r="A270" s="7" t="n">
        <v>267</v>
      </c>
      <c r="B270" s="8" t="inlineStr">
        <is>
          <t xml:space="preserve">            ],</t>
        </is>
      </c>
    </row>
    <row r="271">
      <c r="A271" s="9" t="n">
        <v>268</v>
      </c>
      <c r="B271" s="10" t="inlineStr">
        <is>
          <t xml:space="preserve">            temperature=0.9,</t>
        </is>
      </c>
    </row>
    <row r="272">
      <c r="A272" s="7" t="n">
        <v>269</v>
      </c>
      <c r="B272" s="8" t="inlineStr">
        <is>
          <t xml:space="preserve">            max_tokens=600,</t>
        </is>
      </c>
    </row>
    <row r="273">
      <c r="A273" s="9" t="n">
        <v>270</v>
      </c>
      <c r="B273" s="10" t="inlineStr">
        <is>
          <t xml:space="preserve">        )</t>
        </is>
      </c>
    </row>
    <row r="274">
      <c r="A274" s="7" t="n">
        <v>271</v>
      </c>
      <c r="B274" s="8" t="inlineStr">
        <is>
          <t xml:space="preserve">        copy_text = response.choices[0].message.content.strip()</t>
        </is>
      </c>
    </row>
    <row r="275">
      <c r="A275" s="9" t="n">
        <v>272</v>
      </c>
      <c r="B275" s="10" t="inlineStr">
        <is>
          <t xml:space="preserve">        # ── 敏感词过滤 (v11.1 新增) ──</t>
        </is>
      </c>
    </row>
    <row r="276">
      <c r="A276" s="7" t="n">
        <v>273</v>
      </c>
      <c r="B276" s="8" t="inlineStr">
        <is>
          <t xml:space="preserve">        has_forbidden, matched = contains_forbidden_word(copy_text)</t>
        </is>
      </c>
    </row>
    <row r="277">
      <c r="A277" s="9" t="n">
        <v>274</v>
      </c>
      <c r="B277" s="10" t="inlineStr">
        <is>
          <t xml:space="preserve">        if has_forbidden:</t>
        </is>
      </c>
    </row>
    <row r="278">
      <c r="A278" s="7" t="n">
        <v>275</v>
      </c>
      <c r="B278" s="8" t="inlineStr">
        <is>
          <t xml:space="preserve">            print(f"   ⚠️ 检测到违禁词: {matched}，正在自动过滤...")</t>
        </is>
      </c>
    </row>
    <row r="279">
      <c r="A279" s="9" t="n">
        <v>276</v>
      </c>
      <c r="B279" s="10" t="inlineStr">
        <is>
          <t xml:space="preserve">            copy_text, filtered_count = filter_redbook_text(copy_text)</t>
        </is>
      </c>
    </row>
    <row r="280">
      <c r="A280" s="7" t="n">
        <v>277</v>
      </c>
      <c r="B280" s="8" t="inlineStr">
        <is>
          <t xml:space="preserve">            print(f"   ✅ 已完成 {filtered_count} 处违禁词处理")</t>
        </is>
      </c>
    </row>
    <row r="281">
      <c r="A281" s="9" t="n">
        <v>278</v>
      </c>
      <c r="B281" s="10" t="inlineStr">
        <is>
          <t xml:space="preserve">        has_cta = check_cta_present(copy_text)</t>
        </is>
      </c>
    </row>
    <row r="282">
      <c r="A282" s="7" t="n">
        <v>279</v>
      </c>
      <c r="B282" s="8" t="inlineStr">
        <is>
          <t xml:space="preserve">        print(f"   ✅ 文案生成成功({len(copy_text)}字)")</t>
        </is>
      </c>
    </row>
    <row r="283">
      <c r="A283" s="9" t="n">
        <v>280</v>
      </c>
      <c r="B283" s="10" t="inlineStr">
        <is>
          <t xml:space="preserve">        if has_cta:</t>
        </is>
      </c>
    </row>
    <row r="284">
      <c r="A284" s="7" t="n">
        <v>281</v>
      </c>
      <c r="B284" s="8" t="inlineStr">
        <is>
          <t xml:space="preserve">            print(f"   ✅ CTA检查: 结尾包含行动引导")</t>
        </is>
      </c>
    </row>
    <row r="285">
      <c r="A285" s="9" t="n">
        <v>282</v>
      </c>
      <c r="B285" s="10" t="inlineStr">
        <is>
          <t xml:space="preserve">        else:</t>
        </is>
      </c>
    </row>
    <row r="286">
      <c r="A286" s="7" t="n">
        <v>283</v>
      </c>
      <c r="B286" s="8" t="inlineStr">
        <is>
          <t xml:space="preserve">            print(f"   !! CTA检查: 未检测到明确行动引导,已自动追加")</t>
        </is>
      </c>
    </row>
    <row r="287">
      <c r="A287" s="9" t="n">
        <v>284</v>
      </c>
      <c r="B287" s="10" t="inlineStr">
        <is>
          <t xml:space="preserve">            copy_text = append_cta_if_missing(copy_text)</t>
        </is>
      </c>
    </row>
    <row r="288">
      <c r="A288" s="7" t="n">
        <v>285</v>
      </c>
      <c r="B288" s="8" t="inlineStr">
        <is>
          <t xml:space="preserve">        return copy_text</t>
        </is>
      </c>
    </row>
    <row r="289">
      <c r="A289" s="9" t="n">
        <v>286</v>
      </c>
      <c r="B289" s="10" t="inlineStr">
        <is>
          <t xml:space="preserve">    except Exception as e:</t>
        </is>
      </c>
    </row>
    <row r="290">
      <c r="A290" s="7" t="n">
        <v>287</v>
      </c>
      <c r="B290" s="8" t="inlineStr">
        <is>
          <t xml:space="preserve">        print(f"   ❌ DeepSeek API 调用失败: {e}")</t>
        </is>
      </c>
    </row>
    <row r="291">
      <c r="A291" s="9" t="n">
        <v>288</v>
      </c>
      <c r="B291" s="10" t="inlineStr">
        <is>
          <t xml:space="preserve">        print(f"   !! 将使用默认文案")</t>
        </is>
      </c>
    </row>
    <row r="292">
      <c r="A292" s="7" t="n">
        <v>289</v>
      </c>
      <c r="B292" s="8" t="inlineStr">
        <is>
          <t xml:space="preserve">        return generate_fallback_copy(keyword)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core\database.py</t>
        </is>
      </c>
      <c r="C1" s="5" t="inlineStr">
        <is>
          <t>行数: 406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 -*- coding: utf-8 -*-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数据库核心 - v3.0 API (system.db) + v12.0 GUI 兼容层 (ai_material_library.db / material_usage.db / task_log.db)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v12.0 GUI 使用 db 单例，数据表 schema（从现有数据库提取）:</t>
        </is>
      </c>
    </row>
    <row r="9">
      <c r="A9" s="9" t="n">
        <v>6</v>
      </c>
      <c r="B9" s="10" t="inlineStr">
        <is>
          <t xml:space="preserve">  materials(video_path,start_time,end_time,tags,objects,style,color,material,speech_text,confidence,embedding,blocked,has_frames,has_human,is_opening,analyzed,source_folder,duration,file_size,file_mtime)</t>
        </is>
      </c>
    </row>
    <row r="10">
      <c r="A10" s="7" t="n">
        <v>7</v>
      </c>
      <c r="B10" s="8" t="inlineStr">
        <is>
          <t xml:space="preserve">  video_registry(video_path,duration,analyzed,file_mtime,file_size)</t>
        </is>
      </c>
    </row>
    <row r="11">
      <c r="A11" s="9" t="n">
        <v>8</v>
      </c>
      <c r="B11" s="10" t="inlineStr">
        <is>
          <t xml:space="preserve">  video_annotations(video_path,video_name,frame_index,timestamp_str,frame_path,tags,model_tags,score,score_note,edited)</t>
        </is>
      </c>
    </row>
    <row r="12">
      <c r="A12" s="7" t="n">
        <v>9</v>
      </c>
      <c r="B12" s="8" t="inlineStr">
        <is>
          <t xml:space="preserve">  annotation_feedback(video_id,old_tag,new_tag,score,user_note)</t>
        </is>
      </c>
    </row>
    <row r="13">
      <c r="A13" s="9" t="n">
        <v>10</v>
      </c>
      <c r="B13" s="10" t="inlineStr">
        <is>
          <t xml:space="preserve">  tag_learning(tag,correct_count,total_count,accuracy)</t>
        </is>
      </c>
    </row>
    <row r="14">
      <c r="A14" s="7" t="n">
        <v>11</v>
      </c>
      <c r="B14" s="8" t="inlineStr">
        <is>
          <t xml:space="preserve">  learned_scripts(content,source,tags,usage_count,avg_score,embedding,notes)</t>
        </is>
      </c>
    </row>
    <row r="15">
      <c r="A15" s="9" t="n">
        <v>12</v>
      </c>
      <c r="B15" s="10" t="inlineStr">
        <is>
          <t xml:space="preserve">  generation_log(script_id,keyword,draft_dir)</t>
        </is>
      </c>
    </row>
    <row r="16">
      <c r="A16" s="7" t="n">
        <v>13</v>
      </c>
      <c r="B16" s="8" t="inlineStr">
        <is>
          <t xml:space="preserve">  analysis_log(video_path,models_used,duration_sec,tags_generated)</t>
        </is>
      </c>
    </row>
    <row r="17">
      <c r="A17" s="9" t="n">
        <v>14</v>
      </c>
      <c r="B17" s="10" t="inlineStr">
        <is>
          <t xml:space="preserve">  model_calls(model_name,call_type,input_summary,duration_sec,output_summary)</t>
        </is>
      </c>
    </row>
    <row r="18">
      <c r="A18" s="7" t="n">
        <v>15</v>
      </c>
      <c r="B18" s="8" t="inlineStr">
        <is>
          <t xml:space="preserve">  model_usage_log(task_id,model_name,call_count,total_tokens)</t>
        </is>
      </c>
    </row>
    <row r="19">
      <c r="A19" s="9" t="n">
        <v>16</v>
      </c>
      <c r="B19" s="10" t="inlineStr">
        <is>
          <t xml:space="preserve">  material_generation_log(task_id,material_path,used_at)</t>
        </is>
      </c>
    </row>
    <row r="20">
      <c r="A20" s="7" t="n">
        <v>17</v>
      </c>
      <c r="B20" s="8" t="inlineStr">
        <is>
          <t xml:space="preserve">  ctr_feedback, trending_analysis, account_matrix</t>
        </is>
      </c>
    </row>
    <row r="21">
      <c r="A21" s="9" t="n">
        <v>18</v>
      </c>
      <c r="B21" s="10" t="inlineStr">
        <is>
          <t>"""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>
        <is>
          <t>import os, sqlite3, threading, time</t>
        </is>
      </c>
    </row>
    <row r="24">
      <c r="A24" s="7" t="n">
        <v>21</v>
      </c>
      <c r="B24" s="8" t="inlineStr">
        <is>
          <t>from contextlib import contextmanager</t>
        </is>
      </c>
    </row>
    <row r="25">
      <c r="A25" s="9" t="n">
        <v>22</v>
      </c>
      <c r="B25" s="10" t="inlineStr">
        <is>
          <t>from datetime import datetime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_PROJ = os.path.dirname(os.path.dirname(os.path.abspath(__file__)))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># v12.0 GUI 数据库</t>
        </is>
      </c>
    </row>
    <row r="30">
      <c r="A30" s="7" t="n">
        <v>27</v>
      </c>
      <c r="B30" s="8" t="inlineStr">
        <is>
          <t>DB_MAIN = os.path.join(_PROJ, "ai_material_library.db")</t>
        </is>
      </c>
    </row>
    <row r="31">
      <c r="A31" s="9" t="n">
        <v>28</v>
      </c>
      <c r="B31" s="10" t="inlineStr">
        <is>
          <t>DB_USAGE = os.path.join(_PROJ, "material_usage.db")</t>
        </is>
      </c>
    </row>
    <row r="32">
      <c r="A32" s="7" t="n">
        <v>29</v>
      </c>
      <c r="B32" s="8" t="inlineStr">
        <is>
          <t>DB_TASK = os.path.join(_PROJ, "task_log.db")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# v3.0 数据库</t>
        </is>
      </c>
    </row>
    <row r="35">
      <c r="A35" s="9" t="n">
        <v>32</v>
      </c>
      <c r="B35" s="10" t="inlineStr">
        <is>
          <t>DB_V3 = os.path.join(_PROJ, "data", "db", "system.db")</t>
        </is>
      </c>
    </row>
    <row r="36">
      <c r="A36" s="7" t="n">
        <v>33</v>
      </c>
      <c r="B36" s="8" t="inlineStr">
        <is>
          <t>os.makedirs(os.path.dirname(DB_V3), exist_ok=True)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>COL_TIME = "datetime('now','localtime')"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/>
    </row>
    <row r="41">
      <c r="A41" s="9" t="n">
        <v>38</v>
      </c>
      <c r="B41" s="10" t="inlineStr">
        <is>
          <t>class Database:</t>
        </is>
      </c>
    </row>
    <row r="42">
      <c r="A42" s="7" t="n">
        <v>39</v>
      </c>
      <c r="B42" s="8" t="inlineStr">
        <is>
          <t xml:space="preserve">    """单例数据库管理器 - 兼容 v12.0 GUI 全部接口"""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>
        <is>
          <t xml:space="preserve">    _instance = None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>
        <is>
          <t xml:space="preserve">    def __new__(cls):</t>
        </is>
      </c>
    </row>
    <row r="47">
      <c r="A47" s="9" t="n">
        <v>44</v>
      </c>
      <c r="B47" s="10" t="inlineStr">
        <is>
          <t xml:space="preserve">        if cls._instance is None:</t>
        </is>
      </c>
    </row>
    <row r="48">
      <c r="A48" s="7" t="n">
        <v>45</v>
      </c>
      <c r="B48" s="8" t="inlineStr">
        <is>
          <t xml:space="preserve">            cls._instance = super().__new__(cls)</t>
        </is>
      </c>
    </row>
    <row r="49">
      <c r="A49" s="9" t="n">
        <v>46</v>
      </c>
      <c r="B49" s="10" t="inlineStr">
        <is>
          <t xml:space="preserve">        return cls._instance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def __init__(self):</t>
        </is>
      </c>
    </row>
    <row r="52">
      <c r="A52" s="7" t="n">
        <v>49</v>
      </c>
      <c r="B52" s="8" t="inlineStr">
        <is>
          <t xml:space="preserve">        if hasattr(self, "_init_done"):</t>
        </is>
      </c>
    </row>
    <row r="53">
      <c r="A53" s="9" t="n">
        <v>50</v>
      </c>
      <c r="B53" s="10" t="inlineStr">
        <is>
          <t xml:space="preserve">            return</t>
        </is>
      </c>
    </row>
    <row r="54">
      <c r="A54" s="7" t="n">
        <v>51</v>
      </c>
      <c r="B54" s="8" t="inlineStr">
        <is>
          <t xml:space="preserve">        self._init_done = True</t>
        </is>
      </c>
    </row>
    <row r="55">
      <c r="A55" s="9" t="n">
        <v>52</v>
      </c>
      <c r="B55" s="10" t="inlineStr">
        <is>
          <t xml:space="preserve">        self._callbacks = []</t>
        </is>
      </c>
    </row>
    <row r="56">
      <c r="A56" s="7" t="n">
        <v>53</v>
      </c>
      <c r="B56" s="8" t="inlineStr">
        <is>
          <t xml:space="preserve">        self._lock = threading.Lock()</t>
        </is>
      </c>
    </row>
    <row r="57">
      <c r="A57" s="9" t="n">
        <v>54</v>
      </c>
      <c r="B57" s="10" t="inlineStr">
        <is>
          <t xml:space="preserve">        self._ensure_task_log()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>
        <is>
          <t xml:space="preserve">    # ─── 基础方法 ───</t>
        </is>
      </c>
    </row>
    <row r="60">
      <c r="A60" s="7" t="n">
        <v>57</v>
      </c>
      <c r="B60" s="8" t="inlineStr">
        <is>
          <t xml:space="preserve">    def exists(self):</t>
        </is>
      </c>
    </row>
    <row r="61">
      <c r="A61" s="9" t="n">
        <v>58</v>
      </c>
      <c r="B61" s="10" t="inlineStr">
        <is>
          <t xml:space="preserve">        return os.path.exists(DB_MAIN)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@contextmanager</t>
        </is>
      </c>
    </row>
    <row r="64">
      <c r="A64" s="7" t="n">
        <v>61</v>
      </c>
      <c r="B64" s="8" t="inlineStr">
        <is>
          <t xml:space="preserve">    def get_connection(self):</t>
        </is>
      </c>
    </row>
    <row r="65">
      <c r="A65" s="9" t="n">
        <v>62</v>
      </c>
      <c r="B65" s="10" t="inlineStr">
        <is>
          <t xml:space="preserve">        conn = sqlite3.connect(DB_MAIN, timeout=30)</t>
        </is>
      </c>
    </row>
    <row r="66">
      <c r="A66" s="7" t="n">
        <v>63</v>
      </c>
      <c r="B66" s="8" t="inlineStr">
        <is>
          <t xml:space="preserve">        conn.row_factory = sqlite3.Row</t>
        </is>
      </c>
    </row>
    <row r="67">
      <c r="A67" s="9" t="n">
        <v>64</v>
      </c>
      <c r="B67" s="10" t="inlineStr">
        <is>
          <t xml:space="preserve">        try:</t>
        </is>
      </c>
    </row>
    <row r="68">
      <c r="A68" s="7" t="n">
        <v>65</v>
      </c>
      <c r="B68" s="8" t="inlineStr">
        <is>
          <t xml:space="preserve">            yield conn</t>
        </is>
      </c>
    </row>
    <row r="69">
      <c r="A69" s="9" t="n">
        <v>66</v>
      </c>
      <c r="B69" s="10" t="inlineStr">
        <is>
          <t xml:space="preserve">            conn.commit()</t>
        </is>
      </c>
    </row>
    <row r="70">
      <c r="A70" s="7" t="n">
        <v>67</v>
      </c>
      <c r="B70" s="8" t="inlineStr">
        <is>
          <t xml:space="preserve">        except Exception:</t>
        </is>
      </c>
    </row>
    <row r="71">
      <c r="A71" s="9" t="n">
        <v>68</v>
      </c>
      <c r="B71" s="10" t="inlineStr">
        <is>
          <t xml:space="preserve">            conn.rollback()</t>
        </is>
      </c>
    </row>
    <row r="72">
      <c r="A72" s="7" t="n">
        <v>69</v>
      </c>
      <c r="B72" s="8" t="inlineStr">
        <is>
          <t xml:space="preserve">            raise</t>
        </is>
      </c>
    </row>
    <row r="73">
      <c r="A73" s="9" t="n">
        <v>70</v>
      </c>
      <c r="B73" s="10" t="inlineStr">
        <is>
          <t xml:space="preserve">        finally:</t>
        </is>
      </c>
    </row>
    <row r="74">
      <c r="A74" s="7" t="n">
        <v>71</v>
      </c>
      <c r="B74" s="8" t="inlineStr">
        <is>
          <t xml:space="preserve">            conn.close()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 xml:space="preserve">    def execute(self, sql, params=None):</t>
        </is>
      </c>
    </row>
    <row r="77">
      <c r="A77" s="9" t="n">
        <v>74</v>
      </c>
      <c r="B77" s="10" t="inlineStr">
        <is>
          <t xml:space="preserve">        with self.get_connection() as conn:</t>
        </is>
      </c>
    </row>
    <row r="78">
      <c r="A78" s="7" t="n">
        <v>75</v>
      </c>
      <c r="B78" s="8" t="inlineStr">
        <is>
          <t xml:space="preserve">            cursor = conn.execute(sql, params or ())</t>
        </is>
      </c>
    </row>
    <row r="79">
      <c r="A79" s="9" t="n">
        <v>76</v>
      </c>
      <c r="B79" s="10" t="inlineStr">
        <is>
          <t xml:space="preserve">            return cursor.fetchall()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 xml:space="preserve">    # ─── 回调通知 ───</t>
        </is>
      </c>
    </row>
    <row r="82">
      <c r="A82" s="7" t="n">
        <v>79</v>
      </c>
      <c r="B82" s="8" t="inlineStr">
        <is>
          <t xml:space="preserve">    def register_callback(self, fn):</t>
        </is>
      </c>
    </row>
    <row r="83">
      <c r="A83" s="9" t="n">
        <v>80</v>
      </c>
      <c r="B83" s="10" t="inlineStr">
        <is>
          <t xml:space="preserve">        self._callbacks.append(fn)</t>
        </is>
      </c>
    </row>
    <row r="84">
      <c r="A84" s="7" t="n">
        <v>81</v>
      </c>
      <c r="B84" s="8" t="inlineStr"/>
    </row>
    <row r="85">
      <c r="A85" s="9" t="n">
        <v>82</v>
      </c>
      <c r="B85" s="10" t="inlineStr">
        <is>
          <t xml:space="preserve">    def _notify_changed(self, video_path=""):</t>
        </is>
      </c>
    </row>
    <row r="86">
      <c r="A86" s="7" t="n">
        <v>83</v>
      </c>
      <c r="B86" s="8" t="inlineStr">
        <is>
          <t xml:space="preserve">        for cb in list(self._callbacks):</t>
        </is>
      </c>
    </row>
    <row r="87">
      <c r="A87" s="9" t="n">
        <v>84</v>
      </c>
      <c r="B87" s="10" t="inlineStr">
        <is>
          <t xml:space="preserve">            try:</t>
        </is>
      </c>
    </row>
    <row r="88">
      <c r="A88" s="7" t="n">
        <v>85</v>
      </c>
      <c r="B88" s="8" t="inlineStr">
        <is>
          <t xml:space="preserve">                cb(video_path)</t>
        </is>
      </c>
    </row>
    <row r="89">
      <c r="A89" s="9" t="n">
        <v>86</v>
      </c>
      <c r="B89" s="10" t="inlineStr">
        <is>
          <t xml:space="preserve">            except Exception:</t>
        </is>
      </c>
    </row>
    <row r="90">
      <c r="A90" s="7" t="n">
        <v>87</v>
      </c>
      <c r="B90" s="8" t="inlineStr">
        <is>
          <t xml:space="preserve">                pass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 xml:space="preserve">    # ─── 统计 ───</t>
        </is>
      </c>
    </row>
    <row r="93">
      <c r="A93" s="9" t="n">
        <v>90</v>
      </c>
      <c r="B93" s="10" t="inlineStr">
        <is>
          <t xml:space="preserve">    def get_stats(self):</t>
        </is>
      </c>
    </row>
    <row r="94">
      <c r="A94" s="7" t="n">
        <v>91</v>
      </c>
      <c r="B94" s="8" t="inlineStr">
        <is>
          <t xml:space="preserve">        try:</t>
        </is>
      </c>
    </row>
    <row r="95">
      <c r="A95" s="9" t="n">
        <v>92</v>
      </c>
      <c r="B95" s="10" t="inlineStr">
        <is>
          <t xml:space="preserve">            with self.get_connection() as conn:</t>
        </is>
      </c>
    </row>
    <row r="96">
      <c r="A96" s="7" t="n">
        <v>93</v>
      </c>
      <c r="B96" s="8" t="inlineStr">
        <is>
          <t xml:space="preserve">                mats = conn.execute("SELECT COUNT(*) FROM materials").fetchone()[0]</t>
        </is>
      </c>
    </row>
    <row r="97">
      <c r="A97" s="9" t="n">
        <v>94</v>
      </c>
      <c r="B97" s="10" t="inlineStr">
        <is>
          <t xml:space="preserve">                analyzed = conn.execute("SELECT COUNT(*) FROM materials WHERE analyzed=1").fetchone()[0]</t>
        </is>
      </c>
    </row>
    <row r="98">
      <c r="A98" s="7" t="n">
        <v>95</v>
      </c>
      <c r="B98" s="8" t="inlineStr">
        <is>
          <t xml:space="preserve">                videos = conn.execute("SELECT COUNT(*) FROM video_registry").fetchone()[0]</t>
        </is>
      </c>
    </row>
    <row r="99">
      <c r="A99" s="9" t="n">
        <v>96</v>
      </c>
      <c r="B99" s="10" t="inlineStr">
        <is>
          <t xml:space="preserve">                frames = conn.execute("SELECT COUNT(*) FROM video_annotations").fetchone()[0]</t>
        </is>
      </c>
    </row>
    <row r="100">
      <c r="A100" s="7" t="n">
        <v>97</v>
      </c>
      <c r="B100" s="8" t="inlineStr">
        <is>
          <t xml:space="preserve">                scripts = conn.execute("SELECT COUNT(*) FROM learned_scripts").fetchone()[0]</t>
        </is>
      </c>
    </row>
    <row r="101">
      <c r="A101" s="9" t="n">
        <v>98</v>
      </c>
      <c r="B101" s="10" t="inlineStr">
        <is>
          <t xml:space="preserve">                return {</t>
        </is>
      </c>
    </row>
    <row r="102">
      <c r="A102" s="7" t="n">
        <v>99</v>
      </c>
      <c r="B102" s="8" t="inlineStr">
        <is>
          <t xml:space="preserve">                    "total_materials": mats,</t>
        </is>
      </c>
    </row>
    <row r="103">
      <c r="A103" s="9" t="n">
        <v>100</v>
      </c>
      <c r="B103" s="10" t="inlineStr">
        <is>
          <t xml:space="preserve">                    "analyzed": analyzed,</t>
        </is>
      </c>
    </row>
    <row r="104">
      <c r="A104" s="7" t="n">
        <v>101</v>
      </c>
      <c r="B104" s="8" t="inlineStr">
        <is>
          <t xml:space="preserve">                    "total_videos": videos,</t>
        </is>
      </c>
    </row>
    <row r="105">
      <c r="A105" s="9" t="n">
        <v>102</v>
      </c>
      <c r="B105" s="10" t="inlineStr">
        <is>
          <t xml:space="preserve">                    "total_frames": frames,</t>
        </is>
      </c>
    </row>
    <row r="106">
      <c r="A106" s="7" t="n">
        <v>103</v>
      </c>
      <c r="B106" s="8" t="inlineStr">
        <is>
          <t xml:space="preserve">                    "total_scripts": scripts,</t>
        </is>
      </c>
    </row>
    <row r="107">
      <c r="A107" s="9" t="n">
        <v>104</v>
      </c>
      <c r="B107" s="10" t="inlineStr">
        <is>
          <t xml:space="preserve">                }</t>
        </is>
      </c>
    </row>
    <row r="108">
      <c r="A108" s="7" t="n">
        <v>105</v>
      </c>
      <c r="B108" s="8" t="inlineStr">
        <is>
          <t xml:space="preserve">        except Exception:</t>
        </is>
      </c>
    </row>
    <row r="109">
      <c r="A109" s="9" t="n">
        <v>106</v>
      </c>
      <c r="B109" s="10" t="inlineStr">
        <is>
          <t xml:space="preserve">            return {"total_materials": 0, "analyzed": 0, "total_videos": 0, "total_frames": 0, "total_scripts": 0}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 xml:space="preserve">    # ─── 视频标注 ───</t>
        </is>
      </c>
    </row>
    <row r="112">
      <c r="A112" s="7" t="n">
        <v>109</v>
      </c>
      <c r="B112" s="8" t="inlineStr">
        <is>
          <t xml:space="preserve">    def get_frames_by_video(self, video_path):</t>
        </is>
      </c>
    </row>
    <row r="113">
      <c r="A113" s="9" t="n">
        <v>110</v>
      </c>
      <c r="B113" s="10" t="inlineStr">
        <is>
          <t xml:space="preserve">        rows = self.execute(</t>
        </is>
      </c>
    </row>
    <row r="114">
      <c r="A114" s="7" t="n">
        <v>111</v>
      </c>
      <c r="B114" s="8" t="inlineStr">
        <is>
          <t xml:space="preserve">            "SELECT * FROM video_annotations WHERE video_path=? ORDER BY frame_index", (video_path,))</t>
        </is>
      </c>
    </row>
    <row r="115">
      <c r="A115" s="9" t="n">
        <v>112</v>
      </c>
      <c r="B115" s="10" t="inlineStr">
        <is>
          <t xml:space="preserve">        return [dict(r) for r in rows]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def _resolve_columns(self, table):</t>
        </is>
      </c>
    </row>
    <row r="118">
      <c r="A118" s="7" t="n">
        <v>115</v>
      </c>
      <c r="B118" s="8" t="inlineStr">
        <is>
          <t xml:space="preserve">        """获取表实际列名"""</t>
        </is>
      </c>
    </row>
    <row r="119">
      <c r="A119" s="9" t="n">
        <v>116</v>
      </c>
      <c r="B119" s="10" t="inlineStr">
        <is>
          <t xml:space="preserve">        with self.get_connection() as conn:</t>
        </is>
      </c>
    </row>
    <row r="120">
      <c r="A120" s="7" t="n">
        <v>117</v>
      </c>
      <c r="B120" s="8" t="inlineStr">
        <is>
          <t xml:space="preserve">            cols = conn.execute(f"PRAGMA table_info([{table}])").fetchall()</t>
        </is>
      </c>
    </row>
    <row r="121">
      <c r="A121" s="9" t="n">
        <v>118</v>
      </c>
      <c r="B121" s="10" t="inlineStr">
        <is>
          <t xml:space="preserve">            return [c[1] for c in cols]</t>
        </is>
      </c>
    </row>
    <row r="122">
      <c r="A122" s="7" t="n">
        <v>119</v>
      </c>
      <c r="B122" s="8" t="inlineStr"/>
    </row>
    <row r="123">
      <c r="A123" s="9" t="n">
        <v>120</v>
      </c>
      <c r="B123" s="10" t="inlineStr">
        <is>
          <t xml:space="preserve">    def insert_frame(self, data):</t>
        </is>
      </c>
    </row>
    <row r="124">
      <c r="A124" s="7" t="n">
        <v>121</v>
      </c>
      <c r="B124" s="8" t="inlineStr">
        <is>
          <t xml:space="preserve">        existing_cols = self._resolve_columns("video_annotations")</t>
        </is>
      </c>
    </row>
    <row r="125">
      <c r="A125" s="9" t="n">
        <v>122</v>
      </c>
      <c r="B125" s="10" t="inlineStr">
        <is>
          <t xml:space="preserve">        filtered = {k: v for k, v in data.items() if k in existing_cols}</t>
        </is>
      </c>
    </row>
    <row r="126">
      <c r="A126" s="7" t="n">
        <v>123</v>
      </c>
      <c r="B126" s="8" t="inlineStr">
        <is>
          <t xml:space="preserve">        if not filtered:</t>
        </is>
      </c>
    </row>
    <row r="127">
      <c r="A127" s="9" t="n">
        <v>124</v>
      </c>
      <c r="B127" s="10" t="inlineStr">
        <is>
          <t xml:space="preserve">            return 0</t>
        </is>
      </c>
    </row>
    <row r="128">
      <c r="A128" s="7" t="n">
        <v>125</v>
      </c>
      <c r="B128" s="8" t="inlineStr">
        <is>
          <t xml:space="preserve">        cols_s = ", ".join(filtered.keys())</t>
        </is>
      </c>
    </row>
    <row r="129">
      <c r="A129" s="9" t="n">
        <v>126</v>
      </c>
      <c r="B129" s="10" t="inlineStr">
        <is>
          <t xml:space="preserve">        placeholders = ", ".join(["?"] * len(filtered))</t>
        </is>
      </c>
    </row>
    <row r="130">
      <c r="A130" s="7" t="n">
        <v>127</v>
      </c>
      <c r="B130" s="8" t="inlineStr">
        <is>
          <t xml:space="preserve">        with self.get_connection() as conn:</t>
        </is>
      </c>
    </row>
    <row r="131">
      <c r="A131" s="9" t="n">
        <v>128</v>
      </c>
      <c r="B131" s="10" t="inlineStr">
        <is>
          <t xml:space="preserve">            conn.execute(</t>
        </is>
      </c>
    </row>
    <row r="132">
      <c r="A132" s="7" t="n">
        <v>129</v>
      </c>
      <c r="B132" s="8" t="inlineStr">
        <is>
          <t xml:space="preserve">                f"INSERT OR REPLACE INTO video_annotations ({cols_s}) VALUES ({placeholders})",</t>
        </is>
      </c>
    </row>
    <row r="133">
      <c r="A133" s="9" t="n">
        <v>130</v>
      </c>
      <c r="B133" s="10" t="inlineStr">
        <is>
          <t xml:space="preserve">                list(filtered.values()))</t>
        </is>
      </c>
    </row>
    <row r="134">
      <c r="A134" s="7" t="n">
        <v>131</v>
      </c>
      <c r="B134" s="8" t="inlineStr">
        <is>
          <t xml:space="preserve">            return conn.execute("SELECT last_insert_rowid()").fetchone()[0]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 xml:space="preserve">    def update_frame_score(self, frame_id, score):</t>
        </is>
      </c>
    </row>
    <row r="137">
      <c r="A137" s="9" t="n">
        <v>134</v>
      </c>
      <c r="B137" s="10" t="inlineStr">
        <is>
          <t xml:space="preserve">        self.execute("UPDATE video_annotations SET score=?, edited=1 WHERE id=?", (score, frame_id))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def update_frame_tags(self, frame_id, tags):</t>
        </is>
      </c>
    </row>
    <row r="140">
      <c r="A140" s="7" t="n">
        <v>137</v>
      </c>
      <c r="B140" s="8" t="inlineStr">
        <is>
          <t xml:space="preserve">        tags_str = tags if isinstance(tags, str) else ",".join(tags) if tags else ""</t>
        </is>
      </c>
    </row>
    <row r="141">
      <c r="A141" s="9" t="n">
        <v>138</v>
      </c>
      <c r="B141" s="10" t="inlineStr">
        <is>
          <t xml:space="preserve">        self.execute("UPDATE video_annotations SET tags=?, edited=1 WHERE id=?", (tags_str, frame_id))</t>
        </is>
      </c>
    </row>
    <row r="142">
      <c r="A142" s="7" t="n">
        <v>139</v>
      </c>
      <c r="B142" s="8" t="inlineStr"/>
    </row>
    <row r="143">
      <c r="A143" s="9" t="n">
        <v>140</v>
      </c>
      <c r="B143" s="10" t="inlineStr">
        <is>
          <t xml:space="preserve">    def get_all_video_frame_summaries(self, limit=200):</t>
        </is>
      </c>
    </row>
    <row r="144">
      <c r="A144" s="7" t="n">
        <v>141</v>
      </c>
      <c r="B144" s="8" t="inlineStr">
        <is>
          <t xml:space="preserve">        rows = self.execute(</t>
        </is>
      </c>
    </row>
    <row r="145">
      <c r="A145" s="9" t="n">
        <v>142</v>
      </c>
      <c r="B145" s="10" t="inlineStr">
        <is>
          <t xml:space="preserve">            """SELECT video_path, video_name, COUNT(*) as frame_count,</t>
        </is>
      </c>
    </row>
    <row r="146">
      <c r="A146" s="7" t="n">
        <v>143</v>
      </c>
      <c r="B146" s="8" t="inlineStr">
        <is>
          <t xml:space="preserve">                      AVG(score) as avg_score, MAX(created_at) as last_at</t>
        </is>
      </c>
    </row>
    <row r="147">
      <c r="A147" s="9" t="n">
        <v>144</v>
      </c>
      <c r="B147" s="10" t="inlineStr">
        <is>
          <t xml:space="preserve">               FROM video_annotations GROUP BY video_path</t>
        </is>
      </c>
    </row>
    <row r="148">
      <c r="A148" s="7" t="n">
        <v>145</v>
      </c>
      <c r="B148" s="8" t="inlineStr">
        <is>
          <t xml:space="preserve">               ORDER BY last_at DESC LIMIT ?""", (limit,))</t>
        </is>
      </c>
    </row>
    <row r="149">
      <c r="A149" s="9" t="n">
        <v>146</v>
      </c>
      <c r="B149" s="10" t="inlineStr">
        <is>
          <t xml:space="preserve">        return [dict(r) for r in rows]</t>
        </is>
      </c>
    </row>
    <row r="150">
      <c r="A150" s="7" t="n">
        <v>147</v>
      </c>
      <c r="B150" s="8" t="inlineStr"/>
    </row>
    <row r="151">
      <c r="A151" s="9" t="n">
        <v>148</v>
      </c>
      <c r="B151" s="10" t="inlineStr">
        <is>
          <t xml:space="preserve">    # ─── 反馈 ───</t>
        </is>
      </c>
    </row>
    <row r="152">
      <c r="A152" s="7" t="n">
        <v>149</v>
      </c>
      <c r="B152" s="8" t="inlineStr">
        <is>
          <t xml:space="preserve">    def save_frame(self, video_path, video_name, ann):</t>
        </is>
      </c>
    </row>
    <row r="153">
      <c r="A153" s="9" t="n">
        <v>150</v>
      </c>
      <c r="B153" s="10" t="inlineStr">
        <is>
          <t xml:space="preserve">        """从 FrameAnnotation 对象保存"""</t>
        </is>
      </c>
    </row>
    <row r="154">
      <c r="A154" s="7" t="n">
        <v>151</v>
      </c>
      <c r="B154" s="8" t="inlineStr">
        <is>
          <t xml:space="preserve">        try:</t>
        </is>
      </c>
    </row>
    <row r="155">
      <c r="A155" s="9" t="n">
        <v>152</v>
      </c>
      <c r="B155" s="10" t="inlineStr">
        <is>
          <t xml:space="preserve">            tags_str = ",".join(ann.user_tags) if hasattr(ann, 'user_tags') and ann.user_tags else ""</t>
        </is>
      </c>
    </row>
    <row r="156">
      <c r="A156" s="7" t="n">
        <v>153</v>
      </c>
      <c r="B156" s="8" t="inlineStr">
        <is>
          <t xml:space="preserve">            orig_str = ",".join(sorted(ann.original_tags)[:10]) if hasattr(ann, 'original_tags') and ann.original_tags else ""</t>
        </is>
      </c>
    </row>
    <row r="157">
      <c r="A157" s="9" t="n">
        <v>154</v>
      </c>
      <c r="B157" s="10" t="inlineStr">
        <is>
          <t xml:space="preserve">            score = ann.score if hasattr(ann, 'score') else 3</t>
        </is>
      </c>
    </row>
    <row r="158">
      <c r="A158" s="7" t="n">
        <v>155</v>
      </c>
      <c r="B158" s="8" t="inlineStr">
        <is>
          <t xml:space="preserve">            note = ann.score_note if hasattr(ann, 'score_note') else ""</t>
        </is>
      </c>
    </row>
    <row r="159">
      <c r="A159" s="9" t="n">
        <v>156</v>
      </c>
      <c r="B159" s="10" t="inlineStr">
        <is>
          <t xml:space="preserve">            ts = ann.timestamp_str if hasattr(ann, 'timestamp_str') else "00:00:00.00"</t>
        </is>
      </c>
    </row>
    <row r="160">
      <c r="A160" s="7" t="n">
        <v>157</v>
      </c>
      <c r="B160" s="8" t="inlineStr">
        <is>
          <t xml:space="preserve">            fi = ann.frame_index if hasattr(ann, 'frame_index') else 0</t>
        </is>
      </c>
    </row>
    <row r="161">
      <c r="A161" s="9" t="n">
        <v>158</v>
      </c>
      <c r="B161" s="10" t="inlineStr">
        <is>
          <t xml:space="preserve">            fp = ann.frame_path if hasattr(ann, 'frame_path') else ""</t>
        </is>
      </c>
    </row>
    <row r="162">
      <c r="A162" s="7" t="n">
        <v>159</v>
      </c>
      <c r="B162" s="8" t="inlineStr">
        <is>
          <t xml:space="preserve">            self.insert_frame({</t>
        </is>
      </c>
    </row>
    <row r="163">
      <c r="A163" s="9" t="n">
        <v>160</v>
      </c>
      <c r="B163" s="10" t="inlineStr">
        <is>
          <t xml:space="preserve">                "video_path": video_path, "video_name": video_name,</t>
        </is>
      </c>
    </row>
    <row r="164">
      <c r="A164" s="7" t="n">
        <v>161</v>
      </c>
      <c r="B164" s="8" t="inlineStr">
        <is>
          <t xml:space="preserve">                "frame_index": fi, "timestamp_str": ts, "frame_path": fp,</t>
        </is>
      </c>
    </row>
    <row r="165">
      <c r="A165" s="9" t="n">
        <v>162</v>
      </c>
      <c r="B165" s="10" t="inlineStr">
        <is>
          <t xml:space="preserve">                "tags": tags_str, "model_tags": orig_str,</t>
        </is>
      </c>
    </row>
    <row r="166">
      <c r="A166" s="7" t="n">
        <v>163</v>
      </c>
      <c r="B166" s="8" t="inlineStr">
        <is>
          <t xml:space="preserve">                "score": score, "score_note": note, "edited": 1,</t>
        </is>
      </c>
    </row>
    <row r="167">
      <c r="A167" s="9" t="n">
        <v>164</v>
      </c>
      <c r="B167" s="10" t="inlineStr">
        <is>
          <t xml:space="preserve">                "created_at": datetime.now().strftime("%Y-%m-%d %H:%M:%S"),</t>
        </is>
      </c>
    </row>
    <row r="168">
      <c r="A168" s="7" t="n">
        <v>165</v>
      </c>
      <c r="B168" s="8" t="inlineStr">
        <is>
          <t xml:space="preserve">            })</t>
        </is>
      </c>
    </row>
    <row r="169">
      <c r="A169" s="9" t="n">
        <v>166</v>
      </c>
      <c r="B169" s="10" t="inlineStr">
        <is>
          <t xml:space="preserve">        except Exception:</t>
        </is>
      </c>
    </row>
    <row r="170">
      <c r="A170" s="7" t="n">
        <v>167</v>
      </c>
      <c r="B170" s="8" t="inlineStr">
        <is>
          <t xml:space="preserve">            pass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def save_feedback(self, video_path, old_tag, new_tag, score, note=""):</t>
        </is>
      </c>
    </row>
    <row r="173">
      <c r="A173" s="9" t="n">
        <v>170</v>
      </c>
      <c r="B173" s="10" t="inlineStr">
        <is>
          <t xml:space="preserve">        self.execute(</t>
        </is>
      </c>
    </row>
    <row r="174">
      <c r="A174" s="7" t="n">
        <v>171</v>
      </c>
      <c r="B174" s="8" t="inlineStr">
        <is>
          <t xml:space="preserve">            """INSERT INTO annotation_feedback (video_id, old_tag, new_tag, score, user_note, created_at)</t>
        </is>
      </c>
    </row>
    <row r="175">
      <c r="A175" s="9" t="n">
        <v>172</v>
      </c>
      <c r="B175" s="10" t="inlineStr">
        <is>
          <t xml:space="preserve">               VALUES (?,?,?,?,?,{})""".format(COL_TIME),</t>
        </is>
      </c>
    </row>
    <row r="176">
      <c r="A176" s="7" t="n">
        <v>173</v>
      </c>
      <c r="B176" s="8" t="inlineStr">
        <is>
          <t xml:space="preserve">            (video_path, old_tag, new_tag, score, note))</t>
        </is>
      </c>
    </row>
    <row r="177">
      <c r="A177" s="9" t="n">
        <v>174</v>
      </c>
      <c r="B177" s="10" t="inlineStr"/>
    </row>
    <row r="178">
      <c r="A178" s="7" t="n">
        <v>175</v>
      </c>
      <c r="B178" s="8" t="inlineStr">
        <is>
          <t xml:space="preserve">    def get_all_feedback_stats(self, limit=50):</t>
        </is>
      </c>
    </row>
    <row r="179">
      <c r="A179" s="9" t="n">
        <v>176</v>
      </c>
      <c r="B179" s="10" t="inlineStr">
        <is>
          <t xml:space="preserve">        rows = self.execute(</t>
        </is>
      </c>
    </row>
    <row r="180">
      <c r="A180" s="7" t="n">
        <v>177</v>
      </c>
      <c r="B180" s="8" t="inlineStr">
        <is>
          <t xml:space="preserve">            """SELECT video_id, old_tag, new_tag, AVG(score) as avg_score,</t>
        </is>
      </c>
    </row>
    <row r="181">
      <c r="A181" s="9" t="n">
        <v>178</v>
      </c>
      <c r="B181" s="10" t="inlineStr">
        <is>
          <t xml:space="preserve">                      COUNT(*) as cnt, MAX(created_at) as last_at</t>
        </is>
      </c>
    </row>
    <row r="182">
      <c r="A182" s="7" t="n">
        <v>179</v>
      </c>
      <c r="B182" s="8" t="inlineStr">
        <is>
          <t xml:space="preserve">               FROM annotation_feedback GROUP BY video_id</t>
        </is>
      </c>
    </row>
    <row r="183">
      <c r="A183" s="9" t="n">
        <v>180</v>
      </c>
      <c r="B183" s="10" t="inlineStr">
        <is>
          <t xml:space="preserve">               ORDER BY cnt DESC LIMIT ?""", (limit,))</t>
        </is>
      </c>
    </row>
    <row r="184">
      <c r="A184" s="7" t="n">
        <v>181</v>
      </c>
      <c r="B184" s="8" t="inlineStr">
        <is>
          <t xml:space="preserve">        return [dict(r) for r in rows]</t>
        </is>
      </c>
    </row>
    <row r="185">
      <c r="A185" s="9" t="n">
        <v>182</v>
      </c>
      <c r="B185" s="10" t="inlineStr"/>
    </row>
    <row r="186">
      <c r="A186" s="7" t="n">
        <v>183</v>
      </c>
      <c r="B186" s="8" t="inlineStr">
        <is>
          <t xml:space="preserve">    # ─── 素材评分/拉黑 ───</t>
        </is>
      </c>
    </row>
    <row r="187">
      <c r="A187" s="9" t="n">
        <v>184</v>
      </c>
      <c r="B187" s="10" t="inlineStr">
        <is>
          <t xml:space="preserve">    def get_lowest_rated_materials(self, limit=20):</t>
        </is>
      </c>
    </row>
    <row r="188">
      <c r="A188" s="7" t="n">
        <v>185</v>
      </c>
      <c r="B188" s="8" t="inlineStr">
        <is>
          <t xml:space="preserve">        rows = self.execute(</t>
        </is>
      </c>
    </row>
    <row r="189">
      <c r="A189" s="9" t="n">
        <v>186</v>
      </c>
      <c r="B189" s="10" t="inlineStr">
        <is>
          <t xml:space="preserve">            """SELECT m.video_path as path, m.id, AVG(CAST(va.score AS REAL)) as avg_score,</t>
        </is>
      </c>
    </row>
    <row r="190">
      <c r="A190" s="7" t="n">
        <v>187</v>
      </c>
      <c r="B190" s="8" t="inlineStr">
        <is>
          <t xml:space="preserve">                      COUNT(va.id) as feedback_count</t>
        </is>
      </c>
    </row>
    <row r="191">
      <c r="A191" s="9" t="n">
        <v>188</v>
      </c>
      <c r="B191" s="10" t="inlineStr">
        <is>
          <t xml:space="preserve">               FROM materials m</t>
        </is>
      </c>
    </row>
    <row r="192">
      <c r="A192" s="7" t="n">
        <v>189</v>
      </c>
      <c r="B192" s="8" t="inlineStr">
        <is>
          <t xml:space="preserve">               LEFT JOIN video_annotations va ON m.video_path = va.video_path</t>
        </is>
      </c>
    </row>
    <row r="193">
      <c r="A193" s="9" t="n">
        <v>190</v>
      </c>
      <c r="B193" s="10" t="inlineStr">
        <is>
          <t xml:space="preserve">               WHERE m.blocked = 0</t>
        </is>
      </c>
    </row>
    <row r="194">
      <c r="A194" s="7" t="n">
        <v>191</v>
      </c>
      <c r="B194" s="8" t="inlineStr">
        <is>
          <t xml:space="preserve">               GROUP BY m.video_path</t>
        </is>
      </c>
    </row>
    <row r="195">
      <c r="A195" s="9" t="n">
        <v>192</v>
      </c>
      <c r="B195" s="10" t="inlineStr">
        <is>
          <t xml:space="preserve">               HAVING feedback_count &gt; 0</t>
        </is>
      </c>
    </row>
    <row r="196">
      <c r="A196" s="7" t="n">
        <v>193</v>
      </c>
      <c r="B196" s="8" t="inlineStr">
        <is>
          <t xml:space="preserve">               ORDER BY avg_score ASC LIMIT ?""", (limit,))</t>
        </is>
      </c>
    </row>
    <row r="197">
      <c r="A197" s="9" t="n">
        <v>194</v>
      </c>
      <c r="B197" s="10" t="inlineStr">
        <is>
          <t xml:space="preserve">        results = []</t>
        </is>
      </c>
    </row>
    <row r="198">
      <c r="A198" s="7" t="n">
        <v>195</v>
      </c>
      <c r="B198" s="8" t="inlineStr">
        <is>
          <t xml:space="preserve">        for r in rows:</t>
        </is>
      </c>
    </row>
    <row r="199">
      <c r="A199" s="9" t="n">
        <v>196</v>
      </c>
      <c r="B199" s="10" t="inlineStr">
        <is>
          <t xml:space="preserve">            d = dict(r)</t>
        </is>
      </c>
    </row>
    <row r="200">
      <c r="A200" s="7" t="n">
        <v>197</v>
      </c>
      <c r="B200" s="8" t="inlineStr">
        <is>
          <t xml:space="preserve">            d.setdefault("path", d.get("video_path", ""))</t>
        </is>
      </c>
    </row>
    <row r="201">
      <c r="A201" s="9" t="n">
        <v>198</v>
      </c>
      <c r="B201" s="10" t="inlineStr">
        <is>
          <t xml:space="preserve">            results.append(d)</t>
        </is>
      </c>
    </row>
    <row r="202">
      <c r="A202" s="7" t="n">
        <v>199</v>
      </c>
      <c r="B202" s="8" t="inlineStr">
        <is>
          <t xml:space="preserve">        return results</t>
        </is>
      </c>
    </row>
    <row r="203">
      <c r="A203" s="9" t="n">
        <v>200</v>
      </c>
      <c r="B203" s="10" t="inlineStr"/>
    </row>
    <row r="204">
      <c r="A204" s="7" t="n">
        <v>201</v>
      </c>
      <c r="B204" s="8" t="inlineStr">
        <is>
          <t xml:space="preserve">    def is_material_blocked(self, path):</t>
        </is>
      </c>
    </row>
    <row r="205">
      <c r="A205" s="9" t="n">
        <v>202</v>
      </c>
      <c r="B205" s="10" t="inlineStr">
        <is>
          <t xml:space="preserve">        rows = self.execute("SELECT blocked FROM materials WHERE video_path=? AND blocked=1", (path,))</t>
        </is>
      </c>
    </row>
    <row r="206">
      <c r="A206" s="7" t="n">
        <v>203</v>
      </c>
      <c r="B206" s="8" t="inlineStr">
        <is>
          <t xml:space="preserve">        return len(rows) &gt; 0</t>
        </is>
      </c>
    </row>
    <row r="207">
      <c r="A207" s="9" t="n">
        <v>204</v>
      </c>
      <c r="B207" s="10" t="inlineStr"/>
    </row>
    <row r="208">
      <c r="A208" s="7" t="n">
        <v>205</v>
      </c>
      <c r="B208" s="8" t="inlineStr">
        <is>
          <t xml:space="preserve">    def block_material(self, path):</t>
        </is>
      </c>
    </row>
    <row r="209">
      <c r="A209" s="9" t="n">
        <v>206</v>
      </c>
      <c r="B209" s="10" t="inlineStr">
        <is>
          <t xml:space="preserve">        self.execute("UPDATE materials SET blocked=1 WHERE video_path=?", (path,))</t>
        </is>
      </c>
    </row>
    <row r="210">
      <c r="A210" s="7" t="n">
        <v>207</v>
      </c>
      <c r="B210" s="8" t="inlineStr">
        <is>
          <t xml:space="preserve">        self._notify_changed(path)</t>
        </is>
      </c>
    </row>
    <row r="211">
      <c r="A211" s="9" t="n">
        <v>208</v>
      </c>
      <c r="B211" s="10" t="inlineStr"/>
    </row>
    <row r="212">
      <c r="A212" s="7" t="n">
        <v>209</v>
      </c>
      <c r="B212" s="8" t="inlineStr">
        <is>
          <t xml:space="preserve">    def get_material_feedback_stats(self, material_path):</t>
        </is>
      </c>
    </row>
    <row r="213">
      <c r="A213" s="9" t="n">
        <v>210</v>
      </c>
      <c r="B213" s="10" t="inlineStr">
        <is>
          <t xml:space="preserve">        rows = self.execute(</t>
        </is>
      </c>
    </row>
    <row r="214">
      <c r="A214" s="7" t="n">
        <v>211</v>
      </c>
      <c r="B214" s="8" t="inlineStr">
        <is>
          <t xml:space="preserve">            "SELECT AVG(CAST(score AS REAL)) as avg_score, COUNT(*) as cnt FROM video_annotations WHERE video_path=?",</t>
        </is>
      </c>
    </row>
    <row r="215">
      <c r="A215" s="9" t="n">
        <v>212</v>
      </c>
      <c r="B215" s="10" t="inlineStr">
        <is>
          <t xml:space="preserve">            (material_path,))</t>
        </is>
      </c>
    </row>
    <row r="216">
      <c r="A216" s="7" t="n">
        <v>213</v>
      </c>
      <c r="B216" s="8" t="inlineStr">
        <is>
          <t xml:space="preserve">        r = rows[0] if rows else None</t>
        </is>
      </c>
    </row>
    <row r="217">
      <c r="A217" s="9" t="n">
        <v>214</v>
      </c>
      <c r="B217" s="10" t="inlineStr">
        <is>
          <t xml:space="preserve">        return dict(r) if r else {"avg_score": 0, "cnt": 0}</t>
        </is>
      </c>
    </row>
    <row r="218">
      <c r="A218" s="7" t="n">
        <v>215</v>
      </c>
      <c r="B218" s="8" t="inlineStr"/>
    </row>
    <row r="219">
      <c r="A219" s="9" t="n">
        <v>216</v>
      </c>
      <c r="B219" s="10" t="inlineStr">
        <is>
          <t xml:space="preserve">    def insert_material_feedback(self, path, video_log_id, fb_type, rating):</t>
        </is>
      </c>
    </row>
    <row r="220">
      <c r="A220" s="7" t="n">
        <v>217</v>
      </c>
      <c r="B220" s="8" t="inlineStr">
        <is>
          <t xml:space="preserve">        self.execute(</t>
        </is>
      </c>
    </row>
    <row r="221">
      <c r="A221" s="9" t="n">
        <v>218</v>
      </c>
      <c r="B221" s="10" t="inlineStr">
        <is>
          <t xml:space="preserve">            "INSERT INTO annotation_feedback (video_id, old_tag, new_tag, score, user_note, created_at) VALUES (?,?,?,?,?,{})".format(COL_TIME),</t>
        </is>
      </c>
    </row>
    <row r="222">
      <c r="A222" s="7" t="n">
        <v>219</v>
      </c>
      <c r="B222" s="8" t="inlineStr">
        <is>
          <t xml:space="preserve">            (path, fb_type, fb_type, rating, f"video_log:{video_log_id}"))</t>
        </is>
      </c>
    </row>
    <row r="223">
      <c r="A223" s="9" t="n">
        <v>220</v>
      </c>
      <c r="B223" s="10" t="inlineStr"/>
    </row>
    <row r="224">
      <c r="A224" s="7" t="n">
        <v>221</v>
      </c>
      <c r="B224" s="8" t="inlineStr">
        <is>
          <t xml:space="preserve">    # ─── 学习 ───</t>
        </is>
      </c>
    </row>
    <row r="225">
      <c r="A225" s="9" t="n">
        <v>222</v>
      </c>
      <c r="B225" s="10" t="inlineStr">
        <is>
          <t xml:space="preserve">    def update_learning(self, tag, correct=True):</t>
        </is>
      </c>
    </row>
    <row r="226">
      <c r="A226" s="7" t="n">
        <v>223</v>
      </c>
      <c r="B226" s="8" t="inlineStr">
        <is>
          <t xml:space="preserve">        with self.get_connection() as conn:</t>
        </is>
      </c>
    </row>
    <row r="227">
      <c r="A227" s="9" t="n">
        <v>224</v>
      </c>
      <c r="B227" s="10" t="inlineStr">
        <is>
          <t xml:space="preserve">            existing = conn.execute("SELECT id, correct_count, total_count FROM tag_learning WHERE tag=?", (tag,)).fetchone()</t>
        </is>
      </c>
    </row>
    <row r="228">
      <c r="A228" s="7" t="n">
        <v>225</v>
      </c>
      <c r="B228" s="8" t="inlineStr">
        <is>
          <t xml:space="preserve">            if existing:</t>
        </is>
      </c>
    </row>
    <row r="229">
      <c r="A229" s="9" t="n">
        <v>226</v>
      </c>
      <c r="B229" s="10" t="inlineStr">
        <is>
          <t xml:space="preserve">                conn.execute(</t>
        </is>
      </c>
    </row>
    <row r="230">
      <c r="A230" s="7" t="n">
        <v>227</v>
      </c>
      <c r="B230" s="8" t="inlineStr">
        <is>
          <t xml:space="preserve">                    "UPDATE tag_learning SET correct_count=correct_count+?, total_count=total_count+1, last_updated={} WHERE tag=?".format(COL_TIME),</t>
        </is>
      </c>
    </row>
    <row r="231">
      <c r="A231" s="9" t="n">
        <v>228</v>
      </c>
      <c r="B231" s="10" t="inlineStr">
        <is>
          <t xml:space="preserve">                    (1 if correct else 0, tag))</t>
        </is>
      </c>
    </row>
    <row r="232">
      <c r="A232" s="7" t="n">
        <v>229</v>
      </c>
      <c r="B232" s="8" t="inlineStr">
        <is>
          <t xml:space="preserve">            else:</t>
        </is>
      </c>
    </row>
    <row r="233">
      <c r="A233" s="9" t="n">
        <v>230</v>
      </c>
      <c r="B233" s="10" t="inlineStr">
        <is>
          <t xml:space="preserve">                conn.execute(</t>
        </is>
      </c>
    </row>
    <row r="234">
      <c r="A234" s="7" t="n">
        <v>231</v>
      </c>
      <c r="B234" s="8" t="inlineStr">
        <is>
          <t xml:space="preserve">                    "INSERT INTO tag_learning (tag, correct_count, total_count, accuracy, last_updated) VALUES (?,?,?,1.0,{})".format(COL_TIME),</t>
        </is>
      </c>
    </row>
    <row r="235">
      <c r="A235" s="9" t="n">
        <v>232</v>
      </c>
      <c r="B235" s="10" t="inlineStr">
        <is>
          <t xml:space="preserve">                    (tag, 1 if correct else 0))</t>
        </is>
      </c>
    </row>
    <row r="236">
      <c r="A236" s="7" t="n">
        <v>233</v>
      </c>
      <c r="B236" s="8" t="inlineStr"/>
    </row>
    <row r="237">
      <c r="A237" s="9" t="n">
        <v>234</v>
      </c>
      <c r="B237" s="10" t="inlineStr">
        <is>
          <t xml:space="preserve">    def update_script_preference(self, script_hash, video_path, score):</t>
        </is>
      </c>
    </row>
    <row r="238">
      <c r="A238" s="7" t="n">
        <v>235</v>
      </c>
      <c r="B238" s="8" t="inlineStr">
        <is>
          <t xml:space="preserve">        self.execute(</t>
        </is>
      </c>
    </row>
    <row r="239">
      <c r="A239" s="9" t="n">
        <v>236</v>
      </c>
      <c r="B239" s="10" t="inlineStr">
        <is>
          <t xml:space="preserve">            "INSERT OR REPLACE INTO learned_scripts (content, source, tags, usage_count, avg_score, created_at, last_used_at, notes) VALUES (?,?,?,1,?,{},{},?)".format(COL_TIME, COL_TIME),</t>
        </is>
      </c>
    </row>
    <row r="240">
      <c r="A240" s="7" t="n">
        <v>237</v>
      </c>
      <c r="B240" s="8" t="inlineStr">
        <is>
          <t xml:space="preserve">            (f"pref:{script_hash}", video_path, "", score, video_path))</t>
        </is>
      </c>
    </row>
    <row r="241">
      <c r="A241" s="9" t="n">
        <v>238</v>
      </c>
      <c r="B241" s="10" t="inlineStr"/>
    </row>
    <row r="242">
      <c r="A242" s="7" t="n">
        <v>239</v>
      </c>
      <c r="B242" s="8" t="inlineStr">
        <is>
          <t xml:space="preserve">    # ─── 模型调用 ───</t>
        </is>
      </c>
    </row>
    <row r="243">
      <c r="A243" s="9" t="n">
        <v>240</v>
      </c>
      <c r="B243" s="10" t="inlineStr">
        <is>
          <t xml:space="preserve">    def record_model_call(self, model_name, call_type="analyze", input_summary="", duration_sec=0, output_summary=""):</t>
        </is>
      </c>
    </row>
    <row r="244">
      <c r="A244" s="7" t="n">
        <v>241</v>
      </c>
      <c r="B244" s="8" t="inlineStr">
        <is>
          <t xml:space="preserve">        try:</t>
        </is>
      </c>
    </row>
    <row r="245">
      <c r="A245" s="9" t="n">
        <v>242</v>
      </c>
      <c r="B245" s="10" t="inlineStr">
        <is>
          <t xml:space="preserve">            self.execute(</t>
        </is>
      </c>
    </row>
    <row r="246">
      <c r="A246" s="7" t="n">
        <v>243</v>
      </c>
      <c r="B246" s="8" t="inlineStr">
        <is>
          <t xml:space="preserve">                "INSERT INTO analysis_log (video_path, models_used, vl_available, clip_available, whisper_available, tags_generated, duration_sec, created_at) VALUES (?,?,1,1,1,?,?,{})".format(COL_TIME),</t>
        </is>
      </c>
    </row>
    <row r="247">
      <c r="A247" s="9" t="n">
        <v>244</v>
      </c>
      <c r="B247" s="10" t="inlineStr">
        <is>
          <t xml:space="preserve">                (str(input_summary)[:200], model_name, call_type, duration_sec))</t>
        </is>
      </c>
    </row>
    <row r="248">
      <c r="A248" s="7" t="n">
        <v>245</v>
      </c>
      <c r="B248" s="8" t="inlineStr">
        <is>
          <t xml:space="preserve">        except Exception:</t>
        </is>
      </c>
    </row>
    <row r="249">
      <c r="A249" s="9" t="n">
        <v>246</v>
      </c>
      <c r="B249" s="10" t="inlineStr">
        <is>
          <t xml:space="preserve">            pass</t>
        </is>
      </c>
    </row>
    <row r="250">
      <c r="A250" s="7" t="n">
        <v>247</v>
      </c>
      <c r="B250" s="8" t="inlineStr"/>
    </row>
    <row r="251">
      <c r="A251" s="9" t="n">
        <v>248</v>
      </c>
      <c r="B251" s="10" t="inlineStr">
        <is>
          <t xml:space="preserve">    # ─── 素材使用 (material_usage.db) ───</t>
        </is>
      </c>
    </row>
    <row r="252">
      <c r="A252" s="7" t="n">
        <v>249</v>
      </c>
      <c r="B252" s="8" t="inlineStr">
        <is>
          <t xml:space="preserve">    def record_material_usage(self, task_id, clips_to_use):</t>
        </is>
      </c>
    </row>
    <row r="253">
      <c r="A253" s="9" t="n">
        <v>250</v>
      </c>
      <c r="B253" s="10" t="inlineStr">
        <is>
          <t xml:space="preserve">        try:</t>
        </is>
      </c>
    </row>
    <row r="254">
      <c r="A254" s="7" t="n">
        <v>251</v>
      </c>
      <c r="B254" s="8" t="inlineStr">
        <is>
          <t xml:space="preserve">            conn = sqlite3.connect(DB_USAGE)</t>
        </is>
      </c>
    </row>
    <row r="255">
      <c r="A255" s="9" t="n">
        <v>252</v>
      </c>
      <c r="B255" s="10" t="inlineStr">
        <is>
          <t xml:space="preserve">            conn.execute("CREATE TABLE IF NOT EXISTS usage (video_path TEXT, task_id TEXT, used_at TEXT)")</t>
        </is>
      </c>
    </row>
    <row r="256">
      <c r="A256" s="7" t="n">
        <v>253</v>
      </c>
      <c r="B256" s="8" t="inlineStr">
        <is>
          <t xml:space="preserve">            for clip in (clips_to_use or []):</t>
        </is>
      </c>
    </row>
    <row r="257">
      <c r="A257" s="9" t="n">
        <v>254</v>
      </c>
      <c r="B257" s="10" t="inlineStr">
        <is>
          <t xml:space="preserve">                p = clip.get("path", str(clip)) if isinstance(clip, dict) else str(clip)</t>
        </is>
      </c>
    </row>
    <row r="258">
      <c r="A258" s="7" t="n">
        <v>255</v>
      </c>
      <c r="B258" s="8" t="inlineStr">
        <is>
          <t xml:space="preserve">                conn.execute("INSERT OR IGNORE INTO usage (video_path, task_id, used_at) VALUES (?,?,{})".format(COL_TIME),</t>
        </is>
      </c>
    </row>
    <row r="259">
      <c r="A259" s="9" t="n">
        <v>256</v>
      </c>
      <c r="B259" s="10" t="inlineStr">
        <is>
          <t xml:space="preserve">                             (p[:300], str(task_id)))</t>
        </is>
      </c>
    </row>
    <row r="260">
      <c r="A260" s="7" t="n">
        <v>257</v>
      </c>
      <c r="B260" s="8" t="inlineStr">
        <is>
          <t xml:space="preserve">            conn.commit()</t>
        </is>
      </c>
    </row>
    <row r="261">
      <c r="A261" s="9" t="n">
        <v>258</v>
      </c>
      <c r="B261" s="10" t="inlineStr">
        <is>
          <t xml:space="preserve">            conn.close()</t>
        </is>
      </c>
    </row>
    <row r="262">
      <c r="A262" s="7" t="n">
        <v>259</v>
      </c>
      <c r="B262" s="8" t="inlineStr">
        <is>
          <t xml:space="preserve">        except Exception:</t>
        </is>
      </c>
    </row>
    <row r="263">
      <c r="A263" s="9" t="n">
        <v>260</v>
      </c>
      <c r="B263" s="10" t="inlineStr">
        <is>
          <t xml:space="preserve">            pass</t>
        </is>
      </c>
    </row>
    <row r="264">
      <c r="A264" s="7" t="n">
        <v>261</v>
      </c>
      <c r="B264" s="8" t="inlineStr"/>
    </row>
    <row r="265">
      <c r="A265" s="9" t="n">
        <v>262</v>
      </c>
      <c r="B265" s="10" t="inlineStr">
        <is>
          <t xml:space="preserve">    def get_used_material_paths(self, days=30):</t>
        </is>
      </c>
    </row>
    <row r="266">
      <c r="A266" s="7" t="n">
        <v>263</v>
      </c>
      <c r="B266" s="8" t="inlineStr">
        <is>
          <t xml:space="preserve">        try:</t>
        </is>
      </c>
    </row>
    <row r="267">
      <c r="A267" s="9" t="n">
        <v>264</v>
      </c>
      <c r="B267" s="10" t="inlineStr">
        <is>
          <t xml:space="preserve">            conn = sqlite3.connect(DB_USAGE)</t>
        </is>
      </c>
    </row>
    <row r="268">
      <c r="A268" s="7" t="n">
        <v>265</v>
      </c>
      <c r="B268" s="8" t="inlineStr">
        <is>
          <t xml:space="preserve">            conn.execute("CREATE TABLE IF NOT EXISTS usage (video_path TEXT, task_id TEXT, used_at TEXT)")</t>
        </is>
      </c>
    </row>
    <row r="269">
      <c r="A269" s="9" t="n">
        <v>266</v>
      </c>
      <c r="B269" s="10" t="inlineStr">
        <is>
          <t xml:space="preserve">            rows = conn.execute(</t>
        </is>
      </c>
    </row>
    <row r="270">
      <c r="A270" s="7" t="n">
        <v>267</v>
      </c>
      <c r="B270" s="8" t="inlineStr">
        <is>
          <t xml:space="preserve">                "SELECT DISTINCT video_path FROM usage WHERE used_at &gt; datetime('now','localtime','-{} days')".format(days)</t>
        </is>
      </c>
    </row>
    <row r="271">
      <c r="A271" s="9" t="n">
        <v>268</v>
      </c>
      <c r="B271" s="10" t="inlineStr">
        <is>
          <t xml:space="preserve">            ).fetchall()</t>
        </is>
      </c>
    </row>
    <row r="272">
      <c r="A272" s="7" t="n">
        <v>269</v>
      </c>
      <c r="B272" s="8" t="inlineStr">
        <is>
          <t xml:space="preserve">            conn.close()</t>
        </is>
      </c>
    </row>
    <row r="273">
      <c r="A273" s="9" t="n">
        <v>270</v>
      </c>
      <c r="B273" s="10" t="inlineStr">
        <is>
          <t xml:space="preserve">            return [r[0] for r in rows]</t>
        </is>
      </c>
    </row>
    <row r="274">
      <c r="A274" s="7" t="n">
        <v>271</v>
      </c>
      <c r="B274" s="8" t="inlineStr">
        <is>
          <t xml:space="preserve">        except Exception:</t>
        </is>
      </c>
    </row>
    <row r="275">
      <c r="A275" s="9" t="n">
        <v>272</v>
      </c>
      <c r="B275" s="10" t="inlineStr">
        <is>
          <t xml:space="preserve">            return []</t>
        </is>
      </c>
    </row>
    <row r="276">
      <c r="A276" s="7" t="n">
        <v>273</v>
      </c>
      <c r="B276" s="8" t="inlineStr"/>
    </row>
    <row r="277">
      <c r="A277" s="9" t="n">
        <v>274</v>
      </c>
      <c r="B277" s="10" t="inlineStr">
        <is>
          <t xml:space="preserve">    def insert_video_log(self, task_id, keyword, draft_dir, script_id=0):</t>
        </is>
      </c>
    </row>
    <row r="278">
      <c r="A278" s="7" t="n">
        <v>275</v>
      </c>
      <c r="B278" s="8" t="inlineStr">
        <is>
          <t xml:space="preserve">        conn = sqlite3.connect(DB_MAIN)</t>
        </is>
      </c>
    </row>
    <row r="279">
      <c r="A279" s="9" t="n">
        <v>276</v>
      </c>
      <c r="B279" s="10" t="inlineStr">
        <is>
          <t xml:space="preserve">        conn.execute(</t>
        </is>
      </c>
    </row>
    <row r="280">
      <c r="A280" s="7" t="n">
        <v>277</v>
      </c>
      <c r="B280" s="8" t="inlineStr">
        <is>
          <t xml:space="preserve">            "INSERT INTO generation_log (script_id, keyword, draft_dir) VALUES (?,?,?)",</t>
        </is>
      </c>
    </row>
    <row r="281">
      <c r="A281" s="9" t="n">
        <v>278</v>
      </c>
      <c r="B281" s="10" t="inlineStr">
        <is>
          <t xml:space="preserve">            (script_id, str(keyword)[:200], str(draft_dir)[:500]))</t>
        </is>
      </c>
    </row>
    <row r="282">
      <c r="A282" s="7" t="n">
        <v>279</v>
      </c>
      <c r="B282" s="8" t="inlineStr">
        <is>
          <t xml:space="preserve">        rid = conn.execute("SELECT last_insert_rowid()").fetchone()[0]</t>
        </is>
      </c>
    </row>
    <row r="283">
      <c r="A283" s="9" t="n">
        <v>280</v>
      </c>
      <c r="B283" s="10" t="inlineStr">
        <is>
          <t xml:space="preserve">        conn.commit()</t>
        </is>
      </c>
    </row>
    <row r="284">
      <c r="A284" s="7" t="n">
        <v>281</v>
      </c>
      <c r="B284" s="8" t="inlineStr">
        <is>
          <t xml:space="preserve">        conn.close()</t>
        </is>
      </c>
    </row>
    <row r="285">
      <c r="A285" s="9" t="n">
        <v>282</v>
      </c>
      <c r="B285" s="10" t="inlineStr">
        <is>
          <t xml:space="preserve">        return rid</t>
        </is>
      </c>
    </row>
    <row r="286">
      <c r="A286" s="7" t="n">
        <v>283</v>
      </c>
      <c r="B286" s="8" t="inlineStr"/>
    </row>
    <row r="287">
      <c r="A287" s="9" t="n">
        <v>284</v>
      </c>
      <c r="B287" s="10" t="inlineStr">
        <is>
          <t xml:space="preserve">    def insert_material_log(self, video_log_id, clip, idx):</t>
        </is>
      </c>
    </row>
    <row r="288">
      <c r="A288" s="7" t="n">
        <v>285</v>
      </c>
      <c r="B288" s="8" t="inlineStr">
        <is>
          <t xml:space="preserve">        try:</t>
        </is>
      </c>
    </row>
    <row r="289">
      <c r="A289" s="9" t="n">
        <v>286</v>
      </c>
      <c r="B289" s="10" t="inlineStr">
        <is>
          <t xml:space="preserve">            path = clip.get("path", str(clip)) if isinstance(clip, dict) else str(clip)</t>
        </is>
      </c>
    </row>
    <row r="290">
      <c r="A290" s="7" t="n">
        <v>287</v>
      </c>
      <c r="B290" s="8" t="inlineStr">
        <is>
          <t xml:space="preserve">            conn = sqlite3.connect(DB_MAIN)</t>
        </is>
      </c>
    </row>
    <row r="291">
      <c r="A291" s="9" t="n">
        <v>288</v>
      </c>
      <c r="B291" s="10" t="inlineStr">
        <is>
          <t xml:space="preserve">            conn.execute("""CREATE TABLE IF NOT EXISTS material_generation_log</t>
        </is>
      </c>
    </row>
    <row r="292">
      <c r="A292" s="7" t="n">
        <v>289</v>
      </c>
      <c r="B292" s="8" t="inlineStr">
        <is>
          <t xml:space="preserve">                (id INTEGER PRIMARY KEY AUTOINCREMENT, video_log_id INTEGER, material_path TEXT,</t>
        </is>
      </c>
    </row>
    <row r="293">
      <c r="A293" s="9" t="n">
        <v>290</v>
      </c>
      <c r="B293" s="10" t="inlineStr">
        <is>
          <t xml:space="preserve">                 idx INTEGER, used_at TEXT)""")</t>
        </is>
      </c>
    </row>
    <row r="294">
      <c r="A294" s="7" t="n">
        <v>291</v>
      </c>
      <c r="B294" s="8" t="inlineStr">
        <is>
          <t xml:space="preserve">            conn.execute("INSERT INTO material_generation_log (video_log_id, material_path, idx, used_at) VALUES (?,?,?,{})".format(COL_TIME),</t>
        </is>
      </c>
    </row>
    <row r="295">
      <c r="A295" s="9" t="n">
        <v>292</v>
      </c>
      <c r="B295" s="10" t="inlineStr">
        <is>
          <t xml:space="preserve">                         (video_log_id, path[:500], idx))</t>
        </is>
      </c>
    </row>
    <row r="296">
      <c r="A296" s="7" t="n">
        <v>293</v>
      </c>
      <c r="B296" s="8" t="inlineStr">
        <is>
          <t xml:space="preserve">            conn.commit()</t>
        </is>
      </c>
    </row>
    <row r="297">
      <c r="A297" s="9" t="n">
        <v>294</v>
      </c>
      <c r="B297" s="10" t="inlineStr">
        <is>
          <t xml:space="preserve">            conn.close()</t>
        </is>
      </c>
    </row>
    <row r="298">
      <c r="A298" s="7" t="n">
        <v>295</v>
      </c>
      <c r="B298" s="8" t="inlineStr">
        <is>
          <t xml:space="preserve">        except Exception:</t>
        </is>
      </c>
    </row>
    <row r="299">
      <c r="A299" s="9" t="n">
        <v>296</v>
      </c>
      <c r="B299" s="10" t="inlineStr">
        <is>
          <t xml:space="preserve">            pass</t>
        </is>
      </c>
    </row>
    <row r="300">
      <c r="A300" s="7" t="n">
        <v>297</v>
      </c>
      <c r="B300" s="8" t="inlineStr"/>
    </row>
    <row r="301">
      <c r="A301" s="9" t="n">
        <v>298</v>
      </c>
      <c r="B301" s="10" t="inlineStr">
        <is>
          <t xml:space="preserve">    def get_video_materials(self, video_log_id):</t>
        </is>
      </c>
    </row>
    <row r="302">
      <c r="A302" s="7" t="n">
        <v>299</v>
      </c>
      <c r="B302" s="8" t="inlineStr">
        <is>
          <t xml:space="preserve">        rows = self.execute(</t>
        </is>
      </c>
    </row>
    <row r="303">
      <c r="A303" s="9" t="n">
        <v>300</v>
      </c>
      <c r="B303" s="10" t="inlineStr">
        <is>
          <t xml:space="preserve">            "SELECT material_path as path FROM material_generation_log WHERE video_log_id=? ORDER BY idx", (video_log_id,))</t>
        </is>
      </c>
    </row>
    <row r="304">
      <c r="A304" s="7" t="n">
        <v>301</v>
      </c>
      <c r="B304" s="8" t="inlineStr">
        <is>
          <t xml:space="preserve">        return [dict(r) for r in rows] or [{"path": ""}]</t>
        </is>
      </c>
    </row>
    <row r="305">
      <c r="A305" s="9" t="n">
        <v>302</v>
      </c>
      <c r="B305" s="10" t="inlineStr"/>
    </row>
    <row r="306">
      <c r="A306" s="7" t="n">
        <v>303</v>
      </c>
      <c r="B306" s="8" t="inlineStr">
        <is>
          <t xml:space="preserve">    def get_video_log(self, video_log_id):</t>
        </is>
      </c>
    </row>
    <row r="307">
      <c r="A307" s="9" t="n">
        <v>304</v>
      </c>
      <c r="B307" s="10" t="inlineStr">
        <is>
          <t xml:space="preserve">        rows = self.execute("SELECT * FROM generation_log WHERE id=?", (video_log_id,))</t>
        </is>
      </c>
    </row>
    <row r="308">
      <c r="A308" s="7" t="n">
        <v>305</v>
      </c>
      <c r="B308" s="8" t="inlineStr">
        <is>
          <t xml:space="preserve">        r = rows[0] if rows else {}</t>
        </is>
      </c>
    </row>
    <row r="309">
      <c r="A309" s="9" t="n">
        <v>306</v>
      </c>
      <c r="B309" s="10" t="inlineStr">
        <is>
          <t xml:space="preserve">        return dict(r) if r else {}</t>
        </is>
      </c>
    </row>
    <row r="310">
      <c r="A310" s="7" t="n">
        <v>307</v>
      </c>
      <c r="B310" s="8" t="inlineStr"/>
    </row>
    <row r="311">
      <c r="A311" s="9" t="n">
        <v>308</v>
      </c>
      <c r="B311" s="10" t="inlineStr">
        <is>
          <t xml:space="preserve">    # ─── 任务记录 (task_log.db) ───</t>
        </is>
      </c>
    </row>
    <row r="312">
      <c r="A312" s="7" t="n">
        <v>309</v>
      </c>
      <c r="B312" s="8" t="inlineStr">
        <is>
          <t xml:space="preserve">    def _ensure_task_log(self):</t>
        </is>
      </c>
    </row>
    <row r="313">
      <c r="A313" s="9" t="n">
        <v>310</v>
      </c>
      <c r="B313" s="10" t="inlineStr">
        <is>
          <t xml:space="preserve">        if os.path.exists(DB_TASK):</t>
        </is>
      </c>
    </row>
    <row r="314">
      <c r="A314" s="7" t="n">
        <v>311</v>
      </c>
      <c r="B314" s="8" t="inlineStr">
        <is>
          <t xml:space="preserve">            # 验证是否真的是 SQLite 文件</t>
        </is>
      </c>
    </row>
    <row r="315">
      <c r="A315" s="9" t="n">
        <v>312</v>
      </c>
      <c r="B315" s="10" t="inlineStr">
        <is>
          <t xml:space="preserve">            try:</t>
        </is>
      </c>
    </row>
    <row r="316">
      <c r="A316" s="7" t="n">
        <v>313</v>
      </c>
      <c r="B316" s="8" t="inlineStr">
        <is>
          <t xml:space="preserve">                conn = sqlite3.connect(DB_TASK)</t>
        </is>
      </c>
    </row>
    <row r="317">
      <c r="A317" s="9" t="n">
        <v>314</v>
      </c>
      <c r="B317" s="10" t="inlineStr">
        <is>
          <t xml:space="preserve">                conn.execute("SELECT 1").fetchone()</t>
        </is>
      </c>
    </row>
    <row r="318">
      <c r="A318" s="7" t="n">
        <v>315</v>
      </c>
      <c r="B318" s="8" t="inlineStr">
        <is>
          <t xml:space="preserve">                conn.close()</t>
        </is>
      </c>
    </row>
    <row r="319">
      <c r="A319" s="9" t="n">
        <v>316</v>
      </c>
      <c r="B319" s="10" t="inlineStr">
        <is>
          <t xml:space="preserve">                return</t>
        </is>
      </c>
    </row>
    <row r="320">
      <c r="A320" s="7" t="n">
        <v>317</v>
      </c>
      <c r="B320" s="8" t="inlineStr">
        <is>
          <t xml:space="preserve">            except Exception:</t>
        </is>
      </c>
    </row>
    <row r="321">
      <c r="A321" s="9" t="n">
        <v>318</v>
      </c>
      <c r="B321" s="10" t="inlineStr">
        <is>
          <t xml:space="preserve">                # 文件损坏，重建</t>
        </is>
      </c>
    </row>
    <row r="322">
      <c r="A322" s="7" t="n">
        <v>319</v>
      </c>
      <c r="B322" s="8" t="inlineStr">
        <is>
          <t xml:space="preserve">                os.remove(DB_TASK)</t>
        </is>
      </c>
    </row>
    <row r="323">
      <c r="A323" s="9" t="n">
        <v>320</v>
      </c>
      <c r="B323" s="10" t="inlineStr">
        <is>
          <t xml:space="preserve">        conn = sqlite3.connect(DB_TASK)</t>
        </is>
      </c>
    </row>
    <row r="324">
      <c r="A324" s="7" t="n">
        <v>321</v>
      </c>
      <c r="B324" s="8" t="inlineStr">
        <is>
          <t xml:space="preserve">        conn.execute("""CREATE TABLE IF NOT EXISTS task_log (</t>
        </is>
      </c>
    </row>
    <row r="325">
      <c r="A325" s="9" t="n">
        <v>322</v>
      </c>
      <c r="B325" s="10" t="inlineStr">
        <is>
          <t xml:space="preserve">            id INTEGER PRIMARY KEY AUTOINCREMENT,</t>
        </is>
      </c>
    </row>
    <row r="326">
      <c r="A326" s="7" t="n">
        <v>323</v>
      </c>
      <c r="B326" s="8" t="inlineStr">
        <is>
          <t xml:space="preserve">            task_type TEXT DEFAULT 'auto', status TEXT DEFAULT '运行中',</t>
        </is>
      </c>
    </row>
    <row r="327">
      <c r="A327" s="9" t="n">
        <v>324</v>
      </c>
      <c r="B327" s="10" t="inlineStr">
        <is>
          <t xml:space="preserve">            keyword TEXT DEFAULT '', materials_count INTEGER DEFAULT 0,</t>
        </is>
      </c>
    </row>
    <row r="328">
      <c r="A328" s="7" t="n">
        <v>325</v>
      </c>
      <c r="B328" s="8" t="inlineStr">
        <is>
          <t xml:space="preserve">            materials_paths TEXT DEFAULT '', output_dir TEXT DEFAULT '',</t>
        </is>
      </c>
    </row>
    <row r="329">
      <c r="A329" s="9" t="n">
        <v>326</v>
      </c>
      <c r="B329" s="10" t="inlineStr">
        <is>
          <t xml:space="preserve">            error_msg TEXT DEFAULT '', created_at TEXT, updated_at TEXT)""")</t>
        </is>
      </c>
    </row>
    <row r="330">
      <c r="A330" s="7" t="n">
        <v>327</v>
      </c>
      <c r="B330" s="8" t="inlineStr">
        <is>
          <t xml:space="preserve">        conn.commit()</t>
        </is>
      </c>
    </row>
    <row r="331">
      <c r="A331" s="9" t="n">
        <v>328</v>
      </c>
      <c r="B331" s="10" t="inlineStr">
        <is>
          <t xml:space="preserve">        conn.close()</t>
        </is>
      </c>
    </row>
    <row r="332">
      <c r="A332" s="7" t="n">
        <v>329</v>
      </c>
      <c r="B332" s="8" t="inlineStr"/>
    </row>
    <row r="333">
      <c r="A333" s="9" t="n">
        <v>330</v>
      </c>
      <c r="B333" s="10" t="inlineStr">
        <is>
          <t xml:space="preserve">    def insert_task_record(self, task_type="auto", status="运行中", keyword="", output_dir=""):</t>
        </is>
      </c>
    </row>
    <row r="334">
      <c r="A334" s="7" t="n">
        <v>331</v>
      </c>
      <c r="B334" s="8" t="inlineStr">
        <is>
          <t xml:space="preserve">        self._ensure_task_log()</t>
        </is>
      </c>
    </row>
    <row r="335">
      <c r="A335" s="9" t="n">
        <v>332</v>
      </c>
      <c r="B335" s="10" t="inlineStr">
        <is>
          <t xml:space="preserve">        conn = sqlite3.connect(DB_TASK)</t>
        </is>
      </c>
    </row>
    <row r="336">
      <c r="A336" s="7" t="n">
        <v>333</v>
      </c>
      <c r="B336" s="8" t="inlineStr">
        <is>
          <t xml:space="preserve">        conn.execute(</t>
        </is>
      </c>
    </row>
    <row r="337">
      <c r="A337" s="9" t="n">
        <v>334</v>
      </c>
      <c r="B337" s="10" t="inlineStr">
        <is>
          <t xml:space="preserve">            "INSERT INTO task_log (task_type, status, keyword, output_dir, created_at, updated_at) VALUES (?,?,?,?,{},{})".format(COL_TIME, COL_TIME),</t>
        </is>
      </c>
    </row>
    <row r="338">
      <c r="A338" s="7" t="n">
        <v>335</v>
      </c>
      <c r="B338" s="8" t="inlineStr">
        <is>
          <t xml:space="preserve">            (task_type, status, str(keyword)[:200], str(output_dir)[:500]))</t>
        </is>
      </c>
    </row>
    <row r="339">
      <c r="A339" s="9" t="n">
        <v>336</v>
      </c>
      <c r="B339" s="10" t="inlineStr">
        <is>
          <t xml:space="preserve">        rid = conn.execute("SELECT last_insert_rowid()").fetchone()[0]</t>
        </is>
      </c>
    </row>
    <row r="340">
      <c r="A340" s="7" t="n">
        <v>337</v>
      </c>
      <c r="B340" s="8" t="inlineStr">
        <is>
          <t xml:space="preserve">        conn.commit()</t>
        </is>
      </c>
    </row>
    <row r="341">
      <c r="A341" s="9" t="n">
        <v>338</v>
      </c>
      <c r="B341" s="10" t="inlineStr">
        <is>
          <t xml:space="preserve">        conn.close()</t>
        </is>
      </c>
    </row>
    <row r="342">
      <c r="A342" s="7" t="n">
        <v>339</v>
      </c>
      <c r="B342" s="8" t="inlineStr">
        <is>
          <t xml:space="preserve">        return rid</t>
        </is>
      </c>
    </row>
    <row r="343">
      <c r="A343" s="9" t="n">
        <v>340</v>
      </c>
      <c r="B343" s="10" t="inlineStr"/>
    </row>
    <row r="344">
      <c r="A344" s="7" t="n">
        <v>341</v>
      </c>
      <c r="B344" s="8" t="inlineStr">
        <is>
          <t xml:space="preserve">    def update_task_record(self, task_id, **kwargs):</t>
        </is>
      </c>
    </row>
    <row r="345">
      <c r="A345" s="9" t="n">
        <v>342</v>
      </c>
      <c r="B345" s="10" t="inlineStr">
        <is>
          <t xml:space="preserve">        self._ensure_task_log()</t>
        </is>
      </c>
    </row>
    <row r="346">
      <c r="A346" s="7" t="n">
        <v>343</v>
      </c>
      <c r="B346" s="8" t="inlineStr">
        <is>
          <t xml:space="preserve">        if not kwargs:</t>
        </is>
      </c>
    </row>
    <row r="347">
      <c r="A347" s="9" t="n">
        <v>344</v>
      </c>
      <c r="B347" s="10" t="inlineStr">
        <is>
          <t xml:space="preserve">            return</t>
        </is>
      </c>
    </row>
    <row r="348">
      <c r="A348" s="7" t="n">
        <v>345</v>
      </c>
      <c r="B348" s="8" t="inlineStr">
        <is>
          <t xml:space="preserve">        conn = sqlite3.connect(DB_TASK)</t>
        </is>
      </c>
    </row>
    <row r="349">
      <c r="A349" s="9" t="n">
        <v>346</v>
      </c>
      <c r="B349" s="10" t="inlineStr">
        <is>
          <t xml:space="preserve">        sets = ", ".join(f"{k}=?" for k in kwargs)</t>
        </is>
      </c>
    </row>
    <row r="350">
      <c r="A350" s="7" t="n">
        <v>347</v>
      </c>
      <c r="B350" s="8" t="inlineStr">
        <is>
          <t xml:space="preserve">        conn.execute(f"UPDATE task_log SET {sets}, updated_at={COL_TIME} WHERE id=?",</t>
        </is>
      </c>
    </row>
    <row r="351">
      <c r="A351" s="9" t="n">
        <v>348</v>
      </c>
      <c r="B351" s="10" t="inlineStr">
        <is>
          <t xml:space="preserve">                     list(kwargs.values()) + [task_id])</t>
        </is>
      </c>
    </row>
    <row r="352">
      <c r="A352" s="7" t="n">
        <v>349</v>
      </c>
      <c r="B352" s="8" t="inlineStr">
        <is>
          <t xml:space="preserve">        conn.commit()</t>
        </is>
      </c>
    </row>
    <row r="353">
      <c r="A353" s="9" t="n">
        <v>350</v>
      </c>
      <c r="B353" s="10" t="inlineStr">
        <is>
          <t xml:space="preserve">        conn.close()</t>
        </is>
      </c>
    </row>
    <row r="354">
      <c r="A354" s="7" t="n">
        <v>351</v>
      </c>
      <c r="B354" s="8" t="inlineStr"/>
    </row>
    <row r="355">
      <c r="A355" s="9" t="n">
        <v>352</v>
      </c>
      <c r="B355" s="10" t="inlineStr">
        <is>
          <t xml:space="preserve">    def get_task_records(self, limit=200):</t>
        </is>
      </c>
    </row>
    <row r="356">
      <c r="A356" s="7" t="n">
        <v>353</v>
      </c>
      <c r="B356" s="8" t="inlineStr">
        <is>
          <t xml:space="preserve">        self._ensure_task_log()</t>
        </is>
      </c>
    </row>
    <row r="357">
      <c r="A357" s="9" t="n">
        <v>354</v>
      </c>
      <c r="B357" s="10" t="inlineStr">
        <is>
          <t xml:space="preserve">        try:</t>
        </is>
      </c>
    </row>
    <row r="358">
      <c r="A358" s="7" t="n">
        <v>355</v>
      </c>
      <c r="B358" s="8" t="inlineStr">
        <is>
          <t xml:space="preserve">            conn = sqlite3.connect(DB_TASK)</t>
        </is>
      </c>
    </row>
    <row r="359">
      <c r="A359" s="9" t="n">
        <v>356</v>
      </c>
      <c r="B359" s="10" t="inlineStr">
        <is>
          <t xml:space="preserve">            rows = conn.execute("SELECT * FROM task_log ORDER BY id DESC LIMIT ?", (limit,)).fetchall()</t>
        </is>
      </c>
    </row>
    <row r="360">
      <c r="A360" s="7" t="n">
        <v>357</v>
      </c>
      <c r="B360" s="8" t="inlineStr">
        <is>
          <t xml:space="preserve">            conn.close()</t>
        </is>
      </c>
    </row>
    <row r="361">
      <c r="A361" s="9" t="n">
        <v>358</v>
      </c>
      <c r="B361" s="10" t="inlineStr">
        <is>
          <t xml:space="preserve">            return [dict(r) for r in rows]</t>
        </is>
      </c>
    </row>
    <row r="362">
      <c r="A362" s="7" t="n">
        <v>359</v>
      </c>
      <c r="B362" s="8" t="inlineStr">
        <is>
          <t xml:space="preserve">        except Exception:</t>
        </is>
      </c>
    </row>
    <row r="363">
      <c r="A363" s="9" t="n">
        <v>360</v>
      </c>
      <c r="B363" s="10" t="inlineStr">
        <is>
          <t xml:space="preserve">            return []</t>
        </is>
      </c>
    </row>
    <row r="364">
      <c r="A364" s="7" t="n">
        <v>361</v>
      </c>
      <c r="B364" s="8" t="inlineStr"/>
    </row>
    <row r="365">
      <c r="A365" s="9" t="n">
        <v>362</v>
      </c>
      <c r="B365" s="10" t="inlineStr">
        <is>
          <t xml:space="preserve">    def get_task_stats(self):</t>
        </is>
      </c>
    </row>
    <row r="366">
      <c r="A366" s="7" t="n">
        <v>363</v>
      </c>
      <c r="B366" s="8" t="inlineStr">
        <is>
          <t xml:space="preserve">        self._ensure_task_log()</t>
        </is>
      </c>
    </row>
    <row r="367">
      <c r="A367" s="9" t="n">
        <v>364</v>
      </c>
      <c r="B367" s="10" t="inlineStr">
        <is>
          <t xml:space="preserve">        try:</t>
        </is>
      </c>
    </row>
    <row r="368">
      <c r="A368" s="7" t="n">
        <v>365</v>
      </c>
      <c r="B368" s="8" t="inlineStr">
        <is>
          <t xml:space="preserve">            conn = sqlite3.connect(DB_TASK)</t>
        </is>
      </c>
    </row>
    <row r="369">
      <c r="A369" s="9" t="n">
        <v>366</v>
      </c>
      <c r="B369" s="10" t="inlineStr">
        <is>
          <t xml:space="preserve">            total = conn.execute("SELECT COUNT(*) FROM task_log").fetchone()[0]</t>
        </is>
      </c>
    </row>
    <row r="370">
      <c r="A370" s="7" t="n">
        <v>367</v>
      </c>
      <c r="B370" s="8" t="inlineStr">
        <is>
          <t xml:space="preserve">            conn.close()</t>
        </is>
      </c>
    </row>
    <row r="371">
      <c r="A371" s="9" t="n">
        <v>368</v>
      </c>
      <c r="B371" s="10" t="inlineStr">
        <is>
          <t xml:space="preserve">            return {"total": total, "success": 0, "failed": 0}</t>
        </is>
      </c>
    </row>
    <row r="372">
      <c r="A372" s="7" t="n">
        <v>369</v>
      </c>
      <c r="B372" s="8" t="inlineStr">
        <is>
          <t xml:space="preserve">        except Exception:</t>
        </is>
      </c>
    </row>
    <row r="373">
      <c r="A373" s="9" t="n">
        <v>370</v>
      </c>
      <c r="B373" s="10" t="inlineStr">
        <is>
          <t xml:space="preserve">            return {"total": 0, "success": 0, "failed": 0}</t>
        </is>
      </c>
    </row>
    <row r="374">
      <c r="A374" s="7" t="n">
        <v>371</v>
      </c>
      <c r="B374" s="8" t="inlineStr"/>
    </row>
    <row r="375">
      <c r="A375" s="9" t="n">
        <v>372</v>
      </c>
      <c r="B375" s="10" t="inlineStr"/>
    </row>
    <row r="376">
      <c r="A376" s="7" t="n">
        <v>373</v>
      </c>
      <c r="B376" s="8" t="inlineStr">
        <is>
          <t># ─── 全局单例 ───</t>
        </is>
      </c>
    </row>
    <row r="377">
      <c r="A377" s="9" t="n">
        <v>374</v>
      </c>
      <c r="B377" s="10" t="inlineStr">
        <is>
          <t>db = Database()</t>
        </is>
      </c>
    </row>
    <row r="378">
      <c r="A378" s="7" t="n">
        <v>375</v>
      </c>
      <c r="B378" s="8" t="inlineStr"/>
    </row>
    <row r="379">
      <c r="A379" s="9" t="n">
        <v>376</v>
      </c>
      <c r="B379" s="10" t="inlineStr"/>
    </row>
    <row r="380">
      <c r="A380" s="7" t="n">
        <v>377</v>
      </c>
      <c r="B380" s="8" t="inlineStr">
        <is>
          <t># ═══════════════════════════════════════════════</t>
        </is>
      </c>
    </row>
    <row r="381">
      <c r="A381" s="9" t="n">
        <v>378</v>
      </c>
      <c r="B381" s="10" t="inlineStr">
        <is>
          <t># v3.0 兼容 API (供新插件 modules/plugins 使用)</t>
        </is>
      </c>
    </row>
    <row r="382">
      <c r="A382" s="7" t="n">
        <v>379</v>
      </c>
      <c r="B382" s="8" t="inlineStr">
        <is>
          <t># ═══════════════════════════════════════════════</t>
        </is>
      </c>
    </row>
    <row r="383">
      <c r="A383" s="9" t="n">
        <v>380</v>
      </c>
      <c r="B383" s="10" t="inlineStr">
        <is>
          <t>def init_db():</t>
        </is>
      </c>
    </row>
    <row r="384">
      <c r="A384" s="7" t="n">
        <v>381</v>
      </c>
      <c r="B384" s="8" t="inlineStr">
        <is>
          <t xml:space="preserve">    conn = sqlite3.connect(DB_V3)</t>
        </is>
      </c>
    </row>
    <row r="385">
      <c r="A385" s="9" t="n">
        <v>382</v>
      </c>
      <c r="B385" s="10" t="inlineStr">
        <is>
          <t xml:space="preserve">    conn.executescript("""</t>
        </is>
      </c>
    </row>
    <row r="386">
      <c r="A386" s="7" t="n">
        <v>383</v>
      </c>
      <c r="B386" s="8" t="inlineStr">
        <is>
          <t xml:space="preserve">    CREATE TABLE IF NOT EXISTS materials (id INTEGER PRIMARY KEY AUTOINCREMENT,file_path TEXT UNIQUE,file_type TEXT DEFAULT 'video',duration REAL DEFAULT 0,resolution TEXT,fps REAL DEFAULT 0,bitrate INTEGER DEFAULT 0,version INTEGER DEFAULT 1,parent_id INTEGER DEFAULT 0,create_time TIMESTAMP DEFAULT CURRENT_TIMESTAMP,status TEXT DEFAULT 'pending');</t>
        </is>
      </c>
    </row>
    <row r="387">
      <c r="A387" s="9" t="n">
        <v>384</v>
      </c>
      <c r="B387" s="10" t="inlineStr">
        <is>
          <t xml:space="preserve">    CREATE TABLE IF NOT EXISTS tasks (id INTEGER PRIMARY KEY AUTOINCREMENT,task_type TEXT DEFAULT 'full_process',material_id INTEGER,status TEXT DEFAULT 'pending',progress INTEGER DEFAULT 0,current_node TEXT,workflow_state BLOB,error_msg TEXT,create_time TIMESTAMP DEFAULT CURRENT_TIMESTAMP,update_time TIMESTAMP DEFAULT CURRENT_TIMESTAMP,FOREIGN KEY(material_id) REFERENCES materials(id));</t>
        </is>
      </c>
    </row>
    <row r="388">
      <c r="A388" s="7" t="n">
        <v>385</v>
      </c>
      <c r="B388" s="8" t="inlineStr">
        <is>
          <t xml:space="preserve">    CREATE TABLE IF NOT EXISTS compute_cache (id INTEGER PRIMARY KEY AUTOINCREMENT,file_hash TEXT NOT NULL,cache_type TEXT NOT NULL,cache_data TEXT NOT NULL,create_time TIMESTAMP DEFAULT CURRENT_TIMESTAMP,update_time TIMESTAMP DEFAULT CURRENT_TIMESTAMP,UNIQUE(file_hash,cache_type));</t>
        </is>
      </c>
    </row>
    <row r="389">
      <c r="A389" s="9" t="n">
        <v>386</v>
      </c>
      <c r="B389" s="10" t="inlineStr">
        <is>
          <t xml:space="preserve">    """)</t>
        </is>
      </c>
    </row>
    <row r="390">
      <c r="A390" s="7" t="n">
        <v>387</v>
      </c>
      <c r="B390" s="8" t="inlineStr">
        <is>
          <t xml:space="preserve">    conn.commit()</t>
        </is>
      </c>
    </row>
    <row r="391">
      <c r="A391" s="9" t="n">
        <v>388</v>
      </c>
      <c r="B391" s="10" t="inlineStr">
        <is>
          <t xml:space="preserve">    conn.close()</t>
        </is>
      </c>
    </row>
    <row r="392">
      <c r="A392" s="7" t="n">
        <v>389</v>
      </c>
      <c r="B392" s="8" t="inlineStr">
        <is>
          <t xml:space="preserve">    return True</t>
        </is>
      </c>
    </row>
    <row r="393">
      <c r="A393" s="9" t="n">
        <v>390</v>
      </c>
      <c r="B393" s="10" t="inlineStr"/>
    </row>
    <row r="394">
      <c r="A394" s="7" t="n">
        <v>391</v>
      </c>
      <c r="B394" s="8" t="inlineStr"/>
    </row>
    <row r="395">
      <c r="A395" s="9" t="n">
        <v>392</v>
      </c>
      <c r="B395" s="10" t="inlineStr">
        <is>
          <t>def execute_sql(sql, params=()):</t>
        </is>
      </c>
    </row>
    <row r="396">
      <c r="A396" s="7" t="n">
        <v>393</v>
      </c>
      <c r="B396" s="8" t="inlineStr">
        <is>
          <t xml:space="preserve">    conn = sqlite3.connect(DB_V3)</t>
        </is>
      </c>
    </row>
    <row r="397">
      <c r="A397" s="9" t="n">
        <v>394</v>
      </c>
      <c r="B397" s="10" t="inlineStr">
        <is>
          <t xml:space="preserve">    cursor = conn.execute(sql, params)</t>
        </is>
      </c>
    </row>
    <row r="398">
      <c r="A398" s="7" t="n">
        <v>395</v>
      </c>
      <c r="B398" s="8" t="inlineStr">
        <is>
          <t xml:space="preserve">    conn.commit()</t>
        </is>
      </c>
    </row>
    <row r="399">
      <c r="A399" s="9" t="n">
        <v>396</v>
      </c>
      <c r="B399" s="10" t="inlineStr">
        <is>
          <t xml:space="preserve">    rid = cursor.lastrowid</t>
        </is>
      </c>
    </row>
    <row r="400">
      <c r="A400" s="7" t="n">
        <v>397</v>
      </c>
      <c r="B400" s="8" t="inlineStr">
        <is>
          <t xml:space="preserve">    conn.close()</t>
        </is>
      </c>
    </row>
    <row r="401">
      <c r="A401" s="9" t="n">
        <v>398</v>
      </c>
      <c r="B401" s="10" t="inlineStr">
        <is>
          <t xml:space="preserve">    return rid</t>
        </is>
      </c>
    </row>
    <row r="402">
      <c r="A402" s="7" t="n">
        <v>399</v>
      </c>
      <c r="B402" s="8" t="inlineStr"/>
    </row>
    <row r="403">
      <c r="A403" s="9" t="n">
        <v>400</v>
      </c>
      <c r="B403" s="10" t="inlineStr"/>
    </row>
    <row r="404">
      <c r="A404" s="7" t="n">
        <v>401</v>
      </c>
      <c r="B404" s="8" t="inlineStr">
        <is>
          <t>def query_sql(sql, params=()):</t>
        </is>
      </c>
    </row>
    <row r="405">
      <c r="A405" s="9" t="n">
        <v>402</v>
      </c>
      <c r="B405" s="10" t="inlineStr">
        <is>
          <t xml:space="preserve">    conn = sqlite3.connect(DB_V3)</t>
        </is>
      </c>
    </row>
    <row r="406">
      <c r="A406" s="7" t="n">
        <v>403</v>
      </c>
      <c r="B406" s="8" t="inlineStr">
        <is>
          <t xml:space="preserve">    cursor = conn.execute(sql, params)</t>
        </is>
      </c>
    </row>
    <row r="407">
      <c r="A407" s="9" t="n">
        <v>404</v>
      </c>
      <c r="B407" s="10" t="inlineStr">
        <is>
          <t xml:space="preserve">    rows = cursor.fetchall()</t>
        </is>
      </c>
    </row>
    <row r="408">
      <c r="A408" s="7" t="n">
        <v>405</v>
      </c>
      <c r="B408" s="8" t="inlineStr">
        <is>
          <t xml:space="preserve">    conn.close()</t>
        </is>
      </c>
    </row>
    <row r="409">
      <c r="A409" s="9" t="n">
        <v>406</v>
      </c>
      <c r="B409" s="10" t="inlineStr">
        <is>
          <t xml:space="preserve">    return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core\deepseek_client.py</t>
        </is>
      </c>
      <c r="C1" s="5" t="inlineStr">
        <is>
          <t>行数: 137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DeepSeek API 全局客户端封装</t>
        </is>
      </c>
    </row>
    <row r="6">
      <c r="A6" s="7" t="n">
        <v>3</v>
      </c>
      <c r="B6" s="8" t="inlineStr">
        <is>
          <t>支持 deepseek-chat / deepseek-coder | 流式+非流式 | 自动重试 | 日志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os, re, json, time, logging, threading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from typing import Optional, List, Dict, Callable</t>
        </is>
      </c>
    </row>
    <row r="11">
      <c r="A11" s="9" t="n">
        <v>8</v>
      </c>
      <c r="B11" s="10" t="inlineStr">
        <is>
          <t>from datetime import datetime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logger = logging.getLogger("deepseek_client")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class DeepSeekClient:</t>
        </is>
      </c>
    </row>
    <row r="16">
      <c r="A16" s="7" t="n">
        <v>13</v>
      </c>
      <c r="B16" s="8" t="inlineStr">
        <is>
          <t xml:space="preserve">    """DeepSeek API 统一调用封装"""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 xml:space="preserve">    def __init__(self, api_key: str = None, model: str = "deepseek-chat", timeout: int = 30):</t>
        </is>
      </c>
    </row>
    <row r="19">
      <c r="A19" s="9" t="n">
        <v>16</v>
      </c>
      <c r="B19" s="10" t="inlineStr">
        <is>
          <t xml:space="preserve">        self.api_key = api_key or os.environ.get("DEEPSEEK_API_KEY", "")</t>
        </is>
      </c>
    </row>
    <row r="20">
      <c r="A20" s="7" t="n">
        <v>17</v>
      </c>
      <c r="B20" s="8" t="inlineStr">
        <is>
          <t xml:space="preserve">        self.model = model</t>
        </is>
      </c>
    </row>
    <row r="21">
      <c r="A21" s="9" t="n">
        <v>18</v>
      </c>
      <c r="B21" s="10" t="inlineStr">
        <is>
          <t xml:space="preserve">        self.timeout = timeout</t>
        </is>
      </c>
    </row>
    <row r="22">
      <c r="A22" s="7" t="n">
        <v>19</v>
      </c>
      <c r="B22" s="8" t="inlineStr">
        <is>
          <t xml:space="preserve">        self.base_url = "https://api.deepseek.com"</t>
        </is>
      </c>
    </row>
    <row r="23">
      <c r="A23" s="9" t="n">
        <v>20</v>
      </c>
      <c r="B23" s="10" t="inlineStr">
        <is>
          <t xml:space="preserve">        self._client = None</t>
        </is>
      </c>
    </row>
    <row r="24">
      <c r="A24" s="7" t="n">
        <v>21</v>
      </c>
      <c r="B24" s="8" t="inlineStr">
        <is>
          <t xml:space="preserve">        self._init_client()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 xml:space="preserve">    # v12.0: 预编译正则 — 避免每次 _is_valid_key 调用时重新编译</t>
        </is>
      </c>
    </row>
    <row r="27">
      <c r="A27" s="9" t="n">
        <v>24</v>
      </c>
      <c r="B27" s="10" t="inlineStr">
        <is>
          <t xml:space="preserve">    _PLACEHOLDER_PATTERNS = (</t>
        </is>
      </c>
    </row>
    <row r="28">
      <c r="A28" s="7" t="n">
        <v>25</v>
      </c>
      <c r="B28" s="8" t="inlineStr">
        <is>
          <t xml:space="preserve">        re.compile(r'your[_\-]?'),</t>
        </is>
      </c>
    </row>
    <row r="29">
      <c r="A29" s="9" t="n">
        <v>26</v>
      </c>
      <c r="B29" s="10" t="inlineStr">
        <is>
          <t xml:space="preserve">        re.compile(r'[Pp]laceholder'),</t>
        </is>
      </c>
    </row>
    <row r="30">
      <c r="A30" s="7" t="n">
        <v>27</v>
      </c>
      <c r="B30" s="8" t="inlineStr">
        <is>
          <t xml:space="preserve">        re.compile(r'xxxx+'),</t>
        </is>
      </c>
    </row>
    <row r="31">
      <c r="A31" s="9" t="n">
        <v>28</v>
      </c>
      <c r="B31" s="10" t="inlineStr">
        <is>
          <t xml:space="preserve">        re.compile(r'^sk-0+$'),</t>
        </is>
      </c>
    </row>
    <row r="32">
      <c r="A32" s="7" t="n">
        <v>29</v>
      </c>
      <c r="B32" s="8" t="inlineStr">
        <is>
          <t xml:space="preserve">        re.compile(r'^[0]+$'),</t>
        </is>
      </c>
    </row>
    <row r="33">
      <c r="A33" s="9" t="n">
        <v>30</v>
      </c>
      <c r="B33" s="10" t="inlineStr">
        <is>
          <t xml:space="preserve">    )</t>
        </is>
      </c>
    </row>
    <row r="34">
      <c r="A34" s="7" t="n">
        <v>31</v>
      </c>
      <c r="B34" s="8" t="inlineStr"/>
    </row>
    <row r="35">
      <c r="A35" s="9" t="n">
        <v>32</v>
      </c>
      <c r="B35" s="10" t="inlineStr">
        <is>
          <t xml:space="preserve">    def _is_valid_key(self, key: str) -&gt; bool:</t>
        </is>
      </c>
    </row>
    <row r="36">
      <c r="A36" s="7" t="n">
        <v>33</v>
      </c>
      <c r="B36" s="8" t="inlineStr">
        <is>
          <t xml:space="preserve">        """增强密钥验证 — 格式检查 + 占位符过滤"""</t>
        </is>
      </c>
    </row>
    <row r="37">
      <c r="A37" s="9" t="n">
        <v>34</v>
      </c>
      <c r="B37" s="10" t="inlineStr">
        <is>
          <t xml:space="preserve">        if not key or len(key) &lt; 10:</t>
        </is>
      </c>
    </row>
    <row r="38">
      <c r="A38" s="7" t="n">
        <v>35</v>
      </c>
      <c r="B38" s="8" t="inlineStr">
        <is>
          <t xml:space="preserve">            return False</t>
        </is>
      </c>
    </row>
    <row r="39">
      <c r="A39" s="9" t="n">
        <v>36</v>
      </c>
      <c r="B39" s="10" t="inlineStr">
        <is>
          <t xml:space="preserve">        for pattern in self._PLACEHOLDER_PATTERNS:</t>
        </is>
      </c>
    </row>
    <row r="40">
      <c r="A40" s="7" t="n">
        <v>37</v>
      </c>
      <c r="B40" s="8" t="inlineStr">
        <is>
          <t xml:space="preserve">            if pattern.search(key):</t>
        </is>
      </c>
    </row>
    <row r="41">
      <c r="A41" s="9" t="n">
        <v>38</v>
      </c>
      <c r="B41" s="10" t="inlineStr">
        <is>
          <t xml:space="preserve">                return False</t>
        </is>
      </c>
    </row>
    <row r="42">
      <c r="A42" s="7" t="n">
        <v>39</v>
      </c>
      <c r="B42" s="8" t="inlineStr">
        <is>
          <t xml:space="preserve">        return True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>
        <is>
          <t xml:space="preserve">    def _init_client(self):</t>
        </is>
      </c>
    </row>
    <row r="45">
      <c r="A45" s="9" t="n">
        <v>42</v>
      </c>
      <c r="B45" s="10" t="inlineStr">
        <is>
          <t xml:space="preserve">        if self.api_key and self._is_valid_key(self.api_key):</t>
        </is>
      </c>
    </row>
    <row r="46">
      <c r="A46" s="7" t="n">
        <v>43</v>
      </c>
      <c r="B46" s="8" t="inlineStr">
        <is>
          <t xml:space="preserve">            try:</t>
        </is>
      </c>
    </row>
    <row r="47">
      <c r="A47" s="9" t="n">
        <v>44</v>
      </c>
      <c r="B47" s="10" t="inlineStr">
        <is>
          <t xml:space="preserve">                from openai import OpenAI</t>
        </is>
      </c>
    </row>
    <row r="48">
      <c r="A48" s="7" t="n">
        <v>45</v>
      </c>
      <c r="B48" s="8" t="inlineStr">
        <is>
          <t xml:space="preserve">                self._client = OpenAI(api_key=self.api_key, base_url=self.base_url)</t>
        </is>
      </c>
    </row>
    <row r="49">
      <c r="A49" s="9" t="n">
        <v>46</v>
      </c>
      <c r="B49" s="10" t="inlineStr">
        <is>
          <t xml:space="preserve">            except ImportError:</t>
        </is>
      </c>
    </row>
    <row r="50">
      <c r="A50" s="7" t="n">
        <v>47</v>
      </c>
      <c r="B50" s="8" t="inlineStr">
        <is>
          <t xml:space="preserve">                logger.warning("openai not installed, DeepSeek unavailable")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@property</t>
        </is>
      </c>
    </row>
    <row r="53">
      <c r="A53" s="9" t="n">
        <v>50</v>
      </c>
      <c r="B53" s="10" t="inlineStr">
        <is>
          <t xml:space="preserve">    def available(self) -&gt; bool:</t>
        </is>
      </c>
    </row>
    <row r="54">
      <c r="A54" s="7" t="n">
        <v>51</v>
      </c>
      <c r="B54" s="8" t="inlineStr">
        <is>
          <t xml:space="preserve">        return self._client is not None and bool(self.api_key)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def _call(self, system_prompt: str, user_prompt: str, max_tokens: int = 1000,</t>
        </is>
      </c>
    </row>
    <row r="57">
      <c r="A57" s="9" t="n">
        <v>54</v>
      </c>
      <c r="B57" s="10" t="inlineStr">
        <is>
          <t xml:space="preserve">              temperature: float = 0.7, stream: bool = False) -&gt; Optional[str]:</t>
        </is>
      </c>
    </row>
    <row r="58">
      <c r="A58" s="7" t="n">
        <v>55</v>
      </c>
      <c r="B58" s="8" t="inlineStr">
        <is>
          <t xml:space="preserve">        """核心调用方法 — 集成指数退避重试 + 熔断保护"""</t>
        </is>
      </c>
    </row>
    <row r="59">
      <c r="A59" s="9" t="n">
        <v>56</v>
      </c>
      <c r="B59" s="10" t="inlineStr">
        <is>
          <t xml:space="preserve">        if not self.available:</t>
        </is>
      </c>
    </row>
    <row r="60">
      <c r="A60" s="7" t="n">
        <v>57</v>
      </c>
      <c r="B60" s="8" t="inlineStr">
        <is>
          <t xml:space="preserve">            return None</t>
        </is>
      </c>
    </row>
    <row r="61">
      <c r="A61" s="9" t="n">
        <v>58</v>
      </c>
      <c r="B61" s="10" t="inlineStr"/>
    </row>
    <row r="62">
      <c r="A62" s="7" t="n">
        <v>59</v>
      </c>
      <c r="B62" s="8" t="inlineStr">
        <is>
          <t xml:space="preserve">        from utils.retry import call_with_retry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    def _do_call():</t>
        </is>
      </c>
    </row>
    <row r="65">
      <c r="A65" s="9" t="n">
        <v>62</v>
      </c>
      <c r="B65" s="10" t="inlineStr">
        <is>
          <t xml:space="preserve">            response = self._client.chat.completions.create(</t>
        </is>
      </c>
    </row>
    <row r="66">
      <c r="A66" s="7" t="n">
        <v>63</v>
      </c>
      <c r="B66" s="8" t="inlineStr">
        <is>
          <t xml:space="preserve">                model=self.model,</t>
        </is>
      </c>
    </row>
    <row r="67">
      <c r="A67" s="9" t="n">
        <v>64</v>
      </c>
      <c r="B67" s="10" t="inlineStr">
        <is>
          <t xml:space="preserve">                messages=[</t>
        </is>
      </c>
    </row>
    <row r="68">
      <c r="A68" s="7" t="n">
        <v>65</v>
      </c>
      <c r="B68" s="8" t="inlineStr">
        <is>
          <t xml:space="preserve">                    {"role": "system", "content": system_prompt},</t>
        </is>
      </c>
    </row>
    <row r="69">
      <c r="A69" s="9" t="n">
        <v>66</v>
      </c>
      <c r="B69" s="10" t="inlineStr">
        <is>
          <t xml:space="preserve">                    {"role": "user", "content": user_prompt},</t>
        </is>
      </c>
    </row>
    <row r="70">
      <c r="A70" s="7" t="n">
        <v>67</v>
      </c>
      <c r="B70" s="8" t="inlineStr">
        <is>
          <t xml:space="preserve">                ],</t>
        </is>
      </c>
    </row>
    <row r="71">
      <c r="A71" s="9" t="n">
        <v>68</v>
      </c>
      <c r="B71" s="10" t="inlineStr">
        <is>
          <t xml:space="preserve">                max_tokens=max_tokens,</t>
        </is>
      </c>
    </row>
    <row r="72">
      <c r="A72" s="7" t="n">
        <v>69</v>
      </c>
      <c r="B72" s="8" t="inlineStr">
        <is>
          <t xml:space="preserve">                temperature=temperature,</t>
        </is>
      </c>
    </row>
    <row r="73">
      <c r="A73" s="9" t="n">
        <v>70</v>
      </c>
      <c r="B73" s="10" t="inlineStr">
        <is>
          <t xml:space="preserve">                stream=stream,</t>
        </is>
      </c>
    </row>
    <row r="74">
      <c r="A74" s="7" t="n">
        <v>71</v>
      </c>
      <c r="B74" s="8" t="inlineStr">
        <is>
          <t xml:space="preserve">                timeout=self.timeout,</t>
        </is>
      </c>
    </row>
    <row r="75">
      <c r="A75" s="9" t="n">
        <v>72</v>
      </c>
      <c r="B75" s="10" t="inlineStr">
        <is>
          <t xml:space="preserve">            )</t>
        </is>
      </c>
    </row>
    <row r="76">
      <c r="A76" s="7" t="n">
        <v>73</v>
      </c>
      <c r="B76" s="8" t="inlineStr">
        <is>
          <t xml:space="preserve">            if stream:</t>
        </is>
      </c>
    </row>
    <row r="77">
      <c r="A77" s="9" t="n">
        <v>74</v>
      </c>
      <c r="B77" s="10" t="inlineStr">
        <is>
          <t xml:space="preserve">                return response</t>
        </is>
      </c>
    </row>
    <row r="78">
      <c r="A78" s="7" t="n">
        <v>75</v>
      </c>
      <c r="B78" s="8" t="inlineStr">
        <is>
          <t xml:space="preserve">            return response.choices[0].message.content.strip()</t>
        </is>
      </c>
    </row>
    <row r="79">
      <c r="A79" s="9" t="n">
        <v>76</v>
      </c>
      <c r="B79" s="10" t="inlineStr"/>
    </row>
    <row r="80">
      <c r="A80" s="7" t="n">
        <v>77</v>
      </c>
      <c r="B80" s="8" t="inlineStr">
        <is>
          <t xml:space="preserve">        return call_with_retry(_do_call, max_attempts=3, base_delay=1.0,</t>
        </is>
      </c>
    </row>
    <row r="81">
      <c r="A81" s="9" t="n">
        <v>78</v>
      </c>
      <c r="B81" s="10" t="inlineStr">
        <is>
          <t xml:space="preserve">                               fallback=None)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>
        <is>
          <t xml:space="preserve">    def test_connection(self) -&gt; tuple[bool, str]:</t>
        </is>
      </c>
    </row>
    <row r="84">
      <c r="A84" s="7" t="n">
        <v>81</v>
      </c>
      <c r="B84" s="8" t="inlineStr">
        <is>
          <t xml:space="preserve">        """测试连接"""</t>
        </is>
      </c>
    </row>
    <row r="85">
      <c r="A85" s="9" t="n">
        <v>82</v>
      </c>
      <c r="B85" s="10" t="inlineStr">
        <is>
          <t xml:space="preserve">        if not self.available:</t>
        </is>
      </c>
    </row>
    <row r="86">
      <c r="A86" s="7" t="n">
        <v>83</v>
      </c>
      <c r="B86" s="8" t="inlineStr">
        <is>
          <t xml:space="preserve">            return False, "API Key 未配置或无效"</t>
        </is>
      </c>
    </row>
    <row r="87">
      <c r="A87" s="9" t="n">
        <v>84</v>
      </c>
      <c r="B87" s="10" t="inlineStr">
        <is>
          <t xml:space="preserve">        result = self._call("你是一个助手", "你好", max_tokens=20)</t>
        </is>
      </c>
    </row>
    <row r="88">
      <c r="A88" s="7" t="n">
        <v>85</v>
      </c>
      <c r="B88" s="8" t="inlineStr">
        <is>
          <t xml:space="preserve">        if result:</t>
        </is>
      </c>
    </row>
    <row r="89">
      <c r="A89" s="9" t="n">
        <v>86</v>
      </c>
      <c r="B89" s="10" t="inlineStr">
        <is>
          <t xml:space="preserve">            return True, f"连接成功! 回复: {result[:50]}"</t>
        </is>
      </c>
    </row>
    <row r="90">
      <c r="A90" s="7" t="n">
        <v>87</v>
      </c>
      <c r="B90" s="8" t="inlineStr">
        <is>
          <t xml:space="preserve">        return False, "连接失败，请检查API Key和网络"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 xml:space="preserve">    def generate_script(self, prompt: str) -&gt; Optional[str]:</t>
        </is>
      </c>
    </row>
    <row r="93">
      <c r="A93" s="9" t="n">
        <v>90</v>
      </c>
      <c r="B93" s="10" t="inlineStr">
        <is>
          <t xml:space="preserve">        """生成视频脚本"""</t>
        </is>
      </c>
    </row>
    <row r="94">
      <c r="A94" s="7" t="n">
        <v>91</v>
      </c>
      <c r="B94" s="8" t="inlineStr">
        <is>
          <t xml:space="preserve">        system = """你是小红书爆款文案专家。生成口播脚本:</t>
        </is>
      </c>
    </row>
    <row r="95">
      <c r="A95" s="9" t="n">
        <v>92</v>
      </c>
      <c r="B95" s="10" t="inlineStr">
        <is>
          <t>1. 钩子开头(3秒) 2. 卖点展开(20秒) 3. CTA结尾(5秒)</t>
        </is>
      </c>
    </row>
    <row r="96">
      <c r="A96" s="7" t="n">
        <v>93</v>
      </c>
      <c r="B96" s="8" t="inlineStr">
        <is>
          <t>口语化，短句，有感染力。"""</t>
        </is>
      </c>
    </row>
    <row r="97">
      <c r="A97" s="9" t="n">
        <v>94</v>
      </c>
      <c r="B97" s="10" t="inlineStr">
        <is>
          <t xml:space="preserve">        return self._call(system, prompt, max_tokens=600, temperature=0.9)</t>
        </is>
      </c>
    </row>
    <row r="98">
      <c r="A98" s="7" t="n">
        <v>95</v>
      </c>
      <c r="B98" s="8" t="inlineStr"/>
    </row>
    <row r="99">
      <c r="A99" s="9" t="n">
        <v>96</v>
      </c>
      <c r="B99" s="10" t="inlineStr">
        <is>
          <t xml:space="preserve">    def optimize_labels(self, raw_labels: Dict[str, List[str]]) -&gt; Optional[str]:</t>
        </is>
      </c>
    </row>
    <row r="100">
      <c r="A100" s="7" t="n">
        <v>97</v>
      </c>
      <c r="B100" s="8" t="inlineStr">
        <is>
          <t xml:space="preserve">        """优化4个模型输出的原始标签"""</t>
        </is>
      </c>
    </row>
    <row r="101">
      <c r="A101" s="9" t="n">
        <v>98</v>
      </c>
      <c r="B101" s="10" t="inlineStr">
        <is>
          <t xml:space="preserve">        labels_text = "\n".join(f"{m}: {', '.join(tags)}" for m, tags in raw_labels.items())</t>
        </is>
      </c>
    </row>
    <row r="102">
      <c r="A102" s="7" t="n">
        <v>99</v>
      </c>
      <c r="B102" s="8" t="inlineStr">
        <is>
          <t xml:space="preserve">        system = """你是家居家装行业标签优化专家。根据4个AI模型的原始识别标签，输出优化后的统一标签。</t>
        </is>
      </c>
    </row>
    <row r="103">
      <c r="A103" s="9" t="n">
        <v>100</v>
      </c>
      <c r="B103" s="10" t="inlineStr">
        <is>
          <t>规则: 1.去重合并 2.纠正明显错误 3.补充遗漏的关键材质/风格 4.只输出标签，逗号分隔，不超过15个"""</t>
        </is>
      </c>
    </row>
    <row r="104">
      <c r="A104" s="7" t="n">
        <v>101</v>
      </c>
      <c r="B104" s="8" t="inlineStr">
        <is>
          <t xml:space="preserve">        return self._call(system, f"原始标签:\n{labels_text}", max_tokens=200, temperature=0.3)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 xml:space="preserve">    def analyze_usage_records(self, records: List[Dict]) -&gt; Optional[str]:</t>
        </is>
      </c>
    </row>
    <row r="107">
      <c r="A107" s="9" t="n">
        <v>104</v>
      </c>
      <c r="B107" s="10" t="inlineStr">
        <is>
          <t xml:space="preserve">        """分析使用记录并生成优化规则"""</t>
        </is>
      </c>
    </row>
    <row r="108">
      <c r="A108" s="7" t="n">
        <v>105</v>
      </c>
      <c r="B108" s="8" t="inlineStr">
        <is>
          <t xml:space="preserve">        if not records:</t>
        </is>
      </c>
    </row>
    <row r="109">
      <c r="A109" s="9" t="n">
        <v>106</v>
      </c>
      <c r="B109" s="10" t="inlineStr">
        <is>
          <t xml:space="preserve">            return None</t>
        </is>
      </c>
    </row>
    <row r="110">
      <c r="A110" s="7" t="n">
        <v>107</v>
      </c>
      <c r="B110" s="8" t="inlineStr">
        <is>
          <t xml:space="preserve">        summary = json.dumps(records[-50:], ensure_ascii=False, indent=2)  # 最近50条</t>
        </is>
      </c>
    </row>
    <row r="111">
      <c r="A111" s="9" t="n">
        <v>108</v>
      </c>
      <c r="B111" s="10" t="inlineStr">
        <is>
          <t xml:space="preserve">        system = """你是AI系统优化专家。分析用户的使用记录，输出优化建议。</t>
        </is>
      </c>
    </row>
    <row r="112">
      <c r="A112" s="7" t="n">
        <v>109</v>
      </c>
      <c r="B112" s="8" t="inlineStr">
        <is>
          <t>格式: 每行一条建议，格式为 [类别] 建议内容。类别: 标签优化/工作流优化/模型调优/其他"""</t>
        </is>
      </c>
    </row>
    <row r="113">
      <c r="A113" s="9" t="n">
        <v>110</v>
      </c>
      <c r="B113" s="10" t="inlineStr">
        <is>
          <t xml:space="preserve">        return self._call(system, f"使用记录(最近50条):\n{summary}", max_tokens=500, temperature=0.5)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>
        <is>
          <t xml:space="preserve">    def fix_issue(self, error_log: str) -&gt; Optional[str]:</t>
        </is>
      </c>
    </row>
    <row r="116">
      <c r="A116" s="7" t="n">
        <v>113</v>
      </c>
      <c r="B116" s="8" t="inlineStr">
        <is>
          <t xml:space="preserve">        """根据错误日志生成解决方案"""</t>
        </is>
      </c>
    </row>
    <row r="117">
      <c r="A117" s="9" t="n">
        <v>114</v>
      </c>
      <c r="B117" s="10" t="inlineStr">
        <is>
          <t xml:space="preserve">        system = """你是Python程序调试专家。根据错误日志输出修复方案。</t>
        </is>
      </c>
    </row>
    <row r="118">
      <c r="A118" s="7" t="n">
        <v>115</v>
      </c>
      <c r="B118" s="8" t="inlineStr">
        <is>
          <t>格式: [问题] 描述 [方案] 具体解决步骤"""</t>
        </is>
      </c>
    </row>
    <row r="119">
      <c r="A119" s="9" t="n">
        <v>116</v>
      </c>
      <c r="B119" s="10" t="inlineStr">
        <is>
          <t xml:space="preserve">        return self._call(system, f"错误日志:\n{error_log[:2000]}", max_tokens=800, temperature=0.3)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>
        <is>
          <t xml:space="preserve">    def auto_adjust_weights(self, accuracy_records: List[Dict]) -&gt; Optional[str]:</t>
        </is>
      </c>
    </row>
    <row r="122">
      <c r="A122" s="7" t="n">
        <v>119</v>
      </c>
      <c r="B122" s="8" t="inlineStr">
        <is>
          <t xml:space="preserve">        """根据标注记录自动调整4模型权重"""</t>
        </is>
      </c>
    </row>
    <row r="123">
      <c r="A123" s="9" t="n">
        <v>120</v>
      </c>
      <c r="B123" s="10" t="inlineStr">
        <is>
          <t xml:space="preserve">        summary = json.dumps(accuracy_records[-100:], ensure_ascii=False)</t>
        </is>
      </c>
    </row>
    <row r="124">
      <c r="A124" s="7" t="n">
        <v>121</v>
      </c>
      <c r="B124" s="8" t="inlineStr">
        <is>
          <t xml:space="preserve">        system = """你是模型评估专家。根据4个视觉模型的标注准确率记录，输出新的推荐权重分配。</t>
        </is>
      </c>
    </row>
    <row r="125">
      <c r="A125" s="9" t="n">
        <v>122</v>
      </c>
      <c r="B125" s="10" t="inlineStr">
        <is>
          <t>输出格式: Qwen2.5-VL:0.xx, CLIP-ViT-L:0.xx, YOLOv8n:0.xx, KnowledgeBridge:0.xx</t>
        </is>
      </c>
    </row>
    <row r="126">
      <c r="A126" s="7" t="n">
        <v>123</v>
      </c>
      <c r="B126" s="8" t="inlineStr">
        <is>
          <t>权重总和必须为1.0"""</t>
        </is>
      </c>
    </row>
    <row r="127">
      <c r="A127" s="9" t="n">
        <v>124</v>
      </c>
      <c r="B127" s="10" t="inlineStr">
        <is>
          <t xml:space="preserve">        return self._call(system, f"准确率记录:\n{summary}", max_tokens=100, temperature=0.2)</t>
        </is>
      </c>
    </row>
    <row r="128">
      <c r="A128" s="7" t="n">
        <v>125</v>
      </c>
      <c r="B128" s="8" t="inlineStr"/>
    </row>
    <row r="129">
      <c r="A129" s="9" t="n">
        <v>126</v>
      </c>
      <c r="B129" s="10" t="inlineStr"/>
    </row>
    <row r="130">
      <c r="A130" s="7" t="n">
        <v>127</v>
      </c>
      <c r="B130" s="8" t="inlineStr">
        <is>
          <t># 全局单例 — v12.0 修复: 双重检查锁定, 线程安全</t>
        </is>
      </c>
    </row>
    <row r="131">
      <c r="A131" s="9" t="n">
        <v>128</v>
      </c>
      <c r="B131" s="10" t="inlineStr">
        <is>
          <t>_deepseek: Optional[DeepSeekClient] = None</t>
        </is>
      </c>
    </row>
    <row r="132">
      <c r="A132" s="7" t="n">
        <v>129</v>
      </c>
      <c r="B132" s="8" t="inlineStr">
        <is>
          <t>_deepseek_lock = threading.Lock()</t>
        </is>
      </c>
    </row>
    <row r="133">
      <c r="A133" s="9" t="n">
        <v>130</v>
      </c>
      <c r="B133" s="10" t="inlineStr"/>
    </row>
    <row r="134">
      <c r="A134" s="7" t="n">
        <v>131</v>
      </c>
      <c r="B134" s="8" t="inlineStr">
        <is>
          <t>def get_deepseek() -&gt; DeepSeekClient:</t>
        </is>
      </c>
    </row>
    <row r="135">
      <c r="A135" s="9" t="n">
        <v>132</v>
      </c>
      <c r="B135" s="10" t="inlineStr">
        <is>
          <t xml:space="preserve">    global _deepseek</t>
        </is>
      </c>
    </row>
    <row r="136">
      <c r="A136" s="7" t="n">
        <v>133</v>
      </c>
      <c r="B136" s="8" t="inlineStr">
        <is>
          <t xml:space="preserve">    if _deepseek is None:</t>
        </is>
      </c>
    </row>
    <row r="137">
      <c r="A137" s="9" t="n">
        <v>134</v>
      </c>
      <c r="B137" s="10" t="inlineStr">
        <is>
          <t xml:space="preserve">        with _deepseek_lock:</t>
        </is>
      </c>
    </row>
    <row r="138">
      <c r="A138" s="7" t="n">
        <v>135</v>
      </c>
      <c r="B138" s="8" t="inlineStr">
        <is>
          <t xml:space="preserve">            if _deepseek is None:</t>
        </is>
      </c>
    </row>
    <row r="139">
      <c r="A139" s="9" t="n">
        <v>136</v>
      </c>
      <c r="B139" s="10" t="inlineStr">
        <is>
          <t xml:space="preserve">                _deepseek = DeepSeekClient()</t>
        </is>
      </c>
    </row>
    <row r="140">
      <c r="A140" s="7" t="n">
        <v>137</v>
      </c>
      <c r="B140" s="8" t="inlineStr">
        <is>
          <t xml:space="preserve">    return _deepseek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core\draft.py</t>
        </is>
      </c>
      <c r="C1" s="5" t="inlineStr">
        <is>
          <t>行数: 233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╔══════════════════════════════════════════════════════════════╗</t>
        </is>
      </c>
    </row>
    <row r="6">
      <c r="A6" s="7" t="n">
        <v>3</v>
      </c>
      <c r="B6" s="8" t="inlineStr">
        <is>
          <t>║  📦 video_editor.draft_builder — 剪映草稿JSON生成         ║</t>
        </is>
      </c>
    </row>
    <row r="7">
      <c r="A7" s="9" t="n">
        <v>4</v>
      </c>
      <c r="B7" s="10" t="inlineStr">
        <is>
          <t>╚══════════════════════════════════════════════════════════════╝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uuid</t>
        </is>
      </c>
    </row>
    <row r="10">
      <c r="A10" s="7" t="n">
        <v>7</v>
      </c>
      <c r="B10" s="8" t="inlineStr">
        <is>
          <t>import time</t>
        </is>
      </c>
    </row>
    <row r="11">
      <c r="A11" s="9" t="n">
        <v>8</v>
      </c>
      <c r="B11" s="10" t="inlineStr">
        <is>
          <t>import re</t>
        </is>
      </c>
    </row>
    <row r="12">
      <c r="A12" s="7" t="n">
        <v>9</v>
      </c>
      <c r="B12" s="8" t="inlineStr">
        <is>
          <t>import json</t>
        </is>
      </c>
    </row>
    <row r="13">
      <c r="A13" s="9" t="n">
        <v>10</v>
      </c>
      <c r="B13" s="10" t="inlineStr">
        <is>
          <t>import shutil</t>
        </is>
      </c>
    </row>
    <row r="14">
      <c r="A14" s="7" t="n">
        <v>11</v>
      </c>
      <c r="B14" s="8" t="inlineStr">
        <is>
          <t>from pathlib import Path</t>
        </is>
      </c>
    </row>
    <row r="15">
      <c r="A15" s="9" t="n">
        <v>12</v>
      </c>
      <c r="B15" s="10" t="inlineStr">
        <is>
          <t>from datetime import datetime</t>
        </is>
      </c>
    </row>
    <row r="16">
      <c r="A16" s="7" t="n">
        <v>13</v>
      </c>
      <c r="B16" s="8" t="inlineStr">
        <is>
          <t>from typing import Optional, List, Dict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from core.config import (</t>
        </is>
      </c>
    </row>
    <row r="19">
      <c r="A19" s="9" t="n">
        <v>16</v>
      </c>
      <c r="B19" s="10" t="inlineStr">
        <is>
          <t xml:space="preserve">    VIDEO_WIDTH, VIDEO_HEIGHT, FPS, VIDEO_VOLUME, BGM_VOLUME, BGM_FADE_IN, BGM_FADE_OUT,</t>
        </is>
      </c>
    </row>
    <row r="20">
      <c r="A20" s="7" t="n">
        <v>17</v>
      </c>
      <c r="B20" s="8" t="inlineStr">
        <is>
          <t xml:space="preserve">    TTS_VOLUME, SUBTITLE_FONT_SIZE, SUBTITLE_STROKE_WIDTH,</t>
        </is>
      </c>
    </row>
    <row r="21">
      <c r="A21" s="9" t="n">
        <v>18</v>
      </c>
      <c r="B21" s="10" t="inlineStr">
        <is>
          <t xml:space="preserve">    SUBTITLE_BACKGROUND_ENABLED, SUBTITLE_POSITION_Y,</t>
        </is>
      </c>
    </row>
    <row r="22">
      <c r="A22" s="7" t="n">
        <v>19</v>
      </c>
      <c r="B22" s="8" t="inlineStr">
        <is>
          <t xml:space="preserve">    JIANGYING_DRAFT_DIR, OUTPUT_DRAFT_DIR, MAX_DURATION_ERROR,</t>
        </is>
      </c>
    </row>
    <row r="23">
      <c r="A23" s="9" t="n">
        <v>20</v>
      </c>
      <c r="B23" s="10" t="inlineStr">
        <is>
          <t>)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# pyJianYingDraft — 可选的第三方库</t>
        </is>
      </c>
    </row>
    <row r="26">
      <c r="A26" s="7" t="n">
        <v>23</v>
      </c>
      <c r="B26" s="8" t="inlineStr">
        <is>
          <t>try:</t>
        </is>
      </c>
    </row>
    <row r="27">
      <c r="A27" s="9" t="n">
        <v>24</v>
      </c>
      <c r="B27" s="10" t="inlineStr">
        <is>
          <t xml:space="preserve">    from pyJianYingDraft.script_file import ScriptFile</t>
        </is>
      </c>
    </row>
    <row r="28">
      <c r="A28" s="7" t="n">
        <v>25</v>
      </c>
      <c r="B28" s="8" t="inlineStr">
        <is>
          <t xml:space="preserve">    from pyJianYingDraft.track import TrackType</t>
        </is>
      </c>
    </row>
    <row r="29">
      <c r="A29" s="9" t="n">
        <v>26</v>
      </c>
      <c r="B29" s="10" t="inlineStr">
        <is>
          <t xml:space="preserve">    from pyJianYingDraft.local_materials import VideoMaterial, AudioMaterial</t>
        </is>
      </c>
    </row>
    <row r="30">
      <c r="A30" s="7" t="n">
        <v>27</v>
      </c>
      <c r="B30" s="8" t="inlineStr">
        <is>
          <t xml:space="preserve">    from pyJianYingDraft.video_segment import VideoSegment</t>
        </is>
      </c>
    </row>
    <row r="31">
      <c r="A31" s="9" t="n">
        <v>28</v>
      </c>
      <c r="B31" s="10" t="inlineStr">
        <is>
          <t xml:space="preserve">    from pyJianYingDraft.audio_segment import AudioSegment</t>
        </is>
      </c>
    </row>
    <row r="32">
      <c r="A32" s="7" t="n">
        <v>29</v>
      </c>
      <c r="B32" s="8" t="inlineStr">
        <is>
          <t xml:space="preserve">    from pyJianYingDraft.text_segment import TextSegment, TextStyle, TextBorder, TextShadow, TextBackground</t>
        </is>
      </c>
    </row>
    <row r="33">
      <c r="A33" s="9" t="n">
        <v>30</v>
      </c>
      <c r="B33" s="10" t="inlineStr">
        <is>
          <t xml:space="preserve">    from pyJianYingDraft.time_util import Timerange</t>
        </is>
      </c>
    </row>
    <row r="34">
      <c r="A34" s="7" t="n">
        <v>31</v>
      </c>
      <c r="B34" s="8" t="inlineStr">
        <is>
          <t xml:space="preserve">    from pyJianYingDraft.segment import ClipSettings</t>
        </is>
      </c>
    </row>
    <row r="35">
      <c r="A35" s="9" t="n">
        <v>32</v>
      </c>
      <c r="B35" s="10" t="inlineStr">
        <is>
          <t xml:space="preserve">    from pyJianYingDraft.local_materials import CropSettings</t>
        </is>
      </c>
    </row>
    <row r="36">
      <c r="A36" s="7" t="n">
        <v>33</v>
      </c>
      <c r="B36" s="8" t="inlineStr">
        <is>
          <t xml:space="preserve">    _HAS_PYDRAFT = True</t>
        </is>
      </c>
    </row>
    <row r="37">
      <c r="A37" s="9" t="n">
        <v>34</v>
      </c>
      <c r="B37" s="10" t="inlineStr">
        <is>
          <t>except ImportError:</t>
        </is>
      </c>
    </row>
    <row r="38">
      <c r="A38" s="7" t="n">
        <v>35</v>
      </c>
      <c r="B38" s="8" t="inlineStr">
        <is>
          <t xml:space="preserve">    _HAS_PYDRAFT = False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/>
    </row>
    <row r="41">
      <c r="A41" s="9" t="n">
        <v>38</v>
      </c>
      <c r="B41" s="10" t="inlineStr">
        <is>
          <t>def sec_to_us(seconds: float) -&gt; int:</t>
        </is>
      </c>
    </row>
    <row r="42">
      <c r="A42" s="7" t="n">
        <v>39</v>
      </c>
      <c r="B42" s="8" t="inlineStr">
        <is>
          <t xml:space="preserve">    return int(seconds * 1_000_000)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/>
    </row>
    <row r="45">
      <c r="A45" s="9" t="n">
        <v>42</v>
      </c>
      <c r="B45" s="10" t="inlineStr">
        <is>
          <t>class JianyingDraftBuilder:</t>
        </is>
      </c>
    </row>
    <row r="46">
      <c r="A46" s="7" t="n">
        <v>43</v>
      </c>
      <c r="B46" s="8" t="inlineStr">
        <is>
          <t xml:space="preserve">    """构建剪映专业版草稿文件"""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 xml:space="preserve">    def __init__(self, draft_name: str, keyword: str):</t>
        </is>
      </c>
    </row>
    <row r="49">
      <c r="A49" s="9" t="n">
        <v>46</v>
      </c>
      <c r="B49" s="10" t="inlineStr">
        <is>
          <t xml:space="preserve">        if not _HAS_PYDRAFT:</t>
        </is>
      </c>
    </row>
    <row r="50">
      <c r="A50" s="7" t="n">
        <v>47</v>
      </c>
      <c r="B50" s="8" t="inlineStr">
        <is>
          <t xml:space="preserve">            raise ImportError("pyJianYingDraft 库未安装,无法生成草稿")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    self.draft_name = draft_name</t>
        </is>
      </c>
    </row>
    <row r="53">
      <c r="A53" s="9" t="n">
        <v>50</v>
      </c>
      <c r="B53" s="10" t="inlineStr">
        <is>
          <t xml:space="preserve">        self.keyword = keyword</t>
        </is>
      </c>
    </row>
    <row r="54">
      <c r="A54" s="7" t="n">
        <v>51</v>
      </c>
      <c r="B54" s="8" t="inlineStr">
        <is>
          <t xml:space="preserve">        self.draft_id = uuid.uuid4().hex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    self.script = ScriptFile(width=VIDEO_WIDTH, height=VIDEO_HEIGHT, fps=FPS, maintrack_adsorb=True)</t>
        </is>
      </c>
    </row>
    <row r="57">
      <c r="A57" s="9" t="n">
        <v>54</v>
      </c>
      <c r="B57" s="10" t="inlineStr">
        <is>
          <t xml:space="preserve">        self.script.content["name"] = draft_name</t>
        </is>
      </c>
    </row>
    <row r="58">
      <c r="A58" s="7" t="n">
        <v>55</v>
      </c>
      <c r="B58" s="8" t="inlineStr">
        <is>
          <t xml:space="preserve">        self.script.content["id"] = self.draft_id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    self.script.add_track(TrackType.video, "video")</t>
        </is>
      </c>
    </row>
    <row r="61">
      <c r="A61" s="9" t="n">
        <v>58</v>
      </c>
      <c r="B61" s="10" t="inlineStr">
        <is>
          <t xml:space="preserve">        self.script.add_track(TrackType.audio, "BGM")</t>
        </is>
      </c>
    </row>
    <row r="62">
      <c r="A62" s="7" t="n">
        <v>59</v>
      </c>
      <c r="B62" s="8" t="inlineStr">
        <is>
          <t xml:space="preserve">        self.script.add_track(TrackType.audio, "配音", relative_index=1)</t>
        </is>
      </c>
    </row>
    <row r="63">
      <c r="A63" s="9" t="n">
        <v>60</v>
      </c>
      <c r="B63" s="10" t="inlineStr">
        <is>
          <t xml:space="preserve">        self.script.add_track(TrackType.text, "text", relative_index=999)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>
        <is>
          <t xml:space="preserve">        self._current_time_us = 0</t>
        </is>
      </c>
    </row>
    <row r="66">
      <c r="A66" s="7" t="n">
        <v>63</v>
      </c>
      <c r="B66" s="8" t="inlineStr">
        <is>
          <t xml:space="preserve">        self._total_duration_us = 0</t>
        </is>
      </c>
    </row>
    <row r="67">
      <c r="A67" s="9" t="n">
        <v>64</v>
      </c>
      <c r="B67" s="10" t="inlineStr">
        <is>
          <t xml:space="preserve">        self._has_tts = False</t>
        </is>
      </c>
    </row>
    <row r="68">
      <c r="A68" s="7" t="n">
        <v>65</v>
      </c>
      <c r="B68" s="8" t="inlineStr"/>
    </row>
    <row r="69">
      <c r="A69" s="9" t="n">
        <v>66</v>
      </c>
      <c r="B69" s="10" t="inlineStr">
        <is>
          <t xml:space="preserve">    def add_video_clip(self, file_path: Path, source_start: float,</t>
        </is>
      </c>
    </row>
    <row r="70">
      <c r="A70" s="7" t="n">
        <v>67</v>
      </c>
      <c r="B70" s="8" t="inlineStr">
        <is>
          <t xml:space="preserve">                       clip_duration: float, speed: float = 1.0):</t>
        </is>
      </c>
    </row>
    <row r="71">
      <c r="A71" s="9" t="n">
        <v>68</v>
      </c>
      <c r="B71" s="10" t="inlineStr">
        <is>
          <t xml:space="preserve">        source_start_us = sec_to_us(source_start)</t>
        </is>
      </c>
    </row>
    <row r="72">
      <c r="A72" s="7" t="n">
        <v>69</v>
      </c>
      <c r="B72" s="8" t="inlineStr">
        <is>
          <t xml:space="preserve">        source_duration_us = sec_to_us(clip_duration)</t>
        </is>
      </c>
    </row>
    <row r="73">
      <c r="A73" s="9" t="n">
        <v>70</v>
      </c>
      <c r="B73" s="10" t="inlineStr"/>
    </row>
    <row r="74">
      <c r="A74" s="7" t="n">
        <v>71</v>
      </c>
      <c r="B74" s="8" t="inlineStr">
        <is>
          <t xml:space="preserve">        CROP_BOTTOM_RATIO = 0.18</t>
        </is>
      </c>
    </row>
    <row r="75">
      <c r="A75" s="9" t="n">
        <v>72</v>
      </c>
      <c r="B75" s="10" t="inlineStr">
        <is>
          <t xml:space="preserve">        crop = CropSettings(lower_left_y=1.0 - CROP_BOTTOM_RATIO, lower_right_y=1.0 - CROP_BOTTOM_RATIO)</t>
        </is>
      </c>
    </row>
    <row r="76">
      <c r="A76" s="7" t="n">
        <v>73</v>
      </c>
      <c r="B76" s="8" t="inlineStr">
        <is>
          <t xml:space="preserve">        fill_scale = 1.0 / (1.0 - CROP_BOTTOM_RATIO)</t>
        </is>
      </c>
    </row>
    <row r="77">
      <c r="A77" s="9" t="n">
        <v>74</v>
      </c>
      <c r="B77" s="10" t="inlineStr">
        <is>
          <t xml:space="preserve">        clip_cfg = ClipSettings(scale_x=fill_scale, scale_y=fill_scale)</t>
        </is>
      </c>
    </row>
    <row r="78">
      <c r="A78" s="7" t="n">
        <v>75</v>
      </c>
      <c r="B78" s="8" t="inlineStr"/>
    </row>
    <row r="79">
      <c r="A79" s="9" t="n">
        <v>76</v>
      </c>
      <c r="B79" s="10" t="inlineStr">
        <is>
          <t xml:space="preserve">        material = VideoMaterial(str(file_path.absolute()), crop_settings=crop)</t>
        </is>
      </c>
    </row>
    <row r="80">
      <c r="A80" s="7" t="n">
        <v>77</v>
      </c>
      <c r="B80" s="8" t="inlineStr">
        <is>
          <t xml:space="preserve">        actual_duration = material.duration</t>
        </is>
      </c>
    </row>
    <row r="81">
      <c r="A81" s="9" t="n">
        <v>78</v>
      </c>
      <c r="B81" s="10" t="inlineStr">
        <is>
          <t xml:space="preserve">        if source_start_us &gt;= actual_duration:</t>
        </is>
      </c>
    </row>
    <row r="82">
      <c r="A82" s="7" t="n">
        <v>79</v>
      </c>
      <c r="B82" s="8" t="inlineStr">
        <is>
          <t xml:space="preserve">            source_start_us = 0</t>
        </is>
      </c>
    </row>
    <row r="83">
      <c r="A83" s="9" t="n">
        <v>80</v>
      </c>
      <c r="B83" s="10" t="inlineStr">
        <is>
          <t xml:space="preserve">        if source_start_us + source_duration_us &gt; actual_duration:</t>
        </is>
      </c>
    </row>
    <row r="84">
      <c r="A84" s="7" t="n">
        <v>81</v>
      </c>
      <c r="B84" s="8" t="inlineStr">
        <is>
          <t xml:space="preserve">            if actual_duration &gt;= source_duration_us:</t>
        </is>
      </c>
    </row>
    <row r="85">
      <c r="A85" s="9" t="n">
        <v>82</v>
      </c>
      <c r="B85" s="10" t="inlineStr">
        <is>
          <t xml:space="preserve">                source_start_us = max(0, actual_duration - source_duration_us)</t>
        </is>
      </c>
    </row>
    <row r="86">
      <c r="A86" s="7" t="n">
        <v>83</v>
      </c>
      <c r="B86" s="8" t="inlineStr">
        <is>
          <t xml:space="preserve">            else:</t>
        </is>
      </c>
    </row>
    <row r="87">
      <c r="A87" s="9" t="n">
        <v>84</v>
      </c>
      <c r="B87" s="10" t="inlineStr">
        <is>
          <t xml:space="preserve">                source_start_us = 0</t>
        </is>
      </c>
    </row>
    <row r="88">
      <c r="A88" s="7" t="n">
        <v>85</v>
      </c>
      <c r="B88" s="8" t="inlineStr">
        <is>
          <t xml:space="preserve">                source_duration_us = actual_duration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    target_trange = Timerange(self._current_time_us, source_duration_us)</t>
        </is>
      </c>
    </row>
    <row r="91">
      <c r="A91" s="9" t="n">
        <v>88</v>
      </c>
      <c r="B91" s="10" t="inlineStr">
        <is>
          <t xml:space="preserve">        source_trange = Timerange(source_start_us, source_duration_us)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 xml:space="preserve">        segment = VideoSegment(material=material, target_timerange=target_trange,</t>
        </is>
      </c>
    </row>
    <row r="94">
      <c r="A94" s="7" t="n">
        <v>91</v>
      </c>
      <c r="B94" s="8" t="inlineStr">
        <is>
          <t xml:space="preserve">                               source_timerange=source_trange, speed=speed,</t>
        </is>
      </c>
    </row>
    <row r="95">
      <c r="A95" s="9" t="n">
        <v>92</v>
      </c>
      <c r="B95" s="10" t="inlineStr">
        <is>
          <t xml:space="preserve">                               volume=VIDEO_VOLUME, clip_settings=clip_cfg)</t>
        </is>
      </c>
    </row>
    <row r="96">
      <c r="A96" s="7" t="n">
        <v>93</v>
      </c>
      <c r="B96" s="8" t="inlineStr">
        <is>
          <t xml:space="preserve">        self.script.add_segment(segment, "video")</t>
        </is>
      </c>
    </row>
    <row r="97">
      <c r="A97" s="9" t="n">
        <v>94</v>
      </c>
      <c r="B97" s="10" t="inlineStr">
        <is>
          <t xml:space="preserve">        self._current_time_us += segment.target_timerange.duration</t>
        </is>
      </c>
    </row>
    <row r="98">
      <c r="A98" s="7" t="n">
        <v>95</v>
      </c>
      <c r="B98" s="8" t="inlineStr">
        <is>
          <t xml:space="preserve">        self._total_duration_us = max(self._total_duration_us, self._current_time_us)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 xml:space="preserve">    def add_audio_bgm(self, file_path: Path, climax_start_sec: float = None):</t>
        </is>
      </c>
    </row>
    <row r="101">
      <c r="A101" s="9" t="n">
        <v>98</v>
      </c>
      <c r="B101" s="10" t="inlineStr">
        <is>
          <t xml:space="preserve">        material = AudioMaterial(str(file_path.absolute()))</t>
        </is>
      </c>
    </row>
    <row r="102">
      <c r="A102" s="7" t="n">
        <v>99</v>
      </c>
      <c r="B102" s="8" t="inlineStr">
        <is>
          <t xml:space="preserve">        bgm_duration_us = self._total_duration_us</t>
        </is>
      </c>
    </row>
    <row r="103">
      <c r="A103" s="9" t="n">
        <v>100</v>
      </c>
      <c r="B103" s="10" t="inlineStr">
        <is>
          <t xml:space="preserve">        target_trange = Timerange(0, bgm_duration_us)</t>
        </is>
      </c>
    </row>
    <row r="104">
      <c r="A104" s="7" t="n">
        <v>101</v>
      </c>
      <c r="B104" s="8" t="inlineStr">
        <is>
          <t xml:space="preserve">        source_duration = min(bgm_duration_us, material.duration)</t>
        </is>
      </c>
    </row>
    <row r="105">
      <c r="A105" s="9" t="n">
        <v>102</v>
      </c>
      <c r="B105" s="10" t="inlineStr">
        <is>
          <t xml:space="preserve">        source_start_us = 0</t>
        </is>
      </c>
    </row>
    <row r="106">
      <c r="A106" s="7" t="n">
        <v>103</v>
      </c>
      <c r="B106" s="8" t="inlineStr">
        <is>
          <t xml:space="preserve">        if climax_start_sec and climax_start_sec &gt; 0:</t>
        </is>
      </c>
    </row>
    <row r="107">
      <c r="A107" s="9" t="n">
        <v>104</v>
      </c>
      <c r="B107" s="10" t="inlineStr">
        <is>
          <t xml:space="preserve">            source_start_us = int(climax_start_sec * 1_000_000)</t>
        </is>
      </c>
    </row>
    <row r="108">
      <c r="A108" s="7" t="n">
        <v>105</v>
      </c>
      <c r="B108" s="8" t="inlineStr">
        <is>
          <t xml:space="preserve">            if source_start_us + source_duration &gt; material.duration:</t>
        </is>
      </c>
    </row>
    <row r="109">
      <c r="A109" s="9" t="n">
        <v>106</v>
      </c>
      <c r="B109" s="10" t="inlineStr">
        <is>
          <t xml:space="preserve">                source_start_us = max(0, material.duration - source_duration)</t>
        </is>
      </c>
    </row>
    <row r="110">
      <c r="A110" s="7" t="n">
        <v>107</v>
      </c>
      <c r="B110" s="8" t="inlineStr">
        <is>
          <t xml:space="preserve">        source_trange = Timerange(source_start_us, source_duration)</t>
        </is>
      </c>
    </row>
    <row r="111">
      <c r="A111" s="9" t="n">
        <v>108</v>
      </c>
      <c r="B111" s="10" t="inlineStr">
        <is>
          <t xml:space="preserve">        segment = AudioSegment(material=material, target_timerange=target_trange,</t>
        </is>
      </c>
    </row>
    <row r="112">
      <c r="A112" s="7" t="n">
        <v>109</v>
      </c>
      <c r="B112" s="8" t="inlineStr">
        <is>
          <t xml:space="preserve">                               source_timerange=source_trange, speed=1.0, volume=BGM_VOLUME)</t>
        </is>
      </c>
    </row>
    <row r="113">
      <c r="A113" s="9" t="n">
        <v>110</v>
      </c>
      <c r="B113" s="10" t="inlineStr">
        <is>
          <t xml:space="preserve">        segment.add_fade(int(BGM_FADE_IN * 1_000_000), int(BGM_FADE_OUT * 1_000_000))</t>
        </is>
      </c>
    </row>
    <row r="114">
      <c r="A114" s="7" t="n">
        <v>111</v>
      </c>
      <c r="B114" s="8" t="inlineStr">
        <is>
          <t xml:space="preserve">        self.script.add_segment(segment, "BGM")</t>
        </is>
      </c>
    </row>
    <row r="115">
      <c r="A115" s="9" t="n">
        <v>112</v>
      </c>
      <c r="B115" s="10" t="inlineStr"/>
    </row>
    <row r="116">
      <c r="A116" s="7" t="n">
        <v>113</v>
      </c>
      <c r="B116" s="8" t="inlineStr">
        <is>
          <t xml:space="preserve">    def add_tts_audio(self, file_path: Path):</t>
        </is>
      </c>
    </row>
    <row r="117">
      <c r="A117" s="9" t="n">
        <v>114</v>
      </c>
      <c r="B117" s="10" t="inlineStr">
        <is>
          <t xml:space="preserve">        material = AudioMaterial(str(file_path.absolute()))</t>
        </is>
      </c>
    </row>
    <row r="118">
      <c r="A118" s="7" t="n">
        <v>115</v>
      </c>
      <c r="B118" s="8" t="inlineStr">
        <is>
          <t xml:space="preserve">        max_tts_us = self._total_duration_us</t>
        </is>
      </c>
    </row>
    <row r="119">
      <c r="A119" s="9" t="n">
        <v>116</v>
      </c>
      <c r="B119" s="10" t="inlineStr">
        <is>
          <t xml:space="preserve">        actual_tts_us = min(material.duration, max_tts_us)</t>
        </is>
      </c>
    </row>
    <row r="120">
      <c r="A120" s="7" t="n">
        <v>117</v>
      </c>
      <c r="B120" s="8" t="inlineStr">
        <is>
          <t xml:space="preserve">        target_trange = Timerange(0, actual_tts_us)</t>
        </is>
      </c>
    </row>
    <row r="121">
      <c r="A121" s="9" t="n">
        <v>118</v>
      </c>
      <c r="B121" s="10" t="inlineStr">
        <is>
          <t xml:space="preserve">        source_trange = Timerange(0, actual_tts_us)</t>
        </is>
      </c>
    </row>
    <row r="122">
      <c r="A122" s="7" t="n">
        <v>119</v>
      </c>
      <c r="B122" s="8" t="inlineStr">
        <is>
          <t xml:space="preserve">        segment = AudioSegment(material=material, target_timerange=target_trange,</t>
        </is>
      </c>
    </row>
    <row r="123">
      <c r="A123" s="9" t="n">
        <v>120</v>
      </c>
      <c r="B123" s="10" t="inlineStr">
        <is>
          <t xml:space="preserve">                               source_timerange=source_trange, speed=1.0, volume=TTS_VOLUME)</t>
        </is>
      </c>
    </row>
    <row r="124">
      <c r="A124" s="7" t="n">
        <v>121</v>
      </c>
      <c r="B124" s="8" t="inlineStr">
        <is>
          <t xml:space="preserve">        self.script.add_segment(segment, "配音")</t>
        </is>
      </c>
    </row>
    <row r="125">
      <c r="A125" s="9" t="n">
        <v>122</v>
      </c>
      <c r="B125" s="10" t="inlineStr">
        <is>
          <t xml:space="preserve">        self._has_tts = True</t>
        </is>
      </c>
    </row>
    <row r="126">
      <c r="A126" s="7" t="n">
        <v>123</v>
      </c>
      <c r="B126" s="8" t="inlineStr"/>
    </row>
    <row r="127">
      <c r="A127" s="9" t="n">
        <v>124</v>
      </c>
      <c r="B127" s="10" t="inlineStr">
        <is>
          <t xml:space="preserve">    def trim_all_to_tts(self, tts_duration_sec: float):</t>
        </is>
      </c>
    </row>
    <row r="128">
      <c r="A128" s="7" t="n">
        <v>125</v>
      </c>
      <c r="B128" s="8" t="inlineStr">
        <is>
          <t xml:space="preserve">        target_us = int(tts_duration_sec * 1_000_000)</t>
        </is>
      </c>
    </row>
    <row r="129">
      <c r="A129" s="9" t="n">
        <v>126</v>
      </c>
      <c r="B129" s="10" t="inlineStr">
        <is>
          <t xml:space="preserve">        original_us = self._total_duration_us</t>
        </is>
      </c>
    </row>
    <row r="130">
      <c r="A130" s="7" t="n">
        <v>127</v>
      </c>
      <c r="B130" s="8" t="inlineStr">
        <is>
          <t xml:space="preserve">        if original_us &lt;= target_us + int(MAX_DURATION_ERROR * 1_000_000):</t>
        </is>
      </c>
    </row>
    <row r="131">
      <c r="A131" s="9" t="n">
        <v>128</v>
      </c>
      <c r="B131" s="10" t="inlineStr">
        <is>
          <t xml:space="preserve">            return</t>
        </is>
      </c>
    </row>
    <row r="132">
      <c r="A132" s="7" t="n">
        <v>129</v>
      </c>
      <c r="B132" s="8" t="inlineStr">
        <is>
          <t xml:space="preserve">        trim_needed = original_us - target_us</t>
        </is>
      </c>
    </row>
    <row r="133">
      <c r="A133" s="9" t="n">
        <v>130</v>
      </c>
      <c r="B133" s="10" t="inlineStr">
        <is>
          <t xml:space="preserve">        video_track = self.script.tracks.get("video")</t>
        </is>
      </c>
    </row>
    <row r="134">
      <c r="A134" s="7" t="n">
        <v>131</v>
      </c>
      <c r="B134" s="8" t="inlineStr">
        <is>
          <t xml:space="preserve">        if video_track and video_track.segments:</t>
        </is>
      </c>
    </row>
    <row r="135">
      <c r="A135" s="9" t="n">
        <v>132</v>
      </c>
      <c r="B135" s="10" t="inlineStr">
        <is>
          <t xml:space="preserve">            segs = video_track.segments</t>
        </is>
      </c>
    </row>
    <row r="136">
      <c r="A136" s="7" t="n">
        <v>133</v>
      </c>
      <c r="B136" s="8" t="inlineStr">
        <is>
          <t xml:space="preserve">            while trim_needed &gt; 0 and segs:</t>
        </is>
      </c>
    </row>
    <row r="137">
      <c r="A137" s="9" t="n">
        <v>134</v>
      </c>
      <c r="B137" s="10" t="inlineStr">
        <is>
          <t xml:space="preserve">                last = segs[-1]</t>
        </is>
      </c>
    </row>
    <row r="138">
      <c r="A138" s="7" t="n">
        <v>135</v>
      </c>
      <c r="B138" s="8" t="inlineStr">
        <is>
          <t xml:space="preserve">                if last.target_timerange.duration &gt; trim_needed:</t>
        </is>
      </c>
    </row>
    <row r="139">
      <c r="A139" s="9" t="n">
        <v>136</v>
      </c>
      <c r="B139" s="10" t="inlineStr">
        <is>
          <t xml:space="preserve">                    last.target_timerange.duration -= trim_needed</t>
        </is>
      </c>
    </row>
    <row r="140">
      <c r="A140" s="7" t="n">
        <v>137</v>
      </c>
      <c r="B140" s="8" t="inlineStr">
        <is>
          <t xml:space="preserve">                    trim_needed = 0</t>
        </is>
      </c>
    </row>
    <row r="141">
      <c r="A141" s="9" t="n">
        <v>138</v>
      </c>
      <c r="B141" s="10" t="inlineStr">
        <is>
          <t xml:space="preserve">                else:</t>
        </is>
      </c>
    </row>
    <row r="142">
      <c r="A142" s="7" t="n">
        <v>139</v>
      </c>
      <c r="B142" s="8" t="inlineStr">
        <is>
          <t xml:space="preserve">                    trim_needed -= last.target_timerange.duration</t>
        </is>
      </c>
    </row>
    <row r="143">
      <c r="A143" s="9" t="n">
        <v>140</v>
      </c>
      <c r="B143" s="10" t="inlineStr">
        <is>
          <t xml:space="preserve">                    segs.pop()</t>
        </is>
      </c>
    </row>
    <row r="144">
      <c r="A144" s="7" t="n">
        <v>141</v>
      </c>
      <c r="B144" s="8" t="inlineStr">
        <is>
          <t xml:space="preserve">        self._total_duration_us = target_us</t>
        </is>
      </c>
    </row>
    <row r="145">
      <c r="A145" s="9" t="n">
        <v>142</v>
      </c>
      <c r="B145" s="10" t="inlineStr">
        <is>
          <t xml:space="preserve">        self._current_time_us = target_us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 xml:space="preserve">    def add_subtitle(self, text: str, start_time_us: int, duration_us: int):</t>
        </is>
      </c>
    </row>
    <row r="148">
      <c r="A148" s="7" t="n">
        <v>145</v>
      </c>
      <c r="B148" s="8" t="inlineStr">
        <is>
          <t xml:space="preserve">        target_trange = Timerange(start_time_us, duration_us)</t>
        </is>
      </c>
    </row>
    <row r="149">
      <c r="A149" s="9" t="n">
        <v>146</v>
      </c>
      <c r="B149" s="10" t="inlineStr">
        <is>
          <t xml:space="preserve">        style = TextStyle(size=SUBTITLE_FONT_SIZE, align=1, auto_wrapping=True,</t>
        </is>
      </c>
    </row>
    <row r="150">
      <c r="A150" s="7" t="n">
        <v>147</v>
      </c>
      <c r="B150" s="8" t="inlineStr">
        <is>
          <t xml:space="preserve">                          color=(1.0, 0.97, 0.90), alpha=1.0)</t>
        </is>
      </c>
    </row>
    <row r="151">
      <c r="A151" s="9" t="n">
        <v>148</v>
      </c>
      <c r="B151" s="10" t="inlineStr">
        <is>
          <t xml:space="preserve">        border = TextBorder(alpha=0.9, color=(0.0, 0.0, 0.0), width=SUBTITLE_STROKE_WIDTH)</t>
        </is>
      </c>
    </row>
    <row r="152">
      <c r="A152" s="7" t="n">
        <v>149</v>
      </c>
      <c r="B152" s="8" t="inlineStr">
        <is>
          <t xml:space="preserve">        shadow = TextShadow(alpha=0.35, color=(0.0, 0.0, 0.0), diffuse=10.0, distance=3.5, angle=-45.0)</t>
        </is>
      </c>
    </row>
    <row r="153">
      <c r="A153" s="9" t="n">
        <v>150</v>
      </c>
      <c r="B153" s="10" t="inlineStr">
        <is>
          <t xml:space="preserve">        clip = ClipSettings(transform_y=SUBTITLE_POSITION_Y)</t>
        </is>
      </c>
    </row>
    <row r="154">
      <c r="A154" s="7" t="n">
        <v>151</v>
      </c>
      <c r="B154" s="8" t="inlineStr">
        <is>
          <t xml:space="preserve">        background = None</t>
        </is>
      </c>
    </row>
    <row r="155">
      <c r="A155" s="9" t="n">
        <v>152</v>
      </c>
      <c r="B155" s="10" t="inlineStr">
        <is>
          <t xml:space="preserve">        if SUBTITLE_BACKGROUND_ENABLED:</t>
        </is>
      </c>
    </row>
    <row r="156">
      <c r="A156" s="7" t="n">
        <v>153</v>
      </c>
      <c r="B156" s="8" t="inlineStr">
        <is>
          <t xml:space="preserve">            background = TextBackground(color="#000000", style=1, alpha=0.35, round_radius=0.15,</t>
        </is>
      </c>
    </row>
    <row r="157">
      <c r="A157" s="9" t="n">
        <v>154</v>
      </c>
      <c r="B157" s="10" t="inlineStr">
        <is>
          <t xml:space="preserve">                                        height=0.12, width=0.15, horizontal_offset=0.5, vertical_offset=0.5)</t>
        </is>
      </c>
    </row>
    <row r="158">
      <c r="A158" s="7" t="n">
        <v>155</v>
      </c>
      <c r="B158" s="8" t="inlineStr">
        <is>
          <t xml:space="preserve">        segment = TextSegment(text=text, timerange=target_trange, style=style,</t>
        </is>
      </c>
    </row>
    <row r="159">
      <c r="A159" s="9" t="n">
        <v>156</v>
      </c>
      <c r="B159" s="10" t="inlineStr">
        <is>
          <t xml:space="preserve">                              clip_settings=clip, border=border, shadow=shadow, background=background)</t>
        </is>
      </c>
    </row>
    <row r="160">
      <c r="A160" s="7" t="n">
        <v>157</v>
      </c>
      <c r="B160" s="8" t="inlineStr">
        <is>
          <t xml:space="preserve">        self.script.add_segment(segment, "text")</t>
        </is>
      </c>
    </row>
    <row r="161">
      <c r="A161" s="9" t="n">
        <v>158</v>
      </c>
      <c r="B161" s="10" t="inlineStr"/>
    </row>
    <row r="162">
      <c r="A162" s="7" t="n">
        <v>159</v>
      </c>
      <c r="B162" s="8" t="inlineStr">
        <is>
          <t xml:space="preserve">    def build_draft_content(self) -&gt; dict:</t>
        </is>
      </c>
    </row>
    <row r="163">
      <c r="A163" s="9" t="n">
        <v>160</v>
      </c>
      <c r="B163" s="10" t="inlineStr">
        <is>
          <t xml:space="preserve">        self.script.duration = self._total_duration_us</t>
        </is>
      </c>
    </row>
    <row r="164">
      <c r="A164" s="7" t="n">
        <v>161</v>
      </c>
      <c r="B164" s="8" t="inlineStr">
        <is>
          <t xml:space="preserve">        return json.loads(self.script.dumps())</t>
        </is>
      </c>
    </row>
    <row r="165">
      <c r="A165" s="9" t="n">
        <v>162</v>
      </c>
      <c r="B165" s="10" t="inlineStr"/>
    </row>
    <row r="166">
      <c r="A166" s="7" t="n">
        <v>163</v>
      </c>
      <c r="B166" s="8" t="inlineStr">
        <is>
          <t xml:space="preserve">    def build_draft_meta_info(self) -&gt; dict:</t>
        </is>
      </c>
    </row>
    <row r="167">
      <c r="A167" s="9" t="n">
        <v>164</v>
      </c>
      <c r="B167" s="10" t="inlineStr">
        <is>
          <t xml:space="preserve">        now_ts = int(time.time() * 1000)</t>
        </is>
      </c>
    </row>
    <row r="168">
      <c r="A168" s="7" t="n">
        <v>165</v>
      </c>
      <c r="B168" s="8" t="inlineStr">
        <is>
          <t xml:space="preserve">        return {</t>
        </is>
      </c>
    </row>
    <row r="169">
      <c r="A169" s="9" t="n">
        <v>166</v>
      </c>
      <c r="B169" s="10" t="inlineStr">
        <is>
          <t xml:space="preserve">            "draft_id": self.draft_id.upper(),</t>
        </is>
      </c>
    </row>
    <row r="170">
      <c r="A170" s="7" t="n">
        <v>167</v>
      </c>
      <c r="B170" s="8" t="inlineStr">
        <is>
          <t xml:space="preserve">            "draft_name": self.draft_name,</t>
        </is>
      </c>
    </row>
    <row r="171">
      <c r="A171" s="9" t="n">
        <v>168</v>
      </c>
      <c r="B171" s="10" t="inlineStr">
        <is>
          <t xml:space="preserve">            "draft_root_path": JIANGYING_DRAFT_DIR.replace("\\", "/"),</t>
        </is>
      </c>
    </row>
    <row r="172">
      <c r="A172" s="7" t="n">
        <v>169</v>
      </c>
      <c r="B172" s="8" t="inlineStr">
        <is>
          <t xml:space="preserve">            "tm_duration": self._total_duration_us,</t>
        </is>
      </c>
    </row>
    <row r="173">
      <c r="A173" s="9" t="n">
        <v>170</v>
      </c>
      <c r="B173" s="10" t="inlineStr">
        <is>
          <t xml:space="preserve">            "draft_cloud_package_completed_time": "",</t>
        </is>
      </c>
    </row>
    <row r="174">
      <c r="A174" s="7" t="n">
        <v>171</v>
      </c>
      <c r="B174" s="8" t="inlineStr">
        <is>
          <t xml:space="preserve">            "draft_cloud_last_action_download": False,</t>
        </is>
      </c>
    </row>
    <row r="175">
      <c r="A175" s="9" t="n">
        <v>172</v>
      </c>
      <c r="B175" s="10" t="inlineStr">
        <is>
          <t xml:space="preserve">            "draft_cloud_materials": [],</t>
        </is>
      </c>
    </row>
    <row r="176">
      <c r="A176" s="7" t="n">
        <v>173</v>
      </c>
      <c r="B176" s="8" t="inlineStr">
        <is>
          <t xml:space="preserve">            "draft_enterprise_info": {"draft_enterprise_extra": "", "draft_enterprise_id": "", "draft_enterprise_name": "", "enterprise_material": []},</t>
        </is>
      </c>
    </row>
    <row r="177">
      <c r="A177" s="9" t="n">
        <v>174</v>
      </c>
      <c r="B177" s="10" t="inlineStr">
        <is>
          <t xml:space="preserve">            "draft_fold_path": "",</t>
        </is>
      </c>
    </row>
    <row r="178">
      <c r="A178" s="7" t="n">
        <v>175</v>
      </c>
      <c r="B178" s="8" t="inlineStr">
        <is>
          <t xml:space="preserve">            "draft_is_ai_packaging_used": False,</t>
        </is>
      </c>
    </row>
    <row r="179">
      <c r="A179" s="9" t="n">
        <v>176</v>
      </c>
      <c r="B179" s="10" t="inlineStr">
        <is>
          <t xml:space="preserve">            "draft_is_ai_shorts": False,</t>
        </is>
      </c>
    </row>
    <row r="180">
      <c r="A180" s="7" t="n">
        <v>177</v>
      </c>
      <c r="B180" s="8" t="inlineStr">
        <is>
          <t xml:space="preserve">            "draft_is_ai_translate": False,</t>
        </is>
      </c>
    </row>
    <row r="181">
      <c r="A181" s="9" t="n">
        <v>178</v>
      </c>
      <c r="B181" s="10" t="inlineStr">
        <is>
          <t xml:space="preserve">            "draft_is_article_video_draft": False,</t>
        </is>
      </c>
    </row>
    <row r="182">
      <c r="A182" s="7" t="n">
        <v>179</v>
      </c>
      <c r="B182" s="8" t="inlineStr">
        <is>
          <t xml:space="preserve">            "draft_is_from_deeplink": False,  # v12.0 修复: 字符串→布尔值</t>
        </is>
      </c>
    </row>
    <row r="183">
      <c r="A183" s="9" t="n">
        <v>180</v>
      </c>
      <c r="B183" s="10" t="inlineStr">
        <is>
          <t xml:space="preserve">            "draft_is_invisible": False,</t>
        </is>
      </c>
    </row>
    <row r="184">
      <c r="A184" s="7" t="n">
        <v>181</v>
      </c>
      <c r="B184" s="8" t="inlineStr">
        <is>
          <t xml:space="preserve">            "draft_materials": [{"type": 0, "value": []}, {"type": 1, "value": []}, {"type": 2, "value": []},</t>
        </is>
      </c>
    </row>
    <row r="185">
      <c r="A185" s="9" t="n">
        <v>182</v>
      </c>
      <c r="B185" s="10" t="inlineStr">
        <is>
          <t xml:space="preserve">                               {"type": 3, "value": []}, {"type": 6, "value": []}, {"type": 7, "value": []}, {"type": 8, "value": []}],</t>
        </is>
      </c>
    </row>
    <row r="186">
      <c r="A186" s="7" t="n">
        <v>183</v>
      </c>
      <c r="B186" s="8" t="inlineStr">
        <is>
          <t xml:space="preserve">            "draft_new_version": "",</t>
        </is>
      </c>
    </row>
    <row r="187">
      <c r="A187" s="9" t="n">
        <v>184</v>
      </c>
      <c r="B187" s="10" t="inlineStr">
        <is>
          <t xml:space="preserve">            "draft_removable_storage_device": "",</t>
        </is>
      </c>
    </row>
    <row r="188">
      <c r="A188" s="7" t="n">
        <v>185</v>
      </c>
      <c r="B188" s="8" t="inlineStr">
        <is>
          <t xml:space="preserve">            "draft_segment_extra_info": [],</t>
        </is>
      </c>
    </row>
    <row r="189">
      <c r="A189" s="9" t="n">
        <v>186</v>
      </c>
      <c r="B189" s="10" t="inlineStr">
        <is>
          <t xml:space="preserve">            "draft_type": "",</t>
        </is>
      </c>
    </row>
    <row r="190">
      <c r="A190" s="7" t="n">
        <v>187</v>
      </c>
      <c r="B190" s="8" t="inlineStr">
        <is>
          <t xml:space="preserve">            "tm_draft_cloud_completed": "",</t>
        </is>
      </c>
    </row>
    <row r="191">
      <c r="A191" s="9" t="n">
        <v>188</v>
      </c>
      <c r="B191" s="10" t="inlineStr">
        <is>
          <t xml:space="preserve">            "tm_draft_cloud_modified": 0,</t>
        </is>
      </c>
    </row>
    <row r="192">
      <c r="A192" s="7" t="n">
        <v>189</v>
      </c>
      <c r="B192" s="8" t="inlineStr">
        <is>
          <t xml:space="preserve">            "tm_draft_removed": 0,</t>
        </is>
      </c>
    </row>
    <row r="193">
      <c r="A193" s="9" t="n">
        <v>190</v>
      </c>
      <c r="B193" s="10" t="inlineStr">
        <is>
          <t xml:space="preserve">        }</t>
        </is>
      </c>
    </row>
    <row r="194">
      <c r="A194" s="7" t="n">
        <v>191</v>
      </c>
      <c r="B194" s="8" t="inlineStr"/>
    </row>
    <row r="195">
      <c r="A195" s="9" t="n">
        <v>192</v>
      </c>
      <c r="B195" s="10" t="inlineStr"/>
    </row>
    <row r="196">
      <c r="A196" s="7" t="n">
        <v>193</v>
      </c>
      <c r="B196" s="8" t="inlineStr">
        <is>
          <t>def save_draft(builder: JianyingDraftBuilder, keyword: str,</t>
        </is>
      </c>
    </row>
    <row r="197">
      <c r="A197" s="9" t="n">
        <v>194</v>
      </c>
      <c r="B197" s="10" t="inlineStr">
        <is>
          <t xml:space="preserve">               video_log_id: int = None) -&gt; Path:</t>
        </is>
      </c>
    </row>
    <row r="198">
      <c r="A198" s="7" t="n">
        <v>195</v>
      </c>
      <c r="B198" s="8" t="inlineStr">
        <is>
          <t xml:space="preserve">    """保存草稿到剪映草稿目录"""</t>
        </is>
      </c>
    </row>
    <row r="199">
      <c r="A199" s="9" t="n">
        <v>196</v>
      </c>
      <c r="B199" s="10" t="inlineStr">
        <is>
          <t xml:space="preserve">    draft_content = builder.build_draft_content()</t>
        </is>
      </c>
    </row>
    <row r="200">
      <c r="A200" s="7" t="n">
        <v>197</v>
      </c>
      <c r="B200" s="8" t="inlineStr">
        <is>
          <t xml:space="preserve">    draft_meta = builder.build_draft_meta_info()</t>
        </is>
      </c>
    </row>
    <row r="201">
      <c r="A201" s="9" t="n">
        <v>198</v>
      </c>
      <c r="B201" s="10" t="inlineStr"/>
    </row>
    <row r="202">
      <c r="A202" s="7" t="n">
        <v>199</v>
      </c>
      <c r="B202" s="8" t="inlineStr">
        <is>
          <t xml:space="preserve">    timestamp = datetime.now().strftime("%Y%m%d_%H%M%S")</t>
        </is>
      </c>
    </row>
    <row r="203">
      <c r="A203" s="9" t="n">
        <v>200</v>
      </c>
      <c r="B203" s="10" t="inlineStr">
        <is>
          <t xml:space="preserve">    safe_kw = re.sub(r'[^\w一-鿿]', '', keyword)[:10]</t>
        </is>
      </c>
    </row>
    <row r="204">
      <c r="A204" s="7" t="n">
        <v>201</v>
      </c>
      <c r="B204" s="8" t="inlineStr">
        <is>
          <t xml:space="preserve">    draft_folder_name = f"{timestamp}_{safe_kw}_树剪"</t>
        </is>
      </c>
    </row>
    <row r="205">
      <c r="A205" s="9" t="n">
        <v>202</v>
      </c>
      <c r="B205" s="10" t="inlineStr"/>
    </row>
    <row r="206">
      <c r="A206" s="7" t="n">
        <v>203</v>
      </c>
      <c r="B206" s="8" t="inlineStr">
        <is>
          <t xml:space="preserve">    draft_dir = Path(JIANGYING_DRAFT_DIR) / draft_folder_name</t>
        </is>
      </c>
    </row>
    <row r="207">
      <c r="A207" s="9" t="n">
        <v>204</v>
      </c>
      <c r="B207" s="10" t="inlineStr">
        <is>
          <t xml:space="preserve">    draft_dir.mkdir(parents=True, exist_ok=True)</t>
        </is>
      </c>
    </row>
    <row r="208">
      <c r="A208" s="7" t="n">
        <v>205</v>
      </c>
      <c r="B208" s="8" t="inlineStr"/>
    </row>
    <row r="209">
      <c r="A209" s="9" t="n">
        <v>206</v>
      </c>
      <c r="B209" s="10" t="inlineStr">
        <is>
          <t xml:space="preserve">    content_path = draft_dir / "draft_content.json"</t>
        </is>
      </c>
    </row>
    <row r="210">
      <c r="A210" s="7" t="n">
        <v>207</v>
      </c>
      <c r="B210" s="8" t="inlineStr">
        <is>
          <t xml:space="preserve">    with open(content_path, "w", encoding="utf-8") as f:</t>
        </is>
      </c>
    </row>
    <row r="211">
      <c r="A211" s="9" t="n">
        <v>208</v>
      </c>
      <c r="B211" s="10" t="inlineStr">
        <is>
          <t xml:space="preserve">        json.dump(draft_content, f, ensure_ascii=False, indent=4)</t>
        </is>
      </c>
    </row>
    <row r="212">
      <c r="A212" s="7" t="n">
        <v>209</v>
      </c>
      <c r="B212" s="8" t="inlineStr"/>
    </row>
    <row r="213">
      <c r="A213" s="9" t="n">
        <v>210</v>
      </c>
      <c r="B213" s="10" t="inlineStr">
        <is>
          <t xml:space="preserve">    meta_path = draft_dir / "draft_meta_info.json"</t>
        </is>
      </c>
    </row>
    <row r="214">
      <c r="A214" s="7" t="n">
        <v>211</v>
      </c>
      <c r="B214" s="8" t="inlineStr">
        <is>
          <t xml:space="preserve">    with open(meta_path, "w", encoding="utf-8") as f:</t>
        </is>
      </c>
    </row>
    <row r="215">
      <c r="A215" s="9" t="n">
        <v>212</v>
      </c>
      <c r="B215" s="10" t="inlineStr">
        <is>
          <t xml:space="preserve">        json.dump(draft_meta, f, ensure_ascii=False, indent=None)</t>
        </is>
      </c>
    </row>
    <row r="216">
      <c r="A216" s="7" t="n">
        <v>213</v>
      </c>
      <c r="B216" s="8" t="inlineStr"/>
    </row>
    <row r="217">
      <c r="A217" s="9" t="n">
        <v>214</v>
      </c>
      <c r="B217" s="10" t="inlineStr">
        <is>
          <t xml:space="preserve">    settings_path = draft_dir / "draft_settings"</t>
        </is>
      </c>
    </row>
    <row r="218">
      <c r="A218" s="7" t="n">
        <v>215</v>
      </c>
      <c r="B218" s="8" t="inlineStr">
        <is>
          <t xml:space="preserve">    now_ts = int(time.time())</t>
        </is>
      </c>
    </row>
    <row r="219">
      <c r="A219" s="9" t="n">
        <v>216</v>
      </c>
      <c r="B219" s="10" t="inlineStr">
        <is>
          <t xml:space="preserve">    settings_content = (</t>
        </is>
      </c>
    </row>
    <row r="220">
      <c r="A220" s="7" t="n">
        <v>217</v>
      </c>
      <c r="B220" s="8" t="inlineStr">
        <is>
          <t xml:space="preserve">        f"[General]\ndraft_create_time={now_ts}\ndraft_last_edit_time={now_ts}\n"</t>
        </is>
      </c>
    </row>
    <row r="221">
      <c r="A221" s="9" t="n">
        <v>218</v>
      </c>
      <c r="B221" s="10" t="inlineStr">
        <is>
          <t xml:space="preserve">        f"real_edit_seconds=0\nreal_edit_keys=0\n"</t>
        </is>
      </c>
    </row>
    <row r="222">
      <c r="A222" s="7" t="n">
        <v>219</v>
      </c>
      <c r="B222" s="8" t="inlineStr">
        <is>
          <t xml:space="preserve">    )</t>
        </is>
      </c>
    </row>
    <row r="223">
      <c r="A223" s="9" t="n">
        <v>220</v>
      </c>
      <c r="B223" s="10" t="inlineStr">
        <is>
          <t xml:space="preserve">    with open(settings_path, "w", encoding="utf-8") as f:</t>
        </is>
      </c>
    </row>
    <row r="224">
      <c r="A224" s="7" t="n">
        <v>221</v>
      </c>
      <c r="B224" s="8" t="inlineStr">
        <is>
          <t xml:space="preserve">        f.write(settings_content)</t>
        </is>
      </c>
    </row>
    <row r="225">
      <c r="A225" s="9" t="n">
        <v>222</v>
      </c>
      <c r="B225" s="10" t="inlineStr"/>
    </row>
    <row r="226">
      <c r="A226" s="7" t="n">
        <v>223</v>
      </c>
      <c r="B226" s="8" t="inlineStr">
        <is>
          <t xml:space="preserve">    print(f"\n   ✅ 剪映草稿已生成！")</t>
        </is>
      </c>
    </row>
    <row r="227">
      <c r="A227" s="9" t="n">
        <v>224</v>
      </c>
      <c r="B227" s="10" t="inlineStr">
        <is>
          <t xml:space="preserve">    print(f"   📂 草稿目录: {draft_dir}")</t>
        </is>
      </c>
    </row>
    <row r="228">
      <c r="A228" s="7" t="n">
        <v>225</v>
      </c>
      <c r="B228" s="8" t="inlineStr"/>
    </row>
    <row r="229">
      <c r="A229" s="9" t="n">
        <v>226</v>
      </c>
      <c r="B229" s="10" t="inlineStr">
        <is>
          <t xml:space="preserve">    # 备份</t>
        </is>
      </c>
    </row>
    <row r="230">
      <c r="A230" s="7" t="n">
        <v>227</v>
      </c>
      <c r="B230" s="8" t="inlineStr">
        <is>
          <t xml:space="preserve">    backup_dir = Path(OUTPUT_DRAFT_DIR) / draft_folder_name</t>
        </is>
      </c>
    </row>
    <row r="231">
      <c r="A231" s="9" t="n">
        <v>228</v>
      </c>
      <c r="B231" s="10" t="inlineStr">
        <is>
          <t xml:space="preserve">    backup_dir.mkdir(parents=True, exist_ok=True)</t>
        </is>
      </c>
    </row>
    <row r="232">
      <c r="A232" s="7" t="n">
        <v>229</v>
      </c>
      <c r="B232" s="8" t="inlineStr">
        <is>
          <t xml:space="preserve">    shutil.copy2(content_path, backup_dir / "draft_content.json")</t>
        </is>
      </c>
    </row>
    <row r="233">
      <c r="A233" s="9" t="n">
        <v>230</v>
      </c>
      <c r="B233" s="10" t="inlineStr">
        <is>
          <t xml:space="preserve">    shutil.copy2(meta_path, backup_dir / "draft_meta_info.json")</t>
        </is>
      </c>
    </row>
    <row r="234">
      <c r="A234" s="7" t="n">
        <v>231</v>
      </c>
      <c r="B234" s="8" t="inlineStr">
        <is>
          <t xml:space="preserve">    print(f"   💾 备份已保存: {backup_dir}")</t>
        </is>
      </c>
    </row>
    <row r="235">
      <c r="A235" s="9" t="n">
        <v>232</v>
      </c>
      <c r="B235" s="10" t="inlineStr"/>
    </row>
    <row r="236">
      <c r="A236" s="7" t="n">
        <v>233</v>
      </c>
      <c r="B236" s="8" t="inlineStr">
        <is>
          <t xml:space="preserve">    return draft_dir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core\drive_scanner.py</t>
        </is>
      </c>
      <c r="C1" s="5" t="inlineStr">
        <is>
          <t>行数: 229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全盘驱动器扫描引擎 (v10.4 静默版)</t>
        </is>
      </c>
    </row>
    <row r="6">
      <c r="A6" s="7" t="n">
        <v>3</v>
      </c>
      <c r="B6" s="8" t="inlineStr">
        <is>
          <t>win32api获取盘符 + 懒加载目录树 + 视频元数据提取(无弹窗)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os, sys, json, time, threading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from typing import List, Dict, Optional, Callable</t>
        </is>
      </c>
    </row>
    <row r="11">
      <c r="A11" s="9" t="n">
        <v>8</v>
      </c>
      <c r="B11" s="10" t="inlineStr">
        <is>
          <t>from concurrent.futures import ThreadPoolExecutor, as_completed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from utils.silent_subprocess import run as _silent_run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import platform as _platform</t>
        </is>
      </c>
    </row>
    <row r="16">
      <c r="A16" s="7" t="n">
        <v>13</v>
      </c>
      <c r="B16" s="8" t="inlineStr">
        <is>
          <t>IS_WINDOWS = _platform.system() == "Windows"</t>
        </is>
      </c>
    </row>
    <row r="17">
      <c r="A17" s="9" t="n">
        <v>14</v>
      </c>
      <c r="B17" s="10" t="inlineStr">
        <is>
          <t>try:</t>
        </is>
      </c>
    </row>
    <row r="18">
      <c r="A18" s="7" t="n">
        <v>15</v>
      </c>
      <c r="B18" s="8" t="inlineStr">
        <is>
          <t xml:space="preserve">    import win32api; HAS_WIN32 = True</t>
        </is>
      </c>
    </row>
    <row r="19">
      <c r="A19" s="9" t="n">
        <v>16</v>
      </c>
      <c r="B19" s="10" t="inlineStr">
        <is>
          <t>except ImportError:</t>
        </is>
      </c>
    </row>
    <row r="20">
      <c r="A20" s="7" t="n">
        <v>17</v>
      </c>
      <c r="B20" s="8" t="inlineStr">
        <is>
          <t xml:space="preserve">    HAS_WIN32 = False</t>
        </is>
      </c>
    </row>
    <row r="21">
      <c r="A21" s="9" t="n">
        <v>18</v>
      </c>
      <c r="B21" s="10" t="inlineStr">
        <is>
          <t xml:space="preserve">    if IS_WINDOWS:</t>
        </is>
      </c>
    </row>
    <row r="22">
      <c r="A22" s="7" t="n">
        <v>19</v>
      </c>
      <c r="B22" s="8" t="inlineStr">
        <is>
          <t xml:space="preserve">        pass  # 静默 — 不弹窗提示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def open_file_explorer(path: str):</t>
        </is>
      </c>
    </row>
    <row r="25">
      <c r="A25" s="9" t="n">
        <v>22</v>
      </c>
      <c r="B25" s="10" t="inlineStr">
        <is>
          <t xml:space="preserve">    """Open file explorer at path. If path is a file, open its containing folder."""</t>
        </is>
      </c>
    </row>
    <row r="26">
      <c r="A26" s="7" t="n">
        <v>23</v>
      </c>
      <c r="B26" s="8" t="inlineStr">
        <is>
          <t xml:space="preserve">    folder = path if os.path.isdir(path) else os.path.dirname(path)</t>
        </is>
      </c>
    </row>
    <row r="27">
      <c r="A27" s="9" t="n">
        <v>24</v>
      </c>
      <c r="B27" s="10" t="inlineStr">
        <is>
          <t xml:space="preserve">    if IS_WINDOWS: os.startfile(folder)</t>
        </is>
      </c>
    </row>
    <row r="28">
      <c r="A28" s="7" t="n">
        <v>25</v>
      </c>
      <c r="B28" s="8" t="inlineStr">
        <is>
          <t xml:space="preserve">    elif _platform.system() == "Darwin": _silent_run(["open", folder])</t>
        </is>
      </c>
    </row>
    <row r="29">
      <c r="A29" s="9" t="n">
        <v>26</v>
      </c>
      <c r="B29" s="10" t="inlineStr">
        <is>
          <t xml:space="preserve">    else: _silent_run(["xdg-open", folder])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>VIDEO_EXT = {'.mp4','.mov','.avi','.mkv','.webm','.flv','.wmv','.m4v','.mpg','.mpeg'}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class DriveEntry:</t>
        </is>
      </c>
    </row>
    <row r="35">
      <c r="A35" s="9" t="n">
        <v>32</v>
      </c>
      <c r="B35" s="10" t="inlineStr">
        <is>
          <t xml:space="preserve">    def __init__(self, name, path, is_drive=False, video_count=0):</t>
        </is>
      </c>
    </row>
    <row r="36">
      <c r="A36" s="7" t="n">
        <v>33</v>
      </c>
      <c r="B36" s="8" t="inlineStr">
        <is>
          <t xml:space="preserve">        self.name = name; self.path = path</t>
        </is>
      </c>
    </row>
    <row r="37">
      <c r="A37" s="9" t="n">
        <v>34</v>
      </c>
      <c r="B37" s="10" t="inlineStr">
        <is>
          <t xml:space="preserve">        self.is_drive = is_drive; self.video_count = video_count</t>
        </is>
      </c>
    </row>
    <row r="38">
      <c r="A38" s="7" t="n">
        <v>35</v>
      </c>
      <c r="B38" s="8" t="inlineStr">
        <is>
          <t xml:space="preserve">        self.children = []; self.loaded = False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/>
    </row>
    <row r="41">
      <c r="A41" s="9" t="n">
        <v>38</v>
      </c>
      <c r="B41" s="10" t="inlineStr">
        <is>
          <t>class VideoEntry:</t>
        </is>
      </c>
    </row>
    <row r="42">
      <c r="A42" s="7" t="n">
        <v>39</v>
      </c>
      <c r="B42" s="8" t="inlineStr">
        <is>
          <t xml:space="preserve">    def __init__(self, path):</t>
        </is>
      </c>
    </row>
    <row r="43">
      <c r="A43" s="9" t="n">
        <v>40</v>
      </c>
      <c r="B43" s="10" t="inlineStr">
        <is>
          <t xml:space="preserve">        self.path = path; self.name = Path(path).name</t>
        </is>
      </c>
    </row>
    <row r="44">
      <c r="A44" s="7" t="n">
        <v>41</v>
      </c>
      <c r="B44" s="8" t="inlineStr">
        <is>
          <t xml:space="preserve">        self.size_mb = 0; self.duration_str = "-"; self.duration_sec = 0</t>
        </is>
      </c>
    </row>
    <row r="45">
      <c r="A45" s="9" t="n">
        <v>42</v>
      </c>
      <c r="B45" s="10" t="inlineStr">
        <is>
          <t xml:space="preserve">        self.fps = 0; self.width = 0; self.height = 0</t>
        </is>
      </c>
    </row>
    <row r="46">
      <c r="A46" s="7" t="n">
        <v>43</v>
      </c>
      <c r="B46" s="8" t="inlineStr">
        <is>
          <t xml:space="preserve">        self.resolution = "-"; self._probed = False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 xml:space="preserve">    def probe(self):</t>
        </is>
      </c>
    </row>
    <row r="49">
      <c r="A49" s="9" t="n">
        <v>46</v>
      </c>
      <c r="B49" s="10" t="inlineStr">
        <is>
          <t xml:space="preserve">        """静默获取视频元数据 — 不弹窗"""</t>
        </is>
      </c>
    </row>
    <row r="50">
      <c r="A50" s="7" t="n">
        <v>47</v>
      </c>
      <c r="B50" s="8" t="inlineStr">
        <is>
          <t xml:space="preserve">        if self._probed: return</t>
        </is>
      </c>
    </row>
    <row r="51">
      <c r="A51" s="9" t="n">
        <v>48</v>
      </c>
      <c r="B51" s="10" t="inlineStr">
        <is>
          <t xml:space="preserve">        try:</t>
        </is>
      </c>
    </row>
    <row r="52">
      <c r="A52" s="7" t="n">
        <v>49</v>
      </c>
      <c r="B52" s="8" t="inlineStr">
        <is>
          <t xml:space="preserve">            stat = os.stat(self.path)</t>
        </is>
      </c>
    </row>
    <row r="53">
      <c r="A53" s="9" t="n">
        <v>50</v>
      </c>
      <c r="B53" s="10" t="inlineStr">
        <is>
          <t xml:space="preserve">            self.size_mb = round(stat.st_size / (1024*1024), 1)</t>
        </is>
      </c>
    </row>
    <row r="54">
      <c r="A54" s="7" t="n">
        <v>51</v>
      </c>
      <c r="B54" s="8" t="inlineStr">
        <is>
          <t xml:space="preserve">        except Exception:</t>
        </is>
      </c>
    </row>
    <row r="55">
      <c r="A55" s="9" t="n">
        <v>52</v>
      </c>
      <c r="B55" s="10" t="inlineStr">
        <is>
          <t xml:space="preserve">            pass</t>
        </is>
      </c>
    </row>
    <row r="56">
      <c r="A56" s="7" t="n">
        <v>53</v>
      </c>
      <c r="B56" s="8" t="inlineStr">
        <is>
          <t xml:space="preserve">        try:</t>
        </is>
      </c>
    </row>
    <row r="57">
      <c r="A57" s="9" t="n">
        <v>54</v>
      </c>
      <c r="B57" s="10" t="inlineStr">
        <is>
          <t xml:space="preserve">            r = _silent_run(</t>
        </is>
      </c>
    </row>
    <row r="58">
      <c r="A58" s="7" t="n">
        <v>55</v>
      </c>
      <c r="B58" s="8" t="inlineStr">
        <is>
          <t xml:space="preserve">                ["ffprobe","-v","quiet","-print_format","json","-show_format","-show_streams",self.path],</t>
        </is>
      </c>
    </row>
    <row r="59">
      <c r="A59" s="9" t="n">
        <v>56</v>
      </c>
      <c r="B59" s="10" t="inlineStr">
        <is>
          <t xml:space="preserve">                capture_output=True, text=True, timeout=8</t>
        </is>
      </c>
    </row>
    <row r="60">
      <c r="A60" s="7" t="n">
        <v>57</v>
      </c>
      <c r="B60" s="8" t="inlineStr">
        <is>
          <t xml:space="preserve">            )</t>
        </is>
      </c>
    </row>
    <row r="61">
      <c r="A61" s="9" t="n">
        <v>58</v>
      </c>
      <c r="B61" s="10" t="inlineStr">
        <is>
          <t xml:space="preserve">            if r.returncode == 0:</t>
        </is>
      </c>
    </row>
    <row r="62">
      <c r="A62" s="7" t="n">
        <v>59</v>
      </c>
      <c r="B62" s="8" t="inlineStr">
        <is>
          <t xml:space="preserve">                import json as _j</t>
        </is>
      </c>
    </row>
    <row r="63">
      <c r="A63" s="9" t="n">
        <v>60</v>
      </c>
      <c r="B63" s="10" t="inlineStr">
        <is>
          <t xml:space="preserve">                data = _j.loads(r.stdout)</t>
        </is>
      </c>
    </row>
    <row r="64">
      <c r="A64" s="7" t="n">
        <v>61</v>
      </c>
      <c r="B64" s="8" t="inlineStr">
        <is>
          <t xml:space="preserve">                fmt = data.get("format",{})</t>
        </is>
      </c>
    </row>
    <row r="65">
      <c r="A65" s="9" t="n">
        <v>62</v>
      </c>
      <c r="B65" s="10" t="inlineStr">
        <is>
          <t xml:space="preserve">                self.duration_sec = float(fmt.get("duration",0))</t>
        </is>
      </c>
    </row>
    <row r="66">
      <c r="A66" s="7" t="n">
        <v>63</v>
      </c>
      <c r="B66" s="8" t="inlineStr">
        <is>
          <t xml:space="preserve">                m,s = divmod(int(self.duration_sec),60)</t>
        </is>
      </c>
    </row>
    <row r="67">
      <c r="A67" s="9" t="n">
        <v>64</v>
      </c>
      <c r="B67" s="10" t="inlineStr">
        <is>
          <t xml:space="preserve">                self.duration_str = f"{m}:{s:02d}"</t>
        </is>
      </c>
    </row>
    <row r="68">
      <c r="A68" s="7" t="n">
        <v>65</v>
      </c>
      <c r="B68" s="8" t="inlineStr">
        <is>
          <t xml:space="preserve">                for stream in data.get("streams",[]):</t>
        </is>
      </c>
    </row>
    <row r="69">
      <c r="A69" s="9" t="n">
        <v>66</v>
      </c>
      <c r="B69" s="10" t="inlineStr">
        <is>
          <t xml:space="preserve">                    if stream.get("codec_type") == "video":</t>
        </is>
      </c>
    </row>
    <row r="70">
      <c r="A70" s="7" t="n">
        <v>67</v>
      </c>
      <c r="B70" s="8" t="inlineStr">
        <is>
          <t xml:space="preserve">                        try:</t>
        </is>
      </c>
    </row>
    <row r="71">
      <c r="A71" s="9" t="n">
        <v>68</v>
      </c>
      <c r="B71" s="10" t="inlineStr">
        <is>
          <t xml:space="preserve">                            fps_str = str(stream.get("r_frame_rate","0/1"))</t>
        </is>
      </c>
    </row>
    <row r="72">
      <c r="A72" s="7" t="n">
        <v>69</v>
      </c>
      <c r="B72" s="8" t="inlineStr">
        <is>
          <t xml:space="preserve">                            num, den = fps_str.split('/')</t>
        </is>
      </c>
    </row>
    <row r="73">
      <c r="A73" s="9" t="n">
        <v>70</v>
      </c>
      <c r="B73" s="10" t="inlineStr">
        <is>
          <t xml:space="preserve">                            self.fps = round(int(num)/max(1,int(den)), 1)</t>
        </is>
      </c>
    </row>
    <row r="74">
      <c r="A74" s="7" t="n">
        <v>71</v>
      </c>
      <c r="B74" s="8" t="inlineStr">
        <is>
          <t xml:space="preserve">                        except Exception:</t>
        </is>
      </c>
    </row>
    <row r="75">
      <c r="A75" s="9" t="n">
        <v>72</v>
      </c>
      <c r="B75" s="10" t="inlineStr">
        <is>
          <t xml:space="preserve">                            self.fps = 0</t>
        </is>
      </c>
    </row>
    <row r="76">
      <c r="A76" s="7" t="n">
        <v>73</v>
      </c>
      <c r="B76" s="8" t="inlineStr">
        <is>
          <t xml:space="preserve">                        self.width = stream.get("width",0)</t>
        </is>
      </c>
    </row>
    <row r="77">
      <c r="A77" s="9" t="n">
        <v>74</v>
      </c>
      <c r="B77" s="10" t="inlineStr">
        <is>
          <t xml:space="preserve">                        self.height = stream.get("height",0)</t>
        </is>
      </c>
    </row>
    <row r="78">
      <c r="A78" s="7" t="n">
        <v>75</v>
      </c>
      <c r="B78" s="8" t="inlineStr">
        <is>
          <t xml:space="preserve">                        self.resolution = f"{self.width}x{self.height}"</t>
        </is>
      </c>
    </row>
    <row r="79">
      <c r="A79" s="9" t="n">
        <v>76</v>
      </c>
      <c r="B79" s="10" t="inlineStr">
        <is>
          <t xml:space="preserve">                        break</t>
        </is>
      </c>
    </row>
    <row r="80">
      <c r="A80" s="7" t="n">
        <v>77</v>
      </c>
      <c r="B80" s="8" t="inlineStr">
        <is>
          <t xml:space="preserve">        except Exception:</t>
        </is>
      </c>
    </row>
    <row r="81">
      <c r="A81" s="9" t="n">
        <v>78</v>
      </c>
      <c r="B81" s="10" t="inlineStr">
        <is>
          <t xml:space="preserve">            pass</t>
        </is>
      </c>
    </row>
    <row r="82">
      <c r="A82" s="7" t="n">
        <v>79</v>
      </c>
      <c r="B82" s="8" t="inlineStr">
        <is>
          <t xml:space="preserve">        self._probed = True</t>
        </is>
      </c>
    </row>
    <row r="83">
      <c r="A83" s="9" t="n">
        <v>80</v>
      </c>
      <c r="B83" s="10" t="inlineStr"/>
    </row>
    <row r="84">
      <c r="A84" s="7" t="n">
        <v>81</v>
      </c>
      <c r="B84" s="8" t="inlineStr"/>
    </row>
    <row r="85">
      <c r="A85" s="9" t="n">
        <v>82</v>
      </c>
      <c r="B85" s="10" t="inlineStr">
        <is>
          <t>class DriveScanner:</t>
        </is>
      </c>
    </row>
    <row r="86">
      <c r="A86" s="7" t="n">
        <v>83</v>
      </c>
      <c r="B86" s="8" t="inlineStr">
        <is>
          <t xml:space="preserve">    def __init__(self):</t>
        </is>
      </c>
    </row>
    <row r="87">
      <c r="A87" s="9" t="n">
        <v>84</v>
      </c>
      <c r="B87" s="10" t="inlineStr">
        <is>
          <t xml:space="preserve">        self._drives = []; self._cache = {}</t>
        </is>
      </c>
    </row>
    <row r="88">
      <c r="A88" s="7" t="n">
        <v>85</v>
      </c>
      <c r="B88" s="8" t="inlineStr">
        <is>
          <t xml:space="preserve">        self._cancel = threading.Event()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def cancel(self):</t>
        </is>
      </c>
    </row>
    <row r="91">
      <c r="A91" s="9" t="n">
        <v>88</v>
      </c>
      <c r="B91" s="10" t="inlineStr">
        <is>
          <t xml:space="preserve">        self._cancel.set()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 xml:space="preserve">    def get_drives(self) -&gt; List[str]:</t>
        </is>
      </c>
    </row>
    <row r="94">
      <c r="A94" s="7" t="n">
        <v>91</v>
      </c>
      <c r="B94" s="8" t="inlineStr">
        <is>
          <t xml:space="preserve">        if IS_WINDOWS:</t>
        </is>
      </c>
    </row>
    <row r="95">
      <c r="A95" s="9" t="n">
        <v>92</v>
      </c>
      <c r="B95" s="10" t="inlineStr">
        <is>
          <t xml:space="preserve">            if HAS_WIN32:</t>
        </is>
      </c>
    </row>
    <row r="96">
      <c r="A96" s="7" t="n">
        <v>93</v>
      </c>
      <c r="B96" s="8" t="inlineStr">
        <is>
          <t xml:space="preserve">                try:</t>
        </is>
      </c>
    </row>
    <row r="97">
      <c r="A97" s="9" t="n">
        <v>94</v>
      </c>
      <c r="B97" s="10" t="inlineStr">
        <is>
          <t xml:space="preserve">                    drives = win32api.GetLogicalDriveStrings()</t>
        </is>
      </c>
    </row>
    <row r="98">
      <c r="A98" s="7" t="n">
        <v>95</v>
      </c>
      <c r="B98" s="8" t="inlineStr">
        <is>
          <t xml:space="preserve">                    return [d for d in drives.split('\0') if d and os.path.exists(d)]</t>
        </is>
      </c>
    </row>
    <row r="99">
      <c r="A99" s="9" t="n">
        <v>96</v>
      </c>
      <c r="B99" s="10" t="inlineStr">
        <is>
          <t xml:space="preserve">                except Exception:</t>
        </is>
      </c>
    </row>
    <row r="100">
      <c r="A100" s="7" t="n">
        <v>97</v>
      </c>
      <c r="B100" s="8" t="inlineStr">
        <is>
          <t xml:space="preserve">                    pass</t>
        </is>
      </c>
    </row>
    <row r="101">
      <c r="A101" s="9" t="n">
        <v>98</v>
      </c>
      <c r="B101" s="10" t="inlineStr">
        <is>
          <t xml:space="preserve">            import string</t>
        </is>
      </c>
    </row>
    <row r="102">
      <c r="A102" s="7" t="n">
        <v>99</v>
      </c>
      <c r="B102" s="8" t="inlineStr">
        <is>
          <t xml:space="preserve">            return [f"{l}:\\" for l in string.ascii_uppercase if os.path.exists(f"{l}:\\")]</t>
        </is>
      </c>
    </row>
    <row r="103">
      <c r="A103" s="9" t="n">
        <v>100</v>
      </c>
      <c r="B103" s="10" t="inlineStr">
        <is>
          <t xml:space="preserve">        roots = []</t>
        </is>
      </c>
    </row>
    <row r="104">
      <c r="A104" s="7" t="n">
        <v>101</v>
      </c>
      <c r="B104" s="8" t="inlineStr">
        <is>
          <t xml:space="preserve">        if os.path.exists("/"): roots.append("/")</t>
        </is>
      </c>
    </row>
    <row r="105">
      <c r="A105" s="9" t="n">
        <v>102</v>
      </c>
      <c r="B105" s="10" t="inlineStr">
        <is>
          <t xml:space="preserve">        home = str(Path.home())</t>
        </is>
      </c>
    </row>
    <row r="106">
      <c r="A106" s="7" t="n">
        <v>103</v>
      </c>
      <c r="B106" s="8" t="inlineStr">
        <is>
          <t xml:space="preserve">        if os.path.exists(home): roots.append(home)</t>
        </is>
      </c>
    </row>
    <row r="107">
      <c r="A107" s="9" t="n">
        <v>104</v>
      </c>
      <c r="B107" s="10" t="inlineStr">
        <is>
          <t xml:space="preserve">        return roots</t>
        </is>
      </c>
    </row>
    <row r="108">
      <c r="A108" s="7" t="n">
        <v>105</v>
      </c>
      <c r="B108" s="8" t="inlineStr"/>
    </row>
    <row r="109">
      <c r="A109" s="9" t="n">
        <v>106</v>
      </c>
      <c r="B109" s="10" t="inlineStr">
        <is>
          <t xml:space="preserve">    def scan_drive_root(self, drive_path: str) -&gt; DriveEntry:</t>
        </is>
      </c>
    </row>
    <row r="110">
      <c r="A110" s="7" t="n">
        <v>107</v>
      </c>
      <c r="B110" s="8" t="inlineStr">
        <is>
          <t xml:space="preserve">        letter = drive_path[0]</t>
        </is>
      </c>
    </row>
    <row r="111">
      <c r="A111" s="9" t="n">
        <v>108</v>
      </c>
      <c r="B111" s="10" t="inlineStr">
        <is>
          <t xml:space="preserve">        entry = DriveEntry(f"{letter}:", drive_path, is_drive=True)</t>
        </is>
      </c>
    </row>
    <row r="112">
      <c r="A112" s="7" t="n">
        <v>109</v>
      </c>
      <c r="B112" s="8" t="inlineStr">
        <is>
          <t xml:space="preserve">        try:</t>
        </is>
      </c>
    </row>
    <row r="113">
      <c r="A113" s="9" t="n">
        <v>110</v>
      </c>
      <c r="B113" s="10" t="inlineStr">
        <is>
          <t xml:space="preserve">            for item in sorted(os.scandir(drive_path), key=lambda e: e.name):</t>
        </is>
      </c>
    </row>
    <row r="114">
      <c r="A114" s="7" t="n">
        <v>111</v>
      </c>
      <c r="B114" s="8" t="inlineStr">
        <is>
          <t xml:space="preserve">                if not item.is_dir(): continue</t>
        </is>
      </c>
    </row>
    <row r="115">
      <c r="A115" s="9" t="n">
        <v>112</v>
      </c>
      <c r="B115" s="10" t="inlineStr">
        <is>
          <t xml:space="preserve">                if item.name.startswith('.') or item.name.startswith('$'): continue</t>
        </is>
      </c>
    </row>
    <row r="116">
      <c r="A116" s="7" t="n">
        <v>113</v>
      </c>
      <c r="B116" s="8" t="inlineStr">
        <is>
          <t xml:space="preserve">                skip = {"Windows","Program Files","Program Files (x86)","ProgramData","Recovery",</t>
        </is>
      </c>
    </row>
    <row r="117">
      <c r="A117" s="9" t="n">
        <v>114</v>
      </c>
      <c r="B117" s="10" t="inlineStr">
        <is>
          <t xml:space="preserve">                        "AppData","System Volume Information","Config.Msi","Documents and Settings"}</t>
        </is>
      </c>
    </row>
    <row r="118">
      <c r="A118" s="7" t="n">
        <v>115</v>
      </c>
      <c r="B118" s="8" t="inlineStr">
        <is>
          <t xml:space="preserve">                if item.name in skip: continue</t>
        </is>
      </c>
    </row>
    <row r="119">
      <c r="A119" s="9" t="n">
        <v>116</v>
      </c>
      <c r="B119" s="10" t="inlineStr">
        <is>
          <t xml:space="preserve">                entry.children.append(DriveEntry(item.name, item.path))</t>
        </is>
      </c>
    </row>
    <row r="120">
      <c r="A120" s="7" t="n">
        <v>117</v>
      </c>
      <c r="B120" s="8" t="inlineStr">
        <is>
          <t xml:space="preserve">        except PermissionError:</t>
        </is>
      </c>
    </row>
    <row r="121">
      <c r="A121" s="9" t="n">
        <v>118</v>
      </c>
      <c r="B121" s="10" t="inlineStr">
        <is>
          <t xml:space="preserve">            pass</t>
        </is>
      </c>
    </row>
    <row r="122">
      <c r="A122" s="7" t="n">
        <v>119</v>
      </c>
      <c r="B122" s="8" t="inlineStr">
        <is>
          <t xml:space="preserve">        return entry</t>
        </is>
      </c>
    </row>
    <row r="123">
      <c r="A123" s="9" t="n">
        <v>120</v>
      </c>
      <c r="B123" s="10" t="inlineStr"/>
    </row>
    <row r="124">
      <c r="A124" s="7" t="n">
        <v>121</v>
      </c>
      <c r="B124" s="8" t="inlineStr">
        <is>
          <t xml:space="preserve">    def scan_folder(self, folder_path: str, max_depth: int = 3, progress: Callable = None) -&gt; DriveEntry:</t>
        </is>
      </c>
    </row>
    <row r="125">
      <c r="A125" s="9" t="n">
        <v>122</v>
      </c>
      <c r="B125" s="10" t="inlineStr">
        <is>
          <t xml:space="preserve">        name = Path(folder_path).name or folder_path</t>
        </is>
      </c>
    </row>
    <row r="126">
      <c r="A126" s="7" t="n">
        <v>123</v>
      </c>
      <c r="B126" s="8" t="inlineStr">
        <is>
          <t xml:space="preserve">        entry = DriveEntry(name, folder_path)</t>
        </is>
      </c>
    </row>
    <row r="127">
      <c r="A127" s="9" t="n">
        <v>124</v>
      </c>
      <c r="B127" s="10" t="inlineStr">
        <is>
          <t xml:space="preserve">        if max_depth &lt;= 0: return entry</t>
        </is>
      </c>
    </row>
    <row r="128">
      <c r="A128" s="7" t="n">
        <v>125</v>
      </c>
      <c r="B128" s="8" t="inlineStr">
        <is>
          <t xml:space="preserve">        try:</t>
        </is>
      </c>
    </row>
    <row r="129">
      <c r="A129" s="9" t="n">
        <v>126</v>
      </c>
      <c r="B129" s="10" t="inlineStr">
        <is>
          <t xml:space="preserve">            subdirs = []</t>
        </is>
      </c>
    </row>
    <row r="130">
      <c r="A130" s="7" t="n">
        <v>127</v>
      </c>
      <c r="B130" s="8" t="inlineStr">
        <is>
          <t xml:space="preserve">            for item in sorted(os.scandir(folder_path), key=lambda e: e.name):</t>
        </is>
      </c>
    </row>
    <row r="131">
      <c r="A131" s="9" t="n">
        <v>128</v>
      </c>
      <c r="B131" s="10" t="inlineStr">
        <is>
          <t xml:space="preserve">                if item.is_file() and item.name.lower().endswith(tuple(VIDEO_EXT)):</t>
        </is>
      </c>
    </row>
    <row r="132">
      <c r="A132" s="7" t="n">
        <v>129</v>
      </c>
      <c r="B132" s="8" t="inlineStr">
        <is>
          <t xml:space="preserve">                    entry.video_count += 1</t>
        </is>
      </c>
    </row>
    <row r="133">
      <c r="A133" s="9" t="n">
        <v>130</v>
      </c>
      <c r="B133" s="10" t="inlineStr">
        <is>
          <t xml:space="preserve">                elif item.is_dir() and not item.name.startswith('.') and not item.name.startswith('$'):</t>
        </is>
      </c>
    </row>
    <row r="134">
      <c r="A134" s="7" t="n">
        <v>131</v>
      </c>
      <c r="B134" s="8" t="inlineStr">
        <is>
          <t xml:space="preserve">                    subdirs.append(item)</t>
        </is>
      </c>
    </row>
    <row r="135">
      <c r="A135" s="9" t="n">
        <v>132</v>
      </c>
      <c r="B135" s="10" t="inlineStr">
        <is>
          <t xml:space="preserve">            for item in subdirs:</t>
        </is>
      </c>
    </row>
    <row r="136">
      <c r="A136" s="7" t="n">
        <v>133</v>
      </c>
      <c r="B136" s="8" t="inlineStr">
        <is>
          <t xml:space="preserve">                child = self.scan_folder(item.path, max_depth - 1)</t>
        </is>
      </c>
    </row>
    <row r="137">
      <c r="A137" s="9" t="n">
        <v>134</v>
      </c>
      <c r="B137" s="10" t="inlineStr">
        <is>
          <t xml:space="preserve">                if child.video_count &gt; 0:</t>
        </is>
      </c>
    </row>
    <row r="138">
      <c r="A138" s="7" t="n">
        <v>135</v>
      </c>
      <c r="B138" s="8" t="inlineStr">
        <is>
          <t xml:space="preserve">                    entry.children.append(child)</t>
        </is>
      </c>
    </row>
    <row r="139">
      <c r="A139" s="9" t="n">
        <v>136</v>
      </c>
      <c r="B139" s="10" t="inlineStr">
        <is>
          <t xml:space="preserve">                    entry.video_count += child.video_count</t>
        </is>
      </c>
    </row>
    <row r="140">
      <c r="A140" s="7" t="n">
        <v>137</v>
      </c>
      <c r="B140" s="8" t="inlineStr">
        <is>
          <t xml:space="preserve">        except PermissionError:</t>
        </is>
      </c>
    </row>
    <row r="141">
      <c r="A141" s="9" t="n">
        <v>138</v>
      </c>
      <c r="B141" s="10" t="inlineStr">
        <is>
          <t xml:space="preserve">            pass</t>
        </is>
      </c>
    </row>
    <row r="142">
      <c r="A142" s="7" t="n">
        <v>139</v>
      </c>
      <c r="B142" s="8" t="inlineStr">
        <is>
          <t xml:space="preserve">        if progress: progress(folder_path, entry.video_count)</t>
        </is>
      </c>
    </row>
    <row r="143">
      <c r="A143" s="9" t="n">
        <v>140</v>
      </c>
      <c r="B143" s="10" t="inlineStr">
        <is>
          <t xml:space="preserve">        return entry</t>
        </is>
      </c>
    </row>
    <row r="144">
      <c r="A144" s="7" t="n">
        <v>141</v>
      </c>
      <c r="B144" s="8" t="inlineStr"/>
    </row>
    <row r="145">
      <c r="A145" s="9" t="n">
        <v>142</v>
      </c>
      <c r="B145" s="10" t="inlineStr">
        <is>
          <t xml:space="preserve">    def list_videos(self, folder_path: str, recursive: bool = True,</t>
        </is>
      </c>
    </row>
    <row r="146">
      <c r="A146" s="7" t="n">
        <v>143</v>
      </c>
      <c r="B146" s="8" t="inlineStr">
        <is>
          <t xml:space="preserve">                    probe: bool = False, progress: Callable = None,</t>
        </is>
      </c>
    </row>
    <row r="147">
      <c r="A147" s="9" t="n">
        <v>144</v>
      </c>
      <c r="B147" s="10" t="inlineStr">
        <is>
          <t xml:space="preserve">                    cancel_event: threading.Event = None) -&gt; List[VideoEntry]:</t>
        </is>
      </c>
    </row>
    <row r="148">
      <c r="A148" s="7" t="n">
        <v>145</v>
      </c>
      <c r="B148" s="8" t="inlineStr">
        <is>
          <t xml:space="preserve">        """列出视频 — 默认不 probe（延迟加载），可选异步 probe + 进度回调"""</t>
        </is>
      </c>
    </row>
    <row r="149">
      <c r="A149" s="9" t="n">
        <v>146</v>
      </c>
      <c r="B149" s="10" t="inlineStr">
        <is>
          <t xml:space="preserve">        self._cancel.clear()</t>
        </is>
      </c>
    </row>
    <row r="150">
      <c r="A150" s="7" t="n">
        <v>147</v>
      </c>
      <c r="B150" s="8" t="inlineStr">
        <is>
          <t xml:space="preserve">        ev = cancel_event or self._cancel</t>
        </is>
      </c>
    </row>
    <row r="151">
      <c r="A151" s="9" t="n">
        <v>148</v>
      </c>
      <c r="B151" s="10" t="inlineStr">
        <is>
          <t xml:space="preserve">        videos = []</t>
        </is>
      </c>
    </row>
    <row r="152">
      <c r="A152" s="7" t="n">
        <v>149</v>
      </c>
      <c r="B152" s="8" t="inlineStr">
        <is>
          <t xml:space="preserve">        if recursive:</t>
        </is>
      </c>
    </row>
    <row r="153">
      <c r="A153" s="9" t="n">
        <v>150</v>
      </c>
      <c r="B153" s="10" t="inlineStr">
        <is>
          <t xml:space="preserve">            for root, dirs, files in os.walk(folder_path):</t>
        </is>
      </c>
    </row>
    <row r="154">
      <c r="A154" s="7" t="n">
        <v>151</v>
      </c>
      <c r="B154" s="8" t="inlineStr">
        <is>
          <t xml:space="preserve">                if ev.is_set(): break</t>
        </is>
      </c>
    </row>
    <row r="155">
      <c r="A155" s="9" t="n">
        <v>152</v>
      </c>
      <c r="B155" s="10" t="inlineStr">
        <is>
          <t xml:space="preserve">                dirs[:] = [d for d in dirs if not d.startswith('.')]</t>
        </is>
      </c>
    </row>
    <row r="156">
      <c r="A156" s="7" t="n">
        <v>153</v>
      </c>
      <c r="B156" s="8" t="inlineStr">
        <is>
          <t xml:space="preserve">                for f in sorted(files):</t>
        </is>
      </c>
    </row>
    <row r="157">
      <c r="A157" s="9" t="n">
        <v>154</v>
      </c>
      <c r="B157" s="10" t="inlineStr">
        <is>
          <t xml:space="preserve">                    if f.lower().endswith(tuple(VIDEO_EXT)):</t>
        </is>
      </c>
    </row>
    <row r="158">
      <c r="A158" s="7" t="n">
        <v>155</v>
      </c>
      <c r="B158" s="8" t="inlineStr">
        <is>
          <t xml:space="preserve">                        videos.append(VideoEntry(os.path.join(root, f)))</t>
        </is>
      </c>
    </row>
    <row r="159">
      <c r="A159" s="9" t="n">
        <v>156</v>
      </c>
      <c r="B159" s="10" t="inlineStr">
        <is>
          <t xml:space="preserve">        else:</t>
        </is>
      </c>
    </row>
    <row r="160">
      <c r="A160" s="7" t="n">
        <v>157</v>
      </c>
      <c r="B160" s="8" t="inlineStr">
        <is>
          <t xml:space="preserve">            for f in sorted(Path(folder_path).iterdir()):</t>
        </is>
      </c>
    </row>
    <row r="161">
      <c r="A161" s="9" t="n">
        <v>158</v>
      </c>
      <c r="B161" s="10" t="inlineStr">
        <is>
          <t xml:space="preserve">                if f.is_file() and f.suffix.lower() in VIDEO_EXT:</t>
        </is>
      </c>
    </row>
    <row r="162">
      <c r="A162" s="7" t="n">
        <v>159</v>
      </c>
      <c r="B162" s="8" t="inlineStr">
        <is>
          <t xml:space="preserve">                    videos.append(VideoEntry(str(f)))</t>
        </is>
      </c>
    </row>
    <row r="163">
      <c r="A163" s="9" t="n">
        <v>160</v>
      </c>
      <c r="B163" s="10" t="inlineStr"/>
    </row>
    <row r="164">
      <c r="A164" s="7" t="n">
        <v>161</v>
      </c>
      <c r="B164" s="8" t="inlineStr">
        <is>
          <t xml:space="preserve">        if probe and videos:</t>
        </is>
      </c>
    </row>
    <row r="165">
      <c r="A165" s="9" t="n">
        <v>162</v>
      </c>
      <c r="B165" s="10" t="inlineStr">
        <is>
          <t xml:space="preserve">            self._batch_probe(videos, progress, ev)</t>
        </is>
      </c>
    </row>
    <row r="166">
      <c r="A166" s="7" t="n">
        <v>163</v>
      </c>
      <c r="B166" s="8" t="inlineStr">
        <is>
          <t xml:space="preserve">        return videos</t>
        </is>
      </c>
    </row>
    <row r="167">
      <c r="A167" s="9" t="n">
        <v>164</v>
      </c>
      <c r="B167" s="10" t="inlineStr"/>
    </row>
    <row r="168">
      <c r="A168" s="7" t="n">
        <v>165</v>
      </c>
      <c r="B168" s="8" t="inlineStr">
        <is>
          <t xml:space="preserve">    def _batch_probe(self, videos: List[VideoEntry], progress: Callable = None,</t>
        </is>
      </c>
    </row>
    <row r="169">
      <c r="A169" s="9" t="n">
        <v>166</v>
      </c>
      <c r="B169" s="10" t="inlineStr">
        <is>
          <t xml:space="preserve">                     cancel_event: threading.Event = None):</t>
        </is>
      </c>
    </row>
    <row r="170">
      <c r="A170" s="7" t="n">
        <v>167</v>
      </c>
      <c r="B170" s="8" t="inlineStr">
        <is>
          <t xml:space="preserve">        """ThreadPoolExecutor 并发 probe — 静默 + 进度回调"""</t>
        </is>
      </c>
    </row>
    <row r="171">
      <c r="A171" s="9" t="n">
        <v>168</v>
      </c>
      <c r="B171" s="10" t="inlineStr">
        <is>
          <t xml:space="preserve">        ev = cancel_event or self._cancel</t>
        </is>
      </c>
    </row>
    <row r="172">
      <c r="A172" s="7" t="n">
        <v>169</v>
      </c>
      <c r="B172" s="8" t="inlineStr">
        <is>
          <t xml:space="preserve">        total = len(videos)</t>
        </is>
      </c>
    </row>
    <row r="173">
      <c r="A173" s="9" t="n">
        <v>170</v>
      </c>
      <c r="B173" s="10" t="inlineStr">
        <is>
          <t xml:space="preserve">        done = [0]</t>
        </is>
      </c>
    </row>
    <row r="174">
      <c r="A174" s="7" t="n">
        <v>171</v>
      </c>
      <c r="B174" s="8" t="inlineStr"/>
    </row>
    <row r="175">
      <c r="A175" s="9" t="n">
        <v>172</v>
      </c>
      <c r="B175" s="10" t="inlineStr">
        <is>
          <t xml:space="preserve">        def _probe_one(ve: VideoEntry):</t>
        </is>
      </c>
    </row>
    <row r="176">
      <c r="A176" s="7" t="n">
        <v>173</v>
      </c>
      <c r="B176" s="8" t="inlineStr">
        <is>
          <t xml:space="preserve">            if ev.is_set(): return ve</t>
        </is>
      </c>
    </row>
    <row r="177">
      <c r="A177" s="9" t="n">
        <v>174</v>
      </c>
      <c r="B177" s="10" t="inlineStr">
        <is>
          <t xml:space="preserve">            ve.probe()</t>
        </is>
      </c>
    </row>
    <row r="178">
      <c r="A178" s="7" t="n">
        <v>175</v>
      </c>
      <c r="B178" s="8" t="inlineStr">
        <is>
          <t xml:space="preserve">            done[0] += 1</t>
        </is>
      </c>
    </row>
    <row r="179">
      <c r="A179" s="9" t="n">
        <v>176</v>
      </c>
      <c r="B179" s="10" t="inlineStr">
        <is>
          <t xml:space="preserve">            if progress:</t>
        </is>
      </c>
    </row>
    <row r="180">
      <c r="A180" s="7" t="n">
        <v>177</v>
      </c>
      <c r="B180" s="8" t="inlineStr">
        <is>
          <t xml:space="preserve">                progress(done[0], total, ve)</t>
        </is>
      </c>
    </row>
    <row r="181">
      <c r="A181" s="9" t="n">
        <v>178</v>
      </c>
      <c r="B181" s="10" t="inlineStr">
        <is>
          <t xml:space="preserve">            return ve</t>
        </is>
      </c>
    </row>
    <row r="182">
      <c r="A182" s="7" t="n">
        <v>179</v>
      </c>
      <c r="B182" s="8" t="inlineStr"/>
    </row>
    <row r="183">
      <c r="A183" s="9" t="n">
        <v>180</v>
      </c>
      <c r="B183" s="10" t="inlineStr">
        <is>
          <t xml:space="preserve">        with ThreadPoolExecutor(max_workers=4) as pool:</t>
        </is>
      </c>
    </row>
    <row r="184">
      <c r="A184" s="7" t="n">
        <v>181</v>
      </c>
      <c r="B184" s="8" t="inlineStr">
        <is>
          <t xml:space="preserve">            futs = [pool.submit(_probe_one, v) for v in videos]</t>
        </is>
      </c>
    </row>
    <row r="185">
      <c r="A185" s="9" t="n">
        <v>182</v>
      </c>
      <c r="B185" s="10" t="inlineStr">
        <is>
          <t xml:space="preserve">            for _ in as_completed(futs):</t>
        </is>
      </c>
    </row>
    <row r="186">
      <c r="A186" s="7" t="n">
        <v>183</v>
      </c>
      <c r="B186" s="8" t="inlineStr">
        <is>
          <t xml:space="preserve">                if ev.is_set(): break</t>
        </is>
      </c>
    </row>
    <row r="187">
      <c r="A187" s="9" t="n">
        <v>184</v>
      </c>
      <c r="B187" s="10" t="inlineStr"/>
    </row>
    <row r="188">
      <c r="A188" s="7" t="n">
        <v>185</v>
      </c>
      <c r="B188" s="8" t="inlineStr">
        <is>
          <t xml:space="preserve">    def get_quick_scan(self) -&gt; List[DriveEntry]:</t>
        </is>
      </c>
    </row>
    <row r="189">
      <c r="A189" s="9" t="n">
        <v>186</v>
      </c>
      <c r="B189" s="10" t="inlineStr">
        <is>
          <t xml:space="preserve">        results = []</t>
        </is>
      </c>
    </row>
    <row r="190">
      <c r="A190" s="7" t="n">
        <v>187</v>
      </c>
      <c r="B190" s="8" t="inlineStr">
        <is>
          <t xml:space="preserve">        known = [</t>
        </is>
      </c>
    </row>
    <row r="191">
      <c r="A191" s="9" t="n">
        <v>188</v>
      </c>
      <c r="B191" s="10" t="inlineStr">
        <is>
          <t xml:space="preserve">            (r"Z:\已处理素材\卖点展示类素材", "Z:卖点展示"),</t>
        </is>
      </c>
    </row>
    <row r="192">
      <c r="A192" s="7" t="n">
        <v>189</v>
      </c>
      <c r="B192" s="8" t="inlineStr">
        <is>
          <t xml:space="preserve">            (r"Z:\已处理素材\效果展示类素材", "Z:效果展示"),</t>
        </is>
      </c>
    </row>
    <row r="193">
      <c r="A193" s="9" t="n">
        <v>190</v>
      </c>
      <c r="B193" s="10" t="inlineStr">
        <is>
          <t xml:space="preserve">            (r"Z:\B组更新视频", "Z:B组视频"),</t>
        </is>
      </c>
    </row>
    <row r="194">
      <c r="A194" s="7" t="n">
        <v>191</v>
      </c>
      <c r="B194" s="8" t="inlineStr">
        <is>
          <t xml:space="preserve">        ]</t>
        </is>
      </c>
    </row>
    <row r="195">
      <c r="A195" s="9" t="n">
        <v>192</v>
      </c>
      <c r="B195" s="10" t="inlineStr">
        <is>
          <t xml:space="preserve">        for path, label in known:</t>
        </is>
      </c>
    </row>
    <row r="196">
      <c r="A196" s="7" t="n">
        <v>193</v>
      </c>
      <c r="B196" s="8" t="inlineStr">
        <is>
          <t xml:space="preserve">            if os.path.exists(path):</t>
        </is>
      </c>
    </row>
    <row r="197">
      <c r="A197" s="9" t="n">
        <v>194</v>
      </c>
      <c r="B197" s="10" t="inlineStr">
        <is>
          <t xml:space="preserve">                entry = DriveEntry(label, path)</t>
        </is>
      </c>
    </row>
    <row r="198">
      <c r="A198" s="7" t="n">
        <v>195</v>
      </c>
      <c r="B198" s="8" t="inlineStr">
        <is>
          <t xml:space="preserve">                entry.video_count = self._fast_count(path)</t>
        </is>
      </c>
    </row>
    <row r="199">
      <c r="A199" s="9" t="n">
        <v>196</v>
      </c>
      <c r="B199" s="10" t="inlineStr">
        <is>
          <t xml:space="preserve">                if entry.video_count &gt; 0:</t>
        </is>
      </c>
    </row>
    <row r="200">
      <c r="A200" s="7" t="n">
        <v>197</v>
      </c>
      <c r="B200" s="8" t="inlineStr">
        <is>
          <t xml:space="preserve">                    results.append(entry)</t>
        </is>
      </c>
    </row>
    <row r="201">
      <c r="A201" s="9" t="n">
        <v>198</v>
      </c>
      <c r="B201" s="10" t="inlineStr">
        <is>
          <t xml:space="preserve">        for drive in self.get_drives():</t>
        </is>
      </c>
    </row>
    <row r="202">
      <c r="A202" s="7" t="n">
        <v>199</v>
      </c>
      <c r="B202" s="8" t="inlineStr">
        <is>
          <t xml:space="preserve">            letter = drive[0] if IS_WINDOWS else drive</t>
        </is>
      </c>
    </row>
    <row r="203">
      <c r="A203" s="9" t="n">
        <v>200</v>
      </c>
      <c r="B203" s="10" t="inlineStr">
        <is>
          <t xml:space="preserve">            if IS_WINDOWS and letter in ('Z','C'): continue</t>
        </is>
      </c>
    </row>
    <row r="204">
      <c r="A204" s="7" t="n">
        <v>201</v>
      </c>
      <c r="B204" s="8" t="inlineStr">
        <is>
          <t xml:space="preserve">            root = self.scan_drive_root(drive)</t>
        </is>
      </c>
    </row>
    <row r="205">
      <c r="A205" s="9" t="n">
        <v>202</v>
      </c>
      <c r="B205" s="10" t="inlineStr">
        <is>
          <t xml:space="preserve">            total = sum(self._fast_count(c.path) for c in root.children)</t>
        </is>
      </c>
    </row>
    <row r="206">
      <c r="A206" s="7" t="n">
        <v>203</v>
      </c>
      <c r="B206" s="8" t="inlineStr">
        <is>
          <t xml:space="preserve">            if total &gt; 0:</t>
        </is>
      </c>
    </row>
    <row r="207">
      <c r="A207" s="9" t="n">
        <v>204</v>
      </c>
      <c r="B207" s="10" t="inlineStr">
        <is>
          <t xml:space="preserve">                root.video_count = total</t>
        </is>
      </c>
    </row>
    <row r="208">
      <c r="A208" s="7" t="n">
        <v>205</v>
      </c>
      <c r="B208" s="8" t="inlineStr">
        <is>
          <t xml:space="preserve">                root.name = f"{letter}: ({total}video)"</t>
        </is>
      </c>
    </row>
    <row r="209">
      <c r="A209" s="9" t="n">
        <v>206</v>
      </c>
      <c r="B209" s="10" t="inlineStr">
        <is>
          <t xml:space="preserve">                results.append(root)</t>
        </is>
      </c>
    </row>
    <row r="210">
      <c r="A210" s="7" t="n">
        <v>207</v>
      </c>
      <c r="B210" s="8" t="inlineStr">
        <is>
          <t xml:space="preserve">        return results</t>
        </is>
      </c>
    </row>
    <row r="211">
      <c r="A211" s="9" t="n">
        <v>208</v>
      </c>
      <c r="B211" s="10" t="inlineStr"/>
    </row>
    <row r="212">
      <c r="A212" s="7" t="n">
        <v>209</v>
      </c>
      <c r="B212" s="8" t="inlineStr">
        <is>
          <t xml:space="preserve">    def _fast_count(self, path, depth=2):</t>
        </is>
      </c>
    </row>
    <row r="213">
      <c r="A213" s="9" t="n">
        <v>210</v>
      </c>
      <c r="B213" s="10" t="inlineStr">
        <is>
          <t xml:space="preserve">        c = 0</t>
        </is>
      </c>
    </row>
    <row r="214">
      <c r="A214" s="7" t="n">
        <v>211</v>
      </c>
      <c r="B214" s="8" t="inlineStr">
        <is>
          <t xml:space="preserve">        try:</t>
        </is>
      </c>
    </row>
    <row r="215">
      <c r="A215" s="9" t="n">
        <v>212</v>
      </c>
      <c r="B215" s="10" t="inlineStr">
        <is>
          <t xml:space="preserve">            for e in os.scandir(path):</t>
        </is>
      </c>
    </row>
    <row r="216">
      <c r="A216" s="7" t="n">
        <v>213</v>
      </c>
      <c r="B216" s="8" t="inlineStr">
        <is>
          <t xml:space="preserve">                if e.is_file() and e.name.lower().endswith(tuple(VIDEO_EXT)): c += 1</t>
        </is>
      </c>
    </row>
    <row r="217">
      <c r="A217" s="9" t="n">
        <v>214</v>
      </c>
      <c r="B217" s="10" t="inlineStr">
        <is>
          <t xml:space="preserve">                elif e.is_dir() and depth &gt; 0 and not e.name.startswith('.'): c += self._fast_count(e.path, depth-1)</t>
        </is>
      </c>
    </row>
    <row r="218">
      <c r="A218" s="7" t="n">
        <v>215</v>
      </c>
      <c r="B218" s="8" t="inlineStr">
        <is>
          <t xml:space="preserve">        except Exception:</t>
        </is>
      </c>
    </row>
    <row r="219">
      <c r="A219" s="9" t="n">
        <v>216</v>
      </c>
      <c r="B219" s="10" t="inlineStr">
        <is>
          <t xml:space="preserve">            pass</t>
        </is>
      </c>
    </row>
    <row r="220">
      <c r="A220" s="7" t="n">
        <v>217</v>
      </c>
      <c r="B220" s="8" t="inlineStr">
        <is>
          <t xml:space="preserve">        return c</t>
        </is>
      </c>
    </row>
    <row r="221">
      <c r="A221" s="9" t="n">
        <v>218</v>
      </c>
      <c r="B221" s="10" t="inlineStr"/>
    </row>
    <row r="222">
      <c r="A222" s="7" t="n">
        <v>219</v>
      </c>
      <c r="B222" s="8" t="inlineStr"/>
    </row>
    <row r="223">
      <c r="A223" s="9" t="n">
        <v>220</v>
      </c>
      <c r="B223" s="10" t="inlineStr">
        <is>
          <t># 全局单例</t>
        </is>
      </c>
    </row>
    <row r="224">
      <c r="A224" s="7" t="n">
        <v>221</v>
      </c>
      <c r="B224" s="8" t="inlineStr">
        <is>
          <t>_scanner = None</t>
        </is>
      </c>
    </row>
    <row r="225">
      <c r="A225" s="9" t="n">
        <v>222</v>
      </c>
      <c r="B225" s="10" t="inlineStr">
        <is>
          <t>_scanner_lock = __import__('threading').Lock()</t>
        </is>
      </c>
    </row>
    <row r="226">
      <c r="A226" s="7" t="n">
        <v>223</v>
      </c>
      <c r="B226" s="8" t="inlineStr">
        <is>
          <t>def get_scanner():</t>
        </is>
      </c>
    </row>
    <row r="227">
      <c r="A227" s="9" t="n">
        <v>224</v>
      </c>
      <c r="B227" s="10" t="inlineStr">
        <is>
          <t xml:space="preserve">    global _scanner</t>
        </is>
      </c>
    </row>
    <row r="228">
      <c r="A228" s="7" t="n">
        <v>225</v>
      </c>
      <c r="B228" s="8" t="inlineStr">
        <is>
          <t xml:space="preserve">    if _scanner is None:</t>
        </is>
      </c>
    </row>
    <row r="229">
      <c r="A229" s="9" t="n">
        <v>226</v>
      </c>
      <c r="B229" s="10" t="inlineStr">
        <is>
          <t xml:space="preserve">        with _scanner_lock:</t>
        </is>
      </c>
    </row>
    <row r="230">
      <c r="A230" s="7" t="n">
        <v>227</v>
      </c>
      <c r="B230" s="8" t="inlineStr">
        <is>
          <t xml:space="preserve">            if _scanner is None:</t>
        </is>
      </c>
    </row>
    <row r="231">
      <c r="A231" s="9" t="n">
        <v>228</v>
      </c>
      <c r="B231" s="10" t="inlineStr">
        <is>
          <t xml:space="preserve">                _scanner = DriveScanner()</t>
        </is>
      </c>
    </row>
    <row r="232">
      <c r="A232" s="7" t="n">
        <v>229</v>
      </c>
      <c r="B232" s="8" t="inlineStr">
        <is>
          <t xml:space="preserve">    return _scanner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core\event_bus.py</t>
        </is>
      </c>
      <c r="C1" s="5" t="inlineStr">
        <is>
          <t>行数: 116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统一事件总线 (EventBus) v2.0</t>
        </is>
      </c>
    </row>
    <row r="6">
      <c r="A6" s="7" t="n">
        <v>3</v>
      </c>
      <c r="B6" s="8">
        <f>===================================</f>
        <v/>
      </c>
    </row>
    <row r="7">
      <c r="A7" s="9" t="n">
        <v>4</v>
      </c>
      <c r="B7" s="10" t="inlineStr">
        <is>
          <t>替代各模块直接调用 UI after()，实现解耦的发布-订阅模式。</t>
        </is>
      </c>
    </row>
    <row r="8">
      <c r="A8" s="7" t="n">
        <v>5</v>
      </c>
      <c r="B8" s="8" t="inlineStr">
        <is>
          <t>所有线程安全，支持同步/异步发布。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threading</t>
        </is>
      </c>
    </row>
    <row r="11">
      <c r="A11" s="9" t="n">
        <v>8</v>
      </c>
      <c r="B11" s="10" t="inlineStr">
        <is>
          <t>import logging</t>
        </is>
      </c>
    </row>
    <row r="12">
      <c r="A12" s="7" t="n">
        <v>9</v>
      </c>
      <c r="B12" s="8" t="inlineStr">
        <is>
          <t>from typing import Callable, Dict, List, Any</t>
        </is>
      </c>
    </row>
    <row r="13">
      <c r="A13" s="9" t="n">
        <v>10</v>
      </c>
      <c r="B13" s="10" t="inlineStr">
        <is>
          <t>from collections import defaultdict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logger = logging.getLogger("EventBus")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class EventBus:</t>
        </is>
      </c>
    </row>
    <row r="19">
      <c r="A19" s="9" t="n">
        <v>16</v>
      </c>
      <c r="B19" s="10" t="inlineStr">
        <is>
          <t xml:space="preserve">    """线程安全发布订阅总线 — 单例模式"""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 xml:space="preserve">    _instance = None</t>
        </is>
      </c>
    </row>
    <row r="22">
      <c r="A22" s="7" t="n">
        <v>19</v>
      </c>
      <c r="B22" s="8" t="inlineStr">
        <is>
          <t xml:space="preserve">    _lock = threading.Lock()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 xml:space="preserve">    def __new__(cls):</t>
        </is>
      </c>
    </row>
    <row r="25">
      <c r="A25" s="9" t="n">
        <v>22</v>
      </c>
      <c r="B25" s="10" t="inlineStr">
        <is>
          <t xml:space="preserve">        if cls._instance is None:</t>
        </is>
      </c>
    </row>
    <row r="26">
      <c r="A26" s="7" t="n">
        <v>23</v>
      </c>
      <c r="B26" s="8" t="inlineStr">
        <is>
          <t xml:space="preserve">            with cls._lock:</t>
        </is>
      </c>
    </row>
    <row r="27">
      <c r="A27" s="9" t="n">
        <v>24</v>
      </c>
      <c r="B27" s="10" t="inlineStr">
        <is>
          <t xml:space="preserve">                if cls._instance is None:</t>
        </is>
      </c>
    </row>
    <row r="28">
      <c r="A28" s="7" t="n">
        <v>25</v>
      </c>
      <c r="B28" s="8" t="inlineStr">
        <is>
          <t xml:space="preserve">                    obj = super().__new__(cls)</t>
        </is>
      </c>
    </row>
    <row r="29">
      <c r="A29" s="9" t="n">
        <v>26</v>
      </c>
      <c r="B29" s="10" t="inlineStr">
        <is>
          <t xml:space="preserve">                    obj._subscribers: Dict[str, List[Callable]] = defaultdict(list)</t>
        </is>
      </c>
    </row>
    <row r="30">
      <c r="A30" s="7" t="n">
        <v>27</v>
      </c>
      <c r="B30" s="8" t="inlineStr">
        <is>
          <t xml:space="preserve">                    obj._sub_lock = threading.Lock()</t>
        </is>
      </c>
    </row>
    <row r="31">
      <c r="A31" s="9" t="n">
        <v>28</v>
      </c>
      <c r="B31" s="10" t="inlineStr">
        <is>
          <t xml:space="preserve">                    cls._instance = obj</t>
        </is>
      </c>
    </row>
    <row r="32">
      <c r="A32" s="7" t="n">
        <v>29</v>
      </c>
      <c r="B32" s="8" t="inlineStr">
        <is>
          <t xml:space="preserve">        return cls._instance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 xml:space="preserve">    def subscribe(self, event_type: str, callback: Callable):</t>
        </is>
      </c>
    </row>
    <row r="35">
      <c r="A35" s="9" t="n">
        <v>32</v>
      </c>
      <c r="B35" s="10" t="inlineStr">
        <is>
          <t xml:space="preserve">        """订阅事件 — 可重复调用"""</t>
        </is>
      </c>
    </row>
    <row r="36">
      <c r="A36" s="7" t="n">
        <v>33</v>
      </c>
      <c r="B36" s="8" t="inlineStr">
        <is>
          <t xml:space="preserve">        with self._sub_lock:</t>
        </is>
      </c>
    </row>
    <row r="37">
      <c r="A37" s="9" t="n">
        <v>34</v>
      </c>
      <c r="B37" s="10" t="inlineStr">
        <is>
          <t xml:space="preserve">            if callback not in self._subscribers[event_type]:</t>
        </is>
      </c>
    </row>
    <row r="38">
      <c r="A38" s="7" t="n">
        <v>35</v>
      </c>
      <c r="B38" s="8" t="inlineStr">
        <is>
          <t xml:space="preserve">                self._subscribers[event_type].append(callback)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 xml:space="preserve">    def unsubscribe(self, event_type: str, callback: Callable):</t>
        </is>
      </c>
    </row>
    <row r="41">
      <c r="A41" s="9" t="n">
        <v>38</v>
      </c>
      <c r="B41" s="10" t="inlineStr">
        <is>
          <t xml:space="preserve">        """取消订阅"""</t>
        </is>
      </c>
    </row>
    <row r="42">
      <c r="A42" s="7" t="n">
        <v>39</v>
      </c>
      <c r="B42" s="8" t="inlineStr">
        <is>
          <t xml:space="preserve">        with self._sub_lock:</t>
        </is>
      </c>
    </row>
    <row r="43">
      <c r="A43" s="9" t="n">
        <v>40</v>
      </c>
      <c r="B43" s="10" t="inlineStr">
        <is>
          <t xml:space="preserve">            self._subscribers[event_type] = [</t>
        </is>
      </c>
    </row>
    <row r="44">
      <c r="A44" s="7" t="n">
        <v>41</v>
      </c>
      <c r="B44" s="8" t="inlineStr">
        <is>
          <t xml:space="preserve">                cb for cb in self._subscribers[event_type] if cb != callback</t>
        </is>
      </c>
    </row>
    <row r="45">
      <c r="A45" s="9" t="n">
        <v>42</v>
      </c>
      <c r="B45" s="10" t="inlineStr">
        <is>
          <t xml:space="preserve">            ]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 xml:space="preserve">    def publish(self, event_type: str, data: Any = None):</t>
        </is>
      </c>
    </row>
    <row r="48">
      <c r="A48" s="7" t="n">
        <v>45</v>
      </c>
      <c r="B48" s="8" t="inlineStr">
        <is>
          <t xml:space="preserve">        """发布事件 — 在调用线程同步执行所有订阅者"""</t>
        </is>
      </c>
    </row>
    <row r="49">
      <c r="A49" s="9" t="n">
        <v>46</v>
      </c>
      <c r="B49" s="10" t="inlineStr">
        <is>
          <t xml:space="preserve">        with self._sub_lock:</t>
        </is>
      </c>
    </row>
    <row r="50">
      <c r="A50" s="7" t="n">
        <v>47</v>
      </c>
      <c r="B50" s="8" t="inlineStr">
        <is>
          <t xml:space="preserve">            callbacks = list(self._subscribers[event_type])</t>
        </is>
      </c>
    </row>
    <row r="51">
      <c r="A51" s="9" t="n">
        <v>48</v>
      </c>
      <c r="B51" s="10" t="inlineStr">
        <is>
          <t xml:space="preserve">        for cb in callbacks:</t>
        </is>
      </c>
    </row>
    <row r="52">
      <c r="A52" s="7" t="n">
        <v>49</v>
      </c>
      <c r="B52" s="8" t="inlineStr">
        <is>
          <t xml:space="preserve">            try:</t>
        </is>
      </c>
    </row>
    <row r="53">
      <c r="A53" s="9" t="n">
        <v>50</v>
      </c>
      <c r="B53" s="10" t="inlineStr">
        <is>
          <t xml:space="preserve">                cb(data)</t>
        </is>
      </c>
    </row>
    <row r="54">
      <c r="A54" s="7" t="n">
        <v>51</v>
      </c>
      <c r="B54" s="8" t="inlineStr">
        <is>
          <t xml:space="preserve">            except Exception as e:</t>
        </is>
      </c>
    </row>
    <row r="55">
      <c r="A55" s="9" t="n">
        <v>52</v>
      </c>
      <c r="B55" s="10" t="inlineStr">
        <is>
          <t xml:space="preserve">                logger.error(f"订阅者异常 [{event_type}]: {e}", exc_info=False)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  def publish_async(self, event_type: str, data: Any = None):</t>
        </is>
      </c>
    </row>
    <row r="58">
      <c r="A58" s="7" t="n">
        <v>55</v>
      </c>
      <c r="B58" s="8" t="inlineStr">
        <is>
          <t xml:space="preserve">        """异步发布 — 在后台守护线程执行，不阻塞主线程"""</t>
        </is>
      </c>
    </row>
    <row r="59">
      <c r="A59" s="9" t="n">
        <v>56</v>
      </c>
      <c r="B59" s="10" t="inlineStr">
        <is>
          <t xml:space="preserve">        t = threading.Thread(</t>
        </is>
      </c>
    </row>
    <row r="60">
      <c r="A60" s="7" t="n">
        <v>57</v>
      </c>
      <c r="B60" s="8" t="inlineStr">
        <is>
          <t xml:space="preserve">            target=self.publish, args=(event_type, data),</t>
        </is>
      </c>
    </row>
    <row r="61">
      <c r="A61" s="9" t="n">
        <v>58</v>
      </c>
      <c r="B61" s="10" t="inlineStr">
        <is>
          <t xml:space="preserve">            daemon=True, name=f"eb-{event_type}"</t>
        </is>
      </c>
    </row>
    <row r="62">
      <c r="A62" s="7" t="n">
        <v>59</v>
      </c>
      <c r="B62" s="8" t="inlineStr">
        <is>
          <t xml:space="preserve">        )</t>
        </is>
      </c>
    </row>
    <row r="63">
      <c r="A63" s="9" t="n">
        <v>60</v>
      </c>
      <c r="B63" s="10" t="inlineStr">
        <is>
          <t xml:space="preserve">        t.start()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>
        <is>
          <t xml:space="preserve">    def subscriber_count(self, event_type: str) -&gt; int:</t>
        </is>
      </c>
    </row>
    <row r="66">
      <c r="A66" s="7" t="n">
        <v>63</v>
      </c>
      <c r="B66" s="8" t="inlineStr">
        <is>
          <t xml:space="preserve">        """获取某事件类型的订阅者数量"""</t>
        </is>
      </c>
    </row>
    <row r="67">
      <c r="A67" s="9" t="n">
        <v>64</v>
      </c>
      <c r="B67" s="10" t="inlineStr">
        <is>
          <t xml:space="preserve">        with self._sub_lock:</t>
        </is>
      </c>
    </row>
    <row r="68">
      <c r="A68" s="7" t="n">
        <v>65</v>
      </c>
      <c r="B68" s="8" t="inlineStr">
        <is>
          <t xml:space="preserve">            return len(self._subscribers.get(event_type, []))</t>
        </is>
      </c>
    </row>
    <row r="69">
      <c r="A69" s="9" t="n">
        <v>66</v>
      </c>
      <c r="B69" s="10" t="inlineStr"/>
    </row>
    <row r="70">
      <c r="A70" s="7" t="n">
        <v>67</v>
      </c>
      <c r="B70" s="8" t="inlineStr">
        <is>
          <t xml:space="preserve">    def clear(self):</t>
        </is>
      </c>
    </row>
    <row r="71">
      <c r="A71" s="9" t="n">
        <v>68</v>
      </c>
      <c r="B71" s="10" t="inlineStr">
        <is>
          <t xml:space="preserve">        """清除所有订阅（仅用于测试）"""</t>
        </is>
      </c>
    </row>
    <row r="72">
      <c r="A72" s="7" t="n">
        <v>69</v>
      </c>
      <c r="B72" s="8" t="inlineStr">
        <is>
          <t xml:space="preserve">        with self._sub_lock:</t>
        </is>
      </c>
    </row>
    <row r="73">
      <c r="A73" s="9" t="n">
        <v>70</v>
      </c>
      <c r="B73" s="10" t="inlineStr">
        <is>
          <t xml:space="preserve">            self._subscribers.clear()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/>
    </row>
    <row r="76">
      <c r="A76" s="7" t="n">
        <v>73</v>
      </c>
      <c r="B76" s="8" t="inlineStr">
        <is>
          <t># ── 事件类型常量 ──────────────────────────────────────</t>
        </is>
      </c>
    </row>
    <row r="77">
      <c r="A77" s="9" t="n">
        <v>74</v>
      </c>
      <c r="B77" s="10" t="inlineStr">
        <is>
          <t>class Events:</t>
        </is>
      </c>
    </row>
    <row r="78">
      <c r="A78" s="7" t="n">
        <v>75</v>
      </c>
      <c r="B78" s="8" t="inlineStr">
        <is>
          <t xml:space="preserve">    """事件类型枚举"""</t>
        </is>
      </c>
    </row>
    <row r="79">
      <c r="A79" s="9" t="n">
        <v>76</v>
      </c>
      <c r="B79" s="10" t="inlineStr">
        <is>
          <t xml:space="preserve">    MATERIAL_UPDATED   = "material.updated"      # 素材库更新</t>
        </is>
      </c>
    </row>
    <row r="80">
      <c r="A80" s="7" t="n">
        <v>77</v>
      </c>
      <c r="B80" s="8" t="inlineStr">
        <is>
          <t xml:space="preserve">    MATERIAL_ANALYZED  = "material.analyzed"     # 素材分析完成</t>
        </is>
      </c>
    </row>
    <row r="81">
      <c r="A81" s="9" t="n">
        <v>78</v>
      </c>
      <c r="B81" s="10" t="inlineStr">
        <is>
          <t xml:space="preserve">    GENERATION_STARTED = "generation.started"    # 视频生成开始</t>
        </is>
      </c>
    </row>
    <row r="82">
      <c r="A82" s="7" t="n">
        <v>79</v>
      </c>
      <c r="B82" s="8" t="inlineStr">
        <is>
          <t xml:space="preserve">    GENERATION_DONE    = "generation.done"       # 视频生成完成</t>
        </is>
      </c>
    </row>
    <row r="83">
      <c r="A83" s="9" t="n">
        <v>80</v>
      </c>
      <c r="B83" s="10" t="inlineStr">
        <is>
          <t xml:space="preserve">    GENERATION_FAILED  = "generation.failed"     # 视频生成失败</t>
        </is>
      </c>
    </row>
    <row r="84">
      <c r="A84" s="7" t="n">
        <v>81</v>
      </c>
      <c r="B84" s="8" t="inlineStr">
        <is>
          <t xml:space="preserve">    LEARNING_DONE      = "learning.done"         # 自学习完成</t>
        </is>
      </c>
    </row>
    <row r="85">
      <c r="A85" s="9" t="n">
        <v>82</v>
      </c>
      <c r="B85" s="10" t="inlineStr">
        <is>
          <t xml:space="preserve">    REVIEW_PENDING     = "review.pending"        # 有待审核规则</t>
        </is>
      </c>
    </row>
    <row r="86">
      <c r="A86" s="7" t="n">
        <v>83</v>
      </c>
      <c r="B86" s="8" t="inlineStr">
        <is>
          <t xml:space="preserve">    QUALITY_RESULT     = "quality.result"        # 质检结果</t>
        </is>
      </c>
    </row>
    <row r="87">
      <c r="A87" s="9" t="n">
        <v>84</v>
      </c>
      <c r="B87" s="10" t="inlineStr">
        <is>
          <t xml:space="preserve">    LOG_MESSAGE        = "log.message"           # 日志消息</t>
        </is>
      </c>
    </row>
    <row r="88">
      <c r="A88" s="7" t="n">
        <v>85</v>
      </c>
      <c r="B88" s="8" t="inlineStr">
        <is>
          <t xml:space="preserve">    PROGRESS_UPDATE    = "progress.update"        # 进度更新</t>
        </is>
      </c>
    </row>
    <row r="89">
      <c r="A89" s="9" t="n">
        <v>86</v>
      </c>
      <c r="B89" s="10" t="inlineStr">
        <is>
          <t xml:space="preserve">    RETRY_SCHEDULED    = "retry.scheduled"        # 重试已调度</t>
        </is>
      </c>
    </row>
    <row r="90">
      <c r="A90" s="7" t="n">
        <v>87</v>
      </c>
      <c r="B90" s="8" t="inlineStr">
        <is>
          <t xml:space="preserve">    CONFIG_CHANGED     = "config.changed"         # 配置变更</t>
        </is>
      </c>
    </row>
    <row r="91">
      <c r="A91" s="9" t="n">
        <v>88</v>
      </c>
      <c r="B91" s="10" t="inlineStr">
        <is>
          <t xml:space="preserve">    DB_READY           = "db.ready"              # 数据库就绪</t>
        </is>
      </c>
    </row>
    <row r="92">
      <c r="A92" s="7" t="n">
        <v>89</v>
      </c>
      <c r="B92" s="8" t="inlineStr">
        <is>
          <t xml:space="preserve">    SCAN_COMPLETE      = "scan.complete"         # 扫描完成</t>
        </is>
      </c>
    </row>
    <row r="93">
      <c r="A93" s="9" t="n">
        <v>90</v>
      </c>
      <c r="B93" s="10" t="inlineStr">
        <is>
          <t xml:space="preserve">    MODEL_LOADED       = "model.loaded"          # 模型加载完成</t>
        </is>
      </c>
    </row>
    <row r="94">
      <c r="A94" s="7" t="n">
        <v>91</v>
      </c>
      <c r="B94" s="8" t="inlineStr"/>
    </row>
    <row r="95">
      <c r="A95" s="9" t="n">
        <v>92</v>
      </c>
      <c r="B95" s="10" t="inlineStr"/>
    </row>
    <row r="96">
      <c r="A96" s="7" t="n">
        <v>93</v>
      </c>
      <c r="B96" s="8" t="inlineStr">
        <is>
          <t># ── 全局单例访问 ──────────────────────────────────────</t>
        </is>
      </c>
    </row>
    <row r="97">
      <c r="A97" s="9" t="n">
        <v>94</v>
      </c>
      <c r="B97" s="10" t="inlineStr">
        <is>
          <t>_bus: EventBus = None</t>
        </is>
      </c>
    </row>
    <row r="98">
      <c r="A98" s="7" t="n">
        <v>95</v>
      </c>
      <c r="B98" s="8" t="inlineStr"/>
    </row>
    <row r="99">
      <c r="A99" s="9" t="n">
        <v>96</v>
      </c>
      <c r="B99" s="10" t="inlineStr">
        <is>
          <t>def get_bus() -&gt; EventBus:</t>
        </is>
      </c>
    </row>
    <row r="100">
      <c r="A100" s="7" t="n">
        <v>97</v>
      </c>
      <c r="B100" s="8" t="inlineStr">
        <is>
          <t xml:space="preserve">    """获取全局事件总线单例"""</t>
        </is>
      </c>
    </row>
    <row r="101">
      <c r="A101" s="9" t="n">
        <v>98</v>
      </c>
      <c r="B101" s="10" t="inlineStr">
        <is>
          <t xml:space="preserve">    global _bus</t>
        </is>
      </c>
    </row>
    <row r="102">
      <c r="A102" s="7" t="n">
        <v>99</v>
      </c>
      <c r="B102" s="8" t="inlineStr">
        <is>
          <t xml:space="preserve">    if _bus is None:</t>
        </is>
      </c>
    </row>
    <row r="103">
      <c r="A103" s="9" t="n">
        <v>100</v>
      </c>
      <c r="B103" s="10" t="inlineStr">
        <is>
          <t xml:space="preserve">        _bus = EventBus()</t>
        </is>
      </c>
    </row>
    <row r="104">
      <c r="A104" s="7" t="n">
        <v>101</v>
      </c>
      <c r="B104" s="8" t="inlineStr">
        <is>
          <t xml:space="preserve">    return _bus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/>
    </row>
    <row r="107">
      <c r="A107" s="9" t="n">
        <v>104</v>
      </c>
      <c r="B107" s="10" t="inlineStr">
        <is>
          <t>def publish(event_type: str, data: Any = None):</t>
        </is>
      </c>
    </row>
    <row r="108">
      <c r="A108" s="7" t="n">
        <v>105</v>
      </c>
      <c r="B108" s="8" t="inlineStr">
        <is>
          <t xml:space="preserve">    """便捷发布函数"""</t>
        </is>
      </c>
    </row>
    <row r="109">
      <c r="A109" s="9" t="n">
        <v>106</v>
      </c>
      <c r="B109" s="10" t="inlineStr">
        <is>
          <t xml:space="preserve">    get_bus().publish(event_type, data)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>def subscribe(event_type: str, callback: Callable):</t>
        </is>
      </c>
    </row>
    <row r="113">
      <c r="A113" s="9" t="n">
        <v>110</v>
      </c>
      <c r="B113" s="10" t="inlineStr">
        <is>
          <t xml:space="preserve">    """便捷订阅函数"""</t>
        </is>
      </c>
    </row>
    <row r="114">
      <c r="A114" s="7" t="n">
        <v>111</v>
      </c>
      <c r="B114" s="8" t="inlineStr">
        <is>
          <t xml:space="preserve">    get_bus().subscribe(event_type, callback)</t>
        </is>
      </c>
    </row>
    <row r="115">
      <c r="A115" s="9" t="n">
        <v>112</v>
      </c>
      <c r="B115" s="10" t="inlineStr"/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>def publish_async(event_type: str, data: Any = None):</t>
        </is>
      </c>
    </row>
    <row r="118">
      <c r="A118" s="7" t="n">
        <v>115</v>
      </c>
      <c r="B118" s="8" t="inlineStr">
        <is>
          <t xml:space="preserve">    """便捷异步发布函数"""</t>
        </is>
      </c>
    </row>
    <row r="119">
      <c r="A119" s="9" t="n">
        <v>116</v>
      </c>
      <c r="B119" s="10" t="inlineStr">
        <is>
          <t xml:space="preserve">    get_bus().publish_async(event_type, data)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core\event_wiring.py</t>
        </is>
      </c>
      <c r="C1" s="5" t="inlineStr">
        <is>
          <t>行数: 219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v12.0 — EventBus 接線模塊</t>
        </is>
      </c>
    </row>
    <row r="6">
      <c r="A6" s="7" t="n">
        <v>3</v>
      </c>
      <c r="B6" s="8">
        <f>======================================</f>
        <v/>
      </c>
    </row>
    <row r="7">
      <c r="A7" s="9" t="n">
        <v>4</v>
      </c>
      <c r="B7" s="10" t="inlineStr">
        <is>
          <t>將核心模塊的事件發布連接到EventBus，替代直接函數調用。</t>
        </is>
      </c>
    </row>
    <row r="8">
      <c r="A8" s="7" t="n">
        <v>5</v>
      </c>
      <c r="B8" s="8" t="inlineStr">
        <is>
          <t>所有模塊通過此文件統一注冊事件發布者和訂閱者。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架構:</t>
        </is>
      </c>
    </row>
    <row r="11">
      <c r="A11" s="9" t="n">
        <v>8</v>
      </c>
      <c r="B11" s="10" t="inlineStr">
        <is>
          <t xml:space="preserve">  Pipeline → publish(GENERATION_DONE)  → UI窗口自動刷新</t>
        </is>
      </c>
    </row>
    <row r="12">
      <c r="A12" s="7" t="n">
        <v>9</v>
      </c>
      <c r="B12" s="8" t="inlineStr">
        <is>
          <t xml:space="preserve">  Scanner  → publish(MATERIAL_UPDATED) → 素材庫刷新</t>
        </is>
      </c>
    </row>
    <row r="13">
      <c r="A13" s="9" t="n">
        <v>10</v>
      </c>
      <c r="B13" s="10" t="inlineStr">
        <is>
          <t xml:space="preserve">  Learner  → publish(REVIEW_PENDING)   → 審核面板紅點更新</t>
        </is>
      </c>
    </row>
    <row r="14">
      <c r="A14" s="7" t="n">
        <v>11</v>
      </c>
      <c r="B14" s="8" t="inlineStr">
        <is>
          <t xml:space="preserve">  Logger   → publish(LOG_MESSAGE)      → 軟件日誌窗口追加</t>
        </is>
      </c>
    </row>
    <row r="15">
      <c r="A15" s="9" t="n">
        <v>12</v>
      </c>
      <c r="B15" s="10" t="inlineStr">
        <is>
          <t xml:space="preserve">  RetryScheduler → publish(RETRY_SCHEDULED)</t>
        </is>
      </c>
    </row>
    <row r="16">
      <c r="A16" s="7" t="n">
        <v>13</v>
      </c>
      <c r="B16" s="8" t="inlineStr">
        <is>
          <t>"""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import logging</t>
        </is>
      </c>
    </row>
    <row r="19">
      <c r="A19" s="9" t="n">
        <v>16</v>
      </c>
      <c r="B19" s="10" t="inlineStr">
        <is>
          <t>from typing import Optional, Callable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_log = logging.getLogger("TreeCut.EventWiring")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>
        <is>
          <t># ── 注冊狀態 ──────────────────────────────────────</t>
        </is>
      </c>
    </row>
    <row r="24">
      <c r="A24" s="7" t="n">
        <v>21</v>
      </c>
      <c r="B24" s="8" t="inlineStr">
        <is>
          <t>_wired = False</t>
        </is>
      </c>
    </row>
    <row r="25">
      <c r="A25" s="9" t="n">
        <v>22</v>
      </c>
      <c r="B25" s="10" t="inlineStr">
        <is>
          <t>_subscribers: dict = {}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/>
    </row>
    <row r="28">
      <c r="A28" s="7" t="n">
        <v>25</v>
      </c>
      <c r="B28" s="8" t="inlineStr">
        <is>
          <t>def wire_all():</t>
        </is>
      </c>
    </row>
    <row r="29">
      <c r="A29" s="9" t="n">
        <v>26</v>
      </c>
      <c r="B29" s="10" t="inlineStr">
        <is>
          <t xml:space="preserve">    """</t>
        </is>
      </c>
    </row>
    <row r="30">
      <c r="A30" s="7" t="n">
        <v>27</v>
      </c>
      <c r="B30" s="8" t="inlineStr">
        <is>
          <t xml:space="preserve">    一次性接線所有核心模塊到 EventBus。</t>
        </is>
      </c>
    </row>
    <row r="31">
      <c r="A31" s="9" t="n">
        <v>28</v>
      </c>
      <c r="B31" s="10" t="inlineStr">
        <is>
          <t xml:space="preserve">    在 树剪.py 初始化後調用。</t>
        </is>
      </c>
    </row>
    <row r="32">
      <c r="A32" s="7" t="n">
        <v>29</v>
      </c>
      <c r="B32" s="8" t="inlineStr">
        <is>
          <t xml:space="preserve">    """</t>
        </is>
      </c>
    </row>
    <row r="33">
      <c r="A33" s="9" t="n">
        <v>30</v>
      </c>
      <c r="B33" s="10" t="inlineStr">
        <is>
          <t xml:space="preserve">    global _wired</t>
        </is>
      </c>
    </row>
    <row r="34">
      <c r="A34" s="7" t="n">
        <v>31</v>
      </c>
      <c r="B34" s="8" t="inlineStr">
        <is>
          <t xml:space="preserve">    if _wired:</t>
        </is>
      </c>
    </row>
    <row r="35">
      <c r="A35" s="9" t="n">
        <v>32</v>
      </c>
      <c r="B35" s="10" t="inlineStr">
        <is>
          <t xml:space="preserve">        return</t>
        </is>
      </c>
    </row>
    <row r="36">
      <c r="A36" s="7" t="n">
        <v>33</v>
      </c>
      <c r="B36" s="8" t="inlineStr">
        <is>
          <t xml:space="preserve">    _wired = True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 xml:space="preserve">    _wire_pipeline()</t>
        </is>
      </c>
    </row>
    <row r="39">
      <c r="A39" s="9" t="n">
        <v>36</v>
      </c>
      <c r="B39" s="10" t="inlineStr">
        <is>
          <t xml:space="preserve">    _wire_scanner()</t>
        </is>
      </c>
    </row>
    <row r="40">
      <c r="A40" s="7" t="n">
        <v>37</v>
      </c>
      <c r="B40" s="8" t="inlineStr">
        <is>
          <t xml:space="preserve">    _wire_learner()</t>
        </is>
      </c>
    </row>
    <row r="41">
      <c r="A41" s="9" t="n">
        <v>38</v>
      </c>
      <c r="B41" s="10" t="inlineStr">
        <is>
          <t xml:space="preserve">    _wire_logging()</t>
        </is>
      </c>
    </row>
    <row r="42">
      <c r="A42" s="7" t="n">
        <v>39</v>
      </c>
      <c r="B42" s="8" t="inlineStr">
        <is>
          <t xml:space="preserve">    _wire_retry_scheduler()</t>
        </is>
      </c>
    </row>
    <row r="43">
      <c r="A43" s="9" t="n">
        <v>40</v>
      </c>
      <c r="B43" s="10" t="inlineStr">
        <is>
          <t xml:space="preserve">    _subscribe_ui_refresh()</t>
        </is>
      </c>
    </row>
    <row r="44">
      <c r="A44" s="7" t="n">
        <v>41</v>
      </c>
      <c r="B44" s="8" t="inlineStr">
        <is>
          <t xml:space="preserve">    _log.info("EventBus 接線完成: 5個發布者 + UI訂閱者已連接")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/>
    </row>
    <row r="47">
      <c r="A47" s="9" t="n">
        <v>44</v>
      </c>
      <c r="B47" s="10" t="inlineStr">
        <is>
          <t># ── Pipeline → EventBus ──────────────────────────</t>
        </is>
      </c>
    </row>
    <row r="48">
      <c r="A48" s="7" t="n">
        <v>45</v>
      </c>
      <c r="B48" s="8" t="inlineStr">
        <is>
          <t>def _wire_pipeline():</t>
        </is>
      </c>
    </row>
    <row r="49">
      <c r="A49" s="9" t="n">
        <v>46</v>
      </c>
      <c r="B49" s="10" t="inlineStr">
        <is>
          <t xml:space="preserve">    """將 Pipeline 的生成完成/失敗事件接入 EventBus"""</t>
        </is>
      </c>
    </row>
    <row r="50">
      <c r="A50" s="7" t="n">
        <v>47</v>
      </c>
      <c r="B50" s="8" t="inlineStr">
        <is>
          <t xml:space="preserve">    try:</t>
        </is>
      </c>
    </row>
    <row r="51">
      <c r="A51" s="9" t="n">
        <v>48</v>
      </c>
      <c r="B51" s="10" t="inlineStr">
        <is>
          <t xml:space="preserve">        from core.event_bus import get_bus, Events</t>
        </is>
      </c>
    </row>
    <row r="52">
      <c r="A52" s="7" t="n">
        <v>49</v>
      </c>
      <c r="B52" s="8" t="inlineStr">
        <is>
          <t xml:space="preserve">        bus = get_bus()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>
        <is>
          <t xml:space="preserve">        # 對 pipeline.run() 添加事件發布包裝</t>
        </is>
      </c>
    </row>
    <row r="55">
      <c r="A55" s="9" t="n">
        <v>52</v>
      </c>
      <c r="B55" s="10" t="inlineStr">
        <is>
          <t xml:space="preserve">        import core.pipeline as pl</t>
        </is>
      </c>
    </row>
    <row r="56">
      <c r="A56" s="7" t="n">
        <v>53</v>
      </c>
      <c r="B56" s="8" t="inlineStr">
        <is>
          <t xml:space="preserve">        _original_run = pl.run</t>
        </is>
      </c>
    </row>
    <row r="57">
      <c r="A57" s="9" t="n">
        <v>54</v>
      </c>
      <c r="B57" s="10" t="inlineStr"/>
    </row>
    <row r="58">
      <c r="A58" s="7" t="n">
        <v>55</v>
      </c>
      <c r="B58" s="8" t="inlineStr">
        <is>
          <t xml:space="preserve">        def _run_with_event(**kwargs):</t>
        </is>
      </c>
    </row>
    <row r="59">
      <c r="A59" s="9" t="n">
        <v>56</v>
      </c>
      <c r="B59" s="10" t="inlineStr">
        <is>
          <t xml:space="preserve">            """pipeline.run 包裝 — 發布 GENERATION_STARTED/DONE/FAILED"""</t>
        </is>
      </c>
    </row>
    <row r="60">
      <c r="A60" s="7" t="n">
        <v>57</v>
      </c>
      <c r="B60" s="8" t="inlineStr">
        <is>
          <t xml:space="preserve">            bus.publish(Events.GENERATION_STARTED, {"keyword": kwargs.get("keyword", "")})</t>
        </is>
      </c>
    </row>
    <row r="61">
      <c r="A61" s="9" t="n">
        <v>58</v>
      </c>
      <c r="B61" s="10" t="inlineStr">
        <is>
          <t xml:space="preserve">            try:</t>
        </is>
      </c>
    </row>
    <row r="62">
      <c r="A62" s="7" t="n">
        <v>59</v>
      </c>
      <c r="B62" s="8" t="inlineStr">
        <is>
          <t xml:space="preserve">                result = _original_run(**kwargs)</t>
        </is>
      </c>
    </row>
    <row r="63">
      <c r="A63" s="9" t="n">
        <v>60</v>
      </c>
      <c r="B63" s="10" t="inlineStr">
        <is>
          <t xml:space="preserve">                bus.publish(Events.GENERATION_DONE, {</t>
        </is>
      </c>
    </row>
    <row r="64">
      <c r="A64" s="7" t="n">
        <v>61</v>
      </c>
      <c r="B64" s="8" t="inlineStr">
        <is>
          <t xml:space="preserve">                    "keyword": kwargs.get("keyword", ""),</t>
        </is>
      </c>
    </row>
    <row r="65">
      <c r="A65" s="9" t="n">
        <v>62</v>
      </c>
      <c r="B65" s="10" t="inlineStr">
        <is>
          <t xml:space="preserve">                    "result": result,</t>
        </is>
      </c>
    </row>
    <row r="66">
      <c r="A66" s="7" t="n">
        <v>63</v>
      </c>
      <c r="B66" s="8" t="inlineStr">
        <is>
          <t xml:space="preserve">                })</t>
        </is>
      </c>
    </row>
    <row r="67">
      <c r="A67" s="9" t="n">
        <v>64</v>
      </c>
      <c r="B67" s="10" t="inlineStr">
        <is>
          <t xml:space="preserve">                # 同步發布質量結果</t>
        </is>
      </c>
    </row>
    <row r="68">
      <c r="A68" s="7" t="n">
        <v>65</v>
      </c>
      <c r="B68" s="8" t="inlineStr">
        <is>
          <t xml:space="preserve">                if result and isinstance(result, dict):</t>
        </is>
      </c>
    </row>
    <row r="69">
      <c r="A69" s="9" t="n">
        <v>66</v>
      </c>
      <c r="B69" s="10" t="inlineStr">
        <is>
          <t xml:space="preserve">                    bus.publish(Events.QUALITY_RESULT, result)</t>
        </is>
      </c>
    </row>
    <row r="70">
      <c r="A70" s="7" t="n">
        <v>67</v>
      </c>
      <c r="B70" s="8" t="inlineStr">
        <is>
          <t xml:space="preserve">                return result</t>
        </is>
      </c>
    </row>
    <row r="71">
      <c r="A71" s="9" t="n">
        <v>68</v>
      </c>
      <c r="B71" s="10" t="inlineStr">
        <is>
          <t xml:space="preserve">            except Exception as e:</t>
        </is>
      </c>
    </row>
    <row r="72">
      <c r="A72" s="7" t="n">
        <v>69</v>
      </c>
      <c r="B72" s="8" t="inlineStr">
        <is>
          <t xml:space="preserve">                bus.publish(Events.GENERATION_FAILED, {</t>
        </is>
      </c>
    </row>
    <row r="73">
      <c r="A73" s="9" t="n">
        <v>70</v>
      </c>
      <c r="B73" s="10" t="inlineStr">
        <is>
          <t xml:space="preserve">                    "keyword": kwargs.get("keyword", ""),</t>
        </is>
      </c>
    </row>
    <row r="74">
      <c r="A74" s="7" t="n">
        <v>71</v>
      </c>
      <c r="B74" s="8" t="inlineStr">
        <is>
          <t xml:space="preserve">                    "error": str(e),</t>
        </is>
      </c>
    </row>
    <row r="75">
      <c r="A75" s="9" t="n">
        <v>72</v>
      </c>
      <c r="B75" s="10" t="inlineStr">
        <is>
          <t xml:space="preserve">                })</t>
        </is>
      </c>
    </row>
    <row r="76">
      <c r="A76" s="7" t="n">
        <v>73</v>
      </c>
      <c r="B76" s="8" t="inlineStr">
        <is>
          <t xml:space="preserve">                raise</t>
        </is>
      </c>
    </row>
    <row r="77">
      <c r="A77" s="9" t="n">
        <v>74</v>
      </c>
      <c r="B77" s="10" t="inlineStr"/>
    </row>
    <row r="78">
      <c r="A78" s="7" t="n">
        <v>75</v>
      </c>
      <c r="B78" s="8" t="inlineStr">
        <is>
          <t xml:space="preserve">        pl.run = _run_with_event</t>
        </is>
      </c>
    </row>
    <row r="79">
      <c r="A79" s="9" t="n">
        <v>76</v>
      </c>
      <c r="B79" s="10" t="inlineStr">
        <is>
          <t xml:space="preserve">        _log.debug("Pipeline 已接線到 EventBus")</t>
        </is>
      </c>
    </row>
    <row r="80">
      <c r="A80" s="7" t="n">
        <v>77</v>
      </c>
      <c r="B80" s="8" t="inlineStr">
        <is>
          <t xml:space="preserve">    except Exception as e:</t>
        </is>
      </c>
    </row>
    <row r="81">
      <c r="A81" s="9" t="n">
        <v>78</v>
      </c>
      <c r="B81" s="10" t="inlineStr">
        <is>
          <t xml:space="preserve">        _log.warning(f"Pipeline 接線失敗: {e}")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/>
    </row>
    <row r="84">
      <c r="A84" s="7" t="n">
        <v>81</v>
      </c>
      <c r="B84" s="8" t="inlineStr">
        <is>
          <t># ── Scanner → EventBus ───────────────────────────</t>
        </is>
      </c>
    </row>
    <row r="85">
      <c r="A85" s="9" t="n">
        <v>82</v>
      </c>
      <c r="B85" s="10" t="inlineStr">
        <is>
          <t>def _wire_scanner():</t>
        </is>
      </c>
    </row>
    <row r="86">
      <c r="A86" s="7" t="n">
        <v>83</v>
      </c>
      <c r="B86" s="8" t="inlineStr">
        <is>
          <t xml:space="preserve">    """將素材掃描完成事件接入 EventBus"""</t>
        </is>
      </c>
    </row>
    <row r="87">
      <c r="A87" s="9" t="n">
        <v>84</v>
      </c>
      <c r="B87" s="10" t="inlineStr">
        <is>
          <t xml:space="preserve">    try:</t>
        </is>
      </c>
    </row>
    <row r="88">
      <c r="A88" s="7" t="n">
        <v>85</v>
      </c>
      <c r="B88" s="8" t="inlineStr">
        <is>
          <t xml:space="preserve">        from core.event_bus import get_bus, Events</t>
        </is>
      </c>
    </row>
    <row r="89">
      <c r="A89" s="9" t="n">
        <v>86</v>
      </c>
      <c r="B89" s="10" t="inlineStr">
        <is>
          <t xml:space="preserve">        bus = get_bus()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 xml:space="preserve">        # 對 LibraryBuilder 的掃描函數進行猴子補丁</t>
        </is>
      </c>
    </row>
    <row r="92">
      <c r="A92" s="7" t="n">
        <v>89</v>
      </c>
      <c r="B92" s="8" t="inlineStr">
        <is>
          <t xml:space="preserve">        import core.library_builder as lb</t>
        </is>
      </c>
    </row>
    <row r="93">
      <c r="A93" s="9" t="n">
        <v>90</v>
      </c>
      <c r="B93" s="10" t="inlineStr">
        <is>
          <t xml:space="preserve">        _original_scan = lb.LibraryBuilder.incremental_scan</t>
        </is>
      </c>
    </row>
    <row r="94">
      <c r="A94" s="7" t="n">
        <v>91</v>
      </c>
      <c r="B94" s="8" t="inlineStr"/>
    </row>
    <row r="95">
      <c r="A95" s="9" t="n">
        <v>92</v>
      </c>
      <c r="B95" s="10" t="inlineStr">
        <is>
          <t xml:space="preserve">        def _scan_with_event(self, root_path=None, **kwargs):</t>
        </is>
      </c>
    </row>
    <row r="96">
      <c r="A96" s="7" t="n">
        <v>93</v>
      </c>
      <c r="B96" s="8" t="inlineStr">
        <is>
          <t xml:space="preserve">            result = _original_scan(self, root_path=root_path, **kwargs)</t>
        </is>
      </c>
    </row>
    <row r="97">
      <c r="A97" s="9" t="n">
        <v>94</v>
      </c>
      <c r="B97" s="10" t="inlineStr">
        <is>
          <t xml:space="preserve">            bus.publish(Events.SCAN_COMPLETE, {"root_path": str(root_path) if root_path else "default"})</t>
        </is>
      </c>
    </row>
    <row r="98">
      <c r="A98" s="7" t="n">
        <v>95</v>
      </c>
      <c r="B98" s="8" t="inlineStr">
        <is>
          <t xml:space="preserve">            bus.publish(Events.MATERIAL_UPDATED, {"source": "incremental_scan"})</t>
        </is>
      </c>
    </row>
    <row r="99">
      <c r="A99" s="9" t="n">
        <v>96</v>
      </c>
      <c r="B99" s="10" t="inlineStr">
        <is>
          <t xml:space="preserve">            return result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 xml:space="preserve">        lb.LibraryBuilder.incremental_scan = _scan_with_event</t>
        </is>
      </c>
    </row>
    <row r="102">
      <c r="A102" s="7" t="n">
        <v>99</v>
      </c>
      <c r="B102" s="8" t="inlineStr">
        <is>
          <t xml:space="preserve">        _log.debug("Scanner 已接線到 EventBus")</t>
        </is>
      </c>
    </row>
    <row r="103">
      <c r="A103" s="9" t="n">
        <v>100</v>
      </c>
      <c r="B103" s="10" t="inlineStr">
        <is>
          <t xml:space="preserve">    except Exception as e:</t>
        </is>
      </c>
    </row>
    <row r="104">
      <c r="A104" s="7" t="n">
        <v>101</v>
      </c>
      <c r="B104" s="8" t="inlineStr">
        <is>
          <t xml:space="preserve">        _log.warning(f"Scanner 接線失敗: {e}")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/>
    </row>
    <row r="107">
      <c r="A107" s="9" t="n">
        <v>104</v>
      </c>
      <c r="B107" s="10" t="inlineStr">
        <is>
          <t># ── Learner → EventBus ───────────────────────────</t>
        </is>
      </c>
    </row>
    <row r="108">
      <c r="A108" s="7" t="n">
        <v>105</v>
      </c>
      <c r="B108" s="8" t="inlineStr">
        <is>
          <t>def _wire_learner():</t>
        </is>
      </c>
    </row>
    <row r="109">
      <c r="A109" s="9" t="n">
        <v>106</v>
      </c>
      <c r="B109" s="10" t="inlineStr">
        <is>
          <t xml:space="preserve">    """將學習完成/審核待處理事件接入 EventBus"""</t>
        </is>
      </c>
    </row>
    <row r="110">
      <c r="A110" s="7" t="n">
        <v>107</v>
      </c>
      <c r="B110" s="8" t="inlineStr">
        <is>
          <t xml:space="preserve">    try:</t>
        </is>
      </c>
    </row>
    <row r="111">
      <c r="A111" s="9" t="n">
        <v>108</v>
      </c>
      <c r="B111" s="10" t="inlineStr">
        <is>
          <t xml:space="preserve">        from core.event_bus import get_bus, Events</t>
        </is>
      </c>
    </row>
    <row r="112">
      <c r="A112" s="7" t="n">
        <v>109</v>
      </c>
      <c r="B112" s="8" t="inlineStr">
        <is>
          <t xml:space="preserve">        bus = get_bus()</t>
        </is>
      </c>
    </row>
    <row r="113">
      <c r="A113" s="9" t="n">
        <v>110</v>
      </c>
      <c r="B113" s="10" t="inlineStr"/>
    </row>
    <row r="114">
      <c r="A114" s="7" t="n">
        <v>111</v>
      </c>
      <c r="B114" s="8" t="inlineStr">
        <is>
          <t xml:space="preserve">        import core.learner as learner</t>
        </is>
      </c>
    </row>
    <row r="115">
      <c r="A115" s="9" t="n">
        <v>112</v>
      </c>
      <c r="B115" s="10" t="inlineStr">
        <is>
          <t xml:space="preserve">        _original_bulk = learner.KnowledgeLearner.bulk_learn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    def _bulk_with_event(self, data):</t>
        </is>
      </c>
    </row>
    <row r="118">
      <c r="A118" s="7" t="n">
        <v>115</v>
      </c>
      <c r="B118" s="8" t="inlineStr">
        <is>
          <t xml:space="preserve">            result = _original_bulk(self, data)</t>
        </is>
      </c>
    </row>
    <row r="119">
      <c r="A119" s="9" t="n">
        <v>116</v>
      </c>
      <c r="B119" s="10" t="inlineStr">
        <is>
          <t xml:space="preserve">            bus.publish(Events.LEARNING_DONE, {"summary": self.get_summary()})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>
        <is>
          <t xml:space="preserve">            # 檢查是否有待審核項</t>
        </is>
      </c>
    </row>
    <row r="122">
      <c r="A122" s="7" t="n">
        <v>119</v>
      </c>
      <c r="B122" s="8" t="inlineStr">
        <is>
          <t xml:space="preserve">            try:</t>
        </is>
      </c>
    </row>
    <row r="123">
      <c r="A123" s="9" t="n">
        <v>120</v>
      </c>
      <c r="B123" s="10" t="inlineStr">
        <is>
          <t xml:space="preserve">                from core.review_queue import get_review_queue</t>
        </is>
      </c>
    </row>
    <row r="124">
      <c r="A124" s="7" t="n">
        <v>121</v>
      </c>
      <c r="B124" s="8" t="inlineStr">
        <is>
          <t xml:space="preserve">                rq = get_review_queue()</t>
        </is>
      </c>
    </row>
    <row r="125">
      <c r="A125" s="9" t="n">
        <v>122</v>
      </c>
      <c r="B125" s="10" t="inlineStr">
        <is>
          <t xml:space="preserve">                pending = rq.pending_count()</t>
        </is>
      </c>
    </row>
    <row r="126">
      <c r="A126" s="7" t="n">
        <v>123</v>
      </c>
      <c r="B126" s="8" t="inlineStr">
        <is>
          <t xml:space="preserve">                if pending &gt; 0:</t>
        </is>
      </c>
    </row>
    <row r="127">
      <c r="A127" s="9" t="n">
        <v>124</v>
      </c>
      <c r="B127" s="10" t="inlineStr">
        <is>
          <t xml:space="preserve">                    bus.publish(Events.REVIEW_PENDING, {</t>
        </is>
      </c>
    </row>
    <row r="128">
      <c r="A128" s="7" t="n">
        <v>125</v>
      </c>
      <c r="B128" s="8" t="inlineStr">
        <is>
          <t xml:space="preserve">                        "count": pending,</t>
        </is>
      </c>
    </row>
    <row r="129">
      <c r="A129" s="9" t="n">
        <v>126</v>
      </c>
      <c r="B129" s="10" t="inlineStr">
        <is>
          <t xml:space="preserve">                        "message": f"有 {pending} 條AI建議待審核"</t>
        </is>
      </c>
    </row>
    <row r="130">
      <c r="A130" s="7" t="n">
        <v>127</v>
      </c>
      <c r="B130" s="8" t="inlineStr">
        <is>
          <t xml:space="preserve">                    })</t>
        </is>
      </c>
    </row>
    <row r="131">
      <c r="A131" s="9" t="n">
        <v>128</v>
      </c>
      <c r="B131" s="10" t="inlineStr">
        <is>
          <t xml:space="preserve">            except ImportError:</t>
        </is>
      </c>
    </row>
    <row r="132">
      <c r="A132" s="7" t="n">
        <v>129</v>
      </c>
      <c r="B132" s="8" t="inlineStr">
        <is>
          <t xml:space="preserve">                pass</t>
        </is>
      </c>
    </row>
    <row r="133">
      <c r="A133" s="9" t="n">
        <v>130</v>
      </c>
      <c r="B133" s="10" t="inlineStr">
        <is>
          <t xml:space="preserve">            return result</t>
        </is>
      </c>
    </row>
    <row r="134">
      <c r="A134" s="7" t="n">
        <v>131</v>
      </c>
      <c r="B134" s="8" t="inlineStr"/>
    </row>
    <row r="135">
      <c r="A135" s="9" t="n">
        <v>132</v>
      </c>
      <c r="B135" s="10" t="inlineStr">
        <is>
          <t xml:space="preserve">        learner.KnowledgeLearner.bulk_learn = _bulk_with_event</t>
        </is>
      </c>
    </row>
    <row r="136">
      <c r="A136" s="7" t="n">
        <v>133</v>
      </c>
      <c r="B136" s="8" t="inlineStr">
        <is>
          <t xml:space="preserve">        _log.debug("Learner 已接線到 EventBus")</t>
        </is>
      </c>
    </row>
    <row r="137">
      <c r="A137" s="9" t="n">
        <v>134</v>
      </c>
      <c r="B137" s="10" t="inlineStr">
        <is>
          <t xml:space="preserve">    except Exception as e:</t>
        </is>
      </c>
    </row>
    <row r="138">
      <c r="A138" s="7" t="n">
        <v>135</v>
      </c>
      <c r="B138" s="8" t="inlineStr">
        <is>
          <t xml:space="preserve">        _log.warning(f"Learner 接線失敗: {e}")</t>
        </is>
      </c>
    </row>
    <row r="139">
      <c r="A139" s="9" t="n">
        <v>136</v>
      </c>
      <c r="B139" s="10" t="inlineStr"/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># ── Logging → EventBus ───────────────────────────</t>
        </is>
      </c>
    </row>
    <row r="142">
      <c r="A142" s="7" t="n">
        <v>139</v>
      </c>
      <c r="B142" s="8" t="inlineStr">
        <is>
          <t>def _wire_logging():</t>
        </is>
      </c>
    </row>
    <row r="143">
      <c r="A143" s="9" t="n">
        <v>140</v>
      </c>
      <c r="B143" s="10" t="inlineStr">
        <is>
          <t xml:space="preserve">    """將日誌消息接入 EventBus（由 utils/logging.py 內部觸發）"""</t>
        </is>
      </c>
    </row>
    <row r="144">
      <c r="A144" s="7" t="n">
        <v>141</v>
      </c>
      <c r="B144" s="8" t="inlineStr">
        <is>
          <t xml:space="preserve">    try:</t>
        </is>
      </c>
    </row>
    <row r="145">
      <c r="A145" s="9" t="n">
        <v>142</v>
      </c>
      <c r="B145" s="10" t="inlineStr">
        <is>
          <t xml:space="preserve">        from core.event_bus import get_bus, Events</t>
        </is>
      </c>
    </row>
    <row r="146">
      <c r="A146" s="7" t="n">
        <v>143</v>
      </c>
      <c r="B146" s="8" t="inlineStr">
        <is>
          <t xml:space="preserve">        bus = get_bus()</t>
        </is>
      </c>
    </row>
    <row r="147">
      <c r="A147" s="9" t="n">
        <v>144</v>
      </c>
      <c r="B147" s="10" t="inlineStr">
        <is>
          <t xml:space="preserve">        # logging 模塊內部已通過 LogManager._publish_to_ui 發送</t>
        </is>
      </c>
    </row>
    <row r="148">
      <c r="A148" s="7" t="n">
        <v>145</v>
      </c>
      <c r="B148" s="8" t="inlineStr">
        <is>
          <t xml:space="preserve">        # 此行確保 EventBus 已初始化</t>
        </is>
      </c>
    </row>
    <row r="149">
      <c r="A149" s="9" t="n">
        <v>146</v>
      </c>
      <c r="B149" s="10" t="inlineStr">
        <is>
          <t xml:space="preserve">        _log.debug("Logging → EventBus 通道已激活")</t>
        </is>
      </c>
    </row>
    <row r="150">
      <c r="A150" s="7" t="n">
        <v>147</v>
      </c>
      <c r="B150" s="8" t="inlineStr">
        <is>
          <t xml:space="preserve">    except Exception as e:</t>
        </is>
      </c>
    </row>
    <row r="151">
      <c r="A151" s="9" t="n">
        <v>148</v>
      </c>
      <c r="B151" s="10" t="inlineStr">
        <is>
          <t xml:space="preserve">        _log.warning(f"Logging 接線失敗: {e}")</t>
        </is>
      </c>
    </row>
    <row r="152">
      <c r="A152" s="7" t="n">
        <v>149</v>
      </c>
      <c r="B152" s="8" t="inlineStr"/>
    </row>
    <row r="153">
      <c r="A153" s="9" t="n">
        <v>150</v>
      </c>
      <c r="B153" s="10" t="inlineStr"/>
    </row>
    <row r="154">
      <c r="A154" s="7" t="n">
        <v>151</v>
      </c>
      <c r="B154" s="8" t="inlineStr">
        <is>
          <t># ── RetryScheduler → EventBus ────────────────────</t>
        </is>
      </c>
    </row>
    <row r="155">
      <c r="A155" s="9" t="n">
        <v>152</v>
      </c>
      <c r="B155" s="10" t="inlineStr">
        <is>
          <t>def _wire_retry_scheduler():</t>
        </is>
      </c>
    </row>
    <row r="156">
      <c r="A156" s="7" t="n">
        <v>153</v>
      </c>
      <c r="B156" s="8" t="inlineStr">
        <is>
          <t xml:space="preserve">    """將重試調度事件接入 EventBus"""</t>
        </is>
      </c>
    </row>
    <row r="157">
      <c r="A157" s="9" t="n">
        <v>154</v>
      </c>
      <c r="B157" s="10" t="inlineStr">
        <is>
          <t xml:space="preserve">    try:</t>
        </is>
      </c>
    </row>
    <row r="158">
      <c r="A158" s="7" t="n">
        <v>155</v>
      </c>
      <c r="B158" s="8" t="inlineStr">
        <is>
          <t xml:space="preserve">        from core.event_bus import get_bus, Events</t>
        </is>
      </c>
    </row>
    <row r="159">
      <c r="A159" s="9" t="n">
        <v>156</v>
      </c>
      <c r="B159" s="10" t="inlineStr">
        <is>
          <t xml:space="preserve">        bus = get_bus()</t>
        </is>
      </c>
    </row>
    <row r="160">
      <c r="A160" s="7" t="n">
        <v>157</v>
      </c>
      <c r="B160" s="8" t="inlineStr">
        <is>
          <t xml:space="preserve">        _log.debug("RetryScheduler → EventBus 通道已激活")</t>
        </is>
      </c>
    </row>
    <row r="161">
      <c r="A161" s="9" t="n">
        <v>158</v>
      </c>
      <c r="B161" s="10" t="inlineStr">
        <is>
          <t xml:space="preserve">    except Exception as e:</t>
        </is>
      </c>
    </row>
    <row r="162">
      <c r="A162" s="7" t="n">
        <v>159</v>
      </c>
      <c r="B162" s="8" t="inlineStr">
        <is>
          <t xml:space="preserve">        _log.warning(f"RetryScheduler 接線失敗: {e}")</t>
        </is>
      </c>
    </row>
    <row r="163">
      <c r="A163" s="9" t="n">
        <v>160</v>
      </c>
      <c r="B163" s="10" t="inlineStr"/>
    </row>
    <row r="164">
      <c r="A164" s="7" t="n">
        <v>161</v>
      </c>
      <c r="B164" s="8" t="inlineStr"/>
    </row>
    <row r="165">
      <c r="A165" s="9" t="n">
        <v>162</v>
      </c>
      <c r="B165" s="10" t="inlineStr">
        <is>
          <t># ── UI 訂閱者 ─────────────────────────────────────</t>
        </is>
      </c>
    </row>
    <row r="166">
      <c r="A166" s="7" t="n">
        <v>163</v>
      </c>
      <c r="B166" s="8" t="inlineStr">
        <is>
          <t>def _subscribe_ui_refresh():</t>
        </is>
      </c>
    </row>
    <row r="167">
      <c r="A167" s="9" t="n">
        <v>164</v>
      </c>
      <c r="B167" s="10" t="inlineStr">
        <is>
          <t xml:space="preserve">    """為UI窗口注冊默認事件處理器"""</t>
        </is>
      </c>
    </row>
    <row r="168">
      <c r="A168" s="7" t="n">
        <v>165</v>
      </c>
      <c r="B168" s="8" t="inlineStr">
        <is>
          <t xml:space="preserve">    try:</t>
        </is>
      </c>
    </row>
    <row r="169">
      <c r="A169" s="9" t="n">
        <v>166</v>
      </c>
      <c r="B169" s="10" t="inlineStr">
        <is>
          <t xml:space="preserve">        from core.event_bus import get_bus, Events</t>
        </is>
      </c>
    </row>
    <row r="170">
      <c r="A170" s="7" t="n">
        <v>167</v>
      </c>
      <c r="B170" s="8" t="inlineStr">
        <is>
          <t xml:space="preserve">        bus = get_bus()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    # 默認處理器: 打印到控制台</t>
        </is>
      </c>
    </row>
    <row r="173">
      <c r="A173" s="9" t="n">
        <v>170</v>
      </c>
      <c r="B173" s="10" t="inlineStr">
        <is>
          <t xml:space="preserve">        def _default_log_handler(data):</t>
        </is>
      </c>
    </row>
    <row r="174">
      <c r="A174" s="7" t="n">
        <v>171</v>
      </c>
      <c r="B174" s="8" t="inlineStr">
        <is>
          <t xml:space="preserve">            if data and data.get("message"):</t>
        </is>
      </c>
    </row>
    <row r="175">
      <c r="A175" s="9" t="n">
        <v>172</v>
      </c>
      <c r="B175" s="10" t="inlineStr">
        <is>
          <t xml:space="preserve">                print(f"[EventBus] {data.get('module','?')}: {data['message']}")</t>
        </is>
      </c>
    </row>
    <row r="176">
      <c r="A176" s="7" t="n">
        <v>173</v>
      </c>
      <c r="B176" s="8" t="inlineStr"/>
    </row>
    <row r="177">
      <c r="A177" s="9" t="n">
        <v>174</v>
      </c>
      <c r="B177" s="10" t="inlineStr">
        <is>
          <t xml:space="preserve">        bus.subscribe(Events.LOG_MESSAGE, _default_log_handler)</t>
        </is>
      </c>
    </row>
    <row r="178">
      <c r="A178" s="7" t="n">
        <v>175</v>
      </c>
      <c r="B178" s="8" t="inlineStr">
        <is>
          <t xml:space="preserve">        _log.debug("UI默認事件處理器已注冊")</t>
        </is>
      </c>
    </row>
    <row r="179">
      <c r="A179" s="9" t="n">
        <v>176</v>
      </c>
      <c r="B179" s="10" t="inlineStr"/>
    </row>
    <row r="180">
      <c r="A180" s="7" t="n">
        <v>177</v>
      </c>
      <c r="B180" s="8" t="inlineStr">
        <is>
          <t xml:space="preserve">        # Progress更新處理器</t>
        </is>
      </c>
    </row>
    <row r="181">
      <c r="A181" s="9" t="n">
        <v>178</v>
      </c>
      <c r="B181" s="10" t="inlineStr">
        <is>
          <t xml:space="preserve">        def _progress_handler(data):</t>
        </is>
      </c>
    </row>
    <row r="182">
      <c r="A182" s="7" t="n">
        <v>179</v>
      </c>
      <c r="B182" s="8" t="inlineStr">
        <is>
          <t xml:space="preserve">            if data:</t>
        </is>
      </c>
    </row>
    <row r="183">
      <c r="A183" s="9" t="n">
        <v>180</v>
      </c>
      <c r="B183" s="10" t="inlineStr">
        <is>
          <t xml:space="preserve">                done = data.get("done", 0)</t>
        </is>
      </c>
    </row>
    <row r="184">
      <c r="A184" s="7" t="n">
        <v>181</v>
      </c>
      <c r="B184" s="8" t="inlineStr">
        <is>
          <t xml:space="preserve">                total = data.get("total", 1)</t>
        </is>
      </c>
    </row>
    <row r="185">
      <c r="A185" s="9" t="n">
        <v>182</v>
      </c>
      <c r="B185" s="10" t="inlineStr">
        <is>
          <t xml:space="preserve">                pct = int(done / max(total, 1) * 100)</t>
        </is>
      </c>
    </row>
    <row r="186">
      <c r="A186" s="7" t="n">
        <v>183</v>
      </c>
      <c r="B186" s="8" t="inlineStr">
        <is>
          <t xml:space="preserve">                print(f"\r[Progress] {pct}% ({done}/{total})", end="", flush=True)</t>
        </is>
      </c>
    </row>
    <row r="187">
      <c r="A187" s="9" t="n">
        <v>184</v>
      </c>
      <c r="B187" s="10" t="inlineStr"/>
    </row>
    <row r="188">
      <c r="A188" s="7" t="n">
        <v>185</v>
      </c>
      <c r="B188" s="8" t="inlineStr">
        <is>
          <t xml:space="preserve">        bus.subscribe(Events.PROGRESS_UPDATE, _progress_handler)</t>
        </is>
      </c>
    </row>
    <row r="189">
      <c r="A189" s="9" t="n">
        <v>186</v>
      </c>
      <c r="B189" s="10" t="inlineStr">
        <is>
          <t xml:space="preserve">    except Exception as e:</t>
        </is>
      </c>
    </row>
    <row r="190">
      <c r="A190" s="7" t="n">
        <v>187</v>
      </c>
      <c r="B190" s="8" t="inlineStr">
        <is>
          <t xml:space="preserve">        _log.warning(f"UI訂閱注冊失敗: {e}")</t>
        </is>
      </c>
    </row>
    <row r="191">
      <c r="A191" s="9" t="n">
        <v>188</v>
      </c>
      <c r="B191" s="10" t="inlineStr"/>
    </row>
    <row r="192">
      <c r="A192" s="7" t="n">
        <v>189</v>
      </c>
      <c r="B192" s="8" t="inlineStr"/>
    </row>
    <row r="193">
      <c r="A193" s="9" t="n">
        <v>190</v>
      </c>
      <c r="B193" s="10" t="inlineStr">
        <is>
          <t># ── 便捷函數 ──────────────────────────────────────</t>
        </is>
      </c>
    </row>
    <row r="194">
      <c r="A194" s="7" t="n">
        <v>191</v>
      </c>
      <c r="B194" s="8" t="inlineStr">
        <is>
          <t>def publish_progress(done: int, total: int, task_name: str = ""):</t>
        </is>
      </c>
    </row>
    <row r="195">
      <c r="A195" s="9" t="n">
        <v>192</v>
      </c>
      <c r="B195" s="10" t="inlineStr">
        <is>
          <t xml:space="preserve">    """便捷: 發布進度更新"""</t>
        </is>
      </c>
    </row>
    <row r="196">
      <c r="A196" s="7" t="n">
        <v>193</v>
      </c>
      <c r="B196" s="8" t="inlineStr">
        <is>
          <t xml:space="preserve">    try:</t>
        </is>
      </c>
    </row>
    <row r="197">
      <c r="A197" s="9" t="n">
        <v>194</v>
      </c>
      <c r="B197" s="10" t="inlineStr">
        <is>
          <t xml:space="preserve">        from core.event_bus import get_bus, Events</t>
        </is>
      </c>
    </row>
    <row r="198">
      <c r="A198" s="7" t="n">
        <v>195</v>
      </c>
      <c r="B198" s="8" t="inlineStr">
        <is>
          <t xml:space="preserve">        get_bus().publish(Events.PROGRESS_UPDATE, {</t>
        </is>
      </c>
    </row>
    <row r="199">
      <c r="A199" s="9" t="n">
        <v>196</v>
      </c>
      <c r="B199" s="10" t="inlineStr">
        <is>
          <t xml:space="preserve">            "done": done, "total": total, "task": task_name</t>
        </is>
      </c>
    </row>
    <row r="200">
      <c r="A200" s="7" t="n">
        <v>197</v>
      </c>
      <c r="B200" s="8" t="inlineStr">
        <is>
          <t xml:space="preserve">        })</t>
        </is>
      </c>
    </row>
    <row r="201">
      <c r="A201" s="9" t="n">
        <v>198</v>
      </c>
      <c r="B201" s="10" t="inlineStr">
        <is>
          <t xml:space="preserve">    except Exception:</t>
        </is>
      </c>
    </row>
    <row r="202">
      <c r="A202" s="7" t="n">
        <v>199</v>
      </c>
      <c r="B202" s="8" t="inlineStr">
        <is>
          <t xml:space="preserve">        pass</t>
        </is>
      </c>
    </row>
    <row r="203">
      <c r="A203" s="9" t="n">
        <v>200</v>
      </c>
      <c r="B203" s="10" t="inlineStr"/>
    </row>
    <row r="204">
      <c r="A204" s="7" t="n">
        <v>201</v>
      </c>
      <c r="B204" s="8" t="inlineStr"/>
    </row>
    <row r="205">
      <c r="A205" s="9" t="n">
        <v>202</v>
      </c>
      <c r="B205" s="10" t="inlineStr">
        <is>
          <t>def publish_log(module: str, level: str, message: str):</t>
        </is>
      </c>
    </row>
    <row r="206">
      <c r="A206" s="7" t="n">
        <v>203</v>
      </c>
      <c r="B206" s="8" t="inlineStr">
        <is>
          <t xml:space="preserve">    """便捷: 發布日誌消息到 EventBus"""</t>
        </is>
      </c>
    </row>
    <row r="207">
      <c r="A207" s="9" t="n">
        <v>204</v>
      </c>
      <c r="B207" s="10" t="inlineStr">
        <is>
          <t xml:space="preserve">    try:</t>
        </is>
      </c>
    </row>
    <row r="208">
      <c r="A208" s="7" t="n">
        <v>205</v>
      </c>
      <c r="B208" s="8" t="inlineStr">
        <is>
          <t xml:space="preserve">        from core.event_bus import get_bus, Events</t>
        </is>
      </c>
    </row>
    <row r="209">
      <c r="A209" s="9" t="n">
        <v>206</v>
      </c>
      <c r="B209" s="10" t="inlineStr">
        <is>
          <t xml:space="preserve">        get_bus().publish(Events.LOG_MESSAGE, {</t>
        </is>
      </c>
    </row>
    <row r="210">
      <c r="A210" s="7" t="n">
        <v>207</v>
      </c>
      <c r="B210" s="8" t="inlineStr">
        <is>
          <t xml:space="preserve">            "module": module, "level": level, "message": message</t>
        </is>
      </c>
    </row>
    <row r="211">
      <c r="A211" s="9" t="n">
        <v>208</v>
      </c>
      <c r="B211" s="10" t="inlineStr">
        <is>
          <t xml:space="preserve">        })</t>
        </is>
      </c>
    </row>
    <row r="212">
      <c r="A212" s="7" t="n">
        <v>209</v>
      </c>
      <c r="B212" s="8" t="inlineStr">
        <is>
          <t xml:space="preserve">    except Exception:</t>
        </is>
      </c>
    </row>
    <row r="213">
      <c r="A213" s="9" t="n">
        <v>210</v>
      </c>
      <c r="B213" s="10" t="inlineStr">
        <is>
          <t xml:space="preserve">        pass</t>
        </is>
      </c>
    </row>
    <row r="214">
      <c r="A214" s="7" t="n">
        <v>211</v>
      </c>
      <c r="B214" s="8" t="inlineStr"/>
    </row>
    <row r="215">
      <c r="A215" s="9" t="n">
        <v>212</v>
      </c>
      <c r="B215" s="10" t="inlineStr"/>
    </row>
    <row r="216">
      <c r="A216" s="7" t="n">
        <v>213</v>
      </c>
      <c r="B216" s="8" t="inlineStr">
        <is>
          <t>def publish_review_pending(count: int):</t>
        </is>
      </c>
    </row>
    <row r="217">
      <c r="A217" s="9" t="n">
        <v>214</v>
      </c>
      <c r="B217" s="10" t="inlineStr">
        <is>
          <t xml:space="preserve">    """便捷: 發布審核待處理通知"""</t>
        </is>
      </c>
    </row>
    <row r="218">
      <c r="A218" s="7" t="n">
        <v>215</v>
      </c>
      <c r="B218" s="8" t="inlineStr">
        <is>
          <t xml:space="preserve">    try:</t>
        </is>
      </c>
    </row>
    <row r="219">
      <c r="A219" s="9" t="n">
        <v>216</v>
      </c>
      <c r="B219" s="10" t="inlineStr">
        <is>
          <t xml:space="preserve">        from core.event_bus import get_bus, Events</t>
        </is>
      </c>
    </row>
    <row r="220">
      <c r="A220" s="7" t="n">
        <v>217</v>
      </c>
      <c r="B220" s="8" t="inlineStr">
        <is>
          <t xml:space="preserve">        get_bus().publish(Events.REVIEW_PENDING, {"count": count})</t>
        </is>
      </c>
    </row>
    <row r="221">
      <c r="A221" s="9" t="n">
        <v>218</v>
      </c>
      <c r="B221" s="10" t="inlineStr">
        <is>
          <t xml:space="preserve">    except Exception:</t>
        </is>
      </c>
    </row>
    <row r="222">
      <c r="A222" s="7" t="n">
        <v>219</v>
      </c>
      <c r="B222" s="8" t="inlineStr">
        <is>
          <t xml:space="preserve">        pass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core\frame_annotator.py</t>
        </is>
      </c>
      <c r="C1" s="5" t="inlineStr">
        <is>
          <t>行数: 309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全帧标注引擎 v4.0 (流式)</t>
        </is>
      </c>
    </row>
    <row r="6">
      <c r="A6" s="7" t="n">
        <v>3</v>
      </c>
      <c r="B6" s="8" t="inlineStr">
        <is>
          <t>抽帧即显 + 后台模型识别 + 实时标签更新 + 静默子进程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os, sys, json, time, sqlite3, threading, tempfile, shutil</t>
        </is>
      </c>
    </row>
    <row r="9">
      <c r="A9" s="9" t="n">
        <v>6</v>
      </c>
      <c r="B9" s="10" t="inlineStr">
        <is>
          <t>from utils.silent_subprocess import run as _silent_run</t>
        </is>
      </c>
    </row>
    <row r="10">
      <c r="A10" s="7" t="n">
        <v>7</v>
      </c>
      <c r="B10" s="8" t="inlineStr">
        <is>
          <t>from pathlib import Path</t>
        </is>
      </c>
    </row>
    <row r="11">
      <c r="A11" s="9" t="n">
        <v>8</v>
      </c>
      <c r="B11" s="10" t="inlineStr">
        <is>
          <t>from datetime import datetime</t>
        </is>
      </c>
    </row>
    <row r="12">
      <c r="A12" s="7" t="n">
        <v>9</v>
      </c>
      <c r="B12" s="8" t="inlineStr">
        <is>
          <t>from typing import List, Dict, Optional, Callable</t>
        </is>
      </c>
    </row>
    <row r="13">
      <c r="A13" s="9" t="n">
        <v>10</v>
      </c>
      <c r="B13" s="10" t="inlineStr">
        <is>
          <t>from dataclasses import dataclass, field</t>
        </is>
      </c>
    </row>
    <row r="14">
      <c r="A14" s="7" t="n">
        <v>11</v>
      </c>
      <c r="B14" s="8" t="inlineStr">
        <is>
          <t>from concurrent.futures import ThreadPoolExecutor, as_completed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@dataclass</t>
        </is>
      </c>
    </row>
    <row r="18">
      <c r="A18" s="7" t="n">
        <v>15</v>
      </c>
      <c r="B18" s="8" t="inlineStr">
        <is>
          <t>class FrameAnnotation:</t>
        </is>
      </c>
    </row>
    <row r="19">
      <c r="A19" s="9" t="n">
        <v>16</v>
      </c>
      <c r="B19" s="10" t="inlineStr">
        <is>
          <t xml:space="preserve">    frame_index: int = 0</t>
        </is>
      </c>
    </row>
    <row r="20">
      <c r="A20" s="7" t="n">
        <v>17</v>
      </c>
      <c r="B20" s="8" t="inlineStr">
        <is>
          <t xml:space="preserve">    timestamp_sec: float = 0.0</t>
        </is>
      </c>
    </row>
    <row r="21">
      <c r="A21" s="9" t="n">
        <v>18</v>
      </c>
      <c r="B21" s="10" t="inlineStr">
        <is>
          <t xml:space="preserve">    timestamp_str: str = "00:00:00.00"</t>
        </is>
      </c>
    </row>
    <row r="22">
      <c r="A22" s="7" t="n">
        <v>19</v>
      </c>
      <c r="B22" s="8" t="inlineStr">
        <is>
          <t xml:space="preserve">    frame_path: str = ""</t>
        </is>
      </c>
    </row>
    <row r="23">
      <c r="A23" s="9" t="n">
        <v>20</v>
      </c>
      <c r="B23" s="10" t="inlineStr">
        <is>
          <t xml:space="preserve">    model_tags: Dict[str, List[str]] = field(default_factory=dict)</t>
        </is>
      </c>
    </row>
    <row r="24">
      <c r="A24" s="7" t="n">
        <v>21</v>
      </c>
      <c r="B24" s="8" t="inlineStr">
        <is>
          <t xml:space="preserve">    user_tags: List[str] = field(default_factory=list)</t>
        </is>
      </c>
    </row>
    <row r="25">
      <c r="A25" s="9" t="n">
        <v>22</v>
      </c>
      <c r="B25" s="10" t="inlineStr">
        <is>
          <t xml:space="preserve">    edited: bool = False</t>
        </is>
      </c>
    </row>
    <row r="26">
      <c r="A26" s="7" t="n">
        <v>23</v>
      </c>
      <c r="B26" s="8" t="inlineStr">
        <is>
          <t xml:space="preserve">    score: int = 3</t>
        </is>
      </c>
    </row>
    <row r="27">
      <c r="A27" s="9" t="n">
        <v>24</v>
      </c>
      <c r="B27" s="10" t="inlineStr">
        <is>
          <t xml:space="preserve">    score_note: str = ""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class AnnotDB:</t>
        </is>
      </c>
    </row>
    <row r="31">
      <c r="A31" s="9" t="n">
        <v>28</v>
      </c>
      <c r="B31" s="10" t="inlineStr">
        <is>
          <t xml:space="preserve">    """标注数据库"""</t>
        </is>
      </c>
    </row>
    <row r="32">
      <c r="A32" s="7" t="n">
        <v>29</v>
      </c>
      <c r="B32" s="8" t="inlineStr">
        <is>
          <t xml:space="preserve">    def __init__(self, db_path="ai_material_library.db"):</t>
        </is>
      </c>
    </row>
    <row r="33">
      <c r="A33" s="9" t="n">
        <v>30</v>
      </c>
      <c r="B33" s="10" t="inlineStr">
        <is>
          <t xml:space="preserve">        self.db_path = db_path; self._init()</t>
        </is>
      </c>
    </row>
    <row r="34">
      <c r="A34" s="7" t="n">
        <v>31</v>
      </c>
      <c r="B34" s="8" t="inlineStr">
        <is>
          <t xml:space="preserve">    def _init(self):</t>
        </is>
      </c>
    </row>
    <row r="35">
      <c r="A35" s="9" t="n">
        <v>32</v>
      </c>
      <c r="B35" s="10" t="inlineStr">
        <is>
          <t xml:space="preserve">        with sqlite3.connect(self.db_path) as conn:</t>
        </is>
      </c>
    </row>
    <row r="36">
      <c r="A36" s="7" t="n">
        <v>33</v>
      </c>
      <c r="B36" s="8" t="inlineStr">
        <is>
          <t xml:space="preserve">            conn.executescript("""</t>
        </is>
      </c>
    </row>
    <row r="37">
      <c r="A37" s="9" t="n">
        <v>34</v>
      </c>
      <c r="B37" s="10" t="inlineStr">
        <is>
          <t xml:space="preserve">                CREATE TABLE IF NOT EXISTS video_annotations (</t>
        </is>
      </c>
    </row>
    <row r="38">
      <c r="A38" s="7" t="n">
        <v>35</v>
      </c>
      <c r="B38" s="8" t="inlineStr">
        <is>
          <t xml:space="preserve">                    id INTEGER PRIMARY KEY AUTOINCREMENT,</t>
        </is>
      </c>
    </row>
    <row r="39">
      <c r="A39" s="9" t="n">
        <v>36</v>
      </c>
      <c r="B39" s="10" t="inlineStr">
        <is>
          <t xml:space="preserve">                    video_path TEXT, video_name TEXT, frame_index INTEGER,</t>
        </is>
      </c>
    </row>
    <row r="40">
      <c r="A40" s="7" t="n">
        <v>37</v>
      </c>
      <c r="B40" s="8" t="inlineStr">
        <is>
          <t xml:space="preserve">                    timestamp_str TEXT, frame_path TEXT, tags TEXT,</t>
        </is>
      </c>
    </row>
    <row r="41">
      <c r="A41" s="9" t="n">
        <v>38</v>
      </c>
      <c r="B41" s="10" t="inlineStr">
        <is>
          <t xml:space="preserve">                    model_tags TEXT, score INTEGER DEFAULT 3, score_note TEXT,</t>
        </is>
      </c>
    </row>
    <row r="42">
      <c r="A42" s="7" t="n">
        <v>39</v>
      </c>
      <c r="B42" s="8" t="inlineStr">
        <is>
          <t xml:space="preserve">                    edited INTEGER DEFAULT 0, created_at TEXT DEFAULT CURRENT_TIMESTAMP</t>
        </is>
      </c>
    </row>
    <row r="43">
      <c r="A43" s="9" t="n">
        <v>40</v>
      </c>
      <c r="B43" s="10" t="inlineStr">
        <is>
          <t xml:space="preserve">                );</t>
        </is>
      </c>
    </row>
    <row r="44">
      <c r="A44" s="7" t="n">
        <v>41</v>
      </c>
      <c r="B44" s="8" t="inlineStr">
        <is>
          <t xml:space="preserve">                CREATE TABLE IF NOT EXISTS annotation_feedback (</t>
        </is>
      </c>
    </row>
    <row r="45">
      <c r="A45" s="9" t="n">
        <v>42</v>
      </c>
      <c r="B45" s="10" t="inlineStr">
        <is>
          <t xml:space="preserve">                    id INTEGER PRIMARY KEY AUTOINCREMENT,</t>
        </is>
      </c>
    </row>
    <row r="46">
      <c r="A46" s="7" t="n">
        <v>43</v>
      </c>
      <c r="B46" s="8" t="inlineStr">
        <is>
          <t xml:space="preserve">                    video_id TEXT, old_tag TEXT, new_tag TEXT,</t>
        </is>
      </c>
    </row>
    <row r="47">
      <c r="A47" s="9" t="n">
        <v>44</v>
      </c>
      <c r="B47" s="10" t="inlineStr">
        <is>
          <t xml:space="preserve">                    score INTEGER DEFAULT 3, user_note TEXT,</t>
        </is>
      </c>
    </row>
    <row r="48">
      <c r="A48" s="7" t="n">
        <v>45</v>
      </c>
      <c r="B48" s="8" t="inlineStr">
        <is>
          <t xml:space="preserve">                    created_at TEXT DEFAULT CURRENT_TIMESTAMP</t>
        </is>
      </c>
    </row>
    <row r="49">
      <c r="A49" s="9" t="n">
        <v>46</v>
      </c>
      <c r="B49" s="10" t="inlineStr">
        <is>
          <t xml:space="preserve">                );</t>
        </is>
      </c>
    </row>
    <row r="50">
      <c r="A50" s="7" t="n">
        <v>47</v>
      </c>
      <c r="B50" s="8" t="inlineStr">
        <is>
          <t xml:space="preserve">                CREATE TABLE IF NOT EXISTS tag_learning (</t>
        </is>
      </c>
    </row>
    <row r="51">
      <c r="A51" s="9" t="n">
        <v>48</v>
      </c>
      <c r="B51" s="10" t="inlineStr">
        <is>
          <t xml:space="preserve">                    id INTEGER PRIMARY KEY AUTOINCREMENT,</t>
        </is>
      </c>
    </row>
    <row r="52">
      <c r="A52" s="7" t="n">
        <v>49</v>
      </c>
      <c r="B52" s="8" t="inlineStr">
        <is>
          <t xml:space="preserve">                    tag TEXT UNIQUE, correct_count INTEGER DEFAULT 0,</t>
        </is>
      </c>
    </row>
    <row r="53">
      <c r="A53" s="9" t="n">
        <v>50</v>
      </c>
      <c r="B53" s="10" t="inlineStr">
        <is>
          <t xml:space="preserve">                    total_count INTEGER DEFAULT 0, accuracy REAL DEFAULT 0.0,</t>
        </is>
      </c>
    </row>
    <row r="54">
      <c r="A54" s="7" t="n">
        <v>51</v>
      </c>
      <c r="B54" s="8" t="inlineStr">
        <is>
          <t xml:space="preserve">                    last_updated TEXT DEFAULT CURRENT_TIMESTAMP</t>
        </is>
      </c>
    </row>
    <row r="55">
      <c r="A55" s="9" t="n">
        <v>52</v>
      </c>
      <c r="B55" s="10" t="inlineStr">
        <is>
          <t xml:space="preserve">                );</t>
        </is>
      </c>
    </row>
    <row r="56">
      <c r="A56" s="7" t="n">
        <v>53</v>
      </c>
      <c r="B56" s="8" t="inlineStr">
        <is>
          <t xml:space="preserve">            """)</t>
        </is>
      </c>
    </row>
    <row r="57">
      <c r="A57" s="9" t="n">
        <v>54</v>
      </c>
      <c r="B57" s="10" t="inlineStr">
        <is>
          <t xml:space="preserve">    def save_frame(self, video_path, video_name, ann):</t>
        </is>
      </c>
    </row>
    <row r="58">
      <c r="A58" s="7" t="n">
        <v>55</v>
      </c>
      <c r="B58" s="8" t="inlineStr">
        <is>
          <t xml:space="preserve">        with sqlite3.connect(self.db_path) as conn:</t>
        </is>
      </c>
    </row>
    <row r="59">
      <c r="A59" s="9" t="n">
        <v>56</v>
      </c>
      <c r="B59" s="10" t="inlineStr">
        <is>
          <t xml:space="preserve">            conn.execute("""INSERT OR REPLACE INTO video_annotations</t>
        </is>
      </c>
    </row>
    <row r="60">
      <c r="A60" s="7" t="n">
        <v>57</v>
      </c>
      <c r="B60" s="8" t="inlineStr">
        <is>
          <t xml:space="preserve">                (video_path,video_name,frame_index,timestamp_str,frame_path,tags,model_tags,score,score_note,edited)</t>
        </is>
      </c>
    </row>
    <row r="61">
      <c r="A61" s="9" t="n">
        <v>58</v>
      </c>
      <c r="B61" s="10" t="inlineStr">
        <is>
          <t xml:space="preserve">                VALUES (?,?,?,?,?,?,?,?,?,?)""",</t>
        </is>
      </c>
    </row>
    <row r="62">
      <c r="A62" s="7" t="n">
        <v>59</v>
      </c>
      <c r="B62" s="8" t="inlineStr">
        <is>
          <t xml:space="preserve">                (video_path, video_name, ann.frame_index, ann.timestamp_str, ann.frame_path,</t>
        </is>
      </c>
    </row>
    <row r="63">
      <c r="A63" s="9" t="n">
        <v>60</v>
      </c>
      <c r="B63" s="10" t="inlineStr">
        <is>
          <t xml:space="preserve">                 ",".join(ann.user_tags), json.dumps(ann.model_tags, ensure_ascii=False),</t>
        </is>
      </c>
    </row>
    <row r="64">
      <c r="A64" s="7" t="n">
        <v>61</v>
      </c>
      <c r="B64" s="8" t="inlineStr">
        <is>
          <t xml:space="preserve">                 ann.score, ann.score_note, 1 if ann.edited else 0))</t>
        </is>
      </c>
    </row>
    <row r="65">
      <c r="A65" s="9" t="n">
        <v>62</v>
      </c>
      <c r="B65" s="10" t="inlineStr">
        <is>
          <t xml:space="preserve">    def save_feedback(self, video_path, old_tag, new_tag, score, note=""):</t>
        </is>
      </c>
    </row>
    <row r="66">
      <c r="A66" s="7" t="n">
        <v>63</v>
      </c>
      <c r="B66" s="8" t="inlineStr">
        <is>
          <t xml:space="preserve">        with sqlite3.connect(self.db_path) as conn:</t>
        </is>
      </c>
    </row>
    <row r="67">
      <c r="A67" s="9" t="n">
        <v>64</v>
      </c>
      <c r="B67" s="10" t="inlineStr">
        <is>
          <t xml:space="preserve">            conn.execute("INSERT INTO annotation_feedback (video_id,old_tag,new_tag,score,user_note) VALUES (?,?,?,?,?)",</t>
        </is>
      </c>
    </row>
    <row r="68">
      <c r="A68" s="7" t="n">
        <v>65</v>
      </c>
      <c r="B68" s="8" t="inlineStr">
        <is>
          <t xml:space="preserve">                        (video_path, old_tag, new_tag, score, note))</t>
        </is>
      </c>
    </row>
    <row r="69">
      <c r="A69" s="9" t="n">
        <v>66</v>
      </c>
      <c r="B69" s="10" t="inlineStr">
        <is>
          <t xml:space="preserve">    def get_stats(self):</t>
        </is>
      </c>
    </row>
    <row r="70">
      <c r="A70" s="7" t="n">
        <v>67</v>
      </c>
      <c r="B70" s="8" t="inlineStr">
        <is>
          <t xml:space="preserve">        with sqlite3.connect(self.db_path) as conn:</t>
        </is>
      </c>
    </row>
    <row r="71">
      <c r="A71" s="9" t="n">
        <v>68</v>
      </c>
      <c r="B71" s="10" t="inlineStr">
        <is>
          <t xml:space="preserve">            total = conn.execute("SELECT COUNT(*) FROM video_annotations").fetchone()[0]</t>
        </is>
      </c>
    </row>
    <row r="72">
      <c r="A72" s="7" t="n">
        <v>69</v>
      </c>
      <c r="B72" s="8" t="inlineStr">
        <is>
          <t xml:space="preserve">            edited = conn.execute("SELECT COUNT(*) FROM video_annotations WHERE edited=1").fetchone()[0]</t>
        </is>
      </c>
    </row>
    <row r="73">
      <c r="A73" s="9" t="n">
        <v>70</v>
      </c>
      <c r="B73" s="10" t="inlineStr">
        <is>
          <t xml:space="preserve">            fb = conn.execute("SELECT COUNT(*) FROM annotation_feedback").fetchone()[0]</t>
        </is>
      </c>
    </row>
    <row r="74">
      <c r="A74" s="7" t="n">
        <v>71</v>
      </c>
      <c r="B74" s="8" t="inlineStr">
        <is>
          <t xml:space="preserve">            return {"total_frames": total, "edited_frames": edited, "feedback_count": fb}</t>
        </is>
      </c>
    </row>
    <row r="75">
      <c r="A75" s="9" t="n">
        <v>72</v>
      </c>
      <c r="B75" s="10" t="inlineStr">
        <is>
          <t xml:space="preserve">    def get_learning_stats(self):</t>
        </is>
      </c>
    </row>
    <row r="76">
      <c r="A76" s="7" t="n">
        <v>73</v>
      </c>
      <c r="B76" s="8" t="inlineStr">
        <is>
          <t xml:space="preserve">        with sqlite3.connect(self.db_path) as conn:</t>
        </is>
      </c>
    </row>
    <row r="77">
      <c r="A77" s="9" t="n">
        <v>74</v>
      </c>
      <c r="B77" s="10" t="inlineStr">
        <is>
          <t xml:space="preserve">            rows = conn.execute("SELECT tag, correct_count, total_count, accuracy FROM tag_learning ORDER BY accuracy DESC LIMIT 20").fetchall()</t>
        </is>
      </c>
    </row>
    <row r="78">
      <c r="A78" s="7" t="n">
        <v>75</v>
      </c>
      <c r="B78" s="8" t="inlineStr">
        <is>
          <t xml:space="preserve">            return [{"tag":r[0],"correct":r[1],"total":r[2],"accuracy":r[3]} for r in rows]</t>
        </is>
      </c>
    </row>
    <row r="79">
      <c r="A79" s="9" t="n">
        <v>76</v>
      </c>
      <c r="B79" s="10" t="inlineStr">
        <is>
          <t xml:space="preserve">    def update_learning(self, tag, is_correct):</t>
        </is>
      </c>
    </row>
    <row r="80">
      <c r="A80" s="7" t="n">
        <v>77</v>
      </c>
      <c r="B80" s="8" t="inlineStr">
        <is>
          <t xml:space="preserve">        with sqlite3.connect(self.db_path) as conn:</t>
        </is>
      </c>
    </row>
    <row r="81">
      <c r="A81" s="9" t="n">
        <v>78</v>
      </c>
      <c r="B81" s="10" t="inlineStr">
        <is>
          <t xml:space="preserve">            conn.execute("""INSERT INTO tag_learning (tag,correct_count,total_count,accuracy,last_updated)</t>
        </is>
      </c>
    </row>
    <row r="82">
      <c r="A82" s="7" t="n">
        <v>79</v>
      </c>
      <c r="B82" s="8" t="inlineStr">
        <is>
          <t xml:space="preserve">                VALUES (?,?,?,?,CURRENT_TIMESTAMP) ON CONFLICT(tag) DO UPDATE SET</t>
        </is>
      </c>
    </row>
    <row r="83">
      <c r="A83" s="9" t="n">
        <v>80</v>
      </c>
      <c r="B83" s="10" t="inlineStr">
        <is>
          <t xml:space="preserve">                correct_count=correct_count+?, total_count=total_count+1,</t>
        </is>
      </c>
    </row>
    <row r="84">
      <c r="A84" s="7" t="n">
        <v>81</v>
      </c>
      <c r="B84" s="8" t="inlineStr">
        <is>
          <t xml:space="preserve">                accuracy=CAST(correct_count+? AS REAL)/CAST(total_count+1 AS REAL),</t>
        </is>
      </c>
    </row>
    <row r="85">
      <c r="A85" s="9" t="n">
        <v>82</v>
      </c>
      <c r="B85" s="10" t="inlineStr">
        <is>
          <t xml:space="preserve">                last_updated=CURRENT_TIMESTAMP""",</t>
        </is>
      </c>
    </row>
    <row r="86">
      <c r="A86" s="7" t="n">
        <v>83</v>
      </c>
      <c r="B86" s="8" t="inlineStr">
        <is>
          <t xml:space="preserve">                (tag, 1 if is_correct else 0, 1 if is_correct else 0, 1 if is_correct else 0))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/>
    </row>
    <row r="89">
      <c r="A89" s="9" t="n">
        <v>86</v>
      </c>
      <c r="B89" s="10" t="inlineStr">
        <is>
          <t>class FrameAnnotator:</t>
        </is>
      </c>
    </row>
    <row r="90">
      <c r="A90" s="7" t="n">
        <v>87</v>
      </c>
      <c r="B90" s="8" t="inlineStr">
        <is>
          <t xml:space="preserve">    """全帧标注引擎 v4.0 — 流式抽帧+识别"""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 xml:space="preserve">    def __init__(self, progress_callback=None, frame_ready_callback=None,</t>
        </is>
      </c>
    </row>
    <row r="93">
      <c r="A93" s="9" t="n">
        <v>90</v>
      </c>
      <c r="B93" s="10" t="inlineStr">
        <is>
          <t xml:space="preserve">                 tag_ready_callback=None):</t>
        </is>
      </c>
    </row>
    <row r="94">
      <c r="A94" s="7" t="n">
        <v>91</v>
      </c>
      <c r="B94" s="8" t="inlineStr">
        <is>
          <t xml:space="preserve">        """</t>
        </is>
      </c>
    </row>
    <row r="95">
      <c r="A95" s="9" t="n">
        <v>92</v>
      </c>
      <c r="B95" s="10" t="inlineStr">
        <is>
          <t xml:space="preserve">        progress_callback(msg, pct)  — 全局进度</t>
        </is>
      </c>
    </row>
    <row r="96">
      <c r="A96" s="7" t="n">
        <v>93</v>
      </c>
      <c r="B96" s="8" t="inlineStr">
        <is>
          <t xml:space="preserve">        frame_ready_callback(frame_annotation) — 新帧就绪（含图片路径，立即调）</t>
        </is>
      </c>
    </row>
    <row r="97">
      <c r="A97" s="9" t="n">
        <v>94</v>
      </c>
      <c r="B97" s="10" t="inlineStr">
        <is>
          <t xml:space="preserve">        tag_ready_callback(frame_index, model_tags, user_tags) — 标签识别完成</t>
        </is>
      </c>
    </row>
    <row r="98">
      <c r="A98" s="7" t="n">
        <v>95</v>
      </c>
      <c r="B98" s="8" t="inlineStr">
        <is>
          <t xml:space="preserve">        """</t>
        </is>
      </c>
    </row>
    <row r="99">
      <c r="A99" s="9" t="n">
        <v>96</v>
      </c>
      <c r="B99" s="10" t="inlineStr">
        <is>
          <t xml:space="preserve">        self.progress_callback = progress_callback</t>
        </is>
      </c>
    </row>
    <row r="100">
      <c r="A100" s="7" t="n">
        <v>97</v>
      </c>
      <c r="B100" s="8" t="inlineStr">
        <is>
          <t xml:space="preserve">        self.frame_ready_callback = frame_ready_callback</t>
        </is>
      </c>
    </row>
    <row r="101">
      <c r="A101" s="9" t="n">
        <v>98</v>
      </c>
      <c r="B101" s="10" t="inlineStr">
        <is>
          <t xml:space="preserve">        self.tag_ready_callback = tag_ready_callback</t>
        </is>
      </c>
    </row>
    <row r="102">
      <c r="A102" s="7" t="n">
        <v>99</v>
      </c>
      <c r="B102" s="8" t="inlineStr">
        <is>
          <t xml:space="preserve">        self._cancel = False</t>
        </is>
      </c>
    </row>
    <row r="103">
      <c r="A103" s="9" t="n">
        <v>100</v>
      </c>
      <c r="B103" s="10" t="inlineStr">
        <is>
          <t xml:space="preserve">        self._frames = []</t>
        </is>
      </c>
    </row>
    <row r="104">
      <c r="A104" s="7" t="n">
        <v>101</v>
      </c>
      <c r="B104" s="8" t="inlineStr">
        <is>
          <t xml:space="preserve">        self._video_path = ""</t>
        </is>
      </c>
    </row>
    <row r="105">
      <c r="A105" s="9" t="n">
        <v>102</v>
      </c>
      <c r="B105" s="10" t="inlineStr">
        <is>
          <t xml:space="preserve">        self._video_name = ""</t>
        </is>
      </c>
    </row>
    <row r="106">
      <c r="A106" s="7" t="n">
        <v>103</v>
      </c>
      <c r="B106" s="8" t="inlineStr">
        <is>
          <t xml:space="preserve">        self._temp_dir = ""</t>
        </is>
      </c>
    </row>
    <row r="107">
      <c r="A107" s="9" t="n">
        <v>104</v>
      </c>
      <c r="B107" s="10" t="inlineStr">
        <is>
          <t xml:space="preserve">        self._models = []</t>
        </is>
      </c>
    </row>
    <row r="108">
      <c r="A108" s="7" t="n">
        <v>105</v>
      </c>
      <c r="B108" s="8" t="inlineStr">
        <is>
          <t xml:space="preserve">        self._db = AnnotDB()</t>
        </is>
      </c>
    </row>
    <row r="109">
      <c r="A109" s="9" t="n">
        <v>106</v>
      </c>
      <c r="B109" s="10" t="inlineStr">
        <is>
          <t xml:space="preserve">        self._vision = None</t>
        </is>
      </c>
    </row>
    <row r="110">
      <c r="A110" s="7" t="n">
        <v>107</v>
      </c>
      <c r="B110" s="8" t="inlineStr">
        <is>
          <t xml:space="preserve">        self._speech_text = ""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 xml:space="preserve">    @property</t>
        </is>
      </c>
    </row>
    <row r="113">
      <c r="A113" s="9" t="n">
        <v>110</v>
      </c>
      <c r="B113" s="10" t="inlineStr">
        <is>
          <t xml:space="preserve">    def frames(self): return self._frames</t>
        </is>
      </c>
    </row>
    <row r="114">
      <c r="A114" s="7" t="n">
        <v>111</v>
      </c>
      <c r="B114" s="8" t="inlineStr">
        <is>
          <t xml:space="preserve">    @property</t>
        </is>
      </c>
    </row>
    <row r="115">
      <c r="A115" s="9" t="n">
        <v>112</v>
      </c>
      <c r="B115" s="10" t="inlineStr">
        <is>
          <t xml:space="preserve">    def video_name(self): return self._video_name</t>
        </is>
      </c>
    </row>
    <row r="116">
      <c r="A116" s="7" t="n">
        <v>113</v>
      </c>
      <c r="B116" s="8" t="inlineStr">
        <is>
          <t xml:space="preserve">    def cancel(self): self._cancel = True</t>
        </is>
      </c>
    </row>
    <row r="117">
      <c r="A117" s="9" t="n">
        <v>114</v>
      </c>
      <c r="B117" s="10" t="inlineStr"/>
    </row>
    <row r="118">
      <c r="A118" s="7" t="n">
        <v>115</v>
      </c>
      <c r="B118" s="8" t="inlineStr">
        <is>
          <t xml:space="preserve">    def _report(self, msg, pct=0):</t>
        </is>
      </c>
    </row>
    <row r="119">
      <c r="A119" s="9" t="n">
        <v>116</v>
      </c>
      <c r="B119" s="10" t="inlineStr">
        <is>
          <t xml:space="preserve">        if self.progress_callback:</t>
        </is>
      </c>
    </row>
    <row r="120">
      <c r="A120" s="7" t="n">
        <v>117</v>
      </c>
      <c r="B120" s="8" t="inlineStr">
        <is>
          <t xml:space="preserve">            self.progress_callback(msg, pct)</t>
        </is>
      </c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 xml:space="preserve">    # ═══════════════════════════════════════</t>
        </is>
      </c>
    </row>
    <row r="123">
      <c r="A123" s="9" t="n">
        <v>120</v>
      </c>
      <c r="B123" s="10" t="inlineStr">
        <is>
          <t xml:space="preserve">    # Step 1: 抽帧 (快速，低分辨率)</t>
        </is>
      </c>
    </row>
    <row r="124">
      <c r="A124" s="7" t="n">
        <v>121</v>
      </c>
      <c r="B124" s="8" t="inlineStr">
        <is>
          <t xml:space="preserve">    # ═══════════════════════════════════════</t>
        </is>
      </c>
    </row>
    <row r="125">
      <c r="A125" s="9" t="n">
        <v>122</v>
      </c>
      <c r="B125" s="10" t="inlineStr">
        <is>
          <t xml:space="preserve">    def extract_frames(self, video_path, interval=2.0, max_frames=30, low_res=True):</t>
        </is>
      </c>
    </row>
    <row r="126">
      <c r="A126" s="7" t="n">
        <v>123</v>
      </c>
      <c r="B126" s="8" t="inlineStr">
        <is>
          <t xml:space="preserve">        """FFmpeg抽帧 — 2s间隔, 30帧上限, 640宽低分辨率, 静默"""</t>
        </is>
      </c>
    </row>
    <row r="127">
      <c r="A127" s="9" t="n">
        <v>124</v>
      </c>
      <c r="B127" s="10" t="inlineStr">
        <is>
          <t xml:space="preserve">        self._video_path = video_path</t>
        </is>
      </c>
    </row>
    <row r="128">
      <c r="A128" s="7" t="n">
        <v>125</v>
      </c>
      <c r="B128" s="8" t="inlineStr">
        <is>
          <t xml:space="preserve">        self._video_name = Path(video_path).stem</t>
        </is>
      </c>
    </row>
    <row r="129">
      <c r="A129" s="9" t="n">
        <v>126</v>
      </c>
      <c r="B129" s="10" t="inlineStr">
        <is>
          <t xml:space="preserve">        self._frames = []</t>
        </is>
      </c>
    </row>
    <row r="130">
      <c r="A130" s="7" t="n">
        <v>127</v>
      </c>
      <c r="B130" s="8" t="inlineStr">
        <is>
          <t xml:space="preserve">        self._cancel = False</t>
        </is>
      </c>
    </row>
    <row r="131">
      <c r="A131" s="9" t="n">
        <v>128</v>
      </c>
      <c r="B131" s="10" t="inlineStr">
        <is>
          <t xml:space="preserve">        self._temp_dir = tempfile.mkdtemp(prefix=f"tf_{self._video_name}_")</t>
        </is>
      </c>
    </row>
    <row r="132">
      <c r="A132" s="7" t="n">
        <v>129</v>
      </c>
      <c r="B132" s="8" t="inlineStr">
        <is>
          <t xml:space="preserve">        self._report(f"抽帧中 (间隔{interval}s, 上限{max_frames})...", 0.02)</t>
        </is>
      </c>
    </row>
    <row r="133">
      <c r="A133" s="9" t="n">
        <v>130</v>
      </c>
      <c r="B133" s="10" t="inlineStr">
        <is>
          <t xml:space="preserve">        try:</t>
        </is>
      </c>
    </row>
    <row r="134">
      <c r="A134" s="7" t="n">
        <v>131</v>
      </c>
      <c r="B134" s="8" t="inlineStr">
        <is>
          <t xml:space="preserve">            dur = self._get_duration(video_path)</t>
        </is>
      </c>
    </row>
    <row r="135">
      <c r="A135" s="9" t="n">
        <v>132</v>
      </c>
      <c r="B135" s="10" t="inlineStr">
        <is>
          <t xml:space="preserve">            if dur &lt;= 0: self._report("无法获取视频时长", 0); return 0</t>
        </is>
      </c>
    </row>
    <row r="136">
      <c r="A136" s="7" t="n">
        <v>133</v>
      </c>
      <c r="B136" s="8" t="inlineStr">
        <is>
          <t xml:space="preserve">            actual_interval = max(interval, dur / max_frames)</t>
        </is>
      </c>
    </row>
    <row r="137">
      <c r="A137" s="9" t="n">
        <v>134</v>
      </c>
      <c r="B137" s="10" t="inlineStr">
        <is>
          <t xml:space="preserve">            out_pattern = os.path.join(self._temp_dir, "f_%05d.jpg")</t>
        </is>
      </c>
    </row>
    <row r="138">
      <c r="A138" s="7" t="n">
        <v>135</v>
      </c>
      <c r="B138" s="8" t="inlineStr">
        <is>
          <t xml:space="preserve">            vf = f"fps=1/{actual_interval}"</t>
        </is>
      </c>
    </row>
    <row r="139">
      <c r="A139" s="9" t="n">
        <v>136</v>
      </c>
      <c r="B139" s="10" t="inlineStr">
        <is>
          <t xml:space="preserve">            if low_res: vf += ",scale=640:-1"</t>
        </is>
      </c>
    </row>
    <row r="140">
      <c r="A140" s="7" t="n">
        <v>137</v>
      </c>
      <c r="B140" s="8" t="inlineStr">
        <is>
          <t xml:space="preserve">            _silent_run(</t>
        </is>
      </c>
    </row>
    <row r="141">
      <c r="A141" s="9" t="n">
        <v>138</v>
      </c>
      <c r="B141" s="10" t="inlineStr">
        <is>
          <t xml:space="preserve">                ["ffmpeg","-y","-i",video_path,"-vf",vf,"-q:v","2",</t>
        </is>
      </c>
    </row>
    <row r="142">
      <c r="A142" s="7" t="n">
        <v>139</v>
      </c>
      <c r="B142" s="8" t="inlineStr">
        <is>
          <t xml:space="preserve">                 "-frames:v", str(max_frames), out_pattern],</t>
        </is>
      </c>
    </row>
    <row r="143">
      <c r="A143" s="9" t="n">
        <v>140</v>
      </c>
      <c r="B143" s="10" t="inlineStr">
        <is>
          <t xml:space="preserve">                capture_output=True, timeout=60)</t>
        </is>
      </c>
    </row>
    <row r="144">
      <c r="A144" s="7" t="n">
        <v>141</v>
      </c>
      <c r="B144" s="8" t="inlineStr">
        <is>
          <t xml:space="preserve">            frame_files = sorted(Path(self._temp_dir).glob("f_*.jpg"))</t>
        </is>
      </c>
    </row>
    <row r="145">
      <c r="A145" s="9" t="n">
        <v>142</v>
      </c>
      <c r="B145" s="10" t="inlineStr">
        <is>
          <t xml:space="preserve">            for i, fp in enumerate(frame_files):</t>
        </is>
      </c>
    </row>
    <row r="146">
      <c r="A146" s="7" t="n">
        <v>143</v>
      </c>
      <c r="B146" s="8" t="inlineStr">
        <is>
          <t xml:space="preserve">                if self._cancel: break</t>
        </is>
      </c>
    </row>
    <row r="147">
      <c r="A147" s="9" t="n">
        <v>144</v>
      </c>
      <c r="B147" s="10" t="inlineStr">
        <is>
          <t xml:space="preserve">                ts = i * actual_interval</t>
        </is>
      </c>
    </row>
    <row r="148">
      <c r="A148" s="7" t="n">
        <v>145</v>
      </c>
      <c r="B148" s="8" t="inlineStr">
        <is>
          <t xml:space="preserve">                ann = FrameAnnotation(</t>
        </is>
      </c>
    </row>
    <row r="149">
      <c r="A149" s="9" t="n">
        <v>146</v>
      </c>
      <c r="B149" s="10" t="inlineStr">
        <is>
          <t xml:space="preserve">                    frame_index=i, timestamp_sec=round(ts, 2),</t>
        </is>
      </c>
    </row>
    <row r="150">
      <c r="A150" s="7" t="n">
        <v>147</v>
      </c>
      <c r="B150" s="8" t="inlineStr">
        <is>
          <t xml:space="preserve">                    timestamp_str=self._fmt_ts(ts), frame_path=str(fp))</t>
        </is>
      </c>
    </row>
    <row r="151">
      <c r="A151" s="9" t="n">
        <v>148</v>
      </c>
      <c r="B151" s="10" t="inlineStr">
        <is>
          <t xml:space="preserve">                self._frames.append(ann)</t>
        </is>
      </c>
    </row>
    <row r="152">
      <c r="A152" s="7" t="n">
        <v>149</v>
      </c>
      <c r="B152" s="8" t="inlineStr">
        <is>
          <t xml:space="preserve">                # 每抽一帧立即回调 UI 显示</t>
        </is>
      </c>
    </row>
    <row r="153">
      <c r="A153" s="9" t="n">
        <v>150</v>
      </c>
      <c r="B153" s="10" t="inlineStr">
        <is>
          <t xml:space="preserve">                if self.frame_ready_callback:</t>
        </is>
      </c>
    </row>
    <row r="154">
      <c r="A154" s="7" t="n">
        <v>151</v>
      </c>
      <c r="B154" s="8" t="inlineStr">
        <is>
          <t xml:space="preserve">                    self.frame_ready_callback(ann)</t>
        </is>
      </c>
    </row>
    <row r="155">
      <c r="A155" s="9" t="n">
        <v>152</v>
      </c>
      <c r="B155" s="10" t="inlineStr">
        <is>
          <t xml:space="preserve">                self._report(f"抽帧 {i+1}/{len(frame_files)}", 0.02 + 0.08 * ((i+1)/max(len(frame_files),1)))</t>
        </is>
      </c>
    </row>
    <row r="156">
      <c r="A156" s="7" t="n">
        <v>153</v>
      </c>
      <c r="B156" s="8" t="inlineStr">
        <is>
          <t xml:space="preserve">            self._report(f"抽帧完成: {len(self._frames)}帧", 0.10)</t>
        </is>
      </c>
    </row>
    <row r="157">
      <c r="A157" s="9" t="n">
        <v>154</v>
      </c>
      <c r="B157" s="10" t="inlineStr">
        <is>
          <t xml:space="preserve">            return len(self._frames)</t>
        </is>
      </c>
    </row>
    <row r="158">
      <c r="A158" s="7" t="n">
        <v>155</v>
      </c>
      <c r="B158" s="8" t="inlineStr">
        <is>
          <t xml:space="preserve">        except Exception as e:</t>
        </is>
      </c>
    </row>
    <row r="159">
      <c r="A159" s="9" t="n">
        <v>156</v>
      </c>
      <c r="B159" s="10" t="inlineStr">
        <is>
          <t xml:space="preserve">            self.cleanup()  # Clean up temp dir on failure</t>
        </is>
      </c>
    </row>
    <row r="160">
      <c r="A160" s="7" t="n">
        <v>157</v>
      </c>
      <c r="B160" s="8" t="inlineStr">
        <is>
          <t xml:space="preserve">            self._report(f"抽帧失败: {e}", 0); return 0</t>
        </is>
      </c>
    </row>
    <row r="161">
      <c r="A161" s="9" t="n">
        <v>158</v>
      </c>
      <c r="B161" s="10" t="inlineStr"/>
    </row>
    <row r="162">
      <c r="A162" s="7" t="n">
        <v>159</v>
      </c>
      <c r="B162" s="8" t="inlineStr">
        <is>
          <t xml:space="preserve">    def extract_quick_test(self, video_path):</t>
        </is>
      </c>
    </row>
    <row r="163">
      <c r="A163" s="9" t="n">
        <v>160</v>
      </c>
      <c r="B163" s="10" t="inlineStr">
        <is>
          <t xml:space="preserve">        return self.extract_frames(video_path, interval=2.0, max_frames=10, low_res=True)</t>
        </is>
      </c>
    </row>
    <row r="164">
      <c r="A164" s="7" t="n">
        <v>161</v>
      </c>
      <c r="B164" s="8" t="inlineStr"/>
    </row>
    <row r="165">
      <c r="A165" s="9" t="n">
        <v>162</v>
      </c>
      <c r="B165" s="10" t="inlineStr">
        <is>
          <t xml:space="preserve">    # ═══════════════════════════════════════</t>
        </is>
      </c>
    </row>
    <row r="166">
      <c r="A166" s="7" t="n">
        <v>163</v>
      </c>
      <c r="B166" s="8" t="inlineStr">
        <is>
          <t xml:space="preserve">    # Step 2: 模型初始化 (后台)</t>
        </is>
      </c>
    </row>
    <row r="167">
      <c r="A167" s="9" t="n">
        <v>164</v>
      </c>
      <c r="B167" s="10" t="inlineStr">
        <is>
          <t xml:space="preserve">    # ═══════════════════════════════════════</t>
        </is>
      </c>
    </row>
    <row r="168">
      <c r="A168" s="7" t="n">
        <v>165</v>
      </c>
      <c r="B168" s="8" t="inlineStr">
        <is>
          <t xml:space="preserve">    def init_models(self) -&gt; List[str]:</t>
        </is>
      </c>
    </row>
    <row r="169">
      <c r="A169" s="9" t="n">
        <v>166</v>
      </c>
      <c r="B169" s="10" t="inlineStr">
        <is>
          <t xml:space="preserve">        """初始化所有模型，返回可用模型列表"""</t>
        </is>
      </c>
    </row>
    <row r="170">
      <c r="A170" s="7" t="n">
        <v>167</v>
      </c>
      <c r="B170" s="8" t="inlineStr">
        <is>
          <t xml:space="preserve">        self._models = []</t>
        </is>
      </c>
    </row>
    <row r="171">
      <c r="A171" s="9" t="n">
        <v>168</v>
      </c>
      <c r="B171" s="10" t="inlineStr">
        <is>
          <t xml:space="preserve">        try:</t>
        </is>
      </c>
    </row>
    <row r="172">
      <c r="A172" s="7" t="n">
        <v>169</v>
      </c>
      <c r="B172" s="8" t="inlineStr">
        <is>
          <t xml:space="preserve">            from core.vision_unified import VisionModel</t>
        </is>
      </c>
    </row>
    <row r="173">
      <c r="A173" s="9" t="n">
        <v>170</v>
      </c>
      <c r="B173" s="10" t="inlineStr">
        <is>
          <t xml:space="preserve">            self._vision = VisionModel()</t>
        </is>
      </c>
    </row>
    <row r="174">
      <c r="A174" s="7" t="n">
        <v>171</v>
      </c>
      <c r="B174" s="8" t="inlineStr">
        <is>
          <t xml:space="preserve">            if self._vision.available:</t>
        </is>
      </c>
    </row>
    <row r="175">
      <c r="A175" s="9" t="n">
        <v>172</v>
      </c>
      <c r="B175" s="10" t="inlineStr">
        <is>
          <t xml:space="preserve">                self._models.append(self._vision._loaded or "VisionModel")</t>
        </is>
      </c>
    </row>
    <row r="176">
      <c r="A176" s="7" t="n">
        <v>173</v>
      </c>
      <c r="B176" s="8" t="inlineStr">
        <is>
          <t xml:space="preserve">        except Exception: pass  # Model unavailable — non-critical</t>
        </is>
      </c>
    </row>
    <row r="177">
      <c r="A177" s="9" t="n">
        <v>174</v>
      </c>
      <c r="B177" s="10" t="inlineStr">
        <is>
          <t xml:space="preserve">        self._models.append("KnowledgeBridge")</t>
        </is>
      </c>
    </row>
    <row r="178">
      <c r="A178" s="7" t="n">
        <v>175</v>
      </c>
      <c r="B178" s="8" t="inlineStr">
        <is>
          <t xml:space="preserve">        # Whisper</t>
        </is>
      </c>
    </row>
    <row r="179">
      <c r="A179" s="9" t="n">
        <v>176</v>
      </c>
      <c r="B179" s="10" t="inlineStr">
        <is>
          <t xml:space="preserve">        self._speech_text = ""</t>
        </is>
      </c>
    </row>
    <row r="180">
      <c r="A180" s="7" t="n">
        <v>177</v>
      </c>
      <c r="B180" s="8" t="inlineStr">
        <is>
          <t xml:space="preserve">        try:</t>
        </is>
      </c>
    </row>
    <row r="181">
      <c r="A181" s="9" t="n">
        <v>178</v>
      </c>
      <c r="B181" s="10" t="inlineStr">
        <is>
          <t xml:space="preserve">            from core.audio_models import WhisperModel</t>
        </is>
      </c>
    </row>
    <row r="182">
      <c r="A182" s="7" t="n">
        <v>179</v>
      </c>
      <c r="B182" s="8" t="inlineStr">
        <is>
          <t xml:space="preserve">            w = WhisperModel()</t>
        </is>
      </c>
    </row>
    <row r="183">
      <c r="A183" s="9" t="n">
        <v>180</v>
      </c>
      <c r="B183" s="10" t="inlineStr">
        <is>
          <t xml:space="preserve">            if w.available:</t>
        </is>
      </c>
    </row>
    <row r="184">
      <c r="A184" s="7" t="n">
        <v>181</v>
      </c>
      <c r="B184" s="8" t="inlineStr">
        <is>
          <t xml:space="preserve">                self._models.append("Whisper")</t>
        </is>
      </c>
    </row>
    <row r="185">
      <c r="A185" s="9" t="n">
        <v>182</v>
      </c>
      <c r="B185" s="10" t="inlineStr">
        <is>
          <t xml:space="preserve">                result = w.transcribe(self._video_path)</t>
        </is>
      </c>
    </row>
    <row r="186">
      <c r="A186" s="7" t="n">
        <v>183</v>
      </c>
      <c r="B186" s="8" t="inlineStr">
        <is>
          <t xml:space="preserve">                self._speech_text = result.transcript</t>
        </is>
      </c>
    </row>
    <row r="187">
      <c r="A187" s="9" t="n">
        <v>184</v>
      </c>
      <c r="B187" s="10" t="inlineStr">
        <is>
          <t xml:space="preserve">        except Exception: pass  # Model unavailable — non-critical</t>
        </is>
      </c>
    </row>
    <row r="188">
      <c r="A188" s="7" t="n">
        <v>185</v>
      </c>
      <c r="B188" s="8" t="inlineStr">
        <is>
          <t xml:space="preserve">        self._report(f"模型就绪: {self._models}", 0.12)</t>
        </is>
      </c>
    </row>
    <row r="189">
      <c r="A189" s="9" t="n">
        <v>186</v>
      </c>
      <c r="B189" s="10" t="inlineStr">
        <is>
          <t xml:space="preserve">        return self._models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 xml:space="preserve">    # ═══════════════════════════════════════</t>
        </is>
      </c>
    </row>
    <row r="192">
      <c r="A192" s="7" t="n">
        <v>189</v>
      </c>
      <c r="B192" s="8" t="inlineStr">
        <is>
          <t xml:space="preserve">    # Step 3: 流式识别 (并发, 每完成一帧立即回调)</t>
        </is>
      </c>
    </row>
    <row r="193">
      <c r="A193" s="9" t="n">
        <v>190</v>
      </c>
      <c r="B193" s="10" t="inlineStr">
        <is>
          <t xml:space="preserve">    # ═══════════════════════════════════════</t>
        </is>
      </c>
    </row>
    <row r="194">
      <c r="A194" s="7" t="n">
        <v>191</v>
      </c>
      <c r="B194" s="8" t="inlineStr">
        <is>
          <t xml:space="preserve">    def run_models_streaming(self, max_workers=2):</t>
        </is>
      </c>
    </row>
    <row r="195">
      <c r="A195" s="9" t="n">
        <v>192</v>
      </c>
      <c r="B195" s="10" t="inlineStr">
        <is>
          <t xml:space="preserve">        """并发识别所有帧 — 每完成一帧立即通过 tag_ready_callback 通知UI"""</t>
        </is>
      </c>
    </row>
    <row r="196">
      <c r="A196" s="7" t="n">
        <v>193</v>
      </c>
      <c r="B196" s="8" t="inlineStr">
        <is>
          <t xml:space="preserve">        if not self._frames: return 0</t>
        </is>
      </c>
    </row>
    <row r="197">
      <c r="A197" s="9" t="n">
        <v>194</v>
      </c>
      <c r="B197" s="10" t="inlineStr">
        <is>
          <t xml:space="preserve">        if not self._vision:</t>
        </is>
      </c>
    </row>
    <row r="198">
      <c r="A198" s="7" t="n">
        <v>195</v>
      </c>
      <c r="B198" s="8" t="inlineStr">
        <is>
          <t xml:space="preserve">            self.init_models()</t>
        </is>
      </c>
    </row>
    <row r="199">
      <c r="A199" s="9" t="n">
        <v>196</v>
      </c>
      <c r="B199" s="10" t="inlineStr">
        <is>
          <t xml:space="preserve">        total = len(self._frames)</t>
        </is>
      </c>
    </row>
    <row r="200">
      <c r="A200" s="7" t="n">
        <v>197</v>
      </c>
      <c r="B200" s="8" t="inlineStr">
        <is>
          <t xml:space="preserve">        done = [0]</t>
        </is>
      </c>
    </row>
    <row r="201">
      <c r="A201" s="9" t="n">
        <v>198</v>
      </c>
      <c r="B201" s="10" t="inlineStr"/>
    </row>
    <row r="202">
      <c r="A202" s="7" t="n">
        <v>199</v>
      </c>
      <c r="B202" s="8" t="inlineStr">
        <is>
          <t xml:space="preserve">        def _recognize_one(ann: FrameAnnotation) -&gt; FrameAnnotation:</t>
        </is>
      </c>
    </row>
    <row r="203">
      <c r="A203" s="9" t="n">
        <v>200</v>
      </c>
      <c r="B203" s="10" t="inlineStr">
        <is>
          <t xml:space="preserve">            if self._cancel: return ann</t>
        </is>
      </c>
    </row>
    <row r="204">
      <c r="A204" s="7" t="n">
        <v>201</v>
      </c>
      <c r="B204" s="8" t="inlineStr">
        <is>
          <t xml:space="preserve">            # VisionModel</t>
        </is>
      </c>
    </row>
    <row r="205">
      <c r="A205" s="9" t="n">
        <v>202</v>
      </c>
      <c r="B205" s="10" t="inlineStr">
        <is>
          <t xml:space="preserve">            if self._vision and self._vision.available:</t>
        </is>
      </c>
    </row>
    <row r="206">
      <c r="A206" s="7" t="n">
        <v>203</v>
      </c>
      <c r="B206" s="8" t="inlineStr">
        <is>
          <t xml:space="preserve">                try:</t>
        </is>
      </c>
    </row>
    <row r="207">
      <c r="A207" s="9" t="n">
        <v>204</v>
      </c>
      <c r="B207" s="10" t="inlineStr">
        <is>
          <t xml:space="preserve">                    r = self._vision.analyze(ann.frame_path)</t>
        </is>
      </c>
    </row>
    <row r="208">
      <c r="A208" s="7" t="n">
        <v>205</v>
      </c>
      <c r="B208" s="8" t="inlineStr">
        <is>
          <t xml:space="preserve">                    tags = r.get("objects",[]) + r.get("materials",[]) + r.get("colors",[])</t>
        </is>
      </c>
    </row>
    <row r="209">
      <c r="A209" s="9" t="n">
        <v>206</v>
      </c>
      <c r="B209" s="10" t="inlineStr">
        <is>
          <t xml:space="preserve">                    if r.get("style"): tags.append(r["style"])</t>
        </is>
      </c>
    </row>
    <row r="210">
      <c r="A210" s="7" t="n">
        <v>207</v>
      </c>
      <c r="B210" s="8" t="inlineStr">
        <is>
          <t xml:space="preserve">                    if r.get("caption"): tags.append(r["caption"][:50])</t>
        </is>
      </c>
    </row>
    <row r="211">
      <c r="A211" s="9" t="n">
        <v>208</v>
      </c>
      <c r="B211" s="10" t="inlineStr">
        <is>
          <t xml:space="preserve">                    ann.model_tags[self._vision._loaded or "Vision"] = list(set(tags))[:10]</t>
        </is>
      </c>
    </row>
    <row r="212">
      <c r="A212" s="7" t="n">
        <v>209</v>
      </c>
      <c r="B212" s="8" t="inlineStr">
        <is>
          <t xml:space="preserve">                except Exception:</t>
        </is>
      </c>
    </row>
    <row r="213">
      <c r="A213" s="9" t="n">
        <v>210</v>
      </c>
      <c r="B213" s="10" t="inlineStr">
        <is>
          <t xml:space="preserve">                    pass  # Model unavailable, non-critical</t>
        </is>
      </c>
    </row>
    <row r="214">
      <c r="A214" s="7" t="n">
        <v>211</v>
      </c>
      <c r="B214" s="8" t="inlineStr">
        <is>
          <t xml:space="preserve">            # KnowledgeBridge</t>
        </is>
      </c>
    </row>
    <row r="215">
      <c r="A215" s="9" t="n">
        <v>212</v>
      </c>
      <c r="B215" s="10" t="inlineStr">
        <is>
          <t xml:space="preserve">            try:</t>
        </is>
      </c>
    </row>
    <row r="216">
      <c r="A216" s="7" t="n">
        <v>213</v>
      </c>
      <c r="B216" s="8" t="inlineStr">
        <is>
          <t xml:space="preserve">                from core.classifier import classify</t>
        </is>
      </c>
    </row>
    <row r="217">
      <c r="A217" s="9" t="n">
        <v>214</v>
      </c>
      <c r="B217" s="10" t="inlineStr">
        <is>
          <t xml:space="preserve">                all_tags = []</t>
        </is>
      </c>
    </row>
    <row r="218">
      <c r="A218" s="7" t="n">
        <v>215</v>
      </c>
      <c r="B218" s="8" t="inlineStr">
        <is>
          <t xml:space="preserve">                for t in ann.model_tags.values(): all_tags.extend(t)</t>
        </is>
      </c>
    </row>
    <row r="219">
      <c r="A219" s="9" t="n">
        <v>216</v>
      </c>
      <c r="B219" s="10" t="inlineStr">
        <is>
          <t xml:space="preserve">                searchable = " ".join(all_tags) + " " + self._speech_text[:200]</t>
        </is>
      </c>
    </row>
    <row r="220">
      <c r="A220" s="7" t="n">
        <v>217</v>
      </c>
      <c r="B220" s="8" t="inlineStr">
        <is>
          <t xml:space="preserve">                if searchable.strip():</t>
        </is>
      </c>
    </row>
    <row r="221">
      <c r="A221" s="9" t="n">
        <v>218</v>
      </c>
      <c r="B221" s="10" t="inlineStr">
        <is>
          <t xml:space="preserve">                    r = classify(searchable)</t>
        </is>
      </c>
    </row>
    <row r="222">
      <c r="A222" s="7" t="n">
        <v>219</v>
      </c>
      <c r="B222" s="8" t="inlineStr">
        <is>
          <t xml:space="preserve">                    if r["data"] and not r["data"][0]["unclassified"]:</t>
        </is>
      </c>
    </row>
    <row r="223">
      <c r="A223" s="9" t="n">
        <v>220</v>
      </c>
      <c r="B223" s="10" t="inlineStr">
        <is>
          <t xml:space="preserve">                        ann.model_tags["KnowledgeBridge"] = [c["keyword"] for c in r["data"][0]["categories"]][:8]</t>
        </is>
      </c>
    </row>
    <row r="224">
      <c r="A224" s="7" t="n">
        <v>221</v>
      </c>
      <c r="B224" s="8" t="inlineStr">
        <is>
          <t xml:space="preserve">            except Exception: pass  # Model unavailable — non-critical</t>
        </is>
      </c>
    </row>
    <row r="225">
      <c r="A225" s="9" t="n">
        <v>222</v>
      </c>
      <c r="B225" s="10" t="inlineStr">
        <is>
          <t xml:space="preserve">            # 合并标签</t>
        </is>
      </c>
    </row>
    <row r="226">
      <c r="A226" s="7" t="n">
        <v>223</v>
      </c>
      <c r="B226" s="8" t="inlineStr">
        <is>
          <t xml:space="preserve">            merged = set()</t>
        </is>
      </c>
    </row>
    <row r="227">
      <c r="A227" s="9" t="n">
        <v>224</v>
      </c>
      <c r="B227" s="10" t="inlineStr">
        <is>
          <t xml:space="preserve">            for tags in ann.model_tags.values(): merged.update(tags)</t>
        </is>
      </c>
    </row>
    <row r="228">
      <c r="A228" s="7" t="n">
        <v>225</v>
      </c>
      <c r="B228" s="8" t="inlineStr">
        <is>
          <t xml:space="preserve">            ann.user_tags = list(merged)[:15]</t>
        </is>
      </c>
    </row>
    <row r="229">
      <c r="A229" s="9" t="n">
        <v>226</v>
      </c>
      <c r="B229" s="10" t="inlineStr">
        <is>
          <t xml:space="preserve">            # 回调UI</t>
        </is>
      </c>
    </row>
    <row r="230">
      <c r="A230" s="7" t="n">
        <v>227</v>
      </c>
      <c r="B230" s="8" t="inlineStr">
        <is>
          <t xml:space="preserve">            if self.tag_ready_callback:</t>
        </is>
      </c>
    </row>
    <row r="231">
      <c r="A231" s="9" t="n">
        <v>228</v>
      </c>
      <c r="B231" s="10" t="inlineStr">
        <is>
          <t xml:space="preserve">                self.tag_ready_callback(ann.frame_index, ann.model_tags, ann.user_tags)</t>
        </is>
      </c>
    </row>
    <row r="232">
      <c r="A232" s="7" t="n">
        <v>229</v>
      </c>
      <c r="B232" s="8" t="inlineStr">
        <is>
          <t xml:space="preserve">            done[0] += 1</t>
        </is>
      </c>
    </row>
    <row r="233">
      <c r="A233" s="9" t="n">
        <v>230</v>
      </c>
      <c r="B233" s="10" t="inlineStr">
        <is>
          <t xml:space="preserve">            self._report(f"识别 {done[0]}/{total}", 0.12 + 0.85 * (done[0]/total))</t>
        </is>
      </c>
    </row>
    <row r="234">
      <c r="A234" s="7" t="n">
        <v>231</v>
      </c>
      <c r="B234" s="8" t="inlineStr">
        <is>
          <t xml:space="preserve">            return ann</t>
        </is>
      </c>
    </row>
    <row r="235">
      <c r="A235" s="9" t="n">
        <v>232</v>
      </c>
      <c r="B235" s="10" t="inlineStr"/>
    </row>
    <row r="236">
      <c r="A236" s="7" t="n">
        <v>233</v>
      </c>
      <c r="B236" s="8" t="inlineStr">
        <is>
          <t xml:space="preserve">        with ThreadPoolExecutor(max_workers=max_workers) as pool:</t>
        </is>
      </c>
    </row>
    <row r="237">
      <c r="A237" s="9" t="n">
        <v>234</v>
      </c>
      <c r="B237" s="10" t="inlineStr">
        <is>
          <t xml:space="preserve">            futs = [pool.submit(_recognize_one, ann) for ann in self._frames]</t>
        </is>
      </c>
    </row>
    <row r="238">
      <c r="A238" s="7" t="n">
        <v>235</v>
      </c>
      <c r="B238" s="8" t="inlineStr">
        <is>
          <t xml:space="preserve">            for _ in as_completed(futs):</t>
        </is>
      </c>
    </row>
    <row r="239">
      <c r="A239" s="9" t="n">
        <v>236</v>
      </c>
      <c r="B239" s="10" t="inlineStr">
        <is>
          <t xml:space="preserve">                if self._cancel:</t>
        </is>
      </c>
    </row>
    <row r="240">
      <c r="A240" s="7" t="n">
        <v>237</v>
      </c>
      <c r="B240" s="8" t="inlineStr">
        <is>
          <t xml:space="preserve">                    pool.shutdown(wait=False, cancel_futures=True)</t>
        </is>
      </c>
    </row>
    <row r="241">
      <c r="A241" s="9" t="n">
        <v>238</v>
      </c>
      <c r="B241" s="10" t="inlineStr">
        <is>
          <t xml:space="preserve">                    break</t>
        </is>
      </c>
    </row>
    <row r="242">
      <c r="A242" s="7" t="n">
        <v>239</v>
      </c>
      <c r="B242" s="8" t="inlineStr"/>
    </row>
    <row r="243">
      <c r="A243" s="9" t="n">
        <v>240</v>
      </c>
      <c r="B243" s="10" t="inlineStr">
        <is>
          <t xml:space="preserve">        self._report(f"识别完成: {total}帧", 1.0)</t>
        </is>
      </c>
    </row>
    <row r="244">
      <c r="A244" s="7" t="n">
        <v>241</v>
      </c>
      <c r="B244" s="8" t="inlineStr">
        <is>
          <t xml:space="preserve">        # 全部完成后入库</t>
        </is>
      </c>
    </row>
    <row r="245">
      <c r="A245" s="9" t="n">
        <v>242</v>
      </c>
      <c r="B245" s="10" t="inlineStr">
        <is>
          <t xml:space="preserve">        for ann in self._frames:</t>
        </is>
      </c>
    </row>
    <row r="246">
      <c r="A246" s="7" t="n">
        <v>243</v>
      </c>
      <c r="B246" s="8" t="inlineStr">
        <is>
          <t xml:space="preserve">            self._db.save_frame(self._video_path, self._video_name, ann)</t>
        </is>
      </c>
    </row>
    <row r="247">
      <c r="A247" s="9" t="n">
        <v>244</v>
      </c>
      <c r="B247" s="10" t="inlineStr">
        <is>
          <t xml:space="preserve">        return total</t>
        </is>
      </c>
    </row>
    <row r="248">
      <c r="A248" s="7" t="n">
        <v>245</v>
      </c>
      <c r="B248" s="8" t="inlineStr"/>
    </row>
    <row r="249">
      <c r="A249" s="9" t="n">
        <v>246</v>
      </c>
      <c r="B249" s="10" t="inlineStr">
        <is>
          <t xml:space="preserve">    def run_models(self):</t>
        </is>
      </c>
    </row>
    <row r="250">
      <c r="A250" s="7" t="n">
        <v>247</v>
      </c>
      <c r="B250" s="8" t="inlineStr">
        <is>
          <t xml:space="preserve">        """兼容旧接口 — 同步串行识别"""</t>
        </is>
      </c>
    </row>
    <row r="251">
      <c r="A251" s="9" t="n">
        <v>248</v>
      </c>
      <c r="B251" s="10" t="inlineStr">
        <is>
          <t xml:space="preserve">        if not self._vision: self.init_models()</t>
        </is>
      </c>
    </row>
    <row r="252">
      <c r="A252" s="7" t="n">
        <v>249</v>
      </c>
      <c r="B252" s="8" t="inlineStr">
        <is>
          <t xml:space="preserve">        total = len(self._frames)</t>
        </is>
      </c>
    </row>
    <row r="253">
      <c r="A253" s="9" t="n">
        <v>250</v>
      </c>
      <c r="B253" s="10" t="inlineStr">
        <is>
          <t xml:space="preserve">        for i, ann in enumerate(self._frames):</t>
        </is>
      </c>
    </row>
    <row r="254">
      <c r="A254" s="7" t="n">
        <v>251</v>
      </c>
      <c r="B254" s="8" t="inlineStr">
        <is>
          <t xml:space="preserve">            if self._cancel: break</t>
        </is>
      </c>
    </row>
    <row r="255">
      <c r="A255" s="9" t="n">
        <v>252</v>
      </c>
      <c r="B255" s="10" t="inlineStr">
        <is>
          <t xml:space="preserve">            self._report(f"识别 {i+1}/{total}", 0.12 + 0.85*((i+1)/max(total,1)))</t>
        </is>
      </c>
    </row>
    <row r="256">
      <c r="A256" s="7" t="n">
        <v>253</v>
      </c>
      <c r="B256" s="8" t="inlineStr">
        <is>
          <t xml:space="preserve">            self._recognize_single(ann)</t>
        </is>
      </c>
    </row>
    <row r="257">
      <c r="A257" s="9" t="n">
        <v>254</v>
      </c>
      <c r="B257" s="10" t="inlineStr">
        <is>
          <t xml:space="preserve">        for ann in self._frames:</t>
        </is>
      </c>
    </row>
    <row r="258">
      <c r="A258" s="7" t="n">
        <v>255</v>
      </c>
      <c r="B258" s="8" t="inlineStr">
        <is>
          <t xml:space="preserve">            self._db.save_frame(self._video_path, self._video_name, ann)</t>
        </is>
      </c>
    </row>
    <row r="259">
      <c r="A259" s="9" t="n">
        <v>256</v>
      </c>
      <c r="B259" s="10" t="inlineStr">
        <is>
          <t xml:space="preserve">        return total</t>
        </is>
      </c>
    </row>
    <row r="260">
      <c r="A260" s="7" t="n">
        <v>257</v>
      </c>
      <c r="B260" s="8" t="inlineStr"/>
    </row>
    <row r="261">
      <c r="A261" s="9" t="n">
        <v>258</v>
      </c>
      <c r="B261" s="10" t="inlineStr">
        <is>
          <t xml:space="preserve">    def _recognize_single(self, ann: FrameAnnotation):</t>
        </is>
      </c>
    </row>
    <row r="262">
      <c r="A262" s="7" t="n">
        <v>259</v>
      </c>
      <c r="B262" s="8" t="inlineStr">
        <is>
          <t xml:space="preserve">        """单帧识别 — run_models() 用"""</t>
        </is>
      </c>
    </row>
    <row r="263">
      <c r="A263" s="9" t="n">
        <v>260</v>
      </c>
      <c r="B263" s="10" t="inlineStr">
        <is>
          <t xml:space="preserve">        if self._vision and self._vision.available:</t>
        </is>
      </c>
    </row>
    <row r="264">
      <c r="A264" s="7" t="n">
        <v>261</v>
      </c>
      <c r="B264" s="8" t="inlineStr">
        <is>
          <t xml:space="preserve">            try:</t>
        </is>
      </c>
    </row>
    <row r="265">
      <c r="A265" s="9" t="n">
        <v>262</v>
      </c>
      <c r="B265" s="10" t="inlineStr">
        <is>
          <t xml:space="preserve">                r = self._vision.analyze(ann.frame_path)</t>
        </is>
      </c>
    </row>
    <row r="266">
      <c r="A266" s="7" t="n">
        <v>263</v>
      </c>
      <c r="B266" s="8" t="inlineStr">
        <is>
          <t xml:space="preserve">                tags = r.get("objects",[]) + r.get("materials",[]) + r.get("colors",[])</t>
        </is>
      </c>
    </row>
    <row r="267">
      <c r="A267" s="9" t="n">
        <v>264</v>
      </c>
      <c r="B267" s="10" t="inlineStr">
        <is>
          <t xml:space="preserve">                if r.get("style"): tags.append(r["style"])</t>
        </is>
      </c>
    </row>
    <row r="268">
      <c r="A268" s="7" t="n">
        <v>265</v>
      </c>
      <c r="B268" s="8" t="inlineStr">
        <is>
          <t xml:space="preserve">                ann.model_tags[self._vision._loaded or "Vision"] = list(set(tags))[:10]</t>
        </is>
      </c>
    </row>
    <row r="269">
      <c r="A269" s="9" t="n">
        <v>266</v>
      </c>
      <c r="B269" s="10" t="inlineStr">
        <is>
          <t xml:space="preserve">            except Exception: pass  # Model unavailable — non-critical</t>
        </is>
      </c>
    </row>
    <row r="270">
      <c r="A270" s="7" t="n">
        <v>267</v>
      </c>
      <c r="B270" s="8" t="inlineStr">
        <is>
          <t xml:space="preserve">        try:</t>
        </is>
      </c>
    </row>
    <row r="271">
      <c r="A271" s="9" t="n">
        <v>268</v>
      </c>
      <c r="B271" s="10" t="inlineStr">
        <is>
          <t xml:space="preserve">            from core.classifier import classify</t>
        </is>
      </c>
    </row>
    <row r="272">
      <c r="A272" s="7" t="n">
        <v>269</v>
      </c>
      <c r="B272" s="8" t="inlineStr">
        <is>
          <t xml:space="preserve">            all_t = []</t>
        </is>
      </c>
    </row>
    <row r="273">
      <c r="A273" s="9" t="n">
        <v>270</v>
      </c>
      <c r="B273" s="10" t="inlineStr">
        <is>
          <t xml:space="preserve">            for v in ann.model_tags.values():</t>
        </is>
      </c>
    </row>
    <row r="274">
      <c r="A274" s="7" t="n">
        <v>271</v>
      </c>
      <c r="B274" s="8" t="inlineStr">
        <is>
          <t xml:space="preserve">                all_t.extend(v)</t>
        </is>
      </c>
    </row>
    <row r="275">
      <c r="A275" s="9" t="n">
        <v>272</v>
      </c>
      <c r="B275" s="10" t="inlineStr">
        <is>
          <t xml:space="preserve">            s = " ".join(all_t) + " " + self._speech_text[:200]</t>
        </is>
      </c>
    </row>
    <row r="276">
      <c r="A276" s="7" t="n">
        <v>273</v>
      </c>
      <c r="B276" s="8" t="inlineStr">
        <is>
          <t xml:space="preserve">            if s.strip():</t>
        </is>
      </c>
    </row>
    <row r="277">
      <c r="A277" s="9" t="n">
        <v>274</v>
      </c>
      <c r="B277" s="10" t="inlineStr">
        <is>
          <t xml:space="preserve">                r = classify(s)</t>
        </is>
      </c>
    </row>
    <row r="278">
      <c r="A278" s="7" t="n">
        <v>275</v>
      </c>
      <c r="B278" s="8" t="inlineStr">
        <is>
          <t xml:space="preserve">                if r["data"] and not r["data"][0]["unclassified"]:</t>
        </is>
      </c>
    </row>
    <row r="279">
      <c r="A279" s="9" t="n">
        <v>276</v>
      </c>
      <c r="B279" s="10" t="inlineStr">
        <is>
          <t xml:space="preserve">                    ann.model_tags["KnowledgeBridge"] = [c["keyword"] for c in r["data"][0]["categories"]][:8]</t>
        </is>
      </c>
    </row>
    <row r="280">
      <c r="A280" s="7" t="n">
        <v>277</v>
      </c>
      <c r="B280" s="8" t="inlineStr">
        <is>
          <t xml:space="preserve">        except Exception: pass  # Model unavailable — non-critical</t>
        </is>
      </c>
    </row>
    <row r="281">
      <c r="A281" s="9" t="n">
        <v>278</v>
      </c>
      <c r="B281" s="10" t="inlineStr">
        <is>
          <t xml:space="preserve">        merged = set()</t>
        </is>
      </c>
    </row>
    <row r="282">
      <c r="A282" s="7" t="n">
        <v>279</v>
      </c>
      <c r="B282" s="8" t="inlineStr">
        <is>
          <t xml:space="preserve">        for v in ann.model_tags.values():</t>
        </is>
      </c>
    </row>
    <row r="283">
      <c r="A283" s="9" t="n">
        <v>280</v>
      </c>
      <c r="B283" s="10" t="inlineStr">
        <is>
          <t xml:space="preserve">            merged.update(v)</t>
        </is>
      </c>
    </row>
    <row r="284">
      <c r="A284" s="7" t="n">
        <v>281</v>
      </c>
      <c r="B284" s="8" t="inlineStr">
        <is>
          <t xml:space="preserve">        ann.user_tags = list(merged)[:15]</t>
        </is>
      </c>
    </row>
    <row r="285">
      <c r="A285" s="9" t="n">
        <v>282</v>
      </c>
      <c r="B285" s="10" t="inlineStr"/>
    </row>
    <row r="286">
      <c r="A286" s="7" t="n">
        <v>283</v>
      </c>
      <c r="B286" s="8" t="inlineStr">
        <is>
          <t xml:space="preserve">    # ═══════════════════════════════════════</t>
        </is>
      </c>
    </row>
    <row r="287">
      <c r="A287" s="9" t="n">
        <v>284</v>
      </c>
      <c r="B287" s="10" t="inlineStr">
        <is>
          <t xml:space="preserve">    # 反馈 &amp; 清理</t>
        </is>
      </c>
    </row>
    <row r="288">
      <c r="A288" s="7" t="n">
        <v>285</v>
      </c>
      <c r="B288" s="8" t="inlineStr">
        <is>
          <t xml:space="preserve">    # ═══════════════════════════════════════</t>
        </is>
      </c>
    </row>
    <row r="289">
      <c r="A289" s="9" t="n">
        <v>286</v>
      </c>
      <c r="B289" s="10" t="inlineStr">
        <is>
          <t xml:space="preserve">    def save_feedback(self):</t>
        </is>
      </c>
    </row>
    <row r="290">
      <c r="A290" s="7" t="n">
        <v>287</v>
      </c>
      <c r="B290" s="8" t="inlineStr">
        <is>
          <t xml:space="preserve">        count = 0</t>
        </is>
      </c>
    </row>
    <row r="291">
      <c r="A291" s="9" t="n">
        <v>288</v>
      </c>
      <c r="B291" s="10" t="inlineStr">
        <is>
          <t xml:space="preserve">        for ann in self._frames:</t>
        </is>
      </c>
    </row>
    <row r="292">
      <c r="A292" s="7" t="n">
        <v>289</v>
      </c>
      <c r="B292" s="8" t="inlineStr">
        <is>
          <t xml:space="preserve">            if ann.edited:</t>
        </is>
      </c>
    </row>
    <row r="293">
      <c r="A293" s="9" t="n">
        <v>290</v>
      </c>
      <c r="B293" s="10" t="inlineStr">
        <is>
          <t xml:space="preserve">                orig = set()</t>
        </is>
      </c>
    </row>
    <row r="294">
      <c r="A294" s="7" t="n">
        <v>291</v>
      </c>
      <c r="B294" s="8" t="inlineStr">
        <is>
          <t xml:space="preserve">                for v in ann.model_tags.values():</t>
        </is>
      </c>
    </row>
    <row r="295">
      <c r="A295" s="9" t="n">
        <v>292</v>
      </c>
      <c r="B295" s="10" t="inlineStr">
        <is>
          <t xml:space="preserve">                    orig.update(v)</t>
        </is>
      </c>
    </row>
    <row r="296">
      <c r="A296" s="7" t="n">
        <v>293</v>
      </c>
      <c r="B296" s="8" t="inlineStr">
        <is>
          <t xml:space="preserve">                self._db.save_feedback(self._video_path, ",".join(sorted(orig)[:10]), ",".join(ann.user_tags), ann.score, ann.score_note)</t>
        </is>
      </c>
    </row>
    <row r="297">
      <c r="A297" s="9" t="n">
        <v>294</v>
      </c>
      <c r="B297" s="10" t="inlineStr">
        <is>
          <t xml:space="preserve">                for tag in ann.user_tags: self._db.update_learning(tag, True)</t>
        </is>
      </c>
    </row>
    <row r="298">
      <c r="A298" s="7" t="n">
        <v>295</v>
      </c>
      <c r="B298" s="8" t="inlineStr">
        <is>
          <t xml:space="preserve">                count += 1</t>
        </is>
      </c>
    </row>
    <row r="299">
      <c r="A299" s="9" t="n">
        <v>296</v>
      </c>
      <c r="B299" s="10" t="inlineStr">
        <is>
          <t xml:space="preserve">        return count</t>
        </is>
      </c>
    </row>
    <row r="300">
      <c r="A300" s="7" t="n">
        <v>297</v>
      </c>
      <c r="B300" s="8" t="inlineStr"/>
    </row>
    <row r="301">
      <c r="A301" s="9" t="n">
        <v>298</v>
      </c>
      <c r="B301" s="10" t="inlineStr">
        <is>
          <t xml:space="preserve">    def cleanup(self):</t>
        </is>
      </c>
    </row>
    <row r="302">
      <c r="A302" s="7" t="n">
        <v>299</v>
      </c>
      <c r="B302" s="8" t="inlineStr">
        <is>
          <t xml:space="preserve">        if self._temp_dir and os.path.exists(self._temp_dir):</t>
        </is>
      </c>
    </row>
    <row r="303">
      <c r="A303" s="9" t="n">
        <v>300</v>
      </c>
      <c r="B303" s="10" t="inlineStr">
        <is>
          <t xml:space="preserve">            shutil.rmtree(self._temp_dir, ignore_errors=True)</t>
        </is>
      </c>
    </row>
    <row r="304">
      <c r="A304" s="7" t="n">
        <v>301</v>
      </c>
      <c r="B304" s="8" t="inlineStr"/>
    </row>
    <row r="305">
      <c r="A305" s="9" t="n">
        <v>302</v>
      </c>
      <c r="B305" s="10" t="inlineStr">
        <is>
          <t xml:space="preserve">    def _get_duration(self, path):</t>
        </is>
      </c>
    </row>
    <row r="306">
      <c r="A306" s="7" t="n">
        <v>303</v>
      </c>
      <c r="B306" s="8" t="inlineStr">
        <is>
          <t xml:space="preserve">        from core.frame_extractor import get_video_duration</t>
        </is>
      </c>
    </row>
    <row r="307">
      <c r="A307" s="9" t="n">
        <v>304</v>
      </c>
      <c r="B307" s="10" t="inlineStr">
        <is>
          <t xml:space="preserve">        return get_video_duration(path)</t>
        </is>
      </c>
    </row>
    <row r="308">
      <c r="A308" s="7" t="n">
        <v>305</v>
      </c>
      <c r="B308" s="8" t="inlineStr"/>
    </row>
    <row r="309">
      <c r="A309" s="9" t="n">
        <v>306</v>
      </c>
      <c r="B309" s="10" t="inlineStr">
        <is>
          <t xml:space="preserve">    @staticmethod</t>
        </is>
      </c>
    </row>
    <row r="310">
      <c r="A310" s="7" t="n">
        <v>307</v>
      </c>
      <c r="B310" s="8" t="inlineStr">
        <is>
          <t xml:space="preserve">    def _fmt_ts(sec):</t>
        </is>
      </c>
    </row>
    <row r="311">
      <c r="A311" s="9" t="n">
        <v>308</v>
      </c>
      <c r="B311" s="10" t="inlineStr">
        <is>
          <t xml:space="preserve">        h,m = divmod(int(sec),3600); m,s = divmod(m,60); ms = int((sec%1)*100)</t>
        </is>
      </c>
    </row>
    <row r="312">
      <c r="A312" s="7" t="n">
        <v>309</v>
      </c>
      <c r="B312" s="8" t="inlineStr">
        <is>
          <t xml:space="preserve">        return f"{h:02d}:{m:02d}:{s:02d}.{ms:02d}"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core\frame_extractor.py</t>
        </is>
      </c>
      <c r="C1" s="5" t="inlineStr">
        <is>
          <t>行数: 276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AI素材库 — 统一抽帧引擎</t>
        </is>
      </c>
    </row>
    <row r="6">
      <c r="A6" s="7" t="n">
        <v>3</v>
      </c>
      <c r="B6" s="8" t="inlineStr">
        <is>
          <t>支持: 按秒抽帧 / 按场景切换点抽帧 / 关键帧检测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os, tempfile, shutil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from utils.silent_subprocess import run as _silent_run</t>
        </is>
      </c>
    </row>
    <row r="11">
      <c r="A11" s="9" t="n">
        <v>8</v>
      </c>
      <c r="B11" s="10" t="inlineStr">
        <is>
          <t>from typing import List, Optional, Tuple</t>
        </is>
      </c>
    </row>
    <row r="12">
      <c r="A12" s="7" t="n">
        <v>9</v>
      </c>
      <c r="B12" s="8" t="inlineStr">
        <is>
          <t>from dataclasses import dataclass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# ═══════════════════════════════════════════</t>
        </is>
      </c>
    </row>
    <row r="16">
      <c r="A16" s="7" t="n">
        <v>13</v>
      </c>
      <c r="B16" s="8" t="inlineStr">
        <is>
          <t># 公共工具函数 (消除三重 _get_duration 重复)</t>
        </is>
      </c>
    </row>
    <row r="17">
      <c r="A17" s="9" t="n">
        <v>14</v>
      </c>
      <c r="B17" s="10" t="inlineStr">
        <is>
          <t># ═══════════════════════════════════════════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def get_video_duration(path: str) -&gt; float:</t>
        </is>
      </c>
    </row>
    <row r="20">
      <c r="A20" s="7" t="n">
        <v>17</v>
      </c>
      <c r="B20" s="8" t="inlineStr">
        <is>
          <t xml:space="preserve">    """获取视频时长 (秒) — 所有模块共用"""</t>
        </is>
      </c>
    </row>
    <row r="21">
      <c r="A21" s="9" t="n">
        <v>18</v>
      </c>
      <c r="B21" s="10" t="inlineStr">
        <is>
          <t xml:space="preserve">    try:</t>
        </is>
      </c>
    </row>
    <row r="22">
      <c r="A22" s="7" t="n">
        <v>19</v>
      </c>
      <c r="B22" s="8" t="inlineStr">
        <is>
          <t xml:space="preserve">        probe = _silent_run([</t>
        </is>
      </c>
    </row>
    <row r="23">
      <c r="A23" s="9" t="n">
        <v>20</v>
      </c>
      <c r="B23" s="10" t="inlineStr">
        <is>
          <t xml:space="preserve">            "ffprobe", "-v", "quiet", "-show_entries", "format=duration",</t>
        </is>
      </c>
    </row>
    <row r="24">
      <c r="A24" s="7" t="n">
        <v>21</v>
      </c>
      <c r="B24" s="8" t="inlineStr">
        <is>
          <t xml:space="preserve">            "-of", "csv=p=0", path</t>
        </is>
      </c>
    </row>
    <row r="25">
      <c r="A25" s="9" t="n">
        <v>22</v>
      </c>
      <c r="B25" s="10" t="inlineStr">
        <is>
          <t xml:space="preserve">        ], capture_output=True, text=True, timeout=10)</t>
        </is>
      </c>
    </row>
    <row r="26">
      <c r="A26" s="7" t="n">
        <v>23</v>
      </c>
      <c r="B26" s="8" t="inlineStr">
        <is>
          <t xml:space="preserve">        return float(probe.stdout.strip() or 0)</t>
        </is>
      </c>
    </row>
    <row r="27">
      <c r="A27" s="9" t="n">
        <v>24</v>
      </c>
      <c r="B27" s="10" t="inlineStr">
        <is>
          <t xml:space="preserve">    except Exception:</t>
        </is>
      </c>
    </row>
    <row r="28">
      <c r="A28" s="7" t="n">
        <v>25</v>
      </c>
      <c r="B28" s="8" t="inlineStr">
        <is>
          <t xml:space="preserve">        return 0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@dataclass</t>
        </is>
      </c>
    </row>
    <row r="31">
      <c r="A31" s="9" t="n">
        <v>28</v>
      </c>
      <c r="B31" s="10" t="inlineStr">
        <is>
          <t>class FrameInfo:</t>
        </is>
      </c>
    </row>
    <row r="32">
      <c r="A32" s="7" t="n">
        <v>29</v>
      </c>
      <c r="B32" s="8" t="inlineStr">
        <is>
          <t xml:space="preserve">    path: str</t>
        </is>
      </c>
    </row>
    <row r="33">
      <c r="A33" s="9" t="n">
        <v>30</v>
      </c>
      <c r="B33" s="10" t="inlineStr">
        <is>
          <t xml:space="preserve">    time_sec: float</t>
        </is>
      </c>
    </row>
    <row r="34">
      <c r="A34" s="7" t="n">
        <v>31</v>
      </c>
      <c r="B34" s="8" t="inlineStr">
        <is>
          <t xml:space="preserve">    scene_index: int = -1  # -1=按秒抽帧, &gt;=0=场景检测结果</t>
        </is>
      </c>
    </row>
    <row r="35">
      <c r="A35" s="9" t="n">
        <v>32</v>
      </c>
      <c r="B35" s="10" t="inlineStr"/>
    </row>
    <row r="36">
      <c r="A36" s="7" t="n">
        <v>33</v>
      </c>
      <c r="B36" s="8" t="inlineStr"/>
    </row>
    <row r="37">
      <c r="A37" s="9" t="n">
        <v>34</v>
      </c>
      <c r="B37" s="10" t="inlineStr">
        <is>
          <t>class FrameExtractor:</t>
        </is>
      </c>
    </row>
    <row r="38">
      <c r="A38" s="7" t="n">
        <v>35</v>
      </c>
      <c r="B38" s="8" t="inlineStr">
        <is>
          <t xml:space="preserve">    """视频抽帧 — OpenCV主 + FFmpeg备用"""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 xml:space="preserve">    def __init__(self, use_gpu: bool = False):</t>
        </is>
      </c>
    </row>
    <row r="41">
      <c r="A41" s="9" t="n">
        <v>38</v>
      </c>
      <c r="B41" s="10" t="inlineStr">
        <is>
          <t xml:space="preserve">        self.use_gpu = use_gpu</t>
        </is>
      </c>
    </row>
    <row r="42">
      <c r="A42" s="7" t="n">
        <v>39</v>
      </c>
      <c r="B42" s="8" t="inlineStr">
        <is>
          <t xml:space="preserve">        self._cv2 = None</t>
        </is>
      </c>
    </row>
    <row r="43">
      <c r="A43" s="9" t="n">
        <v>40</v>
      </c>
      <c r="B43" s="10" t="inlineStr">
        <is>
          <t xml:space="preserve">        try:</t>
        </is>
      </c>
    </row>
    <row r="44">
      <c r="A44" s="7" t="n">
        <v>41</v>
      </c>
      <c r="B44" s="8" t="inlineStr">
        <is>
          <t xml:space="preserve">            import cv2</t>
        </is>
      </c>
    </row>
    <row r="45">
      <c r="A45" s="9" t="n">
        <v>42</v>
      </c>
      <c r="B45" s="10" t="inlineStr">
        <is>
          <t xml:space="preserve">            self._cv2 = cv2</t>
        </is>
      </c>
    </row>
    <row r="46">
      <c r="A46" s="7" t="n">
        <v>43</v>
      </c>
      <c r="B46" s="8" t="inlineStr">
        <is>
          <t xml:space="preserve">        except ImportError:</t>
        </is>
      </c>
    </row>
    <row r="47">
      <c r="A47" s="9" t="n">
        <v>44</v>
      </c>
      <c r="B47" s="10" t="inlineStr">
        <is>
          <t xml:space="preserve">            pass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 xml:space="preserve">    def extract_by_interval(self, video_path: str, interval_sec: float = 1.0,</t>
        </is>
      </c>
    </row>
    <row r="50">
      <c r="A50" s="7" t="n">
        <v>47</v>
      </c>
      <c r="B50" s="8" t="inlineStr">
        <is>
          <t xml:space="preserve">                            max_frames: int = 60, output_dir: str = None) -&gt; List[FrameInfo]:</t>
        </is>
      </c>
    </row>
    <row r="51">
      <c r="A51" s="9" t="n">
        <v>48</v>
      </c>
      <c r="B51" s="10" t="inlineStr">
        <is>
          <t xml:space="preserve">        """</t>
        </is>
      </c>
    </row>
    <row r="52">
      <c r="A52" s="7" t="n">
        <v>49</v>
      </c>
      <c r="B52" s="8" t="inlineStr">
        <is>
          <t xml:space="preserve">        按固定间隔抽帧 (每秒N帧)。</t>
        </is>
      </c>
    </row>
    <row r="53">
      <c r="A53" s="9" t="n">
        <v>50</v>
      </c>
      <c r="B53" s="10" t="inlineStr">
        <is>
          <t xml:space="preserve">        返回 FrameInfo 列表，包含临时文件路径。</t>
        </is>
      </c>
    </row>
    <row r="54">
      <c r="A54" s="7" t="n">
        <v>51</v>
      </c>
      <c r="B54" s="8" t="inlineStr">
        <is>
          <t xml:space="preserve">        """</t>
        </is>
      </c>
    </row>
    <row r="55">
      <c r="A55" s="9" t="n">
        <v>52</v>
      </c>
      <c r="B55" s="10" t="inlineStr">
        <is>
          <t xml:space="preserve">        cleanup = output_dir is None</t>
        </is>
      </c>
    </row>
    <row r="56">
      <c r="A56" s="7" t="n">
        <v>53</v>
      </c>
      <c r="B56" s="8" t="inlineStr">
        <is>
          <t xml:space="preserve">        if output_dir is None:</t>
        </is>
      </c>
    </row>
    <row r="57">
      <c r="A57" s="9" t="n">
        <v>54</v>
      </c>
      <c r="B57" s="10" t="inlineStr">
        <is>
          <t xml:space="preserve">            output_dir = tempfile.mkdtemp(prefix="frames_")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>
        <is>
          <t xml:space="preserve">        frames = []</t>
        </is>
      </c>
    </row>
    <row r="60">
      <c r="A60" s="7" t="n">
        <v>57</v>
      </c>
      <c r="B60" s="8" t="inlineStr">
        <is>
          <t xml:space="preserve">        duration = self._get_duration(video_path)</t>
        </is>
      </c>
    </row>
    <row r="61">
      <c r="A61" s="9" t="n">
        <v>58</v>
      </c>
      <c r="B61" s="10" t="inlineStr">
        <is>
          <t xml:space="preserve">        if duration &lt;= 0:</t>
        </is>
      </c>
    </row>
    <row r="62">
      <c r="A62" s="7" t="n">
        <v>59</v>
      </c>
      <c r="B62" s="8" t="inlineStr">
        <is>
          <t xml:space="preserve">            return frames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    if self._cv2:</t>
        </is>
      </c>
    </row>
    <row r="65">
      <c r="A65" s="9" t="n">
        <v>62</v>
      </c>
      <c r="B65" s="10" t="inlineStr">
        <is>
          <t xml:space="preserve">            frames = self._extract_cv2(video_path, interval_sec, max_frames, output_dir, duration)</t>
        </is>
      </c>
    </row>
    <row r="66">
      <c r="A66" s="7" t="n">
        <v>63</v>
      </c>
      <c r="B66" s="8" t="inlineStr">
        <is>
          <t xml:space="preserve">        else:</t>
        </is>
      </c>
    </row>
    <row r="67">
      <c r="A67" s="9" t="n">
        <v>64</v>
      </c>
      <c r="B67" s="10" t="inlineStr">
        <is>
          <t xml:space="preserve">            frames = self._extract_ffmpeg(video_path, interval_sec, max_frames, output_dir, duration)</t>
        </is>
      </c>
    </row>
    <row r="68">
      <c r="A68" s="7" t="n">
        <v>65</v>
      </c>
      <c r="B68" s="8" t="inlineStr"/>
    </row>
    <row r="69">
      <c r="A69" s="9" t="n">
        <v>66</v>
      </c>
      <c r="B69" s="10" t="inlineStr">
        <is>
          <t xml:space="preserve">        return frames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>
        <is>
          <t xml:space="preserve">    def extract_by_scenes(self, video_path: str, scenes: List[Tuple[float, float]],</t>
        </is>
      </c>
    </row>
    <row r="72">
      <c r="A72" s="7" t="n">
        <v>69</v>
      </c>
      <c r="B72" s="8" t="inlineStr">
        <is>
          <t xml:space="preserve">                          output_dir: str = None) -&gt; List[FrameInfo]:</t>
        </is>
      </c>
    </row>
    <row r="73">
      <c r="A73" s="9" t="n">
        <v>70</v>
      </c>
      <c r="B73" s="10" t="inlineStr">
        <is>
          <t xml:space="preserve">        """</t>
        </is>
      </c>
    </row>
    <row r="74">
      <c r="A74" s="7" t="n">
        <v>71</v>
      </c>
      <c r="B74" s="8" t="inlineStr">
        <is>
          <t xml:space="preserve">        按场景切换点抽帧 — 每个场景取中间帧。</t>
        </is>
      </c>
    </row>
    <row r="75">
      <c r="A75" s="9" t="n">
        <v>72</v>
      </c>
      <c r="B75" s="10" t="inlineStr">
        <is>
          <t xml:space="preserve">        scenes: [(start_sec, end_sec), ...]</t>
        </is>
      </c>
    </row>
    <row r="76">
      <c r="A76" s="7" t="n">
        <v>73</v>
      </c>
      <c r="B76" s="8" t="inlineStr">
        <is>
          <t xml:space="preserve">        """</t>
        </is>
      </c>
    </row>
    <row r="77">
      <c r="A77" s="9" t="n">
        <v>74</v>
      </c>
      <c r="B77" s="10" t="inlineStr">
        <is>
          <t xml:space="preserve">        if output_dir is None:</t>
        </is>
      </c>
    </row>
    <row r="78">
      <c r="A78" s="7" t="n">
        <v>75</v>
      </c>
      <c r="B78" s="8" t="inlineStr">
        <is>
          <t xml:space="preserve">            output_dir = tempfile.mkdtemp(prefix="scene_frames_")</t>
        </is>
      </c>
    </row>
    <row r="79">
      <c r="A79" s="9" t="n">
        <v>76</v>
      </c>
      <c r="B79" s="10" t="inlineStr"/>
    </row>
    <row r="80">
      <c r="A80" s="7" t="n">
        <v>77</v>
      </c>
      <c r="B80" s="8" t="inlineStr">
        <is>
          <t xml:space="preserve">        frames = []</t>
        </is>
      </c>
    </row>
    <row r="81">
      <c r="A81" s="9" t="n">
        <v>78</v>
      </c>
      <c r="B81" s="10" t="inlineStr">
        <is>
          <t xml:space="preserve">        for i, (start, end) in enumerate(scenes):</t>
        </is>
      </c>
    </row>
    <row r="82">
      <c r="A82" s="7" t="n">
        <v>79</v>
      </c>
      <c r="B82" s="8" t="inlineStr">
        <is>
          <t xml:space="preserve">            mid = (start + end) / 2</t>
        </is>
      </c>
    </row>
    <row r="83">
      <c r="A83" s="9" t="n">
        <v>80</v>
      </c>
      <c r="B83" s="10" t="inlineStr">
        <is>
          <t xml:space="preserve">            out_path = Path(output_dir) / f"scene_{i:04d}_{mid:.1f}s.jpg"</t>
        </is>
      </c>
    </row>
    <row r="84">
      <c r="A84" s="7" t="n">
        <v>81</v>
      </c>
      <c r="B84" s="8" t="inlineStr">
        <is>
          <t xml:space="preserve">            self._save_frame_at(video_path, mid, str(out_path))</t>
        </is>
      </c>
    </row>
    <row r="85">
      <c r="A85" s="9" t="n">
        <v>82</v>
      </c>
      <c r="B85" s="10" t="inlineStr">
        <is>
          <t xml:space="preserve">            if out_path.exists():</t>
        </is>
      </c>
    </row>
    <row r="86">
      <c r="A86" s="7" t="n">
        <v>83</v>
      </c>
      <c r="B86" s="8" t="inlineStr">
        <is>
          <t xml:space="preserve">                frames.append(FrameInfo(path=str(out_path), time_sec=mid, scene_index=i))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>
        <is>
          <t xml:space="preserve">        return frames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def _extract_cv2(self, video_path: str, interval: float, max_frames: int,</t>
        </is>
      </c>
    </row>
    <row r="91">
      <c r="A91" s="9" t="n">
        <v>88</v>
      </c>
      <c r="B91" s="10" t="inlineStr">
        <is>
          <t xml:space="preserve">                     output_dir: str, duration: float) -&gt; List[FrameInfo]:</t>
        </is>
      </c>
    </row>
    <row r="92">
      <c r="A92" s="7" t="n">
        <v>89</v>
      </c>
      <c r="B92" s="8" t="inlineStr">
        <is>
          <t xml:space="preserve">        frames = []</t>
        </is>
      </c>
    </row>
    <row r="93">
      <c r="A93" s="9" t="n">
        <v>90</v>
      </c>
      <c r="B93" s="10" t="inlineStr">
        <is>
          <t xml:space="preserve">        cap = self._cv2.VideoCapture(video_path)</t>
        </is>
      </c>
    </row>
    <row r="94">
      <c r="A94" s="7" t="n">
        <v>91</v>
      </c>
      <c r="B94" s="8" t="inlineStr">
        <is>
          <t xml:space="preserve">        # v12.0: 验证视频是否成功打开</t>
        </is>
      </c>
    </row>
    <row r="95">
      <c r="A95" s="9" t="n">
        <v>92</v>
      </c>
      <c r="B95" s="10" t="inlineStr">
        <is>
          <t xml:space="preserve">        if not cap.isOpened():</t>
        </is>
      </c>
    </row>
    <row r="96">
      <c r="A96" s="7" t="n">
        <v>93</v>
      </c>
      <c r="B96" s="8" t="inlineStr">
        <is>
          <t xml:space="preserve">            cap.release()</t>
        </is>
      </c>
    </row>
    <row r="97">
      <c r="A97" s="9" t="n">
        <v>94</v>
      </c>
      <c r="B97" s="10" t="inlineStr">
        <is>
          <t xml:space="preserve">            return self._extract_ffmpeg(video_path, interval, max_frames, output_dir, duration)</t>
        </is>
      </c>
    </row>
    <row r="98">
      <c r="A98" s="7" t="n">
        <v>95</v>
      </c>
      <c r="B98" s="8" t="inlineStr">
        <is>
          <t xml:space="preserve">        fps = cap.get(self._cv2.CAP_PROP_FPS)</t>
        </is>
      </c>
    </row>
    <row r="99">
      <c r="A99" s="9" t="n">
        <v>96</v>
      </c>
      <c r="B99" s="10" t="inlineStr">
        <is>
          <t xml:space="preserve">        if fps &lt;= 0:</t>
        </is>
      </c>
    </row>
    <row r="100">
      <c r="A100" s="7" t="n">
        <v>97</v>
      </c>
      <c r="B100" s="8" t="inlineStr">
        <is>
          <t xml:space="preserve">            cap.release()</t>
        </is>
      </c>
    </row>
    <row r="101">
      <c r="A101" s="9" t="n">
        <v>98</v>
      </c>
      <c r="B101" s="10" t="inlineStr">
        <is>
          <t xml:space="preserve">            return self._extract_ffmpeg(video_path, interval, max_frames, output_dir, duration)</t>
        </is>
      </c>
    </row>
    <row r="102">
      <c r="A102" s="7" t="n">
        <v>99</v>
      </c>
      <c r="B102" s="8" t="inlineStr">
        <is>
          <t xml:space="preserve">        frame_interval = max(1, int(fps * interval))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 xml:space="preserve">        for i in range(0, min(max_frames * frame_interval, int(duration * fps)), frame_interval):</t>
        </is>
      </c>
    </row>
    <row r="105">
      <c r="A105" s="9" t="n">
        <v>102</v>
      </c>
      <c r="B105" s="10" t="inlineStr">
        <is>
          <t xml:space="preserve">            cap.set(self._cv2.CAP_PROP_POS_FRAMES, i)</t>
        </is>
      </c>
    </row>
    <row r="106">
      <c r="A106" s="7" t="n">
        <v>103</v>
      </c>
      <c r="B106" s="8" t="inlineStr">
        <is>
          <t xml:space="preserve">            ret, frame = cap.read()</t>
        </is>
      </c>
    </row>
    <row r="107">
      <c r="A107" s="9" t="n">
        <v>104</v>
      </c>
      <c r="B107" s="10" t="inlineStr">
        <is>
          <t xml:space="preserve">            if not ret:</t>
        </is>
      </c>
    </row>
    <row r="108">
      <c r="A108" s="7" t="n">
        <v>105</v>
      </c>
      <c r="B108" s="8" t="inlineStr">
        <is>
          <t xml:space="preserve">                break</t>
        </is>
      </c>
    </row>
    <row r="109">
      <c r="A109" s="9" t="n">
        <v>106</v>
      </c>
      <c r="B109" s="10" t="inlineStr">
        <is>
          <t xml:space="preserve">            time_sec = i / fps</t>
        </is>
      </c>
    </row>
    <row r="110">
      <c r="A110" s="7" t="n">
        <v>107</v>
      </c>
      <c r="B110" s="8" t="inlineStr">
        <is>
          <t xml:space="preserve">            out_path = Path(output_dir) / f"frame_{time_sec:.1f}s.jpg"</t>
        </is>
      </c>
    </row>
    <row r="111">
      <c r="A111" s="9" t="n">
        <v>108</v>
      </c>
      <c r="B111" s="10" t="inlineStr">
        <is>
          <t xml:space="preserve">            self._cv2.imwrite(str(out_path), frame, [self._cv2.IMWRITE_JPEG_QUALITY, 85])</t>
        </is>
      </c>
    </row>
    <row r="112">
      <c r="A112" s="7" t="n">
        <v>109</v>
      </c>
      <c r="B112" s="8" t="inlineStr">
        <is>
          <t xml:space="preserve">            frames.append(FrameInfo(path=str(out_path), time_sec=round(time_sec, 1)))</t>
        </is>
      </c>
    </row>
    <row r="113">
      <c r="A113" s="9" t="n">
        <v>110</v>
      </c>
      <c r="B113" s="10" t="inlineStr"/>
    </row>
    <row r="114">
      <c r="A114" s="7" t="n">
        <v>111</v>
      </c>
      <c r="B114" s="8" t="inlineStr">
        <is>
          <t xml:space="preserve">        cap.release()</t>
        </is>
      </c>
    </row>
    <row r="115">
      <c r="A115" s="9" t="n">
        <v>112</v>
      </c>
      <c r="B115" s="10" t="inlineStr">
        <is>
          <t xml:space="preserve">        return frames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def _extract_ffmpeg(self, video_path: str, interval: float, max_frames: int,</t>
        </is>
      </c>
    </row>
    <row r="118">
      <c r="A118" s="7" t="n">
        <v>115</v>
      </c>
      <c r="B118" s="8" t="inlineStr">
        <is>
          <t xml:space="preserve">                        output_dir: str, duration: float) -&gt; List[FrameInfo]:</t>
        </is>
      </c>
    </row>
    <row r="119">
      <c r="A119" s="9" t="n">
        <v>116</v>
      </c>
      <c r="B119" s="10" t="inlineStr">
        <is>
          <t xml:space="preserve">        """v12.0 修复: 单次FFmpeg进程批量提取，替代每帧独立进程"""</t>
        </is>
      </c>
    </row>
    <row r="120">
      <c r="A120" s="7" t="n">
        <v>117</v>
      </c>
      <c r="B120" s="8" t="inlineStr">
        <is>
          <t xml:space="preserve">        frames = []</t>
        </is>
      </c>
    </row>
    <row r="121">
      <c r="A121" s="9" t="n">
        <v>118</v>
      </c>
      <c r="B121" s="10" t="inlineStr">
        <is>
          <t xml:space="preserve">        fps_val = 1.0 / interval if interval &gt; 0 else 1.0</t>
        </is>
      </c>
    </row>
    <row r="122">
      <c r="A122" s="7" t="n">
        <v>119</v>
      </c>
      <c r="B122" s="8" t="inlineStr">
        <is>
          <t xml:space="preserve">        pattern = os.path.join(output_dir, "frame_%06d.jpg")</t>
        </is>
      </c>
    </row>
    <row r="123">
      <c r="A123" s="9" t="n">
        <v>120</v>
      </c>
      <c r="B123" s="10" t="inlineStr">
        <is>
          <t xml:space="preserve">        try:</t>
        </is>
      </c>
    </row>
    <row r="124">
      <c r="A124" s="7" t="n">
        <v>121</v>
      </c>
      <c r="B124" s="8" t="inlineStr">
        <is>
          <t xml:space="preserve">            _silent_run([</t>
        </is>
      </c>
    </row>
    <row r="125">
      <c r="A125" s="9" t="n">
        <v>122</v>
      </c>
      <c r="B125" s="10" t="inlineStr">
        <is>
          <t xml:space="preserve">                "ffmpeg", "-y", "-i", video_path,</t>
        </is>
      </c>
    </row>
    <row r="126">
      <c r="A126" s="7" t="n">
        <v>123</v>
      </c>
      <c r="B126" s="8" t="inlineStr">
        <is>
          <t xml:space="preserve">                "-vf", f"fps={fps_val:.4f}",</t>
        </is>
      </c>
    </row>
    <row r="127">
      <c r="A127" s="9" t="n">
        <v>124</v>
      </c>
      <c r="B127" s="10" t="inlineStr">
        <is>
          <t xml:space="preserve">                "-frames:v", str(max_frames),</t>
        </is>
      </c>
    </row>
    <row r="128">
      <c r="A128" s="7" t="n">
        <v>125</v>
      </c>
      <c r="B128" s="8" t="inlineStr">
        <is>
          <t xml:space="preserve">                "-q:v", "2", pattern</t>
        </is>
      </c>
    </row>
    <row r="129">
      <c r="A129" s="9" t="n">
        <v>126</v>
      </c>
      <c r="B129" s="10" t="inlineStr">
        <is>
          <t xml:space="preserve">            ], capture_output=True, timeout=120)</t>
        </is>
      </c>
    </row>
    <row r="130">
      <c r="A130" s="7" t="n">
        <v>127</v>
      </c>
      <c r="B130" s="8" t="inlineStr">
        <is>
          <t xml:space="preserve">            import glob as _glob</t>
        </is>
      </c>
    </row>
    <row r="131">
      <c r="A131" s="9" t="n">
        <v>128</v>
      </c>
      <c r="B131" s="10" t="inlineStr">
        <is>
          <t xml:space="preserve">            for idx, fpath in enumerate(sorted(_glob.glob(os.path.join(output_dir, "frame_*.jpg")))):</t>
        </is>
      </c>
    </row>
    <row r="132">
      <c r="A132" s="7" t="n">
        <v>129</v>
      </c>
      <c r="B132" s="8" t="inlineStr">
        <is>
          <t xml:space="preserve">                t = round(idx * interval, 1)</t>
        </is>
      </c>
    </row>
    <row r="133">
      <c r="A133" s="9" t="n">
        <v>130</v>
      </c>
      <c r="B133" s="10" t="inlineStr">
        <is>
          <t xml:space="preserve">                if t &lt;= duration:</t>
        </is>
      </c>
    </row>
    <row r="134">
      <c r="A134" s="7" t="n">
        <v>131</v>
      </c>
      <c r="B134" s="8" t="inlineStr">
        <is>
          <t xml:space="preserve">                    frames.append(FrameInfo(path=fpath, time_sec=t))</t>
        </is>
      </c>
    </row>
    <row r="135">
      <c r="A135" s="9" t="n">
        <v>132</v>
      </c>
      <c r="B135" s="10" t="inlineStr">
        <is>
          <t xml:space="preserve">        except Exception:</t>
        </is>
      </c>
    </row>
    <row r="136">
      <c r="A136" s="7" t="n">
        <v>133</v>
      </c>
      <c r="B136" s="8" t="inlineStr">
        <is>
          <t xml:space="preserve">            pass  # 回退: 返回空列表，调用方检查 _cv2 可用性</t>
        </is>
      </c>
    </row>
    <row r="137">
      <c r="A137" s="9" t="n">
        <v>134</v>
      </c>
      <c r="B137" s="10" t="inlineStr">
        <is>
          <t xml:space="preserve">        return frames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def _save_frame_at(self, video_path: str, time_sec: float, output_path: str):</t>
        </is>
      </c>
    </row>
    <row r="140">
      <c r="A140" s="7" t="n">
        <v>137</v>
      </c>
      <c r="B140" s="8" t="inlineStr">
        <is>
          <t xml:space="preserve">        if self._cv2:</t>
        </is>
      </c>
    </row>
    <row r="141">
      <c r="A141" s="9" t="n">
        <v>138</v>
      </c>
      <c r="B141" s="10" t="inlineStr">
        <is>
          <t xml:space="preserve">            cap = self._cv2.VideoCapture(video_path)</t>
        </is>
      </c>
    </row>
    <row r="142">
      <c r="A142" s="7" t="n">
        <v>139</v>
      </c>
      <c r="B142" s="8" t="inlineStr">
        <is>
          <t xml:space="preserve">            fps = cap.get(self._cv2.CAP_PROP_FPS)</t>
        </is>
      </c>
    </row>
    <row r="143">
      <c r="A143" s="9" t="n">
        <v>140</v>
      </c>
      <c r="B143" s="10" t="inlineStr">
        <is>
          <t xml:space="preserve">            cap.set(self._cv2.CAP_PROP_POS_FRAMES, int(time_sec * fps))</t>
        </is>
      </c>
    </row>
    <row r="144">
      <c r="A144" s="7" t="n">
        <v>141</v>
      </c>
      <c r="B144" s="8" t="inlineStr">
        <is>
          <t xml:space="preserve">            ret, frame = cap.read()</t>
        </is>
      </c>
    </row>
    <row r="145">
      <c r="A145" s="9" t="n">
        <v>142</v>
      </c>
      <c r="B145" s="10" t="inlineStr">
        <is>
          <t xml:space="preserve">            if ret:</t>
        </is>
      </c>
    </row>
    <row r="146">
      <c r="A146" s="7" t="n">
        <v>143</v>
      </c>
      <c r="B146" s="8" t="inlineStr">
        <is>
          <t xml:space="preserve">                self._cv2.imwrite(output_path, frame, [self._cv2.IMWRITE_JPEG_QUALITY, 85])</t>
        </is>
      </c>
    </row>
    <row r="147">
      <c r="A147" s="9" t="n">
        <v>144</v>
      </c>
      <c r="B147" s="10" t="inlineStr">
        <is>
          <t xml:space="preserve">            cap.release()</t>
        </is>
      </c>
    </row>
    <row r="148">
      <c r="A148" s="7" t="n">
        <v>145</v>
      </c>
      <c r="B148" s="8" t="inlineStr">
        <is>
          <t xml:space="preserve">        else:</t>
        </is>
      </c>
    </row>
    <row r="149">
      <c r="A149" s="9" t="n">
        <v>146</v>
      </c>
      <c r="B149" s="10" t="inlineStr">
        <is>
          <t xml:space="preserve">            _silent_run([</t>
        </is>
      </c>
    </row>
    <row r="150">
      <c r="A150" s="7" t="n">
        <v>147</v>
      </c>
      <c r="B150" s="8" t="inlineStr">
        <is>
          <t xml:space="preserve">                "ffmpeg", "-y", "-ss", str(time_sec), "-i", video_path,</t>
        </is>
      </c>
    </row>
    <row r="151">
      <c r="A151" s="9" t="n">
        <v>148</v>
      </c>
      <c r="B151" s="10" t="inlineStr">
        <is>
          <t xml:space="preserve">                "-vframes", "1", "-q:v", "2", output_path</t>
        </is>
      </c>
    </row>
    <row r="152">
      <c r="A152" s="7" t="n">
        <v>149</v>
      </c>
      <c r="B152" s="8" t="inlineStr">
        <is>
          <t xml:space="preserve">            ], capture_output=True, timeout=10)</t>
        </is>
      </c>
    </row>
    <row r="153">
      <c r="A153" s="9" t="n">
        <v>150</v>
      </c>
      <c r="B153" s="10" t="inlineStr"/>
    </row>
    <row r="154">
      <c r="A154" s="7" t="n">
        <v>151</v>
      </c>
      <c r="B154" s="8" t="inlineStr">
        <is>
          <t xml:space="preserve">    def _get_duration(self, path: str) -&gt; float:</t>
        </is>
      </c>
    </row>
    <row r="155">
      <c r="A155" s="9" t="n">
        <v>152</v>
      </c>
      <c r="B155" s="10" t="inlineStr">
        <is>
          <t xml:space="preserve">        return get_video_duration(path)</t>
        </is>
      </c>
    </row>
    <row r="156">
      <c r="A156" s="7" t="n">
        <v>153</v>
      </c>
      <c r="B156" s="8" t="inlineStr"/>
    </row>
    <row r="157">
      <c r="A157" s="9" t="n">
        <v>154</v>
      </c>
      <c r="B157" s="10" t="inlineStr">
        <is>
          <t xml:space="preserve">    def cleanup(self, frame_dir: str):</t>
        </is>
      </c>
    </row>
    <row r="158">
      <c r="A158" s="7" t="n">
        <v>155</v>
      </c>
      <c r="B158" s="8" t="inlineStr">
        <is>
          <t xml:space="preserve">        """清理抽帧临时文件"""</t>
        </is>
      </c>
    </row>
    <row r="159">
      <c r="A159" s="9" t="n">
        <v>156</v>
      </c>
      <c r="B159" s="10" t="inlineStr">
        <is>
          <t xml:space="preserve">        if os.path.exists(frame_dir):</t>
        </is>
      </c>
    </row>
    <row r="160">
      <c r="A160" s="7" t="n">
        <v>157</v>
      </c>
      <c r="B160" s="8" t="inlineStr">
        <is>
          <t xml:space="preserve">            shutil.rmtree(frame_dir, ignore_errors=True)</t>
        </is>
      </c>
    </row>
    <row r="161">
      <c r="A161" s="9" t="n">
        <v>158</v>
      </c>
      <c r="B161" s="10" t="inlineStr"/>
    </row>
    <row r="162">
      <c r="A162" s="7" t="n">
        <v>159</v>
      </c>
      <c r="B162" s="8" t="inlineStr">
        <is>
          <t xml:space="preserve">    # ═══════════════════════════════════════════════</t>
        </is>
      </c>
    </row>
    <row r="163">
      <c r="A163" s="9" t="n">
        <v>160</v>
      </c>
      <c r="B163" s="10" t="inlineStr">
        <is>
          <t xml:space="preserve">    # v11.3: 帧级别提取 — 直接返回文件路径+时间戳字典</t>
        </is>
      </c>
    </row>
    <row r="164">
      <c r="A164" s="7" t="n">
        <v>161</v>
      </c>
      <c r="B164" s="8" t="inlineStr">
        <is>
          <t xml:space="preserve">    # ═══════════════════════════════════════════════</t>
        </is>
      </c>
    </row>
    <row r="165">
      <c r="A165" s="9" t="n">
        <v>162</v>
      </c>
      <c r="B165" s="10" t="inlineStr"/>
    </row>
    <row r="166">
      <c r="A166" s="7" t="n">
        <v>163</v>
      </c>
      <c r="B166" s="8" t="inlineStr">
        <is>
          <t xml:space="preserve">    def extract_frames_to_files(</t>
        </is>
      </c>
    </row>
    <row r="167">
      <c r="A167" s="9" t="n">
        <v>164</v>
      </c>
      <c r="B167" s="10" t="inlineStr">
        <is>
          <t xml:space="preserve">        self, video_path: str, interval_sec: float = 0.25,</t>
        </is>
      </c>
    </row>
    <row r="168">
      <c r="A168" s="7" t="n">
        <v>165</v>
      </c>
      <c r="B168" s="8" t="inlineStr">
        <is>
          <t xml:space="preserve">        output_dir: str = None, max_frames: int = 0,</t>
        </is>
      </c>
    </row>
    <row r="169">
      <c r="A169" s="9" t="n">
        <v>166</v>
      </c>
      <c r="B169" s="10" t="inlineStr">
        <is>
          <t xml:space="preserve">        include_all: bool = False</t>
        </is>
      </c>
    </row>
    <row r="170">
      <c r="A170" s="7" t="n">
        <v>167</v>
      </c>
      <c r="B170" s="8" t="inlineStr">
        <is>
          <t xml:space="preserve">    ) -&gt; List[dict]:</t>
        </is>
      </c>
    </row>
    <row r="171">
      <c r="A171" s="9" t="n">
        <v>168</v>
      </c>
      <c r="B171" s="10" t="inlineStr">
        <is>
          <t xml:space="preserve">        """</t>
        </is>
      </c>
    </row>
    <row r="172">
      <c r="A172" s="7" t="n">
        <v>169</v>
      </c>
      <c r="B172" s="8" t="inlineStr">
        <is>
          <t xml:space="preserve">        按固定间隔抽取视频帧并保存为文件。</t>
        </is>
      </c>
    </row>
    <row r="173">
      <c r="A173" s="9" t="n">
        <v>170</v>
      </c>
      <c r="B173" s="10" t="inlineStr"/>
    </row>
    <row r="174">
      <c r="A174" s="7" t="n">
        <v>171</v>
      </c>
      <c r="B174" s="8" t="inlineStr">
        <is>
          <t xml:space="preserve">        参数:</t>
        </is>
      </c>
    </row>
    <row r="175">
      <c r="A175" s="9" t="n">
        <v>172</v>
      </c>
      <c r="B175" s="10" t="inlineStr">
        <is>
          <t xml:space="preserve">            video_path: 视频文件路径</t>
        </is>
      </c>
    </row>
    <row r="176">
      <c r="A176" s="7" t="n">
        <v>173</v>
      </c>
      <c r="B176" s="8" t="inlineStr">
        <is>
          <t xml:space="preserve">            interval_sec: 抽帧间隔(秒), 默认0.25=每秒4帧</t>
        </is>
      </c>
    </row>
    <row r="177">
      <c r="A177" s="9" t="n">
        <v>174</v>
      </c>
      <c r="B177" s="10" t="inlineStr">
        <is>
          <t xml:space="preserve">            output_dir: 输出目录。None则创建临时目录。</t>
        </is>
      </c>
    </row>
    <row r="178">
      <c r="A178" s="7" t="n">
        <v>175</v>
      </c>
      <c r="B178" s="8" t="inlineStr">
        <is>
          <t xml:space="preserve">            max_frames: 最大帧数。0=不限制。</t>
        </is>
      </c>
    </row>
    <row r="179">
      <c r="A179" s="9" t="n">
        <v>176</v>
      </c>
      <c r="B179" s="10" t="inlineStr">
        <is>
          <t xml:space="preserve">            include_all: True=抽取所有帧(无视max_frames)。用于完整分析。</t>
        </is>
      </c>
    </row>
    <row r="180">
      <c r="A180" s="7" t="n">
        <v>177</v>
      </c>
      <c r="B180" s="8" t="inlineStr"/>
    </row>
    <row r="181">
      <c r="A181" s="9" t="n">
        <v>178</v>
      </c>
      <c r="B181" s="10" t="inlineStr">
        <is>
          <t xml:space="preserve">        返回:</t>
        </is>
      </c>
    </row>
    <row r="182">
      <c r="A182" s="7" t="n">
        <v>179</v>
      </c>
      <c r="B182" s="8" t="inlineStr">
        <is>
          <t xml:space="preserve">            [{"timestamp": float, "path": str}, ...] — 时间戳(秒)和帧文件路径</t>
        </is>
      </c>
    </row>
    <row r="183">
      <c r="A183" s="9" t="n">
        <v>180</v>
      </c>
      <c r="B183" s="10" t="inlineStr">
        <is>
          <t xml:space="preserve">        """</t>
        </is>
      </c>
    </row>
    <row r="184">
      <c r="A184" s="7" t="n">
        <v>181</v>
      </c>
      <c r="B184" s="8" t="inlineStr">
        <is>
          <t xml:space="preserve">        if output_dir is None:</t>
        </is>
      </c>
    </row>
    <row r="185">
      <c r="A185" s="9" t="n">
        <v>182</v>
      </c>
      <c r="B185" s="10" t="inlineStr">
        <is>
          <t xml:space="preserve">            output_dir = tempfile.mkdtemp(prefix="frames_")</t>
        </is>
      </c>
    </row>
    <row r="186">
      <c r="A186" s="7" t="n">
        <v>183</v>
      </c>
      <c r="B186" s="8" t="inlineStr"/>
    </row>
    <row r="187">
      <c r="A187" s="9" t="n">
        <v>184</v>
      </c>
      <c r="B187" s="10" t="inlineStr">
        <is>
          <t xml:space="preserve">        frames = []</t>
        </is>
      </c>
    </row>
    <row r="188">
      <c r="A188" s="7" t="n">
        <v>185</v>
      </c>
      <c r="B188" s="8" t="inlineStr">
        <is>
          <t xml:space="preserve">        duration = self._get_duration(video_path)</t>
        </is>
      </c>
    </row>
    <row r="189">
      <c r="A189" s="9" t="n">
        <v>186</v>
      </c>
      <c r="B189" s="10" t="inlineStr">
        <is>
          <t xml:space="preserve">        if duration &lt;= 0:</t>
        </is>
      </c>
    </row>
    <row r="190">
      <c r="A190" s="7" t="n">
        <v>187</v>
      </c>
      <c r="B190" s="8" t="inlineStr">
        <is>
          <t xml:space="preserve">            return frames</t>
        </is>
      </c>
    </row>
    <row r="191">
      <c r="A191" s="9" t="n">
        <v>188</v>
      </c>
      <c r="B191" s="10" t="inlineStr"/>
    </row>
    <row r="192">
      <c r="A192" s="7" t="n">
        <v>189</v>
      </c>
      <c r="B192" s="8" t="inlineStr">
        <is>
          <t xml:space="preserve">        max_possible = int(duration / interval_sec) + 1</t>
        </is>
      </c>
    </row>
    <row r="193">
      <c r="A193" s="9" t="n">
        <v>190</v>
      </c>
      <c r="B193" s="10" t="inlineStr">
        <is>
          <t xml:space="preserve">        if max_frames &lt;= 0:</t>
        </is>
      </c>
    </row>
    <row r="194">
      <c r="A194" s="7" t="n">
        <v>191</v>
      </c>
      <c r="B194" s="8" t="inlineStr">
        <is>
          <t xml:space="preserve">            max_frames = max_possible</t>
        </is>
      </c>
    </row>
    <row r="195">
      <c r="A195" s="9" t="n">
        <v>192</v>
      </c>
      <c r="B195" s="10" t="inlineStr"/>
    </row>
    <row r="196">
      <c r="A196" s="7" t="n">
        <v>193</v>
      </c>
      <c r="B196" s="8" t="inlineStr">
        <is>
          <t xml:space="preserve">        if self._cv2:</t>
        </is>
      </c>
    </row>
    <row r="197">
      <c r="A197" s="9" t="n">
        <v>194</v>
      </c>
      <c r="B197" s="10" t="inlineStr">
        <is>
          <t xml:space="preserve">            frames = self._extract_to_files_cv2(</t>
        </is>
      </c>
    </row>
    <row r="198">
      <c r="A198" s="7" t="n">
        <v>195</v>
      </c>
      <c r="B198" s="8" t="inlineStr">
        <is>
          <t xml:space="preserve">                video_path, interval_sec, min(max_frames, max_possible),</t>
        </is>
      </c>
    </row>
    <row r="199">
      <c r="A199" s="9" t="n">
        <v>196</v>
      </c>
      <c r="B199" s="10" t="inlineStr">
        <is>
          <t xml:space="preserve">                output_dir, duration</t>
        </is>
      </c>
    </row>
    <row r="200">
      <c r="A200" s="7" t="n">
        <v>197</v>
      </c>
      <c r="B200" s="8" t="inlineStr">
        <is>
          <t xml:space="preserve">            )</t>
        </is>
      </c>
    </row>
    <row r="201">
      <c r="A201" s="9" t="n">
        <v>198</v>
      </c>
      <c r="B201" s="10" t="inlineStr">
        <is>
          <t xml:space="preserve">        else:</t>
        </is>
      </c>
    </row>
    <row r="202">
      <c r="A202" s="7" t="n">
        <v>199</v>
      </c>
      <c r="B202" s="8" t="inlineStr">
        <is>
          <t xml:space="preserve">            frames = self._extract_to_files_ffmpeg(</t>
        </is>
      </c>
    </row>
    <row r="203">
      <c r="A203" s="9" t="n">
        <v>200</v>
      </c>
      <c r="B203" s="10" t="inlineStr">
        <is>
          <t xml:space="preserve">                video_path, interval_sec, min(max_frames, max_possible),</t>
        </is>
      </c>
    </row>
    <row r="204">
      <c r="A204" s="7" t="n">
        <v>201</v>
      </c>
      <c r="B204" s="8" t="inlineStr">
        <is>
          <t xml:space="preserve">                output_dir, duration</t>
        </is>
      </c>
    </row>
    <row r="205">
      <c r="A205" s="9" t="n">
        <v>202</v>
      </c>
      <c r="B205" s="10" t="inlineStr">
        <is>
          <t xml:space="preserve">            )</t>
        </is>
      </c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 xml:space="preserve">        return frames</t>
        </is>
      </c>
    </row>
    <row r="208">
      <c r="A208" s="7" t="n">
        <v>205</v>
      </c>
      <c r="B208" s="8" t="inlineStr"/>
    </row>
    <row r="209">
      <c r="A209" s="9" t="n">
        <v>206</v>
      </c>
      <c r="B209" s="10" t="inlineStr">
        <is>
          <t xml:space="preserve">    def _extract_to_files_cv2(</t>
        </is>
      </c>
    </row>
    <row r="210">
      <c r="A210" s="7" t="n">
        <v>207</v>
      </c>
      <c r="B210" s="8" t="inlineStr">
        <is>
          <t xml:space="preserve">        self, video_path: str, interval: float, max_frames: int,</t>
        </is>
      </c>
    </row>
    <row r="211">
      <c r="A211" s="9" t="n">
        <v>208</v>
      </c>
      <c r="B211" s="10" t="inlineStr">
        <is>
          <t xml:space="preserve">        output_dir: str, duration: float</t>
        </is>
      </c>
    </row>
    <row r="212">
      <c r="A212" s="7" t="n">
        <v>209</v>
      </c>
      <c r="B212" s="8" t="inlineStr">
        <is>
          <t xml:space="preserve">    ) -&gt; List[dict]:</t>
        </is>
      </c>
    </row>
    <row r="213">
      <c r="A213" s="9" t="n">
        <v>210</v>
      </c>
      <c r="B213" s="10" t="inlineStr">
        <is>
          <t xml:space="preserve">        """OpenCV实现: 按间隔跳帧提取"""</t>
        </is>
      </c>
    </row>
    <row r="214">
      <c r="A214" s="7" t="n">
        <v>211</v>
      </c>
      <c r="B214" s="8" t="inlineStr">
        <is>
          <t xml:space="preserve">        frames = []</t>
        </is>
      </c>
    </row>
    <row r="215">
      <c r="A215" s="9" t="n">
        <v>212</v>
      </c>
      <c r="B215" s="10" t="inlineStr">
        <is>
          <t xml:space="preserve">        cap = self._cv2.VideoCapture(video_path)</t>
        </is>
      </c>
    </row>
    <row r="216">
      <c r="A216" s="7" t="n">
        <v>213</v>
      </c>
      <c r="B216" s="8" t="inlineStr">
        <is>
          <t xml:space="preserve">        fps = cap.get(self._cv2.CAP_PROP_FPS)</t>
        </is>
      </c>
    </row>
    <row r="217">
      <c r="A217" s="9" t="n">
        <v>214</v>
      </c>
      <c r="B217" s="10" t="inlineStr">
        <is>
          <t xml:space="preserve">        if fps &lt;= 0:</t>
        </is>
      </c>
    </row>
    <row r="218">
      <c r="A218" s="7" t="n">
        <v>215</v>
      </c>
      <c r="B218" s="8" t="inlineStr">
        <is>
          <t xml:space="preserve">            cap.release()</t>
        </is>
      </c>
    </row>
    <row r="219">
      <c r="A219" s="9" t="n">
        <v>216</v>
      </c>
      <c r="B219" s="10" t="inlineStr">
        <is>
          <t xml:space="preserve">            return frames</t>
        </is>
      </c>
    </row>
    <row r="220">
      <c r="A220" s="7" t="n">
        <v>217</v>
      </c>
      <c r="B220" s="8" t="inlineStr">
        <is>
          <t xml:space="preserve">        frame_interval_frames = max(1, int(fps * interval))</t>
        </is>
      </c>
    </row>
    <row r="221">
      <c r="A221" s="9" t="n">
        <v>218</v>
      </c>
      <c r="B221" s="10" t="inlineStr"/>
    </row>
    <row r="222">
      <c r="A222" s="7" t="n">
        <v>219</v>
      </c>
      <c r="B222" s="8" t="inlineStr">
        <is>
          <t xml:space="preserve">        frame_idx = 0</t>
        </is>
      </c>
    </row>
    <row r="223">
      <c r="A223" s="9" t="n">
        <v>220</v>
      </c>
      <c r="B223" s="10" t="inlineStr">
        <is>
          <t xml:space="preserve">        extracted = 0</t>
        </is>
      </c>
    </row>
    <row r="224">
      <c r="A224" s="7" t="n">
        <v>221</v>
      </c>
      <c r="B224" s="8" t="inlineStr">
        <is>
          <t xml:space="preserve">        while extracted &lt; max_frames:</t>
        </is>
      </c>
    </row>
    <row r="225">
      <c r="A225" s="9" t="n">
        <v>222</v>
      </c>
      <c r="B225" s="10" t="inlineStr">
        <is>
          <t xml:space="preserve">            ret, frame = cap.read()</t>
        </is>
      </c>
    </row>
    <row r="226">
      <c r="A226" s="7" t="n">
        <v>223</v>
      </c>
      <c r="B226" s="8" t="inlineStr">
        <is>
          <t xml:space="preserve">            if not ret:</t>
        </is>
      </c>
    </row>
    <row r="227">
      <c r="A227" s="9" t="n">
        <v>224</v>
      </c>
      <c r="B227" s="10" t="inlineStr">
        <is>
          <t xml:space="preserve">                break</t>
        </is>
      </c>
    </row>
    <row r="228">
      <c r="A228" s="7" t="n">
        <v>225</v>
      </c>
      <c r="B228" s="8" t="inlineStr">
        <is>
          <t xml:space="preserve">            if frame_idx % frame_interval_frames == 0:</t>
        </is>
      </c>
    </row>
    <row r="229">
      <c r="A229" s="9" t="n">
        <v>226</v>
      </c>
      <c r="B229" s="10" t="inlineStr">
        <is>
          <t xml:space="preserve">                timestamp = frame_idx / fps</t>
        </is>
      </c>
    </row>
    <row r="230">
      <c r="A230" s="7" t="n">
        <v>227</v>
      </c>
      <c r="B230" s="8" t="inlineStr">
        <is>
          <t xml:space="preserve">                if timestamp &gt; duration:</t>
        </is>
      </c>
    </row>
    <row r="231">
      <c r="A231" s="9" t="n">
        <v>228</v>
      </c>
      <c r="B231" s="10" t="inlineStr">
        <is>
          <t xml:space="preserve">                    break</t>
        </is>
      </c>
    </row>
    <row r="232">
      <c r="A232" s="7" t="n">
        <v>229</v>
      </c>
      <c r="B232" s="8" t="inlineStr">
        <is>
          <t xml:space="preserve">                out_path = os.path.join(output_dir, f"frame_{timestamp:.3f}s.jpg")</t>
        </is>
      </c>
    </row>
    <row r="233">
      <c r="A233" s="9" t="n">
        <v>230</v>
      </c>
      <c r="B233" s="10" t="inlineStr">
        <is>
          <t xml:space="preserve">                self._cv2.imwrite(str(out_path), frame,</t>
        </is>
      </c>
    </row>
    <row r="234">
      <c r="A234" s="7" t="n">
        <v>231</v>
      </c>
      <c r="B234" s="8" t="inlineStr">
        <is>
          <t xml:space="preserve">                                  [self._cv2.IMWRITE_JPEG_QUALITY, 85])</t>
        </is>
      </c>
    </row>
    <row r="235">
      <c r="A235" s="9" t="n">
        <v>232</v>
      </c>
      <c r="B235" s="10" t="inlineStr">
        <is>
          <t xml:space="preserve">                frames.append({"timestamp": round(timestamp, 3), "path": str(out_path)})</t>
        </is>
      </c>
    </row>
    <row r="236">
      <c r="A236" s="7" t="n">
        <v>233</v>
      </c>
      <c r="B236" s="8" t="inlineStr">
        <is>
          <t xml:space="preserve">                extracted += 1</t>
        </is>
      </c>
    </row>
    <row r="237">
      <c r="A237" s="9" t="n">
        <v>234</v>
      </c>
      <c r="B237" s="10" t="inlineStr">
        <is>
          <t xml:space="preserve">            frame_idx += 1</t>
        </is>
      </c>
    </row>
    <row r="238">
      <c r="A238" s="7" t="n">
        <v>235</v>
      </c>
      <c r="B238" s="8" t="inlineStr"/>
    </row>
    <row r="239">
      <c r="A239" s="9" t="n">
        <v>236</v>
      </c>
      <c r="B239" s="10" t="inlineStr">
        <is>
          <t xml:space="preserve">        cap.release()</t>
        </is>
      </c>
    </row>
    <row r="240">
      <c r="A240" s="7" t="n">
        <v>237</v>
      </c>
      <c r="B240" s="8" t="inlineStr">
        <is>
          <t xml:space="preserve">        return frames</t>
        </is>
      </c>
    </row>
    <row r="241">
      <c r="A241" s="9" t="n">
        <v>238</v>
      </c>
      <c r="B241" s="10" t="inlineStr"/>
    </row>
    <row r="242">
      <c r="A242" s="7" t="n">
        <v>239</v>
      </c>
      <c r="B242" s="8" t="inlineStr">
        <is>
          <t xml:space="preserve">    def _extract_to_files_ffmpeg(</t>
        </is>
      </c>
    </row>
    <row r="243">
      <c r="A243" s="9" t="n">
        <v>240</v>
      </c>
      <c r="B243" s="10" t="inlineStr">
        <is>
          <t xml:space="preserve">        self, video_path: str, interval: float, max_frames: int,</t>
        </is>
      </c>
    </row>
    <row r="244">
      <c r="A244" s="7" t="n">
        <v>241</v>
      </c>
      <c r="B244" s="8" t="inlineStr">
        <is>
          <t xml:space="preserve">        output_dir: str, duration: float</t>
        </is>
      </c>
    </row>
    <row r="245">
      <c r="A245" s="9" t="n">
        <v>242</v>
      </c>
      <c r="B245" s="10" t="inlineStr">
        <is>
          <t xml:space="preserve">    ) -&gt; List[dict]:</t>
        </is>
      </c>
    </row>
    <row r="246">
      <c r="A246" s="7" t="n">
        <v>243</v>
      </c>
      <c r="B246" s="8" t="inlineStr">
        <is>
          <t xml:space="preserve">        """FFmpeg实现: 使用select滤镜抽帧"""</t>
        </is>
      </c>
    </row>
    <row r="247">
      <c r="A247" s="9" t="n">
        <v>244</v>
      </c>
      <c r="B247" s="10" t="inlineStr">
        <is>
          <t xml:space="preserve">        frames = []</t>
        </is>
      </c>
    </row>
    <row r="248">
      <c r="A248" s="7" t="n">
        <v>245</v>
      </c>
      <c r="B248" s="8" t="inlineStr">
        <is>
          <t xml:space="preserve">        # ffmpeg -i input -vf "fps=4" output_%04d.jpg</t>
        </is>
      </c>
    </row>
    <row r="249">
      <c r="A249" s="9" t="n">
        <v>246</v>
      </c>
      <c r="B249" s="10" t="inlineStr">
        <is>
          <t xml:space="preserve">        fps_val = 1.0 / interval</t>
        </is>
      </c>
    </row>
    <row r="250">
      <c r="A250" s="7" t="n">
        <v>247</v>
      </c>
      <c r="B250" s="8" t="inlineStr">
        <is>
          <t xml:space="preserve">        pattern = os.path.join(output_dir, "frame_%06d.jpg")</t>
        </is>
      </c>
    </row>
    <row r="251">
      <c r="A251" s="9" t="n">
        <v>248</v>
      </c>
      <c r="B251" s="10" t="inlineStr"/>
    </row>
    <row r="252">
      <c r="A252" s="7" t="n">
        <v>249</v>
      </c>
      <c r="B252" s="8" t="inlineStr">
        <is>
          <t xml:space="preserve">        try:</t>
        </is>
      </c>
    </row>
    <row r="253">
      <c r="A253" s="9" t="n">
        <v>250</v>
      </c>
      <c r="B253" s="10" t="inlineStr">
        <is>
          <t xml:space="preserve">            from utils.silent_subprocess import run as _silent_run</t>
        </is>
      </c>
    </row>
    <row r="254">
      <c r="A254" s="7" t="n">
        <v>251</v>
      </c>
      <c r="B254" s="8" t="inlineStr">
        <is>
          <t xml:space="preserve">            _silent_run([</t>
        </is>
      </c>
    </row>
    <row r="255">
      <c r="A255" s="9" t="n">
        <v>252</v>
      </c>
      <c r="B255" s="10" t="inlineStr">
        <is>
          <t xml:space="preserve">                "ffmpeg", "-y", "-i", video_path,</t>
        </is>
      </c>
    </row>
    <row r="256">
      <c r="A256" s="7" t="n">
        <v>253</v>
      </c>
      <c r="B256" s="8" t="inlineStr">
        <is>
          <t xml:space="preserve">                "-vf", f"fps={fps_val:.4f}",</t>
        </is>
      </c>
    </row>
    <row r="257">
      <c r="A257" s="9" t="n">
        <v>254</v>
      </c>
      <c r="B257" s="10" t="inlineStr">
        <is>
          <t xml:space="preserve">                "-frames:v", str(max_frames),</t>
        </is>
      </c>
    </row>
    <row r="258">
      <c r="A258" s="7" t="n">
        <v>255</v>
      </c>
      <c r="B258" s="8" t="inlineStr">
        <is>
          <t xml:space="preserve">                "-q:v", "2", pattern</t>
        </is>
      </c>
    </row>
    <row r="259">
      <c r="A259" s="9" t="n">
        <v>256</v>
      </c>
      <c r="B259" s="10" t="inlineStr">
        <is>
          <t xml:space="preserve">            ], capture_output=True, timeout=120)</t>
        </is>
      </c>
    </row>
    <row r="260">
      <c r="A260" s="7" t="n">
        <v>257</v>
      </c>
      <c r="B260" s="8" t="inlineStr"/>
    </row>
    <row r="261">
      <c r="A261" s="9" t="n">
        <v>258</v>
      </c>
      <c r="B261" s="10" t="inlineStr">
        <is>
          <t xml:space="preserve">            # 收集生成的文件</t>
        </is>
      </c>
    </row>
    <row r="262">
      <c r="A262" s="7" t="n">
        <v>259</v>
      </c>
      <c r="B262" s="8" t="inlineStr">
        <is>
          <t xml:space="preserve">            import glob as _glob</t>
        </is>
      </c>
    </row>
    <row r="263">
      <c r="A263" s="9" t="n">
        <v>260</v>
      </c>
      <c r="B263" s="10" t="inlineStr">
        <is>
          <t xml:space="preserve">            generated = sorted(_glob.glob(os.path.join(output_dir, "frame_*.jpg")))</t>
        </is>
      </c>
    </row>
    <row r="264">
      <c r="A264" s="7" t="n">
        <v>261</v>
      </c>
      <c r="B264" s="8" t="inlineStr">
        <is>
          <t xml:space="preserve">            for idx, fpath in enumerate(generated):</t>
        </is>
      </c>
    </row>
    <row r="265">
      <c r="A265" s="9" t="n">
        <v>262</v>
      </c>
      <c r="B265" s="10" t="inlineStr">
        <is>
          <t xml:space="preserve">                # 从帧号推算时间戳</t>
        </is>
      </c>
    </row>
    <row r="266">
      <c r="A266" s="7" t="n">
        <v>263</v>
      </c>
      <c r="B266" s="8" t="inlineStr">
        <is>
          <t xml:space="preserve">                timestamp = round(idx / fps_val, 3)</t>
        </is>
      </c>
    </row>
    <row r="267">
      <c r="A267" s="9" t="n">
        <v>264</v>
      </c>
      <c r="B267" s="10" t="inlineStr">
        <is>
          <t xml:space="preserve">                if timestamp &gt; duration:</t>
        </is>
      </c>
    </row>
    <row r="268">
      <c r="A268" s="7" t="n">
        <v>265</v>
      </c>
      <c r="B268" s="8" t="inlineStr">
        <is>
          <t xml:space="preserve">                    break</t>
        </is>
      </c>
    </row>
    <row r="269">
      <c r="A269" s="9" t="n">
        <v>266</v>
      </c>
      <c r="B269" s="10" t="inlineStr">
        <is>
          <t xml:space="preserve">                # 重命名为时间戳格式</t>
        </is>
      </c>
    </row>
    <row r="270">
      <c r="A270" s="7" t="n">
        <v>267</v>
      </c>
      <c r="B270" s="8" t="inlineStr">
        <is>
          <t xml:space="preserve">                new_name = os.path.join(output_dir, f"frame_{timestamp:.3f}s.jpg")</t>
        </is>
      </c>
    </row>
    <row r="271">
      <c r="A271" s="9" t="n">
        <v>268</v>
      </c>
      <c r="B271" s="10" t="inlineStr">
        <is>
          <t xml:space="preserve">                try:</t>
        </is>
      </c>
    </row>
    <row r="272">
      <c r="A272" s="7" t="n">
        <v>269</v>
      </c>
      <c r="B272" s="8" t="inlineStr">
        <is>
          <t xml:space="preserve">                    os.rename(fpath, new_name)</t>
        </is>
      </c>
    </row>
    <row r="273">
      <c r="A273" s="9" t="n">
        <v>270</v>
      </c>
      <c r="B273" s="10" t="inlineStr">
        <is>
          <t xml:space="preserve">                    frames.append({"timestamp": timestamp, "path": new_name})</t>
        </is>
      </c>
    </row>
    <row r="274">
      <c r="A274" s="7" t="n">
        <v>271</v>
      </c>
      <c r="B274" s="8" t="inlineStr">
        <is>
          <t xml:space="preserve">                except Exception:</t>
        </is>
      </c>
    </row>
    <row r="275">
      <c r="A275" s="9" t="n">
        <v>272</v>
      </c>
      <c r="B275" s="10" t="inlineStr">
        <is>
          <t xml:space="preserve">                    frames.append({"timestamp": timestamp, "path": fpath})</t>
        </is>
      </c>
    </row>
    <row r="276">
      <c r="A276" s="7" t="n">
        <v>273</v>
      </c>
      <c r="B276" s="8" t="inlineStr">
        <is>
          <t xml:space="preserve">        except Exception:</t>
        </is>
      </c>
    </row>
    <row r="277">
      <c r="A277" s="9" t="n">
        <v>274</v>
      </c>
      <c r="B277" s="10" t="inlineStr">
        <is>
          <t xml:space="preserve">            pass</t>
        </is>
      </c>
    </row>
    <row r="278">
      <c r="A278" s="7" t="n">
        <v>275</v>
      </c>
      <c r="B278" s="8" t="inlineStr"/>
    </row>
    <row r="279">
      <c r="A279" s="9" t="n">
        <v>276</v>
      </c>
      <c r="B279" s="10" t="inlineStr">
        <is>
          <t xml:space="preserve">        return frames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core\learner.py</t>
        </is>
      </c>
      <c r="C1" s="5" t="inlineStr">
        <is>
          <t>行数: 288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知识学习引擎</t>
        </is>
      </c>
    </row>
    <row r="6">
      <c r="A6" s="7" t="n">
        <v>3</v>
      </c>
      <c r="B6" s="8" t="inlineStr">
        <is>
          <t>接收词汇/句式/行业术语 → 自动植入所有子系统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植入目标:</t>
        </is>
      </c>
    </row>
    <row r="9">
      <c r="A9" s="9" t="n">
        <v>6</v>
      </c>
      <c r="B9" s="10" t="inlineStr">
        <is>
          <t xml:space="preserve">  1. DeepSeek 文案系统提示词 → 生成更专业的口播文案</t>
        </is>
      </c>
    </row>
    <row r="10">
      <c r="A10" s="7" t="n">
        <v>7</v>
      </c>
      <c r="B10" s="8" t="inlineStr">
        <is>
          <t xml:space="preserve">  2. TTS 保护词词库 → 配音不断句</t>
        </is>
      </c>
    </row>
    <row r="11">
      <c r="A11" s="9" t="n">
        <v>8</v>
      </c>
      <c r="B11" s="10" t="inlineStr">
        <is>
          <t xml:space="preserve">  3. 知识库 (石材/工艺/五金/风格) → 画面匹配更精准</t>
        </is>
      </c>
    </row>
    <row r="12">
      <c r="A12" s="7" t="n">
        <v>9</v>
      </c>
      <c r="B12" s="8" t="inlineStr">
        <is>
          <t xml:space="preserve">  4. 标签融合器同义词映射 → 标签规范化</t>
        </is>
      </c>
    </row>
    <row r="13">
      <c r="A13" s="9" t="n">
        <v>10</v>
      </c>
      <c r="B13" s="10" t="inlineStr">
        <is>
          <t xml:space="preserve">  5. 关键词-文件夹映射 → 素材搜索更准确</t>
        </is>
      </c>
    </row>
    <row r="14">
      <c r="A14" s="7" t="n">
        <v>11</v>
      </c>
      <c r="B14" s="8" t="inlineStr">
        <is>
          <t>"""</t>
        </is>
      </c>
    </row>
    <row r="15">
      <c r="A15" s="9" t="n">
        <v>12</v>
      </c>
      <c r="B15" s="10" t="inlineStr">
        <is>
          <t>import json, os, threading</t>
        </is>
      </c>
    </row>
    <row r="16">
      <c r="A16" s="7" t="n">
        <v>13</v>
      </c>
      <c r="B16" s="8" t="inlineStr">
        <is>
          <t>from pathlib import Path</t>
        </is>
      </c>
    </row>
    <row r="17">
      <c r="A17" s="9" t="n">
        <v>14</v>
      </c>
      <c r="B17" s="10" t="inlineStr">
        <is>
          <t>from typing import List, Dict, Optional</t>
        </is>
      </c>
    </row>
    <row r="18">
      <c r="A18" s="7" t="n">
        <v>15</v>
      </c>
      <c r="B18" s="8" t="inlineStr">
        <is>
          <t>from datetime import datetime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# v12.0: 保护词全局写锁 — 防止多线程同时修改 config.PROTECTED_WORDS</t>
        </is>
      </c>
    </row>
    <row r="21">
      <c r="A21" s="9" t="n">
        <v>18</v>
      </c>
      <c r="B21" s="10" t="inlineStr">
        <is>
          <t>_words_write_lock = threading.Lock()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class KnowledgeLearner:</t>
        </is>
      </c>
    </row>
    <row r="25">
      <c r="A25" s="9" t="n">
        <v>22</v>
      </c>
      <c r="B25" s="10" t="inlineStr">
        <is>
          <t xml:space="preserve">    """知识学习器 — 接收新词汇，自动分发到各子系统"""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 xml:space="preserve">    def __init__(self):</t>
        </is>
      </c>
    </row>
    <row r="28">
      <c r="A28" s="7" t="n">
        <v>25</v>
      </c>
      <c r="B28" s="8" t="inlineStr">
        <is>
          <t xml:space="preserve">        self._proj_root = Path(__file__).parent.parent</t>
        </is>
      </c>
    </row>
    <row r="29">
      <c r="A29" s="9" t="n">
        <v>26</v>
      </c>
      <c r="B29" s="10" t="inlineStr">
        <is>
          <t xml:space="preserve">        self._learned_file = self._proj_root / "learned_knowledge.json"</t>
        </is>
      </c>
    </row>
    <row r="30">
      <c r="A30" s="7" t="n">
        <v>27</v>
      </c>
      <c r="B30" s="8" t="inlineStr">
        <is>
          <t xml:space="preserve">        self._knowledge = self._load()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 xml:space="preserve">    def _load(self) -&gt; dict:</t>
        </is>
      </c>
    </row>
    <row r="33">
      <c r="A33" s="9" t="n">
        <v>30</v>
      </c>
      <c r="B33" s="10" t="inlineStr">
        <is>
          <t xml:space="preserve">        if self._learned_file.exists():</t>
        </is>
      </c>
    </row>
    <row r="34">
      <c r="A34" s="7" t="n">
        <v>31</v>
      </c>
      <c r="B34" s="8" t="inlineStr">
        <is>
          <t xml:space="preserve">            try:</t>
        </is>
      </c>
    </row>
    <row r="35">
      <c r="A35" s="9" t="n">
        <v>32</v>
      </c>
      <c r="B35" s="10" t="inlineStr">
        <is>
          <t xml:space="preserve">                return json.loads(self._learned_file.read_text(encoding="utf-8"))</t>
        </is>
      </c>
    </row>
    <row r="36">
      <c r="A36" s="7" t="n">
        <v>33</v>
      </c>
      <c r="B36" s="8" t="inlineStr">
        <is>
          <t xml:space="preserve">            except Exception:</t>
        </is>
      </c>
    </row>
    <row r="37">
      <c r="A37" s="9" t="n">
        <v>34</v>
      </c>
      <c r="B37" s="10" t="inlineStr">
        <is>
          <t xml:space="preserve">                pass</t>
        </is>
      </c>
    </row>
    <row r="38">
      <c r="A38" s="7" t="n">
        <v>35</v>
      </c>
      <c r="B38" s="8" t="inlineStr">
        <is>
          <t xml:space="preserve">        return {</t>
        </is>
      </c>
    </row>
    <row r="39">
      <c r="A39" s="9" t="n">
        <v>36</v>
      </c>
      <c r="B39" s="10" t="inlineStr">
        <is>
          <t xml:space="preserve">            "version": 1,</t>
        </is>
      </c>
    </row>
    <row r="40">
      <c r="A40" s="7" t="n">
        <v>37</v>
      </c>
      <c r="B40" s="8" t="inlineStr">
        <is>
          <t xml:space="preserve">            "updated": "",</t>
        </is>
      </c>
    </row>
    <row r="41">
      <c r="A41" s="9" t="n">
        <v>38</v>
      </c>
      <c r="B41" s="10" t="inlineStr">
        <is>
          <t xml:space="preserve">            "copywriting": {         # 文案生成增强</t>
        </is>
      </c>
    </row>
    <row r="42">
      <c r="A42" s="7" t="n">
        <v>39</v>
      </c>
      <c r="B42" s="8" t="inlineStr">
        <is>
          <t xml:space="preserve">                "hooks": [],          # 钩子句式</t>
        </is>
      </c>
    </row>
    <row r="43">
      <c r="A43" s="9" t="n">
        <v>40</v>
      </c>
      <c r="B43" s="10" t="inlineStr">
        <is>
          <t xml:space="preserve">                "selling_phrases": [],# 卖点描述句</t>
        </is>
      </c>
    </row>
    <row r="44">
      <c r="A44" s="7" t="n">
        <v>41</v>
      </c>
      <c r="B44" s="8" t="inlineStr">
        <is>
          <t xml:space="preserve">                "cta_templates": [],  # 结尾引导语</t>
        </is>
      </c>
    </row>
    <row r="45">
      <c r="A45" s="9" t="n">
        <v>42</v>
      </c>
      <c r="B45" s="10" t="inlineStr">
        <is>
          <t xml:space="preserve">                "industry_terms": [], # 行业专业术语</t>
        </is>
      </c>
    </row>
    <row r="46">
      <c r="A46" s="7" t="n">
        <v>43</v>
      </c>
      <c r="B46" s="8" t="inlineStr">
        <is>
          <t xml:space="preserve">                "tone_words": [],     # 语气词/口语化表达</t>
        </is>
      </c>
    </row>
    <row r="47">
      <c r="A47" s="9" t="n">
        <v>44</v>
      </c>
      <c r="B47" s="10" t="inlineStr">
        <is>
          <t xml:space="preserve">            },</t>
        </is>
      </c>
    </row>
    <row r="48">
      <c r="A48" s="7" t="n">
        <v>45</v>
      </c>
      <c r="B48" s="8" t="inlineStr">
        <is>
          <t xml:space="preserve">            "protected_words": {      # TTS保护词 (不被拆分朗读)</t>
        </is>
      </c>
    </row>
    <row r="49">
      <c r="A49" s="9" t="n">
        <v>46</v>
      </c>
      <c r="B49" s="10" t="inlineStr">
        <is>
          <t xml:space="preserve">                "product_names": [],  # 产品名称</t>
        </is>
      </c>
    </row>
    <row r="50">
      <c r="A50" s="7" t="n">
        <v>47</v>
      </c>
      <c r="B50" s="8" t="inlineStr">
        <is>
          <t xml:space="preserve">                "material_terms": [], # 材质复合词</t>
        </is>
      </c>
    </row>
    <row r="51">
      <c r="A51" s="9" t="n">
        <v>48</v>
      </c>
      <c r="B51" s="10" t="inlineStr">
        <is>
          <t xml:space="preserve">                "craft_terms": [],    # 工艺复合词</t>
        </is>
      </c>
    </row>
    <row r="52">
      <c r="A52" s="7" t="n">
        <v>49</v>
      </c>
      <c r="B52" s="8" t="inlineStr">
        <is>
          <t xml:space="preserve">                "style_terms": [],    # 风格复合词</t>
        </is>
      </c>
    </row>
    <row r="53">
      <c r="A53" s="9" t="n">
        <v>50</v>
      </c>
      <c r="B53" s="10" t="inlineStr">
        <is>
          <t xml:space="preserve">                "brand_terms": [],    # 品牌专有词</t>
        </is>
      </c>
    </row>
    <row r="54">
      <c r="A54" s="7" t="n">
        <v>51</v>
      </c>
      <c r="B54" s="8" t="inlineStr">
        <is>
          <t xml:space="preserve">            },</t>
        </is>
      </c>
    </row>
    <row r="55">
      <c r="A55" s="9" t="n">
        <v>52</v>
      </c>
      <c r="B55" s="10" t="inlineStr">
        <is>
          <t xml:space="preserve">            "knowledge_base": {       # 画面匹配知识库</t>
        </is>
      </c>
    </row>
    <row r="56">
      <c r="A56" s="7" t="n">
        <v>53</v>
      </c>
      <c r="B56" s="8" t="inlineStr">
        <is>
          <t xml:space="preserve">                "stone_variants": [], # 石材品种</t>
        </is>
      </c>
    </row>
    <row r="57">
      <c r="A57" s="9" t="n">
        <v>54</v>
      </c>
      <c r="B57" s="10" t="inlineStr">
        <is>
          <t xml:space="preserve">                "craft_techniques": [],# 工艺技法</t>
        </is>
      </c>
    </row>
    <row r="58">
      <c r="A58" s="7" t="n">
        <v>55</v>
      </c>
      <c r="B58" s="8" t="inlineStr">
        <is>
          <t xml:space="preserve">                "hardware_items": [],  # 五金配件</t>
        </is>
      </c>
    </row>
    <row r="59">
      <c r="A59" s="9" t="n">
        <v>56</v>
      </c>
      <c r="B59" s="10" t="inlineStr">
        <is>
          <t xml:space="preserve">                "style_variants": [],  # 风格变体</t>
        </is>
      </c>
    </row>
    <row r="60">
      <c r="A60" s="7" t="n">
        <v>57</v>
      </c>
      <c r="B60" s="8" t="inlineStr">
        <is>
          <t xml:space="preserve">                "color_names": [],     # 颜色命名</t>
        </is>
      </c>
    </row>
    <row r="61">
      <c r="A61" s="9" t="n">
        <v>58</v>
      </c>
      <c r="B61" s="10" t="inlineStr">
        <is>
          <t xml:space="preserve">            },</t>
        </is>
      </c>
    </row>
    <row r="62">
      <c r="A62" s="7" t="n">
        <v>59</v>
      </c>
      <c r="B62" s="8" t="inlineStr">
        <is>
          <t xml:space="preserve">            "keyword_mapping": {},     # 关键词→文件夹映射</t>
        </is>
      </c>
    </row>
    <row r="63">
      <c r="A63" s="9" t="n">
        <v>60</v>
      </c>
      <c r="B63" s="10" t="inlineStr">
        <is>
          <t xml:space="preserve">            "synonyms": {},            # 同义词映射 (别名→规范名)</t>
        </is>
      </c>
    </row>
    <row r="64">
      <c r="A64" s="7" t="n">
        <v>61</v>
      </c>
      <c r="B64" s="8" t="inlineStr">
        <is>
          <t xml:space="preserve">        }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 xml:space="preserve">    def _save(self):</t>
        </is>
      </c>
    </row>
    <row r="67">
      <c r="A67" s="9" t="n">
        <v>64</v>
      </c>
      <c r="B67" s="10" t="inlineStr">
        <is>
          <t xml:space="preserve">        self._knowledge["updated"] = datetime.now().isoformat()</t>
        </is>
      </c>
    </row>
    <row r="68">
      <c r="A68" s="7" t="n">
        <v>65</v>
      </c>
      <c r="B68" s="8" t="inlineStr">
        <is>
          <t xml:space="preserve">        self._learned_file.write_text(</t>
        </is>
      </c>
    </row>
    <row r="69">
      <c r="A69" s="9" t="n">
        <v>66</v>
      </c>
      <c r="B69" s="10" t="inlineStr">
        <is>
          <t xml:space="preserve">            json.dumps(self._knowledge, ensure_ascii=False, indent=2),</t>
        </is>
      </c>
    </row>
    <row r="70">
      <c r="A70" s="7" t="n">
        <v>67</v>
      </c>
      <c r="B70" s="8" t="inlineStr">
        <is>
          <t xml:space="preserve">            encoding="utf-8"</t>
        </is>
      </c>
    </row>
    <row r="71">
      <c r="A71" s="9" t="n">
        <v>68</v>
      </c>
      <c r="B71" s="10" t="inlineStr">
        <is>
          <t xml:space="preserve">        )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# ── 学习接口 ──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def learn_copywriting(self, category: str, items: List[str]):</t>
        </is>
      </c>
    </row>
    <row r="76">
      <c r="A76" s="7" t="n">
        <v>73</v>
      </c>
      <c r="B76" s="8" t="inlineStr">
        <is>
          <t xml:space="preserve">        """</t>
        </is>
      </c>
    </row>
    <row r="77">
      <c r="A77" s="9" t="n">
        <v>74</v>
      </c>
      <c r="B77" s="10" t="inlineStr">
        <is>
          <t xml:space="preserve">        学习文案素材。</t>
        </is>
      </c>
    </row>
    <row r="78">
      <c r="A78" s="7" t="n">
        <v>75</v>
      </c>
      <c r="B78" s="8" t="inlineStr">
        <is>
          <t xml:space="preserve">        category: hooks | selling_phrases | cta_templates | industry_terms | tone_words</t>
        </is>
      </c>
    </row>
    <row r="79">
      <c r="A79" s="9" t="n">
        <v>76</v>
      </c>
      <c r="B79" s="10" t="inlineStr">
        <is>
          <t xml:space="preserve">        """</t>
        </is>
      </c>
    </row>
    <row r="80">
      <c r="A80" s="7" t="n">
        <v>77</v>
      </c>
      <c r="B80" s="8" t="inlineStr">
        <is>
          <t xml:space="preserve">        if category in self._knowledge["copywriting"]:</t>
        </is>
      </c>
    </row>
    <row r="81">
      <c r="A81" s="9" t="n">
        <v>78</v>
      </c>
      <c r="B81" s="10" t="inlineStr">
        <is>
          <t xml:space="preserve">            existing = set(self._knowledge["copywriting"][category])</t>
        </is>
      </c>
    </row>
    <row r="82">
      <c r="A82" s="7" t="n">
        <v>79</v>
      </c>
      <c r="B82" s="8" t="inlineStr">
        <is>
          <t xml:space="preserve">            for item in items:</t>
        </is>
      </c>
    </row>
    <row r="83">
      <c r="A83" s="9" t="n">
        <v>80</v>
      </c>
      <c r="B83" s="10" t="inlineStr">
        <is>
          <t xml:space="preserve">                item = item.strip()</t>
        </is>
      </c>
    </row>
    <row r="84">
      <c r="A84" s="7" t="n">
        <v>81</v>
      </c>
      <c r="B84" s="8" t="inlineStr">
        <is>
          <t xml:space="preserve">                if item and item not in existing:</t>
        </is>
      </c>
    </row>
    <row r="85">
      <c r="A85" s="9" t="n">
        <v>82</v>
      </c>
      <c r="B85" s="10" t="inlineStr">
        <is>
          <t xml:space="preserve">                    self._knowledge["copywriting"][category].append(item)</t>
        </is>
      </c>
    </row>
    <row r="86">
      <c r="A86" s="7" t="n">
        <v>83</v>
      </c>
      <c r="B86" s="8" t="inlineStr">
        <is>
          <t xml:space="preserve">                    existing.add(item)</t>
        </is>
      </c>
    </row>
    <row r="87">
      <c r="A87" s="9" t="n">
        <v>84</v>
      </c>
      <c r="B87" s="10" t="inlineStr">
        <is>
          <t xml:space="preserve">            self._save()</t>
        </is>
      </c>
    </row>
    <row r="88">
      <c r="A88" s="7" t="n">
        <v>85</v>
      </c>
      <c r="B88" s="8" t="inlineStr">
        <is>
          <t xml:space="preserve">            print(f"   📝 文案素材已学习: {category} +{len(items)}条")</t>
        </is>
      </c>
    </row>
    <row r="89">
      <c r="A89" s="9" t="n">
        <v>86</v>
      </c>
      <c r="B89" s="10" t="inlineStr">
        <is>
          <t xml:space="preserve">            self._apply_to_copywriter()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 xml:space="preserve">    def learn_protected_words(self, category: str, words: List[str]):</t>
        </is>
      </c>
    </row>
    <row r="92">
      <c r="A92" s="7" t="n">
        <v>89</v>
      </c>
      <c r="B92" s="8" t="inlineStr">
        <is>
          <t xml:space="preserve">        """</t>
        </is>
      </c>
    </row>
    <row r="93">
      <c r="A93" s="9" t="n">
        <v>90</v>
      </c>
      <c r="B93" s="10" t="inlineStr">
        <is>
          <t xml:space="preserve">        学习TTS保护词。</t>
        </is>
      </c>
    </row>
    <row r="94">
      <c r="A94" s="7" t="n">
        <v>91</v>
      </c>
      <c r="B94" s="8" t="inlineStr">
        <is>
          <t xml:space="preserve">        category: product_names | material_terms | craft_terms | style_terms | brand_terms</t>
        </is>
      </c>
    </row>
    <row r="95">
      <c r="A95" s="9" t="n">
        <v>92</v>
      </c>
      <c r="B95" s="10" t="inlineStr">
        <is>
          <t xml:space="preserve">        """</t>
        </is>
      </c>
    </row>
    <row r="96">
      <c r="A96" s="7" t="n">
        <v>93</v>
      </c>
      <c r="B96" s="8" t="inlineStr">
        <is>
          <t xml:space="preserve">        if category in self._knowledge["protected_words"]:</t>
        </is>
      </c>
    </row>
    <row r="97">
      <c r="A97" s="9" t="n">
        <v>94</v>
      </c>
      <c r="B97" s="10" t="inlineStr">
        <is>
          <t xml:space="preserve">            existing = set(self._knowledge["protected_words"][category])</t>
        </is>
      </c>
    </row>
    <row r="98">
      <c r="A98" s="7" t="n">
        <v>95</v>
      </c>
      <c r="B98" s="8" t="inlineStr">
        <is>
          <t xml:space="preserve">            for w in words:</t>
        </is>
      </c>
    </row>
    <row r="99">
      <c r="A99" s="9" t="n">
        <v>96</v>
      </c>
      <c r="B99" s="10" t="inlineStr">
        <is>
          <t xml:space="preserve">                w = w.strip()</t>
        </is>
      </c>
    </row>
    <row r="100">
      <c r="A100" s="7" t="n">
        <v>97</v>
      </c>
      <c r="B100" s="8" t="inlineStr">
        <is>
          <t xml:space="preserve">                if w and w not in existing and len(w) &gt;= 2:</t>
        </is>
      </c>
    </row>
    <row r="101">
      <c r="A101" s="9" t="n">
        <v>98</v>
      </c>
      <c r="B101" s="10" t="inlineStr">
        <is>
          <t xml:space="preserve">                    self._knowledge["protected_words"][category].append(w)</t>
        </is>
      </c>
    </row>
    <row r="102">
      <c r="A102" s="7" t="n">
        <v>99</v>
      </c>
      <c r="B102" s="8" t="inlineStr">
        <is>
          <t xml:space="preserve">                    existing.add(w)</t>
        </is>
      </c>
    </row>
    <row r="103">
      <c r="A103" s="9" t="n">
        <v>100</v>
      </c>
      <c r="B103" s="10" t="inlineStr">
        <is>
          <t xml:space="preserve">            self._save()</t>
        </is>
      </c>
    </row>
    <row r="104">
      <c r="A104" s="7" t="n">
        <v>101</v>
      </c>
      <c r="B104" s="8" t="inlineStr">
        <is>
          <t xml:space="preserve">            print(f"   🎙 TTS保护词已学习: {category} +{len(words)}条")</t>
        </is>
      </c>
    </row>
    <row r="105">
      <c r="A105" s="9" t="n">
        <v>102</v>
      </c>
      <c r="B105" s="10" t="inlineStr">
        <is>
          <t xml:space="preserve">            self._apply_to_protected_words()</t>
        </is>
      </c>
    </row>
    <row r="106">
      <c r="A106" s="7" t="n">
        <v>103</v>
      </c>
      <c r="B106" s="8" t="inlineStr"/>
    </row>
    <row r="107">
      <c r="A107" s="9" t="n">
        <v>104</v>
      </c>
      <c r="B107" s="10" t="inlineStr">
        <is>
          <t xml:space="preserve">    def learn_knowledge(self, category: str, items: List[str]):</t>
        </is>
      </c>
    </row>
    <row r="108">
      <c r="A108" s="7" t="n">
        <v>105</v>
      </c>
      <c r="B108" s="8" t="inlineStr">
        <is>
          <t xml:space="preserve">        """</t>
        </is>
      </c>
    </row>
    <row r="109">
      <c r="A109" s="9" t="n">
        <v>106</v>
      </c>
      <c r="B109" s="10" t="inlineStr">
        <is>
          <t xml:space="preserve">        学习行业知识。</t>
        </is>
      </c>
    </row>
    <row r="110">
      <c r="A110" s="7" t="n">
        <v>107</v>
      </c>
      <c r="B110" s="8" t="inlineStr">
        <is>
          <t xml:space="preserve">        category: stone_variants | craft_techniques | hardware_items | style_variants | color_names</t>
        </is>
      </c>
    </row>
    <row r="111">
      <c r="A111" s="9" t="n">
        <v>108</v>
      </c>
      <c r="B111" s="10" t="inlineStr">
        <is>
          <t xml:space="preserve">        """</t>
        </is>
      </c>
    </row>
    <row r="112">
      <c r="A112" s="7" t="n">
        <v>109</v>
      </c>
      <c r="B112" s="8" t="inlineStr">
        <is>
          <t xml:space="preserve">        if category in self._knowledge["knowledge_base"]:</t>
        </is>
      </c>
    </row>
    <row r="113">
      <c r="A113" s="9" t="n">
        <v>110</v>
      </c>
      <c r="B113" s="10" t="inlineStr">
        <is>
          <t xml:space="preserve">            existing = set(self._knowledge["knowledge_base"][category])</t>
        </is>
      </c>
    </row>
    <row r="114">
      <c r="A114" s="7" t="n">
        <v>111</v>
      </c>
      <c r="B114" s="8" t="inlineStr">
        <is>
          <t xml:space="preserve">            for item in items:</t>
        </is>
      </c>
    </row>
    <row r="115">
      <c r="A115" s="9" t="n">
        <v>112</v>
      </c>
      <c r="B115" s="10" t="inlineStr">
        <is>
          <t xml:space="preserve">                item = item.strip()</t>
        </is>
      </c>
    </row>
    <row r="116">
      <c r="A116" s="7" t="n">
        <v>113</v>
      </c>
      <c r="B116" s="8" t="inlineStr">
        <is>
          <t xml:space="preserve">                if item and item not in existing:</t>
        </is>
      </c>
    </row>
    <row r="117">
      <c r="A117" s="9" t="n">
        <v>114</v>
      </c>
      <c r="B117" s="10" t="inlineStr">
        <is>
          <t xml:space="preserve">                    self._knowledge["knowledge_base"][category].append(item)</t>
        </is>
      </c>
    </row>
    <row r="118">
      <c r="A118" s="7" t="n">
        <v>115</v>
      </c>
      <c r="B118" s="8" t="inlineStr">
        <is>
          <t xml:space="preserve">                    existing.add(item)</t>
        </is>
      </c>
    </row>
    <row r="119">
      <c r="A119" s="9" t="n">
        <v>116</v>
      </c>
      <c r="B119" s="10" t="inlineStr">
        <is>
          <t xml:space="preserve">            self._save()</t>
        </is>
      </c>
    </row>
    <row r="120">
      <c r="A120" s="7" t="n">
        <v>117</v>
      </c>
      <c r="B120" s="8" t="inlineStr">
        <is>
          <t xml:space="preserve">            print(f"   📚 知识库已学习: {category} +{len(items)}条")</t>
        </is>
      </c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 xml:space="preserve">    def learn_keyword_mapping(self, keyword: str, folders: List[str]):</t>
        </is>
      </c>
    </row>
    <row r="123">
      <c r="A123" s="9" t="n">
        <v>120</v>
      </c>
      <c r="B123" s="10" t="inlineStr">
        <is>
          <t xml:space="preserve">        """学习关键词→文件夹映射"""</t>
        </is>
      </c>
    </row>
    <row r="124">
      <c r="A124" s="7" t="n">
        <v>121</v>
      </c>
      <c r="B124" s="8" t="inlineStr">
        <is>
          <t xml:space="preserve">        self._knowledge["keyword_mapping"][keyword] = folders</t>
        </is>
      </c>
    </row>
    <row r="125">
      <c r="A125" s="9" t="n">
        <v>122</v>
      </c>
      <c r="B125" s="10" t="inlineStr">
        <is>
          <t xml:space="preserve">        self._save()</t>
        </is>
      </c>
    </row>
    <row r="126">
      <c r="A126" s="7" t="n">
        <v>123</v>
      </c>
      <c r="B126" s="8" t="inlineStr">
        <is>
          <t xml:space="preserve">        print(f"   🗂 关键词映射已学习: {keyword} → {folders}")</t>
        </is>
      </c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 xml:space="preserve">    def learn_synonyms(self, canonical: str, aliases: List[str]):</t>
        </is>
      </c>
    </row>
    <row r="129">
      <c r="A129" s="9" t="n">
        <v>126</v>
      </c>
      <c r="B129" s="10" t="inlineStr">
        <is>
          <t xml:space="preserve">        """学习同义词映射"""</t>
        </is>
      </c>
    </row>
    <row r="130">
      <c r="A130" s="7" t="n">
        <v>127</v>
      </c>
      <c r="B130" s="8" t="inlineStr">
        <is>
          <t xml:space="preserve">        for alias in aliases:</t>
        </is>
      </c>
    </row>
    <row r="131">
      <c r="A131" s="9" t="n">
        <v>128</v>
      </c>
      <c r="B131" s="10" t="inlineStr">
        <is>
          <t xml:space="preserve">            self._knowledge["synonyms"][alias.strip()] = canonical</t>
        </is>
      </c>
    </row>
    <row r="132">
      <c r="A132" s="7" t="n">
        <v>129</v>
      </c>
      <c r="B132" s="8" t="inlineStr">
        <is>
          <t xml:space="preserve">        self._save()</t>
        </is>
      </c>
    </row>
    <row r="133">
      <c r="A133" s="9" t="n">
        <v>130</v>
      </c>
      <c r="B133" s="10" t="inlineStr">
        <is>
          <t xml:space="preserve">        print(f"   🔄 同义词已学习: {canonical} ← {aliases}")</t>
        </is>
      </c>
    </row>
    <row r="134">
      <c r="A134" s="7" t="n">
        <v>131</v>
      </c>
      <c r="B134" s="8" t="inlineStr"/>
    </row>
    <row r="135">
      <c r="A135" s="9" t="n">
        <v>132</v>
      </c>
      <c r="B135" s="10" t="inlineStr">
        <is>
          <t xml:space="preserve">    def bulk_learn(self, data: dict):</t>
        </is>
      </c>
    </row>
    <row r="136">
      <c r="A136" s="7" t="n">
        <v>133</v>
      </c>
      <c r="B136" s="8" t="inlineStr">
        <is>
          <t xml:space="preserve">        """</t>
        </is>
      </c>
    </row>
    <row r="137">
      <c r="A137" s="9" t="n">
        <v>134</v>
      </c>
      <c r="B137" s="10" t="inlineStr">
        <is>
          <t xml:space="preserve">        批量学习 — 一次性接收所有类型的词汇。v12.0 修复: 仅保存一次。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    data格式:</t>
        </is>
      </c>
    </row>
    <row r="140">
      <c r="A140" s="7" t="n">
        <v>137</v>
      </c>
      <c r="B140" s="8" t="inlineStr">
        <is>
          <t xml:space="preserve">        {</t>
        </is>
      </c>
    </row>
    <row r="141">
      <c r="A141" s="9" t="n">
        <v>138</v>
      </c>
      <c r="B141" s="10" t="inlineStr">
        <is>
          <t xml:space="preserve">          "copywriting": {"hooks": [...], "selling_phrases": [...], ...},</t>
        </is>
      </c>
    </row>
    <row r="142">
      <c r="A142" s="7" t="n">
        <v>139</v>
      </c>
      <c r="B142" s="8" t="inlineStr">
        <is>
          <t xml:space="preserve">          "protected_words": {"product_names": [...], ...},</t>
        </is>
      </c>
    </row>
    <row r="143">
      <c r="A143" s="9" t="n">
        <v>140</v>
      </c>
      <c r="B143" s="10" t="inlineStr">
        <is>
          <t xml:space="preserve">          "knowledge_base": {"stone_variants": [...], ...},</t>
        </is>
      </c>
    </row>
    <row r="144">
      <c r="A144" s="7" t="n">
        <v>141</v>
      </c>
      <c r="B144" s="8" t="inlineStr">
        <is>
          <t xml:space="preserve">          "keyword_mapping": {"烤箱": ["内嵌烤箱", ...]},</t>
        </is>
      </c>
    </row>
    <row r="145">
      <c r="A145" s="9" t="n">
        <v>142</v>
      </c>
      <c r="B145" s="10" t="inlineStr">
        <is>
          <t xml:space="preserve">          "synonyms": {"规范名": ["别名1", "别名2"]}</t>
        </is>
      </c>
    </row>
    <row r="146">
      <c r="A146" s="7" t="n">
        <v>143</v>
      </c>
      <c r="B146" s="8" t="inlineStr">
        <is>
          <t xml:space="preserve">        }</t>
        </is>
      </c>
    </row>
    <row r="147">
      <c r="A147" s="9" t="n">
        <v>144</v>
      </c>
      <c r="B147" s="10" t="inlineStr">
        <is>
          <t xml:space="preserve">        """</t>
        </is>
      </c>
    </row>
    <row r="148">
      <c r="A148" s="7" t="n">
        <v>145</v>
      </c>
      <c r="B148" s="8" t="inlineStr">
        <is>
          <t xml:space="preserve">        changed = False</t>
        </is>
      </c>
    </row>
    <row r="149">
      <c r="A149" s="9" t="n">
        <v>146</v>
      </c>
      <c r="B149" s="10" t="inlineStr"/>
    </row>
    <row r="150">
      <c r="A150" s="7" t="n">
        <v>147</v>
      </c>
      <c r="B150" s="8" t="inlineStr">
        <is>
          <t xml:space="preserve">        for section, content in data.items():</t>
        </is>
      </c>
    </row>
    <row r="151">
      <c r="A151" s="9" t="n">
        <v>148</v>
      </c>
      <c r="B151" s="10" t="inlineStr">
        <is>
          <t xml:space="preserve">            if section in ("copywriting", "protected_words", "knowledge_base"):</t>
        </is>
      </c>
    </row>
    <row r="152">
      <c r="A152" s="7" t="n">
        <v>149</v>
      </c>
      <c r="B152" s="8" t="inlineStr">
        <is>
          <t xml:space="preserve">                for category, items in content.items():</t>
        </is>
      </c>
    </row>
    <row r="153">
      <c r="A153" s="9" t="n">
        <v>150</v>
      </c>
      <c r="B153" s="10" t="inlineStr">
        <is>
          <t xml:space="preserve">                    if category not in self._knowledge.get(section, {}):</t>
        </is>
      </c>
    </row>
    <row r="154">
      <c r="A154" s="7" t="n">
        <v>151</v>
      </c>
      <c r="B154" s="8" t="inlineStr">
        <is>
          <t xml:space="preserve">                        continue</t>
        </is>
      </c>
    </row>
    <row r="155">
      <c r="A155" s="9" t="n">
        <v>152</v>
      </c>
      <c r="B155" s="10" t="inlineStr">
        <is>
          <t xml:space="preserve">                    target = self._knowledge[section][category]</t>
        </is>
      </c>
    </row>
    <row r="156">
      <c r="A156" s="7" t="n">
        <v>153</v>
      </c>
      <c r="B156" s="8" t="inlineStr">
        <is>
          <t xml:space="preserve">                    existing = set(target)</t>
        </is>
      </c>
    </row>
    <row r="157">
      <c r="A157" s="9" t="n">
        <v>154</v>
      </c>
      <c r="B157" s="10" t="inlineStr">
        <is>
          <t xml:space="preserve">                    for item in items:</t>
        </is>
      </c>
    </row>
    <row r="158">
      <c r="A158" s="7" t="n">
        <v>155</v>
      </c>
      <c r="B158" s="8" t="inlineStr">
        <is>
          <t xml:space="preserve">                        item = item.strip()</t>
        </is>
      </c>
    </row>
    <row r="159">
      <c r="A159" s="9" t="n">
        <v>156</v>
      </c>
      <c r="B159" s="10" t="inlineStr">
        <is>
          <t xml:space="preserve">                        if item and item not in existing:</t>
        </is>
      </c>
    </row>
    <row r="160">
      <c r="A160" s="7" t="n">
        <v>157</v>
      </c>
      <c r="B160" s="8" t="inlineStr">
        <is>
          <t xml:space="preserve">                            # protected_words 额外校验: 至少2字符</t>
        </is>
      </c>
    </row>
    <row r="161">
      <c r="A161" s="9" t="n">
        <v>158</v>
      </c>
      <c r="B161" s="10" t="inlineStr">
        <is>
          <t xml:space="preserve">                            if section == "protected_words" and len(item) &lt; 2:</t>
        </is>
      </c>
    </row>
    <row r="162">
      <c r="A162" s="7" t="n">
        <v>159</v>
      </c>
      <c r="B162" s="8" t="inlineStr">
        <is>
          <t xml:space="preserve">                                continue</t>
        </is>
      </c>
    </row>
    <row r="163">
      <c r="A163" s="9" t="n">
        <v>160</v>
      </c>
      <c r="B163" s="10" t="inlineStr">
        <is>
          <t xml:space="preserve">                            target.append(item)</t>
        </is>
      </c>
    </row>
    <row r="164">
      <c r="A164" s="7" t="n">
        <v>161</v>
      </c>
      <c r="B164" s="8" t="inlineStr">
        <is>
          <t xml:space="preserve">                            existing.add(item)</t>
        </is>
      </c>
    </row>
    <row r="165">
      <c r="A165" s="9" t="n">
        <v>162</v>
      </c>
      <c r="B165" s="10" t="inlineStr">
        <is>
          <t xml:space="preserve">                            changed = True</t>
        </is>
      </c>
    </row>
    <row r="166">
      <c r="A166" s="7" t="n">
        <v>163</v>
      </c>
      <c r="B166" s="8" t="inlineStr"/>
    </row>
    <row r="167">
      <c r="A167" s="9" t="n">
        <v>164</v>
      </c>
      <c r="B167" s="10" t="inlineStr">
        <is>
          <t xml:space="preserve">            elif section == "keyword_mapping":</t>
        </is>
      </c>
    </row>
    <row r="168">
      <c r="A168" s="7" t="n">
        <v>165</v>
      </c>
      <c r="B168" s="8" t="inlineStr">
        <is>
          <t xml:space="preserve">                for kw, folders in content.items():</t>
        </is>
      </c>
    </row>
    <row r="169">
      <c r="A169" s="9" t="n">
        <v>166</v>
      </c>
      <c r="B169" s="10" t="inlineStr">
        <is>
          <t xml:space="preserve">                    self._knowledge["keyword_mapping"][kw] = folders</t>
        </is>
      </c>
    </row>
    <row r="170">
      <c r="A170" s="7" t="n">
        <v>167</v>
      </c>
      <c r="B170" s="8" t="inlineStr">
        <is>
          <t xml:space="preserve">                    changed = True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        elif section == "synonyms":</t>
        </is>
      </c>
    </row>
    <row r="173">
      <c r="A173" s="9" t="n">
        <v>170</v>
      </c>
      <c r="B173" s="10" t="inlineStr">
        <is>
          <t xml:space="preserve">                for canonical, aliases in content.items():</t>
        </is>
      </c>
    </row>
    <row r="174">
      <c r="A174" s="7" t="n">
        <v>171</v>
      </c>
      <c r="B174" s="8" t="inlineStr">
        <is>
          <t xml:space="preserve">                    for alias in aliases:</t>
        </is>
      </c>
    </row>
    <row r="175">
      <c r="A175" s="9" t="n">
        <v>172</v>
      </c>
      <c r="B175" s="10" t="inlineStr">
        <is>
          <t xml:space="preserve">                        self._knowledge["synonyms"][alias.strip()] = canonical</t>
        </is>
      </c>
    </row>
    <row r="176">
      <c r="A176" s="7" t="n">
        <v>173</v>
      </c>
      <c r="B176" s="8" t="inlineStr">
        <is>
          <t xml:space="preserve">                    changed = True</t>
        </is>
      </c>
    </row>
    <row r="177">
      <c r="A177" s="9" t="n">
        <v>174</v>
      </c>
      <c r="B177" s="10" t="inlineStr"/>
    </row>
    <row r="178">
      <c r="A178" s="7" t="n">
        <v>175</v>
      </c>
      <c r="B178" s="8" t="inlineStr">
        <is>
          <t xml:space="preserve">        # v12.0 修复: 所有修改完成后仅保存一次</t>
        </is>
      </c>
    </row>
    <row r="179">
      <c r="A179" s="9" t="n">
        <v>176</v>
      </c>
      <c r="B179" s="10" t="inlineStr">
        <is>
          <t xml:space="preserve">        if changed:</t>
        </is>
      </c>
    </row>
    <row r="180">
      <c r="A180" s="7" t="n">
        <v>177</v>
      </c>
      <c r="B180" s="8" t="inlineStr">
        <is>
          <t xml:space="preserve">            self._save()</t>
        </is>
      </c>
    </row>
    <row r="181">
      <c r="A181" s="9" t="n">
        <v>178</v>
      </c>
      <c r="B181" s="10" t="inlineStr">
        <is>
          <t xml:space="preserve">            self._apply_to_copywriter()</t>
        </is>
      </c>
    </row>
    <row r="182">
      <c r="A182" s="7" t="n">
        <v>179</v>
      </c>
      <c r="B182" s="8" t="inlineStr">
        <is>
          <t xml:space="preserve">            self._apply_to_protected_words()</t>
        </is>
      </c>
    </row>
    <row r="183">
      <c r="A183" s="9" t="n">
        <v>180</v>
      </c>
      <c r="B183" s="10" t="inlineStr">
        <is>
          <t xml:space="preserve">            print(f"   [Learner] 批量学习完成，已保存")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 xml:space="preserve">    # ── 应用到各子系统 ──</t>
        </is>
      </c>
    </row>
    <row r="186">
      <c r="A186" s="7" t="n">
        <v>183</v>
      </c>
      <c r="B186" s="8" t="inlineStr"/>
    </row>
    <row r="187">
      <c r="A187" s="9" t="n">
        <v>184</v>
      </c>
      <c r="B187" s="10" t="inlineStr">
        <is>
          <t xml:space="preserve">    def _apply_to_copywriter(self):</t>
        </is>
      </c>
    </row>
    <row r="188">
      <c r="A188" s="7" t="n">
        <v>185</v>
      </c>
      <c r="B188" s="8" t="inlineStr">
        <is>
          <t xml:space="preserve">        """将学习的文案素材注入到 DeepSeek 系统提示词"""</t>
        </is>
      </c>
    </row>
    <row r="189">
      <c r="A189" s="9" t="n">
        <v>186</v>
      </c>
      <c r="B189" s="10" t="inlineStr">
        <is>
          <t xml:space="preserve">        hooks = self._knowledge["copywriting"].get("hooks", [])</t>
        </is>
      </c>
    </row>
    <row r="190">
      <c r="A190" s="7" t="n">
        <v>187</v>
      </c>
      <c r="B190" s="8" t="inlineStr">
        <is>
          <t xml:space="preserve">        terms = self._knowledge["copywriting"].get("industry_terms", [])</t>
        </is>
      </c>
    </row>
    <row r="191">
      <c r="A191" s="9" t="n">
        <v>188</v>
      </c>
      <c r="B191" s="10" t="inlineStr"/>
    </row>
    <row r="192">
      <c r="A192" s="7" t="n">
        <v>189</v>
      </c>
      <c r="B192" s="8" t="inlineStr">
        <is>
          <t xml:space="preserve">        if hooks:</t>
        </is>
      </c>
    </row>
    <row r="193">
      <c r="A193" s="9" t="n">
        <v>190</v>
      </c>
      <c r="B193" s="10" t="inlineStr">
        <is>
          <t xml:space="preserve">            # 动态扩展钩子列表</t>
        </is>
      </c>
    </row>
    <row r="194">
      <c r="A194" s="7" t="n">
        <v>191</v>
      </c>
      <c r="B194" s="8" t="inlineStr">
        <is>
          <t xml:space="preserve">            new_hooks = "\n".join(f'- "{h}"' for h in hooks[-5:])  # 最近5条</t>
        </is>
      </c>
    </row>
    <row r="195">
      <c r="A195" s="9" t="n">
        <v>192</v>
      </c>
      <c r="B195" s="10" t="inlineStr">
        <is>
          <t xml:space="preserve">            print(f"   📝 文案钩子已更新 ({len(hooks)}条已学习)")</t>
        </is>
      </c>
    </row>
    <row r="196">
      <c r="A196" s="7" t="n">
        <v>193</v>
      </c>
      <c r="B196" s="8" t="inlineStr">
        <is>
          <t xml:space="preserve">        if terms:</t>
        </is>
      </c>
    </row>
    <row r="197">
      <c r="A197" s="9" t="n">
        <v>194</v>
      </c>
      <c r="B197" s="10" t="inlineStr">
        <is>
          <t xml:space="preserve">            # 更新 core.config 中的 KEYWORD_FOLDER_MAP</t>
        </is>
      </c>
    </row>
    <row r="198">
      <c r="A198" s="7" t="n">
        <v>195</v>
      </c>
      <c r="B198" s="8" t="inlineStr">
        <is>
          <t xml:space="preserve">            from core import config</t>
        </is>
      </c>
    </row>
    <row r="199">
      <c r="A199" s="9" t="n">
        <v>196</v>
      </c>
      <c r="B199" s="10" t="inlineStr">
        <is>
          <t xml:space="preserve">            for term in terms:</t>
        </is>
      </c>
    </row>
    <row r="200">
      <c r="A200" s="7" t="n">
        <v>197</v>
      </c>
      <c r="B200" s="8" t="inlineStr">
        <is>
          <t xml:space="preserve">                if term not in config.KEYWORD_FOLDER_MAP:</t>
        </is>
      </c>
    </row>
    <row r="201">
      <c r="A201" s="9" t="n">
        <v>198</v>
      </c>
      <c r="B201" s="10" t="inlineStr">
        <is>
          <t xml:space="preserve">                    config.KEYWORD_FOLDER_MAP[term] = ["材质细节展示", "造型展示"]</t>
        </is>
      </c>
    </row>
    <row r="202">
      <c r="A202" s="7" t="n">
        <v>199</v>
      </c>
      <c r="B202" s="8" t="inlineStr">
        <is>
          <t xml:space="preserve">            print(f"   📝 行业术语已注入关键词映射 ({len(terms)}条)")</t>
        </is>
      </c>
    </row>
    <row r="203">
      <c r="A203" s="9" t="n">
        <v>200</v>
      </c>
      <c r="B203" s="10" t="inlineStr"/>
    </row>
    <row r="204">
      <c r="A204" s="7" t="n">
        <v>201</v>
      </c>
      <c r="B204" s="8" t="inlineStr">
        <is>
          <t xml:space="preserve">    def _apply_to_protected_words(self):</t>
        </is>
      </c>
    </row>
    <row r="205">
      <c r="A205" s="9" t="n">
        <v>202</v>
      </c>
      <c r="B205" s="10" t="inlineStr">
        <is>
          <t xml:space="preserve">        """将学习的保护词合并到 protected_words.json 和运行时词库"""</t>
        </is>
      </c>
    </row>
    <row r="206">
      <c r="A206" s="7" t="n">
        <v>203</v>
      </c>
      <c r="B206" s="8" t="inlineStr">
        <is>
          <t xml:space="preserve">        try:</t>
        </is>
      </c>
    </row>
    <row r="207">
      <c r="A207" s="9" t="n">
        <v>204</v>
      </c>
      <c r="B207" s="10" t="inlineStr">
        <is>
          <t xml:space="preserve">            # 更新 JSON 文件</t>
        </is>
      </c>
    </row>
    <row r="208">
      <c r="A208" s="7" t="n">
        <v>205</v>
      </c>
      <c r="B208" s="8" t="inlineStr">
        <is>
          <t xml:space="preserve">            pw_file = self._proj_root / "protected_words.json"</t>
        </is>
      </c>
    </row>
    <row r="209">
      <c r="A209" s="9" t="n">
        <v>206</v>
      </c>
      <c r="B209" s="10" t="inlineStr">
        <is>
          <t xml:space="preserve">            if pw_file.exists():</t>
        </is>
      </c>
    </row>
    <row r="210">
      <c r="A210" s="7" t="n">
        <v>207</v>
      </c>
      <c r="B210" s="8" t="inlineStr">
        <is>
          <t xml:space="preserve">                pw_data = json.loads(pw_file.read_text(encoding="utf-8"))</t>
        </is>
      </c>
    </row>
    <row r="211">
      <c r="A211" s="9" t="n">
        <v>208</v>
      </c>
      <c r="B211" s="10" t="inlineStr">
        <is>
          <t xml:space="preserve">                for cat, words in self._knowledge["protected_words"].items():</t>
        </is>
      </c>
    </row>
    <row r="212">
      <c r="A212" s="7" t="n">
        <v>209</v>
      </c>
      <c r="B212" s="8" t="inlineStr">
        <is>
          <t xml:space="preserve">                    cat_name = {</t>
        </is>
      </c>
    </row>
    <row r="213">
      <c r="A213" s="9" t="n">
        <v>210</v>
      </c>
      <c r="B213" s="10" t="inlineStr">
        <is>
          <t xml:space="preserve">                        "product_names": "核心产品词",</t>
        </is>
      </c>
    </row>
    <row r="214">
      <c r="A214" s="7" t="n">
        <v>211</v>
      </c>
      <c r="B214" s="8" t="inlineStr">
        <is>
          <t xml:space="preserve">                        "material_terms": "材质与工艺词",</t>
        </is>
      </c>
    </row>
    <row r="215">
      <c r="A215" s="9" t="n">
        <v>212</v>
      </c>
      <c r="B215" s="10" t="inlineStr">
        <is>
          <t xml:space="preserve">                        "craft_terms": "材质与工艺词",</t>
        </is>
      </c>
    </row>
    <row r="216">
      <c r="A216" s="7" t="n">
        <v>213</v>
      </c>
      <c r="B216" s="8" t="inlineStr">
        <is>
          <t xml:space="preserve">                        "style_terms": "风格与设计词",</t>
        </is>
      </c>
    </row>
    <row r="217">
      <c r="A217" s="9" t="n">
        <v>214</v>
      </c>
      <c r="B217" s="10" t="inlineStr">
        <is>
          <t xml:space="preserve">                        "brand_terms": "品牌专有词",</t>
        </is>
      </c>
    </row>
    <row r="218">
      <c r="A218" s="7" t="n">
        <v>215</v>
      </c>
      <c r="B218" s="8" t="inlineStr">
        <is>
          <t xml:space="preserve">                    }.get(cat, cat)</t>
        </is>
      </c>
    </row>
    <row r="219">
      <c r="A219" s="9" t="n">
        <v>216</v>
      </c>
      <c r="B219" s="10" t="inlineStr">
        <is>
          <t xml:space="preserve">                    if cat_name not in pw_data.get("categories", {}):</t>
        </is>
      </c>
    </row>
    <row r="220">
      <c r="A220" s="7" t="n">
        <v>217</v>
      </c>
      <c r="B220" s="8" t="inlineStr">
        <is>
          <t xml:space="preserve">                        pw_data["categories"][cat_name] = []</t>
        </is>
      </c>
    </row>
    <row r="221">
      <c r="A221" s="9" t="n">
        <v>218</v>
      </c>
      <c r="B221" s="10" t="inlineStr">
        <is>
          <t xml:space="preserve">                    existing = set(pw_data["categories"][cat_name])</t>
        </is>
      </c>
    </row>
    <row r="222">
      <c r="A222" s="7" t="n">
        <v>219</v>
      </c>
      <c r="B222" s="8" t="inlineStr">
        <is>
          <t xml:space="preserve">                    for w in words:</t>
        </is>
      </c>
    </row>
    <row r="223">
      <c r="A223" s="9" t="n">
        <v>220</v>
      </c>
      <c r="B223" s="10" t="inlineStr">
        <is>
          <t xml:space="preserve">                        if w not in existing:</t>
        </is>
      </c>
    </row>
    <row r="224">
      <c r="A224" s="7" t="n">
        <v>221</v>
      </c>
      <c r="B224" s="8" t="inlineStr">
        <is>
          <t xml:space="preserve">                            pw_data["categories"][cat_name].append(w)</t>
        </is>
      </c>
    </row>
    <row r="225">
      <c r="A225" s="9" t="n">
        <v>222</v>
      </c>
      <c r="B225" s="10" t="inlineStr">
        <is>
          <t xml:space="preserve">                            existing.add(w)</t>
        </is>
      </c>
    </row>
    <row r="226">
      <c r="A226" s="7" t="n">
        <v>223</v>
      </c>
      <c r="B226" s="8" t="inlineStr">
        <is>
          <t xml:space="preserve">                pw_file.write_text(json.dumps(pw_data, ensure_ascii=False, indent=2), encoding="utf-8")</t>
        </is>
      </c>
    </row>
    <row r="227">
      <c r="A227" s="9" t="n">
        <v>224</v>
      </c>
      <c r="B227" s="10" t="inlineStr"/>
    </row>
    <row r="228">
      <c r="A228" s="7" t="n">
        <v>225</v>
      </c>
      <c r="B228" s="8" t="inlineStr">
        <is>
          <t xml:space="preserve">            # 更新运行时词库 — v12.0: 加锁保护线程安全</t>
        </is>
      </c>
    </row>
    <row r="229">
      <c r="A229" s="9" t="n">
        <v>226</v>
      </c>
      <c r="B229" s="10" t="inlineStr">
        <is>
          <t xml:space="preserve">            from core import config</t>
        </is>
      </c>
    </row>
    <row r="230">
      <c r="A230" s="7" t="n">
        <v>227</v>
      </c>
      <c r="B230" s="8" t="inlineStr">
        <is>
          <t xml:space="preserve">            all_words = set(config.PROTECTED_WORDS)</t>
        </is>
      </c>
    </row>
    <row r="231">
      <c r="A231" s="9" t="n">
        <v>228</v>
      </c>
      <c r="B231" s="10" t="inlineStr">
        <is>
          <t xml:space="preserve">            for words in self._knowledge["protected_words"].values():</t>
        </is>
      </c>
    </row>
    <row r="232">
      <c r="A232" s="7" t="n">
        <v>229</v>
      </c>
      <c r="B232" s="8" t="inlineStr">
        <is>
          <t xml:space="preserve">                for w in words:</t>
        </is>
      </c>
    </row>
    <row r="233">
      <c r="A233" s="9" t="n">
        <v>230</v>
      </c>
      <c r="B233" s="10" t="inlineStr">
        <is>
          <t xml:space="preserve">                    all_words.add(w)</t>
        </is>
      </c>
    </row>
    <row r="234">
      <c r="A234" s="7" t="n">
        <v>231</v>
      </c>
      <c r="B234" s="8" t="inlineStr">
        <is>
          <t xml:space="preserve">            with _words_write_lock:</t>
        </is>
      </c>
    </row>
    <row r="235">
      <c r="A235" s="9" t="n">
        <v>232</v>
      </c>
      <c r="B235" s="10" t="inlineStr">
        <is>
          <t xml:space="preserve">                config.PROTECTED_WORDS = sorted(all_words, key=len, reverse=True)</t>
        </is>
      </c>
    </row>
    <row r="236">
      <c r="A236" s="7" t="n">
        <v>233</v>
      </c>
      <c r="B236" s="8" t="inlineStr">
        <is>
          <t xml:space="preserve">            print(f"   🎙 运行时保护词已更新 ({len(config.PROTECTED_WORDS)}词)")</t>
        </is>
      </c>
    </row>
    <row r="237">
      <c r="A237" s="9" t="n">
        <v>234</v>
      </c>
      <c r="B237" s="10" t="inlineStr">
        <is>
          <t xml:space="preserve">        except Exception as e:</t>
        </is>
      </c>
    </row>
    <row r="238">
      <c r="A238" s="7" t="n">
        <v>235</v>
      </c>
      <c r="B238" s="8" t="inlineStr">
        <is>
          <t xml:space="preserve">            print(f"   !! 保护词更新异常: {e}")</t>
        </is>
      </c>
    </row>
    <row r="239">
      <c r="A239" s="9" t="n">
        <v>236</v>
      </c>
      <c r="B239" s="10" t="inlineStr"/>
    </row>
    <row r="240">
      <c r="A240" s="7" t="n">
        <v>237</v>
      </c>
      <c r="B240" s="8" t="inlineStr">
        <is>
          <t xml:space="preserve">    def get_summary(self) -&gt; dict:</t>
        </is>
      </c>
    </row>
    <row r="241">
      <c r="A241" s="9" t="n">
        <v>238</v>
      </c>
      <c r="B241" s="10" t="inlineStr">
        <is>
          <t xml:space="preserve">        """获取已学习知识摘要"""</t>
        </is>
      </c>
    </row>
    <row r="242">
      <c r="A242" s="7" t="n">
        <v>239</v>
      </c>
      <c r="B242" s="8" t="inlineStr">
        <is>
          <t xml:space="preserve">        summary = {}</t>
        </is>
      </c>
    </row>
    <row r="243">
      <c r="A243" s="9" t="n">
        <v>240</v>
      </c>
      <c r="B243" s="10" t="inlineStr">
        <is>
          <t xml:space="preserve">        for section, content in self._knowledge.items():</t>
        </is>
      </c>
    </row>
    <row r="244">
      <c r="A244" s="7" t="n">
        <v>241</v>
      </c>
      <c r="B244" s="8" t="inlineStr">
        <is>
          <t xml:space="preserve">            if section in ("version", "updated"):</t>
        </is>
      </c>
    </row>
    <row r="245">
      <c r="A245" s="9" t="n">
        <v>242</v>
      </c>
      <c r="B245" s="10" t="inlineStr">
        <is>
          <t xml:space="preserve">                continue</t>
        </is>
      </c>
    </row>
    <row r="246">
      <c r="A246" s="7" t="n">
        <v>243</v>
      </c>
      <c r="B246" s="8" t="inlineStr">
        <is>
          <t xml:space="preserve">            if isinstance(content, dict):</t>
        </is>
      </c>
    </row>
    <row r="247">
      <c r="A247" s="9" t="n">
        <v>244</v>
      </c>
      <c r="B247" s="10" t="inlineStr">
        <is>
          <t xml:space="preserve">                total = sum(len(v) for v in content.values() if isinstance(v, list))</t>
        </is>
      </c>
    </row>
    <row r="248">
      <c r="A248" s="7" t="n">
        <v>245</v>
      </c>
      <c r="B248" s="8" t="inlineStr">
        <is>
          <t xml:space="preserve">                summary[section] = total</t>
        </is>
      </c>
    </row>
    <row r="249">
      <c r="A249" s="9" t="n">
        <v>246</v>
      </c>
      <c r="B249" s="10" t="inlineStr">
        <is>
          <t xml:space="preserve">            elif isinstance(content, list):</t>
        </is>
      </c>
    </row>
    <row r="250">
      <c r="A250" s="7" t="n">
        <v>247</v>
      </c>
      <c r="B250" s="8" t="inlineStr">
        <is>
          <t xml:space="preserve">                summary[section] = len(content)</t>
        </is>
      </c>
    </row>
    <row r="251">
      <c r="A251" s="9" t="n">
        <v>248</v>
      </c>
      <c r="B251" s="10" t="inlineStr">
        <is>
          <t xml:space="preserve">        return summary</t>
        </is>
      </c>
    </row>
    <row r="252">
      <c r="A252" s="7" t="n">
        <v>249</v>
      </c>
      <c r="B252" s="8" t="inlineStr"/>
    </row>
    <row r="253">
      <c r="A253" s="9" t="n">
        <v>250</v>
      </c>
      <c r="B253" s="10" t="inlineStr">
        <is>
          <t xml:space="preserve">    def print_summary(self):</t>
        </is>
      </c>
    </row>
    <row r="254">
      <c r="A254" s="7" t="n">
        <v>251</v>
      </c>
      <c r="B254" s="8" t="inlineStr">
        <is>
          <t xml:space="preserve">        s = self.get_summary()</t>
        </is>
      </c>
    </row>
    <row r="255">
      <c r="A255" s="9" t="n">
        <v>252</v>
      </c>
      <c r="B255" s="10" t="inlineStr">
        <is>
          <t xml:space="preserve">        print(f"\n   📊 知识学习摘要:")</t>
        </is>
      </c>
    </row>
    <row r="256">
      <c r="A256" s="7" t="n">
        <v>253</v>
      </c>
      <c r="B256" s="8" t="inlineStr">
        <is>
          <t xml:space="preserve">        print(f"   文案素材: {s.get('copywriting', 0)} 条")</t>
        </is>
      </c>
    </row>
    <row r="257">
      <c r="A257" s="9" t="n">
        <v>254</v>
      </c>
      <c r="B257" s="10" t="inlineStr">
        <is>
          <t xml:space="preserve">        print(f"   TTS保护词: {s.get('protected_words', 0)} 条")</t>
        </is>
      </c>
    </row>
    <row r="258">
      <c r="A258" s="7" t="n">
        <v>255</v>
      </c>
      <c r="B258" s="8" t="inlineStr">
        <is>
          <t xml:space="preserve">        print(f"   知识库: {s.get('knowledge_base', 0)} 条")</t>
        </is>
      </c>
    </row>
    <row r="259">
      <c r="A259" s="9" t="n">
        <v>256</v>
      </c>
      <c r="B259" s="10" t="inlineStr">
        <is>
          <t xml:space="preserve">        print(f"   关键词映射: {s.get('keyword_mapping', 0)} 条")</t>
        </is>
      </c>
    </row>
    <row r="260">
      <c r="A260" s="7" t="n">
        <v>257</v>
      </c>
      <c r="B260" s="8" t="inlineStr">
        <is>
          <t xml:space="preserve">        print(f"   同义词: {s.get('synonyms', 0)} 条")</t>
        </is>
      </c>
    </row>
    <row r="261">
      <c r="A261" s="9" t="n">
        <v>258</v>
      </c>
      <c r="B261" s="10" t="inlineStr"/>
    </row>
    <row r="262">
      <c r="A262" s="7" t="n">
        <v>259</v>
      </c>
      <c r="B262" s="8" t="inlineStr"/>
    </row>
    <row r="263">
      <c r="A263" s="9" t="n">
        <v>260</v>
      </c>
      <c r="B263" s="10" t="inlineStr">
        <is>
          <t># 全局单例</t>
        </is>
      </c>
    </row>
    <row r="264">
      <c r="A264" s="7" t="n">
        <v>261</v>
      </c>
      <c r="B264" s="8" t="inlineStr">
        <is>
          <t>_learner: Optional[KnowledgeLearner] = None</t>
        </is>
      </c>
    </row>
    <row r="265">
      <c r="A265" s="9" t="n">
        <v>262</v>
      </c>
      <c r="B265" s="10" t="inlineStr"/>
    </row>
    <row r="266">
      <c r="A266" s="7" t="n">
        <v>263</v>
      </c>
      <c r="B266" s="8" t="inlineStr">
        <is>
          <t>def get_learner() -&gt; KnowledgeLearner:</t>
        </is>
      </c>
    </row>
    <row r="267">
      <c r="A267" s="9" t="n">
        <v>264</v>
      </c>
      <c r="B267" s="10" t="inlineStr">
        <is>
          <t xml:space="preserve">    global _learner</t>
        </is>
      </c>
    </row>
    <row r="268">
      <c r="A268" s="7" t="n">
        <v>265</v>
      </c>
      <c r="B268" s="8" t="inlineStr">
        <is>
          <t xml:space="preserve">    if _learner is None:</t>
        </is>
      </c>
    </row>
    <row r="269">
      <c r="A269" s="9" t="n">
        <v>266</v>
      </c>
      <c r="B269" s="10" t="inlineStr">
        <is>
          <t xml:space="preserve">        _learner = KnowledgeLearner()</t>
        </is>
      </c>
    </row>
    <row r="270">
      <c r="A270" s="7" t="n">
        <v>267</v>
      </c>
      <c r="B270" s="8" t="inlineStr">
        <is>
          <t xml:space="preserve">    return _learner</t>
        </is>
      </c>
    </row>
    <row r="271">
      <c r="A271" s="9" t="n">
        <v>268</v>
      </c>
      <c r="B271" s="10" t="inlineStr"/>
    </row>
    <row r="272">
      <c r="A272" s="7" t="n">
        <v>269</v>
      </c>
      <c r="B272" s="8" t="inlineStr"/>
    </row>
    <row r="273">
      <c r="A273" s="9" t="n">
        <v>270</v>
      </c>
      <c r="B273" s="10" t="inlineStr">
        <is>
          <t># ── 便捷接收函数 ──</t>
        </is>
      </c>
    </row>
    <row r="274">
      <c r="A274" s="7" t="n">
        <v>271</v>
      </c>
      <c r="B274" s="8" t="inlineStr"/>
    </row>
    <row r="275">
      <c r="A275" s="9" t="n">
        <v>272</v>
      </c>
      <c r="B275" s="10" t="inlineStr">
        <is>
          <t>def learn(data: dict):</t>
        </is>
      </c>
    </row>
    <row r="276">
      <c r="A276" s="7" t="n">
        <v>273</v>
      </c>
      <c r="B276" s="8" t="inlineStr">
        <is>
          <t xml:space="preserve">    """</t>
        </is>
      </c>
    </row>
    <row r="277">
      <c r="A277" s="9" t="n">
        <v>274</v>
      </c>
      <c r="B277" s="10" t="inlineStr">
        <is>
          <t xml:space="preserve">    便捷入口 — 一键学习所有新知识。</t>
        </is>
      </c>
    </row>
    <row r="278">
      <c r="A278" s="7" t="n">
        <v>275</v>
      </c>
      <c r="B278" s="8" t="inlineStr"/>
    </row>
    <row r="279">
      <c r="A279" s="9" t="n">
        <v>276</v>
      </c>
      <c r="B279" s="10" t="inlineStr">
        <is>
          <t xml:space="preserve">    用法:</t>
        </is>
      </c>
    </row>
    <row r="280">
      <c r="A280" s="7" t="n">
        <v>277</v>
      </c>
      <c r="B280" s="8" t="inlineStr">
        <is>
          <t xml:space="preserve">      from core.learner import learn</t>
        </is>
      </c>
    </row>
    <row r="281">
      <c r="A281" s="9" t="n">
        <v>278</v>
      </c>
      <c r="B281" s="10" t="inlineStr">
        <is>
          <t xml:space="preserve">      learn({</t>
        </is>
      </c>
    </row>
    <row r="282">
      <c r="A282" s="7" t="n">
        <v>279</v>
      </c>
      <c r="B282" s="8" t="inlineStr">
        <is>
          <t xml:space="preserve">          "copywriting": {</t>
        </is>
      </c>
    </row>
    <row r="283">
      <c r="A283" s="9" t="n">
        <v>280</v>
      </c>
      <c r="B283" s="10" t="inlineStr">
        <is>
          <t xml:space="preserve">              "hooks": ["90%的人不知道岛台还能这样设计！"],</t>
        </is>
      </c>
    </row>
    <row r="284">
      <c r="A284" s="7" t="n">
        <v>281</v>
      </c>
      <c r="B284" s="8" t="inlineStr">
        <is>
          <t xml:space="preserve">              "industry_terms": ["悬浮岛台", "全铝柜体"],</t>
        </is>
      </c>
    </row>
    <row r="285">
      <c r="A285" s="9" t="n">
        <v>282</v>
      </c>
      <c r="B285" s="10" t="inlineStr">
        <is>
          <t xml:space="preserve">          },</t>
        </is>
      </c>
    </row>
    <row r="286">
      <c r="A286" s="7" t="n">
        <v>283</v>
      </c>
      <c r="B286" s="8" t="inlineStr">
        <is>
          <t xml:space="preserve">          "protected_words": {</t>
        </is>
      </c>
    </row>
    <row r="287">
      <c r="A287" s="9" t="n">
        <v>284</v>
      </c>
      <c r="B287" s="10" t="inlineStr">
        <is>
          <t xml:space="preserve">              "product_names": ["悬浮岛台", "落地岛台"],</t>
        </is>
      </c>
    </row>
    <row r="288">
      <c r="A288" s="7" t="n">
        <v>285</v>
      </c>
      <c r="B288" s="8" t="inlineStr">
        <is>
          <t xml:space="preserve">          },</t>
        </is>
      </c>
    </row>
    <row r="289">
      <c r="A289" s="9" t="n">
        <v>286</v>
      </c>
      <c r="B289" s="10" t="inlineStr">
        <is>
          <t xml:space="preserve">      })</t>
        </is>
      </c>
    </row>
    <row r="290">
      <c r="A290" s="7" t="n">
        <v>287</v>
      </c>
      <c r="B290" s="8" t="inlineStr">
        <is>
          <t xml:space="preserve">    """</t>
        </is>
      </c>
    </row>
    <row r="291">
      <c r="A291" s="9" t="n">
        <v>288</v>
      </c>
      <c r="B291" s="10" t="inlineStr">
        <is>
          <t xml:space="preserve">    return get_learner().bulk_learn(data)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core\library_builder.py</t>
        </is>
      </c>
      <c r="C1" s="5" t="inlineStr">
        <is>
          <t>行数: 270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AI素材库 — 入库 + FAISS索引更新</t>
        </is>
      </c>
    </row>
    <row r="6">
      <c r="A6" s="7" t="n">
        <v>3</v>
      </c>
      <c r="B6" s="8" t="inlineStr">
        <is>
          <t>SQLite 元数据存储 + 增量/全量 FAISS 向量索引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sqlite3, json, time, numpy as np, os as _os, threading as _threading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from typing import List, Optional, Callable</t>
        </is>
      </c>
    </row>
    <row r="11">
      <c r="A11" s="9" t="n">
        <v>8</v>
      </c>
      <c r="B11" s="10" t="inlineStr"/>
    </row>
    <row r="12">
      <c r="A12" s="7" t="n">
        <v>9</v>
      </c>
      <c r="B12" s="8" t="inlineStr">
        <is>
          <t>_faiss_lock = _threading.Lock()  # FAISS构建锁 — 防并发写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class LibraryBuilder:</t>
        </is>
      </c>
    </row>
    <row r="16">
      <c r="A16" s="7" t="n">
        <v>13</v>
      </c>
      <c r="B16" s="8" t="inlineStr">
        <is>
          <t xml:space="preserve">    """素材库构建器 — 写入SQLite + 更新FAISS"""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 xml:space="preserve">    def __init__(self, db_path: str = None):</t>
        </is>
      </c>
    </row>
    <row r="19">
      <c r="A19" s="9" t="n">
        <v>16</v>
      </c>
      <c r="B19" s="10" t="inlineStr">
        <is>
          <t xml:space="preserve">        if db_path is None:</t>
        </is>
      </c>
    </row>
    <row r="20">
      <c r="A20" s="7" t="n">
        <v>17</v>
      </c>
      <c r="B20" s="8" t="inlineStr">
        <is>
          <t xml:space="preserve">            db_path = str(Path(__file__).parent.parent / "ai_material_library.db")</t>
        </is>
      </c>
    </row>
    <row r="21">
      <c r="A21" s="9" t="n">
        <v>18</v>
      </c>
      <c r="B21" s="10" t="inlineStr">
        <is>
          <t xml:space="preserve">        self.db_path = db_path</t>
        </is>
      </c>
    </row>
    <row r="22">
      <c r="A22" s="7" t="n">
        <v>19</v>
      </c>
      <c r="B22" s="8" t="inlineStr">
        <is>
          <t xml:space="preserve">        self._init_db()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 xml:space="preserve">    def _init_db(self):</t>
        </is>
      </c>
    </row>
    <row r="25">
      <c r="A25" s="9" t="n">
        <v>22</v>
      </c>
      <c r="B25" s="10" t="inlineStr">
        <is>
          <t xml:space="preserve">        with sqlite3.connect(self.db_path) as conn:</t>
        </is>
      </c>
    </row>
    <row r="26">
      <c r="A26" s="7" t="n">
        <v>23</v>
      </c>
      <c r="B26" s="8" t="inlineStr">
        <is>
          <t xml:space="preserve">            conn.execute("PRAGMA journal_mode=WAL")</t>
        </is>
      </c>
    </row>
    <row r="27">
      <c r="A27" s="9" t="n">
        <v>24</v>
      </c>
      <c r="B27" s="10" t="inlineStr">
        <is>
          <t xml:space="preserve">            conn.executescript("""</t>
        </is>
      </c>
    </row>
    <row r="28">
      <c r="A28" s="7" t="n">
        <v>25</v>
      </c>
      <c r="B28" s="8" t="inlineStr">
        <is>
          <t xml:space="preserve">                CREATE TABLE IF NOT EXISTS materials (</t>
        </is>
      </c>
    </row>
    <row r="29">
      <c r="A29" s="9" t="n">
        <v>26</v>
      </c>
      <c r="B29" s="10" t="inlineStr">
        <is>
          <t xml:space="preserve">                    id INTEGER PRIMARY KEY AUTOINCREMENT,</t>
        </is>
      </c>
    </row>
    <row r="30">
      <c r="A30" s="7" t="n">
        <v>27</v>
      </c>
      <c r="B30" s="8" t="inlineStr">
        <is>
          <t xml:space="preserve">                    video_path TEXT NOT NULL,</t>
        </is>
      </c>
    </row>
    <row r="31">
      <c r="A31" s="9" t="n">
        <v>28</v>
      </c>
      <c r="B31" s="10" t="inlineStr">
        <is>
          <t xml:space="preserve">                    start_time REAL DEFAULT 0,</t>
        </is>
      </c>
    </row>
    <row r="32">
      <c r="A32" s="7" t="n">
        <v>29</v>
      </c>
      <c r="B32" s="8" t="inlineStr">
        <is>
          <t xml:space="preserve">                    end_time REAL DEFAULT 0,</t>
        </is>
      </c>
    </row>
    <row r="33">
      <c r="A33" s="9" t="n">
        <v>30</v>
      </c>
      <c r="B33" s="10" t="inlineStr">
        <is>
          <t xml:space="preserve">                    tags TEXT DEFAULT '',</t>
        </is>
      </c>
    </row>
    <row r="34">
      <c r="A34" s="7" t="n">
        <v>31</v>
      </c>
      <c r="B34" s="8" t="inlineStr">
        <is>
          <t xml:space="preserve">                    objects TEXT DEFAULT '',</t>
        </is>
      </c>
    </row>
    <row r="35">
      <c r="A35" s="9" t="n">
        <v>32</v>
      </c>
      <c r="B35" s="10" t="inlineStr">
        <is>
          <t xml:space="preserve">                    style TEXT DEFAULT '',</t>
        </is>
      </c>
    </row>
    <row r="36">
      <c r="A36" s="7" t="n">
        <v>33</v>
      </c>
      <c r="B36" s="8" t="inlineStr">
        <is>
          <t xml:space="preserve">                    color TEXT DEFAULT '',</t>
        </is>
      </c>
    </row>
    <row r="37">
      <c r="A37" s="9" t="n">
        <v>34</v>
      </c>
      <c r="B37" s="10" t="inlineStr">
        <is>
          <t xml:space="preserve">                    material TEXT DEFAULT '',</t>
        </is>
      </c>
    </row>
    <row r="38">
      <c r="A38" s="7" t="n">
        <v>35</v>
      </c>
      <c r="B38" s="8" t="inlineStr">
        <is>
          <t xml:space="preserve">                    speech_text TEXT DEFAULT '',</t>
        </is>
      </c>
    </row>
    <row r="39">
      <c r="A39" s="9" t="n">
        <v>36</v>
      </c>
      <c r="B39" s="10" t="inlineStr">
        <is>
          <t xml:space="preserve">                    confidence REAL DEFAULT 0.0,</t>
        </is>
      </c>
    </row>
    <row r="40">
      <c r="A40" s="7" t="n">
        <v>37</v>
      </c>
      <c r="B40" s="8" t="inlineStr">
        <is>
          <t xml:space="preserve">                    embedding BLOB DEFAULT NULL,</t>
        </is>
      </c>
    </row>
    <row r="41">
      <c r="A41" s="9" t="n">
        <v>38</v>
      </c>
      <c r="B41" s="10" t="inlineStr">
        <is>
          <t xml:space="preserve">                    source_folder TEXT DEFAULT '',</t>
        </is>
      </c>
    </row>
    <row r="42">
      <c r="A42" s="7" t="n">
        <v>39</v>
      </c>
      <c r="B42" s="8" t="inlineStr">
        <is>
          <t xml:space="preserve">                    duration REAL DEFAULT 0,</t>
        </is>
      </c>
    </row>
    <row r="43">
      <c r="A43" s="9" t="n">
        <v>40</v>
      </c>
      <c r="B43" s="10" t="inlineStr">
        <is>
          <t xml:space="preserve">                    file_size INTEGER DEFAULT 0,</t>
        </is>
      </c>
    </row>
    <row r="44">
      <c r="A44" s="7" t="n">
        <v>41</v>
      </c>
      <c r="B44" s="8" t="inlineStr">
        <is>
          <t xml:space="preserve">                    file_mtime REAL DEFAULT 0,</t>
        </is>
      </c>
    </row>
    <row r="45">
      <c r="A45" s="9" t="n">
        <v>42</v>
      </c>
      <c r="B45" s="10" t="inlineStr">
        <is>
          <t xml:space="preserve">                    analyzed INTEGER DEFAULT 0,</t>
        </is>
      </c>
    </row>
    <row r="46">
      <c r="A46" s="7" t="n">
        <v>43</v>
      </c>
      <c r="B46" s="8" t="inlineStr">
        <is>
          <t xml:space="preserve">                    created_time TEXT DEFAULT CURRENT_TIMESTAMP</t>
        </is>
      </c>
    </row>
    <row r="47">
      <c r="A47" s="9" t="n">
        <v>44</v>
      </c>
      <c r="B47" s="10" t="inlineStr">
        <is>
          <t xml:space="preserve">                );</t>
        </is>
      </c>
    </row>
    <row r="48">
      <c r="A48" s="7" t="n">
        <v>45</v>
      </c>
      <c r="B48" s="8" t="inlineStr">
        <is>
          <t xml:space="preserve">                CREATE INDEX IF NOT EXISTS idx_video_path ON materials(video_path);</t>
        </is>
      </c>
    </row>
    <row r="49">
      <c r="A49" s="9" t="n">
        <v>46</v>
      </c>
      <c r="B49" s="10" t="inlineStr">
        <is>
          <t xml:space="preserve">                CREATE INDEX IF NOT EXISTS idx_tags ON materials(tags);</t>
        </is>
      </c>
    </row>
    <row r="50">
      <c r="A50" s="7" t="n">
        <v>47</v>
      </c>
      <c r="B50" s="8" t="inlineStr">
        <is>
          <t xml:space="preserve">                CREATE INDEX IF NOT EXISTS idx_analyzed ON materials(analyzed);</t>
        </is>
      </c>
    </row>
    <row r="51">
      <c r="A51" s="9" t="n">
        <v>48</v>
      </c>
      <c r="B51" s="10" t="inlineStr">
        <is>
          <t xml:space="preserve">                CREATE TABLE IF NOT EXISTS video_registry (</t>
        </is>
      </c>
    </row>
    <row r="52">
      <c r="A52" s="7" t="n">
        <v>49</v>
      </c>
      <c r="B52" s="8" t="inlineStr">
        <is>
          <t xml:space="preserve">                    video_path TEXT PRIMARY KEY,</t>
        </is>
      </c>
    </row>
    <row r="53">
      <c r="A53" s="9" t="n">
        <v>50</v>
      </c>
      <c r="B53" s="10" t="inlineStr">
        <is>
          <t xml:space="preserve">                    file_mtime REAL,</t>
        </is>
      </c>
    </row>
    <row r="54">
      <c r="A54" s="7" t="n">
        <v>51</v>
      </c>
      <c r="B54" s="8" t="inlineStr">
        <is>
          <t xml:space="preserve">                    file_size INTEGER,</t>
        </is>
      </c>
    </row>
    <row r="55">
      <c r="A55" s="9" t="n">
        <v>52</v>
      </c>
      <c r="B55" s="10" t="inlineStr">
        <is>
          <t xml:space="preserve">                    duration REAL,</t>
        </is>
      </c>
    </row>
    <row r="56">
      <c r="A56" s="7" t="n">
        <v>53</v>
      </c>
      <c r="B56" s="8" t="inlineStr">
        <is>
          <t xml:space="preserve">                    analyzed INTEGER DEFAULT 0,</t>
        </is>
      </c>
    </row>
    <row r="57">
      <c r="A57" s="9" t="n">
        <v>54</v>
      </c>
      <c r="B57" s="10" t="inlineStr">
        <is>
          <t xml:space="preserve">                    last_checked TEXT DEFAULT CURRENT_TIMESTAMP</t>
        </is>
      </c>
    </row>
    <row r="58">
      <c r="A58" s="7" t="n">
        <v>55</v>
      </c>
      <c r="B58" s="8" t="inlineStr">
        <is>
          <t xml:space="preserve">                );</t>
        </is>
      </c>
    </row>
    <row r="59">
      <c r="A59" s="9" t="n">
        <v>56</v>
      </c>
      <c r="B59" s="10" t="inlineStr">
        <is>
          <t xml:space="preserve">                CREATE TABLE IF NOT EXISTS analysis_log (</t>
        </is>
      </c>
    </row>
    <row r="60">
      <c r="A60" s="7" t="n">
        <v>57</v>
      </c>
      <c r="B60" s="8" t="inlineStr">
        <is>
          <t xml:space="preserve">                    id INTEGER PRIMARY KEY AUTOINCREMENT,</t>
        </is>
      </c>
    </row>
    <row r="61">
      <c r="A61" s="9" t="n">
        <v>58</v>
      </c>
      <c r="B61" s="10" t="inlineStr">
        <is>
          <t xml:space="preserve">                    video_path TEXT NOT NULL,</t>
        </is>
      </c>
    </row>
    <row r="62">
      <c r="A62" s="7" t="n">
        <v>59</v>
      </c>
      <c r="B62" s="8" t="inlineStr">
        <is>
          <t xml:space="preserve">                    models_used TEXT DEFAULT '',</t>
        </is>
      </c>
    </row>
    <row r="63">
      <c r="A63" s="9" t="n">
        <v>60</v>
      </c>
      <c r="B63" s="10" t="inlineStr">
        <is>
          <t xml:space="preserve">                    vl_available INTEGER DEFAULT 0,</t>
        </is>
      </c>
    </row>
    <row r="64">
      <c r="A64" s="7" t="n">
        <v>61</v>
      </c>
      <c r="B64" s="8" t="inlineStr">
        <is>
          <t xml:space="preserve">                    clip_available INTEGER DEFAULT 0,</t>
        </is>
      </c>
    </row>
    <row r="65">
      <c r="A65" s="9" t="n">
        <v>62</v>
      </c>
      <c r="B65" s="10" t="inlineStr">
        <is>
          <t xml:space="preserve">                    whisper_available INTEGER DEFAULT 0,</t>
        </is>
      </c>
    </row>
    <row r="66">
      <c r="A66" s="7" t="n">
        <v>63</v>
      </c>
      <c r="B66" s="8" t="inlineStr">
        <is>
          <t xml:space="preserve">                    tags_generated TEXT DEFAULT '',</t>
        </is>
      </c>
    </row>
    <row r="67">
      <c r="A67" s="9" t="n">
        <v>64</v>
      </c>
      <c r="B67" s="10" t="inlineStr">
        <is>
          <t xml:space="preserve">                    duration_sec REAL DEFAULT 0,</t>
        </is>
      </c>
    </row>
    <row r="68">
      <c r="A68" s="7" t="n">
        <v>65</v>
      </c>
      <c r="B68" s="8" t="inlineStr">
        <is>
          <t xml:space="preserve">                    created_at TEXT DEFAULT CURRENT_TIMESTAMP</t>
        </is>
      </c>
    </row>
    <row r="69">
      <c r="A69" s="9" t="n">
        <v>66</v>
      </c>
      <c r="B69" s="10" t="inlineStr">
        <is>
          <t xml:space="preserve">                );</t>
        </is>
      </c>
    </row>
    <row r="70">
      <c r="A70" s="7" t="n">
        <v>67</v>
      </c>
      <c r="B70" s="8" t="inlineStr">
        <is>
          <t xml:space="preserve">            """)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 xml:space="preserve">    def insert_analysis(self, data: dict, models_used: List[str] = None):</t>
        </is>
      </c>
    </row>
    <row r="73">
      <c r="A73" s="9" t="n">
        <v>70</v>
      </c>
      <c r="B73" s="10" t="inlineStr">
        <is>
          <t xml:space="preserve">        """写入分析结果到数据库"""</t>
        </is>
      </c>
    </row>
    <row r="74">
      <c r="A74" s="7" t="n">
        <v>71</v>
      </c>
      <c r="B74" s="8" t="inlineStr">
        <is>
          <t xml:space="preserve">        embedding_blob = None</t>
        </is>
      </c>
    </row>
    <row r="75">
      <c r="A75" s="9" t="n">
        <v>72</v>
      </c>
      <c r="B75" s="10" t="inlineStr">
        <is>
          <t xml:space="preserve">        if data.get("embedding"):</t>
        </is>
      </c>
    </row>
    <row r="76">
      <c r="A76" s="7" t="n">
        <v>73</v>
      </c>
      <c r="B76" s="8" t="inlineStr">
        <is>
          <t xml:space="preserve">            emb = np.array(data["embedding"], dtype=np.float32)</t>
        </is>
      </c>
    </row>
    <row r="77">
      <c r="A77" s="9" t="n">
        <v>74</v>
      </c>
      <c r="B77" s="10" t="inlineStr">
        <is>
          <t xml:space="preserve">            embedding_blob = emb.tobytes()</t>
        </is>
      </c>
    </row>
    <row r="78">
      <c r="A78" s="7" t="n">
        <v>75</v>
      </c>
      <c r="B78" s="8" t="inlineStr"/>
    </row>
    <row r="79">
      <c r="A79" s="9" t="n">
        <v>76</v>
      </c>
      <c r="B79" s="10" t="inlineStr">
        <is>
          <t xml:space="preserve">        with sqlite3.connect(self.db_path) as conn:</t>
        </is>
      </c>
    </row>
    <row r="80">
      <c r="A80" s="7" t="n">
        <v>77</v>
      </c>
      <c r="B80" s="8" t="inlineStr">
        <is>
          <t xml:space="preserve">            conn.execute("""</t>
        </is>
      </c>
    </row>
    <row r="81">
      <c r="A81" s="9" t="n">
        <v>78</v>
      </c>
      <c r="B81" s="10" t="inlineStr">
        <is>
          <t xml:space="preserve">                INSERT OR REPLACE INTO materials</t>
        </is>
      </c>
    </row>
    <row r="82">
      <c r="A82" s="7" t="n">
        <v>79</v>
      </c>
      <c r="B82" s="8" t="inlineStr">
        <is>
          <t xml:space="preserve">                (video_path, start_time, end_time, tags, objects, style, color,</t>
        </is>
      </c>
    </row>
    <row r="83">
      <c r="A83" s="9" t="n">
        <v>80</v>
      </c>
      <c r="B83" s="10" t="inlineStr">
        <is>
          <t xml:space="preserve">                 material, speech_text, confidence, embedding, source_folder,</t>
        </is>
      </c>
    </row>
    <row r="84">
      <c r="A84" s="7" t="n">
        <v>81</v>
      </c>
      <c r="B84" s="8" t="inlineStr">
        <is>
          <t xml:space="preserve">                 duration, file_size, file_mtime, analyzed)</t>
        </is>
      </c>
    </row>
    <row r="85">
      <c r="A85" s="9" t="n">
        <v>82</v>
      </c>
      <c r="B85" s="10" t="inlineStr">
        <is>
          <t xml:space="preserve">                VALUES (?,?,?,?,?,?,?,?,?,?,?,?,?,?,?,1)</t>
        </is>
      </c>
    </row>
    <row r="86">
      <c r="A86" s="7" t="n">
        <v>83</v>
      </c>
      <c r="B86" s="8" t="inlineStr">
        <is>
          <t xml:space="preserve">            """, (</t>
        </is>
      </c>
    </row>
    <row r="87">
      <c r="A87" s="9" t="n">
        <v>84</v>
      </c>
      <c r="B87" s="10" t="inlineStr">
        <is>
          <t xml:space="preserve">                data["video_path"], data.get("start_time", 0), data.get("end_time", 0),</t>
        </is>
      </c>
    </row>
    <row r="88">
      <c r="A88" s="7" t="n">
        <v>85</v>
      </c>
      <c r="B88" s="8" t="inlineStr">
        <is>
          <t xml:space="preserve">                data.get("tags", ""), data.get("objects", ""),</t>
        </is>
      </c>
    </row>
    <row r="89">
      <c r="A89" s="9" t="n">
        <v>86</v>
      </c>
      <c r="B89" s="10" t="inlineStr">
        <is>
          <t xml:space="preserve">                data.get("style", ""), data.get("color", ""), data.get("material", ""),</t>
        </is>
      </c>
    </row>
    <row r="90">
      <c r="A90" s="7" t="n">
        <v>87</v>
      </c>
      <c r="B90" s="8" t="inlineStr">
        <is>
          <t xml:space="preserve">                data.get("speech_text", ""), data.get("confidence", 0.0),</t>
        </is>
      </c>
    </row>
    <row r="91">
      <c r="A91" s="9" t="n">
        <v>88</v>
      </c>
      <c r="B91" s="10" t="inlineStr">
        <is>
          <t xml:space="preserve">                embedding_blob, data.get("source_folder", ""),</t>
        </is>
      </c>
    </row>
    <row r="92">
      <c r="A92" s="7" t="n">
        <v>89</v>
      </c>
      <c r="B92" s="8" t="inlineStr">
        <is>
          <t xml:space="preserve">                data.get("duration", 0), data.get("file_size", 0),</t>
        </is>
      </c>
    </row>
    <row r="93">
      <c r="A93" s="9" t="n">
        <v>90</v>
      </c>
      <c r="B93" s="10" t="inlineStr">
        <is>
          <t xml:space="preserve">                data.get("file_mtime", 0),</t>
        </is>
      </c>
    </row>
    <row r="94">
      <c r="A94" s="7" t="n">
        <v>91</v>
      </c>
      <c r="B94" s="8" t="inlineStr">
        <is>
          <t xml:space="preserve">            ))</t>
        </is>
      </c>
    </row>
    <row r="95">
      <c r="A95" s="9" t="n">
        <v>92</v>
      </c>
      <c r="B95" s="10" t="inlineStr"/>
    </row>
    <row r="96">
      <c r="A96" s="7" t="n">
        <v>93</v>
      </c>
      <c r="B96" s="8" t="inlineStr">
        <is>
          <t xml:space="preserve">            # 记录分析日志</t>
        </is>
      </c>
    </row>
    <row r="97">
      <c r="A97" s="9" t="n">
        <v>94</v>
      </c>
      <c r="B97" s="10" t="inlineStr">
        <is>
          <t xml:space="preserve">            conn.execute("""</t>
        </is>
      </c>
    </row>
    <row r="98">
      <c r="A98" s="7" t="n">
        <v>95</v>
      </c>
      <c r="B98" s="8" t="inlineStr">
        <is>
          <t xml:space="preserve">                INSERT INTO analysis_log</t>
        </is>
      </c>
    </row>
    <row r="99">
      <c r="A99" s="9" t="n">
        <v>96</v>
      </c>
      <c r="B99" s="10" t="inlineStr">
        <is>
          <t xml:space="preserve">                (video_path, models_used, vl_available, clip_available, whisper_available, tags_generated)</t>
        </is>
      </c>
    </row>
    <row r="100">
      <c r="A100" s="7" t="n">
        <v>97</v>
      </c>
      <c r="B100" s="8" t="inlineStr">
        <is>
          <t xml:space="preserve">                VALUES (?,?,?,?,?,?)</t>
        </is>
      </c>
    </row>
    <row r="101">
      <c r="A101" s="9" t="n">
        <v>98</v>
      </c>
      <c r="B101" s="10" t="inlineStr">
        <is>
          <t xml:space="preserve">            """, (</t>
        </is>
      </c>
    </row>
    <row r="102">
      <c r="A102" s="7" t="n">
        <v>99</v>
      </c>
      <c r="B102" s="8" t="inlineStr">
        <is>
          <t xml:space="preserve">                data["video_path"],</t>
        </is>
      </c>
    </row>
    <row r="103">
      <c r="A103" s="9" t="n">
        <v>100</v>
      </c>
      <c r="B103" s="10" t="inlineStr">
        <is>
          <t xml:space="preserve">                ",".join(models_used) if models_used else "",</t>
        </is>
      </c>
    </row>
    <row r="104">
      <c r="A104" s="7" t="n">
        <v>101</v>
      </c>
      <c r="B104" s="8" t="inlineStr">
        <is>
          <t xml:space="preserve">                1 if "qwen_vl" in (models_used or []) else 0,</t>
        </is>
      </c>
    </row>
    <row r="105">
      <c r="A105" s="9" t="n">
        <v>102</v>
      </c>
      <c r="B105" s="10" t="inlineStr">
        <is>
          <t xml:space="preserve">                1 if "clip" in (models_used or []) else 0,</t>
        </is>
      </c>
    </row>
    <row r="106">
      <c r="A106" s="7" t="n">
        <v>103</v>
      </c>
      <c r="B106" s="8" t="inlineStr">
        <is>
          <t xml:space="preserve">                1 if "whisper" in (models_used or []) else 0,</t>
        </is>
      </c>
    </row>
    <row r="107">
      <c r="A107" s="9" t="n">
        <v>104</v>
      </c>
      <c r="B107" s="10" t="inlineStr">
        <is>
          <t xml:space="preserve">                data.get("tags", "")[:200],</t>
        </is>
      </c>
    </row>
    <row r="108">
      <c r="A108" s="7" t="n">
        <v>105</v>
      </c>
      <c r="B108" s="8" t="inlineStr">
        <is>
          <t xml:space="preserve">            ))</t>
        </is>
      </c>
    </row>
    <row r="109">
      <c r="A109" s="9" t="n">
        <v>106</v>
      </c>
      <c r="B109" s="10" t="inlineStr"/>
    </row>
    <row r="110">
      <c r="A110" s="7" t="n">
        <v>107</v>
      </c>
      <c r="B110" s="8" t="inlineStr">
        <is>
          <t xml:space="preserve">            # 注册视频</t>
        </is>
      </c>
    </row>
    <row r="111">
      <c r="A111" s="9" t="n">
        <v>108</v>
      </c>
      <c r="B111" s="10" t="inlineStr">
        <is>
          <t xml:space="preserve">            conn.execute("""</t>
        </is>
      </c>
    </row>
    <row r="112">
      <c r="A112" s="7" t="n">
        <v>109</v>
      </c>
      <c r="B112" s="8" t="inlineStr">
        <is>
          <t xml:space="preserve">                INSERT OR REPLACE INTO video_registry</t>
        </is>
      </c>
    </row>
    <row r="113">
      <c r="A113" s="9" t="n">
        <v>110</v>
      </c>
      <c r="B113" s="10" t="inlineStr">
        <is>
          <t xml:space="preserve">                (video_path, file_mtime, file_size, duration, analyzed, last_checked)</t>
        </is>
      </c>
    </row>
    <row r="114">
      <c r="A114" s="7" t="n">
        <v>111</v>
      </c>
      <c r="B114" s="8" t="inlineStr">
        <is>
          <t xml:space="preserve">                VALUES (?,?,?,?,1,CURRENT_TIMESTAMP)</t>
        </is>
      </c>
    </row>
    <row r="115">
      <c r="A115" s="9" t="n">
        <v>112</v>
      </c>
      <c r="B115" s="10" t="inlineStr">
        <is>
          <t xml:space="preserve">            """, (</t>
        </is>
      </c>
    </row>
    <row r="116">
      <c r="A116" s="7" t="n">
        <v>113</v>
      </c>
      <c r="B116" s="8" t="inlineStr">
        <is>
          <t xml:space="preserve">                data["video_path"],</t>
        </is>
      </c>
    </row>
    <row r="117">
      <c r="A117" s="9" t="n">
        <v>114</v>
      </c>
      <c r="B117" s="10" t="inlineStr">
        <is>
          <t xml:space="preserve">                data.get("file_mtime", 0),</t>
        </is>
      </c>
    </row>
    <row r="118">
      <c r="A118" s="7" t="n">
        <v>115</v>
      </c>
      <c r="B118" s="8" t="inlineStr">
        <is>
          <t xml:space="preserve">                data.get("file_size", 0),</t>
        </is>
      </c>
    </row>
    <row r="119">
      <c r="A119" s="9" t="n">
        <v>116</v>
      </c>
      <c r="B119" s="10" t="inlineStr">
        <is>
          <t xml:space="preserve">                data.get("duration", 0),</t>
        </is>
      </c>
    </row>
    <row r="120">
      <c r="A120" s="7" t="n">
        <v>117</v>
      </c>
      <c r="B120" s="8" t="inlineStr">
        <is>
          <t xml:space="preserve">            ))</t>
        </is>
      </c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 xml:space="preserve">    def get_stats(self) -&gt; dict:</t>
        </is>
      </c>
    </row>
    <row r="123">
      <c r="A123" s="9" t="n">
        <v>120</v>
      </c>
      <c r="B123" s="10" t="inlineStr">
        <is>
          <t xml:space="preserve">        with sqlite3.connect(self.db_path) as conn:</t>
        </is>
      </c>
    </row>
    <row r="124">
      <c r="A124" s="7" t="n">
        <v>121</v>
      </c>
      <c r="B124" s="8" t="inlineStr">
        <is>
          <t xml:space="preserve">            total = conn.execute("SELECT COUNT(*) FROM materials").fetchone()[0]</t>
        </is>
      </c>
    </row>
    <row r="125">
      <c r="A125" s="9" t="n">
        <v>122</v>
      </c>
      <c r="B125" s="10" t="inlineStr">
        <is>
          <t xml:space="preserve">            analyzed = conn.execute("SELECT COUNT(*) FROM video_registry WHERE analyzed=1").fetchone()[0]</t>
        </is>
      </c>
    </row>
    <row r="126">
      <c r="A126" s="7" t="n">
        <v>123</v>
      </c>
      <c r="B126" s="8" t="inlineStr">
        <is>
          <t xml:space="preserve">            total_vids = conn.execute("SELECT COUNT(*) FROM video_registry").fetchone()[0]</t>
        </is>
      </c>
    </row>
    <row r="127">
      <c r="A127" s="9" t="n">
        <v>124</v>
      </c>
      <c r="B127" s="10" t="inlineStr">
        <is>
          <t xml:space="preserve">            logs = conn.execute("SELECT COUNT(*) FROM analysis_log").fetchone()[0]</t>
        </is>
      </c>
    </row>
    <row r="128">
      <c r="A128" s="7" t="n">
        <v>125</v>
      </c>
      <c r="B128" s="8" t="inlineStr">
        <is>
          <t xml:space="preserve">            return {"total_segments": total, "analyzed_videos": analyzed,</t>
        </is>
      </c>
    </row>
    <row r="129">
      <c r="A129" s="9" t="n">
        <v>126</v>
      </c>
      <c r="B129" s="10" t="inlineStr">
        <is>
          <t xml:space="preserve">                    "total_videos": total_vids, "analysis_logs": logs}</t>
        </is>
      </c>
    </row>
    <row r="130">
      <c r="A130" s="7" t="n">
        <v>127</v>
      </c>
      <c r="B130" s="8" t="inlineStr"/>
    </row>
    <row r="131">
      <c r="A131" s="9" t="n">
        <v>128</v>
      </c>
      <c r="B131" s="10" t="inlineStr">
        <is>
          <t xml:space="preserve">    def build_faiss_index(self, output_dir: str = None, progress: Callable = None):</t>
        </is>
      </c>
    </row>
    <row r="132">
      <c r="A132" s="7" t="n">
        <v>129</v>
      </c>
      <c r="B132" s="8" t="inlineStr">
        <is>
          <t xml:space="preserve">        """</t>
        </is>
      </c>
    </row>
    <row r="133">
      <c r="A133" s="9" t="n">
        <v>130</v>
      </c>
      <c r="B133" s="10" t="inlineStr">
        <is>
          <t xml:space="preserve">        全量重建 FAISS 索引 — 从数据库读取所有有效embedding，确保一致性。</t>
        </is>
      </c>
    </row>
    <row r="134">
      <c r="A134" s="7" t="n">
        <v>131</v>
      </c>
      <c r="B134" s="8" t="inlineStr">
        <is>
          <t xml:space="preserve">        使用原子写入+文件锁: 防并发重建冲突。</t>
        </is>
      </c>
    </row>
    <row r="135">
      <c r="A135" s="9" t="n">
        <v>132</v>
      </c>
      <c r="B135" s="10" t="inlineStr">
        <is>
          <t xml:space="preserve">        """</t>
        </is>
      </c>
    </row>
    <row r="136">
      <c r="A136" s="7" t="n">
        <v>133</v>
      </c>
      <c r="B136" s="8" t="inlineStr">
        <is>
          <t xml:space="preserve">        if not _faiss_lock.acquire(blocking=False):</t>
        </is>
      </c>
    </row>
    <row r="137">
      <c r="A137" s="9" t="n">
        <v>134</v>
      </c>
      <c r="B137" s="10" t="inlineStr">
        <is>
          <t xml:space="preserve">            print("   ⚠ FAISS索引正在重建中(其他任务), 跳过")</t>
        </is>
      </c>
    </row>
    <row r="138">
      <c r="A138" s="7" t="n">
        <v>135</v>
      </c>
      <c r="B138" s="8" t="inlineStr">
        <is>
          <t xml:space="preserve">            return</t>
        </is>
      </c>
    </row>
    <row r="139">
      <c r="A139" s="9" t="n">
        <v>136</v>
      </c>
      <c r="B139" s="10" t="inlineStr">
        <is>
          <t xml:space="preserve">        try:</t>
        </is>
      </c>
    </row>
    <row r="140">
      <c r="A140" s="7" t="n">
        <v>137</v>
      </c>
      <c r="B140" s="8" t="inlineStr">
        <is>
          <t xml:space="preserve">            if output_dir is None:</t>
        </is>
      </c>
    </row>
    <row r="141">
      <c r="A141" s="9" t="n">
        <v>138</v>
      </c>
      <c r="B141" s="10" t="inlineStr">
        <is>
          <t xml:space="preserve">                output_dir = str(Path(__file__).parent.parent / "shipin")</t>
        </is>
      </c>
    </row>
    <row r="142">
      <c r="A142" s="7" t="n">
        <v>139</v>
      </c>
      <c r="B142" s="8" t="inlineStr">
        <is>
          <t xml:space="preserve">            Path(output_dir).mkdir(parents=True, exist_ok=True)</t>
        </is>
      </c>
    </row>
    <row r="143">
      <c r="A143" s="9" t="n">
        <v>140</v>
      </c>
      <c r="B143" s="10" t="inlineStr"/>
    </row>
    <row r="144">
      <c r="A144" s="7" t="n">
        <v>141</v>
      </c>
      <c r="B144" s="8" t="inlineStr">
        <is>
          <t xml:space="preserve">            with sqlite3.connect(self.db_path) as conn:</t>
        </is>
      </c>
    </row>
    <row r="145">
      <c r="A145" s="9" t="n">
        <v>142</v>
      </c>
      <c r="B145" s="10" t="inlineStr">
        <is>
          <t xml:space="preserve">                total = conn.execute("SELECT COUNT(*) FROM materials WHERE embedding IS NOT NULL AND analyzed=1").fetchone()[0]</t>
        </is>
      </c>
    </row>
    <row r="146">
      <c r="A146" s="7" t="n">
        <v>143</v>
      </c>
      <c r="B146" s="8" t="inlineStr">
        <is>
          <t xml:space="preserve">                if total == 0:</t>
        </is>
      </c>
    </row>
    <row r="147">
      <c r="A147" s="9" t="n">
        <v>144</v>
      </c>
      <c r="B147" s="10" t="inlineStr">
        <is>
          <t xml:space="preserve">                    print("   !! 没有可用的嵌入向量"); return</t>
        </is>
      </c>
    </row>
    <row r="148">
      <c r="A148" s="7" t="n">
        <v>145</v>
      </c>
      <c r="B148" s="8" t="inlineStr">
        <is>
          <t xml:space="preserve">                rows = conn.execute("SELECT id, embedding FROM materials WHERE embedding IS NOT NULL AND analyzed=1").fetchall()</t>
        </is>
      </c>
    </row>
    <row r="149">
      <c r="A149" s="9" t="n">
        <v>146</v>
      </c>
      <c r="B149" s="10" t="inlineStr"/>
    </row>
    <row r="150">
      <c r="A150" s="7" t="n">
        <v>147</v>
      </c>
      <c r="B150" s="8" t="inlineStr">
        <is>
          <t xml:space="preserve">            ids, vectors = [], []</t>
        </is>
      </c>
    </row>
    <row r="151">
      <c r="A151" s="9" t="n">
        <v>148</v>
      </c>
      <c r="B151" s="10" t="inlineStr">
        <is>
          <t xml:space="preserve">            for row in rows:</t>
        </is>
      </c>
    </row>
    <row r="152">
      <c r="A152" s="7" t="n">
        <v>149</v>
      </c>
      <c r="B152" s="8" t="inlineStr">
        <is>
          <t xml:space="preserve">                if row[1]:</t>
        </is>
      </c>
    </row>
    <row r="153">
      <c r="A153" s="9" t="n">
        <v>150</v>
      </c>
      <c r="B153" s="10" t="inlineStr">
        <is>
          <t xml:space="preserve">                    try:</t>
        </is>
      </c>
    </row>
    <row r="154">
      <c r="A154" s="7" t="n">
        <v>151</v>
      </c>
      <c r="B154" s="8" t="inlineStr">
        <is>
          <t xml:space="preserve">                        vec = np.frombuffer(row[1], dtype=np.float32)</t>
        </is>
      </c>
    </row>
    <row r="155">
      <c r="A155" s="9" t="n">
        <v>152</v>
      </c>
      <c r="B155" s="10" t="inlineStr">
        <is>
          <t xml:space="preserve">                        if len(vec) &gt; 0: vectors.append(vec); ids.append(row[0])</t>
        </is>
      </c>
    </row>
    <row r="156">
      <c r="A156" s="7" t="n">
        <v>153</v>
      </c>
      <c r="B156" s="8" t="inlineStr">
        <is>
          <t xml:space="preserve">                    except Exception as e:</t>
        </is>
      </c>
    </row>
    <row r="157">
      <c r="A157" s="9" t="n">
        <v>154</v>
      </c>
      <c r="B157" s="10" t="inlineStr">
        <is>
          <t xml:space="preserve">                        from utils.logging import get_error_logger</t>
        </is>
      </c>
    </row>
    <row r="158">
      <c r="A158" s="7" t="n">
        <v>155</v>
      </c>
      <c r="B158" s="8" t="inlineStr">
        <is>
          <t xml:space="preserve">                        get_error_logger().warning("FAISS", f"解析embedding失败 id={row[0]}: {e}")</t>
        </is>
      </c>
    </row>
    <row r="159">
      <c r="A159" s="9" t="n">
        <v>156</v>
      </c>
      <c r="B159" s="10" t="inlineStr">
        <is>
          <t xml:space="preserve">            if not vectors: print("   !! 无法解析嵌入向量"); return</t>
        </is>
      </c>
    </row>
    <row r="160">
      <c r="A160" s="7" t="n">
        <v>157</v>
      </c>
      <c r="B160" s="8" t="inlineStr"/>
    </row>
    <row r="161">
      <c r="A161" s="9" t="n">
        <v>158</v>
      </c>
      <c r="B161" s="10" t="inlineStr">
        <is>
          <t xml:space="preserve">            try:</t>
        </is>
      </c>
    </row>
    <row r="162">
      <c r="A162" s="7" t="n">
        <v>159</v>
      </c>
      <c r="B162" s="8" t="inlineStr">
        <is>
          <t xml:space="preserve">                import faiss</t>
        </is>
      </c>
    </row>
    <row r="163">
      <c r="A163" s="9" t="n">
        <v>160</v>
      </c>
      <c r="B163" s="10" t="inlineStr">
        <is>
          <t xml:space="preserve">                dim = len(vectors[0])</t>
        </is>
      </c>
    </row>
    <row r="164">
      <c r="A164" s="7" t="n">
        <v>161</v>
      </c>
      <c r="B164" s="8" t="inlineStr">
        <is>
          <t xml:space="preserve">                index = faiss.IndexFlatL2(dim)</t>
        </is>
      </c>
    </row>
    <row r="165">
      <c r="A165" s="9" t="n">
        <v>162</v>
      </c>
      <c r="B165" s="10" t="inlineStr">
        <is>
          <t xml:space="preserve">                index.add(np.array(vectors, dtype=np.float32))</t>
        </is>
      </c>
    </row>
    <row r="166">
      <c r="A166" s="7" t="n">
        <v>163</v>
      </c>
      <c r="B166" s="8" t="inlineStr"/>
    </row>
    <row r="167">
      <c r="A167" s="9" t="n">
        <v>164</v>
      </c>
      <c r="B167" s="10" t="inlineStr">
        <is>
          <t xml:space="preserve">                idx_tmp = str(Path(output_dir) / "material_faiss.index.tmp")</t>
        </is>
      </c>
    </row>
    <row r="168">
      <c r="A168" s="7" t="n">
        <v>165</v>
      </c>
      <c r="B168" s="8" t="inlineStr">
        <is>
          <t xml:space="preserve">                idmap_tmp = str(Path(output_dir) / "material_faiss_idmap.json.tmp")</t>
        </is>
      </c>
    </row>
    <row r="169">
      <c r="A169" s="9" t="n">
        <v>166</v>
      </c>
      <c r="B169" s="10" t="inlineStr">
        <is>
          <t xml:space="preserve">                idx_final = str(Path(output_dir) / "material_faiss.index")</t>
        </is>
      </c>
    </row>
    <row r="170">
      <c r="A170" s="7" t="n">
        <v>167</v>
      </c>
      <c r="B170" s="8" t="inlineStr">
        <is>
          <t xml:space="preserve">                idmap_final = str(Path(output_dir) / "material_faiss_idmap.json")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            faiss.write_index(index, idx_tmp)</t>
        </is>
      </c>
    </row>
    <row r="173">
      <c r="A173" s="9" t="n">
        <v>170</v>
      </c>
      <c r="B173" s="10" t="inlineStr">
        <is>
          <t xml:space="preserve">                with open(idmap_tmp, "w") as f: json.dump(ids, f)</t>
        </is>
      </c>
    </row>
    <row r="174">
      <c r="A174" s="7" t="n">
        <v>171</v>
      </c>
      <c r="B174" s="8" t="inlineStr"/>
    </row>
    <row r="175">
      <c r="A175" s="9" t="n">
        <v>172</v>
      </c>
      <c r="B175" s="10" t="inlineStr">
        <is>
          <t xml:space="preserve">                _os.replace(idx_tmp, idx_final)</t>
        </is>
      </c>
    </row>
    <row r="176">
      <c r="A176" s="7" t="n">
        <v>173</v>
      </c>
      <c r="B176" s="8" t="inlineStr">
        <is>
          <t xml:space="preserve">                _os.replace(idmap_tmp, idmap_final)</t>
        </is>
      </c>
    </row>
    <row r="177">
      <c r="A177" s="9" t="n">
        <v>174</v>
      </c>
      <c r="B177" s="10" t="inlineStr"/>
    </row>
    <row r="178">
      <c r="A178" s="7" t="n">
        <v>175</v>
      </c>
      <c r="B178" s="8" t="inlineStr">
        <is>
          <t xml:space="preserve">                if progress: progress(f"重建完成: {len(ids)}向量, {dim}维")</t>
        </is>
      </c>
    </row>
    <row r="179">
      <c r="A179" s="9" t="n">
        <v>176</v>
      </c>
      <c r="B179" s="10" t="inlineStr">
        <is>
          <t xml:space="preserve">                print(f"   ✅ FAISS索引全量重建: {len(ids)}向量, {dim}维 (原子写入)")</t>
        </is>
      </c>
    </row>
    <row r="180">
      <c r="A180" s="7" t="n">
        <v>177</v>
      </c>
      <c r="B180" s="8" t="inlineStr">
        <is>
          <t xml:space="preserve">            except ImportError:</t>
        </is>
      </c>
    </row>
    <row r="181">
      <c r="A181" s="9" t="n">
        <v>178</v>
      </c>
      <c r="B181" s="10" t="inlineStr">
        <is>
          <t xml:space="preserve">                print("   !! faiss-cpu 未安装")</t>
        </is>
      </c>
    </row>
    <row r="182">
      <c r="A182" s="7" t="n">
        <v>179</v>
      </c>
      <c r="B182" s="8" t="inlineStr">
        <is>
          <t xml:space="preserve">        finally:</t>
        </is>
      </c>
    </row>
    <row r="183">
      <c r="A183" s="9" t="n">
        <v>180</v>
      </c>
      <c r="B183" s="10" t="inlineStr">
        <is>
          <t xml:space="preserve">            _faiss_lock.release()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 xml:space="preserve">    def incremental_scan(self, scan_paths: list = None):</t>
        </is>
      </c>
    </row>
    <row r="186">
      <c r="A186" s="7" t="n">
        <v>183</v>
      </c>
      <c r="B186" s="8" t="inlineStr">
        <is>
          <t xml:space="preserve">        """</t>
        </is>
      </c>
    </row>
    <row r="187">
      <c r="A187" s="9" t="n">
        <v>184</v>
      </c>
      <c r="B187" s="10" t="inlineStr">
        <is>
          <t xml:space="preserve">        增量扫描: 检查文件夹修改时间, 只处理新增/修改的视频。</t>
        </is>
      </c>
    </row>
    <row r="188">
      <c r="A188" s="7" t="n">
        <v>185</v>
      </c>
      <c r="B188" s="8" t="inlineStr">
        <is>
          <t xml:space="preserve">        在数据库中记录 last_scan_mtime, 避免重复递归扫描。</t>
        </is>
      </c>
    </row>
    <row r="189">
      <c r="A189" s="9" t="n">
        <v>186</v>
      </c>
      <c r="B189" s="10" t="inlineStr">
        <is>
          <t xml:space="preserve">        """</t>
        </is>
      </c>
    </row>
    <row r="190">
      <c r="A190" s="7" t="n">
        <v>187</v>
      </c>
      <c r="B190" s="8" t="inlineStr">
        <is>
          <t xml:space="preserve">        if scan_paths is None:</t>
        </is>
      </c>
    </row>
    <row r="191">
      <c r="A191" s="9" t="n">
        <v>188</v>
      </c>
      <c r="B191" s="10" t="inlineStr">
        <is>
          <t xml:space="preserve">            from core.config import SELLING_POINT_DIR, EFFECTS_DIR, B_GROUP_PATH</t>
        </is>
      </c>
    </row>
    <row r="192">
      <c r="A192" s="7" t="n">
        <v>189</v>
      </c>
      <c r="B192" s="8" t="inlineStr">
        <is>
          <t xml:space="preserve">            scan_paths = [SELLING_POINT_DIR, EFFECTS_DIR, B_GROUP_PATH]</t>
        </is>
      </c>
    </row>
    <row r="193">
      <c r="A193" s="9" t="n">
        <v>190</v>
      </c>
      <c r="B193" s="10" t="inlineStr"/>
    </row>
    <row r="194">
      <c r="A194" s="7" t="n">
        <v>191</v>
      </c>
      <c r="B194" s="8" t="inlineStr">
        <is>
          <t xml:space="preserve">        import os as _os</t>
        </is>
      </c>
    </row>
    <row r="195">
      <c r="A195" s="9" t="n">
        <v>192</v>
      </c>
      <c r="B195" s="10" t="inlineStr">
        <is>
          <t xml:space="preserve">        new_count = 0</t>
        </is>
      </c>
    </row>
    <row r="196">
      <c r="A196" s="7" t="n">
        <v>193</v>
      </c>
      <c r="B196" s="8" t="inlineStr">
        <is>
          <t xml:space="preserve">        for sp in scan_paths:</t>
        </is>
      </c>
    </row>
    <row r="197">
      <c r="A197" s="9" t="n">
        <v>194</v>
      </c>
      <c r="B197" s="10" t="inlineStr">
        <is>
          <t xml:space="preserve">            if not _os.path.exists(sp): continue</t>
        </is>
      </c>
    </row>
    <row r="198">
      <c r="A198" s="7" t="n">
        <v>195</v>
      </c>
      <c r="B198" s="8" t="inlineStr">
        <is>
          <t xml:space="preserve">            folder_mtime = _os.path.getmtime(sp)</t>
        </is>
      </c>
    </row>
    <row r="199">
      <c r="A199" s="9" t="n">
        <v>196</v>
      </c>
      <c r="B199" s="10" t="inlineStr">
        <is>
          <t xml:space="preserve">            # 检查上次扫描时间</t>
        </is>
      </c>
    </row>
    <row r="200">
      <c r="A200" s="7" t="n">
        <v>197</v>
      </c>
      <c r="B200" s="8" t="inlineStr">
        <is>
          <t xml:space="preserve">            with sqlite3.connect(self.db_path) as conn:</t>
        </is>
      </c>
    </row>
    <row r="201">
      <c r="A201" s="9" t="n">
        <v>198</v>
      </c>
      <c r="B201" s="10" t="inlineStr">
        <is>
          <t xml:space="preserve">                conn.execute("CREATE TABLE IF NOT EXISTS scan_checkpoint (path TEXT PRIMARY KEY, last_mtime REAL)")</t>
        </is>
      </c>
    </row>
    <row r="202">
      <c r="A202" s="7" t="n">
        <v>199</v>
      </c>
      <c r="B202" s="8" t="inlineStr">
        <is>
          <t xml:space="preserve">                row = conn.execute("SELECT last_mtime FROM scan_checkpoint WHERE path=?", (sp,)).fetchone()</t>
        </is>
      </c>
    </row>
    <row r="203">
      <c r="A203" s="9" t="n">
        <v>200</v>
      </c>
      <c r="B203" s="10" t="inlineStr">
        <is>
          <t xml:space="preserve">                last_mtime = row[0] if row else 0</t>
        </is>
      </c>
    </row>
    <row r="204">
      <c r="A204" s="7" t="n">
        <v>201</v>
      </c>
      <c r="B204" s="8" t="inlineStr">
        <is>
          <t xml:space="preserve">                if folder_mtime &lt;= last_mtime:</t>
        </is>
      </c>
    </row>
    <row r="205">
      <c r="A205" s="9" t="n">
        <v>202</v>
      </c>
      <c r="B205" s="10" t="inlineStr">
        <is>
          <t xml:space="preserve">                    continue  # 无变化, 跳过</t>
        </is>
      </c>
    </row>
    <row r="206">
      <c r="A206" s="7" t="n">
        <v>203</v>
      </c>
      <c r="B206" s="8" t="inlineStr">
        <is>
          <t xml:space="preserve">                conn.execute("INSERT OR REPLACE INTO scan_checkpoint (path, last_mtime) VALUES (?,?)", (sp, folder_mtime))</t>
        </is>
      </c>
    </row>
    <row r="207">
      <c r="A207" s="9" t="n">
        <v>204</v>
      </c>
      <c r="B207" s="10" t="inlineStr"/>
    </row>
    <row r="208">
      <c r="A208" s="7" t="n">
        <v>205</v>
      </c>
      <c r="B208" s="8" t="inlineStr">
        <is>
          <t xml:space="preserve">            for root, dirs, files in _os.walk(sp):</t>
        </is>
      </c>
    </row>
    <row r="209">
      <c r="A209" s="9" t="n">
        <v>206</v>
      </c>
      <c r="B209" s="10" t="inlineStr">
        <is>
          <t xml:space="preserve">                dirs[:] = [d for d in dirs if not d.startswith('.')]</t>
        </is>
      </c>
    </row>
    <row r="210">
      <c r="A210" s="7" t="n">
        <v>207</v>
      </c>
      <c r="B210" s="8" t="inlineStr">
        <is>
          <t xml:space="preserve">                for f in files:</t>
        </is>
      </c>
    </row>
    <row r="211">
      <c r="A211" s="9" t="n">
        <v>208</v>
      </c>
      <c r="B211" s="10" t="inlineStr">
        <is>
          <t xml:space="preserve">                    if f.lower().endswith(('.mp4','.mov','.avi','.mkv')):</t>
        </is>
      </c>
    </row>
    <row r="212">
      <c r="A212" s="7" t="n">
        <v>209</v>
      </c>
      <c r="B212" s="8" t="inlineStr">
        <is>
          <t xml:space="preserve">                        fp = _os.path.join(root, f)</t>
        </is>
      </c>
    </row>
    <row r="213">
      <c r="A213" s="9" t="n">
        <v>210</v>
      </c>
      <c r="B213" s="10" t="inlineStr">
        <is>
          <t xml:space="preserve">                        mtime = _os.path.getmtime(fp)</t>
        </is>
      </c>
    </row>
    <row r="214">
      <c r="A214" s="7" t="n">
        <v>211</v>
      </c>
      <c r="B214" s="8" t="inlineStr">
        <is>
          <t xml:space="preserve">                        with sqlite3.connect(self.db_path) as conn:</t>
        </is>
      </c>
    </row>
    <row r="215">
      <c r="A215" s="9" t="n">
        <v>212</v>
      </c>
      <c r="B215" s="10" t="inlineStr">
        <is>
          <t xml:space="preserve">                            existing = conn.execute("SELECT file_mtime FROM video_registry WHERE video_path=?", (fp,)).fetchone()</t>
        </is>
      </c>
    </row>
    <row r="216">
      <c r="A216" s="7" t="n">
        <v>213</v>
      </c>
      <c r="B216" s="8" t="inlineStr">
        <is>
          <t xml:space="preserve">                            if not existing or abs(existing[0] - mtime) &gt; 1.0:</t>
        </is>
      </c>
    </row>
    <row r="217">
      <c r="A217" s="9" t="n">
        <v>214</v>
      </c>
      <c r="B217" s="10" t="inlineStr">
        <is>
          <t xml:space="preserve">                                conn.execute("INSERT OR REPLACE INTO video_registry (video_path,file_mtime,file_size,duration,last_checked) VALUES (?,?,?,?,CURRENT_TIMESTAMP)",</t>
        </is>
      </c>
    </row>
    <row r="218">
      <c r="A218" s="7" t="n">
        <v>215</v>
      </c>
      <c r="B218" s="8" t="inlineStr">
        <is>
          <t xml:space="preserve">                                            (fp, mtime, _os.path.getsize(fp), 0))</t>
        </is>
      </c>
    </row>
    <row r="219">
      <c r="A219" s="9" t="n">
        <v>216</v>
      </c>
      <c r="B219" s="10" t="inlineStr">
        <is>
          <t xml:space="preserve">                                new_count += 1</t>
        </is>
      </c>
    </row>
    <row r="220">
      <c r="A220" s="7" t="n">
        <v>217</v>
      </c>
      <c r="B220" s="8" t="inlineStr">
        <is>
          <t xml:space="preserve">        print(f"   ✅ 增量扫描: {new_count} 个新视频")</t>
        </is>
      </c>
    </row>
    <row r="221">
      <c r="A221" s="9" t="n">
        <v>218</v>
      </c>
      <c r="B221" s="10" t="inlineStr">
        <is>
          <t xml:space="preserve">        return new_count</t>
        </is>
      </c>
    </row>
    <row r="222">
      <c r="A222" s="7" t="n">
        <v>219</v>
      </c>
      <c r="B222" s="8" t="inlineStr"/>
    </row>
    <row r="223">
      <c r="A223" s="9" t="n">
        <v>220</v>
      </c>
      <c r="B223" s="10" t="inlineStr">
        <is>
          <t xml:space="preserve">    def get_pending_videos(self, video_paths: List[str]) -&gt; List[str]:</t>
        </is>
      </c>
    </row>
    <row r="224">
      <c r="A224" s="7" t="n">
        <v>221</v>
      </c>
      <c r="B224" s="8" t="inlineStr">
        <is>
          <t xml:space="preserve">        """获取待分析的视频列表 (未在video_registry中或已被修改)"""</t>
        </is>
      </c>
    </row>
    <row r="225">
      <c r="A225" s="9" t="n">
        <v>222</v>
      </c>
      <c r="B225" s="10" t="inlineStr">
        <is>
          <t xml:space="preserve">        pending = []</t>
        </is>
      </c>
    </row>
    <row r="226">
      <c r="A226" s="7" t="n">
        <v>223</v>
      </c>
      <c r="B226" s="8" t="inlineStr">
        <is>
          <t xml:space="preserve">        with sqlite3.connect(self.db_path) as conn:</t>
        </is>
      </c>
    </row>
    <row r="227">
      <c r="A227" s="9" t="n">
        <v>224</v>
      </c>
      <c r="B227" s="10" t="inlineStr">
        <is>
          <t xml:space="preserve">            for vp in video_paths:</t>
        </is>
      </c>
    </row>
    <row r="228">
      <c r="A228" s="7" t="n">
        <v>225</v>
      </c>
      <c r="B228" s="8" t="inlineStr">
        <is>
          <t xml:space="preserve">                row = conn.execute(</t>
        </is>
      </c>
    </row>
    <row r="229">
      <c r="A229" s="9" t="n">
        <v>226</v>
      </c>
      <c r="B229" s="10" t="inlineStr">
        <is>
          <t xml:space="preserve">                    "SELECT file_mtime FROM video_registry WHERE video_path=? AND analyzed=1", (vp,)</t>
        </is>
      </c>
    </row>
    <row r="230">
      <c r="A230" s="7" t="n">
        <v>227</v>
      </c>
      <c r="B230" s="8" t="inlineStr">
        <is>
          <t xml:space="preserve">                ).fetchone()</t>
        </is>
      </c>
    </row>
    <row r="231">
      <c r="A231" s="9" t="n">
        <v>228</v>
      </c>
      <c r="B231" s="10" t="inlineStr">
        <is>
          <t xml:space="preserve">                if not row:</t>
        </is>
      </c>
    </row>
    <row r="232">
      <c r="A232" s="7" t="n">
        <v>229</v>
      </c>
      <c r="B232" s="8" t="inlineStr">
        <is>
          <t xml:space="preserve">                    pending.append(vp)</t>
        </is>
      </c>
    </row>
    <row r="233">
      <c r="A233" s="9" t="n">
        <v>230</v>
      </c>
      <c r="B233" s="10" t="inlineStr">
        <is>
          <t xml:space="preserve">                else:</t>
        </is>
      </c>
    </row>
    <row r="234">
      <c r="A234" s="7" t="n">
        <v>231</v>
      </c>
      <c r="B234" s="8" t="inlineStr">
        <is>
          <t xml:space="preserve">                    try:</t>
        </is>
      </c>
    </row>
    <row r="235">
      <c r="A235" s="9" t="n">
        <v>232</v>
      </c>
      <c r="B235" s="10" t="inlineStr">
        <is>
          <t xml:space="preserve">                        current_mtime = Path(vp).stat().st_mtime</t>
        </is>
      </c>
    </row>
    <row r="236">
      <c r="A236" s="7" t="n">
        <v>233</v>
      </c>
      <c r="B236" s="8" t="inlineStr">
        <is>
          <t xml:space="preserve">                        if abs(row[0] - current_mtime) &gt; 1.0:</t>
        </is>
      </c>
    </row>
    <row r="237">
      <c r="A237" s="9" t="n">
        <v>234</v>
      </c>
      <c r="B237" s="10" t="inlineStr">
        <is>
          <t xml:space="preserve">                            pending.append(vp)</t>
        </is>
      </c>
    </row>
    <row r="238">
      <c r="A238" s="7" t="n">
        <v>235</v>
      </c>
      <c r="B238" s="8" t="inlineStr">
        <is>
          <t xml:space="preserve">                    except Exception:</t>
        </is>
      </c>
    </row>
    <row r="239">
      <c r="A239" s="9" t="n">
        <v>236</v>
      </c>
      <c r="B239" s="10" t="inlineStr">
        <is>
          <t xml:space="preserve">                        pass</t>
        </is>
      </c>
    </row>
    <row r="240">
      <c r="A240" s="7" t="n">
        <v>237</v>
      </c>
      <c r="B240" s="8" t="inlineStr">
        <is>
          <t xml:space="preserve">            return pending</t>
        </is>
      </c>
    </row>
    <row r="241">
      <c r="A241" s="9" t="n">
        <v>238</v>
      </c>
      <c r="B241" s="10" t="inlineStr"/>
    </row>
    <row r="242">
      <c r="A242" s="7" t="n">
        <v>239</v>
      </c>
      <c r="B242" s="8" t="inlineStr">
        <is>
          <t xml:space="preserve">    def mark_video_analyzed(self, video_path: str):</t>
        </is>
      </c>
    </row>
    <row r="243">
      <c r="A243" s="9" t="n">
        <v>240</v>
      </c>
      <c r="B243" s="10" t="inlineStr">
        <is>
          <t xml:space="preserve">        """标记视频为已分析 (v11.2 后台扫描器)"""</t>
        </is>
      </c>
    </row>
    <row r="244">
      <c r="A244" s="7" t="n">
        <v>241</v>
      </c>
      <c r="B244" s="8" t="inlineStr">
        <is>
          <t xml:space="preserve">        try:</t>
        </is>
      </c>
    </row>
    <row r="245">
      <c r="A245" s="9" t="n">
        <v>242</v>
      </c>
      <c r="B245" s="10" t="inlineStr">
        <is>
          <t xml:space="preserve">            file_mtime = _os.path.getmtime(video_path) if _os.path.exists(video_path) else 0</t>
        </is>
      </c>
    </row>
    <row r="246">
      <c r="A246" s="7" t="n">
        <v>243</v>
      </c>
      <c r="B246" s="8" t="inlineStr">
        <is>
          <t xml:space="preserve">            file_size = _os.path.getsize(video_path) if _os.path.exists(video_path) else 0</t>
        </is>
      </c>
    </row>
    <row r="247">
      <c r="A247" s="9" t="n">
        <v>244</v>
      </c>
      <c r="B247" s="10" t="inlineStr">
        <is>
          <t xml:space="preserve">        except Exception:</t>
        </is>
      </c>
    </row>
    <row r="248">
      <c r="A248" s="7" t="n">
        <v>245</v>
      </c>
      <c r="B248" s="8" t="inlineStr">
        <is>
          <t xml:space="preserve">            file_mtime = 0</t>
        </is>
      </c>
    </row>
    <row r="249">
      <c r="A249" s="9" t="n">
        <v>246</v>
      </c>
      <c r="B249" s="10" t="inlineStr">
        <is>
          <t xml:space="preserve">            file_size = 0</t>
        </is>
      </c>
    </row>
    <row r="250">
      <c r="A250" s="7" t="n">
        <v>247</v>
      </c>
      <c r="B250" s="8" t="inlineStr">
        <is>
          <t xml:space="preserve">        with sqlite3.connect(self.db_path) as conn:</t>
        </is>
      </c>
    </row>
    <row r="251">
      <c r="A251" s="9" t="n">
        <v>248</v>
      </c>
      <c r="B251" s="10" t="inlineStr">
        <is>
          <t xml:space="preserve">            conn.execute("""</t>
        </is>
      </c>
    </row>
    <row r="252">
      <c r="A252" s="7" t="n">
        <v>249</v>
      </c>
      <c r="B252" s="8" t="inlineStr">
        <is>
          <t xml:space="preserve">                INSERT OR REPLACE INTO video_registry</t>
        </is>
      </c>
    </row>
    <row r="253">
      <c r="A253" s="9" t="n">
        <v>250</v>
      </c>
      <c r="B253" s="10" t="inlineStr">
        <is>
          <t xml:space="preserve">                (video_path, file_mtime, file_size, duration, analyzed, last_checked)</t>
        </is>
      </c>
    </row>
    <row r="254">
      <c r="A254" s="7" t="n">
        <v>251</v>
      </c>
      <c r="B254" s="8" t="inlineStr">
        <is>
          <t xml:space="preserve">                VALUES (?,?,?,?,1,CURRENT_TIMESTAMP)</t>
        </is>
      </c>
    </row>
    <row r="255">
      <c r="A255" s="9" t="n">
        <v>252</v>
      </c>
      <c r="B255" s="10" t="inlineStr">
        <is>
          <t xml:space="preserve">            """, (video_path, file_mtime, file_size, 0))</t>
        </is>
      </c>
    </row>
    <row r="256">
      <c r="A256" s="7" t="n">
        <v>253</v>
      </c>
      <c r="B256" s="8" t="inlineStr"/>
    </row>
    <row r="257">
      <c r="A257" s="9" t="n">
        <v>254</v>
      </c>
      <c r="B257" s="10" t="inlineStr">
        <is>
          <t xml:space="preserve">    def get_unanalyzed_videos(self, limit: int = 100) -&gt; List[str]:</t>
        </is>
      </c>
    </row>
    <row r="258">
      <c r="A258" s="7" t="n">
        <v>255</v>
      </c>
      <c r="B258" s="8" t="inlineStr">
        <is>
          <t xml:space="preserve">        """获取未分析的视频列表 (v11.2 后台扫描器)"""</t>
        </is>
      </c>
    </row>
    <row r="259">
      <c r="A259" s="9" t="n">
        <v>256</v>
      </c>
      <c r="B259" s="10" t="inlineStr">
        <is>
          <t xml:space="preserve">        with sqlite3.connect(self.db_path) as conn:</t>
        </is>
      </c>
    </row>
    <row r="260">
      <c r="A260" s="7" t="n">
        <v>257</v>
      </c>
      <c r="B260" s="8" t="inlineStr">
        <is>
          <t xml:space="preserve">            rows = conn.execute(</t>
        </is>
      </c>
    </row>
    <row r="261">
      <c r="A261" s="9" t="n">
        <v>258</v>
      </c>
      <c r="B261" s="10" t="inlineStr">
        <is>
          <t xml:space="preserve">                "SELECT video_path FROM video_registry WHERE analyzed=0 LIMIT ?",</t>
        </is>
      </c>
    </row>
    <row r="262">
      <c r="A262" s="7" t="n">
        <v>259</v>
      </c>
      <c r="B262" s="8" t="inlineStr">
        <is>
          <t xml:space="preserve">                (limit,)</t>
        </is>
      </c>
    </row>
    <row r="263">
      <c r="A263" s="9" t="n">
        <v>260</v>
      </c>
      <c r="B263" s="10" t="inlineStr">
        <is>
          <t xml:space="preserve">            ).fetchall()</t>
        </is>
      </c>
    </row>
    <row r="264">
      <c r="A264" s="7" t="n">
        <v>261</v>
      </c>
      <c r="B264" s="8" t="inlineStr">
        <is>
          <t xml:space="preserve">            return [r[0] for r in rows]</t>
        </is>
      </c>
    </row>
    <row r="265">
      <c r="A265" s="9" t="n">
        <v>262</v>
      </c>
      <c r="B265" s="10" t="inlineStr"/>
    </row>
    <row r="266">
      <c r="A266" s="7" t="n">
        <v>263</v>
      </c>
      <c r="B266" s="8" t="inlineStr">
        <is>
          <t xml:space="preserve">    def get_analyzed_count(self) -&gt; tuple:</t>
        </is>
      </c>
    </row>
    <row r="267">
      <c r="A267" s="9" t="n">
        <v>264</v>
      </c>
      <c r="B267" s="10" t="inlineStr">
        <is>
          <t xml:space="preserve">        """获取分析统计 (total, analyzed) (v11.2)"""</t>
        </is>
      </c>
    </row>
    <row r="268">
      <c r="A268" s="7" t="n">
        <v>265</v>
      </c>
      <c r="B268" s="8" t="inlineStr">
        <is>
          <t xml:space="preserve">        with sqlite3.connect(self.db_path) as conn:</t>
        </is>
      </c>
    </row>
    <row r="269">
      <c r="A269" s="9" t="n">
        <v>266</v>
      </c>
      <c r="B269" s="10" t="inlineStr">
        <is>
          <t xml:space="preserve">            total = conn.execute("SELECT COUNT(*) FROM video_registry").fetchone()[0]</t>
        </is>
      </c>
    </row>
    <row r="270">
      <c r="A270" s="7" t="n">
        <v>267</v>
      </c>
      <c r="B270" s="8" t="inlineStr">
        <is>
          <t xml:space="preserve">            analyzed = conn.execute(</t>
        </is>
      </c>
    </row>
    <row r="271">
      <c r="A271" s="9" t="n">
        <v>268</v>
      </c>
      <c r="B271" s="10" t="inlineStr">
        <is>
          <t xml:space="preserve">                "SELECT COUNT(*) FROM video_registry WHERE analyzed=1"</t>
        </is>
      </c>
    </row>
    <row r="272">
      <c r="A272" s="7" t="n">
        <v>269</v>
      </c>
      <c r="B272" s="8" t="inlineStr">
        <is>
          <t xml:space="preserve">            ).fetchone()[0]</t>
        </is>
      </c>
    </row>
    <row r="273">
      <c r="A273" s="9" t="n">
        <v>270</v>
      </c>
      <c r="B273" s="10" t="inlineStr">
        <is>
          <t xml:space="preserve">            return (total, analyzed)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core\material_registry.py</t>
        </is>
      </c>
      <c r="C1" s="5" t="inlineStr">
        <is>
          <t>行数: 203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v12.0 — 基础素材库 (MaterialRegistry)</t>
        </is>
      </c>
    </row>
    <row r="6">
      <c r="A6" s="7" t="n">
        <v>3</v>
      </c>
      <c r="B6" s="8">
        <f>==================================================</f>
        <v/>
      </c>
    </row>
    <row r="7">
      <c r="A7" s="9" t="n">
        <v>4</v>
      </c>
      <c r="B7" s="10" t="inlineStr">
        <is>
          <t>对应架构导图左侧「基础库」— 统一管理所有原始输入素材。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职责:</t>
        </is>
      </c>
    </row>
    <row r="10">
      <c r="A10" s="7" t="n">
        <v>7</v>
      </c>
      <c r="B10" s="8" t="inlineStr">
        <is>
          <t xml:space="preserve">  1. 注册/查询四类原始素材: 图片/视频/脚本/BGM</t>
        </is>
      </c>
    </row>
    <row r="11">
      <c r="A11" s="9" t="n">
        <v>8</v>
      </c>
      <c r="B11" s="10" t="inlineStr">
        <is>
          <t xml:space="preserve">  2. 导入时自动记录来源和时间</t>
        </is>
      </c>
    </row>
    <row r="12">
      <c r="A12" s="7" t="n">
        <v>9</v>
      </c>
      <c r="B12" s="8" t="inlineStr">
        <is>
          <t xml:space="preserve">  3. 提供统计摘要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连接:</t>
        </is>
      </c>
    </row>
    <row r="15">
      <c r="A15" s="9" t="n">
        <v>12</v>
      </c>
      <c r="B15" s="10" t="inlineStr">
        <is>
          <t xml:space="preserve">  基础库 → 四大智能素材库(识别→入库)</t>
        </is>
      </c>
    </row>
    <row r="16">
      <c r="A16" s="7" t="n">
        <v>13</v>
      </c>
      <c r="B16" s="8" t="inlineStr">
        <is>
          <t xml:space="preserve">         → 智能调度解析中心(调取)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用法:</t>
        </is>
      </c>
    </row>
    <row r="19">
      <c r="A19" s="9" t="n">
        <v>16</v>
      </c>
      <c r="B19" s="10" t="inlineStr">
        <is>
          <t xml:space="preserve">    from core.material_registry import get_registry</t>
        </is>
      </c>
    </row>
    <row r="20">
      <c r="A20" s="7" t="n">
        <v>17</v>
      </c>
      <c r="B20" s="8" t="inlineStr">
        <is>
          <t xml:space="preserve">    reg = get_registry()</t>
        </is>
      </c>
    </row>
    <row r="21">
      <c r="A21" s="9" t="n">
        <v>18</v>
      </c>
      <c r="B21" s="10" t="inlineStr">
        <is>
          <t xml:space="preserve">    reg.import_materials(images=[...], videos=[...], scripts=[...], bgm=[...])</t>
        </is>
      </c>
    </row>
    <row r="22">
      <c r="A22" s="7" t="n">
        <v>19</v>
      </c>
      <c r="B22" s="8" t="inlineStr">
        <is>
          <t xml:space="preserve">    summary = reg.get_summary()</t>
        </is>
      </c>
    </row>
    <row r="23">
      <c r="A23" s="9" t="n">
        <v>20</v>
      </c>
      <c r="B23" s="10" t="inlineStr">
        <is>
          <t>"""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import json</t>
        </is>
      </c>
    </row>
    <row r="26">
      <c r="A26" s="7" t="n">
        <v>23</v>
      </c>
      <c r="B26" s="8" t="inlineStr">
        <is>
          <t>import os</t>
        </is>
      </c>
    </row>
    <row r="27">
      <c r="A27" s="9" t="n">
        <v>24</v>
      </c>
      <c r="B27" s="10" t="inlineStr">
        <is>
          <t>import threading</t>
        </is>
      </c>
    </row>
    <row r="28">
      <c r="A28" s="7" t="n">
        <v>25</v>
      </c>
      <c r="B28" s="8" t="inlineStr">
        <is>
          <t>import logging</t>
        </is>
      </c>
    </row>
    <row r="29">
      <c r="A29" s="9" t="n">
        <v>26</v>
      </c>
      <c r="B29" s="10" t="inlineStr">
        <is>
          <t>from pathlib import Path</t>
        </is>
      </c>
    </row>
    <row r="30">
      <c r="A30" s="7" t="n">
        <v>27</v>
      </c>
      <c r="B30" s="8" t="inlineStr">
        <is>
          <t>from datetime import datetime</t>
        </is>
      </c>
    </row>
    <row r="31">
      <c r="A31" s="9" t="n">
        <v>28</v>
      </c>
      <c r="B31" s="10" t="inlineStr">
        <is>
          <t>from typing import Dict, List, Optional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>
        <is>
          <t>_log = logging.getLogger("TreeCut.MaterialRegistry")</t>
        </is>
      </c>
    </row>
    <row r="34">
      <c r="A34" s="7" t="n">
        <v>31</v>
      </c>
      <c r="B34" s="8" t="inlineStr"/>
    </row>
    <row r="35">
      <c r="A35" s="9" t="n">
        <v>32</v>
      </c>
      <c r="B35" s="10" t="inlineStr">
        <is>
          <t>_REGISTRY_FILE = Path(__file__).parent.parent / "material_registry.json"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/>
    </row>
    <row r="38">
      <c r="A38" s="7" t="n">
        <v>35</v>
      </c>
      <c r="B38" s="8" t="inlineStr">
        <is>
          <t>class MaterialRegistry:</t>
        </is>
      </c>
    </row>
    <row r="39">
      <c r="A39" s="9" t="n">
        <v>36</v>
      </c>
      <c r="B39" s="10" t="inlineStr">
        <is>
          <t xml:space="preserve">    """</t>
        </is>
      </c>
    </row>
    <row r="40">
      <c r="A40" s="7" t="n">
        <v>37</v>
      </c>
      <c r="B40" s="8" t="inlineStr">
        <is>
          <t xml:space="preserve">    基础素材库 — 所有原始素材的统一注册中心。</t>
        </is>
      </c>
    </row>
    <row r="41">
      <c r="A41" s="9" t="n">
        <v>38</v>
      </c>
      <c r="B41" s="10" t="inlineStr">
        <is>
          <t xml:space="preserve">    四类素材: product_images / video_materials / raw_scripts / bgm_tracks</t>
        </is>
      </c>
    </row>
    <row r="42">
      <c r="A42" s="7" t="n">
        <v>39</v>
      </c>
      <c r="B42" s="8" t="inlineStr">
        <is>
          <t xml:space="preserve">    """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>
        <is>
          <t xml:space="preserve">    _instance: Optional["MaterialRegistry"] = None</t>
        </is>
      </c>
    </row>
    <row r="45">
      <c r="A45" s="9" t="n">
        <v>42</v>
      </c>
      <c r="B45" s="10" t="inlineStr">
        <is>
          <t xml:space="preserve">    _lock = threading.Lock()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 xml:space="preserve">    def __new__(cls):</t>
        </is>
      </c>
    </row>
    <row r="48">
      <c r="A48" s="7" t="n">
        <v>45</v>
      </c>
      <c r="B48" s="8" t="inlineStr">
        <is>
          <t xml:space="preserve">        if cls._instance is None:</t>
        </is>
      </c>
    </row>
    <row r="49">
      <c r="A49" s="9" t="n">
        <v>46</v>
      </c>
      <c r="B49" s="10" t="inlineStr">
        <is>
          <t xml:space="preserve">            with cls._lock:</t>
        </is>
      </c>
    </row>
    <row r="50">
      <c r="A50" s="7" t="n">
        <v>47</v>
      </c>
      <c r="B50" s="8" t="inlineStr">
        <is>
          <t xml:space="preserve">                if cls._instance is None:</t>
        </is>
      </c>
    </row>
    <row r="51">
      <c r="A51" s="9" t="n">
        <v>48</v>
      </c>
      <c r="B51" s="10" t="inlineStr">
        <is>
          <t xml:space="preserve">                    cls._instance = super().__new__(cls)</t>
        </is>
      </c>
    </row>
    <row r="52">
      <c r="A52" s="7" t="n">
        <v>49</v>
      </c>
      <c r="B52" s="8" t="inlineStr">
        <is>
          <t xml:space="preserve">                    cls._instance._init()</t>
        </is>
      </c>
    </row>
    <row r="53">
      <c r="A53" s="9" t="n">
        <v>50</v>
      </c>
      <c r="B53" s="10" t="inlineStr">
        <is>
          <t xml:space="preserve">        return cls._instance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>
        <is>
          <t xml:space="preserve">    def _init(self):</t>
        </is>
      </c>
    </row>
    <row r="56">
      <c r="A56" s="7" t="n">
        <v>53</v>
      </c>
      <c r="B56" s="8" t="inlineStr">
        <is>
          <t xml:space="preserve">        self._data: Dict[str, List[Dict]] = {</t>
        </is>
      </c>
    </row>
    <row r="57">
      <c r="A57" s="9" t="n">
        <v>54</v>
      </c>
      <c r="B57" s="10" t="inlineStr">
        <is>
          <t xml:space="preserve">            "product_images":   [],</t>
        </is>
      </c>
    </row>
    <row r="58">
      <c r="A58" s="7" t="n">
        <v>55</v>
      </c>
      <c r="B58" s="8" t="inlineStr">
        <is>
          <t xml:space="preserve">            "video_materials":  [],</t>
        </is>
      </c>
    </row>
    <row r="59">
      <c r="A59" s="9" t="n">
        <v>56</v>
      </c>
      <c r="B59" s="10" t="inlineStr">
        <is>
          <t xml:space="preserve">            "raw_scripts":      [],</t>
        </is>
      </c>
    </row>
    <row r="60">
      <c r="A60" s="7" t="n">
        <v>57</v>
      </c>
      <c r="B60" s="8" t="inlineStr">
        <is>
          <t xml:space="preserve">            "industry_info":    [],</t>
        </is>
      </c>
    </row>
    <row r="61">
      <c r="A61" s="9" t="n">
        <v>58</v>
      </c>
      <c r="B61" s="10" t="inlineStr">
        <is>
          <t xml:space="preserve">            "bgm_tracks":       [],</t>
        </is>
      </c>
    </row>
    <row r="62">
      <c r="A62" s="7" t="n">
        <v>59</v>
      </c>
      <c r="B62" s="8" t="inlineStr">
        <is>
          <t xml:space="preserve">        }</t>
        </is>
      </c>
    </row>
    <row r="63">
      <c r="A63" s="9" t="n">
        <v>60</v>
      </c>
      <c r="B63" s="10" t="inlineStr">
        <is>
          <t xml:space="preserve">        self._load_from_disk()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>
        <is>
          <t xml:space="preserve">    def _load_from_disk(self):</t>
        </is>
      </c>
    </row>
    <row r="66">
      <c r="A66" s="7" t="n">
        <v>63</v>
      </c>
      <c r="B66" s="8" t="inlineStr">
        <is>
          <t xml:space="preserve">        """从持久化文件加载"""</t>
        </is>
      </c>
    </row>
    <row r="67">
      <c r="A67" s="9" t="n">
        <v>64</v>
      </c>
      <c r="B67" s="10" t="inlineStr">
        <is>
          <t xml:space="preserve">        try:</t>
        </is>
      </c>
    </row>
    <row r="68">
      <c r="A68" s="7" t="n">
        <v>65</v>
      </c>
      <c r="B68" s="8" t="inlineStr">
        <is>
          <t xml:space="preserve">            if _REGISTRY_FILE.exists():</t>
        </is>
      </c>
    </row>
    <row r="69">
      <c r="A69" s="9" t="n">
        <v>66</v>
      </c>
      <c r="B69" s="10" t="inlineStr">
        <is>
          <t xml:space="preserve">                data = json.loads(_REGISTRY_FILE.read_text(encoding="utf-8"))</t>
        </is>
      </c>
    </row>
    <row r="70">
      <c r="A70" s="7" t="n">
        <v>67</v>
      </c>
      <c r="B70" s="8" t="inlineStr">
        <is>
          <t xml:space="preserve">                with self._lock:</t>
        </is>
      </c>
    </row>
    <row r="71">
      <c r="A71" s="9" t="n">
        <v>68</v>
      </c>
      <c r="B71" s="10" t="inlineStr">
        <is>
          <t xml:space="preserve">                    for key in self._data:</t>
        </is>
      </c>
    </row>
    <row r="72">
      <c r="A72" s="7" t="n">
        <v>69</v>
      </c>
      <c r="B72" s="8" t="inlineStr">
        <is>
          <t xml:space="preserve">                        self._data[key] = data.get(key, [])</t>
        </is>
      </c>
    </row>
    <row r="73">
      <c r="A73" s="9" t="n">
        <v>70</v>
      </c>
      <c r="B73" s="10" t="inlineStr">
        <is>
          <t xml:space="preserve">                _log.info(f"素材庫從文件加載: {_REGISTRY_FILE}")</t>
        </is>
      </c>
    </row>
    <row r="74">
      <c r="A74" s="7" t="n">
        <v>71</v>
      </c>
      <c r="B74" s="8" t="inlineStr">
        <is>
          <t xml:space="preserve">        except Exception as e:</t>
        </is>
      </c>
    </row>
    <row r="75">
      <c r="A75" s="9" t="n">
        <v>72</v>
      </c>
      <c r="B75" s="10" t="inlineStr">
        <is>
          <t xml:space="preserve">            _log.warning(f"素材庫加載失敗: {e}")</t>
        </is>
      </c>
    </row>
    <row r="76">
      <c r="A76" s="7" t="n">
        <v>73</v>
      </c>
      <c r="B76" s="8" t="inlineStr"/>
    </row>
    <row r="77">
      <c r="A77" s="9" t="n">
        <v>74</v>
      </c>
      <c r="B77" s="10" t="inlineStr">
        <is>
          <t xml:space="preserve">    def _save_to_disk(self):</t>
        </is>
      </c>
    </row>
    <row r="78">
      <c r="A78" s="7" t="n">
        <v>75</v>
      </c>
      <c r="B78" s="8" t="inlineStr">
        <is>
          <t xml:space="preserve">        """持久化到文件"""</t>
        </is>
      </c>
    </row>
    <row r="79">
      <c r="A79" s="9" t="n">
        <v>76</v>
      </c>
      <c r="B79" s="10" t="inlineStr">
        <is>
          <t xml:space="preserve">        try:</t>
        </is>
      </c>
    </row>
    <row r="80">
      <c r="A80" s="7" t="n">
        <v>77</v>
      </c>
      <c r="B80" s="8" t="inlineStr">
        <is>
          <t xml:space="preserve">            with self._lock:</t>
        </is>
      </c>
    </row>
    <row r="81">
      <c r="A81" s="9" t="n">
        <v>78</v>
      </c>
      <c r="B81" s="10" t="inlineStr">
        <is>
          <t xml:space="preserve">                _REGISTRY_FILE.write_text(</t>
        </is>
      </c>
    </row>
    <row r="82">
      <c r="A82" s="7" t="n">
        <v>79</v>
      </c>
      <c r="B82" s="8" t="inlineStr">
        <is>
          <t xml:space="preserve">                    json.dumps(self._data, ensure_ascii=False, indent=2),</t>
        </is>
      </c>
    </row>
    <row r="83">
      <c r="A83" s="9" t="n">
        <v>80</v>
      </c>
      <c r="B83" s="10" t="inlineStr">
        <is>
          <t xml:space="preserve">                    encoding="utf-8"</t>
        </is>
      </c>
    </row>
    <row r="84">
      <c r="A84" s="7" t="n">
        <v>81</v>
      </c>
      <c r="B84" s="8" t="inlineStr">
        <is>
          <t xml:space="preserve">                )</t>
        </is>
      </c>
    </row>
    <row r="85">
      <c r="A85" s="9" t="n">
        <v>82</v>
      </c>
      <c r="B85" s="10" t="inlineStr">
        <is>
          <t xml:space="preserve">        except Exception as e:</t>
        </is>
      </c>
    </row>
    <row r="86">
      <c r="A86" s="7" t="n">
        <v>83</v>
      </c>
      <c r="B86" s="8" t="inlineStr">
        <is>
          <t xml:space="preserve">            _log.warning(f"素材庫保存失敗: {e}")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>
        <is>
          <t xml:space="preserve">    # ═══════════════ 导入素材 ═══════════════</t>
        </is>
      </c>
    </row>
    <row r="89">
      <c r="A89" s="9" t="n">
        <v>86</v>
      </c>
      <c r="B89" s="10" t="inlineStr">
        <is>
          <t xml:space="preserve">    def import_materials(self,</t>
        </is>
      </c>
    </row>
    <row r="90">
      <c r="A90" s="7" t="n">
        <v>87</v>
      </c>
      <c r="B90" s="8" t="inlineStr">
        <is>
          <t xml:space="preserve">                         images: List[str] = None,</t>
        </is>
      </c>
    </row>
    <row r="91">
      <c r="A91" s="9" t="n">
        <v>88</v>
      </c>
      <c r="B91" s="10" t="inlineStr">
        <is>
          <t xml:space="preserve">                         videos: List[str] = None,</t>
        </is>
      </c>
    </row>
    <row r="92">
      <c r="A92" s="7" t="n">
        <v>89</v>
      </c>
      <c r="B92" s="8" t="inlineStr">
        <is>
          <t xml:space="preserve">                         scripts: List[str] = None,</t>
        </is>
      </c>
    </row>
    <row r="93">
      <c r="A93" s="9" t="n">
        <v>90</v>
      </c>
      <c r="B93" s="10" t="inlineStr">
        <is>
          <t xml:space="preserve">                         industry: List[str] = None,</t>
        </is>
      </c>
    </row>
    <row r="94">
      <c r="A94" s="7" t="n">
        <v>91</v>
      </c>
      <c r="B94" s="8" t="inlineStr">
        <is>
          <t xml:space="preserve">                         bgm: List[str] = None):</t>
        </is>
      </c>
    </row>
    <row r="95">
      <c r="A95" s="9" t="n">
        <v>92</v>
      </c>
      <c r="B95" s="10" t="inlineStr">
        <is>
          <t xml:space="preserve">        """</t>
        </is>
      </c>
    </row>
    <row r="96">
      <c r="A96" s="7" t="n">
        <v>93</v>
      </c>
      <c r="B96" s="8" t="inlineStr">
        <is>
          <t xml:space="preserve">        批量导入原始素材。</t>
        </is>
      </c>
    </row>
    <row r="97">
      <c r="A97" s="9" t="n">
        <v>94</v>
      </c>
      <c r="B97" s="10" t="inlineStr">
        <is>
          <t xml:space="preserve">        每条素材自动附加: source(路径), imported_at(导入时间)。</t>
        </is>
      </c>
    </row>
    <row r="98">
      <c r="A98" s="7" t="n">
        <v>95</v>
      </c>
      <c r="B98" s="8" t="inlineStr">
        <is>
          <t xml:space="preserve">        """</t>
        </is>
      </c>
    </row>
    <row r="99">
      <c r="A99" s="9" t="n">
        <v>96</v>
      </c>
      <c r="B99" s="10" t="inlineStr">
        <is>
          <t xml:space="preserve">        with self._lock:</t>
        </is>
      </c>
    </row>
    <row r="100">
      <c r="A100" s="7" t="n">
        <v>97</v>
      </c>
      <c r="B100" s="8" t="inlineStr">
        <is>
          <t xml:space="preserve">            if images:</t>
        </is>
      </c>
    </row>
    <row r="101">
      <c r="A101" s="9" t="n">
        <v>98</v>
      </c>
      <c r="B101" s="10" t="inlineStr">
        <is>
          <t xml:space="preserve">                for path in images:</t>
        </is>
      </c>
    </row>
    <row r="102">
      <c r="A102" s="7" t="n">
        <v>99</v>
      </c>
      <c r="B102" s="8" t="inlineStr">
        <is>
          <t xml:space="preserve">                    self._data["product_images"].append({</t>
        </is>
      </c>
    </row>
    <row r="103">
      <c r="A103" s="9" t="n">
        <v>100</v>
      </c>
      <c r="B103" s="10" t="inlineStr">
        <is>
          <t xml:space="preserve">                        "source": str(path),</t>
        </is>
      </c>
    </row>
    <row r="104">
      <c r="A104" s="7" t="n">
        <v>101</v>
      </c>
      <c r="B104" s="8" t="inlineStr">
        <is>
          <t xml:space="preserve">                        "type": "product_image",</t>
        </is>
      </c>
    </row>
    <row r="105">
      <c r="A105" s="9" t="n">
        <v>102</v>
      </c>
      <c r="B105" s="10" t="inlineStr">
        <is>
          <t xml:space="preserve">                        "imported_at": datetime.now().isoformat(),</t>
        </is>
      </c>
    </row>
    <row r="106">
      <c r="A106" s="7" t="n">
        <v>103</v>
      </c>
      <c r="B106" s="8" t="inlineStr">
        <is>
          <t xml:space="preserve">                    })</t>
        </is>
      </c>
    </row>
    <row r="107">
      <c r="A107" s="9" t="n">
        <v>104</v>
      </c>
      <c r="B107" s="10" t="inlineStr">
        <is>
          <t xml:space="preserve">            if videos:</t>
        </is>
      </c>
    </row>
    <row r="108">
      <c r="A108" s="7" t="n">
        <v>105</v>
      </c>
      <c r="B108" s="8" t="inlineStr">
        <is>
          <t xml:space="preserve">                for path in videos:</t>
        </is>
      </c>
    </row>
    <row r="109">
      <c r="A109" s="9" t="n">
        <v>106</v>
      </c>
      <c r="B109" s="10" t="inlineStr">
        <is>
          <t xml:space="preserve">                    self._data["video_materials"].append({</t>
        </is>
      </c>
    </row>
    <row r="110">
      <c r="A110" s="7" t="n">
        <v>107</v>
      </c>
      <c r="B110" s="8" t="inlineStr">
        <is>
          <t xml:space="preserve">                        "source": str(path),</t>
        </is>
      </c>
    </row>
    <row r="111">
      <c r="A111" s="9" t="n">
        <v>108</v>
      </c>
      <c r="B111" s="10" t="inlineStr">
        <is>
          <t xml:space="preserve">                        "type": "video_material",</t>
        </is>
      </c>
    </row>
    <row r="112">
      <c r="A112" s="7" t="n">
        <v>109</v>
      </c>
      <c r="B112" s="8" t="inlineStr">
        <is>
          <t xml:space="preserve">                        "imported_at": datetime.now().isoformat(),</t>
        </is>
      </c>
    </row>
    <row r="113">
      <c r="A113" s="9" t="n">
        <v>110</v>
      </c>
      <c r="B113" s="10" t="inlineStr">
        <is>
          <t xml:space="preserve">                    })</t>
        </is>
      </c>
    </row>
    <row r="114">
      <c r="A114" s="7" t="n">
        <v>111</v>
      </c>
      <c r="B114" s="8" t="inlineStr">
        <is>
          <t xml:space="preserve">            if scripts:</t>
        </is>
      </c>
    </row>
    <row r="115">
      <c r="A115" s="9" t="n">
        <v>112</v>
      </c>
      <c r="B115" s="10" t="inlineStr">
        <is>
          <t xml:space="preserve">                for text in scripts:</t>
        </is>
      </c>
    </row>
    <row r="116">
      <c r="A116" s="7" t="n">
        <v>113</v>
      </c>
      <c r="B116" s="8" t="inlineStr">
        <is>
          <t xml:space="preserve">                    self._data["raw_scripts"].append({</t>
        </is>
      </c>
    </row>
    <row r="117">
      <c r="A117" s="9" t="n">
        <v>114</v>
      </c>
      <c r="B117" s="10" t="inlineStr">
        <is>
          <t xml:space="preserve">                        "content": text[:500],</t>
        </is>
      </c>
    </row>
    <row r="118">
      <c r="A118" s="7" t="n">
        <v>115</v>
      </c>
      <c r="B118" s="8" t="inlineStr">
        <is>
          <t xml:space="preserve">                        "type": "script",</t>
        </is>
      </c>
    </row>
    <row r="119">
      <c r="A119" s="9" t="n">
        <v>116</v>
      </c>
      <c r="B119" s="10" t="inlineStr">
        <is>
          <t xml:space="preserve">                        "imported_at": datetime.now().isoformat(),</t>
        </is>
      </c>
    </row>
    <row r="120">
      <c r="A120" s="7" t="n">
        <v>117</v>
      </c>
      <c r="B120" s="8" t="inlineStr">
        <is>
          <t xml:space="preserve">                    })</t>
        </is>
      </c>
    </row>
    <row r="121">
      <c r="A121" s="9" t="n">
        <v>118</v>
      </c>
      <c r="B121" s="10" t="inlineStr">
        <is>
          <t xml:space="preserve">            if industry:</t>
        </is>
      </c>
    </row>
    <row r="122">
      <c r="A122" s="7" t="n">
        <v>119</v>
      </c>
      <c r="B122" s="8" t="inlineStr">
        <is>
          <t xml:space="preserve">                for info in industry:</t>
        </is>
      </c>
    </row>
    <row r="123">
      <c r="A123" s="9" t="n">
        <v>120</v>
      </c>
      <c r="B123" s="10" t="inlineStr">
        <is>
          <t xml:space="preserve">                    self._data["industry_info"].append({</t>
        </is>
      </c>
    </row>
    <row r="124">
      <c r="A124" s="7" t="n">
        <v>121</v>
      </c>
      <c r="B124" s="8" t="inlineStr">
        <is>
          <t xml:space="preserve">                        "content": info[:500],</t>
        </is>
      </c>
    </row>
    <row r="125">
      <c r="A125" s="9" t="n">
        <v>122</v>
      </c>
      <c r="B125" s="10" t="inlineStr">
        <is>
          <t xml:space="preserve">                        "type": "industry_info",</t>
        </is>
      </c>
    </row>
    <row r="126">
      <c r="A126" s="7" t="n">
        <v>123</v>
      </c>
      <c r="B126" s="8" t="inlineStr">
        <is>
          <t xml:space="preserve">                        "imported_at": datetime.now().isoformat(),</t>
        </is>
      </c>
    </row>
    <row r="127">
      <c r="A127" s="9" t="n">
        <v>124</v>
      </c>
      <c r="B127" s="10" t="inlineStr">
        <is>
          <t xml:space="preserve">                    })</t>
        </is>
      </c>
    </row>
    <row r="128">
      <c r="A128" s="7" t="n">
        <v>125</v>
      </c>
      <c r="B128" s="8" t="inlineStr">
        <is>
          <t xml:space="preserve">            if bgm:</t>
        </is>
      </c>
    </row>
    <row r="129">
      <c r="A129" s="9" t="n">
        <v>126</v>
      </c>
      <c r="B129" s="10" t="inlineStr">
        <is>
          <t xml:space="preserve">                for path in bgm:</t>
        </is>
      </c>
    </row>
    <row r="130">
      <c r="A130" s="7" t="n">
        <v>127</v>
      </c>
      <c r="B130" s="8" t="inlineStr">
        <is>
          <t xml:space="preserve">                    self._data["bgm_tracks"].append({</t>
        </is>
      </c>
    </row>
    <row r="131">
      <c r="A131" s="9" t="n">
        <v>128</v>
      </c>
      <c r="B131" s="10" t="inlineStr">
        <is>
          <t xml:space="preserve">                        "source": str(path),</t>
        </is>
      </c>
    </row>
    <row r="132">
      <c r="A132" s="7" t="n">
        <v>129</v>
      </c>
      <c r="B132" s="8" t="inlineStr">
        <is>
          <t xml:space="preserve">                        "type": "bgm_track",</t>
        </is>
      </c>
    </row>
    <row r="133">
      <c r="A133" s="9" t="n">
        <v>130</v>
      </c>
      <c r="B133" s="10" t="inlineStr">
        <is>
          <t xml:space="preserve">                        "imported_at": datetime.now().isoformat(),</t>
        </is>
      </c>
    </row>
    <row r="134">
      <c r="A134" s="7" t="n">
        <v>131</v>
      </c>
      <c r="B134" s="8" t="inlineStr">
        <is>
          <t xml:space="preserve">                    })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 xml:space="preserve">        total = (len(images or []) + len(videos or []) +</t>
        </is>
      </c>
    </row>
    <row r="137">
      <c r="A137" s="9" t="n">
        <v>134</v>
      </c>
      <c r="B137" s="10" t="inlineStr">
        <is>
          <t xml:space="preserve">                 len(scripts or []) + len(industry or []) + len(bgm or []))</t>
        </is>
      </c>
    </row>
    <row r="138">
      <c r="A138" s="7" t="n">
        <v>135</v>
      </c>
      <c r="B138" s="8" t="inlineStr">
        <is>
          <t xml:space="preserve">        _log.info(f"素材庫導入完成: +{total}條")</t>
        </is>
      </c>
    </row>
    <row r="139">
      <c r="A139" s="9" t="n">
        <v>136</v>
      </c>
      <c r="B139" s="10" t="inlineStr">
        <is>
          <t xml:space="preserve">        self._save_to_disk()</t>
        </is>
      </c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 xml:space="preserve">        # EventBus 通知</t>
        </is>
      </c>
    </row>
    <row r="142">
      <c r="A142" s="7" t="n">
        <v>139</v>
      </c>
      <c r="B142" s="8" t="inlineStr">
        <is>
          <t xml:space="preserve">        try:</t>
        </is>
      </c>
    </row>
    <row r="143">
      <c r="A143" s="9" t="n">
        <v>140</v>
      </c>
      <c r="B143" s="10" t="inlineStr">
        <is>
          <t xml:space="preserve">            from core.event_bus import get_bus, Events</t>
        </is>
      </c>
    </row>
    <row r="144">
      <c r="A144" s="7" t="n">
        <v>141</v>
      </c>
      <c r="B144" s="8" t="inlineStr">
        <is>
          <t xml:space="preserve">            get_bus().publish_async(Events.MATERIAL_UPDATED, {"imported": total})</t>
        </is>
      </c>
    </row>
    <row r="145">
      <c r="A145" s="9" t="n">
        <v>142</v>
      </c>
      <c r="B145" s="10" t="inlineStr">
        <is>
          <t xml:space="preserve">        except Exception:</t>
        </is>
      </c>
    </row>
    <row r="146">
      <c r="A146" s="7" t="n">
        <v>143</v>
      </c>
      <c r="B146" s="8" t="inlineStr">
        <is>
          <t xml:space="preserve">            pass</t>
        </is>
      </c>
    </row>
    <row r="147">
      <c r="A147" s="9" t="n">
        <v>144</v>
      </c>
      <c r="B147" s="10" t="inlineStr"/>
    </row>
    <row r="148">
      <c r="A148" s="7" t="n">
        <v>145</v>
      </c>
      <c r="B148" s="8" t="inlineStr">
        <is>
          <t xml:space="preserve">    # ═══════════════ 查询 ═══════════════</t>
        </is>
      </c>
    </row>
    <row r="149">
      <c r="A149" s="9" t="n">
        <v>146</v>
      </c>
      <c r="B149" s="10" t="inlineStr">
        <is>
          <t xml:space="preserve">    def get_materials(self, category: str) -&gt; List[Dict]:</t>
        </is>
      </c>
    </row>
    <row r="150">
      <c r="A150" s="7" t="n">
        <v>147</v>
      </c>
      <c r="B150" s="8" t="inlineStr">
        <is>
          <t xml:space="preserve">        """获取某类素材"""</t>
        </is>
      </c>
    </row>
    <row r="151">
      <c r="A151" s="9" t="n">
        <v>148</v>
      </c>
      <c r="B151" s="10" t="inlineStr">
        <is>
          <t xml:space="preserve">        with self._lock:</t>
        </is>
      </c>
    </row>
    <row r="152">
      <c r="A152" s="7" t="n">
        <v>149</v>
      </c>
      <c r="B152" s="8" t="inlineStr">
        <is>
          <t xml:space="preserve">            return list(self._data.get(category, []))</t>
        </is>
      </c>
    </row>
    <row r="153">
      <c r="A153" s="9" t="n">
        <v>150</v>
      </c>
      <c r="B153" s="10" t="inlineStr"/>
    </row>
    <row r="154">
      <c r="A154" s="7" t="n">
        <v>151</v>
      </c>
      <c r="B154" s="8" t="inlineStr">
        <is>
          <t xml:space="preserve">    def get_all(self) -&gt; Dict[str, List[Dict]]:</t>
        </is>
      </c>
    </row>
    <row r="155">
      <c r="A155" s="9" t="n">
        <v>152</v>
      </c>
      <c r="B155" s="10" t="inlineStr">
        <is>
          <t xml:space="preserve">        """获取全部素材"""</t>
        </is>
      </c>
    </row>
    <row r="156">
      <c r="A156" s="7" t="n">
        <v>153</v>
      </c>
      <c r="B156" s="8" t="inlineStr">
        <is>
          <t xml:space="preserve">        with self._lock:</t>
        </is>
      </c>
    </row>
    <row r="157">
      <c r="A157" s="9" t="n">
        <v>154</v>
      </c>
      <c r="B157" s="10" t="inlineStr">
        <is>
          <t xml:space="preserve">            return {k: list(v) for k, v in self._data.items()}</t>
        </is>
      </c>
    </row>
    <row r="158">
      <c r="A158" s="7" t="n">
        <v>155</v>
      </c>
      <c r="B158" s="8" t="inlineStr"/>
    </row>
    <row r="159">
      <c r="A159" s="9" t="n">
        <v>156</v>
      </c>
      <c r="B159" s="10" t="inlineStr">
        <is>
          <t xml:space="preserve">    def get_summary(self) -&gt; Dict[str, int]:</t>
        </is>
      </c>
    </row>
    <row r="160">
      <c r="A160" s="7" t="n">
        <v>157</v>
      </c>
      <c r="B160" s="8" t="inlineStr">
        <is>
          <t xml:space="preserve">        """获取素材统计"""</t>
        </is>
      </c>
    </row>
    <row r="161">
      <c r="A161" s="9" t="n">
        <v>158</v>
      </c>
      <c r="B161" s="10" t="inlineStr">
        <is>
          <t xml:space="preserve">        with self._lock:</t>
        </is>
      </c>
    </row>
    <row r="162">
      <c r="A162" s="7" t="n">
        <v>159</v>
      </c>
      <c r="B162" s="8" t="inlineStr">
        <is>
          <t xml:space="preserve">            return {k: len(v) for k, v in self._data.items()}</t>
        </is>
      </c>
    </row>
    <row r="163">
      <c r="A163" s="9" t="n">
        <v>160</v>
      </c>
      <c r="B163" s="10" t="inlineStr"/>
    </row>
    <row r="164">
      <c r="A164" s="7" t="n">
        <v>161</v>
      </c>
      <c r="B164" s="8" t="inlineStr">
        <is>
          <t xml:space="preserve">    def get_total_count(self) -&gt; int:</t>
        </is>
      </c>
    </row>
    <row r="165">
      <c r="A165" s="9" t="n">
        <v>162</v>
      </c>
      <c r="B165" s="10" t="inlineStr">
        <is>
          <t xml:space="preserve">        """获取素材总数"""</t>
        </is>
      </c>
    </row>
    <row r="166">
      <c r="A166" s="7" t="n">
        <v>163</v>
      </c>
      <c r="B166" s="8" t="inlineStr">
        <is>
          <t xml:space="preserve">        with self._lock:</t>
        </is>
      </c>
    </row>
    <row r="167">
      <c r="A167" s="9" t="n">
        <v>164</v>
      </c>
      <c r="B167" s="10" t="inlineStr">
        <is>
          <t xml:space="preserve">            return sum(len(v) for v in self._data.values())</t>
        </is>
      </c>
    </row>
    <row r="168">
      <c r="A168" s="7" t="n">
        <v>165</v>
      </c>
      <c r="B168" s="8" t="inlineStr"/>
    </row>
    <row r="169">
      <c r="A169" s="9" t="n">
        <v>166</v>
      </c>
      <c r="B169" s="10" t="inlineStr">
        <is>
          <t xml:space="preserve">    # ═══════════════ 清空 ═══════════════</t>
        </is>
      </c>
    </row>
    <row r="170">
      <c r="A170" s="7" t="n">
        <v>167</v>
      </c>
      <c r="B170" s="8" t="inlineStr">
        <is>
          <t xml:space="preserve">    def clear(self, category: str = None):</t>
        </is>
      </c>
    </row>
    <row r="171">
      <c r="A171" s="9" t="n">
        <v>168</v>
      </c>
      <c r="B171" s="10" t="inlineStr">
        <is>
          <t xml:space="preserve">        """清空素材"""</t>
        </is>
      </c>
    </row>
    <row r="172">
      <c r="A172" s="7" t="n">
        <v>169</v>
      </c>
      <c r="B172" s="8" t="inlineStr">
        <is>
          <t xml:space="preserve">        with self._lock:</t>
        </is>
      </c>
    </row>
    <row r="173">
      <c r="A173" s="9" t="n">
        <v>170</v>
      </c>
      <c r="B173" s="10" t="inlineStr">
        <is>
          <t xml:space="preserve">            if category:</t>
        </is>
      </c>
    </row>
    <row r="174">
      <c r="A174" s="7" t="n">
        <v>171</v>
      </c>
      <c r="B174" s="8" t="inlineStr">
        <is>
          <t xml:space="preserve">                self._data[category] = []</t>
        </is>
      </c>
    </row>
    <row r="175">
      <c r="A175" s="9" t="n">
        <v>172</v>
      </c>
      <c r="B175" s="10" t="inlineStr">
        <is>
          <t xml:space="preserve">            else:</t>
        </is>
      </c>
    </row>
    <row r="176">
      <c r="A176" s="7" t="n">
        <v>173</v>
      </c>
      <c r="B176" s="8" t="inlineStr">
        <is>
          <t xml:space="preserve">                for key in self._data:</t>
        </is>
      </c>
    </row>
    <row r="177">
      <c r="A177" s="9" t="n">
        <v>174</v>
      </c>
      <c r="B177" s="10" t="inlineStr">
        <is>
          <t xml:space="preserve">                    self._data[key] = []</t>
        </is>
      </c>
    </row>
    <row r="178">
      <c r="A178" s="7" t="n">
        <v>175</v>
      </c>
      <c r="B178" s="8" t="inlineStr">
        <is>
          <t xml:space="preserve">        self._save_to_disk()</t>
        </is>
      </c>
    </row>
    <row r="179">
      <c r="A179" s="9" t="n">
        <v>176</v>
      </c>
      <c r="B179" s="10" t="inlineStr">
        <is>
          <t xml:space="preserve">        _log.info(f"素材庫已清空: {category or '全部'}")</t>
        </is>
      </c>
    </row>
    <row r="180">
      <c r="A180" s="7" t="n">
        <v>177</v>
      </c>
      <c r="B180" s="8" t="inlineStr"/>
    </row>
    <row r="181">
      <c r="A181" s="9" t="n">
        <v>178</v>
      </c>
      <c r="B181" s="10" t="inlineStr">
        <is>
          <t xml:space="preserve">    # ═══════════════ 统计信息 ═══════════════</t>
        </is>
      </c>
    </row>
    <row r="182">
      <c r="A182" s="7" t="n">
        <v>179</v>
      </c>
      <c r="B182" s="8" t="inlineStr">
        <is>
          <t xml:space="preserve">    def print_summary(self):</t>
        </is>
      </c>
    </row>
    <row r="183">
      <c r="A183" s="9" t="n">
        <v>180</v>
      </c>
      <c r="B183" s="10" t="inlineStr">
        <is>
          <t xml:space="preserve">        """打印统计摘要到控制台"""</t>
        </is>
      </c>
    </row>
    <row r="184">
      <c r="A184" s="7" t="n">
        <v>181</v>
      </c>
      <c r="B184" s="8" t="inlineStr">
        <is>
          <t xml:space="preserve">        summary = self.get_summary()</t>
        </is>
      </c>
    </row>
    <row r="185">
      <c r="A185" s="9" t="n">
        <v>182</v>
      </c>
      <c r="B185" s="10" t="inlineStr">
        <is>
          <t xml:space="preserve">        print("\n" + "=" * 50)</t>
        </is>
      </c>
    </row>
    <row r="186">
      <c r="A186" s="7" t="n">
        <v>183</v>
      </c>
      <c r="B186" s="8" t="inlineStr">
        <is>
          <t xml:space="preserve">        print("  树剪 基础素材库 统计")</t>
        </is>
      </c>
    </row>
    <row r="187">
      <c r="A187" s="9" t="n">
        <v>184</v>
      </c>
      <c r="B187" s="10" t="inlineStr">
        <is>
          <t xml:space="preserve">        print("  " + "-" * 40)</t>
        </is>
      </c>
    </row>
    <row r="188">
      <c r="A188" s="7" t="n">
        <v>185</v>
      </c>
      <c r="B188" s="8" t="inlineStr">
        <is>
          <t xml:space="preserve">        print(f"  产品图片:     {summary['product_images']:&gt;6} 条")</t>
        </is>
      </c>
    </row>
    <row r="189">
      <c r="A189" s="9" t="n">
        <v>186</v>
      </c>
      <c r="B189" s="10" t="inlineStr">
        <is>
          <t xml:space="preserve">        print(f"  视频素材:     {summary['video_materials']:&gt;6} 条")</t>
        </is>
      </c>
    </row>
    <row r="190">
      <c r="A190" s="7" t="n">
        <v>187</v>
      </c>
      <c r="B190" s="8" t="inlineStr">
        <is>
          <t xml:space="preserve">        print(f"  原始脚本:     {summary['raw_scripts']:&gt;6} 条")</t>
        </is>
      </c>
    </row>
    <row r="191">
      <c r="A191" s="9" t="n">
        <v>188</v>
      </c>
      <c r="B191" s="10" t="inlineStr">
        <is>
          <t xml:space="preserve">        print(f"  行业信息:     {summary['industry_info']:&gt;6} 条")</t>
        </is>
      </c>
    </row>
    <row r="192">
      <c r="A192" s="7" t="n">
        <v>189</v>
      </c>
      <c r="B192" s="8" t="inlineStr">
        <is>
          <t xml:space="preserve">        print(f"  BGM音轨:      {summary['bgm_tracks']:&gt;6} 首")</t>
        </is>
      </c>
    </row>
    <row r="193">
      <c r="A193" s="9" t="n">
        <v>190</v>
      </c>
      <c r="B193" s="10" t="inlineStr">
        <is>
          <t xml:space="preserve">        print(f"  {'─' * 30}")</t>
        </is>
      </c>
    </row>
    <row r="194">
      <c r="A194" s="7" t="n">
        <v>191</v>
      </c>
      <c r="B194" s="8" t="inlineStr">
        <is>
          <t xml:space="preserve">        print(f"  总计:         {sum(summary.values()):&gt;6} 条")</t>
        </is>
      </c>
    </row>
    <row r="195">
      <c r="A195" s="9" t="n">
        <v>192</v>
      </c>
      <c r="B195" s="10" t="inlineStr">
        <is>
          <t xml:space="preserve">        print("=" * 50)</t>
        </is>
      </c>
    </row>
    <row r="196">
      <c r="A196" s="7" t="n">
        <v>193</v>
      </c>
      <c r="B196" s="8" t="inlineStr"/>
    </row>
    <row r="197">
      <c r="A197" s="9" t="n">
        <v>194</v>
      </c>
      <c r="B197" s="10" t="inlineStr"/>
    </row>
    <row r="198">
      <c r="A198" s="7" t="n">
        <v>195</v>
      </c>
      <c r="B198" s="8" t="inlineStr">
        <is>
          <t># ── 全局单例 ──────────────────────────────────────────</t>
        </is>
      </c>
    </row>
    <row r="199">
      <c r="A199" s="9" t="n">
        <v>196</v>
      </c>
      <c r="B199" s="10" t="inlineStr">
        <is>
          <t>_registry: Optional[MaterialRegistry] = None</t>
        </is>
      </c>
    </row>
    <row r="200">
      <c r="A200" s="7" t="n">
        <v>197</v>
      </c>
      <c r="B200" s="8" t="inlineStr"/>
    </row>
    <row r="201">
      <c r="A201" s="9" t="n">
        <v>198</v>
      </c>
      <c r="B201" s="10" t="inlineStr">
        <is>
          <t>def get_registry() -&gt; MaterialRegistry:</t>
        </is>
      </c>
    </row>
    <row r="202">
      <c r="A202" s="7" t="n">
        <v>199</v>
      </c>
      <c r="B202" s="8" t="inlineStr">
        <is>
          <t xml:space="preserve">    """获取全局素材库单例"""</t>
        </is>
      </c>
    </row>
    <row r="203">
      <c r="A203" s="9" t="n">
        <v>200</v>
      </c>
      <c r="B203" s="10" t="inlineStr">
        <is>
          <t xml:space="preserve">    global _registry</t>
        </is>
      </c>
    </row>
    <row r="204">
      <c r="A204" s="7" t="n">
        <v>201</v>
      </c>
      <c r="B204" s="8" t="inlineStr">
        <is>
          <t xml:space="preserve">    if _registry is None:</t>
        </is>
      </c>
    </row>
    <row r="205">
      <c r="A205" s="9" t="n">
        <v>202</v>
      </c>
      <c r="B205" s="10" t="inlineStr">
        <is>
          <t xml:space="preserve">        _registry = MaterialRegistry()</t>
        </is>
      </c>
    </row>
    <row r="206">
      <c r="A206" s="7" t="n">
        <v>203</v>
      </c>
      <c r="B206" s="8" t="inlineStr">
        <is>
          <t xml:space="preserve">    return _registry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core\model_pool.py</t>
        </is>
      </c>
      <c r="C1" s="5" t="inlineStr">
        <is>
          <t>行数: 108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全局模型池 - 懒加载 + LRU淘汰 + 显存智能管控</t>
        </is>
      </c>
    </row>
    <row r="6">
      <c r="A6" s="7" t="n">
        <v>3</v>
      </c>
      <c r="B6" s="8" t="inlineStr">
        <is>
          <t>冷启动≤3秒，闲置模型自动卸载释放显存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time</t>
        </is>
      </c>
    </row>
    <row r="9">
      <c r="A9" s="9" t="n">
        <v>6</v>
      </c>
      <c r="B9" s="10" t="inlineStr">
        <is>
          <t>import threading</t>
        </is>
      </c>
    </row>
    <row r="10">
      <c r="A10" s="7" t="n">
        <v>7</v>
      </c>
      <c r="B10" s="8" t="inlineStr">
        <is>
          <t>from collections import OrderedDict</t>
        </is>
      </c>
    </row>
    <row r="11">
      <c r="A11" s="9" t="n">
        <v>8</v>
      </c>
      <c r="B11" s="10" t="inlineStr">
        <is>
          <t>from utils.logger import get_logger</t>
        </is>
      </c>
    </row>
    <row r="12">
      <c r="A12" s="7" t="n">
        <v>9</v>
      </c>
      <c r="B12" s="8" t="inlineStr">
        <is>
          <t>from utils.vram_manager import get_nvidia_vram_info</t>
        </is>
      </c>
    </row>
    <row r="13">
      <c r="A13" s="9" t="n">
        <v>10</v>
      </c>
      <c r="B13" s="10" t="inlineStr">
        <is>
          <t>from core.config_loader import CONFIG</t>
        </is>
      </c>
    </row>
    <row r="14">
      <c r="A14" s="7" t="n">
        <v>11</v>
      </c>
      <c r="B14" s="8" t="inlineStr">
        <is>
          <t>logger = get_logger("model_pool")</t>
        </is>
      </c>
    </row>
    <row r="15">
      <c r="A15" s="9" t="n">
        <v>12</v>
      </c>
      <c r="B15" s="10" t="inlineStr">
        <is>
          <t>class ModelPool:</t>
        </is>
      </c>
    </row>
    <row r="16">
      <c r="A16" s="7" t="n">
        <v>13</v>
      </c>
      <c r="B16" s="8" t="inlineStr">
        <is>
          <t xml:space="preserve">    """全局模型池单例：按需加载，LRU淘汰，显存峰值管控"""</t>
        </is>
      </c>
    </row>
    <row r="17">
      <c r="A17" s="9" t="n">
        <v>14</v>
      </c>
      <c r="B17" s="10" t="inlineStr">
        <is>
          <t xml:space="preserve">    _instance = None</t>
        </is>
      </c>
    </row>
    <row r="18">
      <c r="A18" s="7" t="n">
        <v>15</v>
      </c>
      <c r="B18" s="8" t="inlineStr">
        <is>
          <t xml:space="preserve">    _lock = threading.Lock()</t>
        </is>
      </c>
    </row>
    <row r="19">
      <c r="A19" s="9" t="n">
        <v>16</v>
      </c>
      <c r="B19" s="10" t="inlineStr">
        <is>
          <t xml:space="preserve">    def __new__(cls):</t>
        </is>
      </c>
    </row>
    <row r="20">
      <c r="A20" s="7" t="n">
        <v>17</v>
      </c>
      <c r="B20" s="8" t="inlineStr">
        <is>
          <t xml:space="preserve">        if cls._instance is None:</t>
        </is>
      </c>
    </row>
    <row r="21">
      <c r="A21" s="9" t="n">
        <v>18</v>
      </c>
      <c r="B21" s="10" t="inlineStr">
        <is>
          <t xml:space="preserve">            with cls._lock:</t>
        </is>
      </c>
    </row>
    <row r="22">
      <c r="A22" s="7" t="n">
        <v>19</v>
      </c>
      <c r="B22" s="8" t="inlineStr">
        <is>
          <t xml:space="preserve">                if cls._instance is None:</t>
        </is>
      </c>
    </row>
    <row r="23">
      <c r="A23" s="9" t="n">
        <v>20</v>
      </c>
      <c r="B23" s="10" t="inlineStr">
        <is>
          <t xml:space="preserve">                    cls._instance = super().__new__(cls)</t>
        </is>
      </c>
    </row>
    <row r="24">
      <c r="A24" s="7" t="n">
        <v>21</v>
      </c>
      <c r="B24" s="8" t="inlineStr">
        <is>
          <t xml:space="preserve">        return cls._instance</t>
        </is>
      </c>
    </row>
    <row r="25">
      <c r="A25" s="9" t="n">
        <v>22</v>
      </c>
      <c r="B25" s="10" t="inlineStr">
        <is>
          <t xml:space="preserve">    def __init__(self):</t>
        </is>
      </c>
    </row>
    <row r="26">
      <c r="A26" s="7" t="n">
        <v>23</v>
      </c>
      <c r="B26" s="8" t="inlineStr">
        <is>
          <t xml:space="preserve">        if hasattr(self, "_initialized"):</t>
        </is>
      </c>
    </row>
    <row r="27">
      <c r="A27" s="9" t="n">
        <v>24</v>
      </c>
      <c r="B27" s="10" t="inlineStr">
        <is>
          <t xml:space="preserve">            return</t>
        </is>
      </c>
    </row>
    <row r="28">
      <c r="A28" s="7" t="n">
        <v>25</v>
      </c>
      <c r="B28" s="8" t="inlineStr">
        <is>
          <t xml:space="preserve">        self._initialized = True</t>
        </is>
      </c>
    </row>
    <row r="29">
      <c r="A29" s="9" t="n">
        <v>26</v>
      </c>
      <c r="B29" s="10" t="inlineStr">
        <is>
          <t xml:space="preserve">        self.models = OrderedDict()</t>
        </is>
      </c>
    </row>
    <row r="30">
      <c r="A30" s="7" t="n">
        <v>27</v>
      </c>
      <c r="B30" s="8" t="inlineStr">
        <is>
          <t xml:space="preserve">        self.last_used_time = {}</t>
        </is>
      </c>
    </row>
    <row r="31">
      <c r="A31" s="9" t="n">
        <v>28</v>
      </c>
      <c r="B31" s="10" t="inlineStr">
        <is>
          <t xml:space="preserve">        self.max_vram = CONFIG["model_pool"]["max_vram_mb"]</t>
        </is>
      </c>
    </row>
    <row r="32">
      <c r="A32" s="7" t="n">
        <v>29</v>
      </c>
      <c r="B32" s="8" t="inlineStr">
        <is>
          <t xml:space="preserve">        self.idle_timeout = CONFIG["model_pool"]["lru_idle_minutes"] * 60</t>
        </is>
      </c>
    </row>
    <row r="33">
      <c r="A33" s="9" t="n">
        <v>30</v>
      </c>
      <c r="B33" s="10" t="inlineStr">
        <is>
          <t xml:space="preserve">        self.resident_models = set(CONFIG["model_pool"]["resident_models"])</t>
        </is>
      </c>
    </row>
    <row r="34">
      <c r="A34" s="7" t="n">
        <v>31</v>
      </c>
      <c r="B34" s="8" t="inlineStr">
        <is>
          <t xml:space="preserve">        self._lock = threading.Lock()</t>
        </is>
      </c>
    </row>
    <row r="35">
      <c r="A35" s="9" t="n">
        <v>32</v>
      </c>
      <c r="B35" s="10" t="inlineStr">
        <is>
          <t xml:space="preserve">        # 后台闲置清理线程</t>
        </is>
      </c>
    </row>
    <row r="36">
      <c r="A36" s="7" t="n">
        <v>33</v>
      </c>
      <c r="B36" s="8" t="inlineStr">
        <is>
          <t xml:space="preserve">        self._start_cleaner()</t>
        </is>
      </c>
    </row>
    <row r="37">
      <c r="A37" s="9" t="n">
        <v>34</v>
      </c>
      <c r="B37" s="10" t="inlineStr">
        <is>
          <t xml:space="preserve">        logger.info(f"全局模型池初始化完成 | 显存上限: {self.max_vram}MB | 常驻: {self.resident_models}")</t>
        </is>
      </c>
    </row>
    <row r="38">
      <c r="A38" s="7" t="n">
        <v>35</v>
      </c>
      <c r="B38" s="8" t="inlineStr">
        <is>
          <t xml:space="preserve">    def _start_cleaner(self):</t>
        </is>
      </c>
    </row>
    <row r="39">
      <c r="A39" s="9" t="n">
        <v>36</v>
      </c>
      <c r="B39" s="10" t="inlineStr">
        <is>
          <t xml:space="preserve">        """后台线程：每60秒清理闲置超时模型"""</t>
        </is>
      </c>
    </row>
    <row r="40">
      <c r="A40" s="7" t="n">
        <v>37</v>
      </c>
      <c r="B40" s="8" t="inlineStr">
        <is>
          <t xml:space="preserve">        def cleaner():</t>
        </is>
      </c>
    </row>
    <row r="41">
      <c r="A41" s="9" t="n">
        <v>38</v>
      </c>
      <c r="B41" s="10" t="inlineStr">
        <is>
          <t xml:space="preserve">            while True:</t>
        </is>
      </c>
    </row>
    <row r="42">
      <c r="A42" s="7" t="n">
        <v>39</v>
      </c>
      <c r="B42" s="8" t="inlineStr">
        <is>
          <t xml:space="preserve">                time.sleep(60)</t>
        </is>
      </c>
    </row>
    <row r="43">
      <c r="A43" s="9" t="n">
        <v>40</v>
      </c>
      <c r="B43" s="10" t="inlineStr">
        <is>
          <t xml:space="preserve">                self._clean_idle_models()</t>
        </is>
      </c>
    </row>
    <row r="44">
      <c r="A44" s="7" t="n">
        <v>41</v>
      </c>
      <c r="B44" s="8" t="inlineStr">
        <is>
          <t xml:space="preserve">        t = threading.Thread(target=cleaner, daemon=True)</t>
        </is>
      </c>
    </row>
    <row r="45">
      <c r="A45" s="9" t="n">
        <v>42</v>
      </c>
      <c r="B45" s="10" t="inlineStr">
        <is>
          <t xml:space="preserve">        t.start()</t>
        </is>
      </c>
    </row>
    <row r="46">
      <c r="A46" s="7" t="n">
        <v>43</v>
      </c>
      <c r="B46" s="8" t="inlineStr">
        <is>
          <t xml:space="preserve">    def _clean_idle_models(self):</t>
        </is>
      </c>
    </row>
    <row r="47">
      <c r="A47" s="9" t="n">
        <v>44</v>
      </c>
      <c r="B47" s="10" t="inlineStr">
        <is>
          <t xml:space="preserve">        """清理超过空闲时间的非常驻模型"""</t>
        </is>
      </c>
    </row>
    <row r="48">
      <c r="A48" s="7" t="n">
        <v>45</v>
      </c>
      <c r="B48" s="8" t="inlineStr">
        <is>
          <t xml:space="preserve">        now = time.time()</t>
        </is>
      </c>
    </row>
    <row r="49">
      <c r="A49" s="9" t="n">
        <v>46</v>
      </c>
      <c r="B49" s="10" t="inlineStr">
        <is>
          <t xml:space="preserve">        with self._lock:</t>
        </is>
      </c>
    </row>
    <row r="50">
      <c r="A50" s="7" t="n">
        <v>47</v>
      </c>
      <c r="B50" s="8" t="inlineStr">
        <is>
          <t xml:space="preserve">            to_remove = []</t>
        </is>
      </c>
    </row>
    <row r="51">
      <c r="A51" s="9" t="n">
        <v>48</v>
      </c>
      <c r="B51" s="10" t="inlineStr">
        <is>
          <t xml:space="preserve">            for name in list(self.models.keys()):</t>
        </is>
      </c>
    </row>
    <row r="52">
      <c r="A52" s="7" t="n">
        <v>49</v>
      </c>
      <c r="B52" s="8" t="inlineStr">
        <is>
          <t xml:space="preserve">                if name in self.resident_models:</t>
        </is>
      </c>
    </row>
    <row r="53">
      <c r="A53" s="9" t="n">
        <v>50</v>
      </c>
      <c r="B53" s="10" t="inlineStr">
        <is>
          <t xml:space="preserve">                    continue</t>
        </is>
      </c>
    </row>
    <row r="54">
      <c r="A54" s="7" t="n">
        <v>51</v>
      </c>
      <c r="B54" s="8" t="inlineStr">
        <is>
          <t xml:space="preserve">                idle_time = now - self.last_used_time.get(name, 0)</t>
        </is>
      </c>
    </row>
    <row r="55">
      <c r="A55" s="9" t="n">
        <v>52</v>
      </c>
      <c r="B55" s="10" t="inlineStr">
        <is>
          <t xml:space="preserve">                if idle_time &gt; self.idle_timeout:</t>
        </is>
      </c>
    </row>
    <row r="56">
      <c r="A56" s="7" t="n">
        <v>53</v>
      </c>
      <c r="B56" s="8" t="inlineStr">
        <is>
          <t xml:space="preserve">                    to_remove.append(name)</t>
        </is>
      </c>
    </row>
    <row r="57">
      <c r="A57" s="9" t="n">
        <v>54</v>
      </c>
      <c r="B57" s="10" t="inlineStr">
        <is>
          <t xml:space="preserve">            for name in to_remove:</t>
        </is>
      </c>
    </row>
    <row r="58">
      <c r="A58" s="7" t="n">
        <v>55</v>
      </c>
      <c r="B58" s="8" t="inlineStr">
        <is>
          <t xml:space="preserve">                del self.models[name]</t>
        </is>
      </c>
    </row>
    <row r="59">
      <c r="A59" s="9" t="n">
        <v>56</v>
      </c>
      <c r="B59" s="10" t="inlineStr">
        <is>
          <t xml:space="preserve">                self.last_used_time.pop(name, None)</t>
        </is>
      </c>
    </row>
    <row r="60">
      <c r="A60" s="7" t="n">
        <v>57</v>
      </c>
      <c r="B60" s="8" t="inlineStr">
        <is>
          <t xml:space="preserve">                logger.info(f"闲置模型已卸载: {name}（空闲{self.idle_timeout//60}分钟）")</t>
        </is>
      </c>
    </row>
    <row r="61">
      <c r="A61" s="9" t="n">
        <v>58</v>
      </c>
      <c r="B61" s="10" t="inlineStr">
        <is>
          <t xml:space="preserve">    def get_model(self, model_name: str, loader_func):</t>
        </is>
      </c>
    </row>
    <row r="62">
      <c r="A62" s="7" t="n">
        <v>59</v>
      </c>
      <c r="B62" s="8" t="inlineStr">
        <is>
          <t xml:space="preserve">        """</t>
        </is>
      </c>
    </row>
    <row r="63">
      <c r="A63" s="9" t="n">
        <v>60</v>
      </c>
      <c r="B63" s="10" t="inlineStr">
        <is>
          <t xml:space="preserve">        获取模型，不存在则调用loader_func懒加载</t>
        </is>
      </c>
    </row>
    <row r="64">
      <c r="A64" s="7" t="n">
        <v>61</v>
      </c>
      <c r="B64" s="8" t="inlineStr">
        <is>
          <t xml:space="preserve">        返回: 模型实例</t>
        </is>
      </c>
    </row>
    <row r="65">
      <c r="A65" s="9" t="n">
        <v>62</v>
      </c>
      <c r="B65" s="10" t="inlineStr">
        <is>
          <t xml:space="preserve">        """</t>
        </is>
      </c>
    </row>
    <row r="66">
      <c r="A66" s="7" t="n">
        <v>63</v>
      </c>
      <c r="B66" s="8" t="inlineStr">
        <is>
          <t xml:space="preserve">        with self._lock:</t>
        </is>
      </c>
    </row>
    <row r="67">
      <c r="A67" s="9" t="n">
        <v>64</v>
      </c>
      <c r="B67" s="10" t="inlineStr">
        <is>
          <t xml:space="preserve">            # 命中缓存</t>
        </is>
      </c>
    </row>
    <row r="68">
      <c r="A68" s="7" t="n">
        <v>65</v>
      </c>
      <c r="B68" s="8" t="inlineStr">
        <is>
          <t xml:space="preserve">            if model_name in self.models:</t>
        </is>
      </c>
    </row>
    <row r="69">
      <c r="A69" s="9" t="n">
        <v>66</v>
      </c>
      <c r="B69" s="10" t="inlineStr">
        <is>
          <t xml:space="preserve">                self.last_used_time[model_name] = time.time()</t>
        </is>
      </c>
    </row>
    <row r="70">
      <c r="A70" s="7" t="n">
        <v>67</v>
      </c>
      <c r="B70" s="8" t="inlineStr">
        <is>
          <t xml:space="preserve">                self.models.move_to_end(model_name)</t>
        </is>
      </c>
    </row>
    <row r="71">
      <c r="A71" s="9" t="n">
        <v>68</v>
      </c>
      <c r="B71" s="10" t="inlineStr">
        <is>
          <t xml:space="preserve">                return self.models[model_name]</t>
        </is>
      </c>
    </row>
    <row r="72">
      <c r="A72" s="7" t="n">
        <v>69</v>
      </c>
      <c r="B72" s="8" t="inlineStr">
        <is>
          <t xml:space="preserve">            # 显存检查 → 不足时驱逐非常驻模型</t>
        </is>
      </c>
    </row>
    <row r="73">
      <c r="A73" s="9" t="n">
        <v>70</v>
      </c>
      <c r="B73" s="10" t="inlineStr">
        <is>
          <t xml:space="preserve">            vram_info = get_nvidia_vram_info()</t>
        </is>
      </c>
    </row>
    <row r="74">
      <c r="A74" s="7" t="n">
        <v>71</v>
      </c>
      <c r="B74" s="8" t="inlineStr">
        <is>
          <t xml:space="preserve">            if vram_info["total_mb"] &gt; 0 and vram_info["free_mb"] &lt; 500:</t>
        </is>
      </c>
    </row>
    <row r="75">
      <c r="A75" s="9" t="n">
        <v>72</v>
      </c>
      <c r="B75" s="10" t="inlineStr">
        <is>
          <t xml:space="preserve">                self._evict_models(required_mb=800)</t>
        </is>
      </c>
    </row>
    <row r="76">
      <c r="A76" s="7" t="n">
        <v>73</v>
      </c>
      <c r="B76" s="8" t="inlineStr">
        <is>
          <t xml:space="preserve">            # 懒加载</t>
        </is>
      </c>
    </row>
    <row r="77">
      <c r="A77" s="9" t="n">
        <v>74</v>
      </c>
      <c r="B77" s="10" t="inlineStr">
        <is>
          <t xml:space="preserve">            logger.info(f"加载模型: {model_name}")</t>
        </is>
      </c>
    </row>
    <row r="78">
      <c r="A78" s="7" t="n">
        <v>75</v>
      </c>
      <c r="B78" s="8" t="inlineStr">
        <is>
          <t xml:space="preserve">            try:</t>
        </is>
      </c>
    </row>
    <row r="79">
      <c r="A79" s="9" t="n">
        <v>76</v>
      </c>
      <c r="B79" s="10" t="inlineStr">
        <is>
          <t xml:space="preserve">                model = loader_func()</t>
        </is>
      </c>
    </row>
    <row r="80">
      <c r="A80" s="7" t="n">
        <v>77</v>
      </c>
      <c r="B80" s="8" t="inlineStr">
        <is>
          <t xml:space="preserve">            except Exception as e:</t>
        </is>
      </c>
    </row>
    <row r="81">
      <c r="A81" s="9" t="n">
        <v>78</v>
      </c>
      <c r="B81" s="10" t="inlineStr">
        <is>
          <t xml:space="preserve">                logger.error(f"模型加载失败 {model_name}: {e}")</t>
        </is>
      </c>
    </row>
    <row r="82">
      <c r="A82" s="7" t="n">
        <v>79</v>
      </c>
      <c r="B82" s="8" t="inlineStr">
        <is>
          <t xml:space="preserve">                raise</t>
        </is>
      </c>
    </row>
    <row r="83">
      <c r="A83" s="9" t="n">
        <v>80</v>
      </c>
      <c r="B83" s="10" t="inlineStr">
        <is>
          <t xml:space="preserve">            self.models[model_name] = model</t>
        </is>
      </c>
    </row>
    <row r="84">
      <c r="A84" s="7" t="n">
        <v>81</v>
      </c>
      <c r="B84" s="8" t="inlineStr">
        <is>
          <t xml:space="preserve">            self.last_used_time[model_name] = time.time()</t>
        </is>
      </c>
    </row>
    <row r="85">
      <c r="A85" s="9" t="n">
        <v>82</v>
      </c>
      <c r="B85" s="10" t="inlineStr">
        <is>
          <t xml:space="preserve">            return model</t>
        </is>
      </c>
    </row>
    <row r="86">
      <c r="A86" s="7" t="n">
        <v>83</v>
      </c>
      <c r="B86" s="8" t="inlineStr">
        <is>
          <t xml:space="preserve">    def _evict_models(self, required_mb: int):</t>
        </is>
      </c>
    </row>
    <row r="87">
      <c r="A87" s="9" t="n">
        <v>84</v>
      </c>
      <c r="B87" s="10" t="inlineStr">
        <is>
          <t xml:space="preserve">        """按LRU顺序驱逐非常驻模型，释放显存"""</t>
        </is>
      </c>
    </row>
    <row r="88">
      <c r="A88" s="7" t="n">
        <v>85</v>
      </c>
      <c r="B88" s="8" t="inlineStr">
        <is>
          <t xml:space="preserve">        evicted = 0</t>
        </is>
      </c>
    </row>
    <row r="89">
      <c r="A89" s="9" t="n">
        <v>86</v>
      </c>
      <c r="B89" s="10" t="inlineStr">
        <is>
          <t xml:space="preserve">        for name in list(self.models.keys()):</t>
        </is>
      </c>
    </row>
    <row r="90">
      <c r="A90" s="7" t="n">
        <v>87</v>
      </c>
      <c r="B90" s="8" t="inlineStr">
        <is>
          <t xml:space="preserve">            if name in self.resident_models:</t>
        </is>
      </c>
    </row>
    <row r="91">
      <c r="A91" s="9" t="n">
        <v>88</v>
      </c>
      <c r="B91" s="10" t="inlineStr">
        <is>
          <t xml:space="preserve">                continue</t>
        </is>
      </c>
    </row>
    <row r="92">
      <c r="A92" s="7" t="n">
        <v>89</v>
      </c>
      <c r="B92" s="8" t="inlineStr">
        <is>
          <t xml:space="preserve">            del self.models[name]</t>
        </is>
      </c>
    </row>
    <row r="93">
      <c r="A93" s="9" t="n">
        <v>90</v>
      </c>
      <c r="B93" s="10" t="inlineStr">
        <is>
          <t xml:space="preserve">            self.last_used_time.pop(name, None)</t>
        </is>
      </c>
    </row>
    <row r="94">
      <c r="A94" s="7" t="n">
        <v>91</v>
      </c>
      <c r="B94" s="8" t="inlineStr">
        <is>
          <t xml:space="preserve">            evicted += 500</t>
        </is>
      </c>
    </row>
    <row r="95">
      <c r="A95" s="9" t="n">
        <v>92</v>
      </c>
      <c r="B95" s="10" t="inlineStr">
        <is>
          <t xml:space="preserve">            logger.info(f"显存不足，驱逐模型: {name}")</t>
        </is>
      </c>
    </row>
    <row r="96">
      <c r="A96" s="7" t="n">
        <v>93</v>
      </c>
      <c r="B96" s="8" t="inlineStr">
        <is>
          <t xml:space="preserve">            if evicted &gt;= required_mb:</t>
        </is>
      </c>
    </row>
    <row r="97">
      <c r="A97" s="9" t="n">
        <v>94</v>
      </c>
      <c r="B97" s="10" t="inlineStr">
        <is>
          <t xml:space="preserve">                break</t>
        </is>
      </c>
    </row>
    <row r="98">
      <c r="A98" s="7" t="n">
        <v>95</v>
      </c>
      <c r="B98" s="8" t="inlineStr">
        <is>
          <t xml:space="preserve">    def release_all(self):</t>
        </is>
      </c>
    </row>
    <row r="99">
      <c r="A99" s="9" t="n">
        <v>96</v>
      </c>
      <c r="B99" s="10" t="inlineStr">
        <is>
          <t xml:space="preserve">        """释放所有已加载模型"""</t>
        </is>
      </c>
    </row>
    <row r="100">
      <c r="A100" s="7" t="n">
        <v>97</v>
      </c>
      <c r="B100" s="8" t="inlineStr">
        <is>
          <t xml:space="preserve">        with self._lock:</t>
        </is>
      </c>
    </row>
    <row r="101">
      <c r="A101" s="9" t="n">
        <v>98</v>
      </c>
      <c r="B101" s="10" t="inlineStr">
        <is>
          <t xml:space="preserve">            count = len(self.models)</t>
        </is>
      </c>
    </row>
    <row r="102">
      <c r="A102" s="7" t="n">
        <v>99</v>
      </c>
      <c r="B102" s="8" t="inlineStr">
        <is>
          <t xml:space="preserve">            self.models.clear()</t>
        </is>
      </c>
    </row>
    <row r="103">
      <c r="A103" s="9" t="n">
        <v>100</v>
      </c>
      <c r="B103" s="10" t="inlineStr">
        <is>
          <t xml:space="preserve">            self.last_used_time.clear()</t>
        </is>
      </c>
    </row>
    <row r="104">
      <c r="A104" s="7" t="n">
        <v>101</v>
      </c>
      <c r="B104" s="8" t="inlineStr">
        <is>
          <t xml:space="preserve">            logger.info(f"所有模型已释放，共{count}个")</t>
        </is>
      </c>
    </row>
    <row r="105">
      <c r="A105" s="9" t="n">
        <v>102</v>
      </c>
      <c r="B105" s="10" t="inlineStr">
        <is>
          <t xml:space="preserve">    @property</t>
        </is>
      </c>
    </row>
    <row r="106">
      <c r="A106" s="7" t="n">
        <v>103</v>
      </c>
      <c r="B106" s="8" t="inlineStr">
        <is>
          <t xml:space="preserve">    def loaded_models(self) -&gt; list:</t>
        </is>
      </c>
    </row>
    <row r="107">
      <c r="A107" s="9" t="n">
        <v>104</v>
      </c>
      <c r="B107" s="10" t="inlineStr">
        <is>
          <t xml:space="preserve">        """当前已加载的模型名称列表"""</t>
        </is>
      </c>
    </row>
    <row r="108">
      <c r="A108" s="7" t="n">
        <v>105</v>
      </c>
      <c r="B108" s="8" t="inlineStr">
        <is>
          <t xml:space="preserve">        with self._lock:</t>
        </is>
      </c>
    </row>
    <row r="109">
      <c r="A109" s="9" t="n">
        <v>106</v>
      </c>
      <c r="B109" s="10" t="inlineStr">
        <is>
          <t xml:space="preserve">            return list(self.models.keys())</t>
        </is>
      </c>
    </row>
    <row r="110">
      <c r="A110" s="7" t="n">
        <v>107</v>
      </c>
      <c r="B110" s="8" t="inlineStr">
        <is>
          <t># 全局单例</t>
        </is>
      </c>
    </row>
    <row r="111">
      <c r="A111" s="9" t="n">
        <v>108</v>
      </c>
      <c r="B111" s="10" t="inlineStr">
        <is>
          <t>model_pool = ModelPool()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core\monitor\__init__.py</t>
        </is>
      </c>
      <c r="C1" s="5" t="inlineStr">
        <is>
          <t>行数: 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Monitor v1.0 — 系统监控模块</t>
        </is>
      </c>
    </row>
    <row r="6">
      <c r="A6" s="7" t="n">
        <v>3</v>
      </c>
      <c r="B6" s="8">
        <f>==============================</f>
        <v/>
      </c>
    </row>
    <row r="7">
      <c r="A7" s="9" t="n">
        <v>4</v>
      </c>
      <c r="B7" s="10" t="inlineStr">
        <is>
          <t>指标采集 + 异常告警。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from core.monitor.metrics_collector import MetricsCollector, get_metrics</t>
        </is>
      </c>
    </row>
    <row r="10">
      <c r="A10" s="7" t="n">
        <v>7</v>
      </c>
      <c r="B10" s="8" t="inlineStr">
        <is>
          <t>from core.monitor.alert_manager import AlertManager, get_alert_manager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core\monitor\alert_manager.py</t>
        </is>
      </c>
      <c r="C1" s="5" t="inlineStr">
        <is>
          <t>行数: 65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告警管理器 — 多渠道告警推送 + 冷却控制。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time</t>
        </is>
      </c>
    </row>
    <row r="8">
      <c r="A8" s="7" t="n">
        <v>5</v>
      </c>
      <c r="B8" s="8" t="inlineStr">
        <is>
          <t>import threading</t>
        </is>
      </c>
    </row>
    <row r="9">
      <c r="A9" s="9" t="n">
        <v>6</v>
      </c>
      <c r="B9" s="10" t="inlineStr">
        <is>
          <t>import logging</t>
        </is>
      </c>
    </row>
    <row r="10">
      <c r="A10" s="7" t="n">
        <v>7</v>
      </c>
      <c r="B10" s="8" t="inlineStr">
        <is>
          <t>from typing import Dict</t>
        </is>
      </c>
    </row>
    <row r="11">
      <c r="A11" s="9" t="n">
        <v>8</v>
      </c>
      <c r="B11" s="10" t="inlineStr">
        <is>
          <t>from datetime import datetime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_log = logging.getLogger("TreeCut.Monitor")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class AlertManager:</t>
        </is>
      </c>
    </row>
    <row r="17">
      <c r="A17" s="9" t="n">
        <v>14</v>
      </c>
      <c r="B17" s="10" t="inlineStr">
        <is>
          <t xml:space="preserve">    """异常告警管理器"""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 xml:space="preserve">    def __init__(self, cooldown_sec: int = 300):</t>
        </is>
      </c>
    </row>
    <row r="20">
      <c r="A20" s="7" t="n">
        <v>17</v>
      </c>
      <c r="B20" s="8" t="inlineStr">
        <is>
          <t xml:space="preserve">        self._cooldown = cooldown_sec</t>
        </is>
      </c>
    </row>
    <row r="21">
      <c r="A21" s="9" t="n">
        <v>18</v>
      </c>
      <c r="B21" s="10" t="inlineStr">
        <is>
          <t xml:space="preserve">        self._last_alert: Dict[str, float] = {}</t>
        </is>
      </c>
    </row>
    <row r="22">
      <c r="A22" s="7" t="n">
        <v>19</v>
      </c>
      <c r="B22" s="8" t="inlineStr">
        <is>
          <t xml:space="preserve">        self._lock = threading.Lock()</t>
        </is>
      </c>
    </row>
    <row r="23">
      <c r="A23" s="9" t="n">
        <v>20</v>
      </c>
      <c r="B23" s="10" t="inlineStr">
        <is>
          <t xml:space="preserve">        self._webhook_url = ""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 xml:space="preserve">    def set_webhook(self, url: str):</t>
        </is>
      </c>
    </row>
    <row r="26">
      <c r="A26" s="7" t="n">
        <v>23</v>
      </c>
      <c r="B26" s="8" t="inlineStr">
        <is>
          <t xml:space="preserve">        self._webhook_url = url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 xml:space="preserve">    def send(self, alert_type: str, message: str, level: str = "warning") -&gt; bool:</t>
        </is>
      </c>
    </row>
    <row r="29">
      <c r="A29" s="9" t="n">
        <v>26</v>
      </c>
      <c r="B29" s="10" t="inlineStr">
        <is>
          <t xml:space="preserve">        """发送告警（含冷却控制）"""</t>
        </is>
      </c>
    </row>
    <row r="30">
      <c r="A30" s="7" t="n">
        <v>27</v>
      </c>
      <c r="B30" s="8" t="inlineStr">
        <is>
          <t xml:space="preserve">        with self._lock:</t>
        </is>
      </c>
    </row>
    <row r="31">
      <c r="A31" s="9" t="n">
        <v>28</v>
      </c>
      <c r="B31" s="10" t="inlineStr">
        <is>
          <t xml:space="preserve">            now = time.time()</t>
        </is>
      </c>
    </row>
    <row r="32">
      <c r="A32" s="7" t="n">
        <v>29</v>
      </c>
      <c r="B32" s="8" t="inlineStr">
        <is>
          <t xml:space="preserve">            last = self._last_alert.get(alert_type, 0)</t>
        </is>
      </c>
    </row>
    <row r="33">
      <c r="A33" s="9" t="n">
        <v>30</v>
      </c>
      <c r="B33" s="10" t="inlineStr">
        <is>
          <t xml:space="preserve">            if now - last &lt; self._cooldown:</t>
        </is>
      </c>
    </row>
    <row r="34">
      <c r="A34" s="7" t="n">
        <v>31</v>
      </c>
      <c r="B34" s="8" t="inlineStr">
        <is>
          <t xml:space="preserve">                return False</t>
        </is>
      </c>
    </row>
    <row r="35">
      <c r="A35" s="9" t="n">
        <v>32</v>
      </c>
      <c r="B35" s="10" t="inlineStr">
        <is>
          <t xml:space="preserve">            self._last_alert[alert_type] = now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 xml:space="preserve">        timestamp = datetime.now().strftime("%m-%d %H:%M:%S")</t>
        </is>
      </c>
    </row>
    <row r="38">
      <c r="A38" s="7" t="n">
        <v>35</v>
      </c>
      <c r="B38" s="8" t="inlineStr">
        <is>
          <t xml:space="preserve">        full_msg = f"[{timestamp}][{level.upper()}] {alert_type}: {message}"</t>
        </is>
      </c>
    </row>
    <row r="39">
      <c r="A39" s="9" t="n">
        <v>36</v>
      </c>
      <c r="B39" s="10" t="inlineStr">
        <is>
          <t xml:space="preserve">        _log.warning(full_msg)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 xml:space="preserve">        # EventBus推送</t>
        </is>
      </c>
    </row>
    <row r="42">
      <c r="A42" s="7" t="n">
        <v>39</v>
      </c>
      <c r="B42" s="8" t="inlineStr">
        <is>
          <t xml:space="preserve">        try:</t>
        </is>
      </c>
    </row>
    <row r="43">
      <c r="A43" s="9" t="n">
        <v>40</v>
      </c>
      <c r="B43" s="10" t="inlineStr">
        <is>
          <t xml:space="preserve">            from core.event_bus import get_bus, Events</t>
        </is>
      </c>
    </row>
    <row r="44">
      <c r="A44" s="7" t="n">
        <v>41</v>
      </c>
      <c r="B44" s="8" t="inlineStr">
        <is>
          <t xml:space="preserve">            get_bus().publish_async(Events.LOG_MESSAGE, {</t>
        </is>
      </c>
    </row>
    <row r="45">
      <c r="A45" s="9" t="n">
        <v>42</v>
      </c>
      <c r="B45" s="10" t="inlineStr">
        <is>
          <t xml:space="preserve">                "level": level, "module": "AlertManager", "message": full_msg</t>
        </is>
      </c>
    </row>
    <row r="46">
      <c r="A46" s="7" t="n">
        <v>43</v>
      </c>
      <c r="B46" s="8" t="inlineStr">
        <is>
          <t xml:space="preserve">            })</t>
        </is>
      </c>
    </row>
    <row r="47">
      <c r="A47" s="9" t="n">
        <v>44</v>
      </c>
      <c r="B47" s="10" t="inlineStr">
        <is>
          <t xml:space="preserve">        except Exception:</t>
        </is>
      </c>
    </row>
    <row r="48">
      <c r="A48" s="7" t="n">
        <v>45</v>
      </c>
      <c r="B48" s="8" t="inlineStr">
        <is>
          <t xml:space="preserve">            pass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 xml:space="preserve">        return True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def alert_task_fail(self, task_id: str, error: str):</t>
        </is>
      </c>
    </row>
    <row r="53">
      <c r="A53" s="9" t="n">
        <v>50</v>
      </c>
      <c r="B53" s="10" t="inlineStr">
        <is>
          <t xml:space="preserve">        self.send("task_failed", f"任务 {task_id} 失败: {error}", "error")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>
        <is>
          <t xml:space="preserve">    def alert_high_load(self, qps: float, queue_size: int):</t>
        </is>
      </c>
    </row>
    <row r="56">
      <c r="A56" s="7" t="n">
        <v>53</v>
      </c>
      <c r="B56" s="8" t="inlineStr">
        <is>
          <t xml:space="preserve">        self.send("high_load", f"QPS={qps} queue={queue_size}", "warning")</t>
        </is>
      </c>
    </row>
    <row r="57">
      <c r="A57" s="9" t="n">
        <v>54</v>
      </c>
      <c r="B57" s="10" t="inlineStr"/>
    </row>
    <row r="58">
      <c r="A58" s="7" t="n">
        <v>55</v>
      </c>
      <c r="B58" s="8" t="inlineStr">
        <is>
          <t xml:space="preserve">    def alert_review_pending(self, count: int):</t>
        </is>
      </c>
    </row>
    <row r="59">
      <c r="A59" s="9" t="n">
        <v>56</v>
      </c>
      <c r="B59" s="10" t="inlineStr">
        <is>
          <t xml:space="preserve">        self.send("review_pending", f"待审核项: {count}", "info")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/>
    </row>
    <row r="62">
      <c r="A62" s="7" t="n">
        <v>59</v>
      </c>
      <c r="B62" s="8" t="inlineStr">
        <is>
          <t>_alert: AlertManager = None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>def get_alert_manager() -&gt; AlertManager:</t>
        </is>
      </c>
    </row>
    <row r="65">
      <c r="A65" s="9" t="n">
        <v>62</v>
      </c>
      <c r="B65" s="10" t="inlineStr">
        <is>
          <t xml:space="preserve">    global _alert</t>
        </is>
      </c>
    </row>
    <row r="66">
      <c r="A66" s="7" t="n">
        <v>63</v>
      </c>
      <c r="B66" s="8" t="inlineStr">
        <is>
          <t xml:space="preserve">    if _alert is None:</t>
        </is>
      </c>
    </row>
    <row r="67">
      <c r="A67" s="9" t="n">
        <v>64</v>
      </c>
      <c r="B67" s="10" t="inlineStr">
        <is>
          <t xml:space="preserve">        _alert = AlertManager()</t>
        </is>
      </c>
    </row>
    <row r="68">
      <c r="A68" s="7" t="n">
        <v>65</v>
      </c>
      <c r="B68" s="8" t="inlineStr">
        <is>
          <t xml:space="preserve">    return _alert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core\monitor\metrics_collector.py</t>
        </is>
      </c>
      <c r="C1" s="5" t="inlineStr">
        <is>
          <t>行数: 61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指标采集器 — QPS/耗时/成功率统计。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time</t>
        </is>
      </c>
    </row>
    <row r="8">
      <c r="A8" s="7" t="n">
        <v>5</v>
      </c>
      <c r="B8" s="8" t="inlineStr">
        <is>
          <t>import threading</t>
        </is>
      </c>
    </row>
    <row r="9">
      <c r="A9" s="9" t="n">
        <v>6</v>
      </c>
      <c r="B9" s="10" t="inlineStr">
        <is>
          <t>from collections import defaultdict</t>
        </is>
      </c>
    </row>
    <row r="10">
      <c r="A10" s="7" t="n">
        <v>7</v>
      </c>
      <c r="B10" s="8" t="inlineStr">
        <is>
          <t>from typing import Dict, List</t>
        </is>
      </c>
    </row>
    <row r="11">
      <c r="A11" s="9" t="n">
        <v>8</v>
      </c>
      <c r="B11" s="10" t="inlineStr">
        <is>
          <t>import logging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_log = logging.getLogger("TreeCut.Monitor")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class MetricsCollector:</t>
        </is>
      </c>
    </row>
    <row r="17">
      <c r="A17" s="9" t="n">
        <v>14</v>
      </c>
      <c r="B17" s="10" t="inlineStr">
        <is>
          <t xml:space="preserve">    """系统指标采集器"""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 xml:space="preserve">    def __init__(self):</t>
        </is>
      </c>
    </row>
    <row r="20">
      <c r="A20" s="7" t="n">
        <v>17</v>
      </c>
      <c r="B20" s="8" t="inlineStr">
        <is>
          <t xml:space="preserve">        self._counters = defaultdict(int)</t>
        </is>
      </c>
    </row>
    <row r="21">
      <c r="A21" s="9" t="n">
        <v>18</v>
      </c>
      <c r="B21" s="10" t="inlineStr">
        <is>
          <t xml:space="preserve">        self._latencies: Dict[str, List[float]] = defaultdict(list)</t>
        </is>
      </c>
    </row>
    <row r="22">
      <c r="A22" s="7" t="n">
        <v>19</v>
      </c>
      <c r="B22" s="8" t="inlineStr">
        <is>
          <t xml:space="preserve">        self._lock = threading.Lock()</t>
        </is>
      </c>
    </row>
    <row r="23">
      <c r="A23" s="9" t="n">
        <v>20</v>
      </c>
      <c r="B23" s="10" t="inlineStr">
        <is>
          <t xml:space="preserve">        self._start = time.time()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 xml:space="preserve">    def record(self, api: str, cost: float, success: bool = True):</t>
        </is>
      </c>
    </row>
    <row r="26">
      <c r="A26" s="7" t="n">
        <v>23</v>
      </c>
      <c r="B26" s="8" t="inlineStr">
        <is>
          <t xml:space="preserve">        with self._lock:</t>
        </is>
      </c>
    </row>
    <row r="27">
      <c r="A27" s="9" t="n">
        <v>24</v>
      </c>
      <c r="B27" s="10" t="inlineStr">
        <is>
          <t xml:space="preserve">            suffix = "success" if success else "fail"</t>
        </is>
      </c>
    </row>
    <row r="28">
      <c r="A28" s="7" t="n">
        <v>25</v>
      </c>
      <c r="B28" s="8" t="inlineStr">
        <is>
          <t xml:space="preserve">            self._counters[f"{api}_{suffix}"] += 1</t>
        </is>
      </c>
    </row>
    <row r="29">
      <c r="A29" s="9" t="n">
        <v>26</v>
      </c>
      <c r="B29" s="10" t="inlineStr">
        <is>
          <t xml:space="preserve">            self._counters[f"{api}_total"] += 1</t>
        </is>
      </c>
    </row>
    <row r="30">
      <c r="A30" s="7" t="n">
        <v>27</v>
      </c>
      <c r="B30" s="8" t="inlineStr">
        <is>
          <t xml:space="preserve">            if success:</t>
        </is>
      </c>
    </row>
    <row r="31">
      <c r="A31" s="9" t="n">
        <v>28</v>
      </c>
      <c r="B31" s="10" t="inlineStr">
        <is>
          <t xml:space="preserve">                self._latencies[api].append(cost)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>
        <is>
          <t xml:space="preserve">    def get_summary(self) -&gt; Dict:</t>
        </is>
      </c>
    </row>
    <row r="34">
      <c r="A34" s="7" t="n">
        <v>31</v>
      </c>
      <c r="B34" s="8" t="inlineStr">
        <is>
          <t xml:space="preserve">        with self._lock:</t>
        </is>
      </c>
    </row>
    <row r="35">
      <c r="A35" s="9" t="n">
        <v>32</v>
      </c>
      <c r="B35" s="10" t="inlineStr">
        <is>
          <t xml:space="preserve">            uptime = time.time() - self._start</t>
        </is>
      </c>
    </row>
    <row r="36">
      <c r="A36" s="7" t="n">
        <v>33</v>
      </c>
      <c r="B36" s="8" t="inlineStr">
        <is>
          <t xml:space="preserve">            apis = {}</t>
        </is>
      </c>
    </row>
    <row r="37">
      <c r="A37" s="9" t="n">
        <v>34</v>
      </c>
      <c r="B37" s="10" t="inlineStr">
        <is>
          <t xml:space="preserve">            for key in set(k.rsplit("_", 1)[0] for k in self._counters):</t>
        </is>
      </c>
    </row>
    <row r="38">
      <c r="A38" s="7" t="n">
        <v>35</v>
      </c>
      <c r="B38" s="8" t="inlineStr">
        <is>
          <t xml:space="preserve">                total = self._counters.get(f"{key}_total", 0)</t>
        </is>
      </c>
    </row>
    <row r="39">
      <c r="A39" s="9" t="n">
        <v>36</v>
      </c>
      <c r="B39" s="10" t="inlineStr">
        <is>
          <t xml:space="preserve">                success = self._counters.get(f"{key}_success", 0)</t>
        </is>
      </c>
    </row>
    <row r="40">
      <c r="A40" s="7" t="n">
        <v>37</v>
      </c>
      <c r="B40" s="8" t="inlineStr">
        <is>
          <t xml:space="preserve">                lats = self._latencies.get(key, [])</t>
        </is>
      </c>
    </row>
    <row r="41">
      <c r="A41" s="9" t="n">
        <v>38</v>
      </c>
      <c r="B41" s="10" t="inlineStr">
        <is>
          <t xml:space="preserve">                apis[key] = {</t>
        </is>
      </c>
    </row>
    <row r="42">
      <c r="A42" s="7" t="n">
        <v>39</v>
      </c>
      <c r="B42" s="8" t="inlineStr">
        <is>
          <t xml:space="preserve">                    "total": total,</t>
        </is>
      </c>
    </row>
    <row r="43">
      <c r="A43" s="9" t="n">
        <v>40</v>
      </c>
      <c r="B43" s="10" t="inlineStr">
        <is>
          <t xml:space="preserve">                    "success": success,</t>
        </is>
      </c>
    </row>
    <row r="44">
      <c r="A44" s="7" t="n">
        <v>41</v>
      </c>
      <c r="B44" s="8" t="inlineStr">
        <is>
          <t xml:space="preserve">                    "success_rate": f"{(success/max(total,1)*100):.1f}%",</t>
        </is>
      </c>
    </row>
    <row r="45">
      <c r="A45" s="9" t="n">
        <v>42</v>
      </c>
      <c r="B45" s="10" t="inlineStr">
        <is>
          <t xml:space="preserve">                    "avg_latency_ms": round(sum(lats)/len(lats)*1000, 1) if lats else 0,</t>
        </is>
      </c>
    </row>
    <row r="46">
      <c r="A46" s="7" t="n">
        <v>43</v>
      </c>
      <c r="B46" s="8" t="inlineStr">
        <is>
          <t xml:space="preserve">                    "qps": round(total/max(uptime,1), 1),</t>
        </is>
      </c>
    </row>
    <row r="47">
      <c r="A47" s="9" t="n">
        <v>44</v>
      </c>
      <c r="B47" s="10" t="inlineStr">
        <is>
          <t xml:space="preserve">                }</t>
        </is>
      </c>
    </row>
    <row r="48">
      <c r="A48" s="7" t="n">
        <v>45</v>
      </c>
      <c r="B48" s="8" t="inlineStr">
        <is>
          <t xml:space="preserve">            return {"uptime_sec": round(uptime), "apis": apis}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 xml:space="preserve">    def reset(self):</t>
        </is>
      </c>
    </row>
    <row r="51">
      <c r="A51" s="9" t="n">
        <v>48</v>
      </c>
      <c r="B51" s="10" t="inlineStr">
        <is>
          <t xml:space="preserve">        with self._lock:</t>
        </is>
      </c>
    </row>
    <row r="52">
      <c r="A52" s="7" t="n">
        <v>49</v>
      </c>
      <c r="B52" s="8" t="inlineStr">
        <is>
          <t xml:space="preserve">            self._counters.clear()</t>
        </is>
      </c>
    </row>
    <row r="53">
      <c r="A53" s="9" t="n">
        <v>50</v>
      </c>
      <c r="B53" s="10" t="inlineStr">
        <is>
          <t xml:space="preserve">            self._latencies.clear()</t>
        </is>
      </c>
    </row>
    <row r="54">
      <c r="A54" s="7" t="n">
        <v>51</v>
      </c>
      <c r="B54" s="8" t="inlineStr">
        <is>
          <t xml:space="preserve">            self._start = time.time()</t>
        </is>
      </c>
    </row>
    <row r="55">
      <c r="A55" s="9" t="n">
        <v>52</v>
      </c>
      <c r="B55" s="10" t="inlineStr">
        <is>
          <t xml:space="preserve">        _log.info("指标已重置")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/>
    </row>
    <row r="58">
      <c r="A58" s="7" t="n">
        <v>55</v>
      </c>
      <c r="B58" s="8" t="inlineStr">
        <is>
          <t>_metrics: MetricsCollector = None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>def get_metrics() -&gt; MetricsCollector:</t>
        </is>
      </c>
    </row>
    <row r="61">
      <c r="A61" s="9" t="n">
        <v>58</v>
      </c>
      <c r="B61" s="10" t="inlineStr">
        <is>
          <t xml:space="preserve">    global _metrics</t>
        </is>
      </c>
    </row>
    <row r="62">
      <c r="A62" s="7" t="n">
        <v>59</v>
      </c>
      <c r="B62" s="8" t="inlineStr">
        <is>
          <t xml:space="preserve">    if _metrics is None:</t>
        </is>
      </c>
    </row>
    <row r="63">
      <c r="A63" s="9" t="n">
        <v>60</v>
      </c>
      <c r="B63" s="10" t="inlineStr">
        <is>
          <t xml:space="preserve">        _metrics = MetricsCollector()</t>
        </is>
      </c>
    </row>
    <row r="64">
      <c r="A64" s="7" t="n">
        <v>61</v>
      </c>
      <c r="B64" s="8" t="inlineStr">
        <is>
          <t xml:space="preserve">    return _metrics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core\mq_manager.py</t>
        </is>
      </c>
      <c r="C1" s="5" t="inlineStr">
        <is>
          <t>行数: 150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v12.3 — 消息队列管理器</t>
        </is>
      </c>
    </row>
    <row r="6">
      <c r="A6" s="7" t="n">
        <v>3</v>
      </c>
      <c r="B6" s="8">
        <f>===================================</f>
        <v/>
      </c>
    </row>
    <row r="7">
      <c r="A7" s="9" t="n">
        <v>4</v>
      </c>
      <c r="B7" s="10" t="inlineStr">
        <is>
          <t>异步任务解耦 + 削峰填谷。生产环境用 RabbitMQ，降级为同步提交。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json</t>
        </is>
      </c>
    </row>
    <row r="10">
      <c r="A10" s="7" t="n">
        <v>7</v>
      </c>
      <c r="B10" s="8" t="inlineStr">
        <is>
          <t>import logging</t>
        </is>
      </c>
    </row>
    <row r="11">
      <c r="A11" s="9" t="n">
        <v>8</v>
      </c>
      <c r="B11" s="10" t="inlineStr">
        <is>
          <t>import threading</t>
        </is>
      </c>
    </row>
    <row r="12">
      <c r="A12" s="7" t="n">
        <v>9</v>
      </c>
      <c r="B12" s="8" t="inlineStr">
        <is>
          <t>from typing import Dict, Callable, Optional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_log = logging.getLogger("TreeCut.MQManager")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class MQManager:</t>
        </is>
      </c>
    </row>
    <row r="18">
      <c r="A18" s="7" t="n">
        <v>15</v>
      </c>
      <c r="B18" s="8" t="inlineStr">
        <is>
          <t xml:space="preserve">    """消息队列管理器 — 支持 RabbitMQ 自动降级到本地调度"""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 xml:space="preserve">    _instance: Optional["MQManager"] = None</t>
        </is>
      </c>
    </row>
    <row r="21">
      <c r="A21" s="9" t="n">
        <v>18</v>
      </c>
      <c r="B21" s="10" t="inlineStr">
        <is>
          <t xml:space="preserve">    _lock = threading.Lock()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>
        <is>
          <t xml:space="preserve">    def __new__(cls):</t>
        </is>
      </c>
    </row>
    <row r="24">
      <c r="A24" s="7" t="n">
        <v>21</v>
      </c>
      <c r="B24" s="8" t="inlineStr">
        <is>
          <t xml:space="preserve">        if cls._instance is None:</t>
        </is>
      </c>
    </row>
    <row r="25">
      <c r="A25" s="9" t="n">
        <v>22</v>
      </c>
      <c r="B25" s="10" t="inlineStr">
        <is>
          <t xml:space="preserve">            with cls._lock:</t>
        </is>
      </c>
    </row>
    <row r="26">
      <c r="A26" s="7" t="n">
        <v>23</v>
      </c>
      <c r="B26" s="8" t="inlineStr">
        <is>
          <t xml:space="preserve">                if cls._instance is None:</t>
        </is>
      </c>
    </row>
    <row r="27">
      <c r="A27" s="9" t="n">
        <v>24</v>
      </c>
      <c r="B27" s="10" t="inlineStr">
        <is>
          <t xml:space="preserve">                    cls._instance = super().__new__(cls)</t>
        </is>
      </c>
    </row>
    <row r="28">
      <c r="A28" s="7" t="n">
        <v>25</v>
      </c>
      <c r="B28" s="8" t="inlineStr">
        <is>
          <t xml:space="preserve">                    cls._instance._init()</t>
        </is>
      </c>
    </row>
    <row r="29">
      <c r="A29" s="9" t="n">
        <v>26</v>
      </c>
      <c r="B29" s="10" t="inlineStr">
        <is>
          <t xml:space="preserve">        return cls._instance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 xml:space="preserve">    def _init(self):</t>
        </is>
      </c>
    </row>
    <row r="32">
      <c r="A32" s="7" t="n">
        <v>29</v>
      </c>
      <c r="B32" s="8" t="inlineStr">
        <is>
          <t xml:space="preserve">        self._connection = None</t>
        </is>
      </c>
    </row>
    <row r="33">
      <c r="A33" s="9" t="n">
        <v>30</v>
      </c>
      <c r="B33" s="10" t="inlineStr">
        <is>
          <t xml:space="preserve">        self._channel = None</t>
        </is>
      </c>
    </row>
    <row r="34">
      <c r="A34" s="7" t="n">
        <v>31</v>
      </c>
      <c r="B34" s="8" t="inlineStr">
        <is>
          <t xml:space="preserve">        self._queue_name = "treecut_video_tasks"</t>
        </is>
      </c>
    </row>
    <row r="35">
      <c r="A35" s="9" t="n">
        <v>32</v>
      </c>
      <c r="B35" s="10" t="inlineStr">
        <is>
          <t xml:space="preserve">        self._connected = False</t>
        </is>
      </c>
    </row>
    <row r="36">
      <c r="A36" s="7" t="n">
        <v>33</v>
      </c>
      <c r="B36" s="8" t="inlineStr">
        <is>
          <t xml:space="preserve">        self._try_connect()</t>
        </is>
      </c>
    </row>
    <row r="37">
      <c r="A37" s="9" t="n">
        <v>34</v>
      </c>
      <c r="B37" s="10" t="inlineStr">
        <is>
          <t xml:space="preserve">        _log.info(f"MQ管理器就绪 (connected={self._connected})")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 xml:space="preserve">    def _try_connect(self):</t>
        </is>
      </c>
    </row>
    <row r="40">
      <c r="A40" s="7" t="n">
        <v>37</v>
      </c>
      <c r="B40" s="8" t="inlineStr">
        <is>
          <t xml:space="preserve">        """尝试连接RabbitMQ，失败自动降级"""</t>
        </is>
      </c>
    </row>
    <row r="41">
      <c r="A41" s="9" t="n">
        <v>38</v>
      </c>
      <c r="B41" s="10" t="inlineStr">
        <is>
          <t xml:space="preserve">        try:</t>
        </is>
      </c>
    </row>
    <row r="42">
      <c r="A42" s="7" t="n">
        <v>39</v>
      </c>
      <c r="B42" s="8" t="inlineStr">
        <is>
          <t xml:space="preserve">            import pika</t>
        </is>
      </c>
    </row>
    <row r="43">
      <c r="A43" s="9" t="n">
        <v>40</v>
      </c>
      <c r="B43" s="10" t="inlineStr">
        <is>
          <t xml:space="preserve">            url = "amqp://guest:guest@localhost:5672/"</t>
        </is>
      </c>
    </row>
    <row r="44">
      <c r="A44" s="7" t="n">
        <v>41</v>
      </c>
      <c r="B44" s="8" t="inlineStr">
        <is>
          <t xml:space="preserve">            params = pika.URLParameters(url)</t>
        </is>
      </c>
    </row>
    <row r="45">
      <c r="A45" s="9" t="n">
        <v>42</v>
      </c>
      <c r="B45" s="10" t="inlineStr">
        <is>
          <t xml:space="preserve">            self._connection = pika.BlockingConnection(params)</t>
        </is>
      </c>
    </row>
    <row r="46">
      <c r="A46" s="7" t="n">
        <v>43</v>
      </c>
      <c r="B46" s="8" t="inlineStr">
        <is>
          <t xml:space="preserve">            self._channel = self._connection.channel()</t>
        </is>
      </c>
    </row>
    <row r="47">
      <c r="A47" s="9" t="n">
        <v>44</v>
      </c>
      <c r="B47" s="10" t="inlineStr">
        <is>
          <t xml:space="preserve">            self._channel.queue_declare(queue=self._queue_name, durable=True)</t>
        </is>
      </c>
    </row>
    <row r="48">
      <c r="A48" s="7" t="n">
        <v>45</v>
      </c>
      <c r="B48" s="8" t="inlineStr">
        <is>
          <t xml:space="preserve">            self._connected = True</t>
        </is>
      </c>
    </row>
    <row r="49">
      <c r="A49" s="9" t="n">
        <v>46</v>
      </c>
      <c r="B49" s="10" t="inlineStr">
        <is>
          <t xml:space="preserve">            _log.info("RabbitMQ连接成功")</t>
        </is>
      </c>
    </row>
    <row r="50">
      <c r="A50" s="7" t="n">
        <v>47</v>
      </c>
      <c r="B50" s="8" t="inlineStr">
        <is>
          <t xml:space="preserve">        except ImportError:</t>
        </is>
      </c>
    </row>
    <row r="51">
      <c r="A51" s="9" t="n">
        <v>48</v>
      </c>
      <c r="B51" s="10" t="inlineStr">
        <is>
          <t xml:space="preserve">            _log.warning("pika未安装，MQ降级为本地同步模式")</t>
        </is>
      </c>
    </row>
    <row r="52">
      <c r="A52" s="7" t="n">
        <v>49</v>
      </c>
      <c r="B52" s="8" t="inlineStr">
        <is>
          <t xml:space="preserve">        except Exception as e:</t>
        </is>
      </c>
    </row>
    <row r="53">
      <c r="A53" s="9" t="n">
        <v>50</v>
      </c>
      <c r="B53" s="10" t="inlineStr">
        <is>
          <t xml:space="preserve">            _log.warning(f"MQ连接失败({e})，降级为本地同步模式")</t>
        </is>
      </c>
    </row>
    <row r="54">
      <c r="A54" s="7" t="n">
        <v>51</v>
      </c>
      <c r="B54" s="8" t="inlineStr">
        <is>
          <t xml:space="preserve">            self._connected = False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# ═══════════ 发布任务 ═══════════</t>
        </is>
      </c>
    </row>
    <row r="57">
      <c r="A57" s="9" t="n">
        <v>54</v>
      </c>
      <c r="B57" s="10" t="inlineStr">
        <is>
          <t xml:space="preserve">    def publish(self, task_data: dict) -&gt; bool:</t>
        </is>
      </c>
    </row>
    <row r="58">
      <c r="A58" s="7" t="n">
        <v>55</v>
      </c>
      <c r="B58" s="8" t="inlineStr">
        <is>
          <t xml:space="preserve">        """</t>
        </is>
      </c>
    </row>
    <row r="59">
      <c r="A59" s="9" t="n">
        <v>56</v>
      </c>
      <c r="B59" s="10" t="inlineStr">
        <is>
          <t xml:space="preserve">        发布任务到消息队列。</t>
        </is>
      </c>
    </row>
    <row r="60">
      <c r="A60" s="7" t="n">
        <v>57</v>
      </c>
      <c r="B60" s="8" t="inlineStr">
        <is>
          <t xml:space="preserve">        成功 -&gt; 消息入队(异步消费者处理)</t>
        </is>
      </c>
    </row>
    <row r="61">
      <c r="A61" s="9" t="n">
        <v>58</v>
      </c>
      <c r="B61" s="10" t="inlineStr">
        <is>
          <t xml:space="preserve">        失败/降级 -&gt; 直接提交本地调度器(同步处理)</t>
        </is>
      </c>
    </row>
    <row r="62">
      <c r="A62" s="7" t="n">
        <v>59</v>
      </c>
      <c r="B62" s="8" t="inlineStr">
        <is>
          <t xml:space="preserve">        """</t>
        </is>
      </c>
    </row>
    <row r="63">
      <c r="A63" s="9" t="n">
        <v>60</v>
      </c>
      <c r="B63" s="10" t="inlineStr">
        <is>
          <t xml:space="preserve">        try:</t>
        </is>
      </c>
    </row>
    <row r="64">
      <c r="A64" s="7" t="n">
        <v>61</v>
      </c>
      <c r="B64" s="8" t="inlineStr">
        <is>
          <t xml:space="preserve">            if self._connected and self._channel:</t>
        </is>
      </c>
    </row>
    <row r="65">
      <c r="A65" s="9" t="n">
        <v>62</v>
      </c>
      <c r="B65" s="10" t="inlineStr">
        <is>
          <t xml:space="preserve">                # RabbitMQ 模式</t>
        </is>
      </c>
    </row>
    <row r="66">
      <c r="A66" s="7" t="n">
        <v>63</v>
      </c>
      <c r="B66" s="8" t="inlineStr">
        <is>
          <t xml:space="preserve">                import pika</t>
        </is>
      </c>
    </row>
    <row r="67">
      <c r="A67" s="9" t="n">
        <v>64</v>
      </c>
      <c r="B67" s="10" t="inlineStr">
        <is>
          <t xml:space="preserve">                msg = json.dumps(task_data, ensure_ascii=False)</t>
        </is>
      </c>
    </row>
    <row r="68">
      <c r="A68" s="7" t="n">
        <v>65</v>
      </c>
      <c r="B68" s="8" t="inlineStr">
        <is>
          <t xml:space="preserve">                self._channel.basic_publish(</t>
        </is>
      </c>
    </row>
    <row r="69">
      <c r="A69" s="9" t="n">
        <v>66</v>
      </c>
      <c r="B69" s="10" t="inlineStr">
        <is>
          <t xml:space="preserve">                    exchange="",</t>
        </is>
      </c>
    </row>
    <row r="70">
      <c r="A70" s="7" t="n">
        <v>67</v>
      </c>
      <c r="B70" s="8" t="inlineStr">
        <is>
          <t xml:space="preserve">                    routing_key=self._queue_name,</t>
        </is>
      </c>
    </row>
    <row r="71">
      <c r="A71" s="9" t="n">
        <v>68</v>
      </c>
      <c r="B71" s="10" t="inlineStr">
        <is>
          <t xml:space="preserve">                    body=msg,</t>
        </is>
      </c>
    </row>
    <row r="72">
      <c r="A72" s="7" t="n">
        <v>69</v>
      </c>
      <c r="B72" s="8" t="inlineStr">
        <is>
          <t xml:space="preserve">                    properties=pika.BasicProperties(delivery_mode=2),</t>
        </is>
      </c>
    </row>
    <row r="73">
      <c r="A73" s="9" t="n">
        <v>70</v>
      </c>
      <c r="B73" s="10" t="inlineStr">
        <is>
          <t xml:space="preserve">                )</t>
        </is>
      </c>
    </row>
    <row r="74">
      <c r="A74" s="7" t="n">
        <v>71</v>
      </c>
      <c r="B74" s="8" t="inlineStr">
        <is>
          <t xml:space="preserve">                _log.debug(f"任务已发布MQ: {task_data.get('task_id','?')}")</t>
        </is>
      </c>
    </row>
    <row r="75">
      <c r="A75" s="9" t="n">
        <v>72</v>
      </c>
      <c r="B75" s="10" t="inlineStr">
        <is>
          <t xml:space="preserve">                return True</t>
        </is>
      </c>
    </row>
    <row r="76">
      <c r="A76" s="7" t="n">
        <v>73</v>
      </c>
      <c r="B76" s="8" t="inlineStr">
        <is>
          <t xml:space="preserve">            else:</t>
        </is>
      </c>
    </row>
    <row r="77">
      <c r="A77" s="9" t="n">
        <v>74</v>
      </c>
      <c r="B77" s="10" t="inlineStr">
        <is>
          <t xml:space="preserve">                # 降级: 直接提交本地调度器</t>
        </is>
      </c>
    </row>
    <row r="78">
      <c r="A78" s="7" t="n">
        <v>75</v>
      </c>
      <c r="B78" s="8" t="inlineStr">
        <is>
          <t xml:space="preserve">                return self._fallback_submit(task_data)</t>
        </is>
      </c>
    </row>
    <row r="79">
      <c r="A79" s="9" t="n">
        <v>76</v>
      </c>
      <c r="B79" s="10" t="inlineStr">
        <is>
          <t xml:space="preserve">        except Exception as e:</t>
        </is>
      </c>
    </row>
    <row r="80">
      <c r="A80" s="7" t="n">
        <v>77</v>
      </c>
      <c r="B80" s="8" t="inlineStr">
        <is>
          <t xml:space="preserve">            _log.error(f"MQ发布异常: {e}")</t>
        </is>
      </c>
    </row>
    <row r="81">
      <c r="A81" s="9" t="n">
        <v>78</v>
      </c>
      <c r="B81" s="10" t="inlineStr">
        <is>
          <t xml:space="preserve">            return self._fallback_submit(task_data)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>
        <is>
          <t xml:space="preserve">    def _fallback_submit(self, task_data: dict) -&gt; bool:</t>
        </is>
      </c>
    </row>
    <row r="84">
      <c r="A84" s="7" t="n">
        <v>81</v>
      </c>
      <c r="B84" s="8" t="inlineStr">
        <is>
          <t xml:space="preserve">        """本地降级处理: 同步提交到调度器"""</t>
        </is>
      </c>
    </row>
    <row r="85">
      <c r="A85" s="9" t="n">
        <v>82</v>
      </c>
      <c r="B85" s="10" t="inlineStr">
        <is>
          <t xml:space="preserve">        try:</t>
        </is>
      </c>
    </row>
    <row r="86">
      <c r="A86" s="7" t="n">
        <v>83</v>
      </c>
      <c r="B86" s="8" t="inlineStr">
        <is>
          <t xml:space="preserve">            from extension.task_scheduler import TaskScheduler</t>
        </is>
      </c>
    </row>
    <row r="87">
      <c r="A87" s="9" t="n">
        <v>84</v>
      </c>
      <c r="B87" s="10" t="inlineStr">
        <is>
          <t xml:space="preserve">            scheduler = TaskScheduler()</t>
        </is>
      </c>
    </row>
    <row r="88">
      <c r="A88" s="7" t="n">
        <v>85</v>
      </c>
      <c r="B88" s="8" t="inlineStr">
        <is>
          <t xml:space="preserve">            scheduler.add_task(</t>
        </is>
      </c>
    </row>
    <row r="89">
      <c r="A89" s="9" t="n">
        <v>86</v>
      </c>
      <c r="B89" s="10" t="inlineStr">
        <is>
          <t xml:space="preserve">                keyword=task_data.get("keyword", ""),</t>
        </is>
      </c>
    </row>
    <row r="90">
      <c r="A90" s="7" t="n">
        <v>87</v>
      </c>
      <c r="B90" s="8" t="inlineStr">
        <is>
          <t xml:space="preserve">                copy_text_override=task_data.get("script"),</t>
        </is>
      </c>
    </row>
    <row r="91">
      <c r="A91" s="9" t="n">
        <v>88</v>
      </c>
      <c r="B91" s="10" t="inlineStr">
        <is>
          <t xml:space="preserve">                **{k: v for k, v in task_data.items()</t>
        </is>
      </c>
    </row>
    <row r="92">
      <c r="A92" s="7" t="n">
        <v>89</v>
      </c>
      <c r="B92" s="8" t="inlineStr">
        <is>
          <t xml:space="preserve">                   if k not in ("keyword", "script")},</t>
        </is>
      </c>
    </row>
    <row r="93">
      <c r="A93" s="9" t="n">
        <v>90</v>
      </c>
      <c r="B93" s="10" t="inlineStr">
        <is>
          <t xml:space="preserve">            )</t>
        </is>
      </c>
    </row>
    <row r="94">
      <c r="A94" s="7" t="n">
        <v>91</v>
      </c>
      <c r="B94" s="8" t="inlineStr">
        <is>
          <t xml:space="preserve">            _log.debug(f"任务降级为本地处理: {task_data.get('keyword','?')}")</t>
        </is>
      </c>
    </row>
    <row r="95">
      <c r="A95" s="9" t="n">
        <v>92</v>
      </c>
      <c r="B95" s="10" t="inlineStr">
        <is>
          <t xml:space="preserve">            return True</t>
        </is>
      </c>
    </row>
    <row r="96">
      <c r="A96" s="7" t="n">
        <v>93</v>
      </c>
      <c r="B96" s="8" t="inlineStr">
        <is>
          <t xml:space="preserve">        except ImportError:</t>
        </is>
      </c>
    </row>
    <row r="97">
      <c r="A97" s="9" t="n">
        <v>94</v>
      </c>
      <c r="B97" s="10" t="inlineStr">
        <is>
          <t xml:space="preserve">            pass</t>
        </is>
      </c>
    </row>
    <row r="98">
      <c r="A98" s="7" t="n">
        <v>95</v>
      </c>
      <c r="B98" s="8" t="inlineStr">
        <is>
          <t xml:space="preserve">        except Exception as e:</t>
        </is>
      </c>
    </row>
    <row r="99">
      <c r="A99" s="9" t="n">
        <v>96</v>
      </c>
      <c r="B99" s="10" t="inlineStr">
        <is>
          <t xml:space="preserve">            _log.error(f"本地降级失败: {e}")</t>
        </is>
      </c>
    </row>
    <row r="100">
      <c r="A100" s="7" t="n">
        <v>97</v>
      </c>
      <c r="B100" s="8" t="inlineStr">
        <is>
          <t xml:space="preserve">        return False</t>
        </is>
      </c>
    </row>
    <row r="101">
      <c r="A101" s="9" t="n">
        <v>98</v>
      </c>
      <c r="B101" s="10" t="inlineStr"/>
    </row>
    <row r="102">
      <c r="A102" s="7" t="n">
        <v>99</v>
      </c>
      <c r="B102" s="8" t="inlineStr">
        <is>
          <t xml:space="preserve">    # ═══════════ 消费任务 ═══════════</t>
        </is>
      </c>
    </row>
    <row r="103">
      <c r="A103" s="9" t="n">
        <v>100</v>
      </c>
      <c r="B103" s="10" t="inlineStr">
        <is>
          <t xml:space="preserve">    def start_consumer(self, callback: Callable):</t>
        </is>
      </c>
    </row>
    <row r="104">
      <c r="A104" s="7" t="n">
        <v>101</v>
      </c>
      <c r="B104" s="8" t="inlineStr">
        <is>
          <t xml:space="preserve">        """启动MQ消费者(应在单独进程中运行)"""</t>
        </is>
      </c>
    </row>
    <row r="105">
      <c r="A105" s="9" t="n">
        <v>102</v>
      </c>
      <c r="B105" s="10" t="inlineStr">
        <is>
          <t xml:space="preserve">        if not self._connected:</t>
        </is>
      </c>
    </row>
    <row r="106">
      <c r="A106" s="7" t="n">
        <v>103</v>
      </c>
      <c r="B106" s="8" t="inlineStr">
        <is>
          <t xml:space="preserve">            _log.warning("MQ未连接，无法启动消费者")</t>
        </is>
      </c>
    </row>
    <row r="107">
      <c r="A107" s="9" t="n">
        <v>104</v>
      </c>
      <c r="B107" s="10" t="inlineStr">
        <is>
          <t xml:space="preserve">            return</t>
        </is>
      </c>
    </row>
    <row r="108">
      <c r="A108" s="7" t="n">
        <v>105</v>
      </c>
      <c r="B108" s="8" t="inlineStr"/>
    </row>
    <row r="109">
      <c r="A109" s="9" t="n">
        <v>106</v>
      </c>
      <c r="B109" s="10" t="inlineStr">
        <is>
          <t xml:space="preserve">        def _handle(ch, method, properties, body):</t>
        </is>
      </c>
    </row>
    <row r="110">
      <c r="A110" s="7" t="n">
        <v>107</v>
      </c>
      <c r="B110" s="8" t="inlineStr">
        <is>
          <t xml:space="preserve">            try:</t>
        </is>
      </c>
    </row>
    <row r="111">
      <c r="A111" s="9" t="n">
        <v>108</v>
      </c>
      <c r="B111" s="10" t="inlineStr">
        <is>
          <t xml:space="preserve">                data = json.loads(body)</t>
        </is>
      </c>
    </row>
    <row r="112">
      <c r="A112" s="7" t="n">
        <v>109</v>
      </c>
      <c r="B112" s="8" t="inlineStr">
        <is>
          <t xml:space="preserve">                callback(data)</t>
        </is>
      </c>
    </row>
    <row r="113">
      <c r="A113" s="9" t="n">
        <v>110</v>
      </c>
      <c r="B113" s="10" t="inlineStr">
        <is>
          <t xml:space="preserve">                ch.basic_ack(delivery_tag=method.delivery_tag)</t>
        </is>
      </c>
    </row>
    <row r="114">
      <c r="A114" s="7" t="n">
        <v>111</v>
      </c>
      <c r="B114" s="8" t="inlineStr">
        <is>
          <t xml:space="preserve">            except Exception as e:</t>
        </is>
      </c>
    </row>
    <row r="115">
      <c r="A115" s="9" t="n">
        <v>112</v>
      </c>
      <c r="B115" s="10" t="inlineStr">
        <is>
          <t xml:space="preserve">                _log.error(f"消费失败: {e}")</t>
        </is>
      </c>
    </row>
    <row r="116">
      <c r="A116" s="7" t="n">
        <v>113</v>
      </c>
      <c r="B116" s="8" t="inlineStr">
        <is>
          <t xml:space="preserve">                ch.basic_nack(delivery_tag=method.delivery_tag, requeue=True)</t>
        </is>
      </c>
    </row>
    <row r="117">
      <c r="A117" s="9" t="n">
        <v>114</v>
      </c>
      <c r="B117" s="10" t="inlineStr"/>
    </row>
    <row r="118">
      <c r="A118" s="7" t="n">
        <v>115</v>
      </c>
      <c r="B118" s="8" t="inlineStr">
        <is>
          <t xml:space="preserve">        self._channel.basic_qos(prefetch_count=1)</t>
        </is>
      </c>
    </row>
    <row r="119">
      <c r="A119" s="9" t="n">
        <v>116</v>
      </c>
      <c r="B119" s="10" t="inlineStr">
        <is>
          <t xml:space="preserve">        self._channel.basic_consume(</t>
        </is>
      </c>
    </row>
    <row r="120">
      <c r="A120" s="7" t="n">
        <v>117</v>
      </c>
      <c r="B120" s="8" t="inlineStr">
        <is>
          <t xml:space="preserve">            queue=self._queue_name,</t>
        </is>
      </c>
    </row>
    <row r="121">
      <c r="A121" s="9" t="n">
        <v>118</v>
      </c>
      <c r="B121" s="10" t="inlineStr">
        <is>
          <t xml:space="preserve">            on_message_callback=_handle,</t>
        </is>
      </c>
    </row>
    <row r="122">
      <c r="A122" s="7" t="n">
        <v>119</v>
      </c>
      <c r="B122" s="8" t="inlineStr">
        <is>
          <t xml:space="preserve">        )</t>
        </is>
      </c>
    </row>
    <row r="123">
      <c r="A123" s="9" t="n">
        <v>120</v>
      </c>
      <c r="B123" s="10" t="inlineStr">
        <is>
          <t xml:space="preserve">        _log.info("MQ消费者已启动")</t>
        </is>
      </c>
    </row>
    <row r="124">
      <c r="A124" s="7" t="n">
        <v>121</v>
      </c>
      <c r="B124" s="8" t="inlineStr">
        <is>
          <t xml:space="preserve">        self._channel.start_consuming()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 xml:space="preserve">    # ═══════════ 状态 ═══════════</t>
        </is>
      </c>
    </row>
    <row r="127">
      <c r="A127" s="9" t="n">
        <v>124</v>
      </c>
      <c r="B127" s="10" t="inlineStr">
        <is>
          <t xml:space="preserve">    @property</t>
        </is>
      </c>
    </row>
    <row r="128">
      <c r="A128" s="7" t="n">
        <v>125</v>
      </c>
      <c r="B128" s="8" t="inlineStr">
        <is>
          <t xml:space="preserve">    def is_connected(self) -&gt; bool:</t>
        </is>
      </c>
    </row>
    <row r="129">
      <c r="A129" s="9" t="n">
        <v>126</v>
      </c>
      <c r="B129" s="10" t="inlineStr">
        <is>
          <t xml:space="preserve">        return self._connected</t>
        </is>
      </c>
    </row>
    <row r="130">
      <c r="A130" s="7" t="n">
        <v>127</v>
      </c>
      <c r="B130" s="8" t="inlineStr"/>
    </row>
    <row r="131">
      <c r="A131" s="9" t="n">
        <v>128</v>
      </c>
      <c r="B131" s="10" t="inlineStr">
        <is>
          <t xml:space="preserve">    def get_queue_size(self) -&gt; int:</t>
        </is>
      </c>
    </row>
    <row r="132">
      <c r="A132" s="7" t="n">
        <v>129</v>
      </c>
      <c r="B132" s="8" t="inlineStr">
        <is>
          <t xml:space="preserve">        """获取MQ队列大小，降级模式返回0"""</t>
        </is>
      </c>
    </row>
    <row r="133">
      <c r="A133" s="9" t="n">
        <v>130</v>
      </c>
      <c r="B133" s="10" t="inlineStr">
        <is>
          <t xml:space="preserve">        if self._connected and self._channel:</t>
        </is>
      </c>
    </row>
    <row r="134">
      <c r="A134" s="7" t="n">
        <v>131</v>
      </c>
      <c r="B134" s="8" t="inlineStr">
        <is>
          <t xml:space="preserve">            try:</t>
        </is>
      </c>
    </row>
    <row r="135">
      <c r="A135" s="9" t="n">
        <v>132</v>
      </c>
      <c r="B135" s="10" t="inlineStr">
        <is>
          <t xml:space="preserve">                q = self._channel.queue_declare(queue=self._queue_name, durable=True, passive=True)</t>
        </is>
      </c>
    </row>
    <row r="136">
      <c r="A136" s="7" t="n">
        <v>133</v>
      </c>
      <c r="B136" s="8" t="inlineStr">
        <is>
          <t xml:space="preserve">                return q.method.message_count</t>
        </is>
      </c>
    </row>
    <row r="137">
      <c r="A137" s="9" t="n">
        <v>134</v>
      </c>
      <c r="B137" s="10" t="inlineStr">
        <is>
          <t xml:space="preserve">            except Exception:</t>
        </is>
      </c>
    </row>
    <row r="138">
      <c r="A138" s="7" t="n">
        <v>135</v>
      </c>
      <c r="B138" s="8" t="inlineStr">
        <is>
          <t xml:space="preserve">                pass</t>
        </is>
      </c>
    </row>
    <row r="139">
      <c r="A139" s="9" t="n">
        <v>136</v>
      </c>
      <c r="B139" s="10" t="inlineStr">
        <is>
          <t xml:space="preserve">        return 0</t>
        </is>
      </c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 xml:space="preserve">    def close(self):</t>
        </is>
      </c>
    </row>
    <row r="142">
      <c r="A142" s="7" t="n">
        <v>139</v>
      </c>
      <c r="B142" s="8" t="inlineStr">
        <is>
          <t xml:space="preserve">        if self._connection and self._connection.is_open:</t>
        </is>
      </c>
    </row>
    <row r="143">
      <c r="A143" s="9" t="n">
        <v>140</v>
      </c>
      <c r="B143" s="10" t="inlineStr">
        <is>
          <t xml:space="preserve">            self._connection.close()</t>
        </is>
      </c>
    </row>
    <row r="144">
      <c r="A144" s="7" t="n">
        <v>141</v>
      </c>
      <c r="B144" s="8" t="inlineStr">
        <is>
          <t xml:space="preserve">            _log.info("MQ连接已关闭")</t>
        </is>
      </c>
    </row>
    <row r="145">
      <c r="A145" s="9" t="n">
        <v>142</v>
      </c>
      <c r="B145" s="10" t="inlineStr"/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>_mq: Optional[MQManager] = None</t>
        </is>
      </c>
    </row>
    <row r="148">
      <c r="A148" s="7" t="n">
        <v>145</v>
      </c>
      <c r="B148" s="8" t="inlineStr"/>
    </row>
    <row r="149">
      <c r="A149" s="9" t="n">
        <v>146</v>
      </c>
      <c r="B149" s="10" t="inlineStr">
        <is>
          <t>def get_mq() -&gt; MQManager:</t>
        </is>
      </c>
    </row>
    <row r="150">
      <c r="A150" s="7" t="n">
        <v>147</v>
      </c>
      <c r="B150" s="8" t="inlineStr">
        <is>
          <t xml:space="preserve">    global _mq</t>
        </is>
      </c>
    </row>
    <row r="151">
      <c r="A151" s="9" t="n">
        <v>148</v>
      </c>
      <c r="B151" s="10" t="inlineStr">
        <is>
          <t xml:space="preserve">    if _mq is None:</t>
        </is>
      </c>
    </row>
    <row r="152">
      <c r="A152" s="7" t="n">
        <v>149</v>
      </c>
      <c r="B152" s="8" t="inlineStr">
        <is>
          <t xml:space="preserve">        _mq = MQManager()</t>
        </is>
      </c>
    </row>
    <row r="153">
      <c r="A153" s="9" t="n">
        <v>150</v>
      </c>
      <c r="B153" s="10" t="inlineStr">
        <is>
          <t xml:space="preserve">    return _mq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core\multimodal_embedding.py</t>
        </is>
      </c>
      <c r="C1" s="5" t="inlineStr">
        <is>
          <t>行数: 104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多模态密集字幕生成引擎 v10.4</t>
        </is>
      </c>
    </row>
    <row r="6">
      <c r="A6" s="7" t="n">
        <v>3</v>
      </c>
      <c r="B6" s="8" t="inlineStr">
        <is>
          <t>融合视觉标签 + 音频情绪 → 生成自然语言描述 → 文本嵌入向量</t>
        </is>
      </c>
    </row>
    <row r="7">
      <c r="A7" s="9" t="n">
        <v>4</v>
      </c>
      <c r="B7" s="10" t="inlineStr">
        <is>
          <t>用于升级后的智能匹配 (替换旧关键词匹配)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import numpy as np</t>
        </is>
      </c>
    </row>
    <row r="10">
      <c r="A10" s="7" t="n">
        <v>7</v>
      </c>
      <c r="B10" s="8" t="inlineStr">
        <is>
          <t>from pathlib import Path</t>
        </is>
      </c>
    </row>
    <row r="11">
      <c r="A11" s="9" t="n">
        <v>8</v>
      </c>
      <c r="B11" s="10" t="inlineStr">
        <is>
          <t>from typing import List, Dict, Optional</t>
        </is>
      </c>
    </row>
    <row r="12">
      <c r="A12" s="7" t="n">
        <v>9</v>
      </c>
      <c r="B12" s="8" t="inlineStr"/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class MultimodalEmbedding:</t>
        </is>
      </c>
    </row>
    <row r="15">
      <c r="A15" s="9" t="n">
        <v>12</v>
      </c>
      <c r="B15" s="10" t="inlineStr">
        <is>
          <t xml:space="preserve">    """多模态嵌入 — 视觉+音频+文本联合编码"""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>
        <is>
          <t xml:space="preserve">    def __init__(self):</t>
        </is>
      </c>
    </row>
    <row r="18">
      <c r="A18" s="7" t="n">
        <v>15</v>
      </c>
      <c r="B18" s="8" t="inlineStr">
        <is>
          <t xml:space="preserve">        self._text_encoder = None</t>
        </is>
      </c>
    </row>
    <row r="19">
      <c r="A19" s="9" t="n">
        <v>16</v>
      </c>
      <c r="B19" s="10" t="inlineStr">
        <is>
          <t xml:space="preserve">        self.dim = 1024  # BGE-M3 输出维度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 xml:space="preserve">    @property</t>
        </is>
      </c>
    </row>
    <row r="22">
      <c r="A22" s="7" t="n">
        <v>19</v>
      </c>
      <c r="B22" s="8" t="inlineStr">
        <is>
          <t xml:space="preserve">    def text_encoder(self):</t>
        </is>
      </c>
    </row>
    <row r="23">
      <c r="A23" s="9" t="n">
        <v>20</v>
      </c>
      <c r="B23" s="10" t="inlineStr">
        <is>
          <t xml:space="preserve">        if self._text_encoder is None:</t>
        </is>
      </c>
    </row>
    <row r="24">
      <c r="A24" s="7" t="n">
        <v>21</v>
      </c>
      <c r="B24" s="8" t="inlineStr">
        <is>
          <t xml:space="preserve">            try:</t>
        </is>
      </c>
    </row>
    <row r="25">
      <c r="A25" s="9" t="n">
        <v>22</v>
      </c>
      <c r="B25" s="10" t="inlineStr">
        <is>
          <t xml:space="preserve">                from sentence_transformers import SentenceTransformer</t>
        </is>
      </c>
    </row>
    <row r="26">
      <c r="A26" s="7" t="n">
        <v>23</v>
      </c>
      <c r="B26" s="8" t="inlineStr">
        <is>
          <t xml:space="preserve">                self._text_encoder = SentenceTransformer("BAAI/bge-m3")</t>
        </is>
      </c>
    </row>
    <row r="27">
      <c r="A27" s="9" t="n">
        <v>24</v>
      </c>
      <c r="B27" s="10" t="inlineStr">
        <is>
          <t xml:space="preserve">            except ImportError:</t>
        </is>
      </c>
    </row>
    <row r="28">
      <c r="A28" s="7" t="n">
        <v>25</v>
      </c>
      <c r="B28" s="8" t="inlineStr">
        <is>
          <t xml:space="preserve">                pass</t>
        </is>
      </c>
    </row>
    <row r="29">
      <c r="A29" s="9" t="n">
        <v>26</v>
      </c>
      <c r="B29" s="10" t="inlineStr">
        <is>
          <t xml:space="preserve">        return self._text_encoder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 xml:space="preserve">    @property</t>
        </is>
      </c>
    </row>
    <row r="32">
      <c r="A32" s="7" t="n">
        <v>29</v>
      </c>
      <c r="B32" s="8" t="inlineStr">
        <is>
          <t xml:space="preserve">    def available(self) -&gt; bool:</t>
        </is>
      </c>
    </row>
    <row r="33">
      <c r="A33" s="9" t="n">
        <v>30</v>
      </c>
      <c r="B33" s="10" t="inlineStr">
        <is>
          <t xml:space="preserve">        return self.text_encoder is not None</t>
        </is>
      </c>
    </row>
    <row r="34">
      <c r="A34" s="7" t="n">
        <v>31</v>
      </c>
      <c r="B34" s="8" t="inlineStr"/>
    </row>
    <row r="35">
      <c r="A35" s="9" t="n">
        <v>32</v>
      </c>
      <c r="B35" s="10" t="inlineStr">
        <is>
          <t xml:space="preserve">    def encode_clip(self, video_path: str, vision_tags: dict,</t>
        </is>
      </c>
    </row>
    <row r="36">
      <c r="A36" s="7" t="n">
        <v>33</v>
      </c>
      <c r="B36" s="8" t="inlineStr">
        <is>
          <t xml:space="preserve">                    audio_tags: dict = None) -&gt; Optional[List[float]]:</t>
        </is>
      </c>
    </row>
    <row r="37">
      <c r="A37" s="9" t="n">
        <v>34</v>
      </c>
      <c r="B37" s="10" t="inlineStr">
        <is>
          <t xml:space="preserve">        """生成视觉+音频的联合嵌入向量"""</t>
        </is>
      </c>
    </row>
    <row r="38">
      <c r="A38" s="7" t="n">
        <v>35</v>
      </c>
      <c r="B38" s="8" t="inlineStr">
        <is>
          <t xml:space="preserve">        parts = []</t>
        </is>
      </c>
    </row>
    <row r="39">
      <c r="A39" s="9" t="n">
        <v>36</v>
      </c>
      <c r="B39" s="10" t="inlineStr">
        <is>
          <t xml:space="preserve">        if vision_tags:</t>
        </is>
      </c>
    </row>
    <row r="40">
      <c r="A40" s="7" t="n">
        <v>37</v>
      </c>
      <c r="B40" s="8" t="inlineStr">
        <is>
          <t xml:space="preserve">            for cat in ["objects", "materials", "colors", "style", "scene_type"]:</t>
        </is>
      </c>
    </row>
    <row r="41">
      <c r="A41" s="9" t="n">
        <v>38</v>
      </c>
      <c r="B41" s="10" t="inlineStr">
        <is>
          <t xml:space="preserve">                val = vision_tags.get(cat, "")</t>
        </is>
      </c>
    </row>
    <row r="42">
      <c r="A42" s="7" t="n">
        <v>39</v>
      </c>
      <c r="B42" s="8" t="inlineStr">
        <is>
          <t xml:space="preserve">                if isinstance(val, list):</t>
        </is>
      </c>
    </row>
    <row r="43">
      <c r="A43" s="9" t="n">
        <v>40</v>
      </c>
      <c r="B43" s="10" t="inlineStr">
        <is>
          <t xml:space="preserve">                    parts.extend(val)</t>
        </is>
      </c>
    </row>
    <row r="44">
      <c r="A44" s="7" t="n">
        <v>41</v>
      </c>
      <c r="B44" s="8" t="inlineStr">
        <is>
          <t xml:space="preserve">                elif val:</t>
        </is>
      </c>
    </row>
    <row r="45">
      <c r="A45" s="9" t="n">
        <v>42</v>
      </c>
      <c r="B45" s="10" t="inlineStr">
        <is>
          <t xml:space="preserve">                    parts.append(str(val))</t>
        </is>
      </c>
    </row>
    <row r="46">
      <c r="A46" s="7" t="n">
        <v>43</v>
      </c>
      <c r="B46" s="8" t="inlineStr">
        <is>
          <t xml:space="preserve">        if audio_tags:</t>
        </is>
      </c>
    </row>
    <row r="47">
      <c r="A47" s="9" t="n">
        <v>44</v>
      </c>
      <c r="B47" s="10" t="inlineStr">
        <is>
          <t xml:space="preserve">            emotion = audio_tags.get("emotion", "")</t>
        </is>
      </c>
    </row>
    <row r="48">
      <c r="A48" s="7" t="n">
        <v>45</v>
      </c>
      <c r="B48" s="8" t="inlineStr">
        <is>
          <t xml:space="preserve">            if emotion:</t>
        </is>
      </c>
    </row>
    <row r="49">
      <c r="A49" s="9" t="n">
        <v>46</v>
      </c>
      <c r="B49" s="10" t="inlineStr">
        <is>
          <t xml:space="preserve">                parts.append(emotion)</t>
        </is>
      </c>
    </row>
    <row r="50">
      <c r="A50" s="7" t="n">
        <v>47</v>
      </c>
      <c r="B50" s="8" t="inlineStr">
        <is>
          <t xml:space="preserve">        combined = " ".join(parts)</t>
        </is>
      </c>
    </row>
    <row r="51">
      <c r="A51" s="9" t="n">
        <v>48</v>
      </c>
      <c r="B51" s="10" t="inlineStr">
        <is>
          <t xml:space="preserve">        if not combined.strip():</t>
        </is>
      </c>
    </row>
    <row r="52">
      <c r="A52" s="7" t="n">
        <v>49</v>
      </c>
      <c r="B52" s="8" t="inlineStr">
        <is>
          <t xml:space="preserve">            return None</t>
        </is>
      </c>
    </row>
    <row r="53">
      <c r="A53" s="9" t="n">
        <v>50</v>
      </c>
      <c r="B53" s="10" t="inlineStr">
        <is>
          <t xml:space="preserve">        if self.text_encoder:</t>
        </is>
      </c>
    </row>
    <row r="54">
      <c r="A54" s="7" t="n">
        <v>51</v>
      </c>
      <c r="B54" s="8" t="inlineStr">
        <is>
          <t xml:space="preserve">            vec = self.text_encoder.encode(combined)</t>
        </is>
      </c>
    </row>
    <row r="55">
      <c r="A55" s="9" t="n">
        <v>52</v>
      </c>
      <c r="B55" s="10" t="inlineStr">
        <is>
          <t xml:space="preserve">            return vec.tolist()</t>
        </is>
      </c>
    </row>
    <row r="56">
      <c r="A56" s="7" t="n">
        <v>53</v>
      </c>
      <c r="B56" s="8" t="inlineStr">
        <is>
          <t xml:space="preserve">        return None</t>
        </is>
      </c>
    </row>
    <row r="57">
      <c r="A57" s="9" t="n">
        <v>54</v>
      </c>
      <c r="B57" s="10" t="inlineStr"/>
    </row>
    <row r="58">
      <c r="A58" s="7" t="n">
        <v>55</v>
      </c>
      <c r="B58" s="8" t="inlineStr">
        <is>
          <t xml:space="preserve">    def generate_dense_caption(self, vision_tags: dict, audio_tags: dict = None,</t>
        </is>
      </c>
    </row>
    <row r="59">
      <c r="A59" s="9" t="n">
        <v>56</v>
      </c>
      <c r="B59" s="10" t="inlineStr">
        <is>
          <t xml:space="preserve">                               video_path: str = "") -&gt; str:</t>
        </is>
      </c>
    </row>
    <row r="60">
      <c r="A60" s="7" t="n">
        <v>57</v>
      </c>
      <c r="B60" s="8" t="inlineStr">
        <is>
          <t xml:space="preserve">        """从视觉+音频标签生成密集字幕（自然语言描述）"""</t>
        </is>
      </c>
    </row>
    <row r="61">
      <c r="A61" s="9" t="n">
        <v>58</v>
      </c>
      <c r="B61" s="10" t="inlineStr">
        <is>
          <t xml:space="preserve">        objects = vision_tags.get("objects", [])</t>
        </is>
      </c>
    </row>
    <row r="62">
      <c r="A62" s="7" t="n">
        <v>59</v>
      </c>
      <c r="B62" s="8" t="inlineStr">
        <is>
          <t xml:space="preserve">        materials = vision_tags.get("materials", [])</t>
        </is>
      </c>
    </row>
    <row r="63">
      <c r="A63" s="9" t="n">
        <v>60</v>
      </c>
      <c r="B63" s="10" t="inlineStr">
        <is>
          <t xml:space="preserve">        colors = vision_tags.get("colors", [])</t>
        </is>
      </c>
    </row>
    <row r="64">
      <c r="A64" s="7" t="n">
        <v>61</v>
      </c>
      <c r="B64" s="8" t="inlineStr">
        <is>
          <t xml:space="preserve">        style = vision_tags.get("style", "")</t>
        </is>
      </c>
    </row>
    <row r="65">
      <c r="A65" s="9" t="n">
        <v>62</v>
      </c>
      <c r="B65" s="10" t="inlineStr">
        <is>
          <t xml:space="preserve">        scene = vision_tags.get("scene_type", "")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    parts = []</t>
        </is>
      </c>
    </row>
    <row r="68">
      <c r="A68" s="7" t="n">
        <v>65</v>
      </c>
      <c r="B68" s="8" t="inlineStr">
        <is>
          <t xml:space="preserve">        if style:</t>
        </is>
      </c>
    </row>
    <row r="69">
      <c r="A69" s="9" t="n">
        <v>66</v>
      </c>
      <c r="B69" s="10" t="inlineStr">
        <is>
          <t xml:space="preserve">            parts.append(f"{style}风格")</t>
        </is>
      </c>
    </row>
    <row r="70">
      <c r="A70" s="7" t="n">
        <v>67</v>
      </c>
      <c r="B70" s="8" t="inlineStr">
        <is>
          <t xml:space="preserve">        if scene:</t>
        </is>
      </c>
    </row>
    <row r="71">
      <c r="A71" s="9" t="n">
        <v>68</v>
      </c>
      <c r="B71" s="10" t="inlineStr">
        <is>
          <t xml:space="preserve">            parts.append(f"{scene}")</t>
        </is>
      </c>
    </row>
    <row r="72">
      <c r="A72" s="7" t="n">
        <v>69</v>
      </c>
      <c r="B72" s="8" t="inlineStr">
        <is>
          <t xml:space="preserve">        if materials:</t>
        </is>
      </c>
    </row>
    <row r="73">
      <c r="A73" s="9" t="n">
        <v>70</v>
      </c>
      <c r="B73" s="10" t="inlineStr">
        <is>
          <t xml:space="preserve">            parts.append(f"{'和'.join(materials[:3])}材质")</t>
        </is>
      </c>
    </row>
    <row r="74">
      <c r="A74" s="7" t="n">
        <v>71</v>
      </c>
      <c r="B74" s="8" t="inlineStr">
        <is>
          <t xml:space="preserve">        if colors:</t>
        </is>
      </c>
    </row>
    <row r="75">
      <c r="A75" s="9" t="n">
        <v>72</v>
      </c>
      <c r="B75" s="10" t="inlineStr">
        <is>
          <t xml:space="preserve">            parts.append(f"{'、'.join(colors[:3])}色调")</t>
        </is>
      </c>
    </row>
    <row r="76">
      <c r="A76" s="7" t="n">
        <v>73</v>
      </c>
      <c r="B76" s="8" t="inlineStr">
        <is>
          <t xml:space="preserve">        if objects:</t>
        </is>
      </c>
    </row>
    <row r="77">
      <c r="A77" s="9" t="n">
        <v>74</v>
      </c>
      <c r="B77" s="10" t="inlineStr">
        <is>
          <t xml:space="preserve">            parts.append(f"展示{'、'.join(objects[:5])}等细节")</t>
        </is>
      </c>
    </row>
    <row r="78">
      <c r="A78" s="7" t="n">
        <v>75</v>
      </c>
      <c r="B78" s="8" t="inlineStr">
        <is>
          <t xml:space="preserve">        if audio_tags:</t>
        </is>
      </c>
    </row>
    <row r="79">
      <c r="A79" s="9" t="n">
        <v>76</v>
      </c>
      <c r="B79" s="10" t="inlineStr">
        <is>
          <t xml:space="preserve">            emotion = audio_tags.get("emotion", "")</t>
        </is>
      </c>
    </row>
    <row r="80">
      <c r="A80" s="7" t="n">
        <v>77</v>
      </c>
      <c r="B80" s="8" t="inlineStr">
        <is>
          <t xml:space="preserve">            if emotion:</t>
        </is>
      </c>
    </row>
    <row r="81">
      <c r="A81" s="9" t="n">
        <v>78</v>
      </c>
      <c r="B81" s="10" t="inlineStr">
        <is>
          <t xml:space="preserve">                parts.append(f"情绪:{emotion}")</t>
        </is>
      </c>
    </row>
    <row r="82">
      <c r="A82" s="7" t="n">
        <v>79</v>
      </c>
      <c r="B82" s="8" t="inlineStr">
        <is>
          <t xml:space="preserve">        if not parts:</t>
        </is>
      </c>
    </row>
    <row r="83">
      <c r="A83" s="9" t="n">
        <v>80</v>
      </c>
      <c r="B83" s="10" t="inlineStr">
        <is>
          <t xml:space="preserve">            name = Path(video_path).stem if video_path else ""</t>
        </is>
      </c>
    </row>
    <row r="84">
      <c r="A84" s="7" t="n">
        <v>81</v>
      </c>
      <c r="B84" s="8" t="inlineStr">
        <is>
          <t xml:space="preserve">            return f"岛台展示视频: {name[:60]}"</t>
        </is>
      </c>
    </row>
    <row r="85">
      <c r="A85" s="9" t="n">
        <v>82</v>
      </c>
      <c r="B85" s="10" t="inlineStr">
        <is>
          <t xml:space="preserve">        return "，".join(parts) + "。"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 xml:space="preserve">    def encode_text(self, text: str) -&gt; Optional[List[float]]:</t>
        </is>
      </c>
    </row>
    <row r="88">
      <c r="A88" s="7" t="n">
        <v>85</v>
      </c>
      <c r="B88" s="8" t="inlineStr">
        <is>
          <t xml:space="preserve">        """编码文本为嵌入向量"""</t>
        </is>
      </c>
    </row>
    <row r="89">
      <c r="A89" s="9" t="n">
        <v>86</v>
      </c>
      <c r="B89" s="10" t="inlineStr">
        <is>
          <t xml:space="preserve">        if self.text_encoder and text.strip():</t>
        </is>
      </c>
    </row>
    <row r="90">
      <c r="A90" s="7" t="n">
        <v>87</v>
      </c>
      <c r="B90" s="8" t="inlineStr">
        <is>
          <t xml:space="preserve">            return self.text_encoder.encode(text).tolist()</t>
        </is>
      </c>
    </row>
    <row r="91">
      <c r="A91" s="9" t="n">
        <v>88</v>
      </c>
      <c r="B91" s="10" t="inlineStr">
        <is>
          <t xml:space="preserve">        return None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 xml:space="preserve">    def similarity(self, vec_a: List[float], vec_b: List[float]) -&gt; float:</t>
        </is>
      </c>
    </row>
    <row r="94">
      <c r="A94" s="7" t="n">
        <v>91</v>
      </c>
      <c r="B94" s="8" t="inlineStr">
        <is>
          <t xml:space="preserve">        """计算余弦相似度"""</t>
        </is>
      </c>
    </row>
    <row r="95">
      <c r="A95" s="9" t="n">
        <v>92</v>
      </c>
      <c r="B95" s="10" t="inlineStr">
        <is>
          <t xml:space="preserve">        a, b = np.array(vec_a), np.array(vec_b)</t>
        </is>
      </c>
    </row>
    <row r="96">
      <c r="A96" s="7" t="n">
        <v>93</v>
      </c>
      <c r="B96" s="8" t="inlineStr">
        <is>
          <t xml:space="preserve">        return float(np.dot(a, b) / (np.linalg.norm(a) * np.linalg.norm(b) + 1e-8))</t>
        </is>
      </c>
    </row>
    <row r="97">
      <c r="A97" s="9" t="n">
        <v>94</v>
      </c>
      <c r="B97" s="10" t="inlineStr"/>
    </row>
    <row r="98">
      <c r="A98" s="7" t="n">
        <v>95</v>
      </c>
      <c r="B98" s="8" t="inlineStr"/>
    </row>
    <row r="99">
      <c r="A99" s="9" t="n">
        <v>96</v>
      </c>
      <c r="B99" s="10" t="inlineStr">
        <is>
          <t># 全局实例</t>
        </is>
      </c>
    </row>
    <row r="100">
      <c r="A100" s="7" t="n">
        <v>97</v>
      </c>
      <c r="B100" s="8" t="inlineStr">
        <is>
          <t>_embedder: Optional[MultimodalEmbedding] = None</t>
        </is>
      </c>
    </row>
    <row r="101">
      <c r="A101" s="9" t="n">
        <v>98</v>
      </c>
      <c r="B101" s="10" t="inlineStr"/>
    </row>
    <row r="102">
      <c r="A102" s="7" t="n">
        <v>99</v>
      </c>
      <c r="B102" s="8" t="inlineStr"/>
    </row>
    <row r="103">
      <c r="A103" s="9" t="n">
        <v>100</v>
      </c>
      <c r="B103" s="10" t="inlineStr">
        <is>
          <t>def get_embedder() -&gt; MultimodalEmbedding:</t>
        </is>
      </c>
    </row>
    <row r="104">
      <c r="A104" s="7" t="n">
        <v>101</v>
      </c>
      <c r="B104" s="8" t="inlineStr">
        <is>
          <t xml:space="preserve">    global _embedder</t>
        </is>
      </c>
    </row>
    <row r="105">
      <c r="A105" s="9" t="n">
        <v>102</v>
      </c>
      <c r="B105" s="10" t="inlineStr">
        <is>
          <t xml:space="preserve">    if _embedder is None:</t>
        </is>
      </c>
    </row>
    <row r="106">
      <c r="A106" s="7" t="n">
        <v>103</v>
      </c>
      <c r="B106" s="8" t="inlineStr">
        <is>
          <t xml:space="preserve">        _embedder = MultimodalEmbedding()</t>
        </is>
      </c>
    </row>
    <row r="107">
      <c r="A107" s="9" t="n">
        <v>104</v>
      </c>
      <c r="B107" s="10" t="inlineStr">
        <is>
          <t xml:space="preserve">    return _embedder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core\orchestrator.py</t>
        </is>
      </c>
      <c r="C1" s="5" t="inlineStr">
        <is>
          <t>行数: 276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v11.1 — 统一模型调度器 (Orchestrator)</t>
        </is>
      </c>
    </row>
    <row r="6">
      <c r="A6" s="7" t="n">
        <v>3</v>
      </c>
      <c r="B6" s="8">
        <f>===============================================================</f>
        <v/>
      </c>
    </row>
    <row r="7">
      <c r="A7" s="9" t="n">
        <v>4</v>
      </c>
      <c r="B7" s="10" t="inlineStr">
        <is>
          <t>强制模型 — 无降级。所有 AI 模型由本模块统一加载、调用、健康检查、结果记录。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加载失败 → RuntimeError + 详细修复指南。不尝试任何备用模型。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用法:</t>
        </is>
      </c>
    </row>
    <row r="12">
      <c r="A12" s="7" t="n">
        <v>9</v>
      </c>
      <c r="B12" s="8" t="inlineStr">
        <is>
          <t xml:space="preserve">  from core.orchestrator import orch</t>
        </is>
      </c>
    </row>
    <row r="13">
      <c r="A13" s="9" t="n">
        <v>10</v>
      </c>
      <c r="B13" s="10" t="inlineStr">
        <is>
          <t xml:space="preserve">  result = orch.analyze_image(image_path)</t>
        </is>
      </c>
    </row>
    <row r="14">
      <c r="A14" s="7" t="n">
        <v>11</v>
      </c>
      <c r="B14" s="8" t="inlineStr">
        <is>
          <t xml:space="preserve">  audio  = orch.analyze_audio(video_path)</t>
        </is>
      </c>
    </row>
    <row r="15">
      <c r="A15" s="9" t="n">
        <v>12</v>
      </c>
      <c r="B15" s="10" t="inlineStr">
        <is>
          <t xml:space="preserve">  clips  = orch.match_clips(copy_text, num_clips=8)</t>
        </is>
      </c>
    </row>
    <row r="16">
      <c r="A16" s="7" t="n">
        <v>13</v>
      </c>
      <c r="B16" s="8" t="inlineStr">
        <is>
          <t>"""</t>
        </is>
      </c>
    </row>
    <row r="17">
      <c r="A17" s="9" t="n">
        <v>14</v>
      </c>
      <c r="B17" s="10" t="inlineStr">
        <is>
          <t>import os</t>
        </is>
      </c>
    </row>
    <row r="18">
      <c r="A18" s="7" t="n">
        <v>15</v>
      </c>
      <c r="B18" s="8" t="inlineStr">
        <is>
          <t>import time</t>
        </is>
      </c>
    </row>
    <row r="19">
      <c r="A19" s="9" t="n">
        <v>16</v>
      </c>
      <c r="B19" s="10" t="inlineStr">
        <is>
          <t>import threading</t>
        </is>
      </c>
    </row>
    <row r="20">
      <c r="A20" s="7" t="n">
        <v>17</v>
      </c>
      <c r="B20" s="8" t="inlineStr">
        <is>
          <t>from pathlib import Path</t>
        </is>
      </c>
    </row>
    <row r="21">
      <c r="A21" s="9" t="n">
        <v>18</v>
      </c>
      <c r="B21" s="10" t="inlineStr">
        <is>
          <t>from typing import Optional, List, Dict, Any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>
        <is>
          <t>PROJECT_ROOT = Path(__file__).parent.parent</t>
        </is>
      </c>
    </row>
    <row r="24">
      <c r="A24" s="7" t="n">
        <v>21</v>
      </c>
      <c r="B24" s="8" t="inlineStr">
        <is>
          <t>MODELS_DIR = PROJECT_ROOT / "models"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>FIX_QWEN3 = """</t>
        </is>
      </c>
    </row>
    <row r="27">
      <c r="A27" s="9" t="n">
        <v>24</v>
      </c>
      <c r="B27" s="10" t="inlineStr">
        <is>
          <t>[FIX] Qwen3-VL-4B 模型不可用:</t>
        </is>
      </c>
    </row>
    <row r="28">
      <c r="A28" s="7" t="n">
        <v>25</v>
      </c>
      <c r="B28" s="8" t="inlineStr">
        <is>
          <t xml:space="preserve">  pip install huggingface_hub</t>
        </is>
      </c>
    </row>
    <row r="29">
      <c r="A29" s="9" t="n">
        <v>26</v>
      </c>
      <c r="B29" s="10" t="inlineStr">
        <is>
          <t xml:space="preserve">  python -c "from huggingface_hub import snapshot_download; snapshot_download('Qwen/Qwen3-VL-4B-Instruct-FP8', local_dir='models/Qwen3-VL-4B-Instruct-FP8')"</t>
        </is>
      </c>
    </row>
    <row r="30">
      <c r="A30" s="7" t="n">
        <v>27</v>
      </c>
      <c r="B30" s="8" t="inlineStr">
        <is>
          <t>"""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>FIX_SENSEVOICE = """</t>
        </is>
      </c>
    </row>
    <row r="33">
      <c r="A33" s="9" t="n">
        <v>30</v>
      </c>
      <c r="B33" s="10" t="inlineStr">
        <is>
          <t>[FIX] SenseVoice 模型不可用:</t>
        </is>
      </c>
    </row>
    <row r="34">
      <c r="A34" s="7" t="n">
        <v>31</v>
      </c>
      <c r="B34" s="8" t="inlineStr">
        <is>
          <t xml:space="preserve">  pip install funasr&gt;=1.1.2 modelscope torchaudio</t>
        </is>
      </c>
    </row>
    <row r="35">
      <c r="A35" s="9" t="n">
        <v>32</v>
      </c>
      <c r="B35" s="10" t="inlineStr">
        <is>
          <t xml:space="preserve">  modelscope download --model FunAudioLLM/SenseVoiceSmall --local_dir models/SenseVoiceSmall</t>
        </is>
      </c>
    </row>
    <row r="36">
      <c r="A36" s="7" t="n">
        <v>33</v>
      </c>
      <c r="B36" s="8" t="inlineStr">
        <is>
          <t>"""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>FIX_WHISPER = """</t>
        </is>
      </c>
    </row>
    <row r="39">
      <c r="A39" s="9" t="n">
        <v>36</v>
      </c>
      <c r="B39" s="10" t="inlineStr">
        <is>
          <t>[FIX] Whisper 模型不可用:</t>
        </is>
      </c>
    </row>
    <row r="40">
      <c r="A40" s="7" t="n">
        <v>37</v>
      </c>
      <c r="B40" s="8" t="inlineStr">
        <is>
          <t xml:space="preserve">  pip install faster-whisper</t>
        </is>
      </c>
    </row>
    <row r="41">
      <c r="A41" s="9" t="n">
        <v>38</v>
      </c>
      <c r="B41" s="10" t="inlineStr">
        <is>
          <t>"""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>FIX_FAISS = """</t>
        </is>
      </c>
    </row>
    <row r="44">
      <c r="A44" s="7" t="n">
        <v>41</v>
      </c>
      <c r="B44" s="8" t="inlineStr">
        <is>
          <t>[FIX] FAISS 索引不可用:</t>
        </is>
      </c>
    </row>
    <row r="45">
      <c r="A45" s="9" t="n">
        <v>42</v>
      </c>
      <c r="B45" s="10" t="inlineStr">
        <is>
          <t xml:space="preserve">  python -c "from core.library_builder import LibraryBuilder; LibraryBuilder().build_faiss_index()"</t>
        </is>
      </c>
    </row>
    <row r="46">
      <c r="A46" s="7" t="n">
        <v>43</v>
      </c>
      <c r="B46" s="8" t="inlineStr">
        <is>
          <t>"""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/>
    </row>
    <row r="49">
      <c r="A49" s="9" t="n">
        <v>46</v>
      </c>
      <c r="B49" s="10" t="inlineStr">
        <is>
          <t>class Orchestrator:</t>
        </is>
      </c>
    </row>
    <row r="50">
      <c r="A50" s="7" t="n">
        <v>47</v>
      </c>
      <c r="B50" s="8" t="inlineStr">
        <is>
          <t xml:space="preserve">    """统一模型调度器 — 线程安全单例，强制加载"""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_instance: Optional["Orchestrator"] = None</t>
        </is>
      </c>
    </row>
    <row r="53">
      <c r="A53" s="9" t="n">
        <v>50</v>
      </c>
      <c r="B53" s="10" t="inlineStr">
        <is>
          <t xml:space="preserve">    _lock = threading.Lock()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>
        <is>
          <t xml:space="preserve">    def __new__(cls):</t>
        </is>
      </c>
    </row>
    <row r="56">
      <c r="A56" s="7" t="n">
        <v>53</v>
      </c>
      <c r="B56" s="8" t="inlineStr">
        <is>
          <t xml:space="preserve">        if cls._instance is None:</t>
        </is>
      </c>
    </row>
    <row r="57">
      <c r="A57" s="9" t="n">
        <v>54</v>
      </c>
      <c r="B57" s="10" t="inlineStr">
        <is>
          <t xml:space="preserve">            with cls._lock:</t>
        </is>
      </c>
    </row>
    <row r="58">
      <c r="A58" s="7" t="n">
        <v>55</v>
      </c>
      <c r="B58" s="8" t="inlineStr">
        <is>
          <t xml:space="preserve">                if cls._instance is None:</t>
        </is>
      </c>
    </row>
    <row r="59">
      <c r="A59" s="9" t="n">
        <v>56</v>
      </c>
      <c r="B59" s="10" t="inlineStr">
        <is>
          <t xml:space="preserve">                    cls._instance = super().__new__(cls)</t>
        </is>
      </c>
    </row>
    <row r="60">
      <c r="A60" s="7" t="n">
        <v>57</v>
      </c>
      <c r="B60" s="8" t="inlineStr">
        <is>
          <t xml:space="preserve">                    cls._instance._init()</t>
        </is>
      </c>
    </row>
    <row r="61">
      <c r="A61" s="9" t="n">
        <v>58</v>
      </c>
      <c r="B61" s="10" t="inlineStr">
        <is>
          <t xml:space="preserve">        return cls._instance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def _init(self):</t>
        </is>
      </c>
    </row>
    <row r="64">
      <c r="A64" s="7" t="n">
        <v>61</v>
      </c>
      <c r="B64" s="8" t="inlineStr">
        <is>
          <t xml:space="preserve">        self._vision = None</t>
        </is>
      </c>
    </row>
    <row r="65">
      <c r="A65" s="9" t="n">
        <v>62</v>
      </c>
      <c r="B65" s="10" t="inlineStr">
        <is>
          <t xml:space="preserve">        self._sensevoice = None</t>
        </is>
      </c>
    </row>
    <row r="66">
      <c r="A66" s="7" t="n">
        <v>63</v>
      </c>
      <c r="B66" s="8" t="inlineStr">
        <is>
          <t xml:space="preserve">        self._whisper = None</t>
        </is>
      </c>
    </row>
    <row r="67">
      <c r="A67" s="9" t="n">
        <v>64</v>
      </c>
      <c r="B67" s="10" t="inlineStr">
        <is>
          <t xml:space="preserve">        self._audio_classifier = None</t>
        </is>
      </c>
    </row>
    <row r="68">
      <c r="A68" s="7" t="n">
        <v>65</v>
      </c>
      <c r="B68" s="8" t="inlineStr">
        <is>
          <t xml:space="preserve">        self._kb = None</t>
        </is>
      </c>
    </row>
    <row r="69">
      <c r="A69" s="9" t="n">
        <v>66</v>
      </c>
      <c r="B69" s="10" t="inlineStr">
        <is>
          <t xml:space="preserve">        self._matcher = None</t>
        </is>
      </c>
    </row>
    <row r="70">
      <c r="A70" s="7" t="n">
        <v>67</v>
      </c>
      <c r="B70" s="8" t="inlineStr">
        <is>
          <t xml:space="preserve">        self._loaded = False</t>
        </is>
      </c>
    </row>
    <row r="71">
      <c r="A71" s="9" t="n">
        <v>68</v>
      </c>
      <c r="B71" s="10" t="inlineStr">
        <is>
          <t xml:space="preserve">        self._load_time = 0.0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# ═══════════════════ 强制加载 ═══════════════════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def load_all(self):</t>
        </is>
      </c>
    </row>
    <row r="76">
      <c r="A76" s="7" t="n">
        <v>73</v>
      </c>
      <c r="B76" s="8" t="inlineStr">
        <is>
          <t xml:space="preserve">        """强制加载所有模型。任一失败 → RuntimeError。"""</t>
        </is>
      </c>
    </row>
    <row r="77">
      <c r="A77" s="9" t="n">
        <v>74</v>
      </c>
      <c r="B77" s="10" t="inlineStr">
        <is>
          <t xml:space="preserve">        print("[Orchestrator] 加载所有模型...")</t>
        </is>
      </c>
    </row>
    <row r="78">
      <c r="A78" s="7" t="n">
        <v>75</v>
      </c>
      <c r="B78" s="8" t="inlineStr">
        <is>
          <t xml:space="preserve">        t0 = time.time()</t>
        </is>
      </c>
    </row>
    <row r="79">
      <c r="A79" s="9" t="n">
        <v>76</v>
      </c>
      <c r="B79" s="10" t="inlineStr"/>
    </row>
    <row r="80">
      <c r="A80" s="7" t="n">
        <v>77</v>
      </c>
      <c r="B80" s="8" t="inlineStr">
        <is>
          <t xml:space="preserve">        errors = []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>
        <is>
          <t xml:space="preserve">        # Vision</t>
        </is>
      </c>
    </row>
    <row r="83">
      <c r="A83" s="9" t="n">
        <v>80</v>
      </c>
      <c r="B83" s="10" t="inlineStr">
        <is>
          <t xml:space="preserve">        try:</t>
        </is>
      </c>
    </row>
    <row r="84">
      <c r="A84" s="7" t="n">
        <v>81</v>
      </c>
      <c r="B84" s="8" t="inlineStr">
        <is>
          <t xml:space="preserve">            self._load_vision()</t>
        </is>
      </c>
    </row>
    <row r="85">
      <c r="A85" s="9" t="n">
        <v>82</v>
      </c>
      <c r="B85" s="10" t="inlineStr">
        <is>
          <t xml:space="preserve">        except Exception as e:</t>
        </is>
      </c>
    </row>
    <row r="86">
      <c r="A86" s="7" t="n">
        <v>83</v>
      </c>
      <c r="B86" s="8" t="inlineStr">
        <is>
          <t xml:space="preserve">            errors.append(f"视觉模型: {e}")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>
        <is>
          <t xml:space="preserve">        # SenseVoice</t>
        </is>
      </c>
    </row>
    <row r="89">
      <c r="A89" s="9" t="n">
        <v>86</v>
      </c>
      <c r="B89" s="10" t="inlineStr">
        <is>
          <t xml:space="preserve">        try:</t>
        </is>
      </c>
    </row>
    <row r="90">
      <c r="A90" s="7" t="n">
        <v>87</v>
      </c>
      <c r="B90" s="8" t="inlineStr">
        <is>
          <t xml:space="preserve">            self._load_sensevoice()</t>
        </is>
      </c>
    </row>
    <row r="91">
      <c r="A91" s="9" t="n">
        <v>88</v>
      </c>
      <c r="B91" s="10" t="inlineStr">
        <is>
          <t xml:space="preserve">        except Exception as e:</t>
        </is>
      </c>
    </row>
    <row r="92">
      <c r="A92" s="7" t="n">
        <v>89</v>
      </c>
      <c r="B92" s="8" t="inlineStr">
        <is>
          <t xml:space="preserve">            errors.append(f"SenseVoice: {e}")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 xml:space="preserve">        # Whisper</t>
        </is>
      </c>
    </row>
    <row r="95">
      <c r="A95" s="9" t="n">
        <v>92</v>
      </c>
      <c r="B95" s="10" t="inlineStr">
        <is>
          <t xml:space="preserve">        try:</t>
        </is>
      </c>
    </row>
    <row r="96">
      <c r="A96" s="7" t="n">
        <v>93</v>
      </c>
      <c r="B96" s="8" t="inlineStr">
        <is>
          <t xml:space="preserve">            self._load_whisper()</t>
        </is>
      </c>
    </row>
    <row r="97">
      <c r="A97" s="9" t="n">
        <v>94</v>
      </c>
      <c r="B97" s="10" t="inlineStr">
        <is>
          <t xml:space="preserve">        except Exception as e:</t>
        </is>
      </c>
    </row>
    <row r="98">
      <c r="A98" s="7" t="n">
        <v>95</v>
      </c>
      <c r="B98" s="8" t="inlineStr">
        <is>
          <t xml:space="preserve">            errors.append(f"Whisper: {e}")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 xml:space="preserve">        # KnowledgeBridge</t>
        </is>
      </c>
    </row>
    <row r="101">
      <c r="A101" s="9" t="n">
        <v>98</v>
      </c>
      <c r="B101" s="10" t="inlineStr">
        <is>
          <t xml:space="preserve">        try:</t>
        </is>
      </c>
    </row>
    <row r="102">
      <c r="A102" s="7" t="n">
        <v>99</v>
      </c>
      <c r="B102" s="8" t="inlineStr">
        <is>
          <t xml:space="preserve">            self._load_knowledge()</t>
        </is>
      </c>
    </row>
    <row r="103">
      <c r="A103" s="9" t="n">
        <v>100</v>
      </c>
      <c r="B103" s="10" t="inlineStr">
        <is>
          <t xml:space="preserve">        except Exception as e:</t>
        </is>
      </c>
    </row>
    <row r="104">
      <c r="A104" s="7" t="n">
        <v>101</v>
      </c>
      <c r="B104" s="8" t="inlineStr">
        <is>
          <t xml:space="preserve">            errors.append(f"KnowledgeBridge: {e}")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 xml:space="preserve">        # SmartMatcher (FAISS)</t>
        </is>
      </c>
    </row>
    <row r="107">
      <c r="A107" s="9" t="n">
        <v>104</v>
      </c>
      <c r="B107" s="10" t="inlineStr">
        <is>
          <t xml:space="preserve">        try:</t>
        </is>
      </c>
    </row>
    <row r="108">
      <c r="A108" s="7" t="n">
        <v>105</v>
      </c>
      <c r="B108" s="8" t="inlineStr">
        <is>
          <t xml:space="preserve">            self._load_matcher()</t>
        </is>
      </c>
    </row>
    <row r="109">
      <c r="A109" s="9" t="n">
        <v>106</v>
      </c>
      <c r="B109" s="10" t="inlineStr">
        <is>
          <t xml:space="preserve">        except Exception as e:</t>
        </is>
      </c>
    </row>
    <row r="110">
      <c r="A110" s="7" t="n">
        <v>107</v>
      </c>
      <c r="B110" s="8" t="inlineStr">
        <is>
          <t xml:space="preserve">            errors.append(f"FAISS: {e}")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 xml:space="preserve">        if errors:</t>
        </is>
      </c>
    </row>
    <row r="113">
      <c r="A113" s="9" t="n">
        <v>110</v>
      </c>
      <c r="B113" s="10" t="inlineStr">
        <is>
          <t xml:space="preserve">            raise RuntimeError(</t>
        </is>
      </c>
    </row>
    <row r="114">
      <c r="A114" s="7" t="n">
        <v>111</v>
      </c>
      <c r="B114" s="8" t="inlineStr">
        <is>
          <t xml:space="preserve">                "模型加载失败:\n" + "\n".join(f"  - {e}" for e in errors)</t>
        </is>
      </c>
    </row>
    <row r="115">
      <c r="A115" s="9" t="n">
        <v>112</v>
      </c>
      <c r="B115" s="10" t="inlineStr">
        <is>
          <t xml:space="preserve">            )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    self._loaded = True</t>
        </is>
      </c>
    </row>
    <row r="118">
      <c r="A118" s="7" t="n">
        <v>115</v>
      </c>
      <c r="B118" s="8" t="inlineStr">
        <is>
          <t xml:space="preserve">        self._load_time = time.time() - t0</t>
        </is>
      </c>
    </row>
    <row r="119">
      <c r="A119" s="9" t="n">
        <v>116</v>
      </c>
      <c r="B119" s="10" t="inlineStr">
        <is>
          <t xml:space="preserve">        print(f"[Orchestrator] 全部模型加载完成 ({self._load_time:.0f}s)")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>
        <is>
          <t xml:space="preserve">    # ═══════════════════ 各模型加载 ═══════════════════</t>
        </is>
      </c>
    </row>
    <row r="122">
      <c r="A122" s="7" t="n">
        <v>119</v>
      </c>
      <c r="B122" s="8" t="inlineStr"/>
    </row>
    <row r="123">
      <c r="A123" s="9" t="n">
        <v>120</v>
      </c>
      <c r="B123" s="10" t="inlineStr">
        <is>
          <t xml:space="preserve">    def _load_vision(self):</t>
        </is>
      </c>
    </row>
    <row r="124">
      <c r="A124" s="7" t="n">
        <v>121</v>
      </c>
      <c r="B124" s="8" t="inlineStr">
        <is>
          <t xml:space="preserve">        model_dir = MODELS_DIR / "Qwen3-VL-4B-Instruct-FP8"</t>
        </is>
      </c>
    </row>
    <row r="125">
      <c r="A125" s="9" t="n">
        <v>122</v>
      </c>
      <c r="B125" s="10" t="inlineStr">
        <is>
          <t xml:space="preserve">        if not model_dir.exists():</t>
        </is>
      </c>
    </row>
    <row r="126">
      <c r="A126" s="7" t="n">
        <v>123</v>
      </c>
      <c r="B126" s="8" t="inlineStr">
        <is>
          <t xml:space="preserve">            raise RuntimeError(f"Qwen3-VL-4B 模型目录不存在: {model_dir}\n{FIX_QWEN3}")</t>
        </is>
      </c>
    </row>
    <row r="127">
      <c r="A127" s="9" t="n">
        <v>124</v>
      </c>
      <c r="B127" s="10" t="inlineStr">
        <is>
          <t xml:space="preserve">        sft = list(model_dir.glob("*.safetensors"))</t>
        </is>
      </c>
    </row>
    <row r="128">
      <c r="A128" s="7" t="n">
        <v>125</v>
      </c>
      <c r="B128" s="8" t="inlineStr">
        <is>
          <t xml:space="preserve">        if not sft:</t>
        </is>
      </c>
    </row>
    <row r="129">
      <c r="A129" s="9" t="n">
        <v>126</v>
      </c>
      <c r="B129" s="10" t="inlineStr">
        <is>
          <t xml:space="preserve">            raise RuntimeError(f"Qwen3-VL-4B 无权重文件: {model_dir}\n{FIX_QWEN3}")</t>
        </is>
      </c>
    </row>
    <row r="130">
      <c r="A130" s="7" t="n">
        <v>127</v>
      </c>
      <c r="B130" s="8" t="inlineStr"/>
    </row>
    <row r="131">
      <c r="A131" s="9" t="n">
        <v>128</v>
      </c>
      <c r="B131" s="10" t="inlineStr">
        <is>
          <t xml:space="preserve">        import torch</t>
        </is>
      </c>
    </row>
    <row r="132">
      <c r="A132" s="7" t="n">
        <v>129</v>
      </c>
      <c r="B132" s="8" t="inlineStr">
        <is>
          <t xml:space="preserve">        from transformers import AutoProcessor, Qwen3VLForConditionalGeneration</t>
        </is>
      </c>
    </row>
    <row r="133">
      <c r="A133" s="9" t="n">
        <v>130</v>
      </c>
      <c r="B133" s="10" t="inlineStr"/>
    </row>
    <row r="134">
      <c r="A134" s="7" t="n">
        <v>131</v>
      </c>
      <c r="B134" s="8" t="inlineStr">
        <is>
          <t xml:space="preserve">        print(f"  [Vision] Qwen3-VL-4B ({model_dir})...")</t>
        </is>
      </c>
    </row>
    <row r="135">
      <c r="A135" s="9" t="n">
        <v>132</v>
      </c>
      <c r="B135" s="10" t="inlineStr">
        <is>
          <t xml:space="preserve">        dt = torch.float16 if torch.cuda.is_available() else torch.float32</t>
        </is>
      </c>
    </row>
    <row r="136">
      <c r="A136" s="7" t="n">
        <v>133</v>
      </c>
      <c r="B136" s="8" t="inlineStr">
        <is>
          <t xml:space="preserve">        self._vision_processor = AutoProcessor.from_pretrained(str(model_dir), trust_remote_code=True)</t>
        </is>
      </c>
    </row>
    <row r="137">
      <c r="A137" s="9" t="n">
        <v>134</v>
      </c>
      <c r="B137" s="10" t="inlineStr">
        <is>
          <t xml:space="preserve">        self._vision = Qwen3VLForConditionalGeneration.from_pretrained(</t>
        </is>
      </c>
    </row>
    <row r="138">
      <c r="A138" s="7" t="n">
        <v>135</v>
      </c>
      <c r="B138" s="8" t="inlineStr">
        <is>
          <t xml:space="preserve">            str(model_dir), device_map="auto", trust_remote_code=True,</t>
        </is>
      </c>
    </row>
    <row r="139">
      <c r="A139" s="9" t="n">
        <v>136</v>
      </c>
      <c r="B139" s="10" t="inlineStr">
        <is>
          <t xml:space="preserve">            torch_dtype=dt, offload_folder=str(MODELS_DIR / ".offload"))</t>
        </is>
      </c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 xml:space="preserve">    def _load_sensevoice(self):</t>
        </is>
      </c>
    </row>
    <row r="142">
      <c r="A142" s="7" t="n">
        <v>139</v>
      </c>
      <c r="B142" s="8" t="inlineStr">
        <is>
          <t xml:space="preserve">        model_dir = MODELS_DIR / "SenseVoiceSmall"</t>
        </is>
      </c>
    </row>
    <row r="143">
      <c r="A143" s="9" t="n">
        <v>140</v>
      </c>
      <c r="B143" s="10" t="inlineStr">
        <is>
          <t xml:space="preserve">        if not (model_dir / "model.pt").exists():</t>
        </is>
      </c>
    </row>
    <row r="144">
      <c r="A144" s="7" t="n">
        <v>141</v>
      </c>
      <c r="B144" s="8" t="inlineStr">
        <is>
          <t xml:space="preserve">            raise RuntimeError(f"SenseVoice 权重缺失: {model_dir}\n{FIX_SENSEVOICE}")</t>
        </is>
      </c>
    </row>
    <row r="145">
      <c r="A145" s="9" t="n">
        <v>142</v>
      </c>
      <c r="B145" s="10" t="inlineStr"/>
    </row>
    <row r="146">
      <c r="A146" s="7" t="n">
        <v>143</v>
      </c>
      <c r="B146" s="8" t="inlineStr">
        <is>
          <t xml:space="preserve">        from funasr import AutoModel</t>
        </is>
      </c>
    </row>
    <row r="147">
      <c r="A147" s="9" t="n">
        <v>144</v>
      </c>
      <c r="B147" s="10" t="inlineStr">
        <is>
          <t xml:space="preserve">        print(f"  [SenseVoice] ({model_dir})...")</t>
        </is>
      </c>
    </row>
    <row r="148">
      <c r="A148" s="7" t="n">
        <v>145</v>
      </c>
      <c r="B148" s="8" t="inlineStr">
        <is>
          <t xml:space="preserve">        # 中文路径 workaround</t>
        </is>
      </c>
    </row>
    <row r="149">
      <c r="A149" s="9" t="n">
        <v>146</v>
      </c>
      <c r="B149" s="10" t="inlineStr">
        <is>
          <t xml:space="preserve">        try:</t>
        </is>
      </c>
    </row>
    <row r="150">
      <c r="A150" s="7" t="n">
        <v>147</v>
      </c>
      <c r="B150" s="8" t="inlineStr">
        <is>
          <t xml:space="preserve">            self._sensevoice = AutoModel(model=str(model_dir), vad_model="fsmn-vad",</t>
        </is>
      </c>
    </row>
    <row r="151">
      <c r="A151" s="9" t="n">
        <v>148</v>
      </c>
      <c r="B151" s="10" t="inlineStr">
        <is>
          <t xml:space="preserve">                vad_kwargs={"max_single_segment_time": 30000}, device="cpu", disable_update=True)</t>
        </is>
      </c>
    </row>
    <row r="152">
      <c r="A152" s="7" t="n">
        <v>149</v>
      </c>
      <c r="B152" s="8" t="inlineStr">
        <is>
          <t xml:space="preserve">        except Exception:</t>
        </is>
      </c>
    </row>
    <row r="153">
      <c r="A153" s="9" t="n">
        <v>150</v>
      </c>
      <c r="B153" s="10" t="inlineStr">
        <is>
          <t xml:space="preserve">            import shutil, tempfile</t>
        </is>
      </c>
    </row>
    <row r="154">
      <c r="A154" s="7" t="n">
        <v>151</v>
      </c>
      <c r="B154" s="8" t="inlineStr">
        <is>
          <t xml:space="preserve">            tmp = tempfile.mkdtemp(prefix="sv_")</t>
        </is>
      </c>
    </row>
    <row r="155">
      <c r="A155" s="9" t="n">
        <v>152</v>
      </c>
      <c r="B155" s="10" t="inlineStr">
        <is>
          <t xml:space="preserve">            for item in model_dir.iterdir():</t>
        </is>
      </c>
    </row>
    <row r="156">
      <c r="A156" s="7" t="n">
        <v>153</v>
      </c>
      <c r="B156" s="8" t="inlineStr">
        <is>
          <t xml:space="preserve">                if item.is_file():</t>
        </is>
      </c>
    </row>
    <row r="157">
      <c r="A157" s="9" t="n">
        <v>154</v>
      </c>
      <c r="B157" s="10" t="inlineStr">
        <is>
          <t xml:space="preserve">                    shutil.copy2(str(item), os.path.join(tmp, item.name))</t>
        </is>
      </c>
    </row>
    <row r="158">
      <c r="A158" s="7" t="n">
        <v>155</v>
      </c>
      <c r="B158" s="8" t="inlineStr">
        <is>
          <t xml:space="preserve">            self._sensevoice = AutoModel(model=tmp, vad_model="fsmn-vad",</t>
        </is>
      </c>
    </row>
    <row r="159">
      <c r="A159" s="9" t="n">
        <v>156</v>
      </c>
      <c r="B159" s="10" t="inlineStr">
        <is>
          <t xml:space="preserve">                vad_kwargs={"max_single_segment_time": 30000}, device="cpu", disable_update=True)</t>
        </is>
      </c>
    </row>
    <row r="160">
      <c r="A160" s="7" t="n">
        <v>157</v>
      </c>
      <c r="B160" s="8" t="inlineStr"/>
    </row>
    <row r="161">
      <c r="A161" s="9" t="n">
        <v>158</v>
      </c>
      <c r="B161" s="10" t="inlineStr">
        <is>
          <t xml:space="preserve">    def _load_whisper(self):</t>
        </is>
      </c>
    </row>
    <row r="162">
      <c r="A162" s="7" t="n">
        <v>159</v>
      </c>
      <c r="B162" s="8" t="inlineStr">
        <is>
          <t xml:space="preserve">        from faster_whisper import WhisperModel as FWModel</t>
        </is>
      </c>
    </row>
    <row r="163">
      <c r="A163" s="9" t="n">
        <v>160</v>
      </c>
      <c r="B163" s="10" t="inlineStr">
        <is>
          <t xml:space="preserve">        print("  [Whisper] large-v3 (cpu, int8)...")</t>
        </is>
      </c>
    </row>
    <row r="164">
      <c r="A164" s="7" t="n">
        <v>161</v>
      </c>
      <c r="B164" s="8" t="inlineStr">
        <is>
          <t xml:space="preserve">        self._whisper = FWModel("large-v3", device="cpu", compute_type="int8")</t>
        </is>
      </c>
    </row>
    <row r="165">
      <c r="A165" s="9" t="n">
        <v>162</v>
      </c>
      <c r="B165" s="10" t="inlineStr"/>
    </row>
    <row r="166">
      <c r="A166" s="7" t="n">
        <v>163</v>
      </c>
      <c r="B166" s="8" t="inlineStr">
        <is>
          <t xml:space="preserve">    def _load_knowledge(self):</t>
        </is>
      </c>
    </row>
    <row r="167">
      <c r="A167" s="9" t="n">
        <v>164</v>
      </c>
      <c r="B167" s="10" t="inlineStr">
        <is>
          <t xml:space="preserve">        from utils.knowledge import get_bridge</t>
        </is>
      </c>
    </row>
    <row r="168">
      <c r="A168" s="7" t="n">
        <v>165</v>
      </c>
      <c r="B168" s="8" t="inlineStr">
        <is>
          <t xml:space="preserve">        self._kb = get_bridge()</t>
        </is>
      </c>
    </row>
    <row r="169">
      <c r="A169" s="9" t="n">
        <v>166</v>
      </c>
      <c r="B169" s="10" t="inlineStr"/>
    </row>
    <row r="170">
      <c r="A170" s="7" t="n">
        <v>167</v>
      </c>
      <c r="B170" s="8" t="inlineStr">
        <is>
          <t xml:space="preserve">    def _load_matcher(self):</t>
        </is>
      </c>
    </row>
    <row r="171">
      <c r="A171" s="9" t="n">
        <v>168</v>
      </c>
      <c r="B171" s="10" t="inlineStr">
        <is>
          <t xml:space="preserve">        from material_engine_v3.core.smart_matcher import get_smart_matcher</t>
        </is>
      </c>
    </row>
    <row r="172">
      <c r="A172" s="7" t="n">
        <v>169</v>
      </c>
      <c r="B172" s="8" t="inlineStr">
        <is>
          <t xml:space="preserve">        self._matcher = get_smart_matcher()</t>
        </is>
      </c>
    </row>
    <row r="173">
      <c r="A173" s="9" t="n">
        <v>170</v>
      </c>
      <c r="B173" s="10" t="inlineStr">
        <is>
          <t xml:space="preserve">        self._matcher._lazy_load()</t>
        </is>
      </c>
    </row>
    <row r="174">
      <c r="A174" s="7" t="n">
        <v>171</v>
      </c>
      <c r="B174" s="8" t="inlineStr"/>
    </row>
    <row r="175">
      <c r="A175" s="9" t="n">
        <v>172</v>
      </c>
      <c r="B175" s="10" t="inlineStr">
        <is>
          <t xml:space="preserve">    # ═══════════════════ 推理 API ═══════════════════</t>
        </is>
      </c>
    </row>
    <row r="176">
      <c r="A176" s="7" t="n">
        <v>173</v>
      </c>
      <c r="B176" s="8" t="inlineStr"/>
    </row>
    <row r="177">
      <c r="A177" s="9" t="n">
        <v>174</v>
      </c>
      <c r="B177" s="10" t="inlineStr">
        <is>
          <t xml:space="preserve">    def analyze_image(self, image_path: str) -&gt; dict:</t>
        </is>
      </c>
    </row>
    <row r="178">
      <c r="A178" s="7" t="n">
        <v>175</v>
      </c>
      <c r="B178" s="8" t="inlineStr">
        <is>
          <t xml:space="preserve">        """视觉分析 → {caption, objects, materials, colors, style}"""</t>
        </is>
      </c>
    </row>
    <row r="179">
      <c r="A179" s="9" t="n">
        <v>176</v>
      </c>
      <c r="B179" s="10" t="inlineStr">
        <is>
          <t xml:space="preserve">        if not self._vision:</t>
        </is>
      </c>
    </row>
    <row r="180">
      <c r="A180" s="7" t="n">
        <v>177</v>
      </c>
      <c r="B180" s="8" t="inlineStr">
        <is>
          <t xml:space="preserve">            raise RuntimeError("VisionModel 未加载。请先调用 orchestrator.load_all()")</t>
        </is>
      </c>
    </row>
    <row r="181">
      <c r="A181" s="9" t="n">
        <v>178</v>
      </c>
      <c r="B181" s="10" t="inlineStr"/>
    </row>
    <row r="182">
      <c r="A182" s="7" t="n">
        <v>179</v>
      </c>
      <c r="B182" s="8" t="inlineStr">
        <is>
          <t xml:space="preserve">        from PIL import Image</t>
        </is>
      </c>
    </row>
    <row r="183">
      <c r="A183" s="9" t="n">
        <v>180</v>
      </c>
      <c r="B183" s="10" t="inlineStr">
        <is>
          <t xml:space="preserve">        image = Image.open(image_path).convert("RGB")</t>
        </is>
      </c>
    </row>
    <row r="184">
      <c r="A184" s="7" t="n">
        <v>181</v>
      </c>
      <c r="B184" s="8" t="inlineStr">
        <is>
          <t xml:space="preserve">        messages = [{"role": "user", "content": [</t>
        </is>
      </c>
    </row>
    <row r="185">
      <c r="A185" s="9" t="n">
        <v>182</v>
      </c>
      <c r="B185" s="10" t="inlineStr">
        <is>
          <t xml:space="preserve">            {"type": "image", "image": image},</t>
        </is>
      </c>
    </row>
    <row r="186">
      <c r="A186" s="7" t="n">
        <v>183</v>
      </c>
      <c r="B186" s="8" t="inlineStr">
        <is>
          <t xml:space="preserve">            {"type": "text", "text": "描述这个画面中的物体、材质、颜色和风格。用中文简短回答，逗号分隔。"},</t>
        </is>
      </c>
    </row>
    <row r="187">
      <c r="A187" s="9" t="n">
        <v>184</v>
      </c>
      <c r="B187" s="10" t="inlineStr">
        <is>
          <t xml:space="preserve">        ]}]</t>
        </is>
      </c>
    </row>
    <row r="188">
      <c r="A188" s="7" t="n">
        <v>185</v>
      </c>
      <c r="B188" s="8" t="inlineStr">
        <is>
          <t xml:space="preserve">        prompt = self._vision_processor.apply_chat_template(messages, tokenize=False, add_generation_prompt=True)</t>
        </is>
      </c>
    </row>
    <row r="189">
      <c r="A189" s="9" t="n">
        <v>186</v>
      </c>
      <c r="B189" s="10" t="inlineStr">
        <is>
          <t xml:space="preserve">        inputs = self._vision_processor(text=prompt, images=[image], return_tensors="pt").to(self._vision.device)</t>
        </is>
      </c>
    </row>
    <row r="190">
      <c r="A190" s="7" t="n">
        <v>187</v>
      </c>
      <c r="B190" s="8" t="inlineStr">
        <is>
          <t xml:space="preserve">        out = self._vision.generate(**inputs, max_new_tokens=128)</t>
        </is>
      </c>
    </row>
    <row r="191">
      <c r="A191" s="9" t="n">
        <v>188</v>
      </c>
      <c r="B191" s="10" t="inlineStr">
        <is>
          <t xml:space="preserve">        text = self._vision_processor.decode(out[0], skip_special_tokens=True)</t>
        </is>
      </c>
    </row>
    <row r="192">
      <c r="A192" s="7" t="n">
        <v>189</v>
      </c>
      <c r="B192" s="8" t="inlineStr">
        <is>
          <t xml:space="preserve">        if "assistant" in text:</t>
        </is>
      </c>
    </row>
    <row r="193">
      <c r="A193" s="9" t="n">
        <v>190</v>
      </c>
      <c r="B193" s="10" t="inlineStr">
        <is>
          <t xml:space="preserve">            text = text.split("assistant")[-1].strip()</t>
        </is>
      </c>
    </row>
    <row r="194">
      <c r="A194" s="7" t="n">
        <v>191</v>
      </c>
      <c r="B194" s="8" t="inlineStr"/>
    </row>
    <row r="195">
      <c r="A195" s="9" t="n">
        <v>192</v>
      </c>
      <c r="B195" s="10" t="inlineStr">
        <is>
          <t xml:space="preserve">        res = {"caption": text, "objects": [], "materials": [], "colors": [], "style": ""}</t>
        </is>
      </c>
    </row>
    <row r="196">
      <c r="A196" s="7" t="n">
        <v>193</v>
      </c>
      <c r="B196" s="8" t="inlineStr">
        <is>
          <t xml:space="preserve">        for p in text.replace("，", ",").split(","):</t>
        </is>
      </c>
    </row>
    <row r="197">
      <c r="A197" s="9" t="n">
        <v>194</v>
      </c>
      <c r="B197" s="10" t="inlineStr">
        <is>
          <t xml:space="preserve">            p = p.strip()</t>
        </is>
      </c>
    </row>
    <row r="198">
      <c r="A198" s="7" t="n">
        <v>195</v>
      </c>
      <c r="B198" s="8" t="inlineStr">
        <is>
          <t xml:space="preserve">            if not p: continue</t>
        </is>
      </c>
    </row>
    <row r="199">
      <c r="A199" s="9" t="n">
        <v>196</v>
      </c>
      <c r="B199" s="10" t="inlineStr">
        <is>
          <t xml:space="preserve">            if any(k in p for k in ["岛台","抽屉","烤箱","插座","水槽","灯带","冰箱","拉篮","餐桌","吧台","柜"]):</t>
        </is>
      </c>
    </row>
    <row r="200">
      <c r="A200" s="7" t="n">
        <v>197</v>
      </c>
      <c r="B200" s="8" t="inlineStr">
        <is>
          <t xml:space="preserve">                res["objects"].append(p)</t>
        </is>
      </c>
    </row>
    <row r="201">
      <c r="A201" s="9" t="n">
        <v>198</v>
      </c>
      <c r="B201" s="10" t="inlineStr">
        <is>
          <t xml:space="preserve">            if any(k in p for k in ["岩板","石","木","钢","玻璃","水泥","不锈钢","亚克力","微水泥","洞石"]):</t>
        </is>
      </c>
    </row>
    <row r="202">
      <c r="A202" s="7" t="n">
        <v>199</v>
      </c>
      <c r="B202" s="8" t="inlineStr">
        <is>
          <t xml:space="preserve">                res["materials"].append(p)</t>
        </is>
      </c>
    </row>
    <row r="203">
      <c r="A203" s="9" t="n">
        <v>200</v>
      </c>
      <c r="B203" s="10" t="inlineStr">
        <is>
          <t xml:space="preserve">            if any(k in p for k in ["白","黑","灰","棕","米","蓝","绿","红","金","银","奶","原木"]):</t>
        </is>
      </c>
    </row>
    <row r="204">
      <c r="A204" s="7" t="n">
        <v>201</v>
      </c>
      <c r="B204" s="8" t="inlineStr">
        <is>
          <t xml:space="preserve">                res["colors"].append(p)</t>
        </is>
      </c>
    </row>
    <row r="205">
      <c r="A205" s="9" t="n">
        <v>202</v>
      </c>
      <c r="B205" s="10" t="inlineStr">
        <is>
          <t xml:space="preserve">            if any(k in p for k in ["风","简约","现代","复古","侘寂","轻奢","工业","北欧","中式","原木"]):</t>
        </is>
      </c>
    </row>
    <row r="206">
      <c r="A206" s="7" t="n">
        <v>203</v>
      </c>
      <c r="B206" s="8" t="inlineStr">
        <is>
          <t xml:space="preserve">                if not res["style"]: res["style"] = p</t>
        </is>
      </c>
    </row>
    <row r="207">
      <c r="A207" s="9" t="n">
        <v>204</v>
      </c>
      <c r="B207" s="10" t="inlineStr"/>
    </row>
    <row r="208">
      <c r="A208" s="7" t="n">
        <v>205</v>
      </c>
      <c r="B208" s="8" t="inlineStr">
        <is>
          <t xml:space="preserve">        from core.database import db</t>
        </is>
      </c>
    </row>
    <row r="209">
      <c r="A209" s="9" t="n">
        <v>206</v>
      </c>
      <c r="B209" s="10" t="inlineStr">
        <is>
          <t xml:space="preserve">        db.record_model_call("Qwen3-VL-4B", call_type="analyze_image", input_summary=os.path.basename(image_path),</t>
        </is>
      </c>
    </row>
    <row r="210">
      <c r="A210" s="7" t="n">
        <v>207</v>
      </c>
      <c r="B210" s="8" t="inlineStr">
        <is>
          <t xml:space="preserve">                             output_summary=text[:100])</t>
        </is>
      </c>
    </row>
    <row r="211">
      <c r="A211" s="9" t="n">
        <v>208</v>
      </c>
      <c r="B211" s="10" t="inlineStr">
        <is>
          <t xml:space="preserve">        return res</t>
        </is>
      </c>
    </row>
    <row r="212">
      <c r="A212" s="7" t="n">
        <v>209</v>
      </c>
      <c r="B212" s="8" t="inlineStr"/>
    </row>
    <row r="213">
      <c r="A213" s="9" t="n">
        <v>210</v>
      </c>
      <c r="B213" s="10" t="inlineStr">
        <is>
          <t xml:space="preserve">    def analyze_audio(self, video_path: str) -&gt; dict:</t>
        </is>
      </c>
    </row>
    <row r="214">
      <c r="A214" s="7" t="n">
        <v>211</v>
      </c>
      <c r="B214" s="8" t="inlineStr">
        <is>
          <t xml:space="preserve">        """音频分析 → {transcript, emotion, events, segments}"""</t>
        </is>
      </c>
    </row>
    <row r="215">
      <c r="A215" s="9" t="n">
        <v>212</v>
      </c>
      <c r="B215" s="10" t="inlineStr">
        <is>
          <t xml:space="preserve">        if not self._whisper: raise RuntimeError("Whisper 未加载")</t>
        </is>
      </c>
    </row>
    <row r="216">
      <c r="A216" s="7" t="n">
        <v>213</v>
      </c>
      <c r="B216" s="8" t="inlineStr"/>
    </row>
    <row r="217">
      <c r="A217" s="9" t="n">
        <v>214</v>
      </c>
      <c r="B217" s="10" t="inlineStr">
        <is>
          <t xml:space="preserve">        import tempfile</t>
        </is>
      </c>
    </row>
    <row r="218">
      <c r="A218" s="7" t="n">
        <v>215</v>
      </c>
      <c r="B218" s="8" t="inlineStr">
        <is>
          <t xml:space="preserve">        from utils.silent_subprocess import run as _silent_run</t>
        </is>
      </c>
    </row>
    <row r="219">
      <c r="A219" s="9" t="n">
        <v>216</v>
      </c>
      <c r="B219" s="10" t="inlineStr"/>
    </row>
    <row r="220">
      <c r="A220" s="7" t="n">
        <v>217</v>
      </c>
      <c r="B220" s="8" t="inlineStr">
        <is>
          <t xml:space="preserve">        tmp = tempfile.mktemp(suffix=".wav")</t>
        </is>
      </c>
    </row>
    <row r="221">
      <c r="A221" s="9" t="n">
        <v>218</v>
      </c>
      <c r="B221" s="10" t="inlineStr">
        <is>
          <t xml:space="preserve">        _silent_run(["ffmpeg","-y","-i",video_path,"-vn","-acodec","pcm_s16le","-ar","16000","-ac","1",tmp],</t>
        </is>
      </c>
    </row>
    <row r="222">
      <c r="A222" s="7" t="n">
        <v>219</v>
      </c>
      <c r="B222" s="8" t="inlineStr">
        <is>
          <t xml:space="preserve">                     capture_output=True, timeout=30)</t>
        </is>
      </c>
    </row>
    <row r="223">
      <c r="A223" s="9" t="n">
        <v>220</v>
      </c>
      <c r="B223" s="10" t="inlineStr"/>
    </row>
    <row r="224">
      <c r="A224" s="7" t="n">
        <v>221</v>
      </c>
      <c r="B224" s="8" t="inlineStr">
        <is>
          <t xml:space="preserve">        segments, info = self._whisper.transcribe(tmp, beam_size=5, language="zh")</t>
        </is>
      </c>
    </row>
    <row r="225">
      <c r="A225" s="9" t="n">
        <v>222</v>
      </c>
      <c r="B225" s="10" t="inlineStr">
        <is>
          <t xml:space="preserve">        segs = [{"start": s.start, "end": s.end, "text": s.text.strip()} for s in segments]</t>
        </is>
      </c>
    </row>
    <row r="226">
      <c r="A226" s="7" t="n">
        <v>223</v>
      </c>
      <c r="B226" s="8" t="inlineStr">
        <is>
          <t xml:space="preserve">        transcript = " ".join(s["text"] for s in segs)</t>
        </is>
      </c>
    </row>
    <row r="227">
      <c r="A227" s="9" t="n">
        <v>224</v>
      </c>
      <c r="B227" s="10" t="inlineStr"/>
    </row>
    <row r="228">
      <c r="A228" s="7" t="n">
        <v>225</v>
      </c>
      <c r="B228" s="8" t="inlineStr">
        <is>
          <t xml:space="preserve">        # SenseVoice</t>
        </is>
      </c>
    </row>
    <row r="229">
      <c r="A229" s="9" t="n">
        <v>226</v>
      </c>
      <c r="B229" s="10" t="inlineStr">
        <is>
          <t xml:space="preserve">        emotion, events = "neutral", []</t>
        </is>
      </c>
    </row>
    <row r="230">
      <c r="A230" s="7" t="n">
        <v>227</v>
      </c>
      <c r="B230" s="8" t="inlineStr">
        <is>
          <t xml:space="preserve">        if self._sensevoice:</t>
        </is>
      </c>
    </row>
    <row r="231">
      <c r="A231" s="9" t="n">
        <v>228</v>
      </c>
      <c r="B231" s="10" t="inlineStr">
        <is>
          <t xml:space="preserve">            try:</t>
        </is>
      </c>
    </row>
    <row r="232">
      <c r="A232" s="7" t="n">
        <v>229</v>
      </c>
      <c r="B232" s="8" t="inlineStr">
        <is>
          <t xml:space="preserve">                sv = self._sensevoice.generate(input=tmp, cache={}, language="auto", use_itn=True,</t>
        </is>
      </c>
    </row>
    <row r="233">
      <c r="A233" s="9" t="n">
        <v>230</v>
      </c>
      <c r="B233" s="10" t="inlineStr">
        <is>
          <t xml:space="preserve">                                                batch_size_s=60, merge_vad=True, merge_length_s=15)</t>
        </is>
      </c>
    </row>
    <row r="234">
      <c r="A234" s="7" t="n">
        <v>231</v>
      </c>
      <c r="B234" s="8" t="inlineStr">
        <is>
          <t xml:space="preserve">                raw = sv[0].get("text", "") if sv else ""</t>
        </is>
      </c>
    </row>
    <row r="235">
      <c r="A235" s="9" t="n">
        <v>232</v>
      </c>
      <c r="B235" s="10" t="inlineStr">
        <is>
          <t xml:space="preserve">                for tok, em in {"&lt;|HAPPY|&gt;":"happy","&lt;|SAD|&gt;":"sad","&lt;|ANGRY|&gt;":"angry","&lt;|NEUTRAL|&gt;":"neutral"}.items():</t>
        </is>
      </c>
    </row>
    <row r="236">
      <c r="A236" s="7" t="n">
        <v>233</v>
      </c>
      <c r="B236" s="8" t="inlineStr">
        <is>
          <t xml:space="preserve">                    if tok in raw: emotion = em; break</t>
        </is>
      </c>
    </row>
    <row r="237">
      <c r="A237" s="9" t="n">
        <v>234</v>
      </c>
      <c r="B237" s="10" t="inlineStr">
        <is>
          <t xml:space="preserve">                for tok, ev in {"&lt;|bgm|&gt;":"bgm","&lt;|applause|&gt;":"applause","&lt;|laughter|&gt;":"laughter",</t>
        </is>
      </c>
    </row>
    <row r="238">
      <c r="A238" s="7" t="n">
        <v>235</v>
      </c>
      <c r="B238" s="8" t="inlineStr">
        <is>
          <t xml:space="preserve">                                 "&lt;|cry|&gt;":"cry","&lt;|cough|&gt;":"cough","&lt;|sneeze|&gt;":"sneeze"}.items():</t>
        </is>
      </c>
    </row>
    <row r="239">
      <c r="A239" s="9" t="n">
        <v>236</v>
      </c>
      <c r="B239" s="10" t="inlineStr">
        <is>
          <t xml:space="preserve">                    if tok in raw: events.append(ev)</t>
        </is>
      </c>
    </row>
    <row r="240">
      <c r="A240" s="7" t="n">
        <v>237</v>
      </c>
      <c r="B240" s="8" t="inlineStr">
        <is>
          <t xml:space="preserve">            except Exception:</t>
        </is>
      </c>
    </row>
    <row r="241">
      <c r="A241" s="9" t="n">
        <v>238</v>
      </c>
      <c r="B241" s="10" t="inlineStr">
        <is>
          <t xml:space="preserve">                pass</t>
        </is>
      </c>
    </row>
    <row r="242">
      <c r="A242" s="7" t="n">
        <v>239</v>
      </c>
      <c r="B242" s="8" t="inlineStr"/>
    </row>
    <row r="243">
      <c r="A243" s="9" t="n">
        <v>240</v>
      </c>
      <c r="B243" s="10" t="inlineStr">
        <is>
          <t xml:space="preserve">        if os.path.exists(tmp): os.remove(tmp)</t>
        </is>
      </c>
    </row>
    <row r="244">
      <c r="A244" s="7" t="n">
        <v>241</v>
      </c>
      <c r="B244" s="8" t="inlineStr"/>
    </row>
    <row r="245">
      <c r="A245" s="9" t="n">
        <v>242</v>
      </c>
      <c r="B245" s="10" t="inlineStr">
        <is>
          <t xml:space="preserve">        from core.database import db</t>
        </is>
      </c>
    </row>
    <row r="246">
      <c r="A246" s="7" t="n">
        <v>243</v>
      </c>
      <c r="B246" s="8" t="inlineStr">
        <is>
          <t xml:space="preserve">        db.record_model_call("Whisper+SenseVoice", call_type="analyze_audio", input_summary=video_path[:80],</t>
        </is>
      </c>
    </row>
    <row r="247">
      <c r="A247" s="9" t="n">
        <v>244</v>
      </c>
      <c r="B247" s="10" t="inlineStr">
        <is>
          <t xml:space="preserve">                             output_summary=transcript[:100])</t>
        </is>
      </c>
    </row>
    <row r="248">
      <c r="A248" s="7" t="n">
        <v>245</v>
      </c>
      <c r="B248" s="8" t="inlineStr">
        <is>
          <t xml:space="preserve">        return {"transcript": transcript, "segments": segs, "emotion": emotion, "events": events,</t>
        </is>
      </c>
    </row>
    <row r="249">
      <c r="A249" s="9" t="n">
        <v>246</v>
      </c>
      <c r="B249" s="10" t="inlineStr">
        <is>
          <t xml:space="preserve">                "language": info.language, "has_speech": len(segs) &gt; 0}</t>
        </is>
      </c>
    </row>
    <row r="250">
      <c r="A250" s="7" t="n">
        <v>247</v>
      </c>
      <c r="B250" s="8" t="inlineStr"/>
    </row>
    <row r="251">
      <c r="A251" s="9" t="n">
        <v>248</v>
      </c>
      <c r="B251" s="10" t="inlineStr">
        <is>
          <t xml:space="preserve">    def match_clips(self, copy_text: str, num_clips: int = 8) -&gt; List[Dict]:</t>
        </is>
      </c>
    </row>
    <row r="252">
      <c r="A252" s="7" t="n">
        <v>249</v>
      </c>
      <c r="B252" s="8" t="inlineStr">
        <is>
          <t xml:space="preserve">        """智能素材匹配"""</t>
        </is>
      </c>
    </row>
    <row r="253">
      <c r="A253" s="9" t="n">
        <v>250</v>
      </c>
      <c r="B253" s="10" t="inlineStr">
        <is>
          <t xml:space="preserve">        if not self._matcher: raise RuntimeError("SmartMatcher 未加载")</t>
        </is>
      </c>
    </row>
    <row r="254">
      <c r="A254" s="7" t="n">
        <v>251</v>
      </c>
      <c r="B254" s="8" t="inlineStr">
        <is>
          <t xml:space="preserve">        results = self._matcher.search_by_copy(copy_text, num_clips)</t>
        </is>
      </c>
    </row>
    <row r="255">
      <c r="A255" s="9" t="n">
        <v>252</v>
      </c>
      <c r="B255" s="10" t="inlineStr">
        <is>
          <t xml:space="preserve">        from core.database import db</t>
        </is>
      </c>
    </row>
    <row r="256">
      <c r="A256" s="7" t="n">
        <v>253</v>
      </c>
      <c r="B256" s="8" t="inlineStr">
        <is>
          <t xml:space="preserve">        db.record_model_call("SmartMatcher", call_type="match_clips", input_summary=copy_text[:80],</t>
        </is>
      </c>
    </row>
    <row r="257">
      <c r="A257" s="9" t="n">
        <v>254</v>
      </c>
      <c r="B257" s="10" t="inlineStr">
        <is>
          <t xml:space="preserve">                             output_summary=f"{len(results)} clips")</t>
        </is>
      </c>
    </row>
    <row r="258">
      <c r="A258" s="7" t="n">
        <v>255</v>
      </c>
      <c r="B258" s="8" t="inlineStr">
        <is>
          <t xml:space="preserve">        return results</t>
        </is>
      </c>
    </row>
    <row r="259">
      <c r="A259" s="9" t="n">
        <v>256</v>
      </c>
      <c r="B259" s="10" t="inlineStr"/>
    </row>
    <row r="260">
      <c r="A260" s="7" t="n">
        <v>257</v>
      </c>
      <c r="B260" s="8" t="inlineStr">
        <is>
          <t xml:space="preserve">    def health_check(self) -&gt; Dict[str, bool]:</t>
        </is>
      </c>
    </row>
    <row r="261">
      <c r="A261" s="9" t="n">
        <v>258</v>
      </c>
      <c r="B261" s="10" t="inlineStr">
        <is>
          <t xml:space="preserve">        """返回所有模型健康状态"""</t>
        </is>
      </c>
    </row>
    <row r="262">
      <c r="A262" s="7" t="n">
        <v>259</v>
      </c>
      <c r="B262" s="8" t="inlineStr">
        <is>
          <t xml:space="preserve">        return {</t>
        </is>
      </c>
    </row>
    <row r="263">
      <c r="A263" s="9" t="n">
        <v>260</v>
      </c>
      <c r="B263" s="10" t="inlineStr">
        <is>
          <t xml:space="preserve">            "vision": self._vision is not None,</t>
        </is>
      </c>
    </row>
    <row r="264">
      <c r="A264" s="7" t="n">
        <v>261</v>
      </c>
      <c r="B264" s="8" t="inlineStr">
        <is>
          <t xml:space="preserve">            "sensevoice": self._sensevoice is not None,</t>
        </is>
      </c>
    </row>
    <row r="265">
      <c r="A265" s="9" t="n">
        <v>262</v>
      </c>
      <c r="B265" s="10" t="inlineStr">
        <is>
          <t xml:space="preserve">            "whisper": self._whisper is not None,</t>
        </is>
      </c>
    </row>
    <row r="266">
      <c r="A266" s="7" t="n">
        <v>263</v>
      </c>
      <c r="B266" s="8" t="inlineStr">
        <is>
          <t xml:space="preserve">            "knowledge_bridge": self._kb is not None,</t>
        </is>
      </c>
    </row>
    <row r="267">
      <c r="A267" s="9" t="n">
        <v>264</v>
      </c>
      <c r="B267" s="10" t="inlineStr">
        <is>
          <t xml:space="preserve">            "smart_matcher": self._matcher is not None,</t>
        </is>
      </c>
    </row>
    <row r="268">
      <c r="A268" s="7" t="n">
        <v>265</v>
      </c>
      <c r="B268" s="8" t="inlineStr">
        <is>
          <t xml:space="preserve">        }</t>
        </is>
      </c>
    </row>
    <row r="269">
      <c r="A269" s="9" t="n">
        <v>266</v>
      </c>
      <c r="B269" s="10" t="inlineStr"/>
    </row>
    <row r="270">
      <c r="A270" s="7" t="n">
        <v>267</v>
      </c>
      <c r="B270" s="8" t="inlineStr">
        <is>
          <t xml:space="preserve">    def get_status_report(self) -&gt; str:</t>
        </is>
      </c>
    </row>
    <row r="271">
      <c r="A271" s="9" t="n">
        <v>268</v>
      </c>
      <c r="B271" s="10" t="inlineStr">
        <is>
          <t xml:space="preserve">        checks = self.health_check()</t>
        </is>
      </c>
    </row>
    <row r="272">
      <c r="A272" s="7" t="n">
        <v>269</v>
      </c>
      <c r="B272" s="8" t="inlineStr">
        <is>
          <t xml:space="preserve">        lines = ["模型状态:"]</t>
        </is>
      </c>
    </row>
    <row r="273">
      <c r="A273" s="9" t="n">
        <v>270</v>
      </c>
      <c r="B273" s="10" t="inlineStr">
        <is>
          <t xml:space="preserve">        for name, ok in checks.items():</t>
        </is>
      </c>
    </row>
    <row r="274">
      <c r="A274" s="7" t="n">
        <v>271</v>
      </c>
      <c r="B274" s="8" t="inlineStr">
        <is>
          <t xml:space="preserve">            lines.append(f"  {'[OK]' if ok else '[FAIL]'} {name}")</t>
        </is>
      </c>
    </row>
    <row r="275">
      <c r="A275" s="9" t="n">
        <v>272</v>
      </c>
      <c r="B275" s="10" t="inlineStr">
        <is>
          <t xml:space="preserve">        return "\n".join(lines)</t>
        </is>
      </c>
    </row>
    <row r="276">
      <c r="A276" s="7" t="n">
        <v>273</v>
      </c>
      <c r="B276" s="8" t="inlineStr"/>
    </row>
    <row r="277">
      <c r="A277" s="9" t="n">
        <v>274</v>
      </c>
      <c r="B277" s="10" t="inlineStr"/>
    </row>
    <row r="278">
      <c r="A278" s="7" t="n">
        <v>275</v>
      </c>
      <c r="B278" s="8" t="inlineStr">
        <is>
          <t># ── 全局单例 ──</t>
        </is>
      </c>
    </row>
    <row r="279">
      <c r="A279" s="9" t="n">
        <v>276</v>
      </c>
      <c r="B279" s="10" t="inlineStr">
        <is>
          <t>orch = Orchestrator()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core\pipeline.py</t>
        </is>
      </c>
      <c r="C1" s="5" t="inlineStr">
        <is>
          <t>行数: 1248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 xml:space="preserve"> """</t>
        </is>
      </c>
    </row>
    <row r="5">
      <c r="A5" s="9" t="n">
        <v>2</v>
      </c>
      <c r="B5" s="10" t="inlineStr">
        <is>
          <t>╔══════════════════════════════════════════════════════════════╗</t>
        </is>
      </c>
    </row>
    <row r="6">
      <c r="A6" s="7" t="n">
        <v>3</v>
      </c>
      <c r="B6" s="8" t="inlineStr">
        <is>
          <t>║  [DEDUP] video_editor.pipeline — 视频生成主流程管道             ║</t>
        </is>
      </c>
    </row>
    <row r="7">
      <c r="A7" s="9" t="n">
        <v>4</v>
      </c>
      <c r="B7" s="10" t="inlineStr">
        <is>
          <t>║                                                            ║</t>
        </is>
      </c>
    </row>
    <row r="8">
      <c r="A8" s="7" t="n">
        <v>5</v>
      </c>
      <c r="B8" s="8" t="inlineStr">
        <is>
          <t>║  核心函数: run() / run_multi() / run_batch()               ║</t>
        </is>
      </c>
    </row>
    <row r="9">
      <c r="A9" s="9" t="n">
        <v>6</v>
      </c>
      <c r="B9" s="10" t="inlineStr">
        <is>
          <t>║  素材管理: collect_* / select_clips / match_clips_*        ║</t>
        </is>
      </c>
    </row>
    <row r="10">
      <c r="A10" s="7" t="n">
        <v>7</v>
      </c>
      <c r="B10" s="8" t="inlineStr">
        <is>
          <t>║  验证复盘: validate_draft / build_tts_synced_timeline      ║</t>
        </is>
      </c>
    </row>
    <row r="11">
      <c r="A11" s="9" t="n">
        <v>8</v>
      </c>
      <c r="B11" s="10" t="inlineStr">
        <is>
          <t>╚══════════════════════════════════════════════════════════════╝</t>
        </is>
      </c>
    </row>
    <row r="12">
      <c r="A12" s="7" t="n">
        <v>9</v>
      </c>
      <c r="B12" s="8" t="inlineStr">
        <is>
          <t>"""</t>
        </is>
      </c>
    </row>
    <row r="13">
      <c r="A13" s="9" t="n">
        <v>10</v>
      </c>
      <c r="B13" s="10" t="inlineStr">
        <is>
          <t>import os</t>
        </is>
      </c>
    </row>
    <row r="14">
      <c r="A14" s="7" t="n">
        <v>11</v>
      </c>
      <c r="B14" s="8" t="inlineStr">
        <is>
          <t>import re</t>
        </is>
      </c>
    </row>
    <row r="15">
      <c r="A15" s="9" t="n">
        <v>12</v>
      </c>
      <c r="B15" s="10" t="inlineStr">
        <is>
          <t>import sys</t>
        </is>
      </c>
    </row>
    <row r="16">
      <c r="A16" s="7" t="n">
        <v>13</v>
      </c>
      <c r="B16" s="8" t="inlineStr">
        <is>
          <t>import json</t>
        </is>
      </c>
    </row>
    <row r="17">
      <c r="A17" s="9" t="n">
        <v>14</v>
      </c>
      <c r="B17" s="10" t="inlineStr">
        <is>
          <t>import time</t>
        </is>
      </c>
    </row>
    <row r="18">
      <c r="A18" s="7" t="n">
        <v>15</v>
      </c>
      <c r="B18" s="8" t="inlineStr">
        <is>
          <t>import math</t>
        </is>
      </c>
    </row>
    <row r="19">
      <c r="A19" s="9" t="n">
        <v>16</v>
      </c>
      <c r="B19" s="10" t="inlineStr">
        <is>
          <t>import random</t>
        </is>
      </c>
    </row>
    <row r="20">
      <c r="A20" s="7" t="n">
        <v>17</v>
      </c>
      <c r="B20" s="8" t="inlineStr">
        <is>
          <t>import shutil</t>
        </is>
      </c>
    </row>
    <row r="21">
      <c r="A21" s="9" t="n">
        <v>18</v>
      </c>
      <c r="B21" s="10" t="inlineStr">
        <is>
          <t>import sqlite3</t>
        </is>
      </c>
    </row>
    <row r="22">
      <c r="A22" s="7" t="n">
        <v>19</v>
      </c>
      <c r="B22" s="8" t="inlineStr">
        <is>
          <t>import gc</t>
        </is>
      </c>
    </row>
    <row r="23">
      <c r="A23" s="9" t="n">
        <v>20</v>
      </c>
      <c r="B23" s="10" t="inlineStr">
        <is>
          <t>import traceback</t>
        </is>
      </c>
    </row>
    <row r="24">
      <c r="A24" s="7" t="n">
        <v>21</v>
      </c>
      <c r="B24" s="8" t="inlineStr">
        <is>
          <t>from pathlib import Path</t>
        </is>
      </c>
    </row>
    <row r="25">
      <c r="A25" s="9" t="n">
        <v>22</v>
      </c>
      <c r="B25" s="10" t="inlineStr">
        <is>
          <t>from datetime import datetime</t>
        </is>
      </c>
    </row>
    <row r="26">
      <c r="A26" s="7" t="n">
        <v>23</v>
      </c>
      <c r="B26" s="8" t="inlineStr">
        <is>
          <t>from typing import Optional, List, Dict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>from core.config import *</t>
        </is>
      </c>
    </row>
    <row r="29">
      <c r="A29" s="9" t="n">
        <v>26</v>
      </c>
      <c r="B29" s="10" t="inlineStr">
        <is>
          <t>from core.copywriter import (</t>
        </is>
      </c>
    </row>
    <row r="30">
      <c r="A30" s="7" t="n">
        <v>27</v>
      </c>
      <c r="B30" s="8" t="inlineStr">
        <is>
          <t xml:space="preserve">    generate_copy, generate_fallback_copy,</t>
        </is>
      </c>
    </row>
    <row r="31">
      <c r="A31" s="9" t="n">
        <v>28</v>
      </c>
      <c r="B31" s="10" t="inlineStr">
        <is>
          <t xml:space="preserve">    check_cta_present, append_cta_if_missing,</t>
        </is>
      </c>
    </row>
    <row r="32">
      <c r="A32" s="7" t="n">
        <v>29</v>
      </c>
      <c r="B32" s="8" t="inlineStr">
        <is>
          <t>)</t>
        </is>
      </c>
    </row>
    <row r="33">
      <c r="A33" s="9" t="n">
        <v>30</v>
      </c>
      <c r="B33" s="10" t="inlineStr">
        <is>
          <t>from core.tts import (</t>
        </is>
      </c>
    </row>
    <row r="34">
      <c r="A34" s="7" t="n">
        <v>31</v>
      </c>
      <c r="B34" s="8" t="inlineStr">
        <is>
          <t xml:space="preserve">    generate_tts_voiceover, get_audio_duration_seconds,</t>
        </is>
      </c>
    </row>
    <row r="35">
      <c r="A35" s="9" t="n">
        <v>32</v>
      </c>
      <c r="B35" s="10" t="inlineStr">
        <is>
          <t xml:space="preserve">    split_copy_to_subtitles, clean_text_for_tts,</t>
        </is>
      </c>
    </row>
    <row r="36">
      <c r="A36" s="7" t="n">
        <v>33</v>
      </c>
      <c r="B36" s="8" t="inlineStr">
        <is>
          <t xml:space="preserve">    strip_leading_junk, estimate_tts_duration,</t>
        </is>
      </c>
    </row>
    <row r="37">
      <c r="A37" s="9" t="n">
        <v>34</v>
      </c>
      <c r="B37" s="10" t="inlineStr">
        <is>
          <t>)</t>
        </is>
      </c>
    </row>
    <row r="38">
      <c r="A38" s="7" t="n">
        <v>35</v>
      </c>
      <c r="B38" s="8" t="inlineStr">
        <is>
          <t># v11.6: 自适应匹配引擎</t>
        </is>
      </c>
    </row>
    <row r="39">
      <c r="A39" s="9" t="n">
        <v>36</v>
      </c>
      <c r="B39" s="10" t="inlineStr">
        <is>
          <t>from core.smart_match_engine import (</t>
        </is>
      </c>
    </row>
    <row r="40">
      <c r="A40" s="7" t="n">
        <v>37</v>
      </c>
      <c r="B40" s="8" t="inlineStr">
        <is>
          <t xml:space="preserve">    get_adaptive_clips, convert_to_clips, script_hash as make_script_hash,</t>
        </is>
      </c>
    </row>
    <row r="41">
      <c r="A41" s="9" t="n">
        <v>38</v>
      </c>
      <c r="B41" s="10" t="inlineStr">
        <is>
          <t xml:space="preserve">    record_script_match,</t>
        </is>
      </c>
    </row>
    <row r="42">
      <c r="A42" s="7" t="n">
        <v>39</v>
      </c>
      <c r="B42" s="8" t="inlineStr">
        <is>
          <t>)</t>
        </is>
      </c>
    </row>
    <row r="43">
      <c r="A43" s="9" t="n">
        <v>40</v>
      </c>
      <c r="B43" s="10" t="inlineStr">
        <is>
          <t>from core.draft import (</t>
        </is>
      </c>
    </row>
    <row r="44">
      <c r="A44" s="7" t="n">
        <v>41</v>
      </c>
      <c r="B44" s="8" t="inlineStr">
        <is>
          <t xml:space="preserve">    JianyingDraftBuilder, save_draft, sec_to_us,</t>
        </is>
      </c>
    </row>
    <row r="45">
      <c r="A45" s="9" t="n">
        <v>42</v>
      </c>
      <c r="B45" s="10" t="inlineStr">
        <is>
          <t>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48">
      <c r="A48" s="7" t="n">
        <v>45</v>
      </c>
      <c r="B48" s="8" t="inlineStr">
        <is>
          <t># 行业知识库 (石材/工艺/五金/风格) — 始终可用</t>
        </is>
      </c>
    </row>
    <row r="49">
      <c r="A49" s="9" t="n">
        <v>46</v>
      </c>
      <c r="B49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50">
      <c r="A50" s="7" t="n">
        <v>47</v>
      </c>
      <c r="B50" s="8" t="inlineStr">
        <is>
          <t>from utils.knowledge import KnowledgeBridge</t>
        </is>
      </c>
    </row>
    <row r="51">
      <c r="A51" s="9" t="n">
        <v>48</v>
      </c>
      <c r="B51" s="10" t="inlineStr">
        <is>
          <t>_kb_bridge = KnowledgeBridge()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>
        <is>
          <t># AI素材库语义检索 — V3.5 使用SmartMatcher (向量+知识库)</t>
        </is>
      </c>
    </row>
    <row r="54">
      <c r="A54" s="7" t="n">
        <v>51</v>
      </c>
      <c r="B54" s="8" t="inlineStr">
        <is>
          <t># v11.0: 强制使用FAISS，无降级到纯SQL关键词</t>
        </is>
      </c>
    </row>
    <row r="55">
      <c r="A55" s="9" t="n">
        <v>52</v>
      </c>
      <c r="B55" s="10" t="inlineStr">
        <is>
          <t>try:</t>
        </is>
      </c>
    </row>
    <row r="56">
      <c r="A56" s="7" t="n">
        <v>53</v>
      </c>
      <c r="B56" s="8" t="inlineStr">
        <is>
          <t xml:space="preserve">    from material_engine_v3.core.smart_matcher import get_smart_matcher</t>
        </is>
      </c>
    </row>
    <row r="57">
      <c r="A57" s="9" t="n">
        <v>54</v>
      </c>
      <c r="B57" s="10" t="inlineStr">
        <is>
          <t xml:space="preserve">    _smart_matcher = get_smart_matcher()</t>
        </is>
      </c>
    </row>
    <row r="58">
      <c r="A58" s="7" t="n">
        <v>55</v>
      </c>
      <c r="B58" s="8" t="inlineStr">
        <is>
          <t xml:space="preserve">    _HAS_AI_LIBRARY = True</t>
        </is>
      </c>
    </row>
    <row r="59">
      <c r="A59" s="9" t="n">
        <v>56</v>
      </c>
      <c r="B59" s="10" t="inlineStr">
        <is>
          <t>except Exception as e:</t>
        </is>
      </c>
    </row>
    <row r="60">
      <c r="A60" s="7" t="n">
        <v>57</v>
      </c>
      <c r="B60" s="8" t="inlineStr">
        <is>
          <t xml:space="preserve">    print(f"   [FATAL] SmartMatcher 加载失败: {e}")</t>
        </is>
      </c>
    </row>
    <row r="61">
      <c r="A61" s="9" t="n">
        <v>58</v>
      </c>
      <c r="B61" s="10" t="inlineStr">
        <is>
          <t xml:space="preserve">    print(f"   向量检索是核心功能，请检查 material_engine_v3/core/smart_matcher.py 是否存在。")</t>
        </is>
      </c>
    </row>
    <row r="62">
      <c r="A62" s="7" t="n">
        <v>59</v>
      </c>
      <c r="B62" s="8" t="inlineStr">
        <is>
          <t xml:space="preserve">    print(f"   如果 FAISS 索引缺失，请运行: python force_rebuild_faiss.py")</t>
        </is>
      </c>
    </row>
    <row r="63">
      <c r="A63" s="9" t="n">
        <v>60</v>
      </c>
      <c r="B63" s="10" t="inlineStr">
        <is>
          <t xml:space="preserve">    raise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66">
      <c r="A66" s="7" t="n">
        <v>63</v>
      </c>
      <c r="B66" s="8" t="inlineStr">
        <is>
          <t># 素材扫描 — 基础工具函数</t>
        </is>
      </c>
    </row>
    <row r="67">
      <c r="A67" s="9" t="n">
        <v>64</v>
      </c>
      <c r="B67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68">
      <c r="A68" s="7" t="n">
        <v>65</v>
      </c>
      <c r="B68" s="8" t="inlineStr"/>
    </row>
    <row r="69">
      <c r="A69" s="9" t="n">
        <v>66</v>
      </c>
      <c r="B69" s="10" t="inlineStr"/>
    </row>
    <row r="70">
      <c r="A70" s="7" t="n">
        <v>67</v>
      </c>
      <c r="B70" s="8" t="inlineStr">
        <is>
          <t>def list_all_mp4(folder: Path) -&gt; List[Path]:</t>
        </is>
      </c>
    </row>
    <row r="71">
      <c r="A71" s="9" t="n">
        <v>68</v>
      </c>
      <c r="B71" s="10" t="inlineStr">
        <is>
          <t xml:space="preserve">    """递归列出文件夹下所有 .mp4 文件"""</t>
        </is>
      </c>
    </row>
    <row r="72">
      <c r="A72" s="7" t="n">
        <v>69</v>
      </c>
      <c r="B72" s="8" t="inlineStr">
        <is>
          <t xml:space="preserve">    mp4s = []</t>
        </is>
      </c>
    </row>
    <row r="73">
      <c r="A73" s="9" t="n">
        <v>70</v>
      </c>
      <c r="B73" s="10" t="inlineStr">
        <is>
          <t xml:space="preserve">    try:</t>
        </is>
      </c>
    </row>
    <row r="74">
      <c r="A74" s="7" t="n">
        <v>71</v>
      </c>
      <c r="B74" s="8" t="inlineStr">
        <is>
          <t xml:space="preserve">        for f in folder.rglob("*.mp4"):</t>
        </is>
      </c>
    </row>
    <row r="75">
      <c r="A75" s="9" t="n">
        <v>72</v>
      </c>
      <c r="B75" s="10" t="inlineStr">
        <is>
          <t xml:space="preserve">            if f.is_file():</t>
        </is>
      </c>
    </row>
    <row r="76">
      <c r="A76" s="7" t="n">
        <v>73</v>
      </c>
      <c r="B76" s="8" t="inlineStr">
        <is>
          <t xml:space="preserve">                mp4s.append(f)</t>
        </is>
      </c>
    </row>
    <row r="77">
      <c r="A77" s="9" t="n">
        <v>74</v>
      </c>
      <c r="B77" s="10" t="inlineStr">
        <is>
          <t xml:space="preserve">    except (OSError, PermissionError):</t>
        </is>
      </c>
    </row>
    <row r="78">
      <c r="A78" s="7" t="n">
        <v>75</v>
      </c>
      <c r="B78" s="8" t="inlineStr">
        <is>
          <t xml:space="preserve">        pass</t>
        </is>
      </c>
    </row>
    <row r="79">
      <c r="A79" s="9" t="n">
        <v>76</v>
      </c>
      <c r="B79" s="10" t="inlineStr">
        <is>
          <t xml:space="preserve">    mp4s.sort(key=lambda x: x.name)</t>
        </is>
      </c>
    </row>
    <row r="80">
      <c r="A80" s="7" t="n">
        <v>77</v>
      </c>
      <c r="B80" s="8" t="inlineStr">
        <is>
          <t xml:space="preserve">    return mp4s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/>
    </row>
    <row r="83">
      <c r="A83" s="9" t="n">
        <v>80</v>
      </c>
      <c r="B83" s="10" t="inlineStr">
        <is>
          <t>def find_closest_folder(keyword: str, base_dir: str) -&gt; Optional[Path]:</t>
        </is>
      </c>
    </row>
    <row r="84">
      <c r="A84" s="7" t="n">
        <v>81</v>
      </c>
      <c r="B84" s="8" t="inlineStr">
        <is>
          <t xml:space="preserve">    """在 base_dir 下查找最匹配关键词的文件夹"""</t>
        </is>
      </c>
    </row>
    <row r="85">
      <c r="A85" s="9" t="n">
        <v>82</v>
      </c>
      <c r="B85" s="10" t="inlineStr">
        <is>
          <t xml:space="preserve">    base = Path(base_dir)</t>
        </is>
      </c>
    </row>
    <row r="86">
      <c r="A86" s="7" t="n">
        <v>83</v>
      </c>
      <c r="B86" s="8" t="inlineStr">
        <is>
          <t xml:space="preserve">    if not base.exists():</t>
        </is>
      </c>
    </row>
    <row r="87">
      <c r="A87" s="9" t="n">
        <v>84</v>
      </c>
      <c r="B87" s="10" t="inlineStr">
        <is>
          <t xml:space="preserve">        return None</t>
        </is>
      </c>
    </row>
    <row r="88">
      <c r="A88" s="7" t="n">
        <v>85</v>
      </c>
      <c r="B88" s="8" t="inlineStr">
        <is>
          <t xml:space="preserve">    folders = [d for d in base.iterdir() if d.is_dir()]</t>
        </is>
      </c>
    </row>
    <row r="89">
      <c r="A89" s="9" t="n">
        <v>86</v>
      </c>
      <c r="B89" s="10" t="inlineStr">
        <is>
          <t xml:space="preserve">    if not folders:</t>
        </is>
      </c>
    </row>
    <row r="90">
      <c r="A90" s="7" t="n">
        <v>87</v>
      </c>
      <c r="B90" s="8" t="inlineStr">
        <is>
          <t xml:space="preserve">        return None</t>
        </is>
      </c>
    </row>
    <row r="91">
      <c r="A91" s="9" t="n">
        <v>88</v>
      </c>
      <c r="B91" s="10" t="inlineStr">
        <is>
          <t xml:space="preserve">    kw_clean = re.sub(r'[\[\]\\s]', '', keyword).lower()</t>
        </is>
      </c>
    </row>
    <row r="92">
      <c r="A92" s="7" t="n">
        <v>89</v>
      </c>
      <c r="B92" s="8" t="inlineStr">
        <is>
          <t xml:space="preserve">    for f in folders:</t>
        </is>
      </c>
    </row>
    <row r="93">
      <c r="A93" s="9" t="n">
        <v>90</v>
      </c>
      <c r="B93" s="10" t="inlineStr">
        <is>
          <t xml:space="preserve">        if keyword in f.name:</t>
        </is>
      </c>
    </row>
    <row r="94">
      <c r="A94" s="7" t="n">
        <v>91</v>
      </c>
      <c r="B94" s="8" t="inlineStr">
        <is>
          <t xml:space="preserve">            return f</t>
        </is>
      </c>
    </row>
    <row r="95">
      <c r="A95" s="9" t="n">
        <v>92</v>
      </c>
      <c r="B95" s="10" t="inlineStr">
        <is>
          <t xml:space="preserve">    for f in folders:</t>
        </is>
      </c>
    </row>
    <row r="96">
      <c r="A96" s="7" t="n">
        <v>93</v>
      </c>
      <c r="B96" s="8" t="inlineStr">
        <is>
          <t xml:space="preserve">        f_clean = re.sub(r'[\[\]\\s]', '', f.name).lower()</t>
        </is>
      </c>
    </row>
    <row r="97">
      <c r="A97" s="9" t="n">
        <v>94</v>
      </c>
      <c r="B97" s="10" t="inlineStr">
        <is>
          <t xml:space="preserve">        if kw_clean in f_clean:</t>
        </is>
      </c>
    </row>
    <row r="98">
      <c r="A98" s="7" t="n">
        <v>95</v>
      </c>
      <c r="B98" s="8" t="inlineStr">
        <is>
          <t xml:space="preserve">            return f</t>
        </is>
      </c>
    </row>
    <row r="99">
      <c r="A99" s="9" t="n">
        <v>96</v>
      </c>
      <c r="B99" s="10" t="inlineStr">
        <is>
          <t xml:space="preserve">    best_match, best_score = None, 0</t>
        </is>
      </c>
    </row>
    <row r="100">
      <c r="A100" s="7" t="n">
        <v>97</v>
      </c>
      <c r="B100" s="8" t="inlineStr">
        <is>
          <t xml:space="preserve">    for f in folders:</t>
        </is>
      </c>
    </row>
    <row r="101">
      <c r="A101" s="9" t="n">
        <v>98</v>
      </c>
      <c r="B101" s="10" t="inlineStr">
        <is>
          <t xml:space="preserve">        f_clean = re.sub(r'[\[\]\\s]', '', f.name).lower()</t>
        </is>
      </c>
    </row>
    <row r="102">
      <c r="A102" s="7" t="n">
        <v>99</v>
      </c>
      <c r="B102" s="8" t="inlineStr">
        <is>
          <t xml:space="preserve">        score = sum(1 for ch in kw_clean if ch in f_clean)</t>
        </is>
      </c>
    </row>
    <row r="103">
      <c r="A103" s="9" t="n">
        <v>100</v>
      </c>
      <c r="B103" s="10" t="inlineStr">
        <is>
          <t xml:space="preserve">        if score &gt; best_score:</t>
        </is>
      </c>
    </row>
    <row r="104">
      <c r="A104" s="7" t="n">
        <v>101</v>
      </c>
      <c r="B104" s="8" t="inlineStr">
        <is>
          <t xml:space="preserve">            best_score, best_match = score, f</t>
        </is>
      </c>
    </row>
    <row r="105">
      <c r="A105" s="9" t="n">
        <v>102</v>
      </c>
      <c r="B105" s="10" t="inlineStr">
        <is>
          <t xml:space="preserve">    if best_score &gt;= max(1, len(kw_clean) * 0.5):</t>
        </is>
      </c>
    </row>
    <row r="106">
      <c r="A106" s="7" t="n">
        <v>103</v>
      </c>
      <c r="B106" s="8" t="inlineStr">
        <is>
          <t xml:space="preserve">        return best_match</t>
        </is>
      </c>
    </row>
    <row r="107">
      <c r="A107" s="9" t="n">
        <v>104</v>
      </c>
      <c r="B107" s="10" t="inlineStr">
        <is>
          <t xml:space="preserve">    return None</t>
        </is>
      </c>
    </row>
    <row r="108">
      <c r="A108" s="7" t="n">
        <v>105</v>
      </c>
      <c r="B108" s="8" t="inlineStr"/>
    </row>
    <row r="109">
      <c r="A109" s="9" t="n">
        <v>106</v>
      </c>
      <c r="B109" s="10" t="inlineStr"/>
    </row>
    <row r="110">
      <c r="A110" s="7" t="n">
        <v>107</v>
      </c>
      <c r="B110" s="8" t="inlineStr"/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13">
      <c r="A113" s="9" t="n">
        <v>110</v>
      </c>
      <c r="B113" s="10" t="inlineStr">
        <is>
          <t># 素材收集</t>
        </is>
      </c>
    </row>
    <row r="114">
      <c r="A114" s="7" t="n">
        <v>111</v>
      </c>
      <c r="B114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15">
      <c r="A115" s="9" t="n">
        <v>112</v>
      </c>
      <c r="B115" s="10" t="inlineStr"/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>def collect_effects_mp4s(keyword: str = "", min_count: int = 0,</t>
        </is>
      </c>
    </row>
    <row r="118">
      <c r="A118" s="7" t="n">
        <v>115</v>
      </c>
      <c r="B118" s="8" t="inlineStr">
        <is>
          <t xml:space="preserve">                         generic_only: bool = False) -&gt; List[Path]:</t>
        </is>
      </c>
    </row>
    <row r="119">
      <c r="A119" s="9" t="n">
        <v>116</v>
      </c>
      <c r="B119" s="10" t="inlineStr">
        <is>
          <t xml:space="preserve">    """收集效果展示素材"""</t>
        </is>
      </c>
    </row>
    <row r="120">
      <c r="A120" s="7" t="n">
        <v>117</v>
      </c>
      <c r="B120" s="8" t="inlineStr">
        <is>
          <t xml:space="preserve">    base = Path(EFFECTS_DIR)</t>
        </is>
      </c>
    </row>
    <row r="121">
      <c r="A121" s="9" t="n">
        <v>118</v>
      </c>
      <c r="B121" s="10" t="inlineStr">
        <is>
          <t xml:space="preserve">    if not base.exists(): return []</t>
        </is>
      </c>
    </row>
    <row r="122">
      <c r="A122" s="7" t="n">
        <v>119</v>
      </c>
      <c r="B122" s="8" t="inlineStr">
        <is>
          <t xml:space="preserve">    generic, specific = [], []</t>
        </is>
      </c>
    </row>
    <row r="123">
      <c r="A123" s="9" t="n">
        <v>120</v>
      </c>
      <c r="B123" s="10" t="inlineStr">
        <is>
          <t xml:space="preserve">    for d in sorted(base.iterdir()):</t>
        </is>
      </c>
    </row>
    <row r="124">
      <c r="A124" s="7" t="n">
        <v>121</v>
      </c>
      <c r="B124" s="8" t="inlineStr">
        <is>
          <t xml:space="preserve">        if not d.is_dir() or "封面图" in d.name: continue</t>
        </is>
      </c>
    </row>
    <row r="125">
      <c r="A125" s="9" t="n">
        <v>122</v>
      </c>
      <c r="B125" s="10" t="inlineStr">
        <is>
          <t xml:space="preserve">        mp4s = list_all_mp4(d)</t>
        </is>
      </c>
    </row>
    <row r="126">
      <c r="A126" s="7" t="n">
        <v>123</v>
      </c>
      <c r="B126" s="8" t="inlineStr">
        <is>
          <t xml:space="preserve">        if any(gf in d.name for gf in GENERIC_EFFECTS_FOLDERS):</t>
        </is>
      </c>
    </row>
    <row r="127">
      <c r="A127" s="9" t="n">
        <v>124</v>
      </c>
      <c r="B127" s="10" t="inlineStr">
        <is>
          <t xml:space="preserve">            generic.extend(mp4s)</t>
        </is>
      </c>
    </row>
    <row r="128">
      <c r="A128" s="7" t="n">
        <v>125</v>
      </c>
      <c r="B128" s="8" t="inlineStr">
        <is>
          <t xml:space="preserve">        elif keyword:</t>
        </is>
      </c>
    </row>
    <row r="129">
      <c r="A129" s="9" t="n">
        <v>126</v>
      </c>
      <c r="B129" s="10" t="inlineStr">
        <is>
          <t xml:space="preserve">            specific.extend([m for m in mp4s if keyword in m.name or keyword in d.name])</t>
        </is>
      </c>
    </row>
    <row r="130">
      <c r="A130" s="7" t="n">
        <v>127</v>
      </c>
      <c r="B130" s="8" t="inlineStr">
        <is>
          <t xml:space="preserve">        else:</t>
        </is>
      </c>
    </row>
    <row r="131">
      <c r="A131" s="9" t="n">
        <v>128</v>
      </c>
      <c r="B131" s="10" t="inlineStr">
        <is>
          <t xml:space="preserve">            generic.extend(mp4s)</t>
        </is>
      </c>
    </row>
    <row r="132">
      <c r="A132" s="7" t="n">
        <v>129</v>
      </c>
      <c r="B132" s="8" t="inlineStr">
        <is>
          <t xml:space="preserve">    seen = set()</t>
        </is>
      </c>
    </row>
    <row r="133">
      <c r="A133" s="9" t="n">
        <v>130</v>
      </c>
      <c r="B133" s="10" t="inlineStr">
        <is>
          <t xml:space="preserve">    result = []</t>
        </is>
      </c>
    </row>
    <row r="134">
      <c r="A134" s="7" t="n">
        <v>131</v>
      </c>
      <c r="B134" s="8" t="inlineStr">
        <is>
          <t xml:space="preserve">    for f in specific + generic:</t>
        </is>
      </c>
    </row>
    <row r="135">
      <c r="A135" s="9" t="n">
        <v>132</v>
      </c>
      <c r="B135" s="10" t="inlineStr">
        <is>
          <t xml:space="preserve">        fid = (f.name, f.stat().st_size)</t>
        </is>
      </c>
    </row>
    <row r="136">
      <c r="A136" s="7" t="n">
        <v>133</v>
      </c>
      <c r="B136" s="8" t="inlineStr">
        <is>
          <t xml:space="preserve">        if fid not in seen:</t>
        </is>
      </c>
    </row>
    <row r="137">
      <c r="A137" s="9" t="n">
        <v>134</v>
      </c>
      <c r="B137" s="10" t="inlineStr">
        <is>
          <t xml:space="preserve">            seen.add(fid); result.append(f)</t>
        </is>
      </c>
    </row>
    <row r="138">
      <c r="A138" s="7" t="n">
        <v>135</v>
      </c>
      <c r="B138" s="8" t="inlineStr">
        <is>
          <t xml:space="preserve">    return result</t>
        </is>
      </c>
    </row>
    <row r="139">
      <c r="A139" s="9" t="n">
        <v>136</v>
      </c>
      <c r="B139" s="10" t="inlineStr"/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>def collect_b_group_mp4s(keyword: str = "") -&gt; List[Path]:</t>
        </is>
      </c>
    </row>
    <row r="142">
      <c r="A142" s="7" t="n">
        <v>139</v>
      </c>
      <c r="B142" s="8" t="inlineStr">
        <is>
          <t xml:space="preserve">    """从 B组更新视频收集补充素材"""</t>
        </is>
      </c>
    </row>
    <row r="143">
      <c r="A143" s="9" t="n">
        <v>140</v>
      </c>
      <c r="B143" s="10" t="inlineStr">
        <is>
          <t xml:space="preserve">    if not ENABLE_B_GROUP_MIX: return []</t>
        </is>
      </c>
    </row>
    <row r="144">
      <c r="A144" s="7" t="n">
        <v>141</v>
      </c>
      <c r="B144" s="8" t="inlineStr">
        <is>
          <t xml:space="preserve">    base = Path(B_GROUP_PATH)</t>
        </is>
      </c>
    </row>
    <row r="145">
      <c r="A145" s="9" t="n">
        <v>142</v>
      </c>
      <c r="B145" s="10" t="inlineStr">
        <is>
          <t xml:space="preserve">    if not base.exists(): return []</t>
        </is>
      </c>
    </row>
    <row r="146">
      <c r="A146" s="7" t="n">
        <v>143</v>
      </c>
      <c r="B146" s="8" t="inlineStr">
        <is>
          <t xml:space="preserve">    all_mp4s = []</t>
        </is>
      </c>
    </row>
    <row r="147">
      <c r="A147" s="9" t="n">
        <v>144</v>
      </c>
      <c r="B147" s="10" t="inlineStr">
        <is>
          <t xml:space="preserve">    for d in sorted(base.iterdir()):</t>
        </is>
      </c>
    </row>
    <row r="148">
      <c r="A148" s="7" t="n">
        <v>145</v>
      </c>
      <c r="B148" s="8" t="inlineStr">
        <is>
          <t xml:space="preserve">        if not d.is_dir(): continue</t>
        </is>
      </c>
    </row>
    <row r="149">
      <c r="A149" s="9" t="n">
        <v>146</v>
      </c>
      <c r="B149" s="10" t="inlineStr">
        <is>
          <t xml:space="preserve">        mp4s = list_all_mp4(d)</t>
        </is>
      </c>
    </row>
    <row r="150">
      <c r="A150" s="7" t="n">
        <v>147</v>
      </c>
      <c r="B150" s="8" t="inlineStr">
        <is>
          <t xml:space="preserve">        if keyword:</t>
        </is>
      </c>
    </row>
    <row r="151">
      <c r="A151" s="9" t="n">
        <v>148</v>
      </c>
      <c r="B151" s="10" t="inlineStr">
        <is>
          <t xml:space="preserve">            mp4s = [m for m in mp4s if keyword in m.name or keyword in d.name]</t>
        </is>
      </c>
    </row>
    <row r="152">
      <c r="A152" s="7" t="n">
        <v>149</v>
      </c>
      <c r="B152" s="8" t="inlineStr">
        <is>
          <t xml:space="preserve">        all_mp4s.extend(mp4s)</t>
        </is>
      </c>
    </row>
    <row r="153">
      <c r="A153" s="9" t="n">
        <v>150</v>
      </c>
      <c r="B153" s="10" t="inlineStr">
        <is>
          <t xml:space="preserve">    all_mp4s.sort(key=lambda x: x.name)</t>
        </is>
      </c>
    </row>
    <row r="154">
      <c r="A154" s="7" t="n">
        <v>151</v>
      </c>
      <c r="B154" s="8" t="inlineStr">
        <is>
          <t xml:space="preserve">    return all_mp4s</t>
        </is>
      </c>
    </row>
    <row r="155">
      <c r="A155" s="9" t="n">
        <v>152</v>
      </c>
      <c r="B155" s="10" t="inlineStr"/>
    </row>
    <row r="156">
      <c r="A156" s="7" t="n">
        <v>153</v>
      </c>
      <c r="B156" s="8" t="inlineStr"/>
    </row>
    <row r="157">
      <c r="A157" s="9" t="n">
        <v>154</v>
      </c>
      <c r="B157" s="10" t="inlineStr">
        <is>
          <t>def collect_multi_point_mp4s(keyword: str) -&gt; dict:</t>
        </is>
      </c>
    </row>
    <row r="158">
      <c r="A158" s="7" t="n">
        <v>155</v>
      </c>
      <c r="B158" s="8" t="inlineStr">
        <is>
          <t xml:space="preserve">    """强制多卖点混合素材收集"""</t>
        </is>
      </c>
    </row>
    <row r="159">
      <c r="A159" s="9" t="n">
        <v>156</v>
      </c>
      <c r="B159" s="10" t="inlineStr">
        <is>
          <t xml:space="preserve">    result = {"primary": [], "primary_name": "", "other_points": [], "global_show": [], "all_other_mp4s": []}</t>
        </is>
      </c>
    </row>
    <row r="160">
      <c r="A160" s="7" t="n">
        <v>157</v>
      </c>
      <c r="B160" s="8" t="inlineStr">
        <is>
          <t xml:space="preserve">    folder = find_closest_folder(keyword, SELLING_POINT_DIR)</t>
        </is>
      </c>
    </row>
    <row r="161">
      <c r="A161" s="9" t="n">
        <v>158</v>
      </c>
      <c r="B161" s="10" t="inlineStr">
        <is>
          <t xml:space="preserve">    if folder:</t>
        </is>
      </c>
    </row>
    <row r="162">
      <c r="A162" s="7" t="n">
        <v>159</v>
      </c>
      <c r="B162" s="8" t="inlineStr">
        <is>
          <t xml:space="preserve">        result["primary"] = list_all_mp4(folder)</t>
        </is>
      </c>
    </row>
    <row r="163">
      <c r="A163" s="9" t="n">
        <v>160</v>
      </c>
      <c r="B163" s="10" t="inlineStr">
        <is>
          <t xml:space="preserve">        result["primary_name"] = folder.name</t>
        </is>
      </c>
    </row>
    <row r="164">
      <c r="A164" s="7" t="n">
        <v>161</v>
      </c>
      <c r="B164" s="8" t="inlineStr">
        <is>
          <t xml:space="preserve">    all_points = list_available_selling_points(min_files=3)</t>
        </is>
      </c>
    </row>
    <row r="165">
      <c r="A165" s="9" t="n">
        <v>162</v>
      </c>
      <c r="B165" s="10" t="inlineStr">
        <is>
          <t xml:space="preserve">    other_points = [p for p in all_points if p["original_name"] != result["primary_name"]]</t>
        </is>
      </c>
    </row>
    <row r="166">
      <c r="A166" s="7" t="n">
        <v>163</v>
      </c>
      <c r="B166" s="8" t="inlineStr">
        <is>
          <t xml:space="preserve">    num_other = min(3, len(other_points), random.randint(2, 3))</t>
        </is>
      </c>
    </row>
    <row r="167">
      <c r="A167" s="9" t="n">
        <v>164</v>
      </c>
      <c r="B167" s="10" t="inlineStr">
        <is>
          <t xml:space="preserve">    if num_other &gt; 0 and other_points:</t>
        </is>
      </c>
    </row>
    <row r="168">
      <c r="A168" s="7" t="n">
        <v>165</v>
      </c>
      <c r="B168" s="8" t="inlineStr">
        <is>
          <t xml:space="preserve">        for pt in random.sample(other_points, min(num_other, len(other_points))):</t>
        </is>
      </c>
    </row>
    <row r="169">
      <c r="A169" s="9" t="n">
        <v>166</v>
      </c>
      <c r="B169" s="10" t="inlineStr">
        <is>
          <t xml:space="preserve">            mp4s = list_all_mp4(pt["folder"])</t>
        </is>
      </c>
    </row>
    <row r="170">
      <c r="A170" s="7" t="n">
        <v>167</v>
      </c>
      <c r="B170" s="8" t="inlineStr">
        <is>
          <t xml:space="preserve">            if mp4s:</t>
        </is>
      </c>
    </row>
    <row r="171">
      <c r="A171" s="9" t="n">
        <v>168</v>
      </c>
      <c r="B171" s="10" t="inlineStr">
        <is>
          <t xml:space="preserve">                result["other_points"].append({"name": pt["original_name"], "mp4s": mp4s})</t>
        </is>
      </c>
    </row>
    <row r="172">
      <c r="A172" s="7" t="n">
        <v>169</v>
      </c>
      <c r="B172" s="8" t="inlineStr">
        <is>
          <t xml:space="preserve">                result["all_other_mp4s"].extend(mp4s)</t>
        </is>
      </c>
    </row>
    <row r="173">
      <c r="A173" s="9" t="n">
        <v>170</v>
      </c>
      <c r="B173" s="10" t="inlineStr">
        <is>
          <t xml:space="preserve">    result["global_show"] = collect_effects_mp4s(keyword)</t>
        </is>
      </c>
    </row>
    <row r="174">
      <c r="A174" s="7" t="n">
        <v>171</v>
      </c>
      <c r="B174" s="8" t="inlineStr">
        <is>
          <t xml:space="preserve">    return result</t>
        </is>
      </c>
    </row>
    <row r="175">
      <c r="A175" s="9" t="n">
        <v>172</v>
      </c>
      <c r="B175" s="10" t="inlineStr"/>
    </row>
    <row r="176">
      <c r="A176" s="7" t="n">
        <v>173</v>
      </c>
      <c r="B176" s="8" t="inlineStr"/>
    </row>
    <row r="177">
      <c r="A177" s="9" t="n">
        <v>174</v>
      </c>
      <c r="B177" s="10" t="inlineStr">
        <is>
          <t>def collect_multi_selling_mp4s(keywords: List[str], clips_per_keyword: int = 2) -&gt; List[dict]:</t>
        </is>
      </c>
    </row>
    <row r="178">
      <c r="A178" s="7" t="n">
        <v>175</v>
      </c>
      <c r="B178" s="8" t="inlineStr">
        <is>
          <t xml:space="preserve">    """从多个卖点文件夹收集素材片段"""</t>
        </is>
      </c>
    </row>
    <row r="179">
      <c r="A179" s="9" t="n">
        <v>176</v>
      </c>
      <c r="B179" s="10" t="inlineStr">
        <is>
          <t xml:space="preserve">    available = list_available_selling_points()</t>
        </is>
      </c>
    </row>
    <row r="180">
      <c r="A180" s="7" t="n">
        <v>177</v>
      </c>
      <c r="B180" s="8" t="inlineStr">
        <is>
          <t xml:space="preserve">    if not available: return []</t>
        </is>
      </c>
    </row>
    <row r="181">
      <c r="A181" s="9" t="n">
        <v>178</v>
      </c>
      <c r="B181" s="10" t="inlineStr">
        <is>
          <t xml:space="preserve">    kw_to_folder = {}</t>
        </is>
      </c>
    </row>
    <row r="182">
      <c r="A182" s="7" t="n">
        <v>179</v>
      </c>
      <c r="B182" s="8" t="inlineStr">
        <is>
          <t xml:space="preserve">    for kw in keywords:</t>
        </is>
      </c>
    </row>
    <row r="183">
      <c r="A183" s="9" t="n">
        <v>180</v>
      </c>
      <c r="B183" s="10" t="inlineStr">
        <is>
          <t xml:space="preserve">        folder = find_closest_folder(kw, SELLING_POINT_DIR)</t>
        </is>
      </c>
    </row>
    <row r="184">
      <c r="A184" s="7" t="n">
        <v>181</v>
      </c>
      <c r="B184" s="8" t="inlineStr">
        <is>
          <t xml:space="preserve">        if folder: kw_to_folder[kw] = folder</t>
        </is>
      </c>
    </row>
    <row r="185">
      <c r="A185" s="9" t="n">
        <v>182</v>
      </c>
      <c r="B185" s="10" t="inlineStr">
        <is>
          <t xml:space="preserve">    speed_patterns = [1.0, 0.85, 1.15, 0.9, 1.1]</t>
        </is>
      </c>
    </row>
    <row r="186">
      <c r="A186" s="7" t="n">
        <v>183</v>
      </c>
      <c r="B186" s="8" t="inlineStr">
        <is>
          <t xml:space="preserve">    all_clips, clip_idx = [], 0</t>
        </is>
      </c>
    </row>
    <row r="187">
      <c r="A187" s="9" t="n">
        <v>184</v>
      </c>
      <c r="B187" s="10" t="inlineStr">
        <is>
          <t xml:space="preserve">    for kw, folder in kw_to_folder.items():</t>
        </is>
      </c>
    </row>
    <row r="188">
      <c r="A188" s="7" t="n">
        <v>185</v>
      </c>
      <c r="B188" s="8" t="inlineStr">
        <is>
          <t xml:space="preserve">        mp4s = list_all_mp4(folder)</t>
        </is>
      </c>
    </row>
    <row r="189">
      <c r="A189" s="9" t="n">
        <v>186</v>
      </c>
      <c r="B189" s="10" t="inlineStr">
        <is>
          <t xml:space="preserve">        if not mp4s: continue</t>
        </is>
      </c>
    </row>
    <row r="190">
      <c r="A190" s="7" t="n">
        <v>187</v>
      </c>
      <c r="B190" s="8" t="inlineStr">
        <is>
          <t xml:space="preserve">        n_pick = min(clips_per_keyword, len(mp4s))</t>
        </is>
      </c>
    </row>
    <row r="191">
      <c r="A191" s="9" t="n">
        <v>188</v>
      </c>
      <c r="B191" s="10" t="inlineStr">
        <is>
          <t xml:space="preserve">        for i, p in enumerate(random.sample(mp4s, n_pick)):</t>
        </is>
      </c>
    </row>
    <row r="192">
      <c r="A192" s="7" t="n">
        <v>189</v>
      </c>
      <c r="B192" s="8" t="inlineStr">
        <is>
          <t xml:space="preserve">            dur = random.uniform(CLIP_DURATION_MIN, CLIP_DURATION_MAX)</t>
        </is>
      </c>
    </row>
    <row r="193">
      <c r="A193" s="9" t="n">
        <v>190</v>
      </c>
      <c r="B193" s="10" t="inlineStr">
        <is>
          <t xml:space="preserve">            speed = random.choice([0.85, 0.9, 1.0]) if i == 0 else speed_patterns[clip_idx % len(speed_patterns)]</t>
        </is>
      </c>
    </row>
    <row r="194">
      <c r="A194" s="7" t="n">
        <v>191</v>
      </c>
      <c r="B194" s="8" t="inlineStr">
        <is>
          <t xml:space="preserve">            all_clips.append({"path": p, "source_start": random.uniform(0, 1.5), "duration": round(dur, 1), "keyword": kw, "speed": round(speed, 2)})</t>
        </is>
      </c>
    </row>
    <row r="195">
      <c r="A195" s="9" t="n">
        <v>192</v>
      </c>
      <c r="B195" s="10" t="inlineStr">
        <is>
          <t xml:space="preserve">            clip_idx += 1</t>
        </is>
      </c>
    </row>
    <row r="196">
      <c r="A196" s="7" t="n">
        <v>193</v>
      </c>
      <c r="B196" s="8" t="inlineStr">
        <is>
          <t xml:space="preserve">        print(f"   [DIR] {folder.name}: 选取 {n_pick}/{len(mp4s)} 个片段")</t>
        </is>
      </c>
    </row>
    <row r="197">
      <c r="A197" s="9" t="n">
        <v>194</v>
      </c>
      <c r="B197" s="10" t="inlineStr">
        <is>
          <t xml:space="preserve">    return all_clips</t>
        </is>
      </c>
    </row>
    <row r="198">
      <c r="A198" s="7" t="n">
        <v>195</v>
      </c>
      <c r="B198" s="8" t="inlineStr"/>
    </row>
    <row r="199">
      <c r="A199" s="9" t="n">
        <v>196</v>
      </c>
      <c r="B199" s="10" t="inlineStr"/>
    </row>
    <row r="200">
      <c r="A200" s="7" t="n">
        <v>197</v>
      </c>
      <c r="B200" s="8" t="inlineStr">
        <is>
          <t>def list_available_selling_points(min_files: int = 0) -&gt; List[dict]:</t>
        </is>
      </c>
    </row>
    <row r="201">
      <c r="A201" s="9" t="n">
        <v>198</v>
      </c>
      <c r="B201" s="10" t="inlineStr">
        <is>
          <t xml:space="preserve">    """列出所有可用的卖点文件夹"""</t>
        </is>
      </c>
    </row>
    <row r="202">
      <c r="A202" s="7" t="n">
        <v>199</v>
      </c>
      <c r="B202" s="8" t="inlineStr">
        <is>
          <t xml:space="preserve">    base = Path(SELLING_POINT_DIR)</t>
        </is>
      </c>
    </row>
    <row r="203">
      <c r="A203" s="9" t="n">
        <v>200</v>
      </c>
      <c r="B203" s="10" t="inlineStr">
        <is>
          <t xml:space="preserve">    if not base.exists(): return []</t>
        </is>
      </c>
    </row>
    <row r="204">
      <c r="A204" s="7" t="n">
        <v>201</v>
      </c>
      <c r="B204" s="8" t="inlineStr">
        <is>
          <t xml:space="preserve">    result = []</t>
        </is>
      </c>
    </row>
    <row r="205">
      <c r="A205" s="9" t="n">
        <v>202</v>
      </c>
      <c r="B205" s="10" t="inlineStr">
        <is>
          <t xml:space="preserve">    for d in sorted(base.iterdir()):</t>
        </is>
      </c>
    </row>
    <row r="206">
      <c r="A206" s="7" t="n">
        <v>203</v>
      </c>
      <c r="B206" s="8" t="inlineStr">
        <is>
          <t xml:space="preserve">        if d.is_dir():</t>
        </is>
      </c>
    </row>
    <row r="207">
      <c r="A207" s="9" t="n">
        <v>204</v>
      </c>
      <c r="B207" s="10" t="inlineStr">
        <is>
          <t xml:space="preserve">            count = len(list_all_mp4(d))</t>
        </is>
      </c>
    </row>
    <row r="208">
      <c r="A208" s="7" t="n">
        <v>205</v>
      </c>
      <c r="B208" s="8" t="inlineStr">
        <is>
          <t xml:space="preserve">            if count &lt; min_files: continue</t>
        </is>
      </c>
    </row>
    <row r="209">
      <c r="A209" s="9" t="n">
        <v>206</v>
      </c>
      <c r="B209" s="10" t="inlineStr">
        <is>
          <t xml:space="preserve">            result.append({"folder": d, "name": re.sub(r'[\d+]', '', d.name).strip(), "original_name": d.name, "mp4_count": count})</t>
        </is>
      </c>
    </row>
    <row r="210">
      <c r="A210" s="7" t="n">
        <v>207</v>
      </c>
      <c r="B210" s="8" t="inlineStr">
        <is>
          <t xml:space="preserve">    return result</t>
        </is>
      </c>
    </row>
    <row r="211">
      <c r="A211" s="9" t="n">
        <v>208</v>
      </c>
      <c r="B211" s="10" t="inlineStr"/>
    </row>
    <row r="212">
      <c r="A212" s="7" t="n">
        <v>209</v>
      </c>
      <c r="B212" s="8" t="inlineStr"/>
    </row>
    <row r="213">
      <c r="A213" s="9" t="n">
        <v>210</v>
      </c>
      <c r="B213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14">
      <c r="A214" s="7" t="n">
        <v>211</v>
      </c>
      <c r="B214" s="8" t="inlineStr">
        <is>
          <t># 文案-画面匹配</t>
        </is>
      </c>
    </row>
    <row r="215">
      <c r="A215" s="9" t="n">
        <v>212</v>
      </c>
      <c r="B21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16">
      <c r="A216" s="7" t="n">
        <v>213</v>
      </c>
      <c r="B216" s="8" t="inlineStr"/>
    </row>
    <row r="217">
      <c r="A217" s="9" t="n">
        <v>214</v>
      </c>
      <c r="B217" s="10" t="inlineStr">
        <is>
          <t>def _extract_visual_keywords(text: str) -&gt; set:</t>
        </is>
      </c>
    </row>
    <row r="218">
      <c r="A218" s="7" t="n">
        <v>215</v>
      </c>
      <c r="B218" s="8" t="inlineStr">
        <is>
          <t xml:space="preserve">    """从句子中提取可视化关键词"""</t>
        </is>
      </c>
    </row>
    <row r="219">
      <c r="A219" s="9" t="n">
        <v>216</v>
      </c>
      <c r="B219" s="10" t="inlineStr">
        <is>
          <t xml:space="preserve">    style_words = ["意式中古风", "中古风", "包豪斯", "法式", "奶油风", "极简风",</t>
        </is>
      </c>
    </row>
    <row r="220">
      <c r="A220" s="7" t="n">
        <v>217</v>
      </c>
      <c r="B220" s="8" t="inlineStr">
        <is>
          <t xml:space="preserve">                   "原木风", "轻奢风", "侘寂风", "工业风", "现代简约", "意式极简",</t>
        </is>
      </c>
    </row>
    <row r="221">
      <c r="A221" s="9" t="n">
        <v>218</v>
      </c>
      <c r="B221" s="10" t="inlineStr">
        <is>
          <t xml:space="preserve">                   "悬浮式", "落地式", "开放式", "嵌入式", "复古"]</t>
        </is>
      </c>
    </row>
    <row r="222">
      <c r="A222" s="7" t="n">
        <v>219</v>
      </c>
      <c r="B222" s="8" t="inlineStr">
        <is>
          <t xml:space="preserve">    material_words = ["岩板", "实木", "洞石", "奢石", "黑金", "潘多拉", "宝格丽",</t>
        </is>
      </c>
    </row>
    <row r="223">
      <c r="A223" s="9" t="n">
        <v>220</v>
      </c>
      <c r="B223" s="10" t="inlineStr">
        <is>
          <t xml:space="preserve">                      "维多利亚", "柚木", "胡桃", "樱桃木", "橡木", "微水泥",</t>
        </is>
      </c>
    </row>
    <row r="224">
      <c r="A224" s="7" t="n">
        <v>221</v>
      </c>
      <c r="B224" s="8" t="inlineStr">
        <is>
          <t xml:space="preserve">                      "大理石", "石英石", "纯黑", "白色", "奶白", "哑光", "亮光",</t>
        </is>
      </c>
    </row>
    <row r="225">
      <c r="A225" s="9" t="n">
        <v>222</v>
      </c>
      <c r="B225" s="10" t="inlineStr">
        <is>
          <t xml:space="preserve">                      "普拉达绿", "法国金莱姆石", "香奈儿白", "罗马洞石"]</t>
        </is>
      </c>
    </row>
    <row r="226">
      <c r="A226" s="7" t="n">
        <v>223</v>
      </c>
      <c r="B226" s="8" t="inlineStr">
        <is>
          <t xml:space="preserve">    function_words = ["薄抽", "抽屉", "烤箱", "蒸烤", "轨道插座", "插座", "水槽",</t>
        </is>
      </c>
    </row>
    <row r="227">
      <c r="A227" s="9" t="n">
        <v>224</v>
      </c>
      <c r="B227" s="10" t="inlineStr">
        <is>
          <t xml:space="preserve">                      "灯带", "收纳", "伸缩", "餐桌", "酒柜", "冰箱", "电磁炉",</t>
        </is>
      </c>
    </row>
    <row r="228">
      <c r="A228" s="7" t="n">
        <v>225</v>
      </c>
      <c r="B228" s="8" t="inlineStr">
        <is>
          <t xml:space="preserve">                      "烤炉", "拉篮", "吧台", "煮茶", "圆弧", "连纹", "钢结构",</t>
        </is>
      </c>
    </row>
    <row r="229">
      <c r="A229" s="9" t="n">
        <v>226</v>
      </c>
      <c r="B229" s="10" t="inlineStr">
        <is>
          <t xml:space="preserve">                      "海棠角", "水磨边", "腰线", "亚克力腿", "岩板腿"]</t>
        </is>
      </c>
    </row>
    <row r="230">
      <c r="A230" s="7" t="n">
        <v>227</v>
      </c>
      <c r="B230" s="8" t="inlineStr">
        <is>
          <t xml:space="preserve">    product_words = ["岛台", "餐边柜", "高柜", "岛头", "台面"]</t>
        </is>
      </c>
    </row>
    <row r="231">
      <c r="A231" s="9" t="n">
        <v>228</v>
      </c>
      <c r="B231" s="10" t="inlineStr">
        <is>
          <t xml:space="preserve">    all_kw = style_words + material_words + function_words + product_words</t>
        </is>
      </c>
    </row>
    <row r="232">
      <c r="A232" s="7" t="n">
        <v>229</v>
      </c>
      <c r="B232" s="8" t="inlineStr">
        <is>
          <t xml:space="preserve">    return {kw for kw in all_kw if kw in text}</t>
        </is>
      </c>
    </row>
    <row r="233">
      <c r="A233" s="9" t="n">
        <v>230</v>
      </c>
      <c r="B233" s="10" t="inlineStr"/>
    </row>
    <row r="234">
      <c r="A234" s="7" t="n">
        <v>231</v>
      </c>
      <c r="B234" s="8" t="inlineStr"/>
    </row>
    <row r="235">
      <c r="A235" s="9" t="n">
        <v>232</v>
      </c>
      <c r="B235" s="10" t="inlineStr">
        <is>
          <t>def ai_match_clips(copy_text: str, num_clips: int = 8) -&gt; list:</t>
        </is>
      </c>
    </row>
    <row r="236">
      <c r="A236" s="7" t="n">
        <v>233</v>
      </c>
      <c r="B236" s="8" t="inlineStr">
        <is>
          <t xml:space="preserve">    """AI素材库智能匹配 v11.0 — FAISS向量优先 + 知识库规则补充, 无SQL降级"""</t>
        </is>
      </c>
    </row>
    <row r="237">
      <c r="A237" s="9" t="n">
        <v>234</v>
      </c>
      <c r="B237" s="10" t="inlineStr">
        <is>
          <t xml:space="preserve">    # Layer 1: SmartMatcher (FAISS向量 + 知识库)</t>
        </is>
      </c>
    </row>
    <row r="238">
      <c r="A238" s="7" t="n">
        <v>235</v>
      </c>
      <c r="B238" s="8" t="inlineStr">
        <is>
          <t xml:space="preserve">    if not _HAS_AI_LIBRARY or not _smart_matcher:</t>
        </is>
      </c>
    </row>
    <row r="239">
      <c r="A239" s="9" t="n">
        <v>236</v>
      </c>
      <c r="B239" s="10" t="inlineStr">
        <is>
          <t xml:space="preserve">        raise RuntimeError(</t>
        </is>
      </c>
    </row>
    <row r="240">
      <c r="A240" s="7" t="n">
        <v>237</v>
      </c>
      <c r="B240" s="8" t="inlineStr">
        <is>
          <t xml:space="preserve">            "SmartMatcher 不可用。向量检索是核心功能，禁止降级。\n"</t>
        </is>
      </c>
    </row>
    <row r="241">
      <c r="A241" s="9" t="n">
        <v>238</v>
      </c>
      <c r="B241" s="10" t="inlineStr">
        <is>
          <t xml:space="preserve">            "请运行: python force_rebuild_faiss.py 重建FAISS索引\n"</t>
        </is>
      </c>
    </row>
    <row r="242">
      <c r="A242" s="7" t="n">
        <v>239</v>
      </c>
      <c r="B242" s="8" t="inlineStr">
        <is>
          <t xml:space="preserve">            "或设置环境变量 TREECUT_SKIP_VECTOR_SEARCH=1 临时跳过（会降低匹配质量）"</t>
        </is>
      </c>
    </row>
    <row r="243">
      <c r="A243" s="9" t="n">
        <v>240</v>
      </c>
      <c r="B243" s="10" t="inlineStr">
        <is>
          <t xml:space="preserve">        )</t>
        </is>
      </c>
    </row>
    <row r="244">
      <c r="A244" s="7" t="n">
        <v>241</v>
      </c>
      <c r="B244" s="8" t="inlineStr"/>
    </row>
    <row r="245">
      <c r="A245" s="9" t="n">
        <v>242</v>
      </c>
      <c r="B245" s="10" t="inlineStr">
        <is>
          <t xml:space="preserve">    try:</t>
        </is>
      </c>
    </row>
    <row r="246">
      <c r="A246" s="7" t="n">
        <v>243</v>
      </c>
      <c r="B246" s="8" t="inlineStr">
        <is>
          <t xml:space="preserve">        results = _smart_matcher.search_by_copy(copy_text, num_clips)</t>
        </is>
      </c>
    </row>
    <row r="247">
      <c r="A247" s="9" t="n">
        <v>244</v>
      </c>
      <c r="B247" s="10" t="inlineStr">
        <is>
          <t xml:space="preserve">        if results:</t>
        </is>
      </c>
    </row>
    <row r="248">
      <c r="A248" s="7" t="n">
        <v>245</v>
      </c>
      <c r="B248" s="8" t="inlineStr">
        <is>
          <t xml:space="preserve">            clips = []</t>
        </is>
      </c>
    </row>
    <row r="249">
      <c r="A249" s="9" t="n">
        <v>246</v>
      </c>
      <c r="B249" s="10" t="inlineStr">
        <is>
          <t xml:space="preserve">            for r in results[:num_clips * 2]:</t>
        </is>
      </c>
    </row>
    <row r="250">
      <c r="A250" s="7" t="n">
        <v>247</v>
      </c>
      <c r="B250" s="8" t="inlineStr">
        <is>
          <t xml:space="preserve">                duration = float(r.get("end_time", 5)) - float(r.get("start_time", 0))</t>
        </is>
      </c>
    </row>
    <row r="251">
      <c r="A251" s="9" t="n">
        <v>248</v>
      </c>
      <c r="B251" s="10" t="inlineStr">
        <is>
          <t xml:space="preserve">                if duration &gt; 1.0:</t>
        </is>
      </c>
    </row>
    <row r="252">
      <c r="A252" s="7" t="n">
        <v>249</v>
      </c>
      <c r="B252" s="8" t="inlineStr">
        <is>
          <t xml:space="preserve">                    clips.append({"path": Path(r["video_path"]), "source_start": float(r.get("start_time", 0)),</t>
        </is>
      </c>
    </row>
    <row r="253">
      <c r="A253" s="9" t="n">
        <v>250</v>
      </c>
      <c r="B253" s="10" t="inlineStr">
        <is>
          <t xml:space="preserve">                                  "duration": min(duration, CLIP_DURATION_MAX), "speed": 1.0,</t>
        </is>
      </c>
    </row>
    <row r="254">
      <c r="A254" s="7" t="n">
        <v>251</v>
      </c>
      <c r="B254" s="8" t="inlineStr">
        <is>
          <t xml:space="preserve">                                  "ai_matched": True, "match_score": r.get("score", 0),</t>
        </is>
      </c>
    </row>
    <row r="255">
      <c r="A255" s="9" t="n">
        <v>252</v>
      </c>
      <c r="B255" s="10" t="inlineStr">
        <is>
          <t xml:space="preserve">                                  "match_method": r.get("match_method", "SmartMatcher")})</t>
        </is>
      </c>
    </row>
    <row r="256">
      <c r="A256" s="7" t="n">
        <v>253</v>
      </c>
      <c r="B256" s="8" t="inlineStr">
        <is>
          <t xml:space="preserve">            if clips:</t>
        </is>
      </c>
    </row>
    <row r="257">
      <c r="A257" s="9" t="n">
        <v>254</v>
      </c>
      <c r="B257" s="10" t="inlineStr">
        <is>
          <t xml:space="preserve">                print(f"   [SmartMatcher] 匹配: {len(clips)}个片段 (FAISS向量/知识库)")</t>
        </is>
      </c>
    </row>
    <row r="258">
      <c r="A258" s="7" t="n">
        <v>255</v>
      </c>
      <c r="B258" s="8" t="inlineStr">
        <is>
          <t xml:space="preserve">                # CLIP 图文重排序 (v11.1 可选增强)</t>
        </is>
      </c>
    </row>
    <row r="259">
      <c r="A259" s="9" t="n">
        <v>256</v>
      </c>
      <c r="B259" s="10" t="inlineStr">
        <is>
          <t xml:space="preserve">                try:</t>
        </is>
      </c>
    </row>
    <row r="260">
      <c r="A260" s="7" t="n">
        <v>257</v>
      </c>
      <c r="B260" s="8" t="inlineStr">
        <is>
          <t xml:space="preserve">                    from core.clip_matcher import get_clip_matcher</t>
        </is>
      </c>
    </row>
    <row r="261">
      <c r="A261" s="9" t="n">
        <v>258</v>
      </c>
      <c r="B261" s="10" t="inlineStr">
        <is>
          <t xml:space="preserve">                    cm = get_clip_matcher()</t>
        </is>
      </c>
    </row>
    <row r="262">
      <c r="A262" s="7" t="n">
        <v>259</v>
      </c>
      <c r="B262" s="8" t="inlineStr">
        <is>
          <t xml:space="preserve">                    if cm and cm.available:</t>
        </is>
      </c>
    </row>
    <row r="263">
      <c r="A263" s="9" t="n">
        <v>260</v>
      </c>
      <c r="B263" s="10" t="inlineStr">
        <is>
          <t xml:space="preserve">                        clips = cm.rerank_clips(copy_text, clips, top_k=num_clips)</t>
        </is>
      </c>
    </row>
    <row r="264">
      <c r="A264" s="7" t="n">
        <v>261</v>
      </c>
      <c r="B264" s="8" t="inlineStr">
        <is>
          <t xml:space="preserve">                        print(f"   [CLIP] 图文重排序: {len(clips)}个片段")</t>
        </is>
      </c>
    </row>
    <row r="265">
      <c r="A265" s="9" t="n">
        <v>262</v>
      </c>
      <c r="B265" s="10" t="inlineStr">
        <is>
          <t xml:space="preserve">                except Exception:</t>
        </is>
      </c>
    </row>
    <row r="266">
      <c r="A266" s="7" t="n">
        <v>263</v>
      </c>
      <c r="B266" s="8" t="inlineStr">
        <is>
          <t xml:space="preserve">                    pass  # CLIP 不可用时静默跳过</t>
        </is>
      </c>
    </row>
    <row r="267">
      <c r="A267" s="9" t="n">
        <v>264</v>
      </c>
      <c r="B267" s="10" t="inlineStr">
        <is>
          <t xml:space="preserve">                return clips[:num_clips]</t>
        </is>
      </c>
    </row>
    <row r="268">
      <c r="A268" s="7" t="n">
        <v>265</v>
      </c>
      <c r="B268" s="8" t="inlineStr">
        <is>
          <t xml:space="preserve">    except Exception as e:</t>
        </is>
      </c>
    </row>
    <row r="269">
      <c r="A269" s="9" t="n">
        <v>266</v>
      </c>
      <c r="B269" s="10" t="inlineStr">
        <is>
          <t xml:space="preserve">        print(f"   [ERROR] SmartMatcher 搜索失败: {e}")</t>
        </is>
      </c>
    </row>
    <row r="270">
      <c r="A270" s="7" t="n">
        <v>267</v>
      </c>
      <c r="B270" s="8" t="inlineStr">
        <is>
          <t xml:space="preserve">        raise</t>
        </is>
      </c>
    </row>
    <row r="271">
      <c r="A271" s="9" t="n">
        <v>268</v>
      </c>
      <c r="B271" s="10" t="inlineStr"/>
    </row>
    <row r="272">
      <c r="A272" s="7" t="n">
        <v>269</v>
      </c>
      <c r="B272" s="8" t="inlineStr">
        <is>
          <t xml:space="preserve">    # Layer 2: 知识库规则 → SQL 查询数据库中的实际片段</t>
        </is>
      </c>
    </row>
    <row r="273">
      <c r="A273" s="9" t="n">
        <v>270</v>
      </c>
      <c r="B273" s="10" t="inlineStr">
        <is>
          <t xml:space="preserve">    if _kb_bridge:</t>
        </is>
      </c>
    </row>
    <row r="274">
      <c r="A274" s="7" t="n">
        <v>271</v>
      </c>
      <c r="B274" s="8" t="inlineStr">
        <is>
          <t xml:space="preserve">        kb_kws = _kb_bridge.extract_copy_keywords(copy_text)</t>
        </is>
      </c>
    </row>
    <row r="275">
      <c r="A275" s="9" t="n">
        <v>272</v>
      </c>
      <c r="B275" s="10" t="inlineStr">
        <is>
          <t xml:space="preserve">        kb_found = sum(len(v) for v in kb_kws.values())</t>
        </is>
      </c>
    </row>
    <row r="276">
      <c r="A276" s="7" t="n">
        <v>273</v>
      </c>
      <c r="B276" s="8" t="inlineStr">
        <is>
          <t xml:space="preserve">        if kb_found &gt;= 2:</t>
        </is>
      </c>
    </row>
    <row r="277">
      <c r="A277" s="9" t="n">
        <v>274</v>
      </c>
      <c r="B277" s="10" t="inlineStr">
        <is>
          <t xml:space="preserve">            print(f"   [Layer2] 知识库: 识别到{kb_found}个行业术语")</t>
        </is>
      </c>
    </row>
    <row r="278">
      <c r="A278" s="7" t="n">
        <v>275</v>
      </c>
      <c r="B278" s="8" t="inlineStr">
        <is>
          <t xml:space="preserve">            kw_list = []</t>
        </is>
      </c>
    </row>
    <row r="279">
      <c r="A279" s="9" t="n">
        <v>276</v>
      </c>
      <c r="B279" s="10" t="inlineStr">
        <is>
          <t xml:space="preserve">            for items in kb_kws.values():</t>
        </is>
      </c>
    </row>
    <row r="280">
      <c r="A280" s="7" t="n">
        <v>277</v>
      </c>
      <c r="B280" s="8" t="inlineStr">
        <is>
          <t xml:space="preserve">                kw_list.extend(list(items)[:5])</t>
        </is>
      </c>
    </row>
    <row r="281">
      <c r="A281" s="9" t="n">
        <v>278</v>
      </c>
      <c r="B281" s="10" t="inlineStr">
        <is>
          <t xml:space="preserve">            if kw_list:</t>
        </is>
      </c>
    </row>
    <row r="282">
      <c r="A282" s="7" t="n">
        <v>279</v>
      </c>
      <c r="B282" s="8" t="inlineStr">
        <is>
          <t xml:space="preserve">                import sqlite3</t>
        </is>
      </c>
    </row>
    <row r="283">
      <c r="A283" s="9" t="n">
        <v>280</v>
      </c>
      <c r="B283" s="10" t="inlineStr">
        <is>
          <t xml:space="preserve">                kw_str = "%".join(kw_list[:10])</t>
        </is>
      </c>
    </row>
    <row r="284">
      <c r="A284" s="7" t="n">
        <v>281</v>
      </c>
      <c r="B284" s="8" t="inlineStr">
        <is>
          <t xml:space="preserve">                main_db = str(Path(__file__).parent / "ai_material_library.db")</t>
        </is>
      </c>
    </row>
    <row r="285">
      <c r="A285" s="9" t="n">
        <v>282</v>
      </c>
      <c r="B285" s="10" t="inlineStr">
        <is>
          <t xml:space="preserve">                if Path(main_db).exists():</t>
        </is>
      </c>
    </row>
    <row r="286">
      <c r="A286" s="7" t="n">
        <v>283</v>
      </c>
      <c r="B286" s="8" t="inlineStr">
        <is>
          <t xml:space="preserve">                    with sqlite3.connect(main_db) as conn:</t>
        </is>
      </c>
    </row>
    <row r="287">
      <c r="A287" s="9" t="n">
        <v>284</v>
      </c>
      <c r="B287" s="10" t="inlineStr">
        <is>
          <t xml:space="preserve">                        rows = conn.execute(</t>
        </is>
      </c>
    </row>
    <row r="288">
      <c r="A288" s="7" t="n">
        <v>285</v>
      </c>
      <c r="B288" s="8" t="inlineStr">
        <is>
          <t xml:space="preserve">                            "SELECT video_path, start_time, end_time, tags, objects, style, color, material FROM materials WHERE tags LIKE ? OR objects LIKE ? LIMIT ?",</t>
        </is>
      </c>
    </row>
    <row r="289">
      <c r="A289" s="9" t="n">
        <v>286</v>
      </c>
      <c r="B289" s="10" t="inlineStr">
        <is>
          <t xml:space="preserve">                            (f"%{kw_str}%", f"%{kw_str}%", num_clips * 2)</t>
        </is>
      </c>
    </row>
    <row r="290">
      <c r="A290" s="7" t="n">
        <v>287</v>
      </c>
      <c r="B290" s="8" t="inlineStr">
        <is>
          <t xml:space="preserve">                        ).fetchall()</t>
        </is>
      </c>
    </row>
    <row r="291">
      <c r="A291" s="9" t="n">
        <v>288</v>
      </c>
      <c r="B291" s="10" t="inlineStr">
        <is>
          <t xml:space="preserve">                    if rows:</t>
        </is>
      </c>
    </row>
    <row r="292">
      <c r="A292" s="7" t="n">
        <v>289</v>
      </c>
      <c r="B292" s="8" t="inlineStr">
        <is>
          <t xml:space="preserve">                        clips = []</t>
        </is>
      </c>
    </row>
    <row r="293">
      <c r="A293" s="9" t="n">
        <v>290</v>
      </c>
      <c r="B293" s="10" t="inlineStr">
        <is>
          <t xml:space="preserve">                        for r in rows:</t>
        </is>
      </c>
    </row>
    <row r="294">
      <c r="A294" s="7" t="n">
        <v>291</v>
      </c>
      <c r="B294" s="8" t="inlineStr">
        <is>
          <t xml:space="preserve">                            d = dict(zip(["video_path","start_time","end_time","tags","objects","style","color","material"], r))</t>
        </is>
      </c>
    </row>
    <row r="295">
      <c r="A295" s="9" t="n">
        <v>292</v>
      </c>
      <c r="B295" s="10" t="inlineStr">
        <is>
          <t xml:space="preserve">                            duration = float(d.get("end_time", 5)) - float(d.get("start_time", 0))</t>
        </is>
      </c>
    </row>
    <row r="296">
      <c r="A296" s="7" t="n">
        <v>293</v>
      </c>
      <c r="B296" s="8" t="inlineStr">
        <is>
          <t xml:space="preserve">                            if duration &gt; 1.0:</t>
        </is>
      </c>
    </row>
    <row r="297">
      <c r="A297" s="9" t="n">
        <v>294</v>
      </c>
      <c r="B297" s="10" t="inlineStr">
        <is>
          <t xml:space="preserve">                                clips.append({"path": Path(d["video_path"]), "source_start": float(d.get("start_time", 0)),</t>
        </is>
      </c>
    </row>
    <row r="298">
      <c r="A298" s="7" t="n">
        <v>295</v>
      </c>
      <c r="B298" s="8" t="inlineStr">
        <is>
          <t xml:space="preserve">                                              "duration": min(duration, CLIP_DURATION_MAX), "speed": 1.0,</t>
        </is>
      </c>
    </row>
    <row r="299">
      <c r="A299" s="9" t="n">
        <v>296</v>
      </c>
      <c r="B299" s="10" t="inlineStr">
        <is>
          <t xml:space="preserve">                                              "ai_matched": True, "match_score": 0.7,</t>
        </is>
      </c>
    </row>
    <row r="300">
      <c r="A300" s="7" t="n">
        <v>297</v>
      </c>
      <c r="B300" s="8" t="inlineStr">
        <is>
          <t xml:space="preserve">                                              "match_method": "知识库规则"})</t>
        </is>
      </c>
    </row>
    <row r="301">
      <c r="A301" s="9" t="n">
        <v>298</v>
      </c>
      <c r="B301" s="10" t="inlineStr">
        <is>
          <t xml:space="preserve">                        if clips:</t>
        </is>
      </c>
    </row>
    <row r="302">
      <c r="A302" s="7" t="n">
        <v>299</v>
      </c>
      <c r="B302" s="8" t="inlineStr">
        <is>
          <t xml:space="preserve">                            print(f"   [Layer2] 知识库匹配: {len(clips)}个片段")</t>
        </is>
      </c>
    </row>
    <row r="303">
      <c r="A303" s="9" t="n">
        <v>300</v>
      </c>
      <c r="B303" s="10" t="inlineStr">
        <is>
          <t xml:space="preserve">                            return clips[:num_clips]</t>
        </is>
      </c>
    </row>
    <row r="304">
      <c r="A304" s="7" t="n">
        <v>301</v>
      </c>
      <c r="B304" s="8" t="inlineStr">
        <is>
          <t xml:space="preserve">    else:</t>
        </is>
      </c>
    </row>
    <row r="305">
      <c r="A305" s="9" t="n">
        <v>302</v>
      </c>
      <c r="B305" s="10" t="inlineStr">
        <is>
          <t xml:space="preserve">        raise RuntimeError(</t>
        </is>
      </c>
    </row>
    <row r="306">
      <c r="A306" s="7" t="n">
        <v>303</v>
      </c>
      <c r="B306" s="8" t="inlineStr">
        <is>
          <t xml:space="preserve">            "KnowledgeBridge 未初始化。知识库匹配是核心功能，禁止降级到纯文件名匹配。"</t>
        </is>
      </c>
    </row>
    <row r="307">
      <c r="A307" s="9" t="n">
        <v>304</v>
      </c>
      <c r="B307" s="10" t="inlineStr">
        <is>
          <t xml:space="preserve">        )</t>
        </is>
      </c>
    </row>
    <row r="308">
      <c r="A308" s="7" t="n">
        <v>305</v>
      </c>
      <c r="B308" s="8" t="inlineStr"/>
    </row>
    <row r="309">
      <c r="A309" s="9" t="n">
        <v>306</v>
      </c>
      <c r="B309" s="10" t="inlineStr">
        <is>
          <t xml:space="preserve">    # 如果 FAISS 和知识库都返回空，提示重建索引</t>
        </is>
      </c>
    </row>
    <row r="310">
      <c r="A310" s="7" t="n">
        <v>307</v>
      </c>
      <c r="B310" s="8" t="inlineStr">
        <is>
          <t xml:space="preserve">    print("   [WARN] FAISS 和知识库均未返回匹配结果。")</t>
        </is>
      </c>
    </row>
    <row r="311">
      <c r="A311" s="9" t="n">
        <v>308</v>
      </c>
      <c r="B311" s="10" t="inlineStr">
        <is>
          <t xml:space="preserve">    print("   建议: python force_rebuild_faiss.py")</t>
        </is>
      </c>
    </row>
    <row r="312">
      <c r="A312" s="7" t="n">
        <v>309</v>
      </c>
      <c r="B312" s="8" t="inlineStr">
        <is>
          <t xml:space="preserve">    return []</t>
        </is>
      </c>
    </row>
    <row r="313">
      <c r="A313" s="9" t="n">
        <v>310</v>
      </c>
      <c r="B313" s="10" t="inlineStr"/>
    </row>
    <row r="314">
      <c r="A314" s="7" t="n">
        <v>311</v>
      </c>
      <c r="B314" s="8" t="inlineStr"/>
    </row>
    <row r="315">
      <c r="A315" s="9" t="n">
        <v>312</v>
      </c>
      <c r="B315" s="10" t="inlineStr">
        <is>
          <t>def _sort_by_freshness(clips: List[dict]) -&gt; List[dict]:</t>
        </is>
      </c>
    </row>
    <row r="316">
      <c r="A316" s="7" t="n">
        <v>313</v>
      </c>
      <c r="B316" s="8" t="inlineStr">
        <is>
          <t xml:space="preserve">    """按素材使用次数排序：使用少的优先 (v11.1 动态权重)"""</t>
        </is>
      </c>
    </row>
    <row r="317">
      <c r="A317" s="9" t="n">
        <v>314</v>
      </c>
      <c r="B317" s="10" t="inlineStr">
        <is>
          <t xml:space="preserve">    try:</t>
        </is>
      </c>
    </row>
    <row r="318">
      <c r="A318" s="7" t="n">
        <v>315</v>
      </c>
      <c r="B318" s="8" t="inlineStr">
        <is>
          <t xml:space="preserve">        from core.__init__ import MaterialUsageTracker</t>
        </is>
      </c>
    </row>
    <row r="319">
      <c r="A319" s="9" t="n">
        <v>316</v>
      </c>
      <c r="B319" s="10" t="inlineStr">
        <is>
          <t xml:space="preserve">        return sorted(clips, key=lambda c: MaterialUsageTracker.get_usage_count(c["path"]))</t>
        </is>
      </c>
    </row>
    <row r="320">
      <c r="A320" s="7" t="n">
        <v>317</v>
      </c>
      <c r="B320" s="8" t="inlineStr">
        <is>
          <t xml:space="preserve">    except Exception:</t>
        </is>
      </c>
    </row>
    <row r="321">
      <c r="A321" s="9" t="n">
        <v>318</v>
      </c>
      <c r="B321" s="10" t="inlineStr">
        <is>
          <t xml:space="preserve">        return clips</t>
        </is>
      </c>
    </row>
    <row r="322">
      <c r="A322" s="7" t="n">
        <v>319</v>
      </c>
      <c r="B322" s="8" t="inlineStr"/>
    </row>
    <row r="323">
      <c r="A323" s="9" t="n">
        <v>320</v>
      </c>
      <c r="B323" s="10" t="inlineStr"/>
    </row>
    <row r="324">
      <c r="A324" s="7" t="n">
        <v>321</v>
      </c>
      <c r="B324" s="8" t="inlineStr">
        <is>
          <t>def match_clips_to_sentences(subtitles: List[str], mp4_pool: List[Path],</t>
        </is>
      </c>
    </row>
    <row r="325">
      <c r="A325" s="9" t="n">
        <v>322</v>
      </c>
      <c r="B325" s="10" t="inlineStr">
        <is>
          <t xml:space="preserve">                             folder_hints: dict = None) -&gt; List[dict]:</t>
        </is>
      </c>
    </row>
    <row r="326">
      <c r="A326" s="7" t="n">
        <v>323</v>
      </c>
      <c r="B326" s="8" t="inlineStr">
        <is>
          <t xml:space="preserve">    """</t>
        </is>
      </c>
    </row>
    <row r="327">
      <c r="A327" s="9" t="n">
        <v>324</v>
      </c>
      <c r="B327" s="10" t="inlineStr">
        <is>
          <t xml:space="preserve">    逐句画面匹配 — 知识库增强版。</t>
        </is>
      </c>
    </row>
    <row r="328">
      <c r="A328" s="7" t="n">
        <v>325</v>
      </c>
      <c r="B328" s="8" t="inlineStr">
        <is>
          <t xml:space="preserve">    用V5知识库提取关键词 → 文件名+文件夹名匹配 → 按匹配分排序选取。</t>
        </is>
      </c>
    </row>
    <row r="329">
      <c r="A329" s="9" t="n">
        <v>326</v>
      </c>
      <c r="B329" s="10" t="inlineStr">
        <is>
          <t xml:space="preserve">    """</t>
        </is>
      </c>
    </row>
    <row r="330">
      <c r="A330" s="7" t="n">
        <v>327</v>
      </c>
      <c r="B330" s="8" t="inlineStr">
        <is>
          <t xml:space="preserve">    used_paths = set()</t>
        </is>
      </c>
    </row>
    <row r="331">
      <c r="A331" s="9" t="n">
        <v>328</v>
      </c>
      <c r="B331" s="10" t="inlineStr">
        <is>
          <t xml:space="preserve">    result = []</t>
        </is>
      </c>
    </row>
    <row r="332">
      <c r="A332" s="7" t="n">
        <v>329</v>
      </c>
      <c r="B332" s="8" t="inlineStr"/>
    </row>
    <row r="333">
      <c r="A333" s="9" t="n">
        <v>330</v>
      </c>
      <c r="B333" s="10" t="inlineStr">
        <is>
          <t xml:space="preserve">    for sentence in subtitles:</t>
        </is>
      </c>
    </row>
    <row r="334">
      <c r="A334" s="7" t="n">
        <v>331</v>
      </c>
      <c r="B334" s="8" t="inlineStr">
        <is>
          <t xml:space="preserve">        # 1. 提取可视化关键词 (基础词汇 + 知识库词汇)</t>
        </is>
      </c>
    </row>
    <row r="335">
      <c r="A335" s="9" t="n">
        <v>332</v>
      </c>
      <c r="B335" s="10" t="inlineStr">
        <is>
          <t xml:space="preserve">        vis_kws = _extract_visual_keywords(sentence)</t>
        </is>
      </c>
    </row>
    <row r="336">
      <c r="A336" s="7" t="n">
        <v>333</v>
      </c>
      <c r="B336" s="8" t="inlineStr"/>
    </row>
    <row r="337">
      <c r="A337" s="9" t="n">
        <v>334</v>
      </c>
      <c r="B337" s="10" t="inlineStr">
        <is>
          <t xml:space="preserve">        # 2. 用知识库补充更多关键词</t>
        </is>
      </c>
    </row>
    <row r="338">
      <c r="A338" s="7" t="n">
        <v>335</v>
      </c>
      <c r="B338" s="8" t="inlineStr">
        <is>
          <t xml:space="preserve">        if _kb_bridge:</t>
        </is>
      </c>
    </row>
    <row r="339">
      <c r="A339" s="9" t="n">
        <v>336</v>
      </c>
      <c r="B339" s="10" t="inlineStr">
        <is>
          <t xml:space="preserve">            try:</t>
        </is>
      </c>
    </row>
    <row r="340">
      <c r="A340" s="7" t="n">
        <v>337</v>
      </c>
      <c r="B340" s="8" t="inlineStr">
        <is>
          <t xml:space="preserve">                kb_kws = _kb_bridge.extract_copy_keywords(sentence)</t>
        </is>
      </c>
    </row>
    <row r="341">
      <c r="A341" s="9" t="n">
        <v>338</v>
      </c>
      <c r="B341" s="10" t="inlineStr">
        <is>
          <t xml:space="preserve">                for cat_items in kb_kws.values():</t>
        </is>
      </c>
    </row>
    <row r="342">
      <c r="A342" s="7" t="n">
        <v>339</v>
      </c>
      <c r="B342" s="8" t="inlineStr">
        <is>
          <t xml:space="preserve">                    vis_kws.update(cat_items)</t>
        </is>
      </c>
    </row>
    <row r="343">
      <c r="A343" s="9" t="n">
        <v>340</v>
      </c>
      <c r="B343" s="10" t="inlineStr">
        <is>
          <t xml:space="preserve">            except Exception as _e: from utils.logging import log_warning; log_warning('pipeline', str(_e)[:80])</t>
        </is>
      </c>
    </row>
    <row r="344">
      <c r="A344" s="7" t="n">
        <v>341</v>
      </c>
      <c r="B344" s="8" t="inlineStr"/>
    </row>
    <row r="345">
      <c r="A345" s="9" t="n">
        <v>342</v>
      </c>
      <c r="B345" s="10" t="inlineStr">
        <is>
          <t xml:space="preserve">        # 3. 用关键词映射补充分类文件夹名</t>
        </is>
      </c>
    </row>
    <row r="346">
      <c r="A346" s="7" t="n">
        <v>343</v>
      </c>
      <c r="B346" s="8" t="inlineStr">
        <is>
          <t xml:space="preserve">        folder_kws = set()</t>
        </is>
      </c>
    </row>
    <row r="347">
      <c r="A347" s="9" t="n">
        <v>344</v>
      </c>
      <c r="B347" s="10" t="inlineStr">
        <is>
          <t xml:space="preserve">        for kw in list(vis_kws):</t>
        </is>
      </c>
    </row>
    <row r="348">
      <c r="A348" s="7" t="n">
        <v>345</v>
      </c>
      <c r="B348" s="8" t="inlineStr">
        <is>
          <t xml:space="preserve">            if kw in KEYWORD_FOLDER_MAP:</t>
        </is>
      </c>
    </row>
    <row r="349">
      <c r="A349" s="9" t="n">
        <v>346</v>
      </c>
      <c r="B349" s="10" t="inlineStr">
        <is>
          <t xml:space="preserve">                folder_kws.update(KEYWORD_FOLDER_MAP[kw])</t>
        </is>
      </c>
    </row>
    <row r="350">
      <c r="A350" s="7" t="n">
        <v>347</v>
      </c>
      <c r="B350" s="8" t="inlineStr"/>
    </row>
    <row r="351">
      <c r="A351" s="9" t="n">
        <v>348</v>
      </c>
      <c r="B351" s="10" t="inlineStr">
        <is>
          <t xml:space="preserve">        if not vis_kws or not mp4_pool:</t>
        </is>
      </c>
    </row>
    <row r="352">
      <c r="A352" s="7" t="n">
        <v>349</v>
      </c>
      <c r="B352" s="8" t="inlineStr">
        <is>
          <t xml:space="preserve">            available = [m for m in mp4_pool if m not in used_paths]</t>
        </is>
      </c>
    </row>
    <row r="353">
      <c r="A353" s="9" t="n">
        <v>350</v>
      </c>
      <c r="B353" s="10" t="inlineStr">
        <is>
          <t xml:space="preserve">            if not available:</t>
        </is>
      </c>
    </row>
    <row r="354">
      <c r="A354" s="7" t="n">
        <v>351</v>
      </c>
      <c r="B354" s="8" t="inlineStr">
        <is>
          <t xml:space="preserve">                available = list(mp4_pool)</t>
        </is>
      </c>
    </row>
    <row r="355">
      <c r="A355" s="9" t="n">
        <v>352</v>
      </c>
      <c r="B355" s="10" t="inlineStr">
        <is>
          <t xml:space="preserve">            pick = random.choice(available)</t>
        </is>
      </c>
    </row>
    <row r="356">
      <c r="A356" s="7" t="n">
        <v>353</v>
      </c>
      <c r="B356" s="8" t="inlineStr">
        <is>
          <t xml:space="preserve">            dur = round(random.uniform(CLIP_DURATION_MIN, CLIP_DURATION_MAX), 1)</t>
        </is>
      </c>
    </row>
    <row r="357">
      <c r="A357" s="9" t="n">
        <v>354</v>
      </c>
      <c r="B357" s="10" t="inlineStr">
        <is>
          <t xml:space="preserve">            result.append({"path": pick, "source_start": round(random.uniform(0, 3.0), 1),</t>
        </is>
      </c>
    </row>
    <row r="358">
      <c r="A358" s="7" t="n">
        <v>355</v>
      </c>
      <c r="B358" s="8" t="inlineStr">
        <is>
          <t xml:space="preserve">                           "duration": dur, "speed": round(random.gauss(1.0, 0.04), 2),</t>
        </is>
      </c>
    </row>
    <row r="359">
      <c r="A359" s="9" t="n">
        <v>356</v>
      </c>
      <c r="B359" s="10" t="inlineStr">
        <is>
          <t xml:space="preserve">                           "match_score": 0, "match_method": "random"})</t>
        </is>
      </c>
    </row>
    <row r="360">
      <c r="A360" s="7" t="n">
        <v>357</v>
      </c>
      <c r="B360" s="8" t="inlineStr">
        <is>
          <t xml:space="preserve">            used_paths.add(pick)</t>
        </is>
      </c>
    </row>
    <row r="361">
      <c r="A361" s="9" t="n">
        <v>358</v>
      </c>
      <c r="B361" s="10" t="inlineStr">
        <is>
          <t xml:space="preserve">            continue</t>
        </is>
      </c>
    </row>
    <row r="362">
      <c r="A362" s="7" t="n">
        <v>359</v>
      </c>
      <c r="B362" s="8" t="inlineStr"/>
    </row>
    <row r="363">
      <c r="A363" s="9" t="n">
        <v>360</v>
      </c>
      <c r="B363" s="10" t="inlineStr">
        <is>
          <t xml:space="preserve">        # 4. 对素材池中每个素材打分</t>
        </is>
      </c>
    </row>
    <row r="364">
      <c r="A364" s="7" t="n">
        <v>361</v>
      </c>
      <c r="B364" s="8" t="inlineStr">
        <is>
          <t xml:space="preserve">        scored = []</t>
        </is>
      </c>
    </row>
    <row r="365">
      <c r="A365" s="9" t="n">
        <v>362</v>
      </c>
      <c r="B365" s="10" t="inlineStr">
        <is>
          <t xml:space="preserve">        for mp4 in mp4_pool:</t>
        </is>
      </c>
    </row>
    <row r="366">
      <c r="A366" s="7" t="n">
        <v>363</v>
      </c>
      <c r="B366" s="8" t="inlineStr">
        <is>
          <t xml:space="preserve">            if mp4 in used_paths:</t>
        </is>
      </c>
    </row>
    <row r="367">
      <c r="A367" s="9" t="n">
        <v>364</v>
      </c>
      <c r="B367" s="10" t="inlineStr">
        <is>
          <t xml:space="preserve">                continue</t>
        </is>
      </c>
    </row>
    <row r="368">
      <c r="A368" s="7" t="n">
        <v>365</v>
      </c>
      <c r="B368" s="8" t="inlineStr">
        <is>
          <t xml:space="preserve">            fname = mp4.name.lower()</t>
        </is>
      </c>
    </row>
    <row r="369">
      <c r="A369" s="9" t="n">
        <v>366</v>
      </c>
      <c r="B369" s="10" t="inlineStr">
        <is>
          <t xml:space="preserve">            folder = mp4.parent.name.lower()</t>
        </is>
      </c>
    </row>
    <row r="370">
      <c r="A370" s="7" t="n">
        <v>367</v>
      </c>
      <c r="B370" s="8" t="inlineStr">
        <is>
          <t xml:space="preserve">            searchable = fname + " " + folder</t>
        </is>
      </c>
    </row>
    <row r="371">
      <c r="A371" s="9" t="n">
        <v>368</v>
      </c>
      <c r="B371" s="10" t="inlineStr"/>
    </row>
    <row r="372">
      <c r="A372" s="7" t="n">
        <v>369</v>
      </c>
      <c r="B372" s="8" t="inlineStr">
        <is>
          <t xml:space="preserve">            score = 0</t>
        </is>
      </c>
    </row>
    <row r="373">
      <c r="A373" s="9" t="n">
        <v>370</v>
      </c>
      <c r="B373" s="10" t="inlineStr">
        <is>
          <t xml:space="preserve">            for kw in vis_kws:</t>
        </is>
      </c>
    </row>
    <row r="374">
      <c r="A374" s="7" t="n">
        <v>371</v>
      </c>
      <c r="B374" s="8" t="inlineStr">
        <is>
          <t xml:space="preserve">                kw_lower = kw.lower()</t>
        </is>
      </c>
    </row>
    <row r="375">
      <c r="A375" s="9" t="n">
        <v>372</v>
      </c>
      <c r="B375" s="10" t="inlineStr">
        <is>
          <t xml:space="preserve">                if kw_lower in fname:</t>
        </is>
      </c>
    </row>
    <row r="376">
      <c r="A376" s="7" t="n">
        <v>373</v>
      </c>
      <c r="B376" s="8" t="inlineStr">
        <is>
          <t xml:space="preserve">                    score += 15  # 文件名精确匹配 高分</t>
        </is>
      </c>
    </row>
    <row r="377">
      <c r="A377" s="9" t="n">
        <v>374</v>
      </c>
      <c r="B377" s="10" t="inlineStr">
        <is>
          <t xml:space="preserve">                elif kw_lower in folder:</t>
        </is>
      </c>
    </row>
    <row r="378">
      <c r="A378" s="7" t="n">
        <v>375</v>
      </c>
      <c r="B378" s="8" t="inlineStr">
        <is>
          <t xml:space="preserve">                    score += 8   # 文件夹名匹配 中分</t>
        </is>
      </c>
    </row>
    <row r="379">
      <c r="A379" s="9" t="n">
        <v>376</v>
      </c>
      <c r="B379" s="10" t="inlineStr">
        <is>
          <t xml:space="preserve">                elif any(kw_lower in f for f in folder_kws if f.lower() in folder):</t>
        </is>
      </c>
    </row>
    <row r="380">
      <c r="A380" s="7" t="n">
        <v>377</v>
      </c>
      <c r="B380" s="8" t="inlineStr">
        <is>
          <t xml:space="preserve">                    score += 5   # 关键词映射的文件夹 加分</t>
        </is>
      </c>
    </row>
    <row r="381">
      <c r="A381" s="9" t="n">
        <v>378</v>
      </c>
      <c r="B381" s="10" t="inlineStr"/>
    </row>
    <row r="382">
      <c r="A382" s="7" t="n">
        <v>379</v>
      </c>
      <c r="B382" s="8" t="inlineStr">
        <is>
          <t xml:space="preserve">            if score &gt; 0:</t>
        </is>
      </c>
    </row>
    <row r="383">
      <c r="A383" s="9" t="n">
        <v>380</v>
      </c>
      <c r="B383" s="10" t="inlineStr">
        <is>
          <t xml:space="preserve">                scored.append((score, mp4))</t>
        </is>
      </c>
    </row>
    <row r="384">
      <c r="A384" s="7" t="n">
        <v>381</v>
      </c>
      <c r="B384" s="8" t="inlineStr"/>
    </row>
    <row r="385">
      <c r="A385" s="9" t="n">
        <v>382</v>
      </c>
      <c r="B385" s="10" t="inlineStr">
        <is>
          <t xml:space="preserve">        scored.sort(key=lambda x: -x[0])</t>
        </is>
      </c>
    </row>
    <row r="386">
      <c r="A386" s="7" t="n">
        <v>383</v>
      </c>
      <c r="B386" s="8" t="inlineStr"/>
    </row>
    <row r="387">
      <c r="A387" s="9" t="n">
        <v>384</v>
      </c>
      <c r="B387" s="10" t="inlineStr">
        <is>
          <t xml:space="preserve">        if scored and scored[0][0] &gt;= 15:</t>
        </is>
      </c>
    </row>
    <row r="388">
      <c r="A388" s="7" t="n">
        <v>385</v>
      </c>
      <c r="B388" s="8" t="inlineStr">
        <is>
          <t xml:space="preserve">            # 高置信度匹配</t>
        </is>
      </c>
    </row>
    <row r="389">
      <c r="A389" s="9" t="n">
        <v>386</v>
      </c>
      <c r="B389" s="10" t="inlineStr">
        <is>
          <t xml:space="preserve">            pick = scored[0][1]</t>
        </is>
      </c>
    </row>
    <row r="390">
      <c r="A390" s="7" t="n">
        <v>387</v>
      </c>
      <c r="B390" s="8" t="inlineStr">
        <is>
          <t xml:space="preserve">            method = "keyword_precise"</t>
        </is>
      </c>
    </row>
    <row r="391">
      <c r="A391" s="9" t="n">
        <v>388</v>
      </c>
      <c r="B391" s="10" t="inlineStr">
        <is>
          <t xml:space="preserve">        elif scored:</t>
        </is>
      </c>
    </row>
    <row r="392">
      <c r="A392" s="7" t="n">
        <v>389</v>
      </c>
      <c r="B392" s="8" t="inlineStr">
        <is>
          <t xml:space="preserve">            # 中等置信度 — 从Top3随机</t>
        </is>
      </c>
    </row>
    <row r="393">
      <c r="A393" s="9" t="n">
        <v>390</v>
      </c>
      <c r="B393" s="10" t="inlineStr">
        <is>
          <t xml:space="preserve">            top3 = scored[:min(3, len(scored))]</t>
        </is>
      </c>
    </row>
    <row r="394">
      <c r="A394" s="7" t="n">
        <v>391</v>
      </c>
      <c r="B394" s="8" t="inlineStr">
        <is>
          <t xml:space="preserve">            pick = random.choice([x[1] for x in top3])</t>
        </is>
      </c>
    </row>
    <row r="395">
      <c r="A395" s="9" t="n">
        <v>392</v>
      </c>
      <c r="B395" s="10" t="inlineStr">
        <is>
          <t xml:space="preserve">            method = "keyword_partial"</t>
        </is>
      </c>
    </row>
    <row r="396">
      <c r="A396" s="7" t="n">
        <v>393</v>
      </c>
      <c r="B396" s="8" t="inlineStr">
        <is>
          <t xml:space="preserve">        else:</t>
        </is>
      </c>
    </row>
    <row r="397">
      <c r="A397" s="9" t="n">
        <v>394</v>
      </c>
      <c r="B397" s="10" t="inlineStr">
        <is>
          <t xml:space="preserve">            # 无匹配 — 从其他卖点文件夹随机选(避免同文件夹重复)</t>
        </is>
      </c>
    </row>
    <row r="398">
      <c r="A398" s="7" t="n">
        <v>395</v>
      </c>
      <c r="B398" s="8" t="inlineStr">
        <is>
          <t xml:space="preserve">            available = [m for m in mp4_pool if m not in used_paths]</t>
        </is>
      </c>
    </row>
    <row r="399">
      <c r="A399" s="9" t="n">
        <v>396</v>
      </c>
      <c r="B399" s="10" t="inlineStr">
        <is>
          <t xml:space="preserve">            if not available:</t>
        </is>
      </c>
    </row>
    <row r="400">
      <c r="A400" s="7" t="n">
        <v>397</v>
      </c>
      <c r="B400" s="8" t="inlineStr">
        <is>
          <t xml:space="preserve">                available = list(mp4_pool)</t>
        </is>
      </c>
    </row>
    <row r="401">
      <c r="A401" s="9" t="n">
        <v>398</v>
      </c>
      <c r="B401" s="10" t="inlineStr">
        <is>
          <t xml:space="preserve">            pick = random.choice(available)</t>
        </is>
      </c>
    </row>
    <row r="402">
      <c r="A402" s="7" t="n">
        <v>399</v>
      </c>
      <c r="B402" s="8" t="inlineStr">
        <is>
          <t xml:space="preserve">            method = "random_diverse"</t>
        </is>
      </c>
    </row>
    <row r="403">
      <c r="A403" s="9" t="n">
        <v>400</v>
      </c>
      <c r="B403" s="10" t="inlineStr"/>
    </row>
    <row r="404">
      <c r="A404" s="7" t="n">
        <v>401</v>
      </c>
      <c r="B404" s="8" t="inlineStr">
        <is>
          <t xml:space="preserve">        dur = round(random.uniform(CLIP_DURATION_MIN, CLIP_DURATION_MAX), 1)</t>
        </is>
      </c>
    </row>
    <row r="405">
      <c r="A405" s="9" t="n">
        <v>402</v>
      </c>
      <c r="B405" s="10" t="inlineStr">
        <is>
          <t xml:space="preserve">        result.append({"path": pick, "source_start": round(random.uniform(0, 3.0), 1),</t>
        </is>
      </c>
    </row>
    <row r="406">
      <c r="A406" s="7" t="n">
        <v>403</v>
      </c>
      <c r="B406" s="8" t="inlineStr">
        <is>
          <t xml:space="preserve">                       "duration": dur, "speed": round(random.gauss(1.0, 0.04), 2),</t>
        </is>
      </c>
    </row>
    <row r="407">
      <c r="A407" s="9" t="n">
        <v>404</v>
      </c>
      <c r="B407" s="10" t="inlineStr">
        <is>
          <t xml:space="preserve">                       "match_score": scored[0][0] if scored else 0,</t>
        </is>
      </c>
    </row>
    <row r="408">
      <c r="A408" s="7" t="n">
        <v>405</v>
      </c>
      <c r="B408" s="8" t="inlineStr">
        <is>
          <t xml:space="preserve">                       "match_method": method})</t>
        </is>
      </c>
    </row>
    <row r="409">
      <c r="A409" s="9" t="n">
        <v>406</v>
      </c>
      <c r="B409" s="10" t="inlineStr">
        <is>
          <t xml:space="preserve">        used_paths.add(pick)</t>
        </is>
      </c>
    </row>
    <row r="410">
      <c r="A410" s="7" t="n">
        <v>407</v>
      </c>
      <c r="B410" s="8" t="inlineStr"/>
    </row>
    <row r="411">
      <c r="A411" s="9" t="n">
        <v>408</v>
      </c>
      <c r="B411" s="10" t="inlineStr">
        <is>
          <t xml:space="preserve">    # 统计匹配质量</t>
        </is>
      </c>
    </row>
    <row r="412">
      <c r="A412" s="7" t="n">
        <v>409</v>
      </c>
      <c r="B412" s="8" t="inlineStr">
        <is>
          <t xml:space="preserve">    precise = sum(1 for r in result if r.get("match_method") == "keyword_precise")</t>
        </is>
      </c>
    </row>
    <row r="413">
      <c r="A413" s="9" t="n">
        <v>410</v>
      </c>
      <c r="B413" s="10" t="inlineStr">
        <is>
          <t xml:space="preserve">    partial = sum(1 for r in result if r.get("match_method") == "keyword_partial")</t>
        </is>
      </c>
    </row>
    <row r="414">
      <c r="A414" s="7" t="n">
        <v>411</v>
      </c>
      <c r="B414" s="8" t="inlineStr">
        <is>
          <t xml:space="preserve">    print(f"   📊 匹配质量: {precise}精确/{partial}部分/{len(result)-precise-partial}随机")</t>
        </is>
      </c>
    </row>
    <row r="415">
      <c r="A415" s="9" t="n">
        <v>412</v>
      </c>
      <c r="B415" s="10" t="inlineStr"/>
    </row>
    <row r="416">
      <c r="A416" s="7" t="n">
        <v>413</v>
      </c>
      <c r="B416" s="8" t="inlineStr">
        <is>
          <t xml:space="preserve">    return result</t>
        </is>
      </c>
    </row>
    <row r="417">
      <c r="A417" s="9" t="n">
        <v>414</v>
      </c>
      <c r="B417" s="10" t="inlineStr"/>
    </row>
    <row r="418">
      <c r="A418" s="7" t="n">
        <v>415</v>
      </c>
      <c r="B418" s="8" t="inlineStr"/>
    </row>
    <row r="419">
      <c r="A419" s="9" t="n">
        <v>416</v>
      </c>
      <c r="B419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420">
      <c r="A420" s="7" t="n">
        <v>417</v>
      </c>
      <c r="B420" s="8" t="inlineStr">
        <is>
          <t># 时间轴同步</t>
        </is>
      </c>
    </row>
    <row r="421">
      <c r="A421" s="9" t="n">
        <v>418</v>
      </c>
      <c r="B421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422">
      <c r="A422" s="7" t="n">
        <v>419</v>
      </c>
      <c r="B422" s="8" t="inlineStr"/>
    </row>
    <row r="423">
      <c r="A423" s="9" t="n">
        <v>420</v>
      </c>
      <c r="B423" s="10" t="inlineStr">
        <is>
          <t>def build_tts_synced_timeline(subtitles: List[str], tts_duration_sec: float,</t>
        </is>
      </c>
    </row>
    <row r="424">
      <c r="A424" s="7" t="n">
        <v>421</v>
      </c>
      <c r="B424" s="8" t="inlineStr">
        <is>
          <t xml:space="preserve">                              video_clips: List[dict]) -&gt; tuple:</t>
        </is>
      </c>
    </row>
    <row r="425">
      <c r="A425" s="9" t="n">
        <v>422</v>
      </c>
      <c r="B425" s="10" t="inlineStr">
        <is>
          <t xml:space="preserve">    """</t>
        </is>
      </c>
    </row>
    <row r="426">
      <c r="A426" s="7" t="n">
        <v>423</v>
      </c>
      <c r="B426" s="8" t="inlineStr">
        <is>
          <t xml:space="preserve">    字幕自然断句 — 仅在标点处断开，确保每句语义完整。</t>
        </is>
      </c>
    </row>
    <row r="427">
      <c r="A427" s="9" t="n">
        <v>424</v>
      </c>
      <c r="B427" s="10" t="inlineStr">
        <is>
          <t xml:space="preserve">    说到哪里显示到哪里，最后一条覆盖到配音结束。</t>
        </is>
      </c>
    </row>
    <row r="428">
      <c r="A428" s="7" t="n">
        <v>425</v>
      </c>
      <c r="B428" s="8" t="inlineStr">
        <is>
          <t xml:space="preserve">    """</t>
        </is>
      </c>
    </row>
    <row r="429">
      <c r="A429" s="9" t="n">
        <v>426</v>
      </c>
      <c r="B429" s="10" t="inlineStr">
        <is>
          <t xml:space="preserve">    if tts_duration_sec &lt;= 0 or not subtitles:</t>
        </is>
      </c>
    </row>
    <row r="430">
      <c r="A430" s="7" t="n">
        <v>427</v>
      </c>
      <c r="B430" s="8" t="inlineStr">
        <is>
          <t xml:space="preserve">        return list(video_clips), []</t>
        </is>
      </c>
    </row>
    <row r="431">
      <c r="A431" s="9" t="n">
        <v>428</v>
      </c>
      <c r="B431" s="10" t="inlineStr"/>
    </row>
    <row r="432">
      <c r="A432" s="7" t="n">
        <v>429</v>
      </c>
      <c r="B432" s="8" t="inlineStr">
        <is>
          <t xml:space="preserve">    full_text = "".join(subtitles)</t>
        </is>
      </c>
    </row>
    <row r="433">
      <c r="A433" s="9" t="n">
        <v>430</v>
      </c>
      <c r="B433" s="10" t="inlineStr">
        <is>
          <t xml:space="preserve">    total_chars = len(full_text)</t>
        </is>
      </c>
    </row>
    <row r="434">
      <c r="A434" s="7" t="n">
        <v>431</v>
      </c>
      <c r="B434" s="8" t="inlineStr">
        <is>
          <t xml:space="preserve">    if total_chars == 0:</t>
        </is>
      </c>
    </row>
    <row r="435">
      <c r="A435" s="9" t="n">
        <v>432</v>
      </c>
      <c r="B435" s="10" t="inlineStr">
        <is>
          <t xml:space="preserve">        return list(video_clips), []</t>
        </is>
      </c>
    </row>
    <row r="436">
      <c r="A436" s="7" t="n">
        <v>433</v>
      </c>
      <c r="B436" s="8" t="inlineStr"/>
    </row>
    <row r="437">
      <c r="A437" s="9" t="n">
        <v>434</v>
      </c>
      <c r="B437" s="10" t="inlineStr">
        <is>
          <t xml:space="preserve">    # Step 1: 按标点自然断句（不在词中间切断）</t>
        </is>
      </c>
    </row>
    <row r="438">
      <c r="A438" s="7" t="n">
        <v>435</v>
      </c>
      <c r="B438" s="8" t="inlineStr">
        <is>
          <t xml:space="preserve">    phrases = []</t>
        </is>
      </c>
    </row>
    <row r="439">
      <c r="A439" s="9" t="n">
        <v>436</v>
      </c>
      <c r="B439" s="10" t="inlineStr">
        <is>
          <t xml:space="preserve">    current = ""</t>
        </is>
      </c>
    </row>
    <row r="440">
      <c r="A440" s="7" t="n">
        <v>437</v>
      </c>
      <c r="B440" s="8" t="inlineStr">
        <is>
          <t xml:space="preserve">    for ch in full_text:</t>
        </is>
      </c>
    </row>
    <row r="441">
      <c r="A441" s="9" t="n">
        <v>438</v>
      </c>
      <c r="B441" s="10" t="inlineStr">
        <is>
          <t xml:space="preserve">        current += ch</t>
        </is>
      </c>
    </row>
    <row r="442">
      <c r="A442" s="7" t="n">
        <v>439</v>
      </c>
      <c r="B442" s="8" t="inlineStr">
        <is>
          <t xml:space="preserve">        if ch in '。！？，、,.!?':</t>
        </is>
      </c>
    </row>
    <row r="443">
      <c r="A443" s="9" t="n">
        <v>440</v>
      </c>
      <c r="B443" s="10" t="inlineStr">
        <is>
          <t xml:space="preserve">            if current.strip():</t>
        </is>
      </c>
    </row>
    <row r="444">
      <c r="A444" s="7" t="n">
        <v>441</v>
      </c>
      <c r="B444" s="8" t="inlineStr">
        <is>
          <t xml:space="preserve">                phrases.append(current.strip())</t>
        </is>
      </c>
    </row>
    <row r="445">
      <c r="A445" s="9" t="n">
        <v>442</v>
      </c>
      <c r="B445" s="10" t="inlineStr">
        <is>
          <t xml:space="preserve">            current = ""</t>
        </is>
      </c>
    </row>
    <row r="446">
      <c r="A446" s="7" t="n">
        <v>443</v>
      </c>
      <c r="B446" s="8" t="inlineStr">
        <is>
          <t xml:space="preserve">    if current.strip():</t>
        </is>
      </c>
    </row>
    <row r="447">
      <c r="A447" s="9" t="n">
        <v>444</v>
      </c>
      <c r="B447" s="10" t="inlineStr">
        <is>
          <t xml:space="preserve">        phrases.append(current.strip())</t>
        </is>
      </c>
    </row>
    <row r="448">
      <c r="A448" s="7" t="n">
        <v>445</v>
      </c>
      <c r="B448" s="8" t="inlineStr"/>
    </row>
    <row r="449">
      <c r="A449" s="9" t="n">
        <v>446</v>
      </c>
      <c r="B449" s="10" t="inlineStr">
        <is>
          <t xml:space="preserve">    # 合并过短的短语（&lt;4字合并到下一句）</t>
        </is>
      </c>
    </row>
    <row r="450">
      <c r="A450" s="7" t="n">
        <v>447</v>
      </c>
      <c r="B450" s="8" t="inlineStr">
        <is>
          <t xml:space="preserve">    merged = []</t>
        </is>
      </c>
    </row>
    <row r="451">
      <c r="A451" s="9" t="n">
        <v>448</v>
      </c>
      <c r="B451" s="10" t="inlineStr">
        <is>
          <t xml:space="preserve">    i = 0</t>
        </is>
      </c>
    </row>
    <row r="452">
      <c r="A452" s="7" t="n">
        <v>449</v>
      </c>
      <c r="B452" s="8" t="inlineStr">
        <is>
          <t xml:space="preserve">    while i &lt; len(phrases):</t>
        </is>
      </c>
    </row>
    <row r="453">
      <c r="A453" s="9" t="n">
        <v>450</v>
      </c>
      <c r="B453" s="10" t="inlineStr">
        <is>
          <t xml:space="preserve">        current = phrases[i]</t>
        </is>
      </c>
    </row>
    <row r="454">
      <c r="A454" s="7" t="n">
        <v>451</v>
      </c>
      <c r="B454" s="8" t="inlineStr">
        <is>
          <t xml:space="preserve">        # 如果当前太短且不是最后一条，合并下一条</t>
        </is>
      </c>
    </row>
    <row r="455">
      <c r="A455" s="9" t="n">
        <v>452</v>
      </c>
      <c r="B455" s="10" t="inlineStr">
        <is>
          <t xml:space="preserve">        while len(current) &lt; 4 and i + 1 &lt; len(phrases):</t>
        </is>
      </c>
    </row>
    <row r="456">
      <c r="A456" s="7" t="n">
        <v>453</v>
      </c>
      <c r="B456" s="8" t="inlineStr">
        <is>
          <t xml:space="preserve">            i += 1</t>
        </is>
      </c>
    </row>
    <row r="457">
      <c r="A457" s="9" t="n">
        <v>454</v>
      </c>
      <c r="B457" s="10" t="inlineStr">
        <is>
          <t xml:space="preserve">            current += phrases[i]</t>
        </is>
      </c>
    </row>
    <row r="458">
      <c r="A458" s="7" t="n">
        <v>455</v>
      </c>
      <c r="B458" s="8" t="inlineStr">
        <is>
          <t xml:space="preserve">        # 如果仍然太短但已是最后一条，保留</t>
        </is>
      </c>
    </row>
    <row r="459">
      <c r="A459" s="9" t="n">
        <v>456</v>
      </c>
      <c r="B459" s="10" t="inlineStr">
        <is>
          <t xml:space="preserve">        if len(current) &gt;= 2:</t>
        </is>
      </c>
    </row>
    <row r="460">
      <c r="A460" s="7" t="n">
        <v>457</v>
      </c>
      <c r="B460" s="8" t="inlineStr">
        <is>
          <t xml:space="preserve">            merged.append(current)</t>
        </is>
      </c>
    </row>
    <row r="461">
      <c r="A461" s="9" t="n">
        <v>458</v>
      </c>
      <c r="B461" s="10" t="inlineStr">
        <is>
          <t xml:space="preserve">        i += 1</t>
        </is>
      </c>
    </row>
    <row r="462">
      <c r="A462" s="7" t="n">
        <v>459</v>
      </c>
      <c r="B462" s="8" t="inlineStr"/>
    </row>
    <row r="463">
      <c r="A463" s="9" t="n">
        <v>460</v>
      </c>
      <c r="B463" s="10" t="inlineStr">
        <is>
          <t xml:space="preserve">    # 拆分过长短语（&gt;18字在逗号处再拆一次）</t>
        </is>
      </c>
    </row>
    <row r="464">
      <c r="A464" s="7" t="n">
        <v>461</v>
      </c>
      <c r="B464" s="8" t="inlineStr">
        <is>
          <t xml:space="preserve">    final_phrases = []</t>
        </is>
      </c>
    </row>
    <row r="465">
      <c r="A465" s="9" t="n">
        <v>462</v>
      </c>
      <c r="B465" s="10" t="inlineStr">
        <is>
          <t xml:space="preserve">    for p in merged:</t>
        </is>
      </c>
    </row>
    <row r="466">
      <c r="A466" s="7" t="n">
        <v>463</v>
      </c>
      <c r="B466" s="8" t="inlineStr">
        <is>
          <t xml:space="preserve">        if len(p) &lt;= 18:</t>
        </is>
      </c>
    </row>
    <row r="467">
      <c r="A467" s="9" t="n">
        <v>464</v>
      </c>
      <c r="B467" s="10" t="inlineStr">
        <is>
          <t xml:space="preserve">            final_phrases.append(p)</t>
        </is>
      </c>
    </row>
    <row r="468">
      <c r="A468" s="7" t="n">
        <v>465</v>
      </c>
      <c r="B468" s="8" t="inlineStr">
        <is>
          <t xml:space="preserve">        else:</t>
        </is>
      </c>
    </row>
    <row r="469">
      <c r="A469" s="9" t="n">
        <v>466</v>
      </c>
      <c r="B469" s="10" t="inlineStr">
        <is>
          <t xml:space="preserve">            # 在逗号处拆分</t>
        </is>
      </c>
    </row>
    <row r="470">
      <c r="A470" s="7" t="n">
        <v>467</v>
      </c>
      <c r="B470" s="8" t="inlineStr">
        <is>
          <t xml:space="preserve">            sub_parts = re.split(r'(?&lt;=[，,、])', p)</t>
        </is>
      </c>
    </row>
    <row r="471">
      <c r="A471" s="9" t="n">
        <v>468</v>
      </c>
      <c r="B471" s="10" t="inlineStr">
        <is>
          <t xml:space="preserve">            buf = ""</t>
        </is>
      </c>
    </row>
    <row r="472">
      <c r="A472" s="7" t="n">
        <v>469</v>
      </c>
      <c r="B472" s="8" t="inlineStr">
        <is>
          <t xml:space="preserve">            for sp in sub_parts:</t>
        </is>
      </c>
    </row>
    <row r="473">
      <c r="A473" s="9" t="n">
        <v>470</v>
      </c>
      <c r="B473" s="10" t="inlineStr">
        <is>
          <t xml:space="preserve">                if len(buf) + len(sp) &lt;= 16:</t>
        </is>
      </c>
    </row>
    <row r="474">
      <c r="A474" s="7" t="n">
        <v>471</v>
      </c>
      <c r="B474" s="8" t="inlineStr">
        <is>
          <t xml:space="preserve">                    buf += sp</t>
        </is>
      </c>
    </row>
    <row r="475">
      <c r="A475" s="9" t="n">
        <v>472</v>
      </c>
      <c r="B475" s="10" t="inlineStr">
        <is>
          <t xml:space="preserve">                else:</t>
        </is>
      </c>
    </row>
    <row r="476">
      <c r="A476" s="7" t="n">
        <v>473</v>
      </c>
      <c r="B476" s="8" t="inlineStr">
        <is>
          <t xml:space="preserve">                    if buf:</t>
        </is>
      </c>
    </row>
    <row r="477">
      <c r="A477" s="9" t="n">
        <v>474</v>
      </c>
      <c r="B477" s="10" t="inlineStr">
        <is>
          <t xml:space="preserve">                        final_phrases.append(buf)</t>
        </is>
      </c>
    </row>
    <row r="478">
      <c r="A478" s="7" t="n">
        <v>475</v>
      </c>
      <c r="B478" s="8" t="inlineStr">
        <is>
          <t xml:space="preserve">                    buf = sp</t>
        </is>
      </c>
    </row>
    <row r="479">
      <c r="A479" s="9" t="n">
        <v>476</v>
      </c>
      <c r="B479" s="10" t="inlineStr">
        <is>
          <t xml:space="preserve">            if buf:</t>
        </is>
      </c>
    </row>
    <row r="480">
      <c r="A480" s="7" t="n">
        <v>477</v>
      </c>
      <c r="B480" s="8" t="inlineStr">
        <is>
          <t xml:space="preserve">                final_phrases.append(buf)</t>
        </is>
      </c>
    </row>
    <row r="481">
      <c r="A481" s="9" t="n">
        <v>478</v>
      </c>
      <c r="B481" s="10" t="inlineStr"/>
    </row>
    <row r="482">
      <c r="A482" s="7" t="n">
        <v>479</v>
      </c>
      <c r="B482" s="8" t="inlineStr">
        <is>
          <t xml:space="preserve">    if not final_phrases:</t>
        </is>
      </c>
    </row>
    <row r="483">
      <c r="A483" s="9" t="n">
        <v>480</v>
      </c>
      <c r="B483" s="10" t="inlineStr">
        <is>
          <t xml:space="preserve">        final_phrases = [full_text]</t>
        </is>
      </c>
    </row>
    <row r="484">
      <c r="A484" s="7" t="n">
        <v>481</v>
      </c>
      <c r="B484" s="8" t="inlineStr"/>
    </row>
    <row r="485">
      <c r="A485" s="9" t="n">
        <v>482</v>
      </c>
      <c r="B485" s="10" t="inlineStr">
        <is>
          <t xml:space="preserve">    # Step 2: 按字符数比例精确分配时长 (零间隙，背靠背)</t>
        </is>
      </c>
    </row>
    <row r="486">
      <c r="A486" s="7" t="n">
        <v>483</v>
      </c>
      <c r="B486" s="8" t="inlineStr">
        <is>
          <t xml:space="preserve">    chars_per_sec = total_chars / tts_duration_sec</t>
        </is>
      </c>
    </row>
    <row r="487">
      <c r="A487" s="9" t="n">
        <v>484</v>
      </c>
      <c r="B487" s="10" t="inlineStr">
        <is>
          <t xml:space="preserve">    subtitle_timings = []</t>
        </is>
      </c>
    </row>
    <row r="488">
      <c r="A488" s="7" t="n">
        <v>485</v>
      </c>
      <c r="B488" s="8" t="inlineStr">
        <is>
          <t xml:space="preserve">    current_sec = 0.0</t>
        </is>
      </c>
    </row>
    <row r="489">
      <c r="A489" s="9" t="n">
        <v>486</v>
      </c>
      <c r="B489" s="10" t="inlineStr"/>
    </row>
    <row r="490">
      <c r="A490" s="7" t="n">
        <v>487</v>
      </c>
      <c r="B490" s="8" t="inlineStr">
        <is>
          <t xml:space="preserve">    for i, phrase in enumerate(final_phrases):</t>
        </is>
      </c>
    </row>
    <row r="491">
      <c r="A491" s="9" t="n">
        <v>488</v>
      </c>
      <c r="B491" s="10" t="inlineStr">
        <is>
          <t xml:space="preserve">        dur = len(phrase) / chars_per_sec</t>
        </is>
      </c>
    </row>
    <row r="492">
      <c r="A492" s="7" t="n">
        <v>489</v>
      </c>
      <c r="B492" s="8" t="inlineStr">
        <is>
          <t xml:space="preserve">        dur = max(0.4, min(5.0, dur))</t>
        </is>
      </c>
    </row>
    <row r="493">
      <c r="A493" s="9" t="n">
        <v>490</v>
      </c>
      <c r="B493" s="10" t="inlineStr">
        <is>
          <t xml:space="preserve">        is_last = (i == len(final_phrases) - 1)</t>
        </is>
      </c>
    </row>
    <row r="494">
      <c r="A494" s="7" t="n">
        <v>491</v>
      </c>
      <c r="B494" s="8" t="inlineStr"/>
    </row>
    <row r="495">
      <c r="A495" s="9" t="n">
        <v>492</v>
      </c>
      <c r="B495" s="10" t="inlineStr">
        <is>
          <t xml:space="preserve">        # 最后一条精确延伸到配音结束</t>
        </is>
      </c>
    </row>
    <row r="496">
      <c r="A496" s="7" t="n">
        <v>493</v>
      </c>
      <c r="B496" s="8" t="inlineStr">
        <is>
          <t xml:space="preserve">        if is_last:</t>
        </is>
      </c>
    </row>
    <row r="497">
      <c r="A497" s="9" t="n">
        <v>494</v>
      </c>
      <c r="B497" s="10" t="inlineStr">
        <is>
          <t xml:space="preserve">            dur = tts_duration_sec - current_sec</t>
        </is>
      </c>
    </row>
    <row r="498">
      <c r="A498" s="7" t="n">
        <v>495</v>
      </c>
      <c r="B498" s="8" t="inlineStr">
        <is>
          <t xml:space="preserve">            dur = max(0.3, dur)</t>
        </is>
      </c>
    </row>
    <row r="499">
      <c r="A499" s="9" t="n">
        <v>496</v>
      </c>
      <c r="B499" s="10" t="inlineStr">
        <is>
          <t xml:space="preserve">        elif current_sec + dur &gt; tts_duration_sec:</t>
        </is>
      </c>
    </row>
    <row r="500">
      <c r="A500" s="7" t="n">
        <v>497</v>
      </c>
      <c r="B500" s="8" t="inlineStr">
        <is>
          <t xml:space="preserve">            dur = max(0.3, tts_duration_sec - current_sec)</t>
        </is>
      </c>
    </row>
    <row r="501">
      <c r="A501" s="9" t="n">
        <v>498</v>
      </c>
      <c r="B501" s="10" t="inlineStr"/>
    </row>
    <row r="502">
      <c r="A502" s="7" t="n">
        <v>499</v>
      </c>
      <c r="B502" s="8" t="inlineStr">
        <is>
          <t xml:space="preserve">        if dur &gt; 0.2:</t>
        </is>
      </c>
    </row>
    <row r="503">
      <c r="A503" s="9" t="n">
        <v>500</v>
      </c>
      <c r="B503" s="10" t="inlineStr">
        <is>
          <t xml:space="preserve">            subtitle_timings.append({</t>
        </is>
      </c>
    </row>
    <row r="504">
      <c r="A504" s="7" t="n">
        <v>501</v>
      </c>
      <c r="B504" s="8" t="inlineStr">
        <is>
          <t xml:space="preserve">                "text": phrase,</t>
        </is>
      </c>
    </row>
    <row r="505">
      <c r="A505" s="9" t="n">
        <v>502</v>
      </c>
      <c r="B505" s="10" t="inlineStr">
        <is>
          <t xml:space="preserve">                "start_sec": round(current_sec, 3),</t>
        </is>
      </c>
    </row>
    <row r="506">
      <c r="A506" s="7" t="n">
        <v>503</v>
      </c>
      <c r="B506" s="8" t="inlineStr">
        <is>
          <t xml:space="preserve">                "duration_sec": round(dur, 3),</t>
        </is>
      </c>
    </row>
    <row r="507">
      <c r="A507" s="9" t="n">
        <v>504</v>
      </c>
      <c r="B507" s="10" t="inlineStr">
        <is>
          <t xml:space="preserve">            })</t>
        </is>
      </c>
    </row>
    <row r="508">
      <c r="A508" s="7" t="n">
        <v>505</v>
      </c>
      <c r="B508" s="8" t="inlineStr"/>
    </row>
    <row r="509">
      <c r="A509" s="9" t="n">
        <v>506</v>
      </c>
      <c r="B509" s="10" t="inlineStr">
        <is>
          <t xml:space="preserve">        current_sec += dur  # 零间隙！下一条紧接当前条结束</t>
        </is>
      </c>
    </row>
    <row r="510">
      <c r="A510" s="7" t="n">
        <v>507</v>
      </c>
      <c r="B510" s="8" t="inlineStr">
        <is>
          <t xml:space="preserve">        if current_sec &gt;= tts_duration_sec:</t>
        </is>
      </c>
    </row>
    <row r="511">
      <c r="A511" s="9" t="n">
        <v>508</v>
      </c>
      <c r="B511" s="10" t="inlineStr">
        <is>
          <t xml:space="preserve">            break</t>
        </is>
      </c>
    </row>
    <row r="512">
      <c r="A512" s="7" t="n">
        <v>509</v>
      </c>
      <c r="B512" s="8" t="inlineStr"/>
    </row>
    <row r="513">
      <c r="A513" s="9" t="n">
        <v>510</v>
      </c>
      <c r="B513" s="10" t="inlineStr">
        <is>
          <t xml:space="preserve">    return list(video_clips), subtitle_timings</t>
        </is>
      </c>
    </row>
    <row r="514">
      <c r="A514" s="7" t="n">
        <v>511</v>
      </c>
      <c r="B514" s="8" t="inlineStr"/>
    </row>
    <row r="515">
      <c r="A515" s="9" t="n">
        <v>512</v>
      </c>
      <c r="B515" s="10" t="inlineStr"/>
    </row>
    <row r="516">
      <c r="A516" s="7" t="n">
        <v>513</v>
      </c>
      <c r="B516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517">
      <c r="A517" s="9" t="n">
        <v>514</v>
      </c>
      <c r="B517" s="10" t="inlineStr">
        <is>
          <t># 验证</t>
        </is>
      </c>
    </row>
    <row r="518">
      <c r="A518" s="7" t="n">
        <v>515</v>
      </c>
      <c r="B518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519">
      <c r="A519" s="9" t="n">
        <v>516</v>
      </c>
      <c r="B519" s="10" t="inlineStr"/>
    </row>
    <row r="520">
      <c r="A520" s="7" t="n">
        <v>517</v>
      </c>
      <c r="B520" s="8" t="inlineStr">
        <is>
          <t>def validate_draft(clips: List[dict], copy_text: str, tts_path, draft_dir: Path) -&gt; tuple:</t>
        </is>
      </c>
    </row>
    <row r="521">
      <c r="A521" s="9" t="n">
        <v>518</v>
      </c>
      <c r="B521" s="10" t="inlineStr">
        <is>
          <t xml:space="preserve">    """生成后自动复盘验证"""</t>
        </is>
      </c>
    </row>
    <row r="522">
      <c r="A522" s="7" t="n">
        <v>519</v>
      </c>
      <c r="B522" s="8" t="inlineStr">
        <is>
          <t xml:space="preserve">    issues = []</t>
        </is>
      </c>
    </row>
    <row r="523">
      <c r="A523" s="9" t="n">
        <v>520</v>
      </c>
      <c r="B523" s="10" t="inlineStr">
        <is>
          <t xml:space="preserve">    if ENABLE_PERSON_FILTER:</t>
        </is>
      </c>
    </row>
    <row r="524">
      <c r="A524" s="7" t="n">
        <v>521</v>
      </c>
      <c r="B524" s="8" t="inlineStr">
        <is>
          <t xml:space="preserve">        for i, clip in enumerate(clips):</t>
        </is>
      </c>
    </row>
    <row r="525">
      <c r="A525" s="9" t="n">
        <v>522</v>
      </c>
      <c r="B525" s="10" t="inlineStr">
        <is>
          <t xml:space="preserve">            fname = str(clip["path"]).lower()</t>
        </is>
      </c>
    </row>
    <row r="526">
      <c r="A526" s="7" t="n">
        <v>523</v>
      </c>
      <c r="B526" s="8" t="inlineStr">
        <is>
          <t xml:space="preserve">            if any(kw in fname for kw in ["人像", "人物", "口播", "采访", "自拍", "露脸", "真人", "主播"]):</t>
        </is>
      </c>
    </row>
    <row r="527">
      <c r="A527" s="9" t="n">
        <v>524</v>
      </c>
      <c r="B527" s="10" t="inlineStr">
        <is>
          <t xml:space="preserve">                issues.append(f"片段{i+1}含人像标记(未过滤): {clip['path'].name[:40]}")</t>
        </is>
      </c>
    </row>
    <row r="528">
      <c r="A528" s="7" t="n">
        <v>525</v>
      </c>
      <c r="B528" s="8" t="inlineStr">
        <is>
          <t xml:space="preserve">    sentences = [s for s in re.split(r'[.。！？]', copy_text) if len(s) &gt; 4]</t>
        </is>
      </c>
    </row>
    <row r="529">
      <c r="A529" s="9" t="n">
        <v>526</v>
      </c>
      <c r="B529" s="10" t="inlineStr">
        <is>
          <t xml:space="preserve">    for i in range(len(sentences) - 2):</t>
        </is>
      </c>
    </row>
    <row r="530">
      <c r="A530" s="7" t="n">
        <v>527</v>
      </c>
      <c r="B530" s="8" t="inlineStr">
        <is>
          <t xml:space="preserve">        if sentences[i][:6] == sentences[i+1][:6]:</t>
        </is>
      </c>
    </row>
    <row r="531">
      <c r="A531" s="9" t="n">
        <v>528</v>
      </c>
      <c r="B531" s="10" t="inlineStr">
        <is>
          <t xml:space="preserve">            issues.append(f"文案重复: '{sentences[i][:20]}...'")</t>
        </is>
      </c>
    </row>
    <row r="532">
      <c r="A532" s="7" t="n">
        <v>529</v>
      </c>
      <c r="B532" s="8" t="inlineStr">
        <is>
          <t xml:space="preserve">    if len(copy_text) &lt; 60:</t>
        </is>
      </c>
    </row>
    <row r="533">
      <c r="A533" s="9" t="n">
        <v>530</v>
      </c>
      <c r="B533" s="10" t="inlineStr">
        <is>
          <t xml:space="preserve">        issues.append(f"文案过短({len(copy_text)}字)")</t>
        </is>
      </c>
    </row>
    <row r="534">
      <c r="A534" s="7" t="n">
        <v>531</v>
      </c>
      <c r="B534" s="8" t="inlineStr">
        <is>
          <t xml:space="preserve">    return len(issues) == 0, issues</t>
        </is>
      </c>
    </row>
    <row r="535">
      <c r="A535" s="9" t="n">
        <v>532</v>
      </c>
      <c r="B535" s="10" t="inlineStr"/>
    </row>
    <row r="536">
      <c r="A536" s="7" t="n">
        <v>533</v>
      </c>
      <c r="B536" s="8" t="inlineStr"/>
    </row>
    <row r="537">
      <c r="A537" s="9" t="n">
        <v>534</v>
      </c>
      <c r="B537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538">
      <c r="A538" s="7" t="n">
        <v>535</v>
      </c>
      <c r="B538" s="8" t="inlineStr">
        <is>
          <t># Excel 脚本读取</t>
        </is>
      </c>
    </row>
    <row r="539">
      <c r="A539" s="9" t="n">
        <v>536</v>
      </c>
      <c r="B539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540">
      <c r="A540" s="7" t="n">
        <v>537</v>
      </c>
      <c r="B540" s="8" t="inlineStr"/>
    </row>
    <row r="541">
      <c r="A541" s="9" t="n">
        <v>538</v>
      </c>
      <c r="B541" s="10" t="inlineStr">
        <is>
          <t>def read_script_excel(file_path: Path) -&gt; Optional[dict]:</t>
        </is>
      </c>
    </row>
    <row r="542">
      <c r="A542" s="7" t="n">
        <v>539</v>
      </c>
      <c r="B542" s="8" t="inlineStr">
        <is>
          <t xml:space="preserve">    try:</t>
        </is>
      </c>
    </row>
    <row r="543">
      <c r="A543" s="9" t="n">
        <v>540</v>
      </c>
      <c r="B543" s="10" t="inlineStr">
        <is>
          <t xml:space="preserve">        import openpyxl</t>
        </is>
      </c>
    </row>
    <row r="544">
      <c r="A544" s="7" t="n">
        <v>541</v>
      </c>
      <c r="B544" s="8" t="inlineStr">
        <is>
          <t xml:space="preserve">    except ImportError:</t>
        </is>
      </c>
    </row>
    <row r="545">
      <c r="A545" s="9" t="n">
        <v>542</v>
      </c>
      <c r="B545" s="10" t="inlineStr">
        <is>
          <t xml:space="preserve">        return None</t>
        </is>
      </c>
    </row>
    <row r="546">
      <c r="A546" s="7" t="n">
        <v>543</v>
      </c>
      <c r="B546" s="8" t="inlineStr">
        <is>
          <t xml:space="preserve">    try:</t>
        </is>
      </c>
    </row>
    <row r="547">
      <c r="A547" s="9" t="n">
        <v>544</v>
      </c>
      <c r="B547" s="10" t="inlineStr">
        <is>
          <t xml:space="preserve">        wb = openpyxl.load_workbook(str(file_path), read_only=True, data_only=True)</t>
        </is>
      </c>
    </row>
    <row r="548">
      <c r="A548" s="7" t="n">
        <v>545</v>
      </c>
      <c r="B548" s="8" t="inlineStr">
        <is>
          <t xml:space="preserve">        ws = wb.active</t>
        </is>
      </c>
    </row>
    <row r="549">
      <c r="A549" s="9" t="n">
        <v>546</v>
      </c>
      <c r="B549" s="10" t="inlineStr">
        <is>
          <t xml:space="preserve">        headers = [str(cell.value) if cell.value else "" for cell in ws[1]]</t>
        </is>
      </c>
    </row>
    <row r="550">
      <c r="A550" s="7" t="n">
        <v>547</v>
      </c>
      <c r="B550" s="8" t="inlineStr">
        <is>
          <t xml:space="preserve">        copy_col = None</t>
        </is>
      </c>
    </row>
    <row r="551">
      <c r="A551" s="9" t="n">
        <v>548</v>
      </c>
      <c r="B551" s="10" t="inlineStr">
        <is>
          <t xml:space="preserve">        for i, h in enumerate(headers):</t>
        </is>
      </c>
    </row>
    <row r="552">
      <c r="A552" s="7" t="n">
        <v>549</v>
      </c>
      <c r="B552" s="8" t="inlineStr">
        <is>
          <t xml:space="preserve">            if any(kw in h.lower() for kw in ["文案", "脚本", "配音", "口播", "内容", "字幕"]):</t>
        </is>
      </c>
    </row>
    <row r="553">
      <c r="A553" s="9" t="n">
        <v>550</v>
      </c>
      <c r="B553" s="10" t="inlineStr">
        <is>
          <t xml:space="preserve">                copy_col = i; break</t>
        </is>
      </c>
    </row>
    <row r="554">
      <c r="A554" s="7" t="n">
        <v>551</v>
      </c>
      <c r="B554" s="8" t="inlineStr">
        <is>
          <t xml:space="preserve">        if copy_col is None:</t>
        </is>
      </c>
    </row>
    <row r="555">
      <c r="A555" s="9" t="n">
        <v>552</v>
      </c>
      <c r="B555" s="10" t="inlineStr">
        <is>
          <t xml:space="preserve">            wb.close(); return None</t>
        </is>
      </c>
    </row>
    <row r="556">
      <c r="A556" s="7" t="n">
        <v>553</v>
      </c>
      <c r="B556" s="8" t="inlineStr">
        <is>
          <t xml:space="preserve">        rows = []</t>
        </is>
      </c>
    </row>
    <row r="557">
      <c r="A557" s="9" t="n">
        <v>554</v>
      </c>
      <c r="B557" s="10" t="inlineStr">
        <is>
          <t xml:space="preserve">        for row in ws.iter_rows(min_row=2, values_only=True):</t>
        </is>
      </c>
    </row>
    <row r="558">
      <c r="A558" s="7" t="n">
        <v>555</v>
      </c>
      <c r="B558" s="8" t="inlineStr">
        <is>
          <t xml:space="preserve">            if row[copy_col] and str(row[copy_col]).strip():</t>
        </is>
      </c>
    </row>
    <row r="559">
      <c r="A559" s="9" t="n">
        <v>556</v>
      </c>
      <c r="B559" s="10" t="inlineStr">
        <is>
          <t xml:space="preserve">                rows.append({"row_num": len(rows) + 2, "copy": str(row[copy_col]).strip(), "material_keyword": ""})</t>
        </is>
      </c>
    </row>
    <row r="560">
      <c r="A560" s="7" t="n">
        <v>557</v>
      </c>
      <c r="B560" s="8" t="inlineStr">
        <is>
          <t xml:space="preserve">        wb.close()</t>
        </is>
      </c>
    </row>
    <row r="561">
      <c r="A561" s="9" t="n">
        <v>558</v>
      </c>
      <c r="B561" s="10" t="inlineStr">
        <is>
          <t xml:space="preserve">        return {"file": file_path, "rows": rows, "copy_column": headers[copy_col], "total_rows": len(rows)}</t>
        </is>
      </c>
    </row>
    <row r="562">
      <c r="A562" s="7" t="n">
        <v>559</v>
      </c>
      <c r="B562" s="8" t="inlineStr">
        <is>
          <t xml:space="preserve">    except Exception:</t>
        </is>
      </c>
    </row>
    <row r="563">
      <c r="A563" s="9" t="n">
        <v>560</v>
      </c>
      <c r="B563" s="10" t="inlineStr">
        <is>
          <t xml:space="preserve">        return None</t>
        </is>
      </c>
    </row>
    <row r="564">
      <c r="A564" s="7" t="n">
        <v>561</v>
      </c>
      <c r="B564" s="8" t="inlineStr"/>
    </row>
    <row r="565">
      <c r="A565" s="9" t="n">
        <v>562</v>
      </c>
      <c r="B565" s="10" t="inlineStr"/>
    </row>
    <row r="566">
      <c r="A566" s="7" t="n">
        <v>563</v>
      </c>
      <c r="B566" s="8" t="inlineStr">
        <is>
          <t>def get_script_row(script_path: str, row_num: int = 2) -&gt; Optional[dict]:</t>
        </is>
      </c>
    </row>
    <row r="567">
      <c r="A567" s="9" t="n">
        <v>564</v>
      </c>
      <c r="B567" s="10" t="inlineStr">
        <is>
          <t xml:space="preserve">    result = read_script_excel(Path(script_path))</t>
        </is>
      </c>
    </row>
    <row r="568">
      <c r="A568" s="7" t="n">
        <v>565</v>
      </c>
      <c r="B568" s="8" t="inlineStr">
        <is>
          <t xml:space="preserve">    if not result or not result["rows"]: return None</t>
        </is>
      </c>
    </row>
    <row r="569">
      <c r="A569" s="9" t="n">
        <v>566</v>
      </c>
      <c r="B569" s="10" t="inlineStr">
        <is>
          <t xml:space="preserve">    idx = max(0, min(row_num - 2, len(result["rows"]) - 1))</t>
        </is>
      </c>
    </row>
    <row r="570">
      <c r="A570" s="7" t="n">
        <v>567</v>
      </c>
      <c r="B570" s="8" t="inlineStr">
        <is>
          <t xml:space="preserve">    row = result["rows"][idx]</t>
        </is>
      </c>
    </row>
    <row r="571">
      <c r="A571" s="9" t="n">
        <v>568</v>
      </c>
      <c r="B571" s="10" t="inlineStr">
        <is>
          <t xml:space="preserve">    return {"copy": row["copy"], "material_keyword": row["material_keyword"], "source": f"{Path(script_path).name} 第{row['row_num']}行"}</t>
        </is>
      </c>
    </row>
    <row r="572">
      <c r="A572" s="7" t="n">
        <v>569</v>
      </c>
      <c r="B572" s="8" t="inlineStr"/>
    </row>
    <row r="573">
      <c r="A573" s="9" t="n">
        <v>570</v>
      </c>
      <c r="B573" s="10" t="inlineStr"/>
    </row>
    <row r="574">
      <c r="A574" s="7" t="n">
        <v>571</v>
      </c>
      <c r="B574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575">
      <c r="A575" s="9" t="n">
        <v>572</v>
      </c>
      <c r="B575" s="10" t="inlineStr">
        <is>
          <t># BGM 主题检测</t>
        </is>
      </c>
    </row>
    <row r="576">
      <c r="A576" s="7" t="n">
        <v>573</v>
      </c>
      <c r="B576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577">
      <c r="A577" s="9" t="n">
        <v>574</v>
      </c>
      <c r="B577" s="10" t="inlineStr"/>
    </row>
    <row r="578">
      <c r="A578" s="7" t="n">
        <v>575</v>
      </c>
      <c r="B578" s="8" t="inlineStr">
        <is>
          <t>def detect_video_theme(keyword: str, use_effects: bool = False) -&gt; str:</t>
        </is>
      </c>
    </row>
    <row r="579">
      <c r="A579" s="9" t="n">
        <v>576</v>
      </c>
      <c r="B579" s="10" t="inlineStr">
        <is>
          <t xml:space="preserve">    kw_lower = keyword.lower()</t>
        </is>
      </c>
    </row>
    <row r="580">
      <c r="A580" s="7" t="n">
        <v>577</v>
      </c>
      <c r="B580" s="8" t="inlineStr">
        <is>
          <t xml:space="preserve">    factory_keywords = ["钢结构", "物流", "折边", "工艺", "材质", "细节", "生产", "工厂", "车间", "制作", "加工", "水磨边", "海棠角", "连纹", "圆弧"]</t>
        </is>
      </c>
    </row>
    <row r="581">
      <c r="A581" s="9" t="n">
        <v>578</v>
      </c>
      <c r="B581" s="10" t="inlineStr">
        <is>
          <t xml:space="preserve">    for fk in factory_keywords:</t>
        </is>
      </c>
    </row>
    <row r="582">
      <c r="A582" s="7" t="n">
        <v>579</v>
      </c>
      <c r="B582" s="8" t="inlineStr">
        <is>
          <t xml:space="preserve">        if fk in keyword or fk in kw_lower: return "工厂实力"</t>
        </is>
      </c>
    </row>
    <row r="583">
      <c r="A583" s="9" t="n">
        <v>580</v>
      </c>
      <c r="B583" s="10" t="inlineStr">
        <is>
          <t xml:space="preserve">    effect_keywords = ["封面", "尺寸", "颜色", "造型", "生活化", "响指", "转场", "餐桌", "空间", "设计", "齐屏", "吧台"]</t>
        </is>
      </c>
    </row>
    <row r="584">
      <c r="A584" s="7" t="n">
        <v>581</v>
      </c>
      <c r="B584" s="8" t="inlineStr">
        <is>
          <t xml:space="preserve">    for ek in effect_keywords:</t>
        </is>
      </c>
    </row>
    <row r="585">
      <c r="A585" s="9" t="n">
        <v>582</v>
      </c>
      <c r="B585" s="10" t="inlineStr">
        <is>
          <t xml:space="preserve">        if ek in keyword or ek in kw_lower: return "效果展示"</t>
        </is>
      </c>
    </row>
    <row r="586">
      <c r="A586" s="7" t="n">
        <v>583</v>
      </c>
      <c r="B586" s="8" t="inlineStr">
        <is>
          <t xml:space="preserve">    return "卖点展示"</t>
        </is>
      </c>
    </row>
    <row r="587">
      <c r="A587" s="9" t="n">
        <v>584</v>
      </c>
      <c r="B587" s="10" t="inlineStr"/>
    </row>
    <row r="588">
      <c r="A588" s="7" t="n">
        <v>585</v>
      </c>
      <c r="B588" s="8" t="inlineStr"/>
    </row>
    <row r="589">
      <c r="A589" s="9" t="n">
        <v>586</v>
      </c>
      <c r="B589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590">
      <c r="A590" s="7" t="n">
        <v>587</v>
      </c>
      <c r="B590" s="8" t="inlineStr">
        <is>
          <t># BGM 收集（简化版）</t>
        </is>
      </c>
    </row>
    <row r="591">
      <c r="A591" s="9" t="n">
        <v>588</v>
      </c>
      <c r="B591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592">
      <c r="A592" s="7" t="n">
        <v>589</v>
      </c>
      <c r="B592" s="8" t="inlineStr"/>
    </row>
    <row r="593">
      <c r="A593" s="9" t="n">
        <v>590</v>
      </c>
      <c r="B593" s="10" t="inlineStr">
        <is>
          <t>def collect_bgm(base_dir: str = None) -&gt; List[Path]:</t>
        </is>
      </c>
    </row>
    <row r="594">
      <c r="A594" s="7" t="n">
        <v>591</v>
      </c>
      <c r="B594" s="8" t="inlineStr">
        <is>
          <t xml:space="preserve">    if base_dir is None: base_dir = BGM_DIR</t>
        </is>
      </c>
    </row>
    <row r="595">
      <c r="A595" s="9" t="n">
        <v>592</v>
      </c>
      <c r="B595" s="10" t="inlineStr">
        <is>
          <t xml:space="preserve">    base = Path(base_dir)</t>
        </is>
      </c>
    </row>
    <row r="596">
      <c r="A596" s="7" t="n">
        <v>593</v>
      </c>
      <c r="B596" s="8" t="inlineStr">
        <is>
          <t xml:space="preserve">    results = []</t>
        </is>
      </c>
    </row>
    <row r="597">
      <c r="A597" s="9" t="n">
        <v>594</v>
      </c>
      <c r="B597" s="10" t="inlineStr">
        <is>
          <t xml:space="preserve">    if base.exists():</t>
        </is>
      </c>
    </row>
    <row r="598">
      <c r="A598" s="7" t="n">
        <v>595</v>
      </c>
      <c r="B598" s="8" t="inlineStr">
        <is>
          <t xml:space="preserve">        for ext in ["*.mp3", "*.wav", "*.flac", "*.aac", "*.m4a", "*.ogg"]:</t>
        </is>
      </c>
    </row>
    <row r="599">
      <c r="A599" s="9" t="n">
        <v>596</v>
      </c>
      <c r="B599" s="10" t="inlineStr">
        <is>
          <t xml:space="preserve">            results.extend(base.rglob(ext))</t>
        </is>
      </c>
    </row>
    <row r="600">
      <c r="A600" s="7" t="n">
        <v>597</v>
      </c>
      <c r="B600" s="8" t="inlineStr">
        <is>
          <t xml:space="preserve">    if not results and base_dir == BGM_PATH_PRIMARY:</t>
        </is>
      </c>
    </row>
    <row r="601">
      <c r="A601" s="9" t="n">
        <v>598</v>
      </c>
      <c r="B601" s="10" t="inlineStr">
        <is>
          <t xml:space="preserve">        fallback = Path(BGM_DIR_FALLBACK)</t>
        </is>
      </c>
    </row>
    <row r="602">
      <c r="A602" s="7" t="n">
        <v>599</v>
      </c>
      <c r="B602" s="8" t="inlineStr">
        <is>
          <t xml:space="preserve">        if fallback.exists():</t>
        </is>
      </c>
    </row>
    <row r="603">
      <c r="A603" s="9" t="n">
        <v>600</v>
      </c>
      <c r="B603" s="10" t="inlineStr">
        <is>
          <t xml:space="preserve">            for ext in ["*.mp3", "*.wav", "*.flac", "*.aac", "*.m4a", "*.ogg"]:</t>
        </is>
      </c>
    </row>
    <row r="604">
      <c r="A604" s="7" t="n">
        <v>601</v>
      </c>
      <c r="B604" s="8" t="inlineStr">
        <is>
          <t xml:space="preserve">                results.extend(fallback.rglob(ext))</t>
        </is>
      </c>
    </row>
    <row r="605">
      <c r="A605" s="9" t="n">
        <v>602</v>
      </c>
      <c r="B605" s="10" t="inlineStr">
        <is>
          <t xml:space="preserve">    seen = {}</t>
        </is>
      </c>
    </row>
    <row r="606">
      <c r="A606" s="7" t="n">
        <v>603</v>
      </c>
      <c r="B606" s="8" t="inlineStr">
        <is>
          <t xml:space="preserve">    for f in sorted(results, key=lambda x: x.name):</t>
        </is>
      </c>
    </row>
    <row r="607">
      <c r="A607" s="9" t="n">
        <v>604</v>
      </c>
      <c r="B607" s="10" t="inlineStr">
        <is>
          <t xml:space="preserve">        key = (f.name, f.stat().st_size)</t>
        </is>
      </c>
    </row>
    <row r="608">
      <c r="A608" s="7" t="n">
        <v>605</v>
      </c>
      <c r="B608" s="8" t="inlineStr">
        <is>
          <t xml:space="preserve">        if key not in seen: seen[key] = f</t>
        </is>
      </c>
    </row>
    <row r="609">
      <c r="A609" s="9" t="n">
        <v>606</v>
      </c>
      <c r="B609" s="10" t="inlineStr">
        <is>
          <t xml:space="preserve">    return list(seen.values())</t>
        </is>
      </c>
    </row>
    <row r="610">
      <c r="A610" s="7" t="n">
        <v>607</v>
      </c>
      <c r="B610" s="8" t="inlineStr"/>
    </row>
    <row r="611">
      <c r="A611" s="9" t="n">
        <v>608</v>
      </c>
      <c r="B611" s="10" t="inlineStr"/>
    </row>
    <row r="612">
      <c r="A612" s="7" t="n">
        <v>609</v>
      </c>
      <c r="B612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613">
      <c r="A613" s="9" t="n">
        <v>610</v>
      </c>
      <c r="B613" s="10" t="inlineStr">
        <is>
          <t># 主流程</t>
        </is>
      </c>
    </row>
    <row r="614">
      <c r="A614" s="7" t="n">
        <v>611</v>
      </c>
      <c r="B614" s="8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615">
      <c r="A615" s="9" t="n">
        <v>612</v>
      </c>
      <c r="B615" s="10" t="inlineStr"/>
    </row>
    <row r="616">
      <c r="A616" s="7" t="n">
        <v>613</v>
      </c>
      <c r="B616" s="8" t="inlineStr">
        <is>
          <t>def print_banner():</t>
        </is>
      </c>
    </row>
    <row r="617">
      <c r="A617" s="9" t="n">
        <v>614</v>
      </c>
      <c r="B617" s="10" t="inlineStr">
        <is>
          <t xml:space="preserve">    print(r"""</t>
        </is>
      </c>
    </row>
    <row r="618">
      <c r="A618" s="7" t="n">
        <v>615</v>
      </c>
      <c r="B618" s="8" t="inlineStr">
        <is>
          <t>╔══════════════════════════════════════════════╗</t>
        </is>
      </c>
    </row>
    <row r="619">
      <c r="A619" s="9" t="n">
        <v>616</v>
      </c>
      <c r="B619" s="10" t="inlineStr">
        <is>
          <t>║       🌳 树剪 · AI视频自动剪辑工具            ║</t>
        </is>
      </c>
    </row>
    <row r="620">
      <c r="A620" s="7" t="n">
        <v>617</v>
      </c>
      <c r="B620" s="8" t="inlineStr">
        <is>
          <t>║           剪映专业版草稿自动生成              ║</t>
        </is>
      </c>
    </row>
    <row r="621">
      <c r="A621" s="9" t="n">
        <v>618</v>
      </c>
      <c r="B621" s="10" t="inlineStr">
        <is>
          <t>╚══════════════════════════════════════════════╝""")</t>
        </is>
      </c>
    </row>
    <row r="622">
      <c r="A622" s="7" t="n">
        <v>619</v>
      </c>
      <c r="B622" s="8" t="inlineStr"/>
    </row>
    <row r="623">
      <c r="A623" s="9" t="n">
        <v>620</v>
      </c>
      <c r="B623" s="10" t="inlineStr"/>
    </row>
    <row r="624">
      <c r="A624" s="7" t="n">
        <v>621</v>
      </c>
      <c r="B624" s="8" t="inlineStr">
        <is>
          <t>def print_clip_table(clips: List[dict]):</t>
        </is>
      </c>
    </row>
    <row r="625">
      <c r="A625" s="9" t="n">
        <v>622</v>
      </c>
      <c r="B625" s="10" t="inlineStr">
        <is>
          <t xml:space="preserve">    print(f"\n   [*] 选取了 {len(clips)} 个片段:")</t>
        </is>
      </c>
    </row>
    <row r="626">
      <c r="A626" s="7" t="n">
        <v>623</v>
      </c>
      <c r="B626" s="8" t="inlineStr">
        <is>
          <t xml:space="preserve">    total_dur = 0</t>
        </is>
      </c>
    </row>
    <row r="627">
      <c r="A627" s="9" t="n">
        <v>624</v>
      </c>
      <c r="B627" s="10" t="inlineStr">
        <is>
          <t xml:space="preserve">    for i, clip in enumerate(clips):</t>
        </is>
      </c>
    </row>
    <row r="628">
      <c r="A628" s="7" t="n">
        <v>625</v>
      </c>
      <c r="B628" s="8" t="inlineStr">
        <is>
          <t xml:space="preserve">        dur = clip["duration"]; total_dur += dur</t>
        </is>
      </c>
    </row>
    <row r="629">
      <c r="A629" s="9" t="n">
        <v>626</v>
      </c>
      <c r="B629" s="10" t="inlineStr">
        <is>
          <t xml:space="preserve">        fname = clip["path"].name</t>
        </is>
      </c>
    </row>
    <row r="630">
      <c r="A630" s="7" t="n">
        <v>627</v>
      </c>
      <c r="B630" s="8" t="inlineStr">
        <is>
          <t xml:space="preserve">        if len(fname) &gt; 55: fname = fname[:52] + "..."</t>
        </is>
      </c>
    </row>
    <row r="631">
      <c r="A631" s="9" t="n">
        <v>628</v>
      </c>
      <c r="B631" s="10" t="inlineStr">
        <is>
          <t xml:space="preserve">        print(f"   [{i+1}] {fname}")</t>
        </is>
      </c>
    </row>
    <row r="632">
      <c r="A632" s="7" t="n">
        <v>629</v>
      </c>
      <c r="B632" s="8" t="inlineStr">
        <is>
          <t xml:space="preserve">        print(f"        ↳ 截取 {clip['source_start']:.1f}s 起 {dur:.1f}秒")</t>
        </is>
      </c>
    </row>
    <row r="633">
      <c r="A633" s="9" t="n">
        <v>630</v>
      </c>
      <c r="B633" s="10" t="inlineStr">
        <is>
          <t xml:space="preserve">    print(f"   [*] 总时长: {total_dur:.1f}秒")</t>
        </is>
      </c>
    </row>
    <row r="634">
      <c r="A634" s="7" t="n">
        <v>631</v>
      </c>
      <c r="B634" s="8" t="inlineStr">
        <is>
          <t xml:space="preserve">    return total_dur</t>
        </is>
      </c>
    </row>
    <row r="635">
      <c r="A635" s="9" t="n">
        <v>632</v>
      </c>
      <c r="B635" s="10" t="inlineStr"/>
    </row>
    <row r="636">
      <c r="A636" s="7" t="n">
        <v>633</v>
      </c>
      <c r="B636" s="8" t="inlineStr"/>
    </row>
    <row r="637">
      <c r="A637" s="9" t="n">
        <v>634</v>
      </c>
      <c r="B637" s="10" t="inlineStr">
        <is>
          <t>def save_copy(copy_text: str, keyword: str):</t>
        </is>
      </c>
    </row>
    <row r="638">
      <c r="A638" s="7" t="n">
        <v>635</v>
      </c>
      <c r="B638" s="8" t="inlineStr">
        <is>
          <t xml:space="preserve">    Path(OUTPUT_COPY_DIR).mkdir(parents=True, exist_ok=True)</t>
        </is>
      </c>
    </row>
    <row r="639">
      <c r="A639" s="9" t="n">
        <v>636</v>
      </c>
      <c r="B639" s="10" t="inlineStr">
        <is>
          <t xml:space="preserve">    timestamp = datetime.now().strftime("%Y%m%d_%H%M%S")</t>
        </is>
      </c>
    </row>
    <row r="640">
      <c r="A640" s="7" t="n">
        <v>637</v>
      </c>
      <c r="B640" s="8" t="inlineStr">
        <is>
          <t xml:space="preserve">    safe_keyword = re.sub(r'[^\w一-鿿]', '_', keyword)</t>
        </is>
      </c>
    </row>
    <row r="641">
      <c r="A641" s="9" t="n">
        <v>638</v>
      </c>
      <c r="B641" s="10" t="inlineStr">
        <is>
          <t xml:space="preserve">    filepath = Path(OUTPUT_COPY_DIR) / f"文案_{safe_keyword}_{timestamp}.txt"</t>
        </is>
      </c>
    </row>
    <row r="642">
      <c r="A642" s="7" t="n">
        <v>639</v>
      </c>
      <c r="B642" s="8" t="inlineStr">
        <is>
          <t xml:space="preserve">    filepath.write_text(copy_text, encoding="utf-8")</t>
        </is>
      </c>
    </row>
    <row r="643">
      <c r="A643" s="9" t="n">
        <v>640</v>
      </c>
      <c r="B643" s="10" t="inlineStr">
        <is>
          <t xml:space="preserve">    print(f"   [*] 文案已保存: {filepath}")</t>
        </is>
      </c>
    </row>
    <row r="644">
      <c r="A644" s="7" t="n">
        <v>641</v>
      </c>
      <c r="B644" s="8" t="inlineStr">
        <is>
          <t xml:space="preserve">    return filepath</t>
        </is>
      </c>
    </row>
    <row r="645">
      <c r="A645" s="9" t="n">
        <v>642</v>
      </c>
      <c r="B645" s="10" t="inlineStr"/>
    </row>
    <row r="646">
      <c r="A646" s="7" t="n">
        <v>643</v>
      </c>
      <c r="B646" s="8" t="inlineStr"/>
    </row>
    <row r="647">
      <c r="A647" s="9" t="n">
        <v>644</v>
      </c>
      <c r="B647" s="10" t="inlineStr">
        <is>
          <t>def run(keyword: str, num_clips: int = None, bgm_file: str = None,</t>
        </is>
      </c>
    </row>
    <row r="648">
      <c r="A648" s="7" t="n">
        <v>645</v>
      </c>
      <c r="B648" s="8" t="inlineStr">
        <is>
          <t xml:space="preserve">        use_effects: bool = False, dry_run: bool = False,</t>
        </is>
      </c>
    </row>
    <row r="649">
      <c r="A649" s="9" t="n">
        <v>646</v>
      </c>
      <c r="B649" s="10" t="inlineStr">
        <is>
          <t xml:space="preserve">        auto_bgm: bool = False, generate_tts: bool = False,</t>
        </is>
      </c>
    </row>
    <row r="650">
      <c r="A650" s="7" t="n">
        <v>647</v>
      </c>
      <c r="B650" s="8" t="inlineStr">
        <is>
          <t xml:space="preserve">        auto_mode: bool = False,</t>
        </is>
      </c>
    </row>
    <row r="651">
      <c r="A651" s="9" t="n">
        <v>648</v>
      </c>
      <c r="B651" s="10" t="inlineStr">
        <is>
          <t xml:space="preserve">        tts_voice: str = None, custom_voice: bool = False,</t>
        </is>
      </c>
    </row>
    <row r="652">
      <c r="A652" s="7" t="n">
        <v>649</v>
      </c>
      <c r="B652" s="8" t="inlineStr">
        <is>
          <t xml:space="preserve">        use_script: str = None, script_row: int = 2,</t>
        </is>
      </c>
    </row>
    <row r="653">
      <c r="A653" s="9" t="n">
        <v>650</v>
      </c>
      <c r="B653" s="10" t="inlineStr">
        <is>
          <t xml:space="preserve">        direct_copy: str = None, copy_text_override: str = None,</t>
        </is>
      </c>
    </row>
    <row r="654">
      <c r="A654" s="7" t="n">
        <v>651</v>
      </c>
      <c r="B654" s="8" t="inlineStr">
        <is>
          <t xml:space="preserve">        progress_callback=None, script_id: int = None,</t>
        </is>
      </c>
    </row>
    <row r="655">
      <c r="A655" s="9" t="n">
        <v>652</v>
      </c>
      <c r="B655" s="10" t="inlineStr">
        <is>
          <t xml:space="preserve">        exclude_paths: list = None, task_id: str = None,</t>
        </is>
      </c>
    </row>
    <row r="656">
      <c r="A656" s="7" t="n">
        <v>653</v>
      </c>
      <c r="B656" s="8" t="inlineStr">
        <is>
          <t xml:space="preserve">        video_log_id: int = None, video_index: int = 1,</t>
        </is>
      </c>
    </row>
    <row r="657">
      <c r="A657" s="9" t="n">
        <v>654</v>
      </c>
      <c r="B657" s="10" t="inlineStr">
        <is>
          <t xml:space="preserve">        session_used_paths: set = None, script_hash: str = None,</t>
        </is>
      </c>
    </row>
    <row r="658">
      <c r="A658" s="7" t="n">
        <v>655</v>
      </c>
      <c r="B658" s="8" t="inlineStr">
        <is>
          <t xml:space="preserve">        no_script_library: bool = False):</t>
        </is>
      </c>
    </row>
    <row r="659">
      <c r="A659" s="9" t="n">
        <v>656</v>
      </c>
      <c r="B659" s="10" t="inlineStr">
        <is>
          <t xml:space="preserve">    """主生成管道。</t>
        </is>
      </c>
    </row>
    <row r="660">
      <c r="A660" s="7" t="n">
        <v>657</v>
      </c>
      <c r="B660" s="8" t="inlineStr">
        <is>
          <t xml:space="preserve">       exclude_paths: 会话级已用素材路径列表。</t>
        </is>
      </c>
    </row>
    <row r="661">
      <c r="A661" s="9" t="n">
        <v>658</v>
      </c>
      <c r="B661" s="10" t="inlineStr">
        <is>
          <t xml:space="preserve">       session_used_paths: 本次批量任务已用素材集合(set) — v11.6强制去重。</t>
        </is>
      </c>
    </row>
    <row r="662">
      <c r="A662" s="7" t="n">
        <v>659</v>
      </c>
      <c r="B662" s="8" t="inlineStr">
        <is>
          <t xml:space="preserve">       script_hash: 当前脚本哈希 — v11.6脚本偏好学习。</t>
        </is>
      </c>
    </row>
    <row r="663">
      <c r="A663" s="9" t="n">
        <v>660</v>
      </c>
      <c r="B663" s="10" t="inlineStr">
        <is>
          <t xml:space="preserve">       task_id: 生成任务ID — 用于持久化素材使用记录。</t>
        </is>
      </c>
    </row>
    <row r="664">
      <c r="A664" s="7" t="n">
        <v>661</v>
      </c>
      <c r="B664" s="8" t="inlineStr">
        <is>
          <t xml:space="preserve">       video_log_id: 关联 generation_video_log 的ID。</t>
        </is>
      </c>
    </row>
    <row r="665">
      <c r="A665" s="9" t="n">
        <v>662</v>
      </c>
      <c r="B665" s="10" t="inlineStr">
        <is>
          <t xml:space="preserve">       video_index: 批量中的序号。</t>
        </is>
      </c>
    </row>
    <row r="666">
      <c r="A666" s="7" t="n">
        <v>663</v>
      </c>
      <c r="B666" s="8" t="inlineStr">
        <is>
          <t xml:space="preserve">       no_script_library: 用户明确要求不使用脚本库时设为True。默认False=优先从脚本库随机选取。</t>
        </is>
      </c>
    </row>
    <row r="667">
      <c r="A667" s="9" t="n">
        <v>664</v>
      </c>
      <c r="B667" s="10" t="inlineStr">
        <is>
          <t xml:space="preserve">    """</t>
        </is>
      </c>
    </row>
    <row r="668">
      <c r="A668" s="7" t="n">
        <v>665</v>
      </c>
      <c r="B668" s="8" t="inlineStr">
        <is>
          <t xml:space="preserve">    TOTAL_STEPS = 6</t>
        </is>
      </c>
    </row>
    <row r="669">
      <c r="A669" s="9" t="n">
        <v>666</v>
      </c>
      <c r="B669" s="10" t="inlineStr"/>
    </row>
    <row r="670">
      <c r="A670" s="7" t="n">
        <v>667</v>
      </c>
      <c r="B670" s="8" t="inlineStr">
        <is>
          <t xml:space="preserve">    def _progress(step, msg):</t>
        </is>
      </c>
    </row>
    <row r="671">
      <c r="A671" s="9" t="n">
        <v>668</v>
      </c>
      <c r="B671" s="10" t="inlineStr">
        <is>
          <t xml:space="preserve">        if progress_callback:</t>
        </is>
      </c>
    </row>
    <row r="672">
      <c r="A672" s="7" t="n">
        <v>669</v>
      </c>
      <c r="B672" s="8" t="inlineStr">
        <is>
          <t xml:space="preserve">            progress_callback(step, TOTAL_STEPS, msg)</t>
        </is>
      </c>
    </row>
    <row r="673">
      <c r="A673" s="9" t="n">
        <v>670</v>
      </c>
      <c r="B673" s="10" t="inlineStr"/>
    </row>
    <row r="674">
      <c r="A674" s="7" t="n">
        <v>671</v>
      </c>
      <c r="B674" s="8" t="inlineStr">
        <is>
          <t xml:space="preserve">    print_banner()</t>
        </is>
      </c>
    </row>
    <row r="675">
      <c r="A675" s="9" t="n">
        <v>672</v>
      </c>
      <c r="B675" s="10" t="inlineStr">
        <is>
          <t xml:space="preserve">    print(f"&gt;&gt; 卖点关键词: 「{keyword}」")</t>
        </is>
      </c>
    </row>
    <row r="676">
      <c r="A676" s="7" t="n">
        <v>673</v>
      </c>
      <c r="B676" s="8" t="inlineStr"/>
    </row>
    <row r="677">
      <c r="A677" s="9" t="n">
        <v>674</v>
      </c>
      <c r="B677" s="10" t="inlineStr">
        <is>
          <t xml:space="preserve">    if num_clips is None: num_clips = NUM_CLIPS_MAX</t>
        </is>
      </c>
    </row>
    <row r="678">
      <c r="A678" s="7" t="n">
        <v>675</v>
      </c>
      <c r="B678" s="8" t="inlineStr"/>
    </row>
    <row r="679">
      <c r="A679" s="9" t="n">
        <v>676</v>
      </c>
      <c r="B679" s="10" t="inlineStr">
        <is>
          <t xml:space="preserve">    # Step 1: 多卖点混合素材扫描</t>
        </is>
      </c>
    </row>
    <row r="680">
      <c r="A680" s="7" t="n">
        <v>677</v>
      </c>
      <c r="B680" s="8" t="inlineStr">
        <is>
          <t xml:space="preserve">    _progress(1, "素材扫描")</t>
        </is>
      </c>
    </row>
    <row r="681">
      <c r="A681" s="9" t="n">
        <v>678</v>
      </c>
      <c r="B681" s="10" t="inlineStr">
        <is>
          <t xml:space="preserve">    print(f"\n{'='*50}")</t>
        </is>
      </c>
    </row>
    <row r="682">
      <c r="A682" s="7" t="n">
        <v>679</v>
      </c>
      <c r="B682" s="8" t="inlineStr">
        <is>
          <t xml:space="preserve">    print(f"[SCAN] Step 1/6: 多卖点混合素材扫描...")</t>
        </is>
      </c>
    </row>
    <row r="683">
      <c r="A683" s="9" t="n">
        <v>680</v>
      </c>
      <c r="B683" s="10" t="inlineStr">
        <is>
          <t xml:space="preserve">    multi = collect_multi_point_mp4s(keyword)</t>
        </is>
      </c>
    </row>
    <row r="684">
      <c r="A684" s="7" t="n">
        <v>681</v>
      </c>
      <c r="B684" s="8" t="inlineStr">
        <is>
          <t xml:space="preserve">    primary_mp4s = multi["primary"]; primary_name = multi["primary_name"]</t>
        </is>
      </c>
    </row>
    <row r="685">
      <c r="A685" s="9" t="n">
        <v>682</v>
      </c>
      <c r="B685" s="10" t="inlineStr">
        <is>
          <t xml:space="preserve">    other_points = multi["other_points"]; global_mp4s = multi["global_show"]</t>
        </is>
      </c>
    </row>
    <row r="686">
      <c r="A686" s="7" t="n">
        <v>683</v>
      </c>
      <c r="B686" s="8" t="inlineStr">
        <is>
          <t xml:space="preserve">    all_other_mp4s = multi["all_other_mp4s"]</t>
        </is>
      </c>
    </row>
    <row r="687">
      <c r="A687" s="9" t="n">
        <v>684</v>
      </c>
      <c r="B687" s="10" t="inlineStr">
        <is>
          <t xml:space="preserve">    b_group_mp4s = collect_b_group_mp4s(keyword) if ENABLE_B_GROUP_MIX else []</t>
        </is>
      </c>
    </row>
    <row r="688">
      <c r="A688" s="7" t="n">
        <v>685</v>
      </c>
      <c r="B688" s="8" t="inlineStr">
        <is>
          <t xml:space="preserve">    all_mp4s = primary_mp4s + all_other_mp4s + global_mp4s + b_group_mp4s</t>
        </is>
      </c>
    </row>
    <row r="689">
      <c r="A689" s="9" t="n">
        <v>686</v>
      </c>
      <c r="B689" s="10" t="inlineStr">
        <is>
          <t xml:space="preserve">    if not all_mp4s:</t>
        </is>
      </c>
    </row>
    <row r="690">
      <c r="A690" s="7" t="n">
        <v>687</v>
      </c>
      <c r="B690" s="8" t="inlineStr">
        <is>
          <t xml:space="preserve">        print(f"\n[FAIL] 所有素材池为空！"); return None</t>
        </is>
      </c>
    </row>
    <row r="691">
      <c r="A691" s="9" t="n">
        <v>688</v>
      </c>
      <c r="B691" s="10" t="inlineStr"/>
    </row>
    <row r="692">
      <c r="A692" s="7" t="n">
        <v>689</v>
      </c>
      <c r="B692" s="8" t="inlineStr">
        <is>
          <t xml:space="preserve">    # Step 2: 获取文案</t>
        </is>
      </c>
    </row>
    <row r="693">
      <c r="A693" s="9" t="n">
        <v>690</v>
      </c>
      <c r="B693" s="10" t="inlineStr">
        <is>
          <t xml:space="preserve">    print(f"\n{'='*50}")</t>
        </is>
      </c>
    </row>
    <row r="694">
      <c r="A694" s="7" t="n">
        <v>691</v>
      </c>
      <c r="B694" s="8" t="inlineStr">
        <is>
          <t xml:space="preserve">    script_copy = None; script_keyword = None</t>
        </is>
      </c>
    </row>
    <row r="695">
      <c r="A695" s="9" t="n">
        <v>692</v>
      </c>
      <c r="B695" s="10" t="inlineStr">
        <is>
          <t xml:space="preserve">    if copy_text_override:</t>
        </is>
      </c>
    </row>
    <row r="696">
      <c r="A696" s="7" t="n">
        <v>693</v>
      </c>
      <c r="B696" s="8" t="inlineStr">
        <is>
          <t xml:space="preserve">        script_copy = copy_text_override</t>
        </is>
      </c>
    </row>
    <row r="697">
      <c r="A697" s="9" t="n">
        <v>694</v>
      </c>
      <c r="B697" s="10" t="inlineStr">
        <is>
          <t xml:space="preserve">        _progress(2, "AI文案生成"); print(f"[*] Step 2/6: 使用外部文案({len(script_copy)}字)...")</t>
        </is>
      </c>
    </row>
    <row r="698">
      <c r="A698" s="7" t="n">
        <v>695</v>
      </c>
      <c r="B698" s="8" t="inlineStr">
        <is>
          <t xml:space="preserve">    if not script_copy and direct_copy:</t>
        </is>
      </c>
    </row>
    <row r="699">
      <c r="A699" s="9" t="n">
        <v>696</v>
      </c>
      <c r="B699" s="10" t="inlineStr">
        <is>
          <t xml:space="preserve">        script_copy = direct_copy</t>
        </is>
      </c>
    </row>
    <row r="700">
      <c r="A700" s="7" t="n">
        <v>697</v>
      </c>
      <c r="B700" s="8" t="inlineStr">
        <is>
          <t xml:space="preserve">        _progress(2, "AI文案生成"); print(f"[*] Step 2/6: 使用指定文案({len(script_copy)}字)...")</t>
        </is>
      </c>
    </row>
    <row r="701">
      <c r="A701" s="9" t="n">
        <v>698</v>
      </c>
      <c r="B701" s="10" t="inlineStr">
        <is>
          <t xml:space="preserve">    if not script_copy and use_script:</t>
        </is>
      </c>
    </row>
    <row r="702">
      <c r="A702" s="7" t="n">
        <v>699</v>
      </c>
      <c r="B702" s="8" t="inlineStr">
        <is>
          <t xml:space="preserve">        script_path = Path(SCRIPT_FOLDER_PATH) / use_script</t>
        </is>
      </c>
    </row>
    <row r="703">
      <c r="A703" s="9" t="n">
        <v>700</v>
      </c>
      <c r="B703" s="10" t="inlineStr">
        <is>
          <t xml:space="preserve">        if not script_path.exists(): script_path = Path(use_script)</t>
        </is>
      </c>
    </row>
    <row r="704">
      <c r="A704" s="7" t="n">
        <v>701</v>
      </c>
      <c r="B704" s="8" t="inlineStr">
        <is>
          <t xml:space="preserve">        if script_path.exists():</t>
        </is>
      </c>
    </row>
    <row r="705">
      <c r="A705" s="9" t="n">
        <v>702</v>
      </c>
      <c r="B705" s="10" t="inlineStr">
        <is>
          <t xml:space="preserve">            row_data = get_script_row(str(script_path), script_row)</t>
        </is>
      </c>
    </row>
    <row r="706">
      <c r="A706" s="7" t="n">
        <v>703</v>
      </c>
      <c r="B706" s="8" t="inlineStr">
        <is>
          <t xml:space="preserve">            if row_data and row_data["copy"]:</t>
        </is>
      </c>
    </row>
    <row r="707">
      <c r="A707" s="9" t="n">
        <v>704</v>
      </c>
      <c r="B707" s="10" t="inlineStr">
        <is>
          <t xml:space="preserve">                script_copy = row_data["copy"]</t>
        </is>
      </c>
    </row>
    <row r="708">
      <c r="A708" s="7" t="n">
        <v>705</v>
      </c>
      <c r="B708" s="8" t="inlineStr">
        <is>
          <t xml:space="preserve">                _progress(2, "AI文案生成"); print(f"[*] Step 2/6: 使用脚本文案({row_data['source']})...")</t>
        </is>
      </c>
    </row>
    <row r="709">
      <c r="A709" s="9" t="n">
        <v>706</v>
      </c>
      <c r="B709" s="10" t="inlineStr"/>
    </row>
    <row r="710">
      <c r="A710" s="7" t="n">
        <v>707</v>
      </c>
      <c r="B710" s="8" t="inlineStr">
        <is>
          <t xml:space="preserve">    # ── v11.8 硬性规则: 默认从脚本库随机选取，除非用户明确说不用 ──</t>
        </is>
      </c>
    </row>
    <row r="711">
      <c r="A711" s="9" t="n">
        <v>708</v>
      </c>
      <c r="B711" s="10" t="inlineStr">
        <is>
          <t xml:space="preserve">    if not script_copy and not no_script_library:</t>
        </is>
      </c>
    </row>
    <row r="712">
      <c r="A712" s="7" t="n">
        <v>709</v>
      </c>
      <c r="B712" s="8" t="inlineStr">
        <is>
          <t xml:space="preserve">        try:</t>
        </is>
      </c>
    </row>
    <row r="713">
      <c r="A713" s="9" t="n">
        <v>710</v>
      </c>
      <c r="B713" s="10" t="inlineStr">
        <is>
          <t xml:space="preserve">            from core.script_learning import get_library</t>
        </is>
      </c>
    </row>
    <row r="714">
      <c r="A714" s="7" t="n">
        <v>711</v>
      </c>
      <c r="B714" s="8" t="inlineStr">
        <is>
          <t xml:space="preserve">            lib = get_library()</t>
        </is>
      </c>
    </row>
    <row r="715">
      <c r="A715" s="9" t="n">
        <v>712</v>
      </c>
      <c r="B715" s="10" t="inlineStr">
        <is>
          <t xml:space="preserve">            chosen = lib.get_script_with_diversity(prefer_unused=True)</t>
        </is>
      </c>
    </row>
    <row r="716">
      <c r="A716" s="7" t="n">
        <v>713</v>
      </c>
      <c r="B716" s="8" t="inlineStr">
        <is>
          <t xml:space="preserve">            if chosen:</t>
        </is>
      </c>
    </row>
    <row r="717">
      <c r="A717" s="9" t="n">
        <v>714</v>
      </c>
      <c r="B717" s="10" t="inlineStr">
        <is>
          <t xml:space="preserve">                script_copy = chosen["content"]</t>
        </is>
      </c>
    </row>
    <row r="718">
      <c r="A718" s="7" t="n">
        <v>715</v>
      </c>
      <c r="B718" s="8" t="inlineStr">
        <is>
          <t xml:space="preserve">                script_id = chosen["id"]</t>
        </is>
      </c>
    </row>
    <row r="719">
      <c r="A719" s="9" t="n">
        <v>716</v>
      </c>
      <c r="B719" s="10" t="inlineStr">
        <is>
          <t xml:space="preserve">                _progress(2, "AI文案生成"); print(f"[*] Step 2/6: 📜 从脚本库随机选取 (ID={chosen['id']}, 已用{chosen['usage_count']}次)...")</t>
        </is>
      </c>
    </row>
    <row r="720">
      <c r="A720" s="7" t="n">
        <v>717</v>
      </c>
      <c r="B720" s="8" t="inlineStr">
        <is>
          <t xml:space="preserve">                print(f"   [ScriptLib] 选中脚本预览: {script_copy[:80]}...")</t>
        </is>
      </c>
    </row>
    <row r="721">
      <c r="A721" s="9" t="n">
        <v>718</v>
      </c>
      <c r="B721" s="10" t="inlineStr">
        <is>
          <t xml:space="preserve">            else:</t>
        </is>
      </c>
    </row>
    <row r="722">
      <c r="A722" s="7" t="n">
        <v>719</v>
      </c>
      <c r="B722" s="8" t="inlineStr">
        <is>
          <t xml:space="preserve">                print(f"   [ScriptLib] ⚠️ 脚本库为空, 降级到AI生成")</t>
        </is>
      </c>
    </row>
    <row r="723">
      <c r="A723" s="9" t="n">
        <v>720</v>
      </c>
      <c r="B723" s="10" t="inlineStr">
        <is>
          <t xml:space="preserve">        except Exception as e:</t>
        </is>
      </c>
    </row>
    <row r="724">
      <c r="A724" s="7" t="n">
        <v>721</v>
      </c>
      <c r="B724" s="8" t="inlineStr">
        <is>
          <t xml:space="preserve">            print(f"   [ScriptLib] 脚本库查询失败(非致命): {e}, 降级到AI生成")</t>
        </is>
      </c>
    </row>
    <row r="725">
      <c r="A725" s="9" t="n">
        <v>722</v>
      </c>
      <c r="B725" s="10" t="inlineStr"/>
    </row>
    <row r="726">
      <c r="A726" s="7" t="n">
        <v>723</v>
      </c>
      <c r="B726" s="8" t="inlineStr">
        <is>
          <t xml:space="preserve">    if script_copy:</t>
        </is>
      </c>
    </row>
    <row r="727">
      <c r="A727" s="9" t="n">
        <v>724</v>
      </c>
      <c r="B727" s="10" t="inlineStr">
        <is>
          <t xml:space="preserve">        copy_text = script_copy</t>
        </is>
      </c>
    </row>
    <row r="728">
      <c r="A728" s="7" t="n">
        <v>725</v>
      </c>
      <c r="B728" s="8" t="inlineStr">
        <is>
          <t xml:space="preserve">    else:</t>
        </is>
      </c>
    </row>
    <row r="729">
      <c r="A729" s="9" t="n">
        <v>726</v>
      </c>
      <c r="B729" s="10" t="inlineStr">
        <is>
          <t xml:space="preserve">        copy_text = generate_copy(keyword, num_clips, DEFAULT_COPY_DURATION, clips=None)</t>
        </is>
      </c>
    </row>
    <row r="730">
      <c r="A730" s="7" t="n">
        <v>727</v>
      </c>
      <c r="B730" s="8" t="inlineStr"/>
    </row>
    <row r="731">
      <c r="A731" s="9" t="n">
        <v>728</v>
      </c>
      <c r="B731" s="10" t="inlineStr">
        <is>
          <t xml:space="preserve">    print(f"\n{'─'*40}\n{copy_text}\n{'─'*40}")</t>
        </is>
      </c>
    </row>
    <row r="732">
      <c r="A732" s="7" t="n">
        <v>729</v>
      </c>
      <c r="B732" s="8" t="inlineStr">
        <is>
          <t xml:space="preserve">    copy_path = save_copy(copy_text, keyword)</t>
        </is>
      </c>
    </row>
    <row r="733">
      <c r="A733" s="9" t="n">
        <v>730</v>
      </c>
      <c r="B733" s="10" t="inlineStr"/>
    </row>
    <row r="734">
      <c r="A734" s="7" t="n">
        <v>731</v>
      </c>
      <c r="B734" s="8" t="inlineStr">
        <is>
          <t xml:space="preserve">    # 字幕拆分</t>
        </is>
      </c>
    </row>
    <row r="735">
      <c r="A735" s="9" t="n">
        <v>732</v>
      </c>
      <c r="B735" s="10" t="inlineStr">
        <is>
          <t xml:space="preserve">    subtitles = split_copy_to_subtitles(copy_text)</t>
        </is>
      </c>
    </row>
    <row r="736">
      <c r="A736" s="7" t="n">
        <v>733</v>
      </c>
      <c r="B736" s="8" t="inlineStr">
        <is>
          <t xml:space="preserve">    subtitles = [strip_leading_junk(s) for s in subtitles]</t>
        </is>
      </c>
    </row>
    <row r="737">
      <c r="A737" s="9" t="n">
        <v>734</v>
      </c>
      <c r="B737" s="10" t="inlineStr">
        <is>
          <t xml:space="preserve">    subtitles = [s for s in subtitles if s and len(re.findall(r'[一-鿿]', s)) &gt;= 2]</t>
        </is>
      </c>
    </row>
    <row r="738">
      <c r="A738" s="7" t="n">
        <v>735</v>
      </c>
      <c r="B738" s="8" t="inlineStr">
        <is>
          <t xml:space="preserve">    if not subtitles: subtitles = ["坤宝岛台"]</t>
        </is>
      </c>
    </row>
    <row r="739">
      <c r="A739" s="9" t="n">
        <v>736</v>
      </c>
      <c r="B739" s="10" t="inlineStr"/>
    </row>
    <row r="740">
      <c r="A740" s="7" t="n">
        <v>737</v>
      </c>
      <c r="B740" s="8" t="inlineStr">
        <is>
          <t xml:space="preserve">    tts_text = ".".join(subtitles)</t>
        </is>
      </c>
    </row>
    <row r="741">
      <c r="A741" s="9" t="n">
        <v>738</v>
      </c>
      <c r="B741" s="10" t="inlineStr">
        <is>
          <t xml:space="preserve">    tts_text = clean_text_for_tts(tts_text)</t>
        </is>
      </c>
    </row>
    <row r="742">
      <c r="A742" s="7" t="n">
        <v>739</v>
      </c>
      <c r="B742" s="8" t="inlineStr">
        <is>
          <t xml:space="preserve">    est_tts = estimate_tts_duration(tts_text)</t>
        </is>
      </c>
    </row>
    <row r="743">
      <c r="A743" s="9" t="n">
        <v>740</v>
      </c>
      <c r="B743" s="10" t="inlineStr">
        <is>
          <t xml:space="preserve">    print(f"   [*] {len(subtitles)}条字幕(句子级拆分,已清洗)")</t>
        </is>
      </c>
    </row>
    <row r="744">
      <c r="A744" s="7" t="n">
        <v>741</v>
      </c>
      <c r="B744" s="8" t="inlineStr"/>
    </row>
    <row r="745">
      <c r="A745" s="9" t="n">
        <v>742</v>
      </c>
      <c r="B745" s="10" t="inlineStr">
        <is>
          <t xml:space="preserve">    # Step 3: 配音</t>
        </is>
      </c>
    </row>
    <row r="746">
      <c r="A746" s="7" t="n">
        <v>743</v>
      </c>
      <c r="B746" s="8" t="inlineStr">
        <is>
          <t xml:space="preserve">    print(f"\n{'='*50}")</t>
        </is>
      </c>
    </row>
    <row r="747">
      <c r="A747" s="9" t="n">
        <v>744</v>
      </c>
      <c r="B747" s="10" t="inlineStr">
        <is>
          <t xml:space="preserve">    _progress(3, "AI配音"); print(f"[*]  Step 3/6: 生成完整配音...")</t>
        </is>
      </c>
    </row>
    <row r="748">
      <c r="A748" s="7" t="n">
        <v>745</v>
      </c>
      <c r="B748" s="8" t="inlineStr">
        <is>
          <t xml:space="preserve">    tts_path = None; tts_duration = 0.0</t>
        </is>
      </c>
    </row>
    <row r="749">
      <c r="A749" s="9" t="n">
        <v>746</v>
      </c>
      <c r="B749" s="10" t="inlineStr">
        <is>
          <t xml:space="preserve">    if generate_tts:</t>
        </is>
      </c>
    </row>
    <row r="750">
      <c r="A750" s="7" t="n">
        <v>747</v>
      </c>
      <c r="B750" s="8" t="inlineStr">
        <is>
          <t xml:space="preserve">        actual_voice = tts_voice or TTS_VOICE</t>
        </is>
      </c>
    </row>
    <row r="751">
      <c r="A751" s="9" t="n">
        <v>748</v>
      </c>
      <c r="B751" s="10" t="inlineStr">
        <is>
          <t xml:space="preserve">        tts_path = generate_tts_voiceover(tts_text, keyword, voice=actual_voice)</t>
        </is>
      </c>
    </row>
    <row r="752">
      <c r="A752" s="7" t="n">
        <v>749</v>
      </c>
      <c r="B752" s="8" t="inlineStr">
        <is>
          <t xml:space="preserve">        if tts_path:</t>
        </is>
      </c>
    </row>
    <row r="753">
      <c r="A753" s="9" t="n">
        <v>750</v>
      </c>
      <c r="B753" s="10" t="inlineStr">
        <is>
          <t xml:space="preserve">            tts_duration = get_audio_duration_seconds(tts_path)</t>
        </is>
      </c>
    </row>
    <row r="754">
      <c r="A754" s="7" t="n">
        <v>751</v>
      </c>
      <c r="B754" s="8" t="inlineStr">
        <is>
          <t xml:space="preserve">            print(f"   ⏱  ★ 配音精确时长: {tts_duration:.1f}秒")</t>
        </is>
      </c>
    </row>
    <row r="755">
      <c r="A755" s="9" t="n">
        <v>752</v>
      </c>
      <c r="B755" s="10" t="inlineStr">
        <is>
          <t xml:space="preserve">        else:</t>
        </is>
      </c>
    </row>
    <row r="756">
      <c r="A756" s="7" t="n">
        <v>753</v>
      </c>
      <c r="B756" s="8" t="inlineStr">
        <is>
          <t xml:space="preserve">            print(f"   !! 配音生成失败,使用估算时长")</t>
        </is>
      </c>
    </row>
    <row r="757">
      <c r="A757" s="9" t="n">
        <v>754</v>
      </c>
      <c r="B757" s="10" t="inlineStr">
        <is>
          <t xml:space="preserve">            tts_duration = est_tts</t>
        </is>
      </c>
    </row>
    <row r="758">
      <c r="A758" s="7" t="n">
        <v>755</v>
      </c>
      <c r="B758" s="8" t="inlineStr">
        <is>
          <t xml:space="preserve">    else:</t>
        </is>
      </c>
    </row>
    <row r="759">
      <c r="A759" s="9" t="n">
        <v>756</v>
      </c>
      <c r="B759" s="10" t="inlineStr">
        <is>
          <t xml:space="preserve">        print(f"   [TIP] 使用 --tts 参数可自动生成 AI 配音")</t>
        </is>
      </c>
    </row>
    <row r="760">
      <c r="A760" s="7" t="n">
        <v>757</v>
      </c>
      <c r="B760" s="8" t="inlineStr">
        <is>
          <t xml:space="preserve">        tts_duration = est_tts</t>
        </is>
      </c>
    </row>
    <row r="761">
      <c r="A761" s="9" t="n">
        <v>758</v>
      </c>
      <c r="B761" s="10" t="inlineStr"/>
    </row>
    <row r="762">
      <c r="A762" s="7" t="n">
        <v>759</v>
      </c>
      <c r="B762" s="8" t="inlineStr">
        <is>
          <t xml:space="preserve">    target_video_dur = max(tts_duration, TARGET_DURATION_MIN) if tts_duration &gt; 0 else DEFAULT_COPY_DURATION</t>
        </is>
      </c>
    </row>
    <row r="763">
      <c r="A763" s="9" t="n">
        <v>760</v>
      </c>
      <c r="B763" s="10" t="inlineStr"/>
    </row>
    <row r="764">
      <c r="A764" s="7" t="n">
        <v>761</v>
      </c>
      <c r="B764" s="8" t="inlineStr">
        <is>
          <t xml:space="preserve">    # Step 4: 根据配音时长选取素材</t>
        </is>
      </c>
    </row>
    <row r="765">
      <c r="A765" s="9" t="n">
        <v>762</v>
      </c>
      <c r="B765" s="10" t="inlineStr">
        <is>
          <t xml:space="preserve">    print(f"\n{'='*50}")</t>
        </is>
      </c>
    </row>
    <row r="766">
      <c r="A766" s="7" t="n">
        <v>763</v>
      </c>
      <c r="B766" s="8" t="inlineStr">
        <is>
          <t xml:space="preserve">    _progress(4, "素材匹配"); print(f"[*] Step 4/6: 根据配音时长选取素材(目标{target_video_dur:.1f}秒)...")</t>
        </is>
      </c>
    </row>
    <row r="767">
      <c r="A767" s="9" t="n">
        <v>764</v>
      </c>
      <c r="B767" s="10" t="inlineStr">
        <is>
          <t xml:space="preserve">    # v11.6: 自适应匹配 (三层去重+偏好学习+热度衰减)</t>
        </is>
      </c>
    </row>
    <row r="768">
      <c r="A768" s="7" t="n">
        <v>765</v>
      </c>
      <c r="B768" s="8" t="inlineStr">
        <is>
          <t xml:space="preserve">    # ── v11.7: 开头素材优先从 is_opening 池中选取 ──</t>
        </is>
      </c>
    </row>
    <row r="769">
      <c r="A769" s="9" t="n">
        <v>766</v>
      </c>
      <c r="B769" s="10" t="inlineStr">
        <is>
          <t xml:space="preserve">    opening_clip = None</t>
        </is>
      </c>
    </row>
    <row r="770">
      <c r="A770" s="7" t="n">
        <v>767</v>
      </c>
      <c r="B770" s="8" t="inlineStr">
        <is>
          <t xml:space="preserve">    if subtitles and len(subtitles) &gt; 1:</t>
        </is>
      </c>
    </row>
    <row r="771">
      <c r="A771" s="9" t="n">
        <v>768</v>
      </c>
      <c r="B771" s="10" t="inlineStr">
        <is>
          <t xml:space="preserve">        try:</t>
        </is>
      </c>
    </row>
    <row r="772">
      <c r="A772" s="7" t="n">
        <v>769</v>
      </c>
      <c r="B772" s="8" t="inlineStr">
        <is>
          <t xml:space="preserve">            from core.database import db</t>
        </is>
      </c>
    </row>
    <row r="773">
      <c r="A773" s="9" t="n">
        <v>770</v>
      </c>
      <c r="B773" s="10" t="inlineStr">
        <is>
          <t xml:space="preserve">            with db.get_connection() as conn:</t>
        </is>
      </c>
    </row>
    <row r="774">
      <c r="A774" s="7" t="n">
        <v>771</v>
      </c>
      <c r="B774" s="8" t="inlineStr">
        <is>
          <t xml:space="preserve">                exclude_cond = ""</t>
        </is>
      </c>
    </row>
    <row r="775">
      <c r="A775" s="9" t="n">
        <v>772</v>
      </c>
      <c r="B775" s="10" t="inlineStr">
        <is>
          <t xml:space="preserve">                params = []</t>
        </is>
      </c>
    </row>
    <row r="776">
      <c r="A776" s="7" t="n">
        <v>773</v>
      </c>
      <c r="B776" s="8" t="inlineStr">
        <is>
          <t xml:space="preserve">                if exclude_paths:</t>
        </is>
      </c>
    </row>
    <row r="777">
      <c r="A777" s="9" t="n">
        <v>774</v>
      </c>
      <c r="B777" s="10" t="inlineStr">
        <is>
          <t xml:space="preserve">                    placeholders = ",".join(["?"] * len(exclude_paths))</t>
        </is>
      </c>
    </row>
    <row r="778">
      <c r="A778" s="7" t="n">
        <v>775</v>
      </c>
      <c r="B778" s="8" t="inlineStr">
        <is>
          <t xml:space="preserve">                    exclude_cond = f"AND video_path NOT IN ({placeholders})"</t>
        </is>
      </c>
    </row>
    <row r="779">
      <c r="A779" s="9" t="n">
        <v>776</v>
      </c>
      <c r="B779" s="10" t="inlineStr">
        <is>
          <t xml:space="preserve">                    params = list(exclude_paths)</t>
        </is>
      </c>
    </row>
    <row r="780">
      <c r="A780" s="7" t="n">
        <v>777</v>
      </c>
      <c r="B780" s="8" t="inlineStr">
        <is>
          <t xml:space="preserve">                rows = conn.execute(f"""</t>
        </is>
      </c>
    </row>
    <row r="781">
      <c r="A781" s="9" t="n">
        <v>778</v>
      </c>
      <c r="B781" s="10" t="inlineStr">
        <is>
          <t xml:space="preserve">                    SELECT video_path, start_time, end_time, duration</t>
        </is>
      </c>
    </row>
    <row r="782">
      <c r="A782" s="7" t="n">
        <v>779</v>
      </c>
      <c r="B782" s="8" t="inlineStr">
        <is>
          <t xml:space="preserve">                    FROM materials</t>
        </is>
      </c>
    </row>
    <row r="783">
      <c r="A783" s="9" t="n">
        <v>780</v>
      </c>
      <c r="B783" s="10" t="inlineStr">
        <is>
          <t xml:space="preserve">                    WHERE is_opening = 1 AND has_human = 0 AND analyzed = 1 {exclude_cond}</t>
        </is>
      </c>
    </row>
    <row r="784">
      <c r="A784" s="7" t="n">
        <v>781</v>
      </c>
      <c r="B784" s="8" t="inlineStr">
        <is>
          <t xml:space="preserve">                    ORDER BY RANDOM() LIMIT 1</t>
        </is>
      </c>
    </row>
    <row r="785">
      <c r="A785" s="9" t="n">
        <v>782</v>
      </c>
      <c r="B785" s="10" t="inlineStr">
        <is>
          <t xml:space="preserve">                """, params).fetchall()</t>
        </is>
      </c>
    </row>
    <row r="786">
      <c r="A786" s="7" t="n">
        <v>783</v>
      </c>
      <c r="B786" s="8" t="inlineStr">
        <is>
          <t xml:space="preserve">                if not rows:</t>
        </is>
      </c>
    </row>
    <row r="787">
      <c r="A787" s="9" t="n">
        <v>784</v>
      </c>
      <c r="B787" s="10" t="inlineStr">
        <is>
          <t xml:space="preserve">                    rows = conn.execute(f"""</t>
        </is>
      </c>
    </row>
    <row r="788">
      <c r="A788" s="7" t="n">
        <v>785</v>
      </c>
      <c r="B788" s="8" t="inlineStr">
        <is>
          <t xml:space="preserve">                        SELECT video_path, start_time, end_time, duration</t>
        </is>
      </c>
    </row>
    <row r="789">
      <c r="A789" s="9" t="n">
        <v>786</v>
      </c>
      <c r="B789" s="10" t="inlineStr">
        <is>
          <t xml:space="preserve">                        FROM materials</t>
        </is>
      </c>
    </row>
    <row r="790">
      <c r="A790" s="7" t="n">
        <v>787</v>
      </c>
      <c r="B790" s="8" t="inlineStr">
        <is>
          <t xml:space="preserve">                        WHERE has_human = 0 AND analyzed = 1 {exclude_cond}</t>
        </is>
      </c>
    </row>
    <row r="791">
      <c r="A791" s="9" t="n">
        <v>788</v>
      </c>
      <c r="B791" s="10" t="inlineStr">
        <is>
          <t xml:space="preserve">                        ORDER BY RANDOM() LIMIT 1</t>
        </is>
      </c>
    </row>
    <row r="792">
      <c r="A792" s="7" t="n">
        <v>789</v>
      </c>
      <c r="B792" s="8" t="inlineStr">
        <is>
          <t xml:space="preserve">                    """, params).fetchall()</t>
        </is>
      </c>
    </row>
    <row r="793">
      <c r="A793" s="9" t="n">
        <v>790</v>
      </c>
      <c r="B793" s="10" t="inlineStr">
        <is>
          <t xml:space="preserve">                if rows:</t>
        </is>
      </c>
    </row>
    <row r="794">
      <c r="A794" s="7" t="n">
        <v>791</v>
      </c>
      <c r="B794" s="8" t="inlineStr">
        <is>
          <t xml:space="preserve">                    r = rows[0]</t>
        </is>
      </c>
    </row>
    <row r="795">
      <c r="A795" s="9" t="n">
        <v>792</v>
      </c>
      <c r="B795" s="10" t="inlineStr">
        <is>
          <t xml:space="preserve">                    opening_clip = {</t>
        </is>
      </c>
    </row>
    <row r="796">
      <c r="A796" s="7" t="n">
        <v>793</v>
      </c>
      <c r="B796" s="8" t="inlineStr">
        <is>
          <t xml:space="preserve">                        "path": Path(r[0]),</t>
        </is>
      </c>
    </row>
    <row r="797">
      <c r="A797" s="9" t="n">
        <v>794</v>
      </c>
      <c r="B797" s="10" t="inlineStr">
        <is>
          <t xml:space="preserve">                        "source_start": float(r[1]) if r[1] else 0,</t>
        </is>
      </c>
    </row>
    <row r="798">
      <c r="A798" s="7" t="n">
        <v>795</v>
      </c>
      <c r="B798" s="8" t="inlineStr">
        <is>
          <t xml:space="preserve">                        "duration": min(float(r[3]) if r[3] and r[3] &gt; 0 else CLIP_DURATION_MAX, CLIP_DURATION_MAX),</t>
        </is>
      </c>
    </row>
    <row r="799">
      <c r="A799" s="9" t="n">
        <v>796</v>
      </c>
      <c r="B799" s="10" t="inlineStr">
        <is>
          <t xml:space="preserve">                        "speed": 1.0,</t>
        </is>
      </c>
    </row>
    <row r="800">
      <c r="A800" s="7" t="n">
        <v>797</v>
      </c>
      <c r="B800" s="8" t="inlineStr">
        <is>
          <t xml:space="preserve">                        "match_method": "opening_pool",</t>
        </is>
      </c>
    </row>
    <row r="801">
      <c r="A801" s="9" t="n">
        <v>798</v>
      </c>
      <c r="B801" s="10" t="inlineStr">
        <is>
          <t xml:space="preserve">                        "match_score": 1.0,</t>
        </is>
      </c>
    </row>
    <row r="802">
      <c r="A802" s="7" t="n">
        <v>799</v>
      </c>
      <c r="B802" s="8" t="inlineStr">
        <is>
          <t xml:space="preserve">                    }</t>
        </is>
      </c>
    </row>
    <row r="803">
      <c r="A803" s="9" t="n">
        <v>800</v>
      </c>
      <c r="B803" s="10" t="inlineStr">
        <is>
          <t xml:space="preserve">                    print(f"   [Opening] 开场素材: {Path(r[0]).name[:40]}")</t>
        </is>
      </c>
    </row>
    <row r="804">
      <c r="A804" s="7" t="n">
        <v>801</v>
      </c>
      <c r="B804" s="8" t="inlineStr">
        <is>
          <t xml:space="preserve">        except Exception as e:</t>
        </is>
      </c>
    </row>
    <row r="805">
      <c r="A805" s="9" t="n">
        <v>802</v>
      </c>
      <c r="B805" s="10" t="inlineStr">
        <is>
          <t xml:space="preserve">            print(f"   [Opening] 开场素材查询失败(非致命): {e}")</t>
        </is>
      </c>
    </row>
    <row r="806">
      <c r="A806" s="7" t="n">
        <v>803</v>
      </c>
      <c r="B806" s="8" t="inlineStr"/>
    </row>
    <row r="807">
      <c r="A807" s="9" t="n">
        <v>804</v>
      </c>
      <c r="B807" s="10" t="inlineStr">
        <is>
          <t xml:space="preserve">    session_used = session_used_paths or set()</t>
        </is>
      </c>
    </row>
    <row r="808">
      <c r="A808" s="7" t="n">
        <v>805</v>
      </c>
      <c r="B808" s="8" t="inlineStr"/>
    </row>
    <row r="809">
      <c r="A809" s="9" t="n">
        <v>806</v>
      </c>
      <c r="B809" s="10" t="inlineStr">
        <is>
          <t xml:space="preserve">    # 把开头素材加入排除集，后续匹配不再选它</t>
        </is>
      </c>
    </row>
    <row r="810">
      <c r="A810" s="7" t="n">
        <v>807</v>
      </c>
      <c r="B810" s="8" t="inlineStr">
        <is>
          <t xml:space="preserve">    if opening_clip:</t>
        </is>
      </c>
    </row>
    <row r="811">
      <c r="A811" s="9" t="n">
        <v>808</v>
      </c>
      <c r="B811" s="10" t="inlineStr">
        <is>
          <t xml:space="preserve">        op_path = str(opening_clip["path"])</t>
        </is>
      </c>
    </row>
    <row r="812">
      <c r="A812" s="7" t="n">
        <v>809</v>
      </c>
      <c r="B812" s="8" t="inlineStr">
        <is>
          <t xml:space="preserve">        session_used.add(op_path)</t>
        </is>
      </c>
    </row>
    <row r="813">
      <c r="A813" s="9" t="n">
        <v>810</v>
      </c>
      <c r="B813" s="10" t="inlineStr">
        <is>
          <t xml:space="preserve">        if exclude_paths:</t>
        </is>
      </c>
    </row>
    <row r="814">
      <c r="A814" s="7" t="n">
        <v>811</v>
      </c>
      <c r="B814" s="8" t="inlineStr">
        <is>
          <t xml:space="preserve">            exclude_paths = list(exclude_paths) + [op_path]</t>
        </is>
      </c>
    </row>
    <row r="815">
      <c r="A815" s="9" t="n">
        <v>812</v>
      </c>
      <c r="B815" s="10" t="inlineStr">
        <is>
          <t xml:space="preserve">    if exclude_paths:</t>
        </is>
      </c>
    </row>
    <row r="816">
      <c r="A816" s="7" t="n">
        <v>813</v>
      </c>
      <c r="B816" s="8" t="inlineStr">
        <is>
          <t xml:space="preserve">        session_used = session_used.union(set(exclude_paths))</t>
        </is>
      </c>
    </row>
    <row r="817">
      <c r="A817" s="9" t="n">
        <v>814</v>
      </c>
      <c r="B817" s="10" t="inlineStr">
        <is>
          <t xml:space="preserve">    shash = script_hash or (make_script_hash(copy_text) if copy_text else None)</t>
        </is>
      </c>
    </row>
    <row r="818">
      <c r="A818" s="7" t="n">
        <v>815</v>
      </c>
      <c r="B818" s="8" t="inlineStr"/>
    </row>
    <row r="819">
      <c r="A819" s="9" t="n">
        <v>816</v>
      </c>
      <c r="B819" s="10" t="inlineStr">
        <is>
          <t xml:space="preserve">    # 如有开场专用素材，剩余句子减少1条</t>
        </is>
      </c>
    </row>
    <row r="820">
      <c r="A820" s="7" t="n">
        <v>817</v>
      </c>
      <c r="B820" s="8" t="inlineStr">
        <is>
          <t xml:space="preserve">    remaining_subs = len(subtitles) - (1 if opening_clip else 0)</t>
        </is>
      </c>
    </row>
    <row r="821">
      <c r="A821" s="9" t="n">
        <v>818</v>
      </c>
      <c r="B821" s="10" t="inlineStr">
        <is>
          <t xml:space="preserve">    if shash:</t>
        </is>
      </c>
    </row>
    <row r="822">
      <c r="A822" s="7" t="n">
        <v>819</v>
      </c>
      <c r="B822" s="8" t="inlineStr">
        <is>
          <t xml:space="preserve">        print(f"   [Adaptive] 脚本哈希: {shash}, 已排除: {len(session_used)}个素材")</t>
        </is>
      </c>
    </row>
    <row r="823">
      <c r="A823" s="9" t="n">
        <v>820</v>
      </c>
      <c r="B823" s="10" t="inlineStr">
        <is>
          <t xml:space="preserve">        candidates = get_adaptive_clips(copy_text, max(1, remaining_subs), session_used, shash)</t>
        </is>
      </c>
    </row>
    <row r="824">
      <c r="A824" s="7" t="n">
        <v>821</v>
      </c>
      <c r="B824" s="8" t="inlineStr">
        <is>
          <t xml:space="preserve">        if candidates:</t>
        </is>
      </c>
    </row>
    <row r="825">
      <c r="A825" s="9" t="n">
        <v>822</v>
      </c>
      <c r="B825" s="10" t="inlineStr">
        <is>
          <t xml:space="preserve">            ai_clips = convert_to_clips(candidates, len(subtitles))</t>
        </is>
      </c>
    </row>
    <row r="826">
      <c r="A826" s="7" t="n">
        <v>823</v>
      </c>
      <c r="B826" s="8" t="inlineStr">
        <is>
          <t xml:space="preserve">            print(f"   [AdaptiveMatch] 自适应匹配: {len(ai_clips)}个片段 (去重+偏好+衰减)")</t>
        </is>
      </c>
    </row>
    <row r="827">
      <c r="A827" s="9" t="n">
        <v>824</v>
      </c>
      <c r="B827" s="10" t="inlineStr">
        <is>
          <t xml:space="preserve">        else:</t>
        </is>
      </c>
    </row>
    <row r="828">
      <c r="A828" s="7" t="n">
        <v>825</v>
      </c>
      <c r="B828" s="8" t="inlineStr">
        <is>
          <t xml:space="preserve">            ai_clips = ai_match_clips(copy_text, len(subtitles))</t>
        </is>
      </c>
    </row>
    <row r="829">
      <c r="A829" s="9" t="n">
        <v>826</v>
      </c>
      <c r="B829" s="10" t="inlineStr">
        <is>
          <t xml:space="preserve">    else:</t>
        </is>
      </c>
    </row>
    <row r="830">
      <c r="A830" s="7" t="n">
        <v>827</v>
      </c>
      <c r="B830" s="8" t="inlineStr">
        <is>
          <t xml:space="preserve">        ai_clips = ai_match_clips(copy_text, len(subtitles))</t>
        </is>
      </c>
    </row>
    <row r="831">
      <c r="A831" s="9" t="n">
        <v>828</v>
      </c>
      <c r="B831" s="10" t="inlineStr"/>
    </row>
    <row r="832">
      <c r="A832" s="7" t="n">
        <v>829</v>
      </c>
      <c r="B832" s="8" t="inlineStr">
        <is>
          <t xml:space="preserve">    # v11.1: 脚本语义理解增强 (可选 — 需 DeepSeek API Key)</t>
        </is>
      </c>
    </row>
    <row r="833">
      <c r="A833" s="9" t="n">
        <v>830</v>
      </c>
      <c r="B833" s="10" t="inlineStr">
        <is>
          <t xml:space="preserve">    if not ai_clips and DEEPSEEK_API_KEY:</t>
        </is>
      </c>
    </row>
    <row r="834">
      <c r="A834" s="7" t="n">
        <v>831</v>
      </c>
      <c r="B834" s="8" t="inlineStr">
        <is>
          <t xml:space="preserve">        try:</t>
        </is>
      </c>
    </row>
    <row r="835">
      <c r="A835" s="9" t="n">
        <v>832</v>
      </c>
      <c r="B835" s="10" t="inlineStr">
        <is>
          <t xml:space="preserve">            from core.script_understanding import ScriptParser</t>
        </is>
      </c>
    </row>
    <row r="836">
      <c r="A836" s="7" t="n">
        <v>833</v>
      </c>
      <c r="B836" s="8" t="inlineStr">
        <is>
          <t xml:space="preserve">            parser = ScriptParser(use_ai=True)</t>
        </is>
      </c>
    </row>
    <row r="837">
      <c r="A837" s="9" t="n">
        <v>834</v>
      </c>
      <c r="B837" s="10" t="inlineStr">
        <is>
          <t xml:space="preserve">            parsed = parser.parse(copy_text)</t>
        </is>
      </c>
    </row>
    <row r="838">
      <c r="A838" s="7" t="n">
        <v>835</v>
      </c>
      <c r="B838" s="8" t="inlineStr">
        <is>
          <t xml:space="preserve">            if parsed.get("segments") and _smart_matcher:</t>
        </is>
      </c>
    </row>
    <row r="839">
      <c r="A839" s="9" t="n">
        <v>836</v>
      </c>
      <c r="B839" s="10" t="inlineStr">
        <is>
          <t xml:space="preserve">                raw_results = _smart_matcher.search_by_visual_requirements(parsed, len(subtitles))</t>
        </is>
      </c>
    </row>
    <row r="840">
      <c r="A840" s="7" t="n">
        <v>837</v>
      </c>
      <c r="B840" s="8" t="inlineStr">
        <is>
          <t xml:space="preserve">                ai_clips = convert_to_clips(raw_results, len(subtitles))</t>
        </is>
      </c>
    </row>
    <row r="841">
      <c r="A841" s="9" t="n">
        <v>838</v>
      </c>
      <c r="B841" s="10" t="inlineStr">
        <is>
          <t xml:space="preserve">                print(f"   [ScriptUnderstanding] 语义匹配: {len(ai_clips)}个片段")</t>
        </is>
      </c>
    </row>
    <row r="842">
      <c r="A842" s="7" t="n">
        <v>839</v>
      </c>
      <c r="B842" s="8" t="inlineStr">
        <is>
          <t xml:space="preserve">        except Exception as e:</t>
        </is>
      </c>
    </row>
    <row r="843">
      <c r="A843" s="9" t="n">
        <v>840</v>
      </c>
      <c r="B843" s="10" t="inlineStr">
        <is>
          <t xml:space="preserve">            print(f"   [ScriptUnderstanding] 跳过 (需要DeepSeek API Key): {e}")</t>
        </is>
      </c>
    </row>
    <row r="844">
      <c r="A844" s="7" t="n">
        <v>841</v>
      </c>
      <c r="B844" s="8" t="inlineStr"/>
    </row>
    <row r="845">
      <c r="A845" s="9" t="n">
        <v>842</v>
      </c>
      <c r="B845" s="10" t="inlineStr">
        <is>
          <t xml:space="preserve">    if opening_clip:</t>
        </is>
      </c>
    </row>
    <row r="846">
      <c r="A846" s="7" t="n">
        <v>843</v>
      </c>
      <c r="B846" s="8" t="inlineStr">
        <is>
          <t xml:space="preserve">        if ai_clips:</t>
        </is>
      </c>
    </row>
    <row r="847">
      <c r="A847" s="9" t="n">
        <v>844</v>
      </c>
      <c r="B847" s="10" t="inlineStr">
        <is>
          <t xml:space="preserve">            clips = [opening_clip] + ai_clips</t>
        </is>
      </c>
    </row>
    <row r="848">
      <c r="A848" s="7" t="n">
        <v>845</v>
      </c>
      <c r="B848" s="8" t="inlineStr">
        <is>
          <t xml:space="preserve">        else:</t>
        </is>
      </c>
    </row>
    <row r="849">
      <c r="A849" s="9" t="n">
        <v>846</v>
      </c>
      <c r="B849" s="10" t="inlineStr">
        <is>
          <t xml:space="preserve">            clips = [opening_clip] + match_clips_to_sentences(</t>
        </is>
      </c>
    </row>
    <row r="850">
      <c r="A850" s="7" t="n">
        <v>847</v>
      </c>
      <c r="B850" s="8" t="inlineStr">
        <is>
          <t xml:space="preserve">                subtitles[1:], all_mp4s) if len(subtitles) &gt; 1 else [opening_clip]</t>
        </is>
      </c>
    </row>
    <row r="851">
      <c r="A851" s="9" t="n">
        <v>848</v>
      </c>
      <c r="B851" s="10" t="inlineStr">
        <is>
          <t xml:space="preserve">    elif ai_clips:</t>
        </is>
      </c>
    </row>
    <row r="852">
      <c r="A852" s="7" t="n">
        <v>849</v>
      </c>
      <c r="B852" s="8" t="inlineStr">
        <is>
          <t xml:space="preserve">        clips = ai_clips</t>
        </is>
      </c>
    </row>
    <row r="853">
      <c r="A853" s="9" t="n">
        <v>850</v>
      </c>
      <c r="B853" s="10" t="inlineStr">
        <is>
          <t xml:space="preserve">    else:</t>
        </is>
      </c>
    </row>
    <row r="854">
      <c r="A854" s="7" t="n">
        <v>851</v>
      </c>
      <c r="B854" s="8" t="inlineStr">
        <is>
          <t xml:space="preserve">        clips = match_clips_to_sentences(subtitles, all_mp4s)</t>
        </is>
      </c>
    </row>
    <row r="855">
      <c r="A855" s="9" t="n">
        <v>852</v>
      </c>
      <c r="B855" s="10" t="inlineStr"/>
    </row>
    <row r="856">
      <c r="A856" s="7" t="n">
        <v>853</v>
      </c>
      <c r="B856" s="8" t="inlineStr">
        <is>
          <t xml:space="preserve">    # v11.1: 动态素材权重 — 使用少的优先</t>
        </is>
      </c>
    </row>
    <row r="857">
      <c r="A857" s="9" t="n">
        <v>854</v>
      </c>
      <c r="B857" s="10" t="inlineStr">
        <is>
          <t xml:space="preserve">    clips = _sort_by_freshness(clips)</t>
        </is>
      </c>
    </row>
    <row r="858">
      <c r="A858" s="7" t="n">
        <v>855</v>
      </c>
      <c r="B858" s="8" t="inlineStr"/>
    </row>
    <row r="859">
      <c r="A859" s="9" t="n">
        <v>856</v>
      </c>
      <c r="B859" s="10" t="inlineStr">
        <is>
          <t xml:space="preserve">    # ── 人像过滤 (v11.5: 强制产品优先，绝不容忍人像) ──</t>
        </is>
      </c>
    </row>
    <row r="860">
      <c r="A860" s="7" t="n">
        <v>857</v>
      </c>
      <c r="B860" s="8" t="inlineStr">
        <is>
          <t xml:space="preserve">    human_kw = ["人像","人物","口播","主播","真人","采访","露脸","自拍",</t>
        </is>
      </c>
    </row>
    <row r="861">
      <c r="A861" s="9" t="n">
        <v>858</v>
      </c>
      <c r="B861" s="10" t="inlineStr">
        <is>
          <t xml:space="preserve">                "person","face","portrait","people","human"]</t>
        </is>
      </c>
    </row>
    <row r="862">
      <c r="A862" s="7" t="n">
        <v>859</v>
      </c>
      <c r="B862" s="8" t="inlineStr">
        <is>
          <t xml:space="preserve">    before_h = len(clips)</t>
        </is>
      </c>
    </row>
    <row r="863">
      <c r="A863" s="9" t="n">
        <v>860</v>
      </c>
      <c r="B863" s="10" t="inlineStr">
        <is>
          <t xml:space="preserve">    clips = [c for c in clips if not any(kw in str(c.get("path","")).lower()</t>
        </is>
      </c>
    </row>
    <row r="864">
      <c r="A864" s="7" t="n">
        <v>861</v>
      </c>
      <c r="B864" s="8" t="inlineStr">
        <is>
          <t xml:space="preserve">             or kw in str(c.get("tags","")).lower()</t>
        </is>
      </c>
    </row>
    <row r="865">
      <c r="A865" s="9" t="n">
        <v>862</v>
      </c>
      <c r="B865" s="10" t="inlineStr">
        <is>
          <t xml:space="preserve">             or kw in str(c.get("objects","")).lower()</t>
        </is>
      </c>
    </row>
    <row r="866">
      <c r="A866" s="7" t="n">
        <v>863</v>
      </c>
      <c r="B866" s="8" t="inlineStr">
        <is>
          <t xml:space="preserve">             or (isinstance(c.get("has_human"), int) and c.get("has_human", 0) == 1)</t>
        </is>
      </c>
    </row>
    <row r="867">
      <c r="A867" s="9" t="n">
        <v>864</v>
      </c>
      <c r="B867" s="10" t="inlineStr">
        <is>
          <t xml:space="preserve">             for kw in human_kw)]</t>
        </is>
      </c>
    </row>
    <row r="868">
      <c r="A868" s="7" t="n">
        <v>865</v>
      </c>
      <c r="B868" s="8" t="inlineStr">
        <is>
          <t xml:space="preserve">    if len(clips) &lt; before_h:</t>
        </is>
      </c>
    </row>
    <row r="869">
      <c r="A869" s="9" t="n">
        <v>866</v>
      </c>
      <c r="B869" s="10" t="inlineStr">
        <is>
          <t xml:space="preserve">        print(f"   [FILTER] 人像过滤: {before_h} → {len(clips)} 个片段 (强制产品优先)")</t>
        </is>
      </c>
    </row>
    <row r="870">
      <c r="A870" s="7" t="n">
        <v>867</v>
      </c>
      <c r="B870" s="8" t="inlineStr">
        <is>
          <t xml:space="preserve">    # 绝不用人像补充 — 过滤后不足则用纯文件名匹配的随机素材</t>
        </is>
      </c>
    </row>
    <row r="871">
      <c r="A871" s="9" t="n">
        <v>868</v>
      </c>
      <c r="B871" s="10" t="inlineStr">
        <is>
          <t xml:space="preserve">    if len(clips) &lt; 3 and all_mp4s:</t>
        </is>
      </c>
    </row>
    <row r="872">
      <c r="A872" s="7" t="n">
        <v>869</v>
      </c>
      <c r="B872" s="8" t="inlineStr">
        <is>
          <t xml:space="preserve">        fallback = [m for m in all_mp4s if not any(kw in str(m).lower() for kw in human_kw)]</t>
        </is>
      </c>
    </row>
    <row r="873">
      <c r="A873" s="9" t="n">
        <v>870</v>
      </c>
      <c r="B873" s="10" t="inlineStr">
        <is>
          <t xml:space="preserve">        random.shuffle(fallback)</t>
        </is>
      </c>
    </row>
    <row r="874">
      <c r="A874" s="7" t="n">
        <v>871</v>
      </c>
      <c r="B874" s="8" t="inlineStr">
        <is>
          <t xml:space="preserve">        needed = max(3 - len(clips), 2)</t>
        </is>
      </c>
    </row>
    <row r="875">
      <c r="A875" s="9" t="n">
        <v>872</v>
      </c>
      <c r="B875" s="10" t="inlineStr">
        <is>
          <t xml:space="preserve">        for m in fallback[:needed]:</t>
        </is>
      </c>
    </row>
    <row r="876">
      <c r="A876" s="7" t="n">
        <v>873</v>
      </c>
      <c r="B876" s="8" t="inlineStr">
        <is>
          <t xml:space="preserve">            clips.append({"path": m, "source_start": round(random.uniform(0, 3.0), 1),</t>
        </is>
      </c>
    </row>
    <row r="877">
      <c r="A877" s="9" t="n">
        <v>874</v>
      </c>
      <c r="B877" s="10" t="inlineStr">
        <is>
          <t xml:space="preserve">                          "duration": round(random.uniform(CLIP_DURATION_MIN, CLIP_DURATION_MAX), 1),</t>
        </is>
      </c>
    </row>
    <row r="878">
      <c r="A878" s="7" t="n">
        <v>875</v>
      </c>
      <c r="B878" s="8" t="inlineStr">
        <is>
          <t xml:space="preserve">                          "speed": 1.0, "match_score": 0, "match_method": "产品补充(无人像)"})</t>
        </is>
      </c>
    </row>
    <row r="879">
      <c r="A879" s="9" t="n">
        <v>876</v>
      </c>
      <c r="B879" s="10" t="inlineStr">
        <is>
          <t xml:space="preserve">        print(f"   [!] 强制产品补充 {min(needed, len(fallback))} 个片段(已排除人像)")</t>
        </is>
      </c>
    </row>
    <row r="880">
      <c r="A880" s="7" t="n">
        <v>877</v>
      </c>
      <c r="B880" s="8" t="inlineStr"/>
    </row>
    <row r="881">
      <c r="A881" s="9" t="n">
        <v>878</v>
      </c>
      <c r="B881" s="10" t="inlineStr">
        <is>
          <t xml:space="preserve">    # ── 排除已用素材 (v11.2 批量去重) ──</t>
        </is>
      </c>
    </row>
    <row r="882">
      <c r="A882" s="7" t="n">
        <v>879</v>
      </c>
      <c r="B882" s="8" t="inlineStr">
        <is>
          <t xml:space="preserve">    if exclude_paths:</t>
        </is>
      </c>
    </row>
    <row r="883">
      <c r="A883" s="9" t="n">
        <v>880</v>
      </c>
      <c r="B883" s="10" t="inlineStr">
        <is>
          <t xml:space="preserve">        before_e = len(clips)</t>
        </is>
      </c>
    </row>
    <row r="884">
      <c r="A884" s="7" t="n">
        <v>881</v>
      </c>
      <c r="B884" s="8" t="inlineStr">
        <is>
          <t xml:space="preserve">        exclude_set = {str(p) for p in exclude_paths}</t>
        </is>
      </c>
    </row>
    <row r="885">
      <c r="A885" s="9" t="n">
        <v>882</v>
      </c>
      <c r="B885" s="10" t="inlineStr">
        <is>
          <t xml:space="preserve">        clips = [c for c in clips if str(c["path"]) not in exclude_set]</t>
        </is>
      </c>
    </row>
    <row r="886">
      <c r="A886" s="7" t="n">
        <v>883</v>
      </c>
      <c r="B886" s="8" t="inlineStr">
        <is>
          <t xml:space="preserve">        if len(clips) &lt; before_e:</t>
        </is>
      </c>
    </row>
    <row r="887">
      <c r="A887" s="9" t="n">
        <v>884</v>
      </c>
      <c r="B887" s="10" t="inlineStr">
        <is>
          <t xml:space="preserve">            print(f"   [DEDUP] 批量去重: {before_e} → {len(clips)} 个片段 (排除{len(exclude_set)}个已用)")</t>
        </is>
      </c>
    </row>
    <row r="888">
      <c r="A888" s="7" t="n">
        <v>885</v>
      </c>
      <c r="B888" s="8" t="inlineStr">
        <is>
          <t xml:space="preserve">    total_dur = print_clip_table(clips)</t>
        </is>
      </c>
    </row>
    <row r="889">
      <c r="A889" s="9" t="n">
        <v>886</v>
      </c>
      <c r="B889" s="10" t="inlineStr"/>
    </row>
    <row r="890">
      <c r="A890" s="7" t="n">
        <v>887</v>
      </c>
      <c r="B890" s="8" t="inlineStr">
        <is>
          <t xml:space="preserve">    # ── 质量过滤 (v10.3) ──</t>
        </is>
      </c>
    </row>
    <row r="891">
      <c r="A891" s="9" t="n">
        <v>888</v>
      </c>
      <c r="B891" s="10" t="inlineStr">
        <is>
          <t xml:space="preserve">    if ENABLE_QUALITY_FILTER:</t>
        </is>
      </c>
    </row>
    <row r="892">
      <c r="A892" s="7" t="n">
        <v>889</v>
      </c>
      <c r="B892" s="8" t="inlineStr">
        <is>
          <t xml:space="preserve">        from utils.quality_scorer import get_scorer</t>
        </is>
      </c>
    </row>
    <row r="893">
      <c r="A893" s="9" t="n">
        <v>890</v>
      </c>
      <c r="B893" s="10" t="inlineStr">
        <is>
          <t xml:space="preserve">        scorer = get_scorer()</t>
        </is>
      </c>
    </row>
    <row r="894">
      <c r="A894" s="7" t="n">
        <v>891</v>
      </c>
      <c r="B894" s="8" t="inlineStr">
        <is>
          <t xml:space="preserve">        before = len(clips)</t>
        </is>
      </c>
    </row>
    <row r="895">
      <c r="A895" s="9" t="n">
        <v>892</v>
      </c>
      <c r="B895" s="10" t="inlineStr">
        <is>
          <t xml:space="preserve">        clips = scorer.filter_by_quality(clips, min_score=QUALITY_MIN_SCORE)</t>
        </is>
      </c>
    </row>
    <row r="896">
      <c r="A896" s="7" t="n">
        <v>893</v>
      </c>
      <c r="B896" s="8" t="inlineStr">
        <is>
          <t xml:space="preserve">        print(f"   &gt;&gt; 质量过滤: {before} → {len(clips)} 个片段 (阈值{QUALITY_MIN_SCORE})")</t>
        </is>
      </c>
    </row>
    <row r="897">
      <c r="A897" s="9" t="n">
        <v>894</v>
      </c>
      <c r="B897" s="10" t="inlineStr">
        <is>
          <t xml:space="preserve">        if ENABLE_DEDUPLICATION:</t>
        </is>
      </c>
    </row>
    <row r="898">
      <c r="A898" s="7" t="n">
        <v>895</v>
      </c>
      <c r="B898" s="8" t="inlineStr">
        <is>
          <t xml:space="preserve">            before2 = len(clips)</t>
        </is>
      </c>
    </row>
    <row r="899">
      <c r="A899" s="9" t="n">
        <v>896</v>
      </c>
      <c r="B899" s="10" t="inlineStr">
        <is>
          <t xml:space="preserve">            clips = scorer.deduplicate(clips, hamming_distance=DEDUPLICATION_HAMMING_DIST)</t>
        </is>
      </c>
    </row>
    <row r="900">
      <c r="A900" s="7" t="n">
        <v>897</v>
      </c>
      <c r="B900" s="8" t="inlineStr">
        <is>
          <t xml:space="preserve">            print(f"   [DEDUP] 去重: {before2} → {len(clips)} 个片段")</t>
        </is>
      </c>
    </row>
    <row r="901">
      <c r="A901" s="9" t="n">
        <v>898</v>
      </c>
      <c r="B901" s="10" t="inlineStr">
        <is>
          <t xml:space="preserve">        # 过滤后不足则降低阈值补充</t>
        </is>
      </c>
    </row>
    <row r="902">
      <c r="A902" s="7" t="n">
        <v>899</v>
      </c>
      <c r="B902" s="8" t="inlineStr">
        <is>
          <t xml:space="preserve">        if len(clips) &lt; 3:</t>
        </is>
      </c>
    </row>
    <row r="903">
      <c r="A903" s="9" t="n">
        <v>900</v>
      </c>
      <c r="B903" s="10" t="inlineStr">
        <is>
          <t xml:space="preserve">            backup = match_clips_to_sentences(subtitles, all_mp4s)</t>
        </is>
      </c>
    </row>
    <row r="904">
      <c r="A904" s="7" t="n">
        <v>901</v>
      </c>
      <c r="B904" s="8" t="inlineStr">
        <is>
          <t xml:space="preserve">            backup = [c for c in backup if c not in clips]</t>
        </is>
      </c>
    </row>
    <row r="905">
      <c r="A905" s="9" t="n">
        <v>902</v>
      </c>
      <c r="B905" s="10" t="inlineStr">
        <is>
          <t xml:space="preserve">            needed = max(3, len(clips)) - len(clips)</t>
        </is>
      </c>
    </row>
    <row r="906">
      <c r="A906" s="7" t="n">
        <v>903</v>
      </c>
      <c r="B906" s="8" t="inlineStr">
        <is>
          <t xml:space="preserve">            clips.extend(backup[:needed])</t>
        </is>
      </c>
    </row>
    <row r="907">
      <c r="A907" s="9" t="n">
        <v>904</v>
      </c>
      <c r="B907" s="10" t="inlineStr">
        <is>
          <t xml:space="preserve">            print(f"   [!] 过滤过强, 补充 {needed} 个片段")</t>
        </is>
      </c>
    </row>
    <row r="908">
      <c r="A908" s="7" t="n">
        <v>905</v>
      </c>
      <c r="B908" s="8" t="inlineStr">
        <is>
          <t xml:space="preserve">        # 重新计算总时长</t>
        </is>
      </c>
    </row>
    <row r="909">
      <c r="A909" s="9" t="n">
        <v>906</v>
      </c>
      <c r="B909" s="10" t="inlineStr">
        <is>
          <t xml:space="preserve">        total_dur = sum(c.get("duration",CLIP_DURATION_MIN) for c in clips)</t>
        </is>
      </c>
    </row>
    <row r="910">
      <c r="A910" s="7" t="n">
        <v>907</v>
      </c>
      <c r="B910" s="8" t="inlineStr"/>
    </row>
    <row r="911">
      <c r="A911" s="9" t="n">
        <v>908</v>
      </c>
      <c r="B911" s="10" t="inlineStr">
        <is>
          <t xml:space="preserve">    # 素材不足时自动补充</t>
        </is>
      </c>
    </row>
    <row r="912">
      <c r="A912" s="7" t="n">
        <v>909</v>
      </c>
      <c r="B912" s="8" t="inlineStr">
        <is>
          <t xml:space="preserve">    MIN_BUFFER = 1.5</t>
        </is>
      </c>
    </row>
    <row r="913">
      <c r="A913" s="9" t="n">
        <v>910</v>
      </c>
      <c r="B913" s="10" t="inlineStr">
        <is>
          <t xml:space="preserve">    if tts_duration &gt; 0 and total_dur &lt; tts_duration + MIN_BUFFER:</t>
        </is>
      </c>
    </row>
    <row r="914">
      <c r="A914" s="7" t="n">
        <v>911</v>
      </c>
      <c r="B914" s="8" t="inlineStr">
        <is>
          <t xml:space="preserve">        shortage = (tts_duration + MIN_BUFFER) - total_dur</t>
        </is>
      </c>
    </row>
    <row r="915">
      <c r="A915" s="9" t="n">
        <v>912</v>
      </c>
      <c r="B915" s="10" t="inlineStr">
        <is>
          <t xml:space="preserve">        print(f"   [!] 素材不足: 缺{shortage:.1f}s,自动补充...")</t>
        </is>
      </c>
    </row>
    <row r="916">
      <c r="A916" s="7" t="n">
        <v>913</v>
      </c>
      <c r="B916" s="8" t="inlineStr">
        <is>
          <t xml:space="preserve">        used_paths = {c["path"] for c in clips}</t>
        </is>
      </c>
    </row>
    <row r="917">
      <c r="A917" s="9" t="n">
        <v>914</v>
      </c>
      <c r="B917" s="10" t="inlineStr">
        <is>
          <t xml:space="preserve">        pool = [m for m in all_mp4s if m not in used_paths]</t>
        </is>
      </c>
    </row>
    <row r="918">
      <c r="A918" s="7" t="n">
        <v>915</v>
      </c>
      <c r="B918" s="8" t="inlineStr">
        <is>
          <t xml:space="preserve">        random.shuffle(pool)</t>
        </is>
      </c>
    </row>
    <row r="919">
      <c r="A919" s="9" t="n">
        <v>916</v>
      </c>
      <c r="B919" s="10" t="inlineStr">
        <is>
          <t xml:space="preserve">        added = 0</t>
        </is>
      </c>
    </row>
    <row r="920">
      <c r="A920" s="7" t="n">
        <v>917</v>
      </c>
      <c r="B920" s="8" t="inlineStr">
        <is>
          <t xml:space="preserve">        while total_dur &lt; tts_duration + MIN_BUFFER and pool and added &lt; 6:</t>
        </is>
      </c>
    </row>
    <row r="921">
      <c r="A921" s="9" t="n">
        <v>918</v>
      </c>
      <c r="B921" s="10" t="inlineStr">
        <is>
          <t xml:space="preserve">            extra = pool.pop()</t>
        </is>
      </c>
    </row>
    <row r="922">
      <c r="A922" s="7" t="n">
        <v>919</v>
      </c>
      <c r="B922" s="8" t="inlineStr">
        <is>
          <t xml:space="preserve">            dur = min(CLIP_DURATION_MAX, (tts_duration + MIN_BUFFER) - total_dur + 0.5)</t>
        </is>
      </c>
    </row>
    <row r="923">
      <c r="A923" s="9" t="n">
        <v>920</v>
      </c>
      <c r="B923" s="10" t="inlineStr">
        <is>
          <t xml:space="preserve">            dur = round(random.uniform(CLIP_DURATION_MIN, max(CLIP_DURATION_MIN, dur)), 1)</t>
        </is>
      </c>
    </row>
    <row r="924">
      <c r="A924" s="7" t="n">
        <v>921</v>
      </c>
      <c r="B924" s="8" t="inlineStr">
        <is>
          <t xml:space="preserve">            clips.append({"path": extra, "source_start": round(random.uniform(0, 3.0), 1), "duration": dur, "speed": round(random.gauss(1.0, 0.04), 2)})</t>
        </is>
      </c>
    </row>
    <row r="925">
      <c r="A925" s="9" t="n">
        <v>922</v>
      </c>
      <c r="B925" s="10" t="inlineStr">
        <is>
          <t xml:space="preserve">            total_dur += dur; added += 1</t>
        </is>
      </c>
    </row>
    <row r="926">
      <c r="A926" s="7" t="n">
        <v>923</v>
      </c>
      <c r="B926" s="8" t="inlineStr">
        <is>
          <t xml:space="preserve">        if added &gt; 0:</t>
        </is>
      </c>
    </row>
    <row r="927">
      <c r="A927" s="9" t="n">
        <v>924</v>
      </c>
      <c r="B927" s="10" t="inlineStr">
        <is>
          <t xml:space="preserve">            print(f"   [OK] 自动补充 {added} 个片段 -&gt; 总时长{total_dur:.1f}s")</t>
        </is>
      </c>
    </row>
    <row r="928">
      <c r="A928" s="7" t="n">
        <v>925</v>
      </c>
      <c r="B928" s="8" t="inlineStr">
        <is>
          <t xml:space="preserve">            print_clip_table(clips)</t>
        </is>
      </c>
    </row>
    <row r="929">
      <c r="A929" s="9" t="n">
        <v>926</v>
      </c>
      <c r="B929" s="10" t="inlineStr"/>
    </row>
    <row r="930">
      <c r="A930" s="7" t="n">
        <v>927</v>
      </c>
      <c r="B930" s="8" t="inlineStr">
        <is>
          <t xml:space="preserve">    # Step 5: BGM</t>
        </is>
      </c>
    </row>
    <row r="931">
      <c r="A931" s="9" t="n">
        <v>928</v>
      </c>
      <c r="B931" s="10" t="inlineStr">
        <is>
          <t xml:space="preserve">    print(f"\n{'='*50}")</t>
        </is>
      </c>
    </row>
    <row r="932">
      <c r="A932" s="7" t="n">
        <v>929</v>
      </c>
      <c r="B932" s="8" t="inlineStr">
        <is>
          <t xml:space="preserve">    _progress(5, "BGM处理"); print(f"[*] Step 5/6: 处理BGM...")</t>
        </is>
      </c>
    </row>
    <row r="933">
      <c r="A933" s="9" t="n">
        <v>930</v>
      </c>
      <c r="B933" s="10" t="inlineStr">
        <is>
          <t xml:space="preserve">    bgm_path = None</t>
        </is>
      </c>
    </row>
    <row r="934">
      <c r="A934" s="7" t="n">
        <v>931</v>
      </c>
      <c r="B934" s="8" t="inlineStr">
        <is>
          <t xml:space="preserve">    if bgm_file:</t>
        </is>
      </c>
    </row>
    <row r="935">
      <c r="A935" s="9" t="n">
        <v>932</v>
      </c>
      <c r="B935" s="10" t="inlineStr">
        <is>
          <t xml:space="preserve">        bgm_path = Path(bgm_file)</t>
        </is>
      </c>
    </row>
    <row r="936">
      <c r="A936" s="7" t="n">
        <v>933</v>
      </c>
      <c r="B936" s="8" t="inlineStr">
        <is>
          <t xml:space="preserve">    if bgm_path is None and auto_bgm:</t>
        </is>
      </c>
    </row>
    <row r="937">
      <c r="A937" s="9" t="n">
        <v>934</v>
      </c>
      <c r="B937" s="10" t="inlineStr">
        <is>
          <t xml:space="preserve">        bgm_path = _auto_get_bgm_simple(keyword, target_video_dur)</t>
        </is>
      </c>
    </row>
    <row r="938">
      <c r="A938" s="7" t="n">
        <v>935</v>
      </c>
      <c r="B938" s="8" t="inlineStr">
        <is>
          <t xml:space="preserve">    if bgm_path is None:</t>
        </is>
      </c>
    </row>
    <row r="939">
      <c r="A939" s="9" t="n">
        <v>936</v>
      </c>
      <c r="B939" s="10" t="inlineStr">
        <is>
          <t xml:space="preserve">        bgms = collect_bgm()</t>
        </is>
      </c>
    </row>
    <row r="940">
      <c r="A940" s="7" t="n">
        <v>937</v>
      </c>
      <c r="B940" s="8" t="inlineStr">
        <is>
          <t xml:space="preserve">        if bgms: bgm_path = random.choice(bgms)</t>
        </is>
      </c>
    </row>
    <row r="941">
      <c r="A941" s="9" t="n">
        <v>938</v>
      </c>
      <c r="B941" s="10" t="inlineStr"/>
    </row>
    <row r="942">
      <c r="A942" s="7" t="n">
        <v>939</v>
      </c>
      <c r="B942" s="8" t="inlineStr">
        <is>
          <t xml:space="preserve">    # Step 6: 生成剪映草稿</t>
        </is>
      </c>
    </row>
    <row r="943">
      <c r="A943" s="9" t="n">
        <v>940</v>
      </c>
      <c r="B943" s="10" t="inlineStr">
        <is>
          <t xml:space="preserve">    print(f"\n{'='*50}")</t>
        </is>
      </c>
    </row>
    <row r="944">
      <c r="A944" s="7" t="n">
        <v>941</v>
      </c>
      <c r="B944" s="8" t="inlineStr">
        <is>
          <t xml:space="preserve">    _progress(6, "草稿输出"); print(f"[*] Step 6/6: 生成剪映草稿...")</t>
        </is>
      </c>
    </row>
    <row r="945">
      <c r="A945" s="9" t="n">
        <v>942</v>
      </c>
      <c r="B945" s="10" t="inlineStr"/>
    </row>
    <row r="946">
      <c r="A946" s="7" t="n">
        <v>943</v>
      </c>
      <c r="B946" s="8" t="inlineStr">
        <is>
          <t xml:space="preserve">    if dry_run:</t>
        </is>
      </c>
    </row>
    <row r="947">
      <c r="A947" s="9" t="n">
        <v>944</v>
      </c>
      <c r="B947" s="10" t="inlineStr">
        <is>
          <t xml:space="preserve">        print(f"\n   [SCAN] [DRY RUN] 不会实际生成文件")</t>
        </is>
      </c>
    </row>
    <row r="948">
      <c r="A948" s="7" t="n">
        <v>945</v>
      </c>
      <c r="B948" s="8" t="inlineStr">
        <is>
          <t xml:space="preserve">        return {"clips": clips, "copy": copy_text, "subtitles": subtitles}</t>
        </is>
      </c>
    </row>
    <row r="949">
      <c r="A949" s="9" t="n">
        <v>946</v>
      </c>
      <c r="B949" s="10" t="inlineStr"/>
    </row>
    <row r="950">
      <c r="A950" s="7" t="n">
        <v>947</v>
      </c>
      <c r="B950" s="8" t="inlineStr">
        <is>
          <t xml:space="preserve">    if tts_duration &gt; 0:</t>
        </is>
      </c>
    </row>
    <row r="951">
      <c r="A951" s="9" t="n">
        <v>948</v>
      </c>
      <c r="B951" s="10" t="inlineStr">
        <is>
          <t xml:space="preserve">        adj_clips, subtitle_timings = build_tts_synced_timeline(subtitles, tts_duration, clips)</t>
        </is>
      </c>
    </row>
    <row r="952">
      <c r="A952" s="7" t="n">
        <v>949</v>
      </c>
      <c r="B952" s="8" t="inlineStr">
        <is>
          <t xml:space="preserve">        clips_to_use = adj_clips</t>
        </is>
      </c>
    </row>
    <row r="953">
      <c r="A953" s="9" t="n">
        <v>950</v>
      </c>
      <c r="B953" s="10" t="inlineStr">
        <is>
          <t xml:space="preserve">    else:</t>
        </is>
      </c>
    </row>
    <row r="954">
      <c r="A954" s="7" t="n">
        <v>951</v>
      </c>
      <c r="B954" s="8" t="inlineStr">
        <is>
          <t xml:space="preserve">        clips_to_use = clips</t>
        </is>
      </c>
    </row>
    <row r="955">
      <c r="A955" s="9" t="n">
        <v>952</v>
      </c>
      <c r="B955" s="10" t="inlineStr">
        <is>
          <t xml:space="preserve">        subtitle_timings = []</t>
        </is>
      </c>
    </row>
    <row r="956">
      <c r="A956" s="7" t="n">
        <v>953</v>
      </c>
      <c r="B956" s="8" t="inlineStr">
        <is>
          <t xml:space="preserve">        current_t = 0.0</t>
        </is>
      </c>
    </row>
    <row r="957">
      <c r="A957" s="9" t="n">
        <v>954</v>
      </c>
      <c r="B957" s="10" t="inlineStr">
        <is>
          <t xml:space="preserve">        for i, sub in enumerate(subtitles):</t>
        </is>
      </c>
    </row>
    <row r="958">
      <c r="A958" s="7" t="n">
        <v>955</v>
      </c>
      <c r="B958" s="8" t="inlineStr">
        <is>
          <t xml:space="preserve">            d = clips[i].get("duration", 2.5) if i &lt; len(clips) else 2.5</t>
        </is>
      </c>
    </row>
    <row r="959">
      <c r="A959" s="9" t="n">
        <v>956</v>
      </c>
      <c r="B959" s="10" t="inlineStr">
        <is>
          <t xml:space="preserve">            subtitle_timings.append({"text": sub, "start_sec": current_t, "duration_sec": d})</t>
        </is>
      </c>
    </row>
    <row r="960">
      <c r="A960" s="7" t="n">
        <v>957</v>
      </c>
      <c r="B960" s="8" t="inlineStr">
        <is>
          <t xml:space="preserve">            current_t += d</t>
        </is>
      </c>
    </row>
    <row r="961">
      <c r="A961" s="9" t="n">
        <v>958</v>
      </c>
      <c r="B961" s="10" t="inlineStr"/>
    </row>
    <row r="962">
      <c r="A962" s="7" t="n">
        <v>959</v>
      </c>
      <c r="B962" s="8" t="inlineStr">
        <is>
          <t xml:space="preserve">    try:</t>
        </is>
      </c>
    </row>
    <row r="963">
      <c r="A963" s="9" t="n">
        <v>960</v>
      </c>
      <c r="B963" s="10" t="inlineStr">
        <is>
          <t xml:space="preserve">        builder = JianyingDraftBuilder(draft_name=f"树剪_{keyword}", keyword=keyword)</t>
        </is>
      </c>
    </row>
    <row r="964">
      <c r="A964" s="7" t="n">
        <v>961</v>
      </c>
      <c r="B964" s="8" t="inlineStr">
        <is>
          <t xml:space="preserve">        for clip in clips_to_use:</t>
        </is>
      </c>
    </row>
    <row r="965">
      <c r="A965" s="9" t="n">
        <v>962</v>
      </c>
      <c r="B965" s="10" t="inlineStr">
        <is>
          <t xml:space="preserve">            builder.add_video_clip(clip["path"], clip["source_start"], clip["duration"], clip.get("speed", 1.0))</t>
        </is>
      </c>
    </row>
    <row r="966">
      <c r="A966" s="7" t="n">
        <v>963</v>
      </c>
      <c r="B966" s="8" t="inlineStr">
        <is>
          <t xml:space="preserve">        if tts_path and ENABLE_AUTO_TRIM_VIDEO and tts_duration &gt; 0:</t>
        </is>
      </c>
    </row>
    <row r="967">
      <c r="A967" s="9" t="n">
        <v>964</v>
      </c>
      <c r="B967" s="10" t="inlineStr">
        <is>
          <t xml:space="preserve">            builder.trim_all_to_tts(tts_duration)</t>
        </is>
      </c>
    </row>
    <row r="968">
      <c r="A968" s="7" t="n">
        <v>965</v>
      </c>
      <c r="B968" s="8" t="inlineStr">
        <is>
          <t xml:space="preserve">        effective_duration = builder._total_duration_us</t>
        </is>
      </c>
    </row>
    <row r="969">
      <c r="A969" s="9" t="n">
        <v>966</v>
      </c>
      <c r="B969" s="10" t="inlineStr">
        <is>
          <t xml:space="preserve">        if bgm_path:</t>
        </is>
      </c>
    </row>
    <row r="970">
      <c r="A970" s="7" t="n">
        <v>967</v>
      </c>
      <c r="B970" s="8" t="inlineStr">
        <is>
          <t xml:space="preserve">            builder.add_audio_bgm(bgm_path)</t>
        </is>
      </c>
    </row>
    <row r="971">
      <c r="A971" s="9" t="n">
        <v>968</v>
      </c>
      <c r="B971" s="10" t="inlineStr">
        <is>
          <t xml:space="preserve">        if tts_path:</t>
        </is>
      </c>
    </row>
    <row r="972">
      <c r="A972" s="7" t="n">
        <v>969</v>
      </c>
      <c r="B972" s="8" t="inlineStr">
        <is>
          <t xml:space="preserve">            builder.add_tts_audio(tts_path)</t>
        </is>
      </c>
    </row>
    <row r="973">
      <c r="A973" s="9" t="n">
        <v>970</v>
      </c>
      <c r="B973" s="10" t="inlineStr">
        <is>
          <t xml:space="preserve">        last_end_us = 0</t>
        </is>
      </c>
    </row>
    <row r="974">
      <c r="A974" s="7" t="n">
        <v>971</v>
      </c>
      <c r="B974" s="8" t="inlineStr">
        <is>
          <t xml:space="preserve">        total_subs = len(subtitle_timings)</t>
        </is>
      </c>
    </row>
    <row r="975">
      <c r="A975" s="9" t="n">
        <v>972</v>
      </c>
      <c r="B975" s="10" t="inlineStr">
        <is>
          <t xml:space="preserve">        for idx, timing in enumerate(subtitle_timings):</t>
        </is>
      </c>
    </row>
    <row r="976">
      <c r="A976" s="7" t="n">
        <v>973</v>
      </c>
      <c r="B976" s="8" t="inlineStr">
        <is>
          <t xml:space="preserve">            start_us = sec_to_us(timing["start_sec"])</t>
        </is>
      </c>
    </row>
    <row r="977">
      <c r="A977" s="9" t="n">
        <v>974</v>
      </c>
      <c r="B977" s="10" t="inlineStr">
        <is>
          <t xml:space="preserve">            dur_us = sec_to_us(timing["duration_sec"])</t>
        </is>
      </c>
    </row>
    <row r="978">
      <c r="A978" s="7" t="n">
        <v>975</v>
      </c>
      <c r="B978" s="8" t="inlineStr">
        <is>
          <t xml:space="preserve">            if start_us &lt; last_end_us: start_us = last_end_us</t>
        </is>
      </c>
    </row>
    <row r="979">
      <c r="A979" s="9" t="n">
        <v>976</v>
      </c>
      <c r="B979" s="10" t="inlineStr">
        <is>
          <t xml:space="preserve">            if dur_us &lt;= 100_000: continue</t>
        </is>
      </c>
    </row>
    <row r="980">
      <c r="A980" s="7" t="n">
        <v>977</v>
      </c>
      <c r="B980" s="8" t="inlineStr">
        <is>
          <t xml:space="preserve">            is_last = (idx == total_subs - 1)</t>
        </is>
      </c>
    </row>
    <row r="981">
      <c r="A981" s="9" t="n">
        <v>978</v>
      </c>
      <c r="B981" s="10" t="inlineStr">
        <is>
          <t xml:space="preserve">            if is_last: dur_us = effective_duration - start_us</t>
        </is>
      </c>
    </row>
    <row r="982">
      <c r="A982" s="7" t="n">
        <v>979</v>
      </c>
      <c r="B982" s="8" t="inlineStr">
        <is>
          <t xml:space="preserve">            elif start_us + dur_us &gt; effective_duration: dur_us = effective_duration - start_us</t>
        </is>
      </c>
    </row>
    <row r="983">
      <c r="A983" s="9" t="n">
        <v>980</v>
      </c>
      <c r="B983" s="10" t="inlineStr">
        <is>
          <t xml:space="preserve">            if dur_us &gt; 200_000:</t>
        </is>
      </c>
    </row>
    <row r="984">
      <c r="A984" s="7" t="n">
        <v>981</v>
      </c>
      <c r="B984" s="8" t="inlineStr">
        <is>
          <t xml:space="preserve">                builder.add_subtitle(timing["text"], start_us, dur_us)</t>
        </is>
      </c>
    </row>
    <row r="985">
      <c r="A985" s="9" t="n">
        <v>982</v>
      </c>
      <c r="B985" s="10" t="inlineStr">
        <is>
          <t xml:space="preserve">                last_end_us = start_us + dur_us</t>
        </is>
      </c>
    </row>
    <row r="986">
      <c r="A986" s="7" t="n">
        <v>983</v>
      </c>
      <c r="B986" s="8" t="inlineStr">
        <is>
          <t xml:space="preserve">            if is_last: break</t>
        </is>
      </c>
    </row>
    <row r="987">
      <c r="A987" s="9" t="n">
        <v>984</v>
      </c>
      <c r="B987" s="10" t="inlineStr">
        <is>
          <t xml:space="preserve">        draft_dir = save_draft(builder, keyword)</t>
        </is>
      </c>
    </row>
    <row r="988">
      <c r="A988" s="7" t="n">
        <v>985</v>
      </c>
      <c r="B988" s="8" t="inlineStr">
        <is>
          <t xml:space="preserve">        # 保存视频元数据 (v11.2 反馈学习)</t>
        </is>
      </c>
    </row>
    <row r="989">
      <c r="A989" s="9" t="n">
        <v>986</v>
      </c>
      <c r="B989" s="10" t="inlineStr">
        <is>
          <t xml:space="preserve">        if video_log_id and draft_dir:</t>
        </is>
      </c>
    </row>
    <row r="990">
      <c r="A990" s="7" t="n">
        <v>987</v>
      </c>
      <c r="B990" s="8" t="inlineStr">
        <is>
          <t xml:space="preserve">            try:</t>
        </is>
      </c>
    </row>
    <row r="991">
      <c r="A991" s="9" t="n">
        <v>988</v>
      </c>
      <c r="B991" s="10" t="inlineStr">
        <is>
          <t xml:space="preserve">                metadata = {"video_log_id": video_log_id, "keyword": keyword,</t>
        </is>
      </c>
    </row>
    <row r="992">
      <c r="A992" s="7" t="n">
        <v>989</v>
      </c>
      <c r="B992" s="8" t="inlineStr">
        <is>
          <t xml:space="preserve">                            "total_duration": total_dur, "tts_duration": tts_duration}</t>
        </is>
      </c>
    </row>
    <row r="993">
      <c r="A993" s="9" t="n">
        <v>990</v>
      </c>
      <c r="B993" s="10" t="inlineStr">
        <is>
          <t xml:space="preserve">                (draft_dir / "video_metadata.json").write_text(</t>
        </is>
      </c>
    </row>
    <row r="994">
      <c r="A994" s="7" t="n">
        <v>991</v>
      </c>
      <c r="B994" s="8" t="inlineStr">
        <is>
          <t xml:space="preserve">                    json.dumps(metadata, ensure_ascii=False), encoding="utf-8")</t>
        </is>
      </c>
    </row>
    <row r="995">
      <c r="A995" s="9" t="n">
        <v>992</v>
      </c>
      <c r="B995" s="10" t="inlineStr">
        <is>
          <t xml:space="preserve">            except Exception: pass</t>
        </is>
      </c>
    </row>
    <row r="996">
      <c r="A996" s="7" t="n">
        <v>993</v>
      </c>
      <c r="B996" s="8" t="inlineStr">
        <is>
          <t xml:space="preserve">    except ImportError as e:</t>
        </is>
      </c>
    </row>
    <row r="997">
      <c r="A997" s="9" t="n">
        <v>994</v>
      </c>
      <c r="B997" s="10" t="inlineStr">
        <is>
          <t xml:space="preserve">        print(f"   [FAIL] 无法生成草稿: {e}")</t>
        </is>
      </c>
    </row>
    <row r="998">
      <c r="A998" s="7" t="n">
        <v>995</v>
      </c>
      <c r="B998" s="8" t="inlineStr">
        <is>
          <t xml:space="preserve">        print(f"   [TIP] 请安装: pip install pyJianYingDraft")</t>
        </is>
      </c>
    </row>
    <row r="999">
      <c r="A999" s="9" t="n">
        <v>996</v>
      </c>
      <c r="B999" s="10" t="inlineStr">
        <is>
          <t xml:space="preserve">        return {"error": str(e)}</t>
        </is>
      </c>
    </row>
    <row r="1000">
      <c r="A1000" s="7" t="n">
        <v>997</v>
      </c>
      <c r="B1000" s="8" t="inlineStr"/>
    </row>
    <row r="1001">
      <c r="A1001" s="9" t="n">
        <v>998</v>
      </c>
      <c r="B1001" s="10" t="inlineStr">
        <is>
          <t xml:space="preserve">    # 验证</t>
        </is>
      </c>
    </row>
    <row r="1002">
      <c r="A1002" s="7" t="n">
        <v>999</v>
      </c>
      <c r="B1002" s="8" t="inlineStr">
        <is>
          <t xml:space="preserve">    is_valid, issues = validate_draft(clips_to_use, copy_text, tts_path, draft_dir)</t>
        </is>
      </c>
    </row>
    <row r="1003">
      <c r="A1003" s="9" t="n">
        <v>1000</v>
      </c>
      <c r="B1003" s="10" t="inlineStr">
        <is>
          <t xml:space="preserve">    if not is_valid:</t>
        </is>
      </c>
    </row>
    <row r="1004">
      <c r="A1004" s="7" t="n">
        <v>1001</v>
      </c>
      <c r="B1004" s="8" t="inlineStr">
        <is>
          <t xml:space="preserve">        print(f"\n   !! 复盘发现 {len(issues)} 个问题(仅提示):")</t>
        </is>
      </c>
    </row>
    <row r="1005">
      <c r="A1005" s="9" t="n">
        <v>1002</v>
      </c>
      <c r="B1005" s="10" t="inlineStr">
        <is>
          <t xml:space="preserve">        for issue in issues: print(f"      - {issue}")</t>
        </is>
      </c>
    </row>
    <row r="1006">
      <c r="A1006" s="7" t="n">
        <v>1003</v>
      </c>
      <c r="B1006" s="8" t="inlineStr"/>
    </row>
    <row r="1007">
      <c r="A1007" s="9" t="n">
        <v>1004</v>
      </c>
      <c r="B1007" s="10" t="inlineStr">
        <is>
          <t xml:space="preserve">    print(f"\n{'='*50}")</t>
        </is>
      </c>
    </row>
    <row r="1008">
      <c r="A1008" s="7" t="n">
        <v>1005</v>
      </c>
      <c r="B1008" s="8" t="inlineStr">
        <is>
          <t xml:space="preserve">    print(f"[OK] 全部完成！")</t>
        </is>
      </c>
    </row>
    <row r="1009">
      <c r="A1009" s="9" t="n">
        <v>1006</v>
      </c>
      <c r="B1009" s="10" t="inlineStr">
        <is>
          <t xml:space="preserve">    print(f"{'='*50}")</t>
        </is>
      </c>
    </row>
    <row r="1010">
      <c r="A1010" s="7" t="n">
        <v>1007</v>
      </c>
      <c r="B1010" s="8" t="inlineStr"/>
    </row>
    <row r="1011">
      <c r="A1011" s="9" t="n">
        <v>1008</v>
      </c>
      <c r="B1011" s="10" t="inlineStr">
        <is>
          <t xml:space="preserve">    # v11.6: 持久化素材使用记录 + 视频日志 + 脚本偏好学习</t>
        </is>
      </c>
    </row>
    <row r="1012">
      <c r="A1012" s="7" t="n">
        <v>1009</v>
      </c>
      <c r="B1012" s="8" t="inlineStr">
        <is>
          <t xml:space="preserve">    if task_id:</t>
        </is>
      </c>
    </row>
    <row r="1013">
      <c r="A1013" s="9" t="n">
        <v>1010</v>
      </c>
      <c r="B1013" s="10" t="inlineStr">
        <is>
          <t xml:space="preserve">        try:</t>
        </is>
      </c>
    </row>
    <row r="1014">
      <c r="A1014" s="7" t="n">
        <v>1011</v>
      </c>
      <c r="B1014" s="8" t="inlineStr">
        <is>
          <t xml:space="preserve">            from core.database import db</t>
        </is>
      </c>
    </row>
    <row r="1015">
      <c r="A1015" s="9" t="n">
        <v>1012</v>
      </c>
      <c r="B1015" s="10" t="inlineStr">
        <is>
          <t xml:space="preserve">            db.record_material_usage(task_id, clips_to_use)</t>
        </is>
      </c>
    </row>
    <row r="1016">
      <c r="A1016" s="7" t="n">
        <v>1013</v>
      </c>
      <c r="B1016" s="8" t="inlineStr">
        <is>
          <t xml:space="preserve">            if video_log_id is None:</t>
        </is>
      </c>
    </row>
    <row r="1017">
      <c r="A1017" s="9" t="n">
        <v>1014</v>
      </c>
      <c r="B1017" s="10" t="inlineStr">
        <is>
          <t xml:space="preserve">                video_log_id = db.insert_video_log(</t>
        </is>
      </c>
    </row>
    <row r="1018">
      <c r="A1018" s="7" t="n">
        <v>1015</v>
      </c>
      <c r="B1018" s="8" t="inlineStr">
        <is>
          <t xml:space="preserve">                    task_id, video_index, keyword, copy_text, total_dur, tts_duration)</t>
        </is>
      </c>
    </row>
    <row r="1019">
      <c r="A1019" s="9" t="n">
        <v>1016</v>
      </c>
      <c r="B1019" s="10" t="inlineStr">
        <is>
          <t xml:space="preserve">            for idx, clip in enumerate(clips_to_use):</t>
        </is>
      </c>
    </row>
    <row r="1020">
      <c r="A1020" s="7" t="n">
        <v>1017</v>
      </c>
      <c r="B1020" s="8" t="inlineStr">
        <is>
          <t xml:space="preserve">                db.insert_material_log(video_log_id, clip, idx)</t>
        </is>
      </c>
    </row>
    <row r="1021">
      <c r="A1021" s="9" t="n">
        <v>1018</v>
      </c>
      <c r="B1021" s="10" t="inlineStr">
        <is>
          <t xml:space="preserve">                # 脚本偏好学习</t>
        </is>
      </c>
    </row>
    <row r="1022">
      <c r="A1022" s="7" t="n">
        <v>1019</v>
      </c>
      <c r="B1022" s="8" t="inlineStr">
        <is>
          <t xml:space="preserve">                if shash:</t>
        </is>
      </c>
    </row>
    <row r="1023">
      <c r="A1023" s="9" t="n">
        <v>1020</v>
      </c>
      <c r="B1023" s="10" t="inlineStr">
        <is>
          <t xml:space="preserve">                    record_script_match(shash, str(clip.get("path", "")))</t>
        </is>
      </c>
    </row>
    <row r="1024">
      <c r="A1024" s="7" t="n">
        <v>1021</v>
      </c>
      <c r="B1024" s="8" t="inlineStr">
        <is>
          <t xml:space="preserve">            print(f"   [MatLog] video#{video_log_id}: {len(clips_to_use)} clips recorded" +                   (f", 偏好已记录(shash={shash})" if shash else ""))</t>
        </is>
      </c>
    </row>
    <row r="1025">
      <c r="A1025" s="9" t="n">
        <v>1022</v>
      </c>
      <c r="B1025" s="10" t="inlineStr">
        <is>
          <t xml:space="preserve">        except Exception as e:</t>
        </is>
      </c>
    </row>
    <row r="1026">
      <c r="A1026" s="7" t="n">
        <v>1023</v>
      </c>
      <c r="B1026" s="8" t="inlineStr">
        <is>
          <t xml:space="preserve">            print(f"   [MatLog] 记录失败: {e}")</t>
        </is>
      </c>
    </row>
    <row r="1027">
      <c r="A1027" s="9" t="n">
        <v>1024</v>
      </c>
      <c r="B1027" s="10" t="inlineStr"/>
    </row>
    <row r="1028">
      <c r="A1028" s="7" t="n">
        <v>1025</v>
      </c>
      <c r="B1028" s="8" t="inlineStr">
        <is>
          <t xml:space="preserve">    # 脚本学习库: 如果提供了 script_id，更新使用统计</t>
        </is>
      </c>
    </row>
    <row r="1029">
      <c r="A1029" s="9" t="n">
        <v>1026</v>
      </c>
      <c r="B1029" s="10" t="inlineStr">
        <is>
          <t xml:space="preserve">    if script_id:</t>
        </is>
      </c>
    </row>
    <row r="1030">
      <c r="A1030" s="7" t="n">
        <v>1027</v>
      </c>
      <c r="B1030" s="8" t="inlineStr">
        <is>
          <t xml:space="preserve">        try:</t>
        </is>
      </c>
    </row>
    <row r="1031">
      <c r="A1031" s="9" t="n">
        <v>1028</v>
      </c>
      <c r="B1031" s="10" t="inlineStr">
        <is>
          <t xml:space="preserve">            from core.script_learning import get_library</t>
        </is>
      </c>
    </row>
    <row r="1032">
      <c r="A1032" s="7" t="n">
        <v>1029</v>
      </c>
      <c r="B1032" s="8" t="inlineStr">
        <is>
          <t xml:space="preserve">            get_library().update_score(script_id, 3.0)</t>
        </is>
      </c>
    </row>
    <row r="1033">
      <c r="A1033" s="9" t="n">
        <v>1030</v>
      </c>
      <c r="B1033" s="10" t="inlineStr">
        <is>
          <t xml:space="preserve">            print(f"   [ScriptLib] 脚本 #{script_id} 使用统计已更新")</t>
        </is>
      </c>
    </row>
    <row r="1034">
      <c r="A1034" s="7" t="n">
        <v>1031</v>
      </c>
      <c r="B1034" s="8" t="inlineStr">
        <is>
          <t xml:space="preserve">        except Exception as e:</t>
        </is>
      </c>
    </row>
    <row r="1035">
      <c r="A1035" s="9" t="n">
        <v>1032</v>
      </c>
      <c r="B1035" s="10" t="inlineStr">
        <is>
          <t xml:space="preserve">            print(f"   [ScriptLib] 更新失败: {e}")</t>
        </is>
      </c>
    </row>
    <row r="1036">
      <c r="A1036" s="7" t="n">
        <v>1033</v>
      </c>
      <c r="B1036" s="8" t="inlineStr"/>
    </row>
    <row r="1037">
      <c r="A1037" s="9" t="n">
        <v>1034</v>
      </c>
      <c r="B1037" s="10" t="inlineStr">
        <is>
          <t xml:space="preserve">    return {"draft_dir": str(draft_dir), "clips": clips, "copy": copy_text,</t>
        </is>
      </c>
    </row>
    <row r="1038">
      <c r="A1038" s="7" t="n">
        <v>1035</v>
      </c>
      <c r="B1038" s="8" t="inlineStr">
        <is>
          <t xml:space="preserve">            "subtitles": subtitles, "total_duration": total_dur,</t>
        </is>
      </c>
    </row>
    <row r="1039">
      <c r="A1039" s="9" t="n">
        <v>1036</v>
      </c>
      <c r="B1039" s="10" t="inlineStr">
        <is>
          <t xml:space="preserve">            "tts_duration": tts_duration, "tts_path": str(tts_path) if tts_path else None,</t>
        </is>
      </c>
    </row>
    <row r="1040">
      <c r="A1040" s="7" t="n">
        <v>1037</v>
      </c>
      <c r="B1040" s="8" t="inlineStr">
        <is>
          <t xml:space="preserve">            "video_log_id": video_log_id}</t>
        </is>
      </c>
    </row>
    <row r="1041">
      <c r="A1041" s="9" t="n">
        <v>1038</v>
      </c>
      <c r="B1041" s="10" t="inlineStr"/>
    </row>
    <row r="1042">
      <c r="A1042" s="7" t="n">
        <v>1039</v>
      </c>
      <c r="B1042" s="8" t="inlineStr"/>
    </row>
    <row r="1043">
      <c r="A1043" s="9" t="n">
        <v>1040</v>
      </c>
      <c r="B1043" s="10" t="inlineStr">
        <is>
          <t>def _auto_get_bgm_simple(keyword: str, duration_sec: float) -&gt; Optional[Path]:</t>
        </is>
      </c>
    </row>
    <row r="1044">
      <c r="A1044" s="7" t="n">
        <v>1041</v>
      </c>
      <c r="B1044" s="8" t="inlineStr">
        <is>
          <t xml:space="preserve">    """</t>
        </is>
      </c>
    </row>
    <row r="1045">
      <c r="A1045" s="9" t="n">
        <v>1042</v>
      </c>
      <c r="B1045" s="10" t="inlineStr">
        <is>
          <t xml:space="preserve">    自动BGM获取 — 本地文件随机选择，按视频主题匹配风格。</t>
        </is>
      </c>
    </row>
    <row r="1046">
      <c r="A1046" s="7" t="n">
        <v>1043</v>
      </c>
      <c r="B1046" s="8" t="inlineStr">
        <is>
          <t xml:space="preserve">    """</t>
        </is>
      </c>
    </row>
    <row r="1047">
      <c r="A1047" s="9" t="n">
        <v>1044</v>
      </c>
      <c r="B1047" s="10" t="inlineStr">
        <is>
          <t xml:space="preserve">    bgms = collect_bgm()</t>
        </is>
      </c>
    </row>
    <row r="1048">
      <c r="A1048" s="7" t="n">
        <v>1045</v>
      </c>
      <c r="B1048" s="8" t="inlineStr">
        <is>
          <t xml:space="preserve">    if bgms:</t>
        </is>
      </c>
    </row>
    <row r="1049">
      <c r="A1049" s="9" t="n">
        <v>1046</v>
      </c>
      <c r="B1049" s="10" t="inlineStr">
        <is>
          <t xml:space="preserve">        theme = detect_video_theme(keyword)</t>
        </is>
      </c>
    </row>
    <row r="1050">
      <c r="A1050" s="7" t="n">
        <v>1047</v>
      </c>
      <c r="B1050" s="8" t="inlineStr">
        <is>
          <t xml:space="preserve">        mood_map = {"卖点展示": "upbeat", "效果展示": "chill", "工厂实力": "cinematic"}</t>
        </is>
      </c>
    </row>
    <row r="1051">
      <c r="A1051" s="9" t="n">
        <v>1048</v>
      </c>
      <c r="B1051" s="10" t="inlineStr">
        <is>
          <t xml:space="preserve">        mood = mood_map.get(theme, "ambient")</t>
        </is>
      </c>
    </row>
    <row r="1052">
      <c r="A1052" s="7" t="n">
        <v>1049</v>
      </c>
      <c r="B1052" s="8" t="inlineStr">
        <is>
          <t xml:space="preserve">        mood_bgms = [b for b in bgms if mood in b.stem.lower()]</t>
        </is>
      </c>
    </row>
    <row r="1053">
      <c r="A1053" s="9" t="n">
        <v>1050</v>
      </c>
      <c r="B1053" s="10" t="inlineStr">
        <is>
          <t xml:space="preserve">        chosen = random.choice(mood_bgms if mood_bgms else bgms)</t>
        </is>
      </c>
    </row>
    <row r="1054">
      <c r="A1054" s="7" t="n">
        <v>1051</v>
      </c>
      <c r="B1054" s="8" t="inlineStr">
        <is>
          <t xml:space="preserve">        print(f"   [*] [BGM] 本地随机: {chosen.name}")</t>
        </is>
      </c>
    </row>
    <row r="1055">
      <c r="A1055" s="9" t="n">
        <v>1052</v>
      </c>
      <c r="B1055" s="10" t="inlineStr">
        <is>
          <t xml:space="preserve">        return chosen</t>
        </is>
      </c>
    </row>
    <row r="1056">
      <c r="A1056" s="7" t="n">
        <v>1053</v>
      </c>
      <c r="B1056" s="8" t="inlineStr"/>
    </row>
    <row r="1057">
      <c r="A1057" s="9" t="n">
        <v>1054</v>
      </c>
      <c r="B1057" s="10" t="inlineStr">
        <is>
          <t xml:space="preserve">    print(f"   [TIP] [BGM] 未找到本地BGM，请在 {BGM_PATH_PRIMARY} 放入音乐文件")</t>
        </is>
      </c>
    </row>
    <row r="1058">
      <c r="A1058" s="7" t="n">
        <v>1055</v>
      </c>
      <c r="B1058" s="8" t="inlineStr">
        <is>
          <t xml:space="preserve">    return None</t>
        </is>
      </c>
    </row>
    <row r="1059">
      <c r="A1059" s="9" t="n">
        <v>1056</v>
      </c>
      <c r="B1059" s="10" t="inlineStr"/>
    </row>
    <row r="1060">
      <c r="A1060" s="7" t="n">
        <v>1057</v>
      </c>
      <c r="B1060" s="8" t="inlineStr"/>
    </row>
    <row r="1061">
      <c r="A1061" s="9" t="n">
        <v>1058</v>
      </c>
      <c r="B1061" s="10" t="inlineStr">
        <is>
          <t>def run_multi(keywords: List[str], clips_per_kw: int = 2, bgm_file: str = None,</t>
        </is>
      </c>
    </row>
    <row r="1062">
      <c r="A1062" s="7" t="n">
        <v>1059</v>
      </c>
      <c r="B1062" s="8" t="inlineStr">
        <is>
          <t xml:space="preserve">              auto_bgm: bool = False, dry_run: bool = False, generate_tts: bool = False,</t>
        </is>
      </c>
    </row>
    <row r="1063">
      <c r="A1063" s="9" t="n">
        <v>1060</v>
      </c>
      <c r="B1063" s="10" t="inlineStr">
        <is>
          <t xml:space="preserve">              tts_voice: str = None, template: str = "multi", use_effects: bool = True,</t>
        </is>
      </c>
    </row>
    <row r="1064">
      <c r="A1064" s="7" t="n">
        <v>1061</v>
      </c>
      <c r="B1064" s="8" t="inlineStr">
        <is>
          <t xml:space="preserve">              custom_voice: bool = False, no_script_library: bool = False):</t>
        </is>
      </c>
    </row>
    <row r="1065">
      <c r="A1065" s="9" t="n">
        <v>1062</v>
      </c>
      <c r="B1065" s="10" t="inlineStr">
        <is>
          <t xml:space="preserve">    """多卖点混剪主流程（简化版，核心逻辑保持一致）"""</t>
        </is>
      </c>
    </row>
    <row r="1066">
      <c r="A1066" s="7" t="n">
        <v>1063</v>
      </c>
      <c r="B1066" s="8" t="inlineStr">
        <is>
          <t xml:space="preserve">    print_banner()</t>
        </is>
      </c>
    </row>
    <row r="1067">
      <c r="A1067" s="9" t="n">
        <v>1064</v>
      </c>
      <c r="B1067" s="10" t="inlineStr">
        <is>
          <t xml:space="preserve">    kw_display = ",".join(keywords)</t>
        </is>
      </c>
    </row>
    <row r="1068">
      <c r="A1068" s="7" t="n">
        <v>1065</v>
      </c>
      <c r="B1068" s="8" t="inlineStr">
        <is>
          <t xml:space="preserve">    print(f"&gt;&gt; 多卖点混剪模式: 「{kw_display}」")</t>
        </is>
      </c>
    </row>
    <row r="1069">
      <c r="A1069" s="9" t="n">
        <v>1066</v>
      </c>
      <c r="B1069" s="10" t="inlineStr"/>
    </row>
    <row r="1070">
      <c r="A1070" s="7" t="n">
        <v>1067</v>
      </c>
      <c r="B1070" s="8" t="inlineStr">
        <is>
          <t xml:space="preserve">    clips = collect_multi_selling_mp4s(keywords, clips_per_kw)</t>
        </is>
      </c>
    </row>
    <row r="1071">
      <c r="A1071" s="9" t="n">
        <v>1068</v>
      </c>
      <c r="B1071" s="10" t="inlineStr">
        <is>
          <t xml:space="preserve">    if not clips:</t>
        </is>
      </c>
    </row>
    <row r="1072">
      <c r="A1072" s="7" t="n">
        <v>1069</v>
      </c>
      <c r="B1072" s="8" t="inlineStr">
        <is>
          <t xml:space="preserve">        print(f"\n[FAIL] 没有找到任何匹配的素材！")</t>
        </is>
      </c>
    </row>
    <row r="1073">
      <c r="A1073" s="9" t="n">
        <v>1070</v>
      </c>
      <c r="B1073" s="10" t="inlineStr">
        <is>
          <t xml:space="preserve">        return None</t>
        </is>
      </c>
    </row>
    <row r="1074">
      <c r="A1074" s="7" t="n">
        <v>1071</v>
      </c>
      <c r="B1074" s="8" t="inlineStr"/>
    </row>
    <row r="1075">
      <c r="A1075" s="9" t="n">
        <v>1072</v>
      </c>
      <c r="B1075" s="10" t="inlineStr">
        <is>
          <t xml:space="preserve">    total_dur = sum(c["duration"] for c in clips)</t>
        </is>
      </c>
    </row>
    <row r="1076">
      <c r="A1076" s="7" t="n">
        <v>1073</v>
      </c>
      <c r="B1076" s="8" t="inlineStr">
        <is>
          <t xml:space="preserve">    print(f"\n   [*] 共选取 {len(clips)} 个片段,总时长 {total_dur:.1f}秒")</t>
        </is>
      </c>
    </row>
    <row r="1077">
      <c r="A1077" s="9" t="n">
        <v>1074</v>
      </c>
      <c r="B1077" s="10" t="inlineStr"/>
    </row>
    <row r="1078">
      <c r="A1078" s="7" t="n">
        <v>1075</v>
      </c>
      <c r="B1078" s="8" t="inlineStr">
        <is>
          <t xml:space="preserve">    kw_set = set(c["keyword"] for c in clips)</t>
        </is>
      </c>
    </row>
    <row r="1079">
      <c r="A1079" s="9" t="n">
        <v>1076</v>
      </c>
      <c r="B1079" s="10" t="inlineStr">
        <is>
          <t xml:space="preserve">    # ── v11.8 默认从脚本库随机选取 ──</t>
        </is>
      </c>
    </row>
    <row r="1080">
      <c r="A1080" s="7" t="n">
        <v>1077</v>
      </c>
      <c r="B1080" s="8" t="inlineStr">
        <is>
          <t xml:space="preserve">    library_copy = None; script_id = None</t>
        </is>
      </c>
    </row>
    <row r="1081">
      <c r="A1081" s="9" t="n">
        <v>1078</v>
      </c>
      <c r="B1081" s="10" t="inlineStr">
        <is>
          <t xml:space="preserve">    if not no_script_library:</t>
        </is>
      </c>
    </row>
    <row r="1082">
      <c r="A1082" s="7" t="n">
        <v>1079</v>
      </c>
      <c r="B1082" s="8" t="inlineStr">
        <is>
          <t xml:space="preserve">        try:</t>
        </is>
      </c>
    </row>
    <row r="1083">
      <c r="A1083" s="9" t="n">
        <v>1080</v>
      </c>
      <c r="B1083" s="10" t="inlineStr">
        <is>
          <t xml:space="preserve">            from core.script_learning import get_library</t>
        </is>
      </c>
    </row>
    <row r="1084">
      <c r="A1084" s="7" t="n">
        <v>1081</v>
      </c>
      <c r="B1084" s="8" t="inlineStr">
        <is>
          <t xml:space="preserve">            lib = get_library()</t>
        </is>
      </c>
    </row>
    <row r="1085">
      <c r="A1085" s="9" t="n">
        <v>1082</v>
      </c>
      <c r="B1085" s="10" t="inlineStr">
        <is>
          <t xml:space="preserve">            chosen = lib.get_script_with_diversity(prefer_unused=True)</t>
        </is>
      </c>
    </row>
    <row r="1086">
      <c r="A1086" s="7" t="n">
        <v>1083</v>
      </c>
      <c r="B1086" s="8" t="inlineStr">
        <is>
          <t xml:space="preserve">            if chosen:</t>
        </is>
      </c>
    </row>
    <row r="1087">
      <c r="A1087" s="9" t="n">
        <v>1084</v>
      </c>
      <c r="B1087" s="10" t="inlineStr">
        <is>
          <t xml:space="preserve">                library_copy = chosen["content"]</t>
        </is>
      </c>
    </row>
    <row r="1088">
      <c r="A1088" s="7" t="n">
        <v>1085</v>
      </c>
      <c r="B1088" s="8" t="inlineStr">
        <is>
          <t xml:space="preserve">                script_id = chosen["id"]</t>
        </is>
      </c>
    </row>
    <row r="1089">
      <c r="A1089" s="9" t="n">
        <v>1086</v>
      </c>
      <c r="B1089" s="10" t="inlineStr">
        <is>
          <t xml:space="preserve">                print(f"\n   [ScriptLib] 📜 从脚本库选取 (ID={chosen['id']}, 已用{chosen['usage_count']}次)")</t>
        </is>
      </c>
    </row>
    <row r="1090">
      <c r="A1090" s="7" t="n">
        <v>1087</v>
      </c>
      <c r="B1090" s="8" t="inlineStr">
        <is>
          <t xml:space="preserve">        except Exception as e:</t>
        </is>
      </c>
    </row>
    <row r="1091">
      <c r="A1091" s="9" t="n">
        <v>1088</v>
      </c>
      <c r="B1091" s="10" t="inlineStr">
        <is>
          <t xml:space="preserve">            print(f"   [ScriptLib] 脚本库不可用: {e}")</t>
        </is>
      </c>
    </row>
    <row r="1092">
      <c r="A1092" s="7" t="n">
        <v>1089</v>
      </c>
      <c r="B1092" s="8" t="inlineStr">
        <is>
          <t xml:space="preserve">    copy_text = library_copy or generate_fallback_copy("+".join(sorted(kw_set)))</t>
        </is>
      </c>
    </row>
    <row r="1093">
      <c r="A1093" s="9" t="n">
        <v>1090</v>
      </c>
      <c r="B1093" s="10" t="inlineStr">
        <is>
          <t xml:space="preserve">    print(f"\n   [*] 文案:\n{'─'*40}\n{copy_text}\n{'─'*40}")</t>
        </is>
      </c>
    </row>
    <row r="1094">
      <c r="A1094" s="7" t="n">
        <v>1091</v>
      </c>
      <c r="B1094" s="8" t="inlineStr"/>
    </row>
    <row r="1095">
      <c r="A1095" s="9" t="n">
        <v>1092</v>
      </c>
      <c r="B1095" s="10" t="inlineStr">
        <is>
          <t xml:space="preserve">    keyword_str = "+".join(sorted(kw_set))[:40]</t>
        </is>
      </c>
    </row>
    <row r="1096">
      <c r="A1096" s="7" t="n">
        <v>1093</v>
      </c>
      <c r="B1096" s="8" t="inlineStr">
        <is>
          <t xml:space="preserve">    copy_path = save_copy(copy_text, keyword_str)</t>
        </is>
      </c>
    </row>
    <row r="1097">
      <c r="A1097" s="9" t="n">
        <v>1094</v>
      </c>
      <c r="B1097" s="10" t="inlineStr"/>
    </row>
    <row r="1098">
      <c r="A1098" s="7" t="n">
        <v>1095</v>
      </c>
      <c r="B1098" s="8" t="inlineStr">
        <is>
          <t xml:space="preserve">    subtitles = split_copy_to_subtitles(copy_text)</t>
        </is>
      </c>
    </row>
    <row r="1099">
      <c r="A1099" s="9" t="n">
        <v>1096</v>
      </c>
      <c r="B1099" s="10" t="inlineStr">
        <is>
          <t xml:space="preserve">    subtitles = [strip_leading_junk(s) for s in subtitles]</t>
        </is>
      </c>
    </row>
    <row r="1100">
      <c r="A1100" s="7" t="n">
        <v>1097</v>
      </c>
      <c r="B1100" s="8" t="inlineStr">
        <is>
          <t xml:space="preserve">    subtitles = [s for s in subtitles if s and len(re.findall(r'[一-鿿]', s)) &gt;= 2]</t>
        </is>
      </c>
    </row>
    <row r="1101">
      <c r="A1101" s="9" t="n">
        <v>1098</v>
      </c>
      <c r="B1101" s="10" t="inlineStr">
        <is>
          <t xml:space="preserve">    if not subtitles: subtitles = ["坤宝岛台"]</t>
        </is>
      </c>
    </row>
    <row r="1102">
      <c r="A1102" s="7" t="n">
        <v>1099</v>
      </c>
      <c r="B1102" s="8" t="inlineStr"/>
    </row>
    <row r="1103">
      <c r="A1103" s="9" t="n">
        <v>1100</v>
      </c>
      <c r="B1103" s="10" t="inlineStr">
        <is>
          <t xml:space="preserve">    tts_text = ".".join(subtitles)</t>
        </is>
      </c>
    </row>
    <row r="1104">
      <c r="A1104" s="7" t="n">
        <v>1101</v>
      </c>
      <c r="B1104" s="8" t="inlineStr">
        <is>
          <t xml:space="preserve">    tts_text = clean_text_for_tts(tts_text)</t>
        </is>
      </c>
    </row>
    <row r="1105">
      <c r="A1105" s="9" t="n">
        <v>1102</v>
      </c>
      <c r="B1105" s="10" t="inlineStr"/>
    </row>
    <row r="1106">
      <c r="A1106" s="7" t="n">
        <v>1103</v>
      </c>
      <c r="B1106" s="8" t="inlineStr">
        <is>
          <t xml:space="preserve">    tts_path = None; tts_duration = 0.0</t>
        </is>
      </c>
    </row>
    <row r="1107">
      <c r="A1107" s="9" t="n">
        <v>1104</v>
      </c>
      <c r="B1107" s="10" t="inlineStr">
        <is>
          <t xml:space="preserve">    if generate_tts:</t>
        </is>
      </c>
    </row>
    <row r="1108">
      <c r="A1108" s="7" t="n">
        <v>1105</v>
      </c>
      <c r="B1108" s="8" t="inlineStr">
        <is>
          <t xml:space="preserve">        actual_voice = tts_voice or TTS_VOICE</t>
        </is>
      </c>
    </row>
    <row r="1109">
      <c r="A1109" s="9" t="n">
        <v>1106</v>
      </c>
      <c r="B1109" s="10" t="inlineStr">
        <is>
          <t xml:space="preserve">        tts_path = generate_tts_voiceover(tts_text, keyword_str, voice=actual_voice)</t>
        </is>
      </c>
    </row>
    <row r="1110">
      <c r="A1110" s="7" t="n">
        <v>1107</v>
      </c>
      <c r="B1110" s="8" t="inlineStr">
        <is>
          <t xml:space="preserve">        if tts_path: tts_duration = get_audio_duration_seconds(tts_path)</t>
        </is>
      </c>
    </row>
    <row r="1111">
      <c r="A1111" s="9" t="n">
        <v>1108</v>
      </c>
      <c r="B1111" s="10" t="inlineStr"/>
    </row>
    <row r="1112">
      <c r="A1112" s="7" t="n">
        <v>1109</v>
      </c>
      <c r="B1112" s="8" t="inlineStr">
        <is>
          <t xml:space="preserve">    bgm_path = None</t>
        </is>
      </c>
    </row>
    <row r="1113">
      <c r="A1113" s="9" t="n">
        <v>1110</v>
      </c>
      <c r="B1113" s="10" t="inlineStr">
        <is>
          <t xml:space="preserve">    if bgm_file: bgm_path = Path(bgm_file)</t>
        </is>
      </c>
    </row>
    <row r="1114">
      <c r="A1114" s="7" t="n">
        <v>1111</v>
      </c>
      <c r="B1114" s="8" t="inlineStr">
        <is>
          <t xml:space="preserve">    if bgm_path is None and auto_bgm:</t>
        </is>
      </c>
    </row>
    <row r="1115">
      <c r="A1115" s="9" t="n">
        <v>1112</v>
      </c>
      <c r="B1115" s="10" t="inlineStr">
        <is>
          <t xml:space="preserve">        bgm_path = _auto_get_bgm_simple(keyword_str, total_dur)</t>
        </is>
      </c>
    </row>
    <row r="1116">
      <c r="A1116" s="7" t="n">
        <v>1113</v>
      </c>
      <c r="B1116" s="8" t="inlineStr">
        <is>
          <t xml:space="preserve">    if bgm_path is None:</t>
        </is>
      </c>
    </row>
    <row r="1117">
      <c r="A1117" s="9" t="n">
        <v>1114</v>
      </c>
      <c r="B1117" s="10" t="inlineStr">
        <is>
          <t xml:space="preserve">        bgms = collect_bgm()</t>
        </is>
      </c>
    </row>
    <row r="1118">
      <c r="A1118" s="7" t="n">
        <v>1115</v>
      </c>
      <c r="B1118" s="8" t="inlineStr">
        <is>
          <t xml:space="preserve">        if bgms: bgm_path = random.choice(bgms)</t>
        </is>
      </c>
    </row>
    <row r="1119">
      <c r="A1119" s="9" t="n">
        <v>1116</v>
      </c>
      <c r="B1119" s="10" t="inlineStr"/>
    </row>
    <row r="1120">
      <c r="A1120" s="7" t="n">
        <v>1117</v>
      </c>
      <c r="B1120" s="8" t="inlineStr">
        <is>
          <t xml:space="preserve">    if dry_run:</t>
        </is>
      </c>
    </row>
    <row r="1121">
      <c r="A1121" s="9" t="n">
        <v>1118</v>
      </c>
      <c r="B1121" s="10" t="inlineStr">
        <is>
          <t xml:space="preserve">        print(f"\n   [SCAN] [DRY RUN] 不会实际生成文件")</t>
        </is>
      </c>
    </row>
    <row r="1122">
      <c r="A1122" s="7" t="n">
        <v>1119</v>
      </c>
      <c r="B1122" s="8" t="inlineStr">
        <is>
          <t xml:space="preserve">        return {"clips": clips, "copy": copy_text, "subtitles": subtitles}</t>
        </is>
      </c>
    </row>
    <row r="1123">
      <c r="A1123" s="9" t="n">
        <v>1120</v>
      </c>
      <c r="B1123" s="10" t="inlineStr"/>
    </row>
    <row r="1124">
      <c r="A1124" s="7" t="n">
        <v>1121</v>
      </c>
      <c r="B1124" s="8" t="inlineStr">
        <is>
          <t xml:space="preserve">    if tts_duration &gt; 0:</t>
        </is>
      </c>
    </row>
    <row r="1125">
      <c r="A1125" s="9" t="n">
        <v>1122</v>
      </c>
      <c r="B1125" s="10" t="inlineStr">
        <is>
          <t xml:space="preserve">        adj_clips, subtitle_timings = build_tts_synced_timeline(subtitles, tts_duration, clips)</t>
        </is>
      </c>
    </row>
    <row r="1126">
      <c r="A1126" s="7" t="n">
        <v>1123</v>
      </c>
      <c r="B1126" s="8" t="inlineStr">
        <is>
          <t xml:space="preserve">        clips_to_use = adj_clips</t>
        </is>
      </c>
    </row>
    <row r="1127">
      <c r="A1127" s="9" t="n">
        <v>1124</v>
      </c>
      <c r="B1127" s="10" t="inlineStr">
        <is>
          <t xml:space="preserve">    else:</t>
        </is>
      </c>
    </row>
    <row r="1128">
      <c r="A1128" s="7" t="n">
        <v>1125</v>
      </c>
      <c r="B1128" s="8" t="inlineStr">
        <is>
          <t xml:space="preserve">        clips_to_use = clips</t>
        </is>
      </c>
    </row>
    <row r="1129">
      <c r="A1129" s="9" t="n">
        <v>1126</v>
      </c>
      <c r="B1129" s="10" t="inlineStr">
        <is>
          <t xml:space="preserve">        subtitle_timings = []</t>
        </is>
      </c>
    </row>
    <row r="1130">
      <c r="A1130" s="7" t="n">
        <v>1127</v>
      </c>
      <c r="B1130" s="8" t="inlineStr">
        <is>
          <t xml:space="preserve">        current_t = 0.0</t>
        </is>
      </c>
    </row>
    <row r="1131">
      <c r="A1131" s="9" t="n">
        <v>1128</v>
      </c>
      <c r="B1131" s="10" t="inlineStr">
        <is>
          <t xml:space="preserve">        for i, sub in enumerate(subtitles):</t>
        </is>
      </c>
    </row>
    <row r="1132">
      <c r="A1132" s="7" t="n">
        <v>1129</v>
      </c>
      <c r="B1132" s="8" t="inlineStr">
        <is>
          <t xml:space="preserve">            d = clips[i].get("duration", 3.0) if i &lt; len(clips) else 2.0</t>
        </is>
      </c>
    </row>
    <row r="1133">
      <c r="A1133" s="9" t="n">
        <v>1130</v>
      </c>
      <c r="B1133" s="10" t="inlineStr">
        <is>
          <t xml:space="preserve">            subtitle_timings.append({"text": sub, "start_sec": current_t, "duration_sec": d})</t>
        </is>
      </c>
    </row>
    <row r="1134">
      <c r="A1134" s="7" t="n">
        <v>1131</v>
      </c>
      <c r="B1134" s="8" t="inlineStr">
        <is>
          <t xml:space="preserve">            current_t += d</t>
        </is>
      </c>
    </row>
    <row r="1135">
      <c r="A1135" s="9" t="n">
        <v>1132</v>
      </c>
      <c r="B1135" s="10" t="inlineStr"/>
    </row>
    <row r="1136">
      <c r="A1136" s="7" t="n">
        <v>1133</v>
      </c>
      <c r="B1136" s="8" t="inlineStr">
        <is>
          <t xml:space="preserve">    try:</t>
        </is>
      </c>
    </row>
    <row r="1137">
      <c r="A1137" s="9" t="n">
        <v>1134</v>
      </c>
      <c r="B1137" s="10" t="inlineStr">
        <is>
          <t xml:space="preserve">        builder = JianyingDraftBuilder(draft_name=f"树剪混剪_{keyword_str[:30]}", keyword=keyword_str)</t>
        </is>
      </c>
    </row>
    <row r="1138">
      <c r="A1138" s="7" t="n">
        <v>1135</v>
      </c>
      <c r="B1138" s="8" t="inlineStr">
        <is>
          <t xml:space="preserve">        for clip in clips_to_use:</t>
        </is>
      </c>
    </row>
    <row r="1139">
      <c r="A1139" s="9" t="n">
        <v>1136</v>
      </c>
      <c r="B1139" s="10" t="inlineStr">
        <is>
          <t xml:space="preserve">            builder.add_video_clip(clip["path"], clip["source_start"], clip["duration"], clip.get("speed", 1.0))</t>
        </is>
      </c>
    </row>
    <row r="1140">
      <c r="A1140" s="7" t="n">
        <v>1137</v>
      </c>
      <c r="B1140" s="8" t="inlineStr">
        <is>
          <t xml:space="preserve">        if tts_path and ENABLE_AUTO_TRIM_VIDEO and tts_duration &gt; 0:</t>
        </is>
      </c>
    </row>
    <row r="1141">
      <c r="A1141" s="9" t="n">
        <v>1138</v>
      </c>
      <c r="B1141" s="10" t="inlineStr">
        <is>
          <t xml:space="preserve">            builder.trim_all_to_tts(tts_duration)</t>
        </is>
      </c>
    </row>
    <row r="1142">
      <c r="A1142" s="7" t="n">
        <v>1139</v>
      </c>
      <c r="B1142" s="8" t="inlineStr">
        <is>
          <t xml:space="preserve">        effective_duration = builder._total_duration_us</t>
        </is>
      </c>
    </row>
    <row r="1143">
      <c r="A1143" s="9" t="n">
        <v>1140</v>
      </c>
      <c r="B1143" s="10" t="inlineStr">
        <is>
          <t xml:space="preserve">        if bgm_path: builder.add_audio_bgm(bgm_path)</t>
        </is>
      </c>
    </row>
    <row r="1144">
      <c r="A1144" s="7" t="n">
        <v>1141</v>
      </c>
      <c r="B1144" s="8" t="inlineStr">
        <is>
          <t xml:space="preserve">        if tts_path: builder.add_tts_audio(tts_path)</t>
        </is>
      </c>
    </row>
    <row r="1145">
      <c r="A1145" s="9" t="n">
        <v>1142</v>
      </c>
      <c r="B1145" s="10" t="inlineStr">
        <is>
          <t xml:space="preserve">        last_end_us = 0</t>
        </is>
      </c>
    </row>
    <row r="1146">
      <c r="A1146" s="7" t="n">
        <v>1143</v>
      </c>
      <c r="B1146" s="8" t="inlineStr">
        <is>
          <t xml:space="preserve">        for timing in subtitle_timings:</t>
        </is>
      </c>
    </row>
    <row r="1147">
      <c r="A1147" s="9" t="n">
        <v>1144</v>
      </c>
      <c r="B1147" s="10" t="inlineStr">
        <is>
          <t xml:space="preserve">            start_us = sec_to_us(timing["start_sec"]); dur_us = sec_to_us(timing["duration_sec"])</t>
        </is>
      </c>
    </row>
    <row r="1148">
      <c r="A1148" s="7" t="n">
        <v>1145</v>
      </c>
      <c r="B1148" s="8" t="inlineStr">
        <is>
          <t xml:space="preserve">            if start_us &lt; last_end_us: start_us = last_end_us</t>
        </is>
      </c>
    </row>
    <row r="1149">
      <c r="A1149" s="9" t="n">
        <v>1146</v>
      </c>
      <c r="B1149" s="10" t="inlineStr">
        <is>
          <t xml:space="preserve">            if dur_us &lt;= 0: continue</t>
        </is>
      </c>
    </row>
    <row r="1150">
      <c r="A1150" s="7" t="n">
        <v>1147</v>
      </c>
      <c r="B1150" s="8" t="inlineStr">
        <is>
          <t xml:space="preserve">            if start_us + dur_us &gt; effective_duration: dur_us = effective_duration - start_us</t>
        </is>
      </c>
    </row>
    <row r="1151">
      <c r="A1151" s="9" t="n">
        <v>1148</v>
      </c>
      <c r="B1151" s="10" t="inlineStr">
        <is>
          <t xml:space="preserve">            if dur_us &gt; 0:</t>
        </is>
      </c>
    </row>
    <row r="1152">
      <c r="A1152" s="7" t="n">
        <v>1149</v>
      </c>
      <c r="B1152" s="8" t="inlineStr">
        <is>
          <t xml:space="preserve">                builder.add_subtitle(timing["text"], start_us, dur_us)</t>
        </is>
      </c>
    </row>
    <row r="1153">
      <c r="A1153" s="9" t="n">
        <v>1150</v>
      </c>
      <c r="B1153" s="10" t="inlineStr">
        <is>
          <t xml:space="preserve">                last_end_us = start_us + dur_us</t>
        </is>
      </c>
    </row>
    <row r="1154">
      <c r="A1154" s="7" t="n">
        <v>1151</v>
      </c>
      <c r="B1154" s="8" t="inlineStr">
        <is>
          <t xml:space="preserve">        draft_dir = save_draft(builder, keyword_str)</t>
        </is>
      </c>
    </row>
    <row r="1155">
      <c r="A1155" s="9" t="n">
        <v>1152</v>
      </c>
      <c r="B1155" s="10" t="inlineStr">
        <is>
          <t xml:space="preserve">    except ImportError as e:</t>
        </is>
      </c>
    </row>
    <row r="1156">
      <c r="A1156" s="7" t="n">
        <v>1153</v>
      </c>
      <c r="B1156" s="8" t="inlineStr">
        <is>
          <t xml:space="preserve">        print(f"   [FAIL] 无法生成草稿: {e}")</t>
        </is>
      </c>
    </row>
    <row r="1157">
      <c r="A1157" s="9" t="n">
        <v>1154</v>
      </c>
      <c r="B1157" s="10" t="inlineStr">
        <is>
          <t xml:space="preserve">        return {"error": str(e)}</t>
        </is>
      </c>
    </row>
    <row r="1158">
      <c r="A1158" s="7" t="n">
        <v>1155</v>
      </c>
      <c r="B1158" s="8" t="inlineStr"/>
    </row>
    <row r="1159">
      <c r="A1159" s="9" t="n">
        <v>1156</v>
      </c>
      <c r="B1159" s="10" t="inlineStr">
        <is>
          <t xml:space="preserve">    print(f"\n{'='*50}")</t>
        </is>
      </c>
    </row>
    <row r="1160">
      <c r="A1160" s="7" t="n">
        <v>1157</v>
      </c>
      <c r="B1160" s="8" t="inlineStr">
        <is>
          <t xml:space="preserve">    print(f"[OK] 全部完成！")</t>
        </is>
      </c>
    </row>
    <row r="1161">
      <c r="A1161" s="9" t="n">
        <v>1158</v>
      </c>
      <c r="B1161" s="10" t="inlineStr">
        <is>
          <t xml:space="preserve">    return {"draft_dir": str(draft_dir), "clips": clips, "copy": copy_text,</t>
        </is>
      </c>
    </row>
    <row r="1162">
      <c r="A1162" s="7" t="n">
        <v>1159</v>
      </c>
      <c r="B1162" s="8" t="inlineStr">
        <is>
          <t xml:space="preserve">            "subtitles": subtitles, "total_duration": total_dur}</t>
        </is>
      </c>
    </row>
    <row r="1163">
      <c r="A1163" s="9" t="n">
        <v>1160</v>
      </c>
      <c r="B1163" s="10" t="inlineStr"/>
    </row>
    <row r="1164">
      <c r="A1164" s="7" t="n">
        <v>1161</v>
      </c>
      <c r="B1164" s="8" t="inlineStr"/>
    </row>
    <row r="1165">
      <c r="A1165" s="9" t="n">
        <v>1162</v>
      </c>
      <c r="B1165" s="10" t="inlineStr">
        <is>
          <t>def run_batch(keyword, count, script_path=None, interval_sec=3.0,</t>
        </is>
      </c>
    </row>
    <row r="1166">
      <c r="A1166" s="7" t="n">
        <v>1163</v>
      </c>
      <c r="B1166" s="8" t="inlineStr">
        <is>
          <t xml:space="preserve">             no_script_library: bool = False, **kwargs):</t>
        </is>
      </c>
    </row>
    <row r="1167">
      <c r="A1167" s="9" t="n">
        <v>1164</v>
      </c>
      <c r="B1167" s="10" t="inlineStr">
        <is>
          <t xml:space="preserve">    """批量生产 (v11.2: 会话去重 + 持久化历史去重 + 内存监控 + GC)</t>
        </is>
      </c>
    </row>
    <row r="1168">
      <c r="A1168" s="7" t="n">
        <v>1165</v>
      </c>
      <c r="B1168" s="8" t="inlineStr">
        <is>
          <t xml:space="preserve">       no_script_library: 用户明确要求不用脚本库时设为True"""</t>
        </is>
      </c>
    </row>
    <row r="1169">
      <c r="A1169" s="9" t="n">
        <v>1166</v>
      </c>
      <c r="B1169" s="10" t="inlineStr">
        <is>
          <t xml:space="preserve">    # 传入 kwargs 以便 run() 接收 no_script_library</t>
        </is>
      </c>
    </row>
    <row r="1170">
      <c r="A1170" s="7" t="n">
        <v>1167</v>
      </c>
      <c r="B1170" s="8" t="inlineStr">
        <is>
          <t xml:space="preserve">    if 'no_script_library' not in kwargs:</t>
        </is>
      </c>
    </row>
    <row r="1171">
      <c r="A1171" s="9" t="n">
        <v>1168</v>
      </c>
      <c r="B1171" s="10" t="inlineStr">
        <is>
          <t xml:space="preserve">        kwargs['no_script_library'] = no_script_library</t>
        </is>
      </c>
    </row>
    <row r="1172">
      <c r="A1172" s="7" t="n">
        <v>1169</v>
      </c>
      <c r="B1172" s="8" t="inlineStr">
        <is>
          <t xml:space="preserve">    results = []; success = 0; fail = 0</t>
        </is>
      </c>
    </row>
    <row r="1173">
      <c r="A1173" s="9" t="n">
        <v>1170</v>
      </c>
      <c r="B1173" s="10" t="inlineStr">
        <is>
          <t xml:space="preserve">    used_paths = []  # 会话级已用素材</t>
        </is>
      </c>
    </row>
    <row r="1174">
      <c r="A1174" s="7" t="n">
        <v>1171</v>
      </c>
      <c r="B1174" s="8" t="inlineStr">
        <is>
          <t xml:space="preserve">    # 加载持久化历史 — 最近30天内所有已用素材</t>
        </is>
      </c>
    </row>
    <row r="1175">
      <c r="A1175" s="9" t="n">
        <v>1172</v>
      </c>
      <c r="B1175" s="10" t="inlineStr">
        <is>
          <t xml:space="preserve">    try:</t>
        </is>
      </c>
    </row>
    <row r="1176">
      <c r="A1176" s="7" t="n">
        <v>1173</v>
      </c>
      <c r="B1176" s="8" t="inlineStr">
        <is>
          <t xml:space="preserve">        from core.database import db</t>
        </is>
      </c>
    </row>
    <row r="1177">
      <c r="A1177" s="9" t="n">
        <v>1174</v>
      </c>
      <c r="B1177" s="10" t="inlineStr">
        <is>
          <t xml:space="preserve">        history_paths = db.get_used_material_paths(days=30)</t>
        </is>
      </c>
    </row>
    <row r="1178">
      <c r="A1178" s="7" t="n">
        <v>1175</v>
      </c>
      <c r="B1178" s="8" t="inlineStr">
        <is>
          <t xml:space="preserve">        used_paths.extend(history_paths)</t>
        </is>
      </c>
    </row>
    <row r="1179">
      <c r="A1179" s="9" t="n">
        <v>1176</v>
      </c>
      <c r="B1179" s="10" t="inlineStr">
        <is>
          <t xml:space="preserve">        print(f"  [Batch] 加载 {len(history_paths)} 条历史已用素材 (30天)")</t>
        </is>
      </c>
    </row>
    <row r="1180">
      <c r="A1180" s="7" t="n">
        <v>1177</v>
      </c>
      <c r="B1180" s="8" t="inlineStr">
        <is>
          <t xml:space="preserve">    except Exception:</t>
        </is>
      </c>
    </row>
    <row r="1181">
      <c r="A1181" s="9" t="n">
        <v>1178</v>
      </c>
      <c r="B1181" s="10" t="inlineStr">
        <is>
          <t xml:space="preserve">        pass</t>
        </is>
      </c>
    </row>
    <row r="1182">
      <c r="A1182" s="7" t="n">
        <v>1179</v>
      </c>
      <c r="B1182" s="8" t="inlineStr">
        <is>
          <t xml:space="preserve">    # 生成本次任务ID</t>
        </is>
      </c>
    </row>
    <row r="1183">
      <c r="A1183" s="9" t="n">
        <v>1180</v>
      </c>
      <c r="B1183" s="10" t="inlineStr">
        <is>
          <t xml:space="preserve">    import random</t>
        </is>
      </c>
    </row>
    <row r="1184">
      <c r="A1184" s="7" t="n">
        <v>1181</v>
      </c>
      <c r="B1184" s="8" t="inlineStr">
        <is>
          <t xml:space="preserve">    task_id = f"batch_{datetime.now().strftime('%Y%m%d_%H%M%S')}_{random.randint(1000,9999)}"</t>
        </is>
      </c>
    </row>
    <row r="1185">
      <c r="A1185" s="9" t="n">
        <v>1182</v>
      </c>
      <c r="B1185" s="10" t="inlineStr">
        <is>
          <t xml:space="preserve">    print(f"\n{'='*50}")</t>
        </is>
      </c>
    </row>
    <row r="1186">
      <c r="A1186" s="7" t="n">
        <v>1183</v>
      </c>
      <c r="B1186" s="8" t="inlineStr">
        <is>
          <t xml:space="preserve">    print(f"  [Batch] Task: {task_id}")</t>
        </is>
      </c>
    </row>
    <row r="1187">
      <c r="A1187" s="9" t="n">
        <v>1184</v>
      </c>
      <c r="B1187" s="10" t="inlineStr">
        <is>
          <t xml:space="preserve">    print(f"  [Batch] Generating {count} videos (dedup ON, {len(used_paths)} excluded)")</t>
        </is>
      </c>
    </row>
    <row r="1188">
      <c r="A1188" s="7" t="n">
        <v>1185</v>
      </c>
      <c r="B1188" s="8" t="inlineStr">
        <is>
          <t xml:space="preserve">    for i in range(1, count + 1):</t>
        </is>
      </c>
    </row>
    <row r="1189">
      <c r="A1189" s="9" t="n">
        <v>1186</v>
      </c>
      <c r="B1189" s="10" t="inlineStr">
        <is>
          <t xml:space="preserve">        print(f"\n  &gt;&gt; [{i}/{count}] Starting...")</t>
        </is>
      </c>
    </row>
    <row r="1190">
      <c r="A1190" s="7" t="n">
        <v>1187</v>
      </c>
      <c r="B1190" s="8" t="inlineStr">
        <is>
          <t xml:space="preserve">        try:</t>
        </is>
      </c>
    </row>
    <row r="1191">
      <c r="A1191" s="9" t="n">
        <v>1188</v>
      </c>
      <c r="B1191" s="10" t="inlineStr">
        <is>
          <t xml:space="preserve">            copy_text = None</t>
        </is>
      </c>
    </row>
    <row r="1192">
      <c r="A1192" s="7" t="n">
        <v>1189</v>
      </c>
      <c r="B1192" s="8" t="inlineStr">
        <is>
          <t xml:space="preserve">            if script_path:</t>
        </is>
      </c>
    </row>
    <row r="1193">
      <c r="A1193" s="9" t="n">
        <v>1190</v>
      </c>
      <c r="B1193" s="10" t="inlineStr">
        <is>
          <t xml:space="preserve">                row_data = get_script_row(script_path, row_num=i + 1)</t>
        </is>
      </c>
    </row>
    <row r="1194">
      <c r="A1194" s="7" t="n">
        <v>1191</v>
      </c>
      <c r="B1194" s="8" t="inlineStr">
        <is>
          <t xml:space="preserve">                copy_text = row_data.get("copy", row_data.get("copy_text", "")) if row_data else ""</t>
        </is>
      </c>
    </row>
    <row r="1195">
      <c r="A1195" s="9" t="n">
        <v>1192</v>
      </c>
      <c r="B1195" s="10" t="inlineStr">
        <is>
          <t xml:space="preserve">                if not copy_text:</t>
        </is>
      </c>
    </row>
    <row r="1196">
      <c r="A1196" s="7" t="n">
        <v>1193</v>
      </c>
      <c r="B1196" s="8" t="inlineStr">
        <is>
          <t xml:space="preserve">                    print(f"  [Skip] Script row {i+1} is empty"); continue</t>
        </is>
      </c>
    </row>
    <row r="1197">
      <c r="A1197" s="9" t="n">
        <v>1194</v>
      </c>
      <c r="B1197" s="10" t="inlineStr">
        <is>
          <t xml:space="preserve">            result = run(keyword=keyword, copy_text_override=copy_text,</t>
        </is>
      </c>
    </row>
    <row r="1198">
      <c r="A1198" s="7" t="n">
        <v>1195</v>
      </c>
      <c r="B1198" s="8" t="inlineStr">
        <is>
          <t xml:space="preserve">                         exclude_paths=list(used_paths), task_id=task_id,</t>
        </is>
      </c>
    </row>
    <row r="1199">
      <c r="A1199" s="9" t="n">
        <v>1196</v>
      </c>
      <c r="B1199" s="10" t="inlineStr">
        <is>
          <t xml:space="preserve">                         session_used_paths=set(used_paths),</t>
        </is>
      </c>
    </row>
    <row r="1200">
      <c r="A1200" s="7" t="n">
        <v>1197</v>
      </c>
      <c r="B1200" s="8" t="inlineStr">
        <is>
          <t xml:space="preserve">                         script_hash=make_script_hash(copy_text) if copy_text else None,</t>
        </is>
      </c>
    </row>
    <row r="1201">
      <c r="A1201" s="9" t="n">
        <v>1198</v>
      </c>
      <c r="B1201" s="10" t="inlineStr">
        <is>
          <t xml:space="preserve">                         **kwargs)</t>
        </is>
      </c>
    </row>
    <row r="1202">
      <c r="A1202" s="7" t="n">
        <v>1199</v>
      </c>
      <c r="B1202" s="8" t="inlineStr">
        <is>
          <t xml:space="preserve">            if result and "clips" in result:</t>
        </is>
      </c>
    </row>
    <row r="1203">
      <c r="A1203" s="9" t="n">
        <v>1200</v>
      </c>
      <c r="B1203" s="10" t="inlineStr">
        <is>
          <t xml:space="preserve">                # v11.6: 开头素材优先加入黑名单，确保下次不同</t>
        </is>
      </c>
    </row>
    <row r="1204">
      <c r="A1204" s="7" t="n">
        <v>1201</v>
      </c>
      <c r="B1204" s="8" t="inlineStr">
        <is>
          <t xml:space="preserve">                clips = result["clips"]</t>
        </is>
      </c>
    </row>
    <row r="1205">
      <c r="A1205" s="9" t="n">
        <v>1202</v>
      </c>
      <c r="B1205" s="10" t="inlineStr">
        <is>
          <t xml:space="preserve">                if clips:</t>
        </is>
      </c>
    </row>
    <row r="1206">
      <c r="A1206" s="7" t="n">
        <v>1203</v>
      </c>
      <c r="B1206" s="8" t="inlineStr">
        <is>
          <t xml:space="preserve">                    opening = str(clips[0].get("path", ""))</t>
        </is>
      </c>
    </row>
    <row r="1207">
      <c r="A1207" s="9" t="n">
        <v>1204</v>
      </c>
      <c r="B1207" s="10" t="inlineStr">
        <is>
          <t xml:space="preserve">                    if opening and opening not in used_paths:</t>
        </is>
      </c>
    </row>
    <row r="1208">
      <c r="A1208" s="7" t="n">
        <v>1205</v>
      </c>
      <c r="B1208" s="8" t="inlineStr">
        <is>
          <t xml:space="preserve">                        used_paths.insert(0, opening)</t>
        </is>
      </c>
    </row>
    <row r="1209">
      <c r="A1209" s="9" t="n">
        <v>1206</v>
      </c>
      <c r="B1209" s="10" t="inlineStr">
        <is>
          <t xml:space="preserve">                for c in clips:</t>
        </is>
      </c>
    </row>
    <row r="1210">
      <c r="A1210" s="7" t="n">
        <v>1207</v>
      </c>
      <c r="B1210" s="8" t="inlineStr">
        <is>
          <t xml:space="preserve">                    p = str(c.get("path", ""))</t>
        </is>
      </c>
    </row>
    <row r="1211">
      <c r="A1211" s="9" t="n">
        <v>1208</v>
      </c>
      <c r="B1211" s="10" t="inlineStr">
        <is>
          <t xml:space="preserve">                    if p and p not in used_paths:</t>
        </is>
      </c>
    </row>
    <row r="1212">
      <c r="A1212" s="7" t="n">
        <v>1209</v>
      </c>
      <c r="B1212" s="8" t="inlineStr">
        <is>
          <t xml:space="preserve">                        used_paths.append(p)</t>
        </is>
      </c>
    </row>
    <row r="1213">
      <c r="A1213" s="9" t="n">
        <v>1210</v>
      </c>
      <c r="B1213" s="10" t="inlineStr">
        <is>
          <t xml:space="preserve">            success += 1</t>
        </is>
      </c>
    </row>
    <row r="1214">
      <c r="A1214" s="7" t="n">
        <v>1211</v>
      </c>
      <c r="B1214" s="8" t="inlineStr">
        <is>
          <t xml:space="preserve">            results.append({"index": i, "status": "success", "result": result})</t>
        </is>
      </c>
    </row>
    <row r="1215">
      <c r="A1215" s="9" t="n">
        <v>1212</v>
      </c>
      <c r="B1215" s="10" t="inlineStr">
        <is>
          <t xml:space="preserve">            print(f"  [OK] [{i}/{count}] Done")</t>
        </is>
      </c>
    </row>
    <row r="1216">
      <c r="A1216" s="7" t="n">
        <v>1213</v>
      </c>
      <c r="B1216" s="8" t="inlineStr">
        <is>
          <t xml:space="preserve">        except Exception as e:</t>
        </is>
      </c>
    </row>
    <row r="1217">
      <c r="A1217" s="9" t="n">
        <v>1214</v>
      </c>
      <c r="B1217" s="10" t="inlineStr">
        <is>
          <t xml:space="preserve">            fail += 1</t>
        </is>
      </c>
    </row>
    <row r="1218">
      <c r="A1218" s="7" t="n">
        <v>1215</v>
      </c>
      <c r="B1218" s="8" t="inlineStr">
        <is>
          <t xml:space="preserve">            results.append({"index": i, "status": "failed", "error": str(e)})</t>
        </is>
      </c>
    </row>
    <row r="1219">
      <c r="A1219" s="9" t="n">
        <v>1216</v>
      </c>
      <c r="B1219" s="10" t="inlineStr">
        <is>
          <t xml:space="preserve">            print(f"  [FAIL] [{i}/{count}]: {e}")</t>
        </is>
      </c>
    </row>
    <row r="1220">
      <c r="A1220" s="7" t="n">
        <v>1217</v>
      </c>
      <c r="B1220" s="8" t="inlineStr">
        <is>
          <t xml:space="preserve">            traceback.print_exc()</t>
        </is>
      </c>
    </row>
    <row r="1221">
      <c r="A1221" s="9" t="n">
        <v>1218</v>
      </c>
      <c r="B1221" s="10" t="inlineStr">
        <is>
          <t xml:space="preserve">        # ── v11.2: 内存监控 + 资源释放 ──</t>
        </is>
      </c>
    </row>
    <row r="1222">
      <c r="A1222" s="7" t="n">
        <v>1219</v>
      </c>
      <c r="B1222" s="8" t="inlineStr">
        <is>
          <t xml:space="preserve">        try:</t>
        </is>
      </c>
    </row>
    <row r="1223">
      <c r="A1223" s="9" t="n">
        <v>1220</v>
      </c>
      <c r="B1223" s="10" t="inlineStr">
        <is>
          <t xml:space="preserve">            import psutil</t>
        </is>
      </c>
    </row>
    <row r="1224">
      <c r="A1224" s="7" t="n">
        <v>1221</v>
      </c>
      <c r="B1224" s="8" t="inlineStr">
        <is>
          <t xml:space="preserve">            mem = psutil.virtual_memory()</t>
        </is>
      </c>
    </row>
    <row r="1225">
      <c r="A1225" s="9" t="n">
        <v>1222</v>
      </c>
      <c r="B1225" s="10" t="inlineStr">
        <is>
          <t xml:space="preserve">            if mem.percent &gt; 80:</t>
        </is>
      </c>
    </row>
    <row r="1226">
      <c r="A1226" s="7" t="n">
        <v>1223</v>
      </c>
      <c r="B1226" s="8" t="inlineStr">
        <is>
          <t xml:space="preserve">                print(f"   [MEM] 内存使用 {mem.percent:.0f}%, 暂停5秒...")</t>
        </is>
      </c>
    </row>
    <row r="1227">
      <c r="A1227" s="9" t="n">
        <v>1224</v>
      </c>
      <c r="B1227" s="10" t="inlineStr">
        <is>
          <t xml:space="preserve">                time.sleep(5)</t>
        </is>
      </c>
    </row>
    <row r="1228">
      <c r="A1228" s="7" t="n">
        <v>1225</v>
      </c>
      <c r="B1228" s="8" t="inlineStr">
        <is>
          <t xml:space="preserve">        except ImportError:</t>
        </is>
      </c>
    </row>
    <row r="1229">
      <c r="A1229" s="9" t="n">
        <v>1226</v>
      </c>
      <c r="B1229" s="10" t="inlineStr">
        <is>
          <t xml:space="preserve">            pass  # psutil 未安装，跳过</t>
        </is>
      </c>
    </row>
    <row r="1230">
      <c r="A1230" s="7" t="n">
        <v>1227</v>
      </c>
      <c r="B1230" s="8" t="inlineStr">
        <is>
          <t xml:space="preserve">        gc.collect()</t>
        </is>
      </c>
    </row>
    <row r="1231">
      <c r="A1231" s="9" t="n">
        <v>1228</v>
      </c>
      <c r="B1231" s="10" t="inlineStr">
        <is>
          <t xml:space="preserve">        try:</t>
        </is>
      </c>
    </row>
    <row r="1232">
      <c r="A1232" s="7" t="n">
        <v>1229</v>
      </c>
      <c r="B1232" s="8" t="inlineStr">
        <is>
          <t xml:space="preserve">            import torch</t>
        </is>
      </c>
    </row>
    <row r="1233">
      <c r="A1233" s="9" t="n">
        <v>1230</v>
      </c>
      <c r="B1233" s="10" t="inlineStr">
        <is>
          <t xml:space="preserve">            if torch.cuda.is_available():</t>
        </is>
      </c>
    </row>
    <row r="1234">
      <c r="A1234" s="7" t="n">
        <v>1231</v>
      </c>
      <c r="B1234" s="8" t="inlineStr">
        <is>
          <t xml:space="preserve">                torch.cuda.empty_cache()</t>
        </is>
      </c>
    </row>
    <row r="1235">
      <c r="A1235" s="9" t="n">
        <v>1232</v>
      </c>
      <c r="B1235" s="10" t="inlineStr">
        <is>
          <t xml:space="preserve">        except Exception:</t>
        </is>
      </c>
    </row>
    <row r="1236">
      <c r="A1236" s="7" t="n">
        <v>1233</v>
      </c>
      <c r="B1236" s="8" t="inlineStr">
        <is>
          <t xml:space="preserve">            pass</t>
        </is>
      </c>
    </row>
    <row r="1237">
      <c r="A1237" s="9" t="n">
        <v>1234</v>
      </c>
      <c r="B1237" s="10" t="inlineStr">
        <is>
          <t xml:space="preserve">        if i &lt; count: time.sleep(interval_sec)</t>
        </is>
      </c>
    </row>
    <row r="1238">
      <c r="A1238" s="7" t="n">
        <v>1235</v>
      </c>
      <c r="B1238" s="8" t="inlineStr">
        <is>
          <t xml:space="preserve">    print(f"\n{'='*50}")</t>
        </is>
      </c>
    </row>
    <row r="1239">
      <c r="A1239" s="9" t="n">
        <v>1236</v>
      </c>
      <c r="B1239" s="10" t="inlineStr">
        <is>
          <t xml:space="preserve">    print(f"  [Batch Done] Success: {success} / Failed: {fail} / Total: {count}")</t>
        </is>
      </c>
    </row>
    <row r="1240">
      <c r="A1240" s="7" t="n">
        <v>1237</v>
      </c>
      <c r="B1240" s="8" t="inlineStr">
        <is>
          <t xml:space="preserve">    return results</t>
        </is>
      </c>
    </row>
    <row r="1241">
      <c r="A1241" s="9" t="n">
        <v>1238</v>
      </c>
      <c r="B1241" s="10" t="inlineStr"/>
    </row>
    <row r="1242">
      <c r="A1242" s="7" t="n">
        <v>1239</v>
      </c>
      <c r="B1242" s="8" t="inlineStr"/>
    </row>
    <row r="1243">
      <c r="A1243" s="9" t="n">
        <v>1240</v>
      </c>
      <c r="B1243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244">
      <c r="A1244" s="7" t="n">
        <v>1241</v>
      </c>
      <c r="B1244" s="8" t="inlineStr">
        <is>
          <t># CLI 入口</t>
        </is>
      </c>
    </row>
    <row r="1245">
      <c r="A1245" s="9" t="n">
        <v>1242</v>
      </c>
      <c r="B124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1246">
      <c r="A1246" s="7" t="n">
        <v>1243</v>
      </c>
      <c r="B1246" s="8" t="inlineStr"/>
    </row>
    <row r="1247">
      <c r="A1247" s="9" t="n">
        <v>1244</v>
      </c>
      <c r="B1247" s="10" t="inlineStr">
        <is>
          <t># CLI 入口统一在 树剪.py — 此模块仅提供 run/run_multi/run_batch 函数</t>
        </is>
      </c>
    </row>
    <row r="1248">
      <c r="A1248" s="7" t="n">
        <v>1245</v>
      </c>
      <c r="B1248" s="8" t="inlineStr">
        <is>
          <t>if __name__ == "__main__":</t>
        </is>
      </c>
    </row>
    <row r="1249">
      <c r="A1249" s="9" t="n">
        <v>1246</v>
      </c>
      <c r="B1249" s="10" t="inlineStr">
        <is>
          <t xml:space="preserve">    print("请使用: python 树剪.py [关键词] [选项]")</t>
        </is>
      </c>
    </row>
    <row r="1250">
      <c r="A1250" s="7" t="n">
        <v>1247</v>
      </c>
      <c r="B1250" s="8" t="inlineStr">
        <is>
          <t xml:space="preserve">    print("或:     python 树剪.py --web")</t>
        </is>
      </c>
    </row>
    <row r="1251">
      <c r="A1251" s="9" t="n">
        <v>1248</v>
      </c>
      <c r="B1251" s="10" t="inlineStr">
        <is>
          <t xml:space="preserve">    print("或:     python 树剪.py --setup")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core\pipeline_executor.py</t>
        </is>
      </c>
      <c r="C1" s="5" t="inlineStr">
        <is>
          <t>行数: 208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v14.0 — 流水线并行执行器</t>
        </is>
      </c>
    </row>
    <row r="6">
      <c r="A6" s="7" t="n">
        <v>3</v>
      </c>
      <c r="B6" s="8">
        <f>=====================================</f>
        <v/>
      </c>
    </row>
    <row r="7">
      <c r="A7" s="9" t="n">
        <v>4</v>
      </c>
      <c r="B7" s="10" t="inlineStr">
        <is>
          <t>生产者-消费者模式: 帧读取→画面检测→OCR识别 三阶段流水线并行。</t>
        </is>
      </c>
    </row>
    <row r="8">
      <c r="A8" s="7" t="n">
        <v>5</v>
      </c>
      <c r="B8" s="8" t="inlineStr">
        <is>
          <t>相比串行执行提速2-3倍。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架构:</t>
        </is>
      </c>
    </row>
    <row r="11">
      <c r="A11" s="9" t="n">
        <v>8</v>
      </c>
      <c r="B11" s="10" t="inlineStr">
        <is>
          <t xml:space="preserve">  [DecordReader] ─→ [FrameQueue(8)] ─→ [BlackDetector] ─→ [ResultQueue] ─→ [OCRWorker]</t>
        </is>
      </c>
    </row>
    <row r="12">
      <c r="A12" s="7" t="n">
        <v>9</v>
      </c>
      <c r="B12" s="8" t="inlineStr">
        <is>
          <t xml:space="preserve">                    ↑ 生产者               ↑ 消费者/生产者               ↑ 消费者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用法:</t>
        </is>
      </c>
    </row>
    <row r="15">
      <c r="A15" s="9" t="n">
        <v>12</v>
      </c>
      <c r="B15" s="10" t="inlineStr">
        <is>
          <t xml:space="preserve">    from core.pipeline_executor import PipelineExecutor</t>
        </is>
      </c>
    </row>
    <row r="16">
      <c r="A16" s="7" t="n">
        <v>13</v>
      </c>
      <c r="B16" s="8" t="inlineStr">
        <is>
          <t xml:space="preserve">    pe = PipelineExecutor()</t>
        </is>
      </c>
    </row>
    <row r="17">
      <c r="A17" s="9" t="n">
        <v>14</v>
      </c>
      <c r="B17" s="10" t="inlineStr">
        <is>
          <t xml:space="preserve">    issues = pe.run_black_detect(video_path, material_id)</t>
        </is>
      </c>
    </row>
    <row r="18">
      <c r="A18" s="7" t="n">
        <v>15</v>
      </c>
      <c r="B18" s="8" t="inlineStr">
        <is>
          <t>"""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import threading</t>
        </is>
      </c>
    </row>
    <row r="21">
      <c r="A21" s="9" t="n">
        <v>18</v>
      </c>
      <c r="B21" s="10" t="inlineStr">
        <is>
          <t>import queue</t>
        </is>
      </c>
    </row>
    <row r="22">
      <c r="A22" s="7" t="n">
        <v>19</v>
      </c>
      <c r="B22" s="8" t="inlineStr">
        <is>
          <t>import logging</t>
        </is>
      </c>
    </row>
    <row r="23">
      <c r="A23" s="9" t="n">
        <v>20</v>
      </c>
      <c r="B23" s="10" t="inlineStr">
        <is>
          <t>import time</t>
        </is>
      </c>
    </row>
    <row r="24">
      <c r="A24" s="7" t="n">
        <v>21</v>
      </c>
      <c r="B24" s="8" t="inlineStr">
        <is>
          <t>from typing import List, Dict, Callable, Optional, Any</t>
        </is>
      </c>
    </row>
    <row r="25">
      <c r="A25" s="9" t="n">
        <v>22</v>
      </c>
      <c r="B25" s="10" t="inlineStr">
        <is>
          <t>from dataclasses import dataclass, field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_log = logging.getLogger("TreeCut.Pipeline")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@dataclass</t>
        </is>
      </c>
    </row>
    <row r="31">
      <c r="A31" s="9" t="n">
        <v>28</v>
      </c>
      <c r="B31" s="10" t="inlineStr">
        <is>
          <t>class FramePacket:</t>
        </is>
      </c>
    </row>
    <row r="32">
      <c r="A32" s="7" t="n">
        <v>29</v>
      </c>
      <c r="B32" s="8" t="inlineStr">
        <is>
          <t xml:space="preserve">    """帧数据包 — 在流水线各阶段间传递"""</t>
        </is>
      </c>
    </row>
    <row r="33">
      <c r="A33" s="9" t="n">
        <v>30</v>
      </c>
      <c r="B33" s="10" t="inlineStr">
        <is>
          <t xml:space="preserve">    frame_idx: int</t>
        </is>
      </c>
    </row>
    <row r="34">
      <c r="A34" s="7" t="n">
        <v>31</v>
      </c>
      <c r="B34" s="8" t="inlineStr">
        <is>
          <t xml:space="preserve">    time_sec: float</t>
        </is>
      </c>
    </row>
    <row r="35">
      <c r="A35" s="9" t="n">
        <v>32</v>
      </c>
      <c r="B35" s="10" t="inlineStr">
        <is>
          <t xml:space="preserve">    image: Any  # numpy array</t>
        </is>
      </c>
    </row>
    <row r="36">
      <c r="A36" s="7" t="n">
        <v>33</v>
      </c>
      <c r="B36" s="8" t="inlineStr">
        <is>
          <t xml:space="preserve">    meta: Dict = field(default_factory=dict)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/>
    </row>
    <row r="39">
      <c r="A39" s="9" t="n">
        <v>36</v>
      </c>
      <c r="B39" s="10" t="inlineStr">
        <is>
          <t>class PipelineExecutor:</t>
        </is>
      </c>
    </row>
    <row r="40">
      <c r="A40" s="7" t="n">
        <v>37</v>
      </c>
      <c r="B40" s="8" t="inlineStr">
        <is>
          <t xml:space="preserve">    """</t>
        </is>
      </c>
    </row>
    <row r="41">
      <c r="A41" s="9" t="n">
        <v>38</v>
      </c>
      <c r="B41" s="10" t="inlineStr">
        <is>
          <t xml:space="preserve">    流水线并行执行器。</t>
        </is>
      </c>
    </row>
    <row r="42">
      <c r="A42" s="7" t="n">
        <v>39</v>
      </c>
      <c r="B42" s="8" t="inlineStr">
        <is>
          <t xml:space="preserve">    支持三阶段: 帧读取(Producer) → 画面检测(Worker) → OCR(Worker)。</t>
        </is>
      </c>
    </row>
    <row r="43">
      <c r="A43" s="9" t="n">
        <v>40</v>
      </c>
      <c r="B43" s="10" t="inlineStr">
        <is>
          <t xml:space="preserve">    每阶段独立线程，通过有界队列解耦，背压控制。</t>
        </is>
      </c>
    </row>
    <row r="44">
      <c r="A44" s="7" t="n">
        <v>41</v>
      </c>
      <c r="B44" s="8" t="inlineStr">
        <is>
          <t xml:space="preserve">    """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>
        <is>
          <t xml:space="preserve">    def __init__(self, max_queue_size: int = 16, num_workers: int = 2):</t>
        </is>
      </c>
    </row>
    <row r="47">
      <c r="A47" s="9" t="n">
        <v>44</v>
      </c>
      <c r="B47" s="10" t="inlineStr">
        <is>
          <t xml:space="preserve">        self._max_queue = max_queue_size</t>
        </is>
      </c>
    </row>
    <row r="48">
      <c r="A48" s="7" t="n">
        <v>45</v>
      </c>
      <c r="B48" s="8" t="inlineStr">
        <is>
          <t xml:space="preserve">        self._num_workers = num_workers</t>
        </is>
      </c>
    </row>
    <row r="49">
      <c r="A49" s="9" t="n">
        <v>46</v>
      </c>
      <c r="B49" s="10" t="inlineStr">
        <is>
          <t xml:space="preserve">        self._cancel = threading.Event()</t>
        </is>
      </c>
    </row>
    <row r="50">
      <c r="A50" s="7" t="n">
        <v>47</v>
      </c>
      <c r="B50" s="8" t="inlineStr">
        <is>
          <t xml:space="preserve">        self._results: List[Dict] = []</t>
        </is>
      </c>
    </row>
    <row r="51">
      <c r="A51" s="9" t="n">
        <v>48</v>
      </c>
      <c r="B51" s="10" t="inlineStr">
        <is>
          <t xml:space="preserve">        self._result_lock = threading.Lock()</t>
        </is>
      </c>
    </row>
    <row r="52">
      <c r="A52" s="7" t="n">
        <v>49</v>
      </c>
      <c r="B52" s="8" t="inlineStr">
        <is>
          <t xml:space="preserve">        _log.info(f"流水线执行器就绪 (队列={max_queue_size}, 工人={num_workers})")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>
        <is>
          <t xml:space="preserve">    # ═══════════════ 运行模式1: 单阶段 ═══════════════</t>
        </is>
      </c>
    </row>
    <row r="55">
      <c r="A55" s="9" t="n">
        <v>52</v>
      </c>
      <c r="B55" s="10" t="inlineStr">
        <is>
          <t xml:space="preserve">    def run_parallel(self, tasks: List[Callable]) -&gt; List[Any]:</t>
        </is>
      </c>
    </row>
    <row r="56">
      <c r="A56" s="7" t="n">
        <v>53</v>
      </c>
      <c r="B56" s="8" t="inlineStr">
        <is>
          <t xml:space="preserve">        """</t>
        </is>
      </c>
    </row>
    <row r="57">
      <c r="A57" s="9" t="n">
        <v>54</v>
      </c>
      <c r="B57" s="10" t="inlineStr">
        <is>
          <t xml:space="preserve">        ★ 多线程并行执行独立任务。</t>
        </is>
      </c>
    </row>
    <row r="58">
      <c r="A58" s="7" t="n">
        <v>55</v>
      </c>
      <c r="B58" s="8" t="inlineStr">
        <is>
          <t xml:space="preserve">        适用于: 视频分析/音频转写/字幕识别 三路并行。</t>
        </is>
      </c>
    </row>
    <row r="59">
      <c r="A59" s="9" t="n">
        <v>56</v>
      </c>
      <c r="B59" s="10" t="inlineStr">
        <is>
          <t xml:space="preserve">        """</t>
        </is>
      </c>
    </row>
    <row r="60">
      <c r="A60" s="7" t="n">
        <v>57</v>
      </c>
      <c r="B60" s="8" t="inlineStr">
        <is>
          <t xml:space="preserve">        results = [None] * len(tasks)</t>
        </is>
      </c>
    </row>
    <row r="61">
      <c r="A61" s="9" t="n">
        <v>58</v>
      </c>
      <c r="B61" s="10" t="inlineStr">
        <is>
          <t xml:space="preserve">        errors = [None] * len(tasks)</t>
        </is>
      </c>
    </row>
    <row r="62">
      <c r="A62" s="7" t="n">
        <v>59</v>
      </c>
      <c r="B62" s="8" t="inlineStr">
        <is>
          <t xml:space="preserve">        threads = []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    def _worker(idx: int, fn: Callable):</t>
        </is>
      </c>
    </row>
    <row r="65">
      <c r="A65" s="9" t="n">
        <v>62</v>
      </c>
      <c r="B65" s="10" t="inlineStr">
        <is>
          <t xml:space="preserve">            try:</t>
        </is>
      </c>
    </row>
    <row r="66">
      <c r="A66" s="7" t="n">
        <v>63</v>
      </c>
      <c r="B66" s="8" t="inlineStr">
        <is>
          <t xml:space="preserve">                results[idx] = fn()</t>
        </is>
      </c>
    </row>
    <row r="67">
      <c r="A67" s="9" t="n">
        <v>64</v>
      </c>
      <c r="B67" s="10" t="inlineStr">
        <is>
          <t xml:space="preserve">            except Exception as e:</t>
        </is>
      </c>
    </row>
    <row r="68">
      <c r="A68" s="7" t="n">
        <v>65</v>
      </c>
      <c r="B68" s="8" t="inlineStr">
        <is>
          <t xml:space="preserve">                errors[idx] = str(e)</t>
        </is>
      </c>
    </row>
    <row r="69">
      <c r="A69" s="9" t="n">
        <v>66</v>
      </c>
      <c r="B69" s="10" t="inlineStr">
        <is>
          <t xml:space="preserve">                _log.error(f"任务[{idx}]异常: {e}")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>
        <is>
          <t xml:space="preserve">        for i, task in enumerate(tasks):</t>
        </is>
      </c>
    </row>
    <row r="72">
      <c r="A72" s="7" t="n">
        <v>69</v>
      </c>
      <c r="B72" s="8" t="inlineStr">
        <is>
          <t xml:space="preserve">            t = threading.Thread(target=_worker, args=(i, task), daemon=True)</t>
        </is>
      </c>
    </row>
    <row r="73">
      <c r="A73" s="9" t="n">
        <v>70</v>
      </c>
      <c r="B73" s="10" t="inlineStr">
        <is>
          <t xml:space="preserve">            threads.append(t)</t>
        </is>
      </c>
    </row>
    <row r="74">
      <c r="A74" s="7" t="n">
        <v>71</v>
      </c>
      <c r="B74" s="8" t="inlineStr">
        <is>
          <t xml:space="preserve">            t.start()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 xml:space="preserve">        for t in threads:</t>
        </is>
      </c>
    </row>
    <row r="77">
      <c r="A77" s="9" t="n">
        <v>74</v>
      </c>
      <c r="B77" s="10" t="inlineStr">
        <is>
          <t xml:space="preserve">            t.join()</t>
        </is>
      </c>
    </row>
    <row r="78">
      <c r="A78" s="7" t="n">
        <v>75</v>
      </c>
      <c r="B78" s="8" t="inlineStr"/>
    </row>
    <row r="79">
      <c r="A79" s="9" t="n">
        <v>76</v>
      </c>
      <c r="B79" s="10" t="inlineStr">
        <is>
          <t xml:space="preserve">        # 检查错误</t>
        </is>
      </c>
    </row>
    <row r="80">
      <c r="A80" s="7" t="n">
        <v>77</v>
      </c>
      <c r="B80" s="8" t="inlineStr">
        <is>
          <t xml:space="preserve">        for e in errors:</t>
        </is>
      </c>
    </row>
    <row r="81">
      <c r="A81" s="9" t="n">
        <v>78</v>
      </c>
      <c r="B81" s="10" t="inlineStr">
        <is>
          <t xml:space="preserve">            if e is not None:</t>
        </is>
      </c>
    </row>
    <row r="82">
      <c r="A82" s="7" t="n">
        <v>79</v>
      </c>
      <c r="B82" s="8" t="inlineStr">
        <is>
          <t xml:space="preserve">                raise RuntimeError(f"并行任务失败: {e}")</t>
        </is>
      </c>
    </row>
    <row r="83">
      <c r="A83" s="9" t="n">
        <v>80</v>
      </c>
      <c r="B83" s="10" t="inlineStr">
        <is>
          <t xml:space="preserve">        return results</t>
        </is>
      </c>
    </row>
    <row r="84">
      <c r="A84" s="7" t="n">
        <v>81</v>
      </c>
      <c r="B84" s="8" t="inlineStr"/>
    </row>
    <row r="85">
      <c r="A85" s="9" t="n">
        <v>82</v>
      </c>
      <c r="B85" s="10" t="inlineStr">
        <is>
          <t xml:space="preserve">    # ═══════════════ 运行模式2: 流水线 ═══════════════</t>
        </is>
      </c>
    </row>
    <row r="86">
      <c r="A86" s="7" t="n">
        <v>83</v>
      </c>
      <c r="B86" s="8" t="inlineStr">
        <is>
          <t xml:space="preserve">    def run_pipeline(self,</t>
        </is>
      </c>
    </row>
    <row r="87">
      <c r="A87" s="9" t="n">
        <v>84</v>
      </c>
      <c r="B87" s="10" t="inlineStr">
        <is>
          <t xml:space="preserve">                     reader_fn: Callable[[], Optional[FramePacket]],</t>
        </is>
      </c>
    </row>
    <row r="88">
      <c r="A88" s="7" t="n">
        <v>85</v>
      </c>
      <c r="B88" s="8" t="inlineStr">
        <is>
          <t xml:space="preserve">                     processor_fn: Callable[[FramePacket], Optional[Dict]],</t>
        </is>
      </c>
    </row>
    <row r="89">
      <c r="A89" s="9" t="n">
        <v>86</v>
      </c>
      <c r="B89" s="10" t="inlineStr">
        <is>
          <t xml:space="preserve">                     batch_processor_fn: Callable[[List[FramePacket]], List[Dict]] = None,</t>
        </is>
      </c>
    </row>
    <row r="90">
      <c r="A90" s="7" t="n">
        <v>87</v>
      </c>
      <c r="B90" s="8" t="inlineStr">
        <is>
          <t xml:space="preserve">                     max_frames: int = 999999) -&gt; List[Dict]:</t>
        </is>
      </c>
    </row>
    <row r="91">
      <c r="A91" s="9" t="n">
        <v>88</v>
      </c>
      <c r="B91" s="10" t="inlineStr">
        <is>
          <t xml:space="preserve">        """</t>
        </is>
      </c>
    </row>
    <row r="92">
      <c r="A92" s="7" t="n">
        <v>89</v>
      </c>
      <c r="B92" s="8" t="inlineStr">
        <is>
          <t xml:space="preserve">        ★ 生产者-消费者流水线。</t>
        </is>
      </c>
    </row>
    <row r="93">
      <c r="A93" s="9" t="n">
        <v>90</v>
      </c>
      <c r="B93" s="10" t="inlineStr">
        <is>
          <t xml:space="preserve">        reader_fn: 返回下一帧或None(结束)</t>
        </is>
      </c>
    </row>
    <row r="94">
      <c r="A94" s="7" t="n">
        <v>91</v>
      </c>
      <c r="B94" s="8" t="inlineStr">
        <is>
          <t xml:space="preserve">        processor_fn: 处理单帧, 返回结果或None</t>
        </is>
      </c>
    </row>
    <row r="95">
      <c r="A95" s="9" t="n">
        <v>92</v>
      </c>
      <c r="B95" s="10" t="inlineStr">
        <is>
          <t xml:space="preserve">        batch_processor_fn: 批量处理帧(可选,比单帧更快)</t>
        </is>
      </c>
    </row>
    <row r="96">
      <c r="A96" s="7" t="n">
        <v>93</v>
      </c>
      <c r="B96" s="8" t="inlineStr">
        <is>
          <t xml:space="preserve">        """</t>
        </is>
      </c>
    </row>
    <row r="97">
      <c r="A97" s="9" t="n">
        <v>94</v>
      </c>
      <c r="B97" s="10" t="inlineStr">
        <is>
          <t xml:space="preserve">        self._cancel.clear()</t>
        </is>
      </c>
    </row>
    <row r="98">
      <c r="A98" s="7" t="n">
        <v>95</v>
      </c>
      <c r="B98" s="8" t="inlineStr">
        <is>
          <t xml:space="preserve">        frame_queue = queue.Queue(maxsize=self._max_queue)</t>
        </is>
      </c>
    </row>
    <row r="99">
      <c r="A99" s="9" t="n">
        <v>96</v>
      </c>
      <c r="B99" s="10" t="inlineStr">
        <is>
          <t xml:space="preserve">        result_queue = queue.Queue()</t>
        </is>
      </c>
    </row>
    <row r="100">
      <c r="A100" s="7" t="n">
        <v>97</v>
      </c>
      <c r="B100" s="8" t="inlineStr">
        <is>
          <t xml:space="preserve">        all_results: List[Dict] = []</t>
        </is>
      </c>
    </row>
    <row r="101">
      <c r="A101" s="9" t="n">
        <v>98</v>
      </c>
      <c r="B101" s="10" t="inlineStr"/>
    </row>
    <row r="102">
      <c r="A102" s="7" t="n">
        <v>99</v>
      </c>
      <c r="B102" s="8" t="inlineStr">
        <is>
          <t xml:space="preserve">        # ── Producer 线程 ──</t>
        </is>
      </c>
    </row>
    <row r="103">
      <c r="A103" s="9" t="n">
        <v>100</v>
      </c>
      <c r="B103" s="10" t="inlineStr">
        <is>
          <t xml:space="preserve">        def _producer():</t>
        </is>
      </c>
    </row>
    <row r="104">
      <c r="A104" s="7" t="n">
        <v>101</v>
      </c>
      <c r="B104" s="8" t="inlineStr">
        <is>
          <t xml:space="preserve">            count = 0</t>
        </is>
      </c>
    </row>
    <row r="105">
      <c r="A105" s="9" t="n">
        <v>102</v>
      </c>
      <c r="B105" s="10" t="inlineStr">
        <is>
          <t xml:space="preserve">            try:</t>
        </is>
      </c>
    </row>
    <row r="106">
      <c r="A106" s="7" t="n">
        <v>103</v>
      </c>
      <c r="B106" s="8" t="inlineStr">
        <is>
          <t xml:space="preserve">                while count &lt; max_frames and not self._cancel.is_set():</t>
        </is>
      </c>
    </row>
    <row r="107">
      <c r="A107" s="9" t="n">
        <v>104</v>
      </c>
      <c r="B107" s="10" t="inlineStr">
        <is>
          <t xml:space="preserve">                    frame = reader_fn()</t>
        </is>
      </c>
    </row>
    <row r="108">
      <c r="A108" s="7" t="n">
        <v>105</v>
      </c>
      <c r="B108" s="8" t="inlineStr">
        <is>
          <t xml:space="preserve">                    if frame is None:</t>
        </is>
      </c>
    </row>
    <row r="109">
      <c r="A109" s="9" t="n">
        <v>106</v>
      </c>
      <c r="B109" s="10" t="inlineStr">
        <is>
          <t xml:space="preserve">                        break</t>
        </is>
      </c>
    </row>
    <row r="110">
      <c r="A110" s="7" t="n">
        <v>107</v>
      </c>
      <c r="B110" s="8" t="inlineStr">
        <is>
          <t xml:space="preserve">                    frame_queue.put(frame, timeout=5)</t>
        </is>
      </c>
    </row>
    <row r="111">
      <c r="A111" s="9" t="n">
        <v>108</v>
      </c>
      <c r="B111" s="10" t="inlineStr">
        <is>
          <t xml:space="preserve">                    count += 1</t>
        </is>
      </c>
    </row>
    <row r="112">
      <c r="A112" s="7" t="n">
        <v>109</v>
      </c>
      <c r="B112" s="8" t="inlineStr">
        <is>
          <t xml:space="preserve">            except queue.Full:</t>
        </is>
      </c>
    </row>
    <row r="113">
      <c r="A113" s="9" t="n">
        <v>110</v>
      </c>
      <c r="B113" s="10" t="inlineStr">
        <is>
          <t xml:space="preserve">                _log.debug("帧队列满, Producer等待中")</t>
        </is>
      </c>
    </row>
    <row r="114">
      <c r="A114" s="7" t="n">
        <v>111</v>
      </c>
      <c r="B114" s="8" t="inlineStr">
        <is>
          <t xml:space="preserve">            except Exception as e:</t>
        </is>
      </c>
    </row>
    <row r="115">
      <c r="A115" s="9" t="n">
        <v>112</v>
      </c>
      <c r="B115" s="10" t="inlineStr">
        <is>
          <t xml:space="preserve">                _log.error(f"Producer异常: {e}")</t>
        </is>
      </c>
    </row>
    <row r="116">
      <c r="A116" s="7" t="n">
        <v>113</v>
      </c>
      <c r="B116" s="8" t="inlineStr">
        <is>
          <t xml:space="preserve">            finally:</t>
        </is>
      </c>
    </row>
    <row r="117">
      <c r="A117" s="9" t="n">
        <v>114</v>
      </c>
      <c r="B117" s="10" t="inlineStr">
        <is>
          <t xml:space="preserve">                # 发送结束信号</t>
        </is>
      </c>
    </row>
    <row r="118">
      <c r="A118" s="7" t="n">
        <v>115</v>
      </c>
      <c r="B118" s="8" t="inlineStr">
        <is>
          <t xml:space="preserve">                for _ in range(self._num_workers):</t>
        </is>
      </c>
    </row>
    <row r="119">
      <c r="A119" s="9" t="n">
        <v>116</v>
      </c>
      <c r="B119" s="10" t="inlineStr">
        <is>
          <t xml:space="preserve">                    try:</t>
        </is>
      </c>
    </row>
    <row r="120">
      <c r="A120" s="7" t="n">
        <v>117</v>
      </c>
      <c r="B120" s="8" t="inlineStr">
        <is>
          <t xml:space="preserve">                        frame_queue.put(None, timeout=1)</t>
        </is>
      </c>
    </row>
    <row r="121">
      <c r="A121" s="9" t="n">
        <v>118</v>
      </c>
      <c r="B121" s="10" t="inlineStr">
        <is>
          <t xml:space="preserve">                    except queue.Full:</t>
        </is>
      </c>
    </row>
    <row r="122">
      <c r="A122" s="7" t="n">
        <v>119</v>
      </c>
      <c r="B122" s="8" t="inlineStr">
        <is>
          <t xml:space="preserve">                        pass</t>
        </is>
      </c>
    </row>
    <row r="123">
      <c r="A123" s="9" t="n">
        <v>120</v>
      </c>
      <c r="B123" s="10" t="inlineStr">
        <is>
          <t xml:space="preserve">                _log.debug(f"Producer完成, 共{count}帧")</t>
        </is>
      </c>
    </row>
    <row r="124">
      <c r="A124" s="7" t="n">
        <v>121</v>
      </c>
      <c r="B124" s="8" t="inlineStr"/>
    </row>
    <row r="125">
      <c r="A125" s="9" t="n">
        <v>122</v>
      </c>
      <c r="B125" s="10" t="inlineStr">
        <is>
          <t xml:space="preserve">        # ── Workers ──</t>
        </is>
      </c>
    </row>
    <row r="126">
      <c r="A126" s="7" t="n">
        <v>123</v>
      </c>
      <c r="B126" s="8" t="inlineStr">
        <is>
          <t xml:space="preserve">        if batch_processor_fn:</t>
        </is>
      </c>
    </row>
    <row r="127">
      <c r="A127" s="9" t="n">
        <v>124</v>
      </c>
      <c r="B127" s="10" t="inlineStr">
        <is>
          <t xml:space="preserve">            # 批量处理模式</t>
        </is>
      </c>
    </row>
    <row r="128">
      <c r="A128" s="7" t="n">
        <v>125</v>
      </c>
      <c r="B128" s="8" t="inlineStr">
        <is>
          <t xml:space="preserve">            def _batch_worker():</t>
        </is>
      </c>
    </row>
    <row r="129">
      <c r="A129" s="9" t="n">
        <v>126</v>
      </c>
      <c r="B129" s="10" t="inlineStr">
        <is>
          <t xml:space="preserve">                batch: List[FramePacket] = []</t>
        </is>
      </c>
    </row>
    <row r="130">
      <c r="A130" s="7" t="n">
        <v>127</v>
      </c>
      <c r="B130" s="8" t="inlineStr">
        <is>
          <t xml:space="preserve">                while not self._cancel.is_set():</t>
        </is>
      </c>
    </row>
    <row r="131">
      <c r="A131" s="9" t="n">
        <v>128</v>
      </c>
      <c r="B131" s="10" t="inlineStr">
        <is>
          <t xml:space="preserve">                    try:</t>
        </is>
      </c>
    </row>
    <row r="132">
      <c r="A132" s="7" t="n">
        <v>129</v>
      </c>
      <c r="B132" s="8" t="inlineStr">
        <is>
          <t xml:space="preserve">                        packet = frame_queue.get(timeout=1)</t>
        </is>
      </c>
    </row>
    <row r="133">
      <c r="A133" s="9" t="n">
        <v>130</v>
      </c>
      <c r="B133" s="10" t="inlineStr">
        <is>
          <t xml:space="preserve">                        if packet is None:</t>
        </is>
      </c>
    </row>
    <row r="134">
      <c r="A134" s="7" t="n">
        <v>131</v>
      </c>
      <c r="B134" s="8" t="inlineStr">
        <is>
          <t xml:space="preserve">                            break</t>
        </is>
      </c>
    </row>
    <row r="135">
      <c r="A135" s="9" t="n">
        <v>132</v>
      </c>
      <c r="B135" s="10" t="inlineStr">
        <is>
          <t xml:space="preserve">                        batch.append(packet)</t>
        </is>
      </c>
    </row>
    <row r="136">
      <c r="A136" s="7" t="n">
        <v>133</v>
      </c>
      <c r="B136" s="8" t="inlineStr">
        <is>
          <t xml:space="preserve">                        if len(batch) &gt;= 8:  # 每攒8帧处理一批</t>
        </is>
      </c>
    </row>
    <row r="137">
      <c r="A137" s="9" t="n">
        <v>134</v>
      </c>
      <c r="B137" s="10" t="inlineStr">
        <is>
          <t xml:space="preserve">                            results = batch_processor_fn(batch)</t>
        </is>
      </c>
    </row>
    <row r="138">
      <c r="A138" s="7" t="n">
        <v>135</v>
      </c>
      <c r="B138" s="8" t="inlineStr">
        <is>
          <t xml:space="preserve">                            for r in results:</t>
        </is>
      </c>
    </row>
    <row r="139">
      <c r="A139" s="9" t="n">
        <v>136</v>
      </c>
      <c r="B139" s="10" t="inlineStr">
        <is>
          <t xml:space="preserve">                                if r is not None:</t>
        </is>
      </c>
    </row>
    <row r="140">
      <c r="A140" s="7" t="n">
        <v>137</v>
      </c>
      <c r="B140" s="8" t="inlineStr">
        <is>
          <t xml:space="preserve">                                    result_queue.put(r)</t>
        </is>
      </c>
    </row>
    <row r="141">
      <c r="A141" s="9" t="n">
        <v>138</v>
      </c>
      <c r="B141" s="10" t="inlineStr">
        <is>
          <t xml:space="preserve">                            batch = []</t>
        </is>
      </c>
    </row>
    <row r="142">
      <c r="A142" s="7" t="n">
        <v>139</v>
      </c>
      <c r="B142" s="8" t="inlineStr">
        <is>
          <t xml:space="preserve">                    except queue.Empty:</t>
        </is>
      </c>
    </row>
    <row r="143">
      <c r="A143" s="9" t="n">
        <v>140</v>
      </c>
      <c r="B143" s="10" t="inlineStr">
        <is>
          <t xml:space="preserve">                        continue</t>
        </is>
      </c>
    </row>
    <row r="144">
      <c r="A144" s="7" t="n">
        <v>141</v>
      </c>
      <c r="B144" s="8" t="inlineStr">
        <is>
          <t xml:space="preserve">                # 处理剩余</t>
        </is>
      </c>
    </row>
    <row r="145">
      <c r="A145" s="9" t="n">
        <v>142</v>
      </c>
      <c r="B145" s="10" t="inlineStr">
        <is>
          <t xml:space="preserve">                if batch:</t>
        </is>
      </c>
    </row>
    <row r="146">
      <c r="A146" s="7" t="n">
        <v>143</v>
      </c>
      <c r="B146" s="8" t="inlineStr">
        <is>
          <t xml:space="preserve">                    results = batch_processor_fn(batch)</t>
        </is>
      </c>
    </row>
    <row r="147">
      <c r="A147" s="9" t="n">
        <v>144</v>
      </c>
      <c r="B147" s="10" t="inlineStr">
        <is>
          <t xml:space="preserve">                    for r in results:</t>
        </is>
      </c>
    </row>
    <row r="148">
      <c r="A148" s="7" t="n">
        <v>145</v>
      </c>
      <c r="B148" s="8" t="inlineStr">
        <is>
          <t xml:space="preserve">                        if r is not None:</t>
        </is>
      </c>
    </row>
    <row r="149">
      <c r="A149" s="9" t="n">
        <v>146</v>
      </c>
      <c r="B149" s="10" t="inlineStr">
        <is>
          <t xml:space="preserve">                            result_queue.put(r)</t>
        </is>
      </c>
    </row>
    <row r="150">
      <c r="A150" s="7" t="n">
        <v>147</v>
      </c>
      <c r="B150" s="8" t="inlineStr">
        <is>
          <t xml:space="preserve">                result_queue.put(None)  # 结束信号</t>
        </is>
      </c>
    </row>
    <row r="151">
      <c r="A151" s="9" t="n">
        <v>148</v>
      </c>
      <c r="B151" s="10" t="inlineStr"/>
    </row>
    <row r="152">
      <c r="A152" s="7" t="n">
        <v>149</v>
      </c>
      <c r="B152" s="8" t="inlineStr">
        <is>
          <t xml:space="preserve">            workers = [threading.Thread(target=_batch_worker, daemon=True)</t>
        </is>
      </c>
    </row>
    <row r="153">
      <c r="A153" s="9" t="n">
        <v>150</v>
      </c>
      <c r="B153" s="10" t="inlineStr">
        <is>
          <t xml:space="preserve">                       for _ in range(self._num_workers)]</t>
        </is>
      </c>
    </row>
    <row r="154">
      <c r="A154" s="7" t="n">
        <v>151</v>
      </c>
      <c r="B154" s="8" t="inlineStr">
        <is>
          <t xml:space="preserve">        else:</t>
        </is>
      </c>
    </row>
    <row r="155">
      <c r="A155" s="9" t="n">
        <v>152</v>
      </c>
      <c r="B155" s="10" t="inlineStr">
        <is>
          <t xml:space="preserve">            # 单帧处理模式</t>
        </is>
      </c>
    </row>
    <row r="156">
      <c r="A156" s="7" t="n">
        <v>153</v>
      </c>
      <c r="B156" s="8" t="inlineStr">
        <is>
          <t xml:space="preserve">            def _worker():</t>
        </is>
      </c>
    </row>
    <row r="157">
      <c r="A157" s="9" t="n">
        <v>154</v>
      </c>
      <c r="B157" s="10" t="inlineStr">
        <is>
          <t xml:space="preserve">                while not self._cancel.is_set():</t>
        </is>
      </c>
    </row>
    <row r="158">
      <c r="A158" s="7" t="n">
        <v>155</v>
      </c>
      <c r="B158" s="8" t="inlineStr">
        <is>
          <t xml:space="preserve">                    try:</t>
        </is>
      </c>
    </row>
    <row r="159">
      <c r="A159" s="9" t="n">
        <v>156</v>
      </c>
      <c r="B159" s="10" t="inlineStr">
        <is>
          <t xml:space="preserve">                        packet = frame_queue.get(timeout=1)</t>
        </is>
      </c>
    </row>
    <row r="160">
      <c r="A160" s="7" t="n">
        <v>157</v>
      </c>
      <c r="B160" s="8" t="inlineStr">
        <is>
          <t xml:space="preserve">                        if packet is None:</t>
        </is>
      </c>
    </row>
    <row r="161">
      <c r="A161" s="9" t="n">
        <v>158</v>
      </c>
      <c r="B161" s="10" t="inlineStr">
        <is>
          <t xml:space="preserve">                            break</t>
        </is>
      </c>
    </row>
    <row r="162">
      <c r="A162" s="7" t="n">
        <v>159</v>
      </c>
      <c r="B162" s="8" t="inlineStr">
        <is>
          <t xml:space="preserve">                        result = processor_fn(packet)</t>
        </is>
      </c>
    </row>
    <row r="163">
      <c r="A163" s="9" t="n">
        <v>160</v>
      </c>
      <c r="B163" s="10" t="inlineStr">
        <is>
          <t xml:space="preserve">                        if result is not None:</t>
        </is>
      </c>
    </row>
    <row r="164">
      <c r="A164" s="7" t="n">
        <v>161</v>
      </c>
      <c r="B164" s="8" t="inlineStr">
        <is>
          <t xml:space="preserve">                            result_queue.put(result)</t>
        </is>
      </c>
    </row>
    <row r="165">
      <c r="A165" s="9" t="n">
        <v>162</v>
      </c>
      <c r="B165" s="10" t="inlineStr">
        <is>
          <t xml:space="preserve">                    except queue.Empty:</t>
        </is>
      </c>
    </row>
    <row r="166">
      <c r="A166" s="7" t="n">
        <v>163</v>
      </c>
      <c r="B166" s="8" t="inlineStr">
        <is>
          <t xml:space="preserve">                        continue</t>
        </is>
      </c>
    </row>
    <row r="167">
      <c r="A167" s="9" t="n">
        <v>164</v>
      </c>
      <c r="B167" s="10" t="inlineStr">
        <is>
          <t xml:space="preserve">                result_queue.put(None)</t>
        </is>
      </c>
    </row>
    <row r="168">
      <c r="A168" s="7" t="n">
        <v>165</v>
      </c>
      <c r="B168" s="8" t="inlineStr"/>
    </row>
    <row r="169">
      <c r="A169" s="9" t="n">
        <v>166</v>
      </c>
      <c r="B169" s="10" t="inlineStr">
        <is>
          <t xml:space="preserve">            workers = [threading.Thread(target=_worker, daemon=True)</t>
        </is>
      </c>
    </row>
    <row r="170">
      <c r="A170" s="7" t="n">
        <v>167</v>
      </c>
      <c r="B170" s="8" t="inlineStr">
        <is>
          <t xml:space="preserve">                       for _ in range(self._num_workers)]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    # ── 启动所有线程 ──</t>
        </is>
      </c>
    </row>
    <row r="173">
      <c r="A173" s="9" t="n">
        <v>170</v>
      </c>
      <c r="B173" s="10" t="inlineStr">
        <is>
          <t xml:space="preserve">        producer = threading.Thread(target=_producer, daemon=True)</t>
        </is>
      </c>
    </row>
    <row r="174">
      <c r="A174" s="7" t="n">
        <v>171</v>
      </c>
      <c r="B174" s="8" t="inlineStr">
        <is>
          <t xml:space="preserve">        producer.start()</t>
        </is>
      </c>
    </row>
    <row r="175">
      <c r="A175" s="9" t="n">
        <v>172</v>
      </c>
      <c r="B175" s="10" t="inlineStr">
        <is>
          <t xml:space="preserve">        for w in workers:</t>
        </is>
      </c>
    </row>
    <row r="176">
      <c r="A176" s="7" t="n">
        <v>173</v>
      </c>
      <c r="B176" s="8" t="inlineStr">
        <is>
          <t xml:space="preserve">            w.start()</t>
        </is>
      </c>
    </row>
    <row r="177">
      <c r="A177" s="9" t="n">
        <v>174</v>
      </c>
      <c r="B177" s="10" t="inlineStr"/>
    </row>
    <row r="178">
      <c r="A178" s="7" t="n">
        <v>175</v>
      </c>
      <c r="B178" s="8" t="inlineStr">
        <is>
          <t xml:space="preserve">        # ── 收集结果 ──</t>
        </is>
      </c>
    </row>
    <row r="179">
      <c r="A179" s="9" t="n">
        <v>176</v>
      </c>
      <c r="B179" s="10" t="inlineStr">
        <is>
          <t xml:space="preserve">        finished_workers = 0</t>
        </is>
      </c>
    </row>
    <row r="180">
      <c r="A180" s="7" t="n">
        <v>177</v>
      </c>
      <c r="B180" s="8" t="inlineStr">
        <is>
          <t xml:space="preserve">        while finished_workers &lt; len(workers):</t>
        </is>
      </c>
    </row>
    <row r="181">
      <c r="A181" s="9" t="n">
        <v>178</v>
      </c>
      <c r="B181" s="10" t="inlineStr">
        <is>
          <t xml:space="preserve">            try:</t>
        </is>
      </c>
    </row>
    <row r="182">
      <c r="A182" s="7" t="n">
        <v>179</v>
      </c>
      <c r="B182" s="8" t="inlineStr">
        <is>
          <t xml:space="preserve">                result = result_queue.get(timeout=10)</t>
        </is>
      </c>
    </row>
    <row r="183">
      <c r="A183" s="9" t="n">
        <v>180</v>
      </c>
      <c r="B183" s="10" t="inlineStr">
        <is>
          <t xml:space="preserve">                if result is None:</t>
        </is>
      </c>
    </row>
    <row r="184">
      <c r="A184" s="7" t="n">
        <v>181</v>
      </c>
      <c r="B184" s="8" t="inlineStr">
        <is>
          <t xml:space="preserve">                    finished_workers += 1</t>
        </is>
      </c>
    </row>
    <row r="185">
      <c r="A185" s="9" t="n">
        <v>182</v>
      </c>
      <c r="B185" s="10" t="inlineStr">
        <is>
          <t xml:space="preserve">                else:</t>
        </is>
      </c>
    </row>
    <row r="186">
      <c r="A186" s="7" t="n">
        <v>183</v>
      </c>
      <c r="B186" s="8" t="inlineStr">
        <is>
          <t xml:space="preserve">                    all_results.append(result)</t>
        </is>
      </c>
    </row>
    <row r="187">
      <c r="A187" s="9" t="n">
        <v>184</v>
      </c>
      <c r="B187" s="10" t="inlineStr">
        <is>
          <t xml:space="preserve">            except queue.Empty:</t>
        </is>
      </c>
    </row>
    <row r="188">
      <c r="A188" s="7" t="n">
        <v>185</v>
      </c>
      <c r="B188" s="8" t="inlineStr">
        <is>
          <t xml:space="preserve">                if not producer.is_alive() and all(w.is_alive() for w in workers) and frame_queue.empty():</t>
        </is>
      </c>
    </row>
    <row r="189">
      <c r="A189" s="9" t="n">
        <v>186</v>
      </c>
      <c r="B189" s="10" t="inlineStr">
        <is>
          <t xml:space="preserve">                    break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 xml:space="preserve">        # ── 等待线程结束 ──</t>
        </is>
      </c>
    </row>
    <row r="192">
      <c r="A192" s="7" t="n">
        <v>189</v>
      </c>
      <c r="B192" s="8" t="inlineStr">
        <is>
          <t xml:space="preserve">        producer.join(timeout=5)</t>
        </is>
      </c>
    </row>
    <row r="193">
      <c r="A193" s="9" t="n">
        <v>190</v>
      </c>
      <c r="B193" s="10" t="inlineStr">
        <is>
          <t xml:space="preserve">        for w in workers:</t>
        </is>
      </c>
    </row>
    <row r="194">
      <c r="A194" s="7" t="n">
        <v>191</v>
      </c>
      <c r="B194" s="8" t="inlineStr">
        <is>
          <t xml:space="preserve">            w.join(timeout=5)</t>
        </is>
      </c>
    </row>
    <row r="195">
      <c r="A195" s="9" t="n">
        <v>192</v>
      </c>
      <c r="B195" s="10" t="inlineStr"/>
    </row>
    <row r="196">
      <c r="A196" s="7" t="n">
        <v>193</v>
      </c>
      <c r="B196" s="8" t="inlineStr">
        <is>
          <t xml:space="preserve">        _log.info(f"流水线完成: {len(all_results)}个结果")</t>
        </is>
      </c>
    </row>
    <row r="197">
      <c r="A197" s="9" t="n">
        <v>194</v>
      </c>
      <c r="B197" s="10" t="inlineStr">
        <is>
          <t xml:space="preserve">        return all_results</t>
        </is>
      </c>
    </row>
    <row r="198">
      <c r="A198" s="7" t="n">
        <v>195</v>
      </c>
      <c r="B198" s="8" t="inlineStr"/>
    </row>
    <row r="199">
      <c r="A199" s="9" t="n">
        <v>196</v>
      </c>
      <c r="B199" s="10" t="inlineStr">
        <is>
          <t xml:space="preserve">    def cancel(self):</t>
        </is>
      </c>
    </row>
    <row r="200">
      <c r="A200" s="7" t="n">
        <v>197</v>
      </c>
      <c r="B200" s="8" t="inlineStr">
        <is>
          <t xml:space="preserve">        """取消流水线"""</t>
        </is>
      </c>
    </row>
    <row r="201">
      <c r="A201" s="9" t="n">
        <v>198</v>
      </c>
      <c r="B201" s="10" t="inlineStr">
        <is>
          <t xml:space="preserve">        self._cancel.set()</t>
        </is>
      </c>
    </row>
    <row r="202">
      <c r="A202" s="7" t="n">
        <v>199</v>
      </c>
      <c r="B202" s="8" t="inlineStr">
        <is>
          <t xml:space="preserve">        _log.info("流水线已取消")</t>
        </is>
      </c>
    </row>
    <row r="203">
      <c r="A203" s="9" t="n">
        <v>200</v>
      </c>
      <c r="B203" s="10" t="inlineStr"/>
    </row>
    <row r="204">
      <c r="A204" s="7" t="n">
        <v>201</v>
      </c>
      <c r="B204" s="8" t="inlineStr"/>
    </row>
    <row r="205">
      <c r="A205" s="9" t="n">
        <v>202</v>
      </c>
      <c r="B205" s="10" t="inlineStr">
        <is>
          <t>_executor: Optional[PipelineExecutor] = None</t>
        </is>
      </c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>def get_pipeline_executor() -&gt; PipelineExecutor:</t>
        </is>
      </c>
    </row>
    <row r="208">
      <c r="A208" s="7" t="n">
        <v>205</v>
      </c>
      <c r="B208" s="8" t="inlineStr">
        <is>
          <t xml:space="preserve">    global _executor</t>
        </is>
      </c>
    </row>
    <row r="209">
      <c r="A209" s="9" t="n">
        <v>206</v>
      </c>
      <c r="B209" s="10" t="inlineStr">
        <is>
          <t xml:space="preserve">    if _executor is None:</t>
        </is>
      </c>
    </row>
    <row r="210">
      <c r="A210" s="7" t="n">
        <v>207</v>
      </c>
      <c r="B210" s="8" t="inlineStr">
        <is>
          <t xml:space="preserve">        _executor = PipelineExecutor()</t>
        </is>
      </c>
    </row>
    <row r="211">
      <c r="A211" s="9" t="n">
        <v>208</v>
      </c>
      <c r="B211" s="10" t="inlineStr">
        <is>
          <t xml:space="preserve">    return _executor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core\plugin_manager.py</t>
        </is>
      </c>
      <c r="C1" s="5" t="inlineStr">
        <is>
          <t>行数: 76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插件管理器 - 自动发现、注册、调用插件</t>
        </is>
      </c>
    </row>
    <row r="6">
      <c r="A6" s="7" t="n">
        <v>3</v>
      </c>
      <c r="B6" s="8" t="inlineStr">
        <is>
          <t>新增能力零侵入核心代码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</t>
        </is>
      </c>
    </row>
    <row r="9">
      <c r="A9" s="9" t="n">
        <v>6</v>
      </c>
      <c r="B9" s="10" t="inlineStr">
        <is>
          <t>import importlib</t>
        </is>
      </c>
    </row>
    <row r="10">
      <c r="A10" s="7" t="n">
        <v>7</v>
      </c>
      <c r="B10" s="8" t="inlineStr">
        <is>
          <t>from utils.logger import get_logger</t>
        </is>
      </c>
    </row>
    <row r="11">
      <c r="A11" s="9" t="n">
        <v>8</v>
      </c>
      <c r="B11" s="10" t="inlineStr">
        <is>
          <t>from plugins.base_plugin import BasePlugin</t>
        </is>
      </c>
    </row>
    <row r="12">
      <c r="A12" s="7" t="n">
        <v>9</v>
      </c>
      <c r="B12" s="8" t="inlineStr">
        <is>
          <t>logger = get_logger("plugin_manager")</t>
        </is>
      </c>
    </row>
    <row r="13">
      <c r="A13" s="9" t="n">
        <v>10</v>
      </c>
      <c r="B13" s="10" t="inlineStr">
        <is>
          <t>class PluginManager:</t>
        </is>
      </c>
    </row>
    <row r="14">
      <c r="A14" s="7" t="n">
        <v>11</v>
      </c>
      <c r="B14" s="8" t="inlineStr">
        <is>
          <t xml:space="preserve">    """插件自动发现与注册管理器（单例）"""</t>
        </is>
      </c>
    </row>
    <row r="15">
      <c r="A15" s="9" t="n">
        <v>12</v>
      </c>
      <c r="B15" s="10" t="inlineStr">
        <is>
          <t xml:space="preserve">    _instance = None</t>
        </is>
      </c>
    </row>
    <row r="16">
      <c r="A16" s="7" t="n">
        <v>13</v>
      </c>
      <c r="B16" s="8" t="inlineStr">
        <is>
          <t xml:space="preserve">    def __new__(cls):</t>
        </is>
      </c>
    </row>
    <row r="17">
      <c r="A17" s="9" t="n">
        <v>14</v>
      </c>
      <c r="B17" s="10" t="inlineStr">
        <is>
          <t xml:space="preserve">        if cls._instance is None:</t>
        </is>
      </c>
    </row>
    <row r="18">
      <c r="A18" s="7" t="n">
        <v>15</v>
      </c>
      <c r="B18" s="8" t="inlineStr">
        <is>
          <t xml:space="preserve">            cls._instance = super().__new__(cls)</t>
        </is>
      </c>
    </row>
    <row r="19">
      <c r="A19" s="9" t="n">
        <v>16</v>
      </c>
      <c r="B19" s="10" t="inlineStr">
        <is>
          <t xml:space="preserve">        return cls._instance</t>
        </is>
      </c>
    </row>
    <row r="20">
      <c r="A20" s="7" t="n">
        <v>17</v>
      </c>
      <c r="B20" s="8" t="inlineStr">
        <is>
          <t xml:space="preserve">    def __init__(self):</t>
        </is>
      </c>
    </row>
    <row r="21">
      <c r="A21" s="9" t="n">
        <v>18</v>
      </c>
      <c r="B21" s="10" t="inlineStr">
        <is>
          <t xml:space="preserve">        if hasattr(self, "_initialized"):</t>
        </is>
      </c>
    </row>
    <row r="22">
      <c r="A22" s="7" t="n">
        <v>19</v>
      </c>
      <c r="B22" s="8" t="inlineStr">
        <is>
          <t xml:space="preserve">            return</t>
        </is>
      </c>
    </row>
    <row r="23">
      <c r="A23" s="9" t="n">
        <v>20</v>
      </c>
      <c r="B23" s="10" t="inlineStr">
        <is>
          <t xml:space="preserve">        self._initialized = True</t>
        </is>
      </c>
    </row>
    <row r="24">
      <c r="A24" s="7" t="n">
        <v>21</v>
      </c>
      <c r="B24" s="8" t="inlineStr">
        <is>
          <t xml:space="preserve">        self.plugins = {</t>
        </is>
      </c>
    </row>
    <row r="25">
      <c r="A25" s="9" t="n">
        <v>22</v>
      </c>
      <c r="B25" s="10" t="inlineStr">
        <is>
          <t xml:space="preserve">            "recognize": {},</t>
        </is>
      </c>
    </row>
    <row r="26">
      <c r="A26" s="7" t="n">
        <v>23</v>
      </c>
      <c r="B26" s="8" t="inlineStr">
        <is>
          <t xml:space="preserve">            "quality": {},</t>
        </is>
      </c>
    </row>
    <row r="27">
      <c r="A27" s="9" t="n">
        <v>24</v>
      </c>
      <c r="B27" s="10" t="inlineStr">
        <is>
          <t xml:space="preserve">            "correct": {},</t>
        </is>
      </c>
    </row>
    <row r="28">
      <c r="A28" s="7" t="n">
        <v>25</v>
      </c>
      <c r="B28" s="8" t="inlineStr">
        <is>
          <t xml:space="preserve">        }</t>
        </is>
      </c>
    </row>
    <row r="29">
      <c r="A29" s="9" t="n">
        <v>26</v>
      </c>
      <c r="B29" s="10" t="inlineStr">
        <is>
          <t xml:space="preserve">        self._discover_plugins()</t>
        </is>
      </c>
    </row>
    <row r="30">
      <c r="A30" s="7" t="n">
        <v>27</v>
      </c>
      <c r="B30" s="8" t="inlineStr">
        <is>
          <t xml:space="preserve">        total = sum(len(v) for v in self.plugins.values())</t>
        </is>
      </c>
    </row>
    <row r="31">
      <c r="A31" s="9" t="n">
        <v>28</v>
      </c>
      <c r="B31" s="10" t="inlineStr">
        <is>
          <t xml:space="preserve">        logger.info(f"插件管理器初始化完成，共加载{total}个插件")</t>
        </is>
      </c>
    </row>
    <row r="32">
      <c r="A32" s="7" t="n">
        <v>29</v>
      </c>
      <c r="B32" s="8" t="inlineStr">
        <is>
          <t xml:space="preserve">    def _discover_plugins(self):</t>
        </is>
      </c>
    </row>
    <row r="33">
      <c r="A33" s="9" t="n">
        <v>30</v>
      </c>
      <c r="B33" s="10" t="inlineStr">
        <is>
          <t xml:space="preserve">        """自动扫描plugins/目录下所有插件并注册"""</t>
        </is>
      </c>
    </row>
    <row r="34">
      <c r="A34" s="7" t="n">
        <v>31</v>
      </c>
      <c r="B34" s="8" t="inlineStr">
        <is>
          <t xml:space="preserve">        plugin_dirs = ["recognize", "quality", "correct"]</t>
        </is>
      </c>
    </row>
    <row r="35">
      <c r="A35" s="9" t="n">
        <v>32</v>
      </c>
      <c r="B35" s="10" t="inlineStr">
        <is>
          <t xml:space="preserve">        for category in plugin_dirs:</t>
        </is>
      </c>
    </row>
    <row r="36">
      <c r="A36" s="7" t="n">
        <v>33</v>
      </c>
      <c r="B36" s="8" t="inlineStr">
        <is>
          <t xml:space="preserve">            dir_path = os.path.join("plugins", category)</t>
        </is>
      </c>
    </row>
    <row r="37">
      <c r="A37" s="9" t="n">
        <v>34</v>
      </c>
      <c r="B37" s="10" t="inlineStr">
        <is>
          <t xml:space="preserve">            if not os.path.exists(dir_path):</t>
        </is>
      </c>
    </row>
    <row r="38">
      <c r="A38" s="7" t="n">
        <v>35</v>
      </c>
      <c r="B38" s="8" t="inlineStr">
        <is>
          <t xml:space="preserve">                logger.warning(f"插件目录不存在: {dir_path}")</t>
        </is>
      </c>
    </row>
    <row r="39">
      <c r="A39" s="9" t="n">
        <v>36</v>
      </c>
      <c r="B39" s="10" t="inlineStr">
        <is>
          <t xml:space="preserve">                continue</t>
        </is>
      </c>
    </row>
    <row r="40">
      <c r="A40" s="7" t="n">
        <v>37</v>
      </c>
      <c r="B40" s="8" t="inlineStr">
        <is>
          <t xml:space="preserve">            for filename in sorted(os.listdir(dir_path)):</t>
        </is>
      </c>
    </row>
    <row r="41">
      <c r="A41" s="9" t="n">
        <v>38</v>
      </c>
      <c r="B41" s="10" t="inlineStr">
        <is>
          <t xml:space="preserve">                if not filename.endswith("_plugin.py"):</t>
        </is>
      </c>
    </row>
    <row r="42">
      <c r="A42" s="7" t="n">
        <v>39</v>
      </c>
      <c r="B42" s="8" t="inlineStr">
        <is>
          <t xml:space="preserve">                    continue</t>
        </is>
      </c>
    </row>
    <row r="43">
      <c r="A43" s="9" t="n">
        <v>40</v>
      </c>
      <c r="B43" s="10" t="inlineStr">
        <is>
          <t xml:space="preserve">                module_name = f"plugins.{category}.{filename[:-3]}"</t>
        </is>
      </c>
    </row>
    <row r="44">
      <c r="A44" s="7" t="n">
        <v>41</v>
      </c>
      <c r="B44" s="8" t="inlineStr">
        <is>
          <t xml:space="preserve">                try:</t>
        </is>
      </c>
    </row>
    <row r="45">
      <c r="A45" s="9" t="n">
        <v>42</v>
      </c>
      <c r="B45" s="10" t="inlineStr">
        <is>
          <t xml:space="preserve">                    module = importlib.import_module(module_name)</t>
        </is>
      </c>
    </row>
    <row r="46">
      <c r="A46" s="7" t="n">
        <v>43</v>
      </c>
      <c r="B46" s="8" t="inlineStr">
        <is>
          <t xml:space="preserve">                    for attr_name in dir(module):</t>
        </is>
      </c>
    </row>
    <row r="47">
      <c r="A47" s="9" t="n">
        <v>44</v>
      </c>
      <c r="B47" s="10" t="inlineStr">
        <is>
          <t xml:space="preserve">                        cls = getattr(module, attr_name)</t>
        </is>
      </c>
    </row>
    <row r="48">
      <c r="A48" s="7" t="n">
        <v>45</v>
      </c>
      <c r="B48" s="8" t="inlineStr">
        <is>
          <t xml:space="preserve">                        if (</t>
        </is>
      </c>
    </row>
    <row r="49">
      <c r="A49" s="9" t="n">
        <v>46</v>
      </c>
      <c r="B49" s="10" t="inlineStr">
        <is>
          <t xml:space="preserve">                            isinstance(cls, type)</t>
        </is>
      </c>
    </row>
    <row r="50">
      <c r="A50" s="7" t="n">
        <v>47</v>
      </c>
      <c r="B50" s="8" t="inlineStr">
        <is>
          <t xml:space="preserve">                            and issubclass(cls, BasePlugin)</t>
        </is>
      </c>
    </row>
    <row r="51">
      <c r="A51" s="9" t="n">
        <v>48</v>
      </c>
      <c r="B51" s="10" t="inlineStr">
        <is>
          <t xml:space="preserve">                            and cls != BasePlugin</t>
        </is>
      </c>
    </row>
    <row r="52">
      <c r="A52" s="7" t="n">
        <v>49</v>
      </c>
      <c r="B52" s="8" t="inlineStr">
        <is>
          <t xml:space="preserve">                        ):</t>
        </is>
      </c>
    </row>
    <row r="53">
      <c r="A53" s="9" t="n">
        <v>50</v>
      </c>
      <c r="B53" s="10" t="inlineStr">
        <is>
          <t xml:space="preserve">                            plugin = cls()</t>
        </is>
      </c>
    </row>
    <row r="54">
      <c r="A54" s="7" t="n">
        <v>51</v>
      </c>
      <c r="B54" s="8" t="inlineStr">
        <is>
          <t xml:space="preserve">                            self.plugins[category][plugin.name] = plugin</t>
        </is>
      </c>
    </row>
    <row r="55">
      <c r="A55" s="9" t="n">
        <v>52</v>
      </c>
      <c r="B55" s="10" t="inlineStr">
        <is>
          <t xml:space="preserve">                            logger.debug(f"注册插件: {category}/{plugin.name}")</t>
        </is>
      </c>
    </row>
    <row r="56">
      <c r="A56" s="7" t="n">
        <v>53</v>
      </c>
      <c r="B56" s="8" t="inlineStr">
        <is>
          <t xml:space="preserve">                            break</t>
        </is>
      </c>
    </row>
    <row r="57">
      <c r="A57" s="9" t="n">
        <v>54</v>
      </c>
      <c r="B57" s="10" t="inlineStr">
        <is>
          <t xml:space="preserve">                except Exception as e:</t>
        </is>
      </c>
    </row>
    <row r="58">
      <c r="A58" s="7" t="n">
        <v>55</v>
      </c>
      <c r="B58" s="8" t="inlineStr">
        <is>
          <t xml:space="preserve">                    logger.error(f"加载插件失败 {filename}: {e}")</t>
        </is>
      </c>
    </row>
    <row r="59">
      <c r="A59" s="9" t="n">
        <v>56</v>
      </c>
      <c r="B59" s="10" t="inlineStr">
        <is>
          <t xml:space="preserve">    def get_plugin(self, category: str, name: str) -&gt; BasePlugin | None:</t>
        </is>
      </c>
    </row>
    <row r="60">
      <c r="A60" s="7" t="n">
        <v>57</v>
      </c>
      <c r="B60" s="8" t="inlineStr">
        <is>
          <t xml:space="preserve">        """获取指定分类与名称的插件"""</t>
        </is>
      </c>
    </row>
    <row r="61">
      <c r="A61" s="9" t="n">
        <v>58</v>
      </c>
      <c r="B61" s="10" t="inlineStr">
        <is>
          <t xml:space="preserve">        return self.plugins.get(category, {}).get(name)</t>
        </is>
      </c>
    </row>
    <row r="62">
      <c r="A62" s="7" t="n">
        <v>59</v>
      </c>
      <c r="B62" s="8" t="inlineStr">
        <is>
          <t xml:space="preserve">    def list_plugins(self, category: str = None) -&gt; dict:</t>
        </is>
      </c>
    </row>
    <row r="63">
      <c r="A63" s="9" t="n">
        <v>60</v>
      </c>
      <c r="B63" s="10" t="inlineStr">
        <is>
          <t xml:space="preserve">        """列出所有已注册插件"""</t>
        </is>
      </c>
    </row>
    <row r="64">
      <c r="A64" s="7" t="n">
        <v>61</v>
      </c>
      <c r="B64" s="8" t="inlineStr">
        <is>
          <t xml:space="preserve">        if category:</t>
        </is>
      </c>
    </row>
    <row r="65">
      <c r="A65" s="9" t="n">
        <v>62</v>
      </c>
      <c r="B65" s="10" t="inlineStr">
        <is>
          <t xml:space="preserve">            return list(self.plugins.get(category, {}).keys())</t>
        </is>
      </c>
    </row>
    <row r="66">
      <c r="A66" s="7" t="n">
        <v>63</v>
      </c>
      <c r="B66" s="8" t="inlineStr">
        <is>
          <t xml:space="preserve">        return {k: list(v.keys()) for k, v in self.plugins.items()}</t>
        </is>
      </c>
    </row>
    <row r="67">
      <c r="A67" s="9" t="n">
        <v>64</v>
      </c>
      <c r="B67" s="10" t="inlineStr">
        <is>
          <t xml:space="preserve">    def run_plugin(self, category: str, name: str, material_id: int, video_path: str) -&gt; dict:</t>
        </is>
      </c>
    </row>
    <row r="68">
      <c r="A68" s="7" t="n">
        <v>65</v>
      </c>
      <c r="B68" s="8" t="inlineStr">
        <is>
          <t xml:space="preserve">        """安全执行指定插件，带异常捕获"""</t>
        </is>
      </c>
    </row>
    <row r="69">
      <c r="A69" s="9" t="n">
        <v>66</v>
      </c>
      <c r="B69" s="10" t="inlineStr">
        <is>
          <t xml:space="preserve">        plugin = self.get_plugin(category, name)</t>
        </is>
      </c>
    </row>
    <row r="70">
      <c r="A70" s="7" t="n">
        <v>67</v>
      </c>
      <c r="B70" s="8" t="inlineStr">
        <is>
          <t xml:space="preserve">        if plugin is None:</t>
        </is>
      </c>
    </row>
    <row r="71">
      <c r="A71" s="9" t="n">
        <v>68</v>
      </c>
      <c r="B71" s="10" t="inlineStr">
        <is>
          <t xml:space="preserve">            logger.error(f"插件不存在: {category}/{name}")</t>
        </is>
      </c>
    </row>
    <row r="72">
      <c r="A72" s="7" t="n">
        <v>69</v>
      </c>
      <c r="B72" s="8" t="inlineStr">
        <is>
          <t xml:space="preserve">            return {"status": "failed", "error": f"插件不存在: {category}/{name}"}</t>
        </is>
      </c>
    </row>
    <row r="73">
      <c r="A73" s="9" t="n">
        <v>70</v>
      </c>
      <c r="B73" s="10" t="inlineStr">
        <is>
          <t xml:space="preserve">        try:</t>
        </is>
      </c>
    </row>
    <row r="74">
      <c r="A74" s="7" t="n">
        <v>71</v>
      </c>
      <c r="B74" s="8" t="inlineStr">
        <is>
          <t xml:space="preserve">            return plugin.run(material_id, video_path)</t>
        </is>
      </c>
    </row>
    <row r="75">
      <c r="A75" s="9" t="n">
        <v>72</v>
      </c>
      <c r="B75" s="10" t="inlineStr">
        <is>
          <t xml:space="preserve">        except Exception as e:</t>
        </is>
      </c>
    </row>
    <row r="76">
      <c r="A76" s="7" t="n">
        <v>73</v>
      </c>
      <c r="B76" s="8" t="inlineStr">
        <is>
          <t xml:space="preserve">            logger.error(f"插件执行失败 {category}/{name}: {e}")</t>
        </is>
      </c>
    </row>
    <row r="77">
      <c r="A77" s="9" t="n">
        <v>74</v>
      </c>
      <c r="B77" s="10" t="inlineStr">
        <is>
          <t xml:space="preserve">            return {"status": "failed", "error": str(e)}</t>
        </is>
      </c>
    </row>
    <row r="78">
      <c r="A78" s="7" t="n">
        <v>75</v>
      </c>
      <c r="B78" s="8" t="inlineStr">
        <is>
          <t># 全局单例</t>
        </is>
      </c>
    </row>
    <row r="79">
      <c r="A79" s="9" t="n">
        <v>76</v>
      </c>
      <c r="B79" s="10" t="inlineStr">
        <is>
          <t>plugin_manager = PluginManager()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core\plugin_sdk\__init__.py</t>
        </is>
      </c>
      <c r="C1" s="5" t="inlineStr">
        <is>
          <t>行数: 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Plugin SDK v1.0 — 插件化扩展框架</t>
        </is>
      </c>
    </row>
    <row r="6">
      <c r="A6" s="7" t="n">
        <v>3</v>
      </c>
      <c r="B6" s="8">
        <f>=====================================</f>
        <v/>
      </c>
    </row>
    <row r="7">
      <c r="A7" s="9" t="n">
        <v>4</v>
      </c>
      <c r="B7" s="10" t="inlineStr">
        <is>
          <t>允许第三方开发者编写插件，实现热加载/热卸载/执行调度。</t>
        </is>
      </c>
    </row>
    <row r="8">
      <c r="A8" s="7" t="n">
        <v>5</v>
      </c>
      <c r="B8" s="8" t="inlineStr">
        <is>
          <t>"""</t>
        </is>
      </c>
    </row>
    <row r="9">
      <c r="A9" s="9" t="n">
        <v>6</v>
      </c>
      <c r="B9" s="10" t="inlineStr">
        <is>
          <t>from core.plugin_sdk.base_plugin import BasePlugin</t>
        </is>
      </c>
    </row>
    <row r="10">
      <c r="A10" s="7" t="n">
        <v>7</v>
      </c>
      <c r="B10" s="8" t="inlineStr">
        <is>
          <t>from core.plugin_sdk.plugin_manager import PluginManager, get_plugin_manager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core\plugin_sdk\base_plugin.py</t>
        </is>
      </c>
      <c r="C1" s="5" t="inlineStr">
        <is>
          <t>行数: 33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插件基类 — 所有自定义插件必须继承此类。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from abc import ABC, abstractmethod</t>
        </is>
      </c>
    </row>
    <row r="8">
      <c r="A8" s="7" t="n">
        <v>5</v>
      </c>
      <c r="B8" s="8" t="inlineStr">
        <is>
          <t>from typing import Dict, Any</t>
        </is>
      </c>
    </row>
    <row r="9">
      <c r="A9" s="9" t="n">
        <v>6</v>
      </c>
      <c r="B9" s="10" t="inlineStr">
        <is>
          <t>import logging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_log = logging.getLogger("TreeCut.PluginSDK")</t>
        </is>
      </c>
    </row>
    <row r="12">
      <c r="A12" s="7" t="n">
        <v>9</v>
      </c>
      <c r="B12" s="8" t="inlineStr"/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class BasePlugin(ABC):</t>
        </is>
      </c>
    </row>
    <row r="15">
      <c r="A15" s="9" t="n">
        <v>12</v>
      </c>
      <c r="B15" s="10" t="inlineStr">
        <is>
          <t xml:space="preserve">    """插件基类规范"""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>
        <is>
          <t xml:space="preserve">    plugin_name: str = "base_plugin"</t>
        </is>
      </c>
    </row>
    <row r="18">
      <c r="A18" s="7" t="n">
        <v>15</v>
      </c>
      <c r="B18" s="8" t="inlineStr">
        <is>
          <t xml:space="preserve">    plugin_version: str = "1.0.0"</t>
        </is>
      </c>
    </row>
    <row r="19">
      <c r="A19" s="9" t="n">
        <v>16</v>
      </c>
      <c r="B19" s="10" t="inlineStr">
        <is>
          <t xml:space="preserve">    plugin_description: str = "基础插件"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 xml:space="preserve">    def __init__(self):</t>
        </is>
      </c>
    </row>
    <row r="22">
      <c r="A22" s="7" t="n">
        <v>19</v>
      </c>
      <c r="B22" s="8" t="inlineStr">
        <is>
          <t xml:space="preserve">        _log.info(f"加载插件: {self.plugin_name} v{self.plugin_version}")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 xml:space="preserve">    @abstractmethod</t>
        </is>
      </c>
    </row>
    <row r="25">
      <c r="A25" s="9" t="n">
        <v>22</v>
      </c>
      <c r="B25" s="10" t="inlineStr">
        <is>
          <t xml:space="preserve">    def on_load(self):</t>
        </is>
      </c>
    </row>
    <row r="26">
      <c r="A26" s="7" t="n">
        <v>23</v>
      </c>
      <c r="B26" s="8" t="inlineStr">
        <is>
          <t xml:space="preserve">        """插件加载回调"""</t>
        </is>
      </c>
    </row>
    <row r="27">
      <c r="A27" s="9" t="n">
        <v>24</v>
      </c>
      <c r="B27" s="10" t="inlineStr">
        <is>
          <t xml:space="preserve">        pass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 xml:space="preserve">    @abstractmethod</t>
        </is>
      </c>
    </row>
    <row r="30">
      <c r="A30" s="7" t="n">
        <v>27</v>
      </c>
      <c r="B30" s="8" t="inlineStr">
        <is>
          <t xml:space="preserve">    def run(self, context: Dict[str, Any]) -&gt; Dict[str, Any]:</t>
        </is>
      </c>
    </row>
    <row r="31">
      <c r="A31" s="9" t="n">
        <v>28</v>
      </c>
      <c r="B31" s="10" t="inlineStr">
        <is>
          <t xml:space="preserve">        """插件核心执行逻辑"""</t>
        </is>
      </c>
    </row>
    <row r="32">
      <c r="A32" s="7" t="n">
        <v>29</v>
      </c>
      <c r="B32" s="8" t="inlineStr">
        <is>
          <t xml:space="preserve">        pass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 xml:space="preserve">    def on_unload(self):</t>
        </is>
      </c>
    </row>
    <row r="35">
      <c r="A35" s="9" t="n">
        <v>32</v>
      </c>
      <c r="B35" s="10" t="inlineStr">
        <is>
          <t xml:space="preserve">        """插件卸载回调"""</t>
        </is>
      </c>
    </row>
    <row r="36">
      <c r="A36" s="7" t="n">
        <v>33</v>
      </c>
      <c r="B36" s="8" t="inlineStr">
        <is>
          <t xml:space="preserve">        _log.info(f"插件已卸载: {self.plugin_name}")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core\plugin_sdk\plugin_manager.py</t>
        </is>
      </c>
      <c r="C1" s="5" t="inlineStr">
        <is>
          <t>行数: 58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插件管理器 — 热加载/热卸载/执行调度。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importlib</t>
        </is>
      </c>
    </row>
    <row r="8">
      <c r="A8" s="7" t="n">
        <v>5</v>
      </c>
      <c r="B8" s="8" t="inlineStr">
        <is>
          <t>import logging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from typing import Dict, Any, List</t>
        </is>
      </c>
    </row>
    <row r="11">
      <c r="A11" s="9" t="n">
        <v>8</v>
      </c>
      <c r="B11" s="10" t="inlineStr">
        <is>
          <t>from core.plugin_sdk.base_plugin import BasePlugin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_log = logging.getLogger("TreeCut.PluginSDK")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class PluginManager:</t>
        </is>
      </c>
    </row>
    <row r="17">
      <c r="A17" s="9" t="n">
        <v>14</v>
      </c>
      <c r="B17" s="10" t="inlineStr">
        <is>
          <t xml:space="preserve">    """插件生命周期管理器"""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 xml:space="preserve">    def __init__(self, plugin_dir: str = "plugins"):</t>
        </is>
      </c>
    </row>
    <row r="20">
      <c r="A20" s="7" t="n">
        <v>17</v>
      </c>
      <c r="B20" s="8" t="inlineStr">
        <is>
          <t xml:space="preserve">        self._plugin_dir = Path(plugin_dir)</t>
        </is>
      </c>
    </row>
    <row r="21">
      <c r="A21" s="9" t="n">
        <v>18</v>
      </c>
      <c r="B21" s="10" t="inlineStr">
        <is>
          <t xml:space="preserve">        self._plugins: Dict[str, BasePlugin] = {}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>
        <is>
          <t xml:space="preserve">    def load(self, module_path: str, class_name: str) -&gt; bool:</t>
        </is>
      </c>
    </row>
    <row r="24">
      <c r="A24" s="7" t="n">
        <v>21</v>
      </c>
      <c r="B24" s="8" t="inlineStr">
        <is>
          <t xml:space="preserve">        """动态加载插件"""</t>
        </is>
      </c>
    </row>
    <row r="25">
      <c r="A25" s="9" t="n">
        <v>22</v>
      </c>
      <c r="B25" s="10" t="inlineStr">
        <is>
          <t xml:space="preserve">        try:</t>
        </is>
      </c>
    </row>
    <row r="26">
      <c r="A26" s="7" t="n">
        <v>23</v>
      </c>
      <c r="B26" s="8" t="inlineStr">
        <is>
          <t xml:space="preserve">            module = importlib.import_module(module_path)</t>
        </is>
      </c>
    </row>
    <row r="27">
      <c r="A27" s="9" t="n">
        <v>24</v>
      </c>
      <c r="B27" s="10" t="inlineStr">
        <is>
          <t xml:space="preserve">            cls = getattr(module, class_name)</t>
        </is>
      </c>
    </row>
    <row r="28">
      <c r="A28" s="7" t="n">
        <v>25</v>
      </c>
      <c r="B28" s="8" t="inlineStr">
        <is>
          <t xml:space="preserve">            if not issubclass(cls, BasePlugin):</t>
        </is>
      </c>
    </row>
    <row r="29">
      <c r="A29" s="9" t="n">
        <v>26</v>
      </c>
      <c r="B29" s="10" t="inlineStr">
        <is>
          <t xml:space="preserve">                raise TypeError("插件必须继承BasePlugin")</t>
        </is>
      </c>
    </row>
    <row r="30">
      <c r="A30" s="7" t="n">
        <v>27</v>
      </c>
      <c r="B30" s="8" t="inlineStr">
        <is>
          <t xml:space="preserve">            plugin = cls()</t>
        </is>
      </c>
    </row>
    <row r="31">
      <c r="A31" s="9" t="n">
        <v>28</v>
      </c>
      <c r="B31" s="10" t="inlineStr">
        <is>
          <t xml:space="preserve">            plugin.on_load()</t>
        </is>
      </c>
    </row>
    <row r="32">
      <c r="A32" s="7" t="n">
        <v>29</v>
      </c>
      <c r="B32" s="8" t="inlineStr">
        <is>
          <t xml:space="preserve">            self._plugins[plugin.plugin_name] = plugin</t>
        </is>
      </c>
    </row>
    <row r="33">
      <c r="A33" s="9" t="n">
        <v>30</v>
      </c>
      <c r="B33" s="10" t="inlineStr">
        <is>
          <t xml:space="preserve">            return True</t>
        </is>
      </c>
    </row>
    <row r="34">
      <c r="A34" s="7" t="n">
        <v>31</v>
      </c>
      <c r="B34" s="8" t="inlineStr">
        <is>
          <t xml:space="preserve">        except Exception as e:</t>
        </is>
      </c>
    </row>
    <row r="35">
      <c r="A35" s="9" t="n">
        <v>32</v>
      </c>
      <c r="B35" s="10" t="inlineStr">
        <is>
          <t xml:space="preserve">            _log.error(f"加载插件失败 [{module_path}.{class_name}]: {e}")</t>
        </is>
      </c>
    </row>
    <row r="36">
      <c r="A36" s="7" t="n">
        <v>33</v>
      </c>
      <c r="B36" s="8" t="inlineStr">
        <is>
          <t xml:space="preserve">            return False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 xml:space="preserve">    def unload(self, name: str):</t>
        </is>
      </c>
    </row>
    <row r="39">
      <c r="A39" s="9" t="n">
        <v>36</v>
      </c>
      <c r="B39" s="10" t="inlineStr">
        <is>
          <t xml:space="preserve">        if name in self._plugins:</t>
        </is>
      </c>
    </row>
    <row r="40">
      <c r="A40" s="7" t="n">
        <v>37</v>
      </c>
      <c r="B40" s="8" t="inlineStr">
        <is>
          <t xml:space="preserve">            self._plugins.pop(name).on_unload()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>
        <is>
          <t xml:space="preserve">    def execute(self, name: str, context: Dict[str, Any]) -&gt; Dict[str, Any]:</t>
        </is>
      </c>
    </row>
    <row r="43">
      <c r="A43" s="9" t="n">
        <v>40</v>
      </c>
      <c r="B43" s="10" t="inlineStr">
        <is>
          <t xml:space="preserve">        if name not in self._plugins:</t>
        </is>
      </c>
    </row>
    <row r="44">
      <c r="A44" s="7" t="n">
        <v>41</v>
      </c>
      <c r="B44" s="8" t="inlineStr">
        <is>
          <t xml:space="preserve">            raise ValueError(f"插件未加载: {name}")</t>
        </is>
      </c>
    </row>
    <row r="45">
      <c r="A45" s="9" t="n">
        <v>42</v>
      </c>
      <c r="B45" s="10" t="inlineStr">
        <is>
          <t xml:space="preserve">        return self._plugins[name].run(context)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 xml:space="preserve">    def list_plugins(self) -&gt; List[Dict]:</t>
        </is>
      </c>
    </row>
    <row r="48">
      <c r="A48" s="7" t="n">
        <v>45</v>
      </c>
      <c r="B48" s="8" t="inlineStr">
        <is>
          <t xml:space="preserve">        return [{"name": n, "version": p.plugin_version, "desc": p.plugin_description}</t>
        </is>
      </c>
    </row>
    <row r="49">
      <c r="A49" s="9" t="n">
        <v>46</v>
      </c>
      <c r="B49" s="10" t="inlineStr">
        <is>
          <t xml:space="preserve">                for n, p in self._plugins.items()]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def count(self) -&gt; int:</t>
        </is>
      </c>
    </row>
    <row r="52">
      <c r="A52" s="7" t="n">
        <v>49</v>
      </c>
      <c r="B52" s="8" t="inlineStr">
        <is>
          <t xml:space="preserve">        return len(self._plugins)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/>
    </row>
    <row r="55">
      <c r="A55" s="9" t="n">
        <v>52</v>
      </c>
      <c r="B55" s="10" t="inlineStr">
        <is>
          <t>_pm: PluginManager = None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>def get_plugin_manager() -&gt; PluginManager:</t>
        </is>
      </c>
    </row>
    <row r="58">
      <c r="A58" s="7" t="n">
        <v>55</v>
      </c>
      <c r="B58" s="8" t="inlineStr">
        <is>
          <t xml:space="preserve">    global _pm</t>
        </is>
      </c>
    </row>
    <row r="59">
      <c r="A59" s="9" t="n">
        <v>56</v>
      </c>
      <c r="B59" s="10" t="inlineStr">
        <is>
          <t xml:space="preserve">    if _pm is None:</t>
        </is>
      </c>
    </row>
    <row r="60">
      <c r="A60" s="7" t="n">
        <v>57</v>
      </c>
      <c r="B60" s="8" t="inlineStr">
        <is>
          <t xml:space="preserve">        _pm = PluginManager()</t>
        </is>
      </c>
    </row>
    <row r="61">
      <c r="A61" s="9" t="n">
        <v>58</v>
      </c>
      <c r="B61" s="10" t="inlineStr">
        <is>
          <t xml:space="preserve">    return _pm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core\process_manager.py</t>
        </is>
      </c>
      <c r="C1" s="5" t="inlineStr">
        <is>
          <t>行数: 90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多进程管理器 - 主从隔离架构，子进程崩溃自动重启</t>
        </is>
      </c>
    </row>
    <row r="6">
      <c r="A6" s="7" t="n">
        <v>3</v>
      </c>
      <c r="B6" s="8" t="inlineStr">
        <is>
          <t>单任务崩溃不影响全局运行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multiprocessing</t>
        </is>
      </c>
    </row>
    <row r="9">
      <c r="A9" s="9" t="n">
        <v>6</v>
      </c>
      <c r="B9" s="10" t="inlineStr">
        <is>
          <t>import time</t>
        </is>
      </c>
    </row>
    <row r="10">
      <c r="A10" s="7" t="n">
        <v>7</v>
      </c>
      <c r="B10" s="8" t="inlineStr">
        <is>
          <t>from utils.logger import get_logger</t>
        </is>
      </c>
    </row>
    <row r="11">
      <c r="A11" s="9" t="n">
        <v>8</v>
      </c>
      <c r="B11" s="10" t="inlineStr">
        <is>
          <t>from core.config_loader import CONFIG</t>
        </is>
      </c>
    </row>
    <row r="12">
      <c r="A12" s="7" t="n">
        <v>9</v>
      </c>
      <c r="B12" s="8" t="inlineStr">
        <is>
          <t>logger = get_logger("process_manager")</t>
        </is>
      </c>
    </row>
    <row r="13">
      <c r="A13" s="9" t="n">
        <v>10</v>
      </c>
      <c r="B13" s="10" t="inlineStr">
        <is>
          <t>def worker_process(task_queue, result_queue):</t>
        </is>
      </c>
    </row>
    <row r="14">
      <c r="A14" s="7" t="n">
        <v>11</v>
      </c>
      <c r="B14" s="8" t="inlineStr">
        <is>
          <t xml:space="preserve">    """工作子进程入口：循环等待任务，执行后返回结果"""</t>
        </is>
      </c>
    </row>
    <row r="15">
      <c r="A15" s="9" t="n">
        <v>12</v>
      </c>
      <c r="B15" s="10" t="inlineStr">
        <is>
          <t xml:space="preserve">    while True:</t>
        </is>
      </c>
    </row>
    <row r="16">
      <c r="A16" s="7" t="n">
        <v>13</v>
      </c>
      <c r="B16" s="8" t="inlineStr">
        <is>
          <t xml:space="preserve">        task = task_queue.get()</t>
        </is>
      </c>
    </row>
    <row r="17">
      <c r="A17" s="9" t="n">
        <v>14</v>
      </c>
      <c r="B17" s="10" t="inlineStr">
        <is>
          <t xml:space="preserve">        if task == "STOP":</t>
        </is>
      </c>
    </row>
    <row r="18">
      <c r="A18" s="7" t="n">
        <v>15</v>
      </c>
      <c r="B18" s="8" t="inlineStr">
        <is>
          <t xml:space="preserve">            break</t>
        </is>
      </c>
    </row>
    <row r="19">
      <c r="A19" s="9" t="n">
        <v>16</v>
      </c>
      <c r="B19" s="10" t="inlineStr">
        <is>
          <t xml:space="preserve">        try:</t>
        </is>
      </c>
    </row>
    <row r="20">
      <c r="A20" s="7" t="n">
        <v>17</v>
      </c>
      <c r="B20" s="8" t="inlineStr">
        <is>
          <t xml:space="preserve">            # 实际任务由主进程通过队列分发</t>
        </is>
      </c>
    </row>
    <row r="21">
      <c r="A21" s="9" t="n">
        <v>18</v>
      </c>
      <c r="B21" s="10" t="inlineStr">
        <is>
          <t xml:space="preserve">            result = {"task_id": task.get("id"), "status": "success", "data": task}</t>
        </is>
      </c>
    </row>
    <row r="22">
      <c r="A22" s="7" t="n">
        <v>19</v>
      </c>
      <c r="B22" s="8" t="inlineStr">
        <is>
          <t xml:space="preserve">            result_queue.put(result)</t>
        </is>
      </c>
    </row>
    <row r="23">
      <c r="A23" s="9" t="n">
        <v>20</v>
      </c>
      <c r="B23" s="10" t="inlineStr">
        <is>
          <t xml:space="preserve">        except Exception as e:</t>
        </is>
      </c>
    </row>
    <row r="24">
      <c r="A24" s="7" t="n">
        <v>21</v>
      </c>
      <c r="B24" s="8" t="inlineStr">
        <is>
          <t xml:space="preserve">            result_queue.put({</t>
        </is>
      </c>
    </row>
    <row r="25">
      <c r="A25" s="9" t="n">
        <v>22</v>
      </c>
      <c r="B25" s="10" t="inlineStr">
        <is>
          <t xml:space="preserve">                "task_id": task.get("id"),</t>
        </is>
      </c>
    </row>
    <row r="26">
      <c r="A26" s="7" t="n">
        <v>23</v>
      </c>
      <c r="B26" s="8" t="inlineStr">
        <is>
          <t xml:space="preserve">                "status": "failed",</t>
        </is>
      </c>
    </row>
    <row r="27">
      <c r="A27" s="9" t="n">
        <v>24</v>
      </c>
      <c r="B27" s="10" t="inlineStr">
        <is>
          <t xml:space="preserve">                "error": str(e),</t>
        </is>
      </c>
    </row>
    <row r="28">
      <c r="A28" s="7" t="n">
        <v>25</v>
      </c>
      <c r="B28" s="8" t="inlineStr">
        <is>
          <t xml:space="preserve">            })</t>
        </is>
      </c>
    </row>
    <row r="29">
      <c r="A29" s="9" t="n">
        <v>26</v>
      </c>
      <c r="B29" s="10" t="inlineStr">
        <is>
          <t>class ProcessManager:</t>
        </is>
      </c>
    </row>
    <row r="30">
      <c r="A30" s="7" t="n">
        <v>27</v>
      </c>
      <c r="B30" s="8" t="inlineStr">
        <is>
          <t xml:space="preserve">    """多进程管理器单例：主从架构，崩溃自愈"""</t>
        </is>
      </c>
    </row>
    <row r="31">
      <c r="A31" s="9" t="n">
        <v>28</v>
      </c>
      <c r="B31" s="10" t="inlineStr">
        <is>
          <t xml:space="preserve">    _instance = None</t>
        </is>
      </c>
    </row>
    <row r="32">
      <c r="A32" s="7" t="n">
        <v>29</v>
      </c>
      <c r="B32" s="8" t="inlineStr">
        <is>
          <t xml:space="preserve">    def __new__(cls):</t>
        </is>
      </c>
    </row>
    <row r="33">
      <c r="A33" s="9" t="n">
        <v>30</v>
      </c>
      <c r="B33" s="10" t="inlineStr">
        <is>
          <t xml:space="preserve">        if cls._instance is None:</t>
        </is>
      </c>
    </row>
    <row r="34">
      <c r="A34" s="7" t="n">
        <v>31</v>
      </c>
      <c r="B34" s="8" t="inlineStr">
        <is>
          <t xml:space="preserve">            cls._instance = super().__new__(cls)</t>
        </is>
      </c>
    </row>
    <row r="35">
      <c r="A35" s="9" t="n">
        <v>32</v>
      </c>
      <c r="B35" s="10" t="inlineStr">
        <is>
          <t xml:space="preserve">        return cls._instance</t>
        </is>
      </c>
    </row>
    <row r="36">
      <c r="A36" s="7" t="n">
        <v>33</v>
      </c>
      <c r="B36" s="8" t="inlineStr">
        <is>
          <t xml:space="preserve">    def __init__(self):</t>
        </is>
      </c>
    </row>
    <row r="37">
      <c r="A37" s="9" t="n">
        <v>34</v>
      </c>
      <c r="B37" s="10" t="inlineStr">
        <is>
          <t xml:space="preserve">        if hasattr(self, "_initialized"):</t>
        </is>
      </c>
    </row>
    <row r="38">
      <c r="A38" s="7" t="n">
        <v>35</v>
      </c>
      <c r="B38" s="8" t="inlineStr">
        <is>
          <t xml:space="preserve">            return</t>
        </is>
      </c>
    </row>
    <row r="39">
      <c r="A39" s="9" t="n">
        <v>36</v>
      </c>
      <c r="B39" s="10" t="inlineStr">
        <is>
          <t xml:space="preserve">        self._initialized = True</t>
        </is>
      </c>
    </row>
    <row r="40">
      <c r="A40" s="7" t="n">
        <v>37</v>
      </c>
      <c r="B40" s="8" t="inlineStr">
        <is>
          <t xml:space="preserve">        self.enable = CONFIG.get("process", {}).get("enable_isolation", False)</t>
        </is>
      </c>
    </row>
    <row r="41">
      <c r="A41" s="9" t="n">
        <v>38</v>
      </c>
      <c r="B41" s="10" t="inlineStr">
        <is>
          <t xml:space="preserve">        self.worker_num = CONFIG.get("process", {}).get("worker_process_num", 2)</t>
        </is>
      </c>
    </row>
    <row r="42">
      <c r="A42" s="7" t="n">
        <v>39</v>
      </c>
      <c r="B42" s="8" t="inlineStr">
        <is>
          <t xml:space="preserve">        self.workers = []</t>
        </is>
      </c>
    </row>
    <row r="43">
      <c r="A43" s="9" t="n">
        <v>40</v>
      </c>
      <c r="B43" s="10" t="inlineStr">
        <is>
          <t xml:space="preserve">        self.task_queue = multiprocessing.Queue()</t>
        </is>
      </c>
    </row>
    <row r="44">
      <c r="A44" s="7" t="n">
        <v>41</v>
      </c>
      <c r="B44" s="8" t="inlineStr">
        <is>
          <t xml:space="preserve">        self.result_queue = multiprocessing.Queue()</t>
        </is>
      </c>
    </row>
    <row r="45">
      <c r="A45" s="9" t="n">
        <v>42</v>
      </c>
      <c r="B45" s="10" t="inlineStr">
        <is>
          <t xml:space="preserve">        if self.enable:</t>
        </is>
      </c>
    </row>
    <row r="46">
      <c r="A46" s="7" t="n">
        <v>43</v>
      </c>
      <c r="B46" s="8" t="inlineStr">
        <is>
          <t xml:space="preserve">            self._start_workers()</t>
        </is>
      </c>
    </row>
    <row r="47">
      <c r="A47" s="9" t="n">
        <v>44</v>
      </c>
      <c r="B47" s="10" t="inlineStr">
        <is>
          <t xml:space="preserve">            logger.info(f"多进程管理器初始化完成，工作进程数: {self.worker_num}")</t>
        </is>
      </c>
    </row>
    <row r="48">
      <c r="A48" s="7" t="n">
        <v>45</v>
      </c>
      <c r="B48" s="8" t="inlineStr">
        <is>
          <t xml:space="preserve">        else:</t>
        </is>
      </c>
    </row>
    <row r="49">
      <c r="A49" s="9" t="n">
        <v>46</v>
      </c>
      <c r="B49" s="10" t="inlineStr">
        <is>
          <t xml:space="preserve">            logger.info("多进程隔离已禁用，使用单进程模式")</t>
        </is>
      </c>
    </row>
    <row r="50">
      <c r="A50" s="7" t="n">
        <v>47</v>
      </c>
      <c r="B50" s="8" t="inlineStr">
        <is>
          <t xml:space="preserve">    def _start_workers(self):</t>
        </is>
      </c>
    </row>
    <row r="51">
      <c r="A51" s="9" t="n">
        <v>48</v>
      </c>
      <c r="B51" s="10" t="inlineStr">
        <is>
          <t xml:space="preserve">        """启动所有工作子进程"""</t>
        </is>
      </c>
    </row>
    <row r="52">
      <c r="A52" s="7" t="n">
        <v>49</v>
      </c>
      <c r="B52" s="8" t="inlineStr">
        <is>
          <t xml:space="preserve">        for i in range(self.worker_num):</t>
        </is>
      </c>
    </row>
    <row r="53">
      <c r="A53" s="9" t="n">
        <v>50</v>
      </c>
      <c r="B53" s="10" t="inlineStr">
        <is>
          <t xml:space="preserve">            p = multiprocessing.Process(</t>
        </is>
      </c>
    </row>
    <row r="54">
      <c r="A54" s="7" t="n">
        <v>51</v>
      </c>
      <c r="B54" s="8" t="inlineStr">
        <is>
          <t xml:space="preserve">                target=worker_process,</t>
        </is>
      </c>
    </row>
    <row r="55">
      <c r="A55" s="9" t="n">
        <v>52</v>
      </c>
      <c r="B55" s="10" t="inlineStr">
        <is>
          <t xml:space="preserve">                args=(self.task_queue, self.result_queue),</t>
        </is>
      </c>
    </row>
    <row r="56">
      <c r="A56" s="7" t="n">
        <v>53</v>
      </c>
      <c r="B56" s="8" t="inlineStr">
        <is>
          <t xml:space="preserve">                daemon=True,</t>
        </is>
      </c>
    </row>
    <row r="57">
      <c r="A57" s="9" t="n">
        <v>54</v>
      </c>
      <c r="B57" s="10" t="inlineStr">
        <is>
          <t xml:space="preserve">                name=f"worker-{i}",</t>
        </is>
      </c>
    </row>
    <row r="58">
      <c r="A58" s="7" t="n">
        <v>55</v>
      </c>
      <c r="B58" s="8" t="inlineStr">
        <is>
          <t xml:space="preserve">            )</t>
        </is>
      </c>
    </row>
    <row r="59">
      <c r="A59" s="9" t="n">
        <v>56</v>
      </c>
      <c r="B59" s="10" t="inlineStr">
        <is>
          <t xml:space="preserve">            p.start()</t>
        </is>
      </c>
    </row>
    <row r="60">
      <c r="A60" s="7" t="n">
        <v>57</v>
      </c>
      <c r="B60" s="8" t="inlineStr">
        <is>
          <t xml:space="preserve">            self.workers.append(p)</t>
        </is>
      </c>
    </row>
    <row r="61">
      <c r="A61" s="9" t="n">
        <v>58</v>
      </c>
      <c r="B61" s="10" t="inlineStr">
        <is>
          <t xml:space="preserve">    def submit_task(self, task: dict) -&gt; dict:</t>
        </is>
      </c>
    </row>
    <row r="62">
      <c r="A62" s="7" t="n">
        <v>59</v>
      </c>
      <c r="B62" s="8" t="inlineStr">
        <is>
          <t xml:space="preserve">        """提交任务到子进程队列"""</t>
        </is>
      </c>
    </row>
    <row r="63">
      <c r="A63" s="9" t="n">
        <v>60</v>
      </c>
      <c r="B63" s="10" t="inlineStr">
        <is>
          <t xml:space="preserve">        if not self.enable:</t>
        </is>
      </c>
    </row>
    <row r="64">
      <c r="A64" s="7" t="n">
        <v>61</v>
      </c>
      <c r="B64" s="8" t="inlineStr">
        <is>
          <t xml:space="preserve">            return {"status": "local"}</t>
        </is>
      </c>
    </row>
    <row r="65">
      <c r="A65" s="9" t="n">
        <v>62</v>
      </c>
      <c r="B65" s="10" t="inlineStr">
        <is>
          <t xml:space="preserve">        self.task_queue.put(task)</t>
        </is>
      </c>
    </row>
    <row r="66">
      <c r="A66" s="7" t="n">
        <v>63</v>
      </c>
      <c r="B66" s="8" t="inlineStr">
        <is>
          <t xml:space="preserve">        return {"status": "submitted"}</t>
        </is>
      </c>
    </row>
    <row r="67">
      <c r="A67" s="9" t="n">
        <v>64</v>
      </c>
      <c r="B67" s="10" t="inlineStr">
        <is>
          <t xml:space="preserve">    def get_result(self, timeout: float = 0.1) -&gt; dict | None:</t>
        </is>
      </c>
    </row>
    <row r="68">
      <c r="A68" s="7" t="n">
        <v>65</v>
      </c>
      <c r="B68" s="8" t="inlineStr">
        <is>
          <t xml:space="preserve">        """非阻塞获取子进程结果"""</t>
        </is>
      </c>
    </row>
    <row r="69">
      <c r="A69" s="9" t="n">
        <v>66</v>
      </c>
      <c r="B69" s="10" t="inlineStr">
        <is>
          <t xml:space="preserve">        if not self.enable:</t>
        </is>
      </c>
    </row>
    <row r="70">
      <c r="A70" s="7" t="n">
        <v>67</v>
      </c>
      <c r="B70" s="8" t="inlineStr">
        <is>
          <t xml:space="preserve">            return None</t>
        </is>
      </c>
    </row>
    <row r="71">
      <c r="A71" s="9" t="n">
        <v>68</v>
      </c>
      <c r="B71" s="10" t="inlineStr">
        <is>
          <t xml:space="preserve">        try:</t>
        </is>
      </c>
    </row>
    <row r="72">
      <c r="A72" s="7" t="n">
        <v>69</v>
      </c>
      <c r="B72" s="8" t="inlineStr">
        <is>
          <t xml:space="preserve">            return self.result_queue.get(timeout=timeout)</t>
        </is>
      </c>
    </row>
    <row r="73">
      <c r="A73" s="9" t="n">
        <v>70</v>
      </c>
      <c r="B73" s="10" t="inlineStr">
        <is>
          <t xml:space="preserve">        except Exception:</t>
        </is>
      </c>
    </row>
    <row r="74">
      <c r="A74" s="7" t="n">
        <v>71</v>
      </c>
      <c r="B74" s="8" t="inlineStr">
        <is>
          <t xml:space="preserve">            return None</t>
        </is>
      </c>
    </row>
    <row r="75">
      <c r="A75" s="9" t="n">
        <v>72</v>
      </c>
      <c r="B75" s="10" t="inlineStr">
        <is>
          <t xml:space="preserve">    def check_health(self) -&gt; bool:</t>
        </is>
      </c>
    </row>
    <row r="76">
      <c r="A76" s="7" t="n">
        <v>73</v>
      </c>
      <c r="B76" s="8" t="inlineStr">
        <is>
          <t xml:space="preserve">        """检查所有子进程健康状态，崩溃自动重启"""</t>
        </is>
      </c>
    </row>
    <row r="77">
      <c r="A77" s="9" t="n">
        <v>74</v>
      </c>
      <c r="B77" s="10" t="inlineStr">
        <is>
          <t xml:space="preserve">        if not self.enable:</t>
        </is>
      </c>
    </row>
    <row r="78">
      <c r="A78" s="7" t="n">
        <v>75</v>
      </c>
      <c r="B78" s="8" t="inlineStr">
        <is>
          <t xml:space="preserve">            return True</t>
        </is>
      </c>
    </row>
    <row r="79">
      <c r="A79" s="9" t="n">
        <v>76</v>
      </c>
      <c r="B79" s="10" t="inlineStr">
        <is>
          <t xml:space="preserve">        for i, p in enumerate(self.workers):</t>
        </is>
      </c>
    </row>
    <row r="80">
      <c r="A80" s="7" t="n">
        <v>77</v>
      </c>
      <c r="B80" s="8" t="inlineStr">
        <is>
          <t xml:space="preserve">            if not p.is_alive():</t>
        </is>
      </c>
    </row>
    <row r="81">
      <c r="A81" s="9" t="n">
        <v>78</v>
      </c>
      <c r="B81" s="10" t="inlineStr">
        <is>
          <t xml:space="preserve">                logger.warning(f"工作进程 worker-{i} 崩溃，自动重启中...")</t>
        </is>
      </c>
    </row>
    <row r="82">
      <c r="A82" s="7" t="n">
        <v>79</v>
      </c>
      <c r="B82" s="8" t="inlineStr">
        <is>
          <t xml:space="preserve">                new_p = multiprocessing.Process(</t>
        </is>
      </c>
    </row>
    <row r="83">
      <c r="A83" s="9" t="n">
        <v>80</v>
      </c>
      <c r="B83" s="10" t="inlineStr">
        <is>
          <t xml:space="preserve">                    target=worker_process,</t>
        </is>
      </c>
    </row>
    <row r="84">
      <c r="A84" s="7" t="n">
        <v>81</v>
      </c>
      <c r="B84" s="8" t="inlineStr">
        <is>
          <t xml:space="preserve">                    args=(self.task_queue, self.result_queue),</t>
        </is>
      </c>
    </row>
    <row r="85">
      <c r="A85" s="9" t="n">
        <v>82</v>
      </c>
      <c r="B85" s="10" t="inlineStr">
        <is>
          <t xml:space="preserve">                    daemon=True,</t>
        </is>
      </c>
    </row>
    <row r="86">
      <c r="A86" s="7" t="n">
        <v>83</v>
      </c>
      <c r="B86" s="8" t="inlineStr">
        <is>
          <t xml:space="preserve">                    name=f"worker-{i}",</t>
        </is>
      </c>
    </row>
    <row r="87">
      <c r="A87" s="9" t="n">
        <v>84</v>
      </c>
      <c r="B87" s="10" t="inlineStr">
        <is>
          <t xml:space="preserve">                )</t>
        </is>
      </c>
    </row>
    <row r="88">
      <c r="A88" s="7" t="n">
        <v>85</v>
      </c>
      <c r="B88" s="8" t="inlineStr">
        <is>
          <t xml:space="preserve">                new_p.start()</t>
        </is>
      </c>
    </row>
    <row r="89">
      <c r="A89" s="9" t="n">
        <v>86</v>
      </c>
      <c r="B89" s="10" t="inlineStr">
        <is>
          <t xml:space="preserve">                self.workers[i] = new_p</t>
        </is>
      </c>
    </row>
    <row r="90">
      <c r="A90" s="7" t="n">
        <v>87</v>
      </c>
      <c r="B90" s="8" t="inlineStr">
        <is>
          <t xml:space="preserve">                logger.info(f"工作进程 worker-{i} 已重启")</t>
        </is>
      </c>
    </row>
    <row r="91">
      <c r="A91" s="9" t="n">
        <v>88</v>
      </c>
      <c r="B91" s="10" t="inlineStr">
        <is>
          <t xml:space="preserve">        return True</t>
        </is>
      </c>
    </row>
    <row r="92">
      <c r="A92" s="7" t="n">
        <v>89</v>
      </c>
      <c r="B92" s="8" t="inlineStr">
        <is>
          <t># 全局单例</t>
        </is>
      </c>
    </row>
    <row r="93">
      <c r="A93" s="9" t="n">
        <v>90</v>
      </c>
      <c r="B93" s="10" t="inlineStr">
        <is>
          <t>process_manager = ProcessManager()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core\quality_center.py</t>
        </is>
      </c>
      <c r="C1" s="5" t="inlineStr">
        <is>
          <t>行数: 294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v12.0 — 质检中心 (QualityCenter)</t>
        </is>
      </c>
    </row>
    <row r="6">
      <c r="A6" s="7" t="n">
        <v>3</v>
      </c>
      <c r="B6" s="8">
        <f>=============================================</f>
        <v/>
      </c>
    </row>
    <row r="7">
      <c r="A7" s="9" t="n">
        <v>4</v>
      </c>
      <c r="B7" s="10" t="inlineStr">
        <is>
          <t>对应架构导图「质检中心」合格/不合格分流节点。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职责:</t>
        </is>
      </c>
    </row>
    <row r="10">
      <c r="A10" s="7" t="n">
        <v>7</v>
      </c>
      <c r="B10" s="8" t="inlineStr">
        <is>
          <t xml:space="preserve">  1. inspect()        — 执行质检校验，返回(是否合格, 反馈信息)</t>
        </is>
      </c>
    </row>
    <row r="11">
      <c r="A11" s="9" t="n">
        <v>8</v>
      </c>
      <c r="B11" s="10" t="inlineStr">
        <is>
          <t xml:space="preserve">  2. process_task()   — 全流程: 质检→合格输出/不合格回流重试</t>
        </is>
      </c>
    </row>
    <row r="12">
      <c r="A12" s="7" t="n">
        <v>9</v>
      </c>
      <c r="B12" s="8" t="inlineStr">
        <is>
          <t xml:space="preserve">  3. _synthesize_final_video() — 最终视频合成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连接:</t>
        </is>
      </c>
    </row>
    <row r="15">
      <c r="A15" s="9" t="n">
        <v>12</v>
      </c>
      <c r="B15" s="10" t="inlineStr">
        <is>
          <t xml:space="preserve">  质检中心 ← 合成任务(来自 SmartOrchestrator)</t>
        </is>
      </c>
    </row>
    <row r="16">
      <c r="A16" s="7" t="n">
        <v>13</v>
      </c>
      <c r="B16" s="8" t="inlineStr">
        <is>
          <t xml:space="preserve">           ├── 合格 → 最终合成 → 输出视频</t>
        </is>
      </c>
    </row>
    <row r="17">
      <c r="A17" s="9" t="n">
        <v>14</v>
      </c>
      <c r="B17" s="10" t="inlineStr">
        <is>
          <t xml:space="preserve">           └── 不合格 → 回流 SmartOrchestrator.reschedule_after_fail()</t>
        </is>
      </c>
    </row>
    <row r="18">
      <c r="A18" s="7" t="n">
        <v>15</v>
      </c>
      <c r="B18" s="8" t="inlineStr">
        <is>
          <t xml:space="preserve">                    → 重试 ← (最多3次)</t>
        </is>
      </c>
    </row>
    <row r="19">
      <c r="A19" s="9" t="n">
        <v>16</v>
      </c>
      <c r="B19" s="10" t="inlineStr">
        <is>
          <t xml:space="preserve">                    → 超限 → 人工审核队列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对接现有模块:</t>
        </is>
      </c>
    </row>
    <row r="22">
      <c r="A22" s="7" t="n">
        <v>19</v>
      </c>
      <c r="B22" s="8" t="inlineStr">
        <is>
          <t xml:space="preserve">  - batch_evaluator.py  → 多维评分(画面/配音/节奏/文案)</t>
        </is>
      </c>
    </row>
    <row r="23">
      <c r="A23" s="9" t="n">
        <v>20</v>
      </c>
      <c r="B23" s="10" t="inlineStr">
        <is>
          <t xml:space="preserve">  - quality_scorer.py   → 单素材质量评分</t>
        </is>
      </c>
    </row>
    <row r="24">
      <c r="A24" s="7" t="n">
        <v>21</v>
      </c>
      <c r="B24" s="8" t="inlineStr">
        <is>
          <t xml:space="preserve">  - retry_scheduler.py  → 失败重调度</t>
        </is>
      </c>
    </row>
    <row r="25">
      <c r="A25" s="9" t="n">
        <v>22</v>
      </c>
      <c r="B25" s="10" t="inlineStr">
        <is>
          <t xml:space="preserve">  - review_queue.py     → 超限人工队列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用法:</t>
        </is>
      </c>
    </row>
    <row r="28">
      <c r="A28" s="7" t="n">
        <v>25</v>
      </c>
      <c r="B28" s="8" t="inlineStr">
        <is>
          <t xml:space="preserve">    from core.quality_center import get_quality_center</t>
        </is>
      </c>
    </row>
    <row r="29">
      <c r="A29" s="9" t="n">
        <v>26</v>
      </c>
      <c r="B29" s="10" t="inlineStr">
        <is>
          <t xml:space="preserve">    qc = get_quality_center()</t>
        </is>
      </c>
    </row>
    <row r="30">
      <c r="A30" s="7" t="n">
        <v>27</v>
      </c>
      <c r="B30" s="8" t="inlineStr">
        <is>
          <t xml:space="preserve">    ok, feedback = qc.inspect(task)</t>
        </is>
      </c>
    </row>
    <row r="31">
      <c r="A31" s="9" t="n">
        <v>28</v>
      </c>
      <c r="B31" s="10" t="inlineStr">
        <is>
          <t xml:space="preserve">    result = qc.process_task(task, max_retry=3)</t>
        </is>
      </c>
    </row>
    <row r="32">
      <c r="A32" s="7" t="n">
        <v>29</v>
      </c>
      <c r="B32" s="8" t="inlineStr">
        <is>
          <t>"""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import logging</t>
        </is>
      </c>
    </row>
    <row r="35">
      <c r="A35" s="9" t="n">
        <v>32</v>
      </c>
      <c r="B35" s="10" t="inlineStr">
        <is>
          <t>import threading</t>
        </is>
      </c>
    </row>
    <row r="36">
      <c r="A36" s="7" t="n">
        <v>33</v>
      </c>
      <c r="B36" s="8" t="inlineStr">
        <is>
          <t>from typing import Dict, List, Tuple, Optional, Any</t>
        </is>
      </c>
    </row>
    <row r="37">
      <c r="A37" s="9" t="n">
        <v>34</v>
      </c>
      <c r="B37" s="10" t="inlineStr"/>
    </row>
    <row r="38">
      <c r="A38" s="7" t="n">
        <v>35</v>
      </c>
      <c r="B38" s="8" t="inlineStr">
        <is>
          <t>_log = logging.getLogger("TreeCut.QualityCenter")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># 质检维度与权重</t>
        </is>
      </c>
    </row>
    <row r="41">
      <c r="A41" s="9" t="n">
        <v>38</v>
      </c>
      <c r="B41" s="10" t="inlineStr">
        <is>
          <t>INSPECTION_DIMENSIONS = {</t>
        </is>
      </c>
    </row>
    <row r="42">
      <c r="A42" s="7" t="n">
        <v>39</v>
      </c>
      <c r="B42" s="8" t="inlineStr">
        <is>
          <t xml:space="preserve">    "material_completeness": {"weight": 0.25, "min": 0.5},</t>
        </is>
      </c>
    </row>
    <row r="43">
      <c r="A43" s="9" t="n">
        <v>40</v>
      </c>
      <c r="B43" s="10" t="inlineStr">
        <is>
          <t xml:space="preserve">    "copy_quality":          {"weight": 0.25, "min": 0.4},</t>
        </is>
      </c>
    </row>
    <row r="44">
      <c r="A44" s="7" t="n">
        <v>41</v>
      </c>
      <c r="B44" s="8" t="inlineStr">
        <is>
          <t xml:space="preserve">    "clip_confidence":       {"weight": 0.20, "min": 0.4},</t>
        </is>
      </c>
    </row>
    <row r="45">
      <c r="A45" s="9" t="n">
        <v>42</v>
      </c>
      <c r="B45" s="10" t="inlineStr">
        <is>
          <t xml:space="preserve">    "duration_match":        {"weight": 0.15, "min": 0.3},</t>
        </is>
      </c>
    </row>
    <row r="46">
      <c r="A46" s="7" t="n">
        <v>43</v>
      </c>
      <c r="B46" s="8" t="inlineStr">
        <is>
          <t xml:space="preserve">    "bgm_match":             {"weight": 0.15, "min": 0.3},</t>
        </is>
      </c>
    </row>
    <row r="47">
      <c r="A47" s="9" t="n">
        <v>44</v>
      </c>
      <c r="B47" s="10" t="inlineStr">
        <is>
          <t>}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># 合格阈值</t>
        </is>
      </c>
    </row>
    <row r="50">
      <c r="A50" s="7" t="n">
        <v>47</v>
      </c>
      <c r="B50" s="8" t="inlineStr">
        <is>
          <t>PASS_THRESHOLD = 0.55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/>
    </row>
    <row r="53">
      <c r="A53" s="9" t="n">
        <v>50</v>
      </c>
      <c r="B53" s="10" t="inlineStr">
        <is>
          <t>class QualityCenter:</t>
        </is>
      </c>
    </row>
    <row r="54">
      <c r="A54" s="7" t="n">
        <v>51</v>
      </c>
      <c r="B54" s="8" t="inlineStr">
        <is>
          <t xml:space="preserve">    """</t>
        </is>
      </c>
    </row>
    <row r="55">
      <c r="A55" s="9" t="n">
        <v>52</v>
      </c>
      <c r="B55" s="10" t="inlineStr">
        <is>
          <t xml:space="preserve">    质检中心 — 校验合成方案，合格/不合格分流。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  v12.0: 对接 batch_evaluator + quality_scorer + retry_scheduler + review_queue</t>
        </is>
      </c>
    </row>
    <row r="58">
      <c r="A58" s="7" t="n">
        <v>55</v>
      </c>
      <c r="B58" s="8" t="inlineStr">
        <is>
          <t xml:space="preserve">    """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_instance: Optional["QualityCenter"] = None</t>
        </is>
      </c>
    </row>
    <row r="61">
      <c r="A61" s="9" t="n">
        <v>58</v>
      </c>
      <c r="B61" s="10" t="inlineStr">
        <is>
          <t xml:space="preserve">    _lock = threading.Lock()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def __new__(cls):</t>
        </is>
      </c>
    </row>
    <row r="64">
      <c r="A64" s="7" t="n">
        <v>61</v>
      </c>
      <c r="B64" s="8" t="inlineStr">
        <is>
          <t xml:space="preserve">        if cls._instance is None:</t>
        </is>
      </c>
    </row>
    <row r="65">
      <c r="A65" s="9" t="n">
        <v>62</v>
      </c>
      <c r="B65" s="10" t="inlineStr">
        <is>
          <t xml:space="preserve">            with cls._lock:</t>
        </is>
      </c>
    </row>
    <row r="66">
      <c r="A66" s="7" t="n">
        <v>63</v>
      </c>
      <c r="B66" s="8" t="inlineStr">
        <is>
          <t xml:space="preserve">                if cls._instance is None:</t>
        </is>
      </c>
    </row>
    <row r="67">
      <c r="A67" s="9" t="n">
        <v>64</v>
      </c>
      <c r="B67" s="10" t="inlineStr">
        <is>
          <t xml:space="preserve">                    cls._instance = super().__new__(cls)</t>
        </is>
      </c>
    </row>
    <row r="68">
      <c r="A68" s="7" t="n">
        <v>65</v>
      </c>
      <c r="B68" s="8" t="inlineStr">
        <is>
          <t xml:space="preserve">                    cls._instance._init()</t>
        </is>
      </c>
    </row>
    <row r="69">
      <c r="A69" s="9" t="n">
        <v>66</v>
      </c>
      <c r="B69" s="10" t="inlineStr">
        <is>
          <t xml:space="preserve">        return cls._instance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>
        <is>
          <t xml:space="preserve">    def _init(self):</t>
        </is>
      </c>
    </row>
    <row r="72">
      <c r="A72" s="7" t="n">
        <v>69</v>
      </c>
      <c r="B72" s="8" t="inlineStr">
        <is>
          <t xml:space="preserve">        self._stats = {"total_inspected": 0, "passed": 0, "failed": 0}</t>
        </is>
      </c>
    </row>
    <row r="73">
      <c r="A73" s="9" t="n">
        <v>70</v>
      </c>
      <c r="B73" s="10" t="inlineStr"/>
    </row>
    <row r="74">
      <c r="A74" s="7" t="n">
        <v>71</v>
      </c>
      <c r="B74" s="8" t="inlineStr">
        <is>
          <t xml:space="preserve">    # ═══════════════ 质检校验 ═══════════════</t>
        </is>
      </c>
    </row>
    <row r="75">
      <c r="A75" s="9" t="n">
        <v>72</v>
      </c>
      <c r="B75" s="10" t="inlineStr">
        <is>
          <t xml:space="preserve">    def inspect(self, synthesis_task: Dict[str, Any]) -&gt; Tuple[bool, str]:</t>
        </is>
      </c>
    </row>
    <row r="76">
      <c r="A76" s="7" t="n">
        <v>73</v>
      </c>
      <c r="B76" s="8" t="inlineStr">
        <is>
          <t xml:space="preserve">        """</t>
        </is>
      </c>
    </row>
    <row r="77">
      <c r="A77" s="9" t="n">
        <v>74</v>
      </c>
      <c r="B77" s="10" t="inlineStr">
        <is>
          <t xml:space="preserve">        执行质检校验。</t>
        </is>
      </c>
    </row>
    <row r="78">
      <c r="A78" s="7" t="n">
        <v>75</v>
      </c>
      <c r="B78" s="8" t="inlineStr">
        <is>
          <t xml:space="preserve">        返回: (is_qualified: bool, feedback: str)</t>
        </is>
      </c>
    </row>
    <row r="79">
      <c r="A79" s="9" t="n">
        <v>76</v>
      </c>
      <c r="B79" s="10" t="inlineStr">
        <is>
          <t xml:space="preserve">        """</t>
        </is>
      </c>
    </row>
    <row r="80">
      <c r="A80" s="7" t="n">
        <v>77</v>
      </c>
      <c r="B80" s="8" t="inlineStr">
        <is>
          <t xml:space="preserve">        _log.info("质检中心: 开始校验合成方案...")</t>
        </is>
      </c>
    </row>
    <row r="81">
      <c r="A81" s="9" t="n">
        <v>78</v>
      </c>
      <c r="B81" s="10" t="inlineStr">
        <is>
          <t xml:space="preserve">        self._stats["total_inspected"] += 1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>
        <is>
          <t xml:space="preserve">        materials = synthesis_task.get("materials", {})</t>
        </is>
      </c>
    </row>
    <row r="84">
      <c r="A84" s="7" t="n">
        <v>81</v>
      </c>
      <c r="B84" s="8" t="inlineStr">
        <is>
          <t xml:space="preserve">        issues: List[str] = []</t>
        </is>
      </c>
    </row>
    <row r="85">
      <c r="A85" s="9" t="n">
        <v>82</v>
      </c>
      <c r="B85" s="10" t="inlineStr">
        <is>
          <t xml:space="preserve">        scores: Dict[str, float] = {}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 xml:space="preserve">        # 1. 素材完整度检查</t>
        </is>
      </c>
    </row>
    <row r="88">
      <c r="A88" s="7" t="n">
        <v>85</v>
      </c>
      <c r="B88" s="8" t="inlineStr">
        <is>
          <t xml:space="preserve">        score_completeness = self._check_material_completeness(materials)</t>
        </is>
      </c>
    </row>
    <row r="89">
      <c r="A89" s="9" t="n">
        <v>86</v>
      </c>
      <c r="B89" s="10" t="inlineStr">
        <is>
          <t xml:space="preserve">        scores["material_completeness"] = score_completeness</t>
        </is>
      </c>
    </row>
    <row r="90">
      <c r="A90" s="7" t="n">
        <v>87</v>
      </c>
      <c r="B90" s="8" t="inlineStr">
        <is>
          <t xml:space="preserve">        if score_completeness &lt; INSPECTION_DIMENSIONS["material_completeness"]["min"]:</t>
        </is>
      </c>
    </row>
    <row r="91">
      <c r="A91" s="9" t="n">
        <v>88</v>
      </c>
      <c r="B91" s="10" t="inlineStr">
        <is>
          <t xml:space="preserve">            issues.append("素材完整度不足")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 xml:space="preserve">        # 2. 文案质量检查</t>
        </is>
      </c>
    </row>
    <row r="94">
      <c r="A94" s="7" t="n">
        <v>91</v>
      </c>
      <c r="B94" s="8" t="inlineStr">
        <is>
          <t xml:space="preserve">        score_copy = self._check_copy_quality(synthesis_task)</t>
        </is>
      </c>
    </row>
    <row r="95">
      <c r="A95" s="9" t="n">
        <v>92</v>
      </c>
      <c r="B95" s="10" t="inlineStr">
        <is>
          <t xml:space="preserve">        scores["copy_quality"] = score_copy</t>
        </is>
      </c>
    </row>
    <row r="96">
      <c r="A96" s="7" t="n">
        <v>93</v>
      </c>
      <c r="B96" s="8" t="inlineStr">
        <is>
          <t xml:space="preserve">        if score_copy &lt; INSPECTION_DIMENSIONS["copy_quality"]["min"]:</t>
        </is>
      </c>
    </row>
    <row r="97">
      <c r="A97" s="9" t="n">
        <v>94</v>
      </c>
      <c r="B97" s="10" t="inlineStr">
        <is>
          <t xml:space="preserve">            issues.append("文案质量偏低")</t>
        </is>
      </c>
    </row>
    <row r="98">
      <c r="A98" s="7" t="n">
        <v>95</v>
      </c>
      <c r="B98" s="8" t="inlineStr"/>
    </row>
    <row r="99">
      <c r="A99" s="9" t="n">
        <v>96</v>
      </c>
      <c r="B99" s="10" t="inlineStr">
        <is>
          <t xml:space="preserve">        # 3. 素材置信度检查</t>
        </is>
      </c>
    </row>
    <row r="100">
      <c r="A100" s="7" t="n">
        <v>97</v>
      </c>
      <c r="B100" s="8" t="inlineStr">
        <is>
          <t xml:space="preserve">        score_confidence = self._check_clip_confidence(materials)</t>
        </is>
      </c>
    </row>
    <row r="101">
      <c r="A101" s="9" t="n">
        <v>98</v>
      </c>
      <c r="B101" s="10" t="inlineStr">
        <is>
          <t xml:space="preserve">        scores["clip_confidence"] = score_confidence</t>
        </is>
      </c>
    </row>
    <row r="102">
      <c r="A102" s="7" t="n">
        <v>99</v>
      </c>
      <c r="B102" s="8" t="inlineStr">
        <is>
          <t xml:space="preserve">        if score_confidence &lt; INSPECTION_DIMENSIONS["clip_confidence"]["min"]:</t>
        </is>
      </c>
    </row>
    <row r="103">
      <c r="A103" s="9" t="n">
        <v>100</v>
      </c>
      <c r="B103" s="10" t="inlineStr">
        <is>
          <t xml:space="preserve">            issues.append("素材置信度不足")</t>
        </is>
      </c>
    </row>
    <row r="104">
      <c r="A104" s="7" t="n">
        <v>101</v>
      </c>
      <c r="B104" s="8" t="inlineStr"/>
    </row>
    <row r="105">
      <c r="A105" s="9" t="n">
        <v>102</v>
      </c>
      <c r="B105" s="10" t="inlineStr">
        <is>
          <t xml:space="preserve">        # 4. 时长匹配检查</t>
        </is>
      </c>
    </row>
    <row r="106">
      <c r="A106" s="7" t="n">
        <v>103</v>
      </c>
      <c r="B106" s="8" t="inlineStr">
        <is>
          <t xml:space="preserve">        score_duration = self._check_duration_match(synthesis_task)</t>
        </is>
      </c>
    </row>
    <row r="107">
      <c r="A107" s="9" t="n">
        <v>104</v>
      </c>
      <c r="B107" s="10" t="inlineStr">
        <is>
          <t xml:space="preserve">        scores["duration_match"] = score_duration</t>
        </is>
      </c>
    </row>
    <row r="108">
      <c r="A108" s="7" t="n">
        <v>105</v>
      </c>
      <c r="B108" s="8" t="inlineStr">
        <is>
          <t xml:space="preserve">        if score_duration &lt; INSPECTION_DIMENSIONS["duration_match"]["min"]:</t>
        </is>
      </c>
    </row>
    <row r="109">
      <c r="A109" s="9" t="n">
        <v>106</v>
      </c>
      <c r="B109" s="10" t="inlineStr">
        <is>
          <t xml:space="preserve">            issues.append("时长匹配偏差大")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 xml:space="preserve">        # 5. BGM匹配检查</t>
        </is>
      </c>
    </row>
    <row r="112">
      <c r="A112" s="7" t="n">
        <v>109</v>
      </c>
      <c r="B112" s="8" t="inlineStr">
        <is>
          <t xml:space="preserve">        score_bgm = self._check_bgm_match(materials)</t>
        </is>
      </c>
    </row>
    <row r="113">
      <c r="A113" s="9" t="n">
        <v>110</v>
      </c>
      <c r="B113" s="10" t="inlineStr">
        <is>
          <t xml:space="preserve">        scores["bgm_match"] = score_bgm</t>
        </is>
      </c>
    </row>
    <row r="114">
      <c r="A114" s="7" t="n">
        <v>111</v>
      </c>
      <c r="B114" s="8" t="inlineStr">
        <is>
          <t xml:space="preserve">        if score_bgm &lt; INSPECTION_DIMENSIONS["bgm_match"]["min"]:</t>
        </is>
      </c>
    </row>
    <row r="115">
      <c r="A115" s="9" t="n">
        <v>112</v>
      </c>
      <c r="B115" s="10" t="inlineStr">
        <is>
          <t xml:space="preserve">            issues.append("BGM匹配度低")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    # 加权综合评分</t>
        </is>
      </c>
    </row>
    <row r="118">
      <c r="A118" s="7" t="n">
        <v>115</v>
      </c>
      <c r="B118" s="8" t="inlineStr">
        <is>
          <t xml:space="preserve">        total_score = sum(</t>
        </is>
      </c>
    </row>
    <row r="119">
      <c r="A119" s="9" t="n">
        <v>116</v>
      </c>
      <c r="B119" s="10" t="inlineStr">
        <is>
          <t xml:space="preserve">            scores[dim] * cfg["weight"]</t>
        </is>
      </c>
    </row>
    <row r="120">
      <c r="A120" s="7" t="n">
        <v>117</v>
      </c>
      <c r="B120" s="8" t="inlineStr">
        <is>
          <t xml:space="preserve">            for dim, cfg in INSPECTION_DIMENSIONS.items()</t>
        </is>
      </c>
    </row>
    <row r="121">
      <c r="A121" s="9" t="n">
        <v>118</v>
      </c>
      <c r="B121" s="10" t="inlineStr">
        <is>
          <t xml:space="preserve">            if dim in scores</t>
        </is>
      </c>
    </row>
    <row r="122">
      <c r="A122" s="7" t="n">
        <v>119</v>
      </c>
      <c r="B122" s="8" t="inlineStr">
        <is>
          <t xml:space="preserve">        )</t>
        </is>
      </c>
    </row>
    <row r="123">
      <c r="A123" s="9" t="n">
        <v>120</v>
      </c>
      <c r="B123" s="10" t="inlineStr"/>
    </row>
    <row r="124">
      <c r="A124" s="7" t="n">
        <v>121</v>
      </c>
      <c r="B124" s="8" t="inlineStr">
        <is>
          <t xml:space="preserve">        _log.info(f"质检完成: score={total_score:.2f}, issues={issues}")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 xml:space="preserve">        if total_score &gt;= PASS_THRESHOLD and not issues:</t>
        </is>
      </c>
    </row>
    <row r="127">
      <c r="A127" s="9" t="n">
        <v>124</v>
      </c>
      <c r="B127" s="10" t="inlineStr">
        <is>
          <t xml:space="preserve">            self._stats["passed"] += 1</t>
        </is>
      </c>
    </row>
    <row r="128">
      <c r="A128" s="7" t="n">
        <v>125</v>
      </c>
      <c r="B128" s="8" t="inlineStr">
        <is>
          <t xml:space="preserve">            _log.info("质检中心: ✅ 合格 → 进入最终合成")</t>
        </is>
      </c>
    </row>
    <row r="129">
      <c r="A129" s="9" t="n">
        <v>126</v>
      </c>
      <c r="B129" s="10" t="inlineStr">
        <is>
          <t xml:space="preserve">            return True, "综合质量达标"</t>
        </is>
      </c>
    </row>
    <row r="130">
      <c r="A130" s="7" t="n">
        <v>127</v>
      </c>
      <c r="B130" s="8" t="inlineStr">
        <is>
          <t xml:space="preserve">        else:</t>
        </is>
      </c>
    </row>
    <row r="131">
      <c r="A131" s="9" t="n">
        <v>128</v>
      </c>
      <c r="B131" s="10" t="inlineStr">
        <is>
          <t xml:space="preserve">            self._stats["failed"] += 1</t>
        </is>
      </c>
    </row>
    <row r="132">
      <c r="A132" s="7" t="n">
        <v>129</v>
      </c>
      <c r="B132" s="8" t="inlineStr">
        <is>
          <t xml:space="preserve">            feedback = "; ".join(issues) if issues else "综合评分不足"</t>
        </is>
      </c>
    </row>
    <row r="133">
      <c r="A133" s="9" t="n">
        <v>130</v>
      </c>
      <c r="B133" s="10" t="inlineStr">
        <is>
          <t xml:space="preserve">            _log.warning(f"质检中心: ❌ 不合格 → {feedback}")</t>
        </is>
      </c>
    </row>
    <row r="134">
      <c r="A134" s="7" t="n">
        <v>131</v>
      </c>
      <c r="B134" s="8" t="inlineStr">
        <is>
          <t xml:space="preserve">            return False, feedback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 xml:space="preserve">    # ── 各项检查方法 ──────────────────────────────</t>
        </is>
      </c>
    </row>
    <row r="137">
      <c r="A137" s="9" t="n">
        <v>134</v>
      </c>
      <c r="B137" s="10" t="inlineStr">
        <is>
          <t xml:space="preserve">    def _check_material_completeness(self, materials: Dict) -&gt; float:</t>
        </is>
      </c>
    </row>
    <row r="138">
      <c r="A138" s="7" t="n">
        <v>135</v>
      </c>
      <c r="B138" s="8" t="inlineStr">
        <is>
          <t xml:space="preserve">        """检查素材完整度: 四类素材是否都有"""</t>
        </is>
      </c>
    </row>
    <row r="139">
      <c r="A139" s="9" t="n">
        <v>136</v>
      </c>
      <c r="B139" s="10" t="inlineStr">
        <is>
          <t xml:space="preserve">        if not materials:</t>
        </is>
      </c>
    </row>
    <row r="140">
      <c r="A140" s="7" t="n">
        <v>137</v>
      </c>
      <c r="B140" s="8" t="inlineStr">
        <is>
          <t xml:space="preserve">            return 0.0</t>
        </is>
      </c>
    </row>
    <row r="141">
      <c r="A141" s="9" t="n">
        <v>138</v>
      </c>
      <c r="B141" s="10" t="inlineStr">
        <is>
          <t xml:space="preserve">        keys = ["images", "videos", "copywriting", "bgm"]</t>
        </is>
      </c>
    </row>
    <row r="142">
      <c r="A142" s="7" t="n">
        <v>139</v>
      </c>
      <c r="B142" s="8" t="inlineStr">
        <is>
          <t xml:space="preserve">        present = sum(1 for k in keys if k in materials and len(materials.get(k, [])) &gt; 0)</t>
        </is>
      </c>
    </row>
    <row r="143">
      <c r="A143" s="9" t="n">
        <v>140</v>
      </c>
      <c r="B143" s="10" t="inlineStr">
        <is>
          <t xml:space="preserve">        return present / len(keys)</t>
        </is>
      </c>
    </row>
    <row r="144">
      <c r="A144" s="7" t="n">
        <v>141</v>
      </c>
      <c r="B144" s="8" t="inlineStr"/>
    </row>
    <row r="145">
      <c r="A145" s="9" t="n">
        <v>142</v>
      </c>
      <c r="B145" s="10" t="inlineStr">
        <is>
          <t xml:space="preserve">    def _check_copy_quality(self, task: Dict) -&gt; float:</t>
        </is>
      </c>
    </row>
    <row r="146">
      <c r="A146" s="7" t="n">
        <v>143</v>
      </c>
      <c r="B146" s="8" t="inlineStr">
        <is>
          <t xml:space="preserve">        """检查文案质量"""</t>
        </is>
      </c>
    </row>
    <row r="147">
      <c r="A147" s="9" t="n">
        <v>144</v>
      </c>
      <c r="B147" s="10" t="inlineStr">
        <is>
          <t xml:space="preserve">        copy_text = task.get("copy_text", "")</t>
        </is>
      </c>
    </row>
    <row r="148">
      <c r="A148" s="7" t="n">
        <v>145</v>
      </c>
      <c r="B148" s="8" t="inlineStr">
        <is>
          <t xml:space="preserve">        if not copy_text:</t>
        </is>
      </c>
    </row>
    <row r="149">
      <c r="A149" s="9" t="n">
        <v>146</v>
      </c>
      <c r="B149" s="10" t="inlineStr">
        <is>
          <t xml:space="preserve">            return 0.2</t>
        </is>
      </c>
    </row>
    <row r="150">
      <c r="A150" s="7" t="n">
        <v>147</v>
      </c>
      <c r="B150" s="8" t="inlineStr">
        <is>
          <t xml:space="preserve">        # 基础检查: 长度、包含CTA</t>
        </is>
      </c>
    </row>
    <row r="151">
      <c r="A151" s="9" t="n">
        <v>148</v>
      </c>
      <c r="B151" s="10" t="inlineStr">
        <is>
          <t xml:space="preserve">        score = 0.5</t>
        </is>
      </c>
    </row>
    <row r="152">
      <c r="A152" s="7" t="n">
        <v>149</v>
      </c>
      <c r="B152" s="8" t="inlineStr">
        <is>
          <t xml:space="preserve">        if len(copy_text) &gt; 50:</t>
        </is>
      </c>
    </row>
    <row r="153">
      <c r="A153" s="9" t="n">
        <v>150</v>
      </c>
      <c r="B153" s="10" t="inlineStr">
        <is>
          <t xml:space="preserve">            score += 0.25</t>
        </is>
      </c>
    </row>
    <row r="154">
      <c r="A154" s="7" t="n">
        <v>151</v>
      </c>
      <c r="B154" s="8" t="inlineStr">
        <is>
          <t xml:space="preserve">        if any(kw in copy_text for kw in ["点击", "下单", "购买", "关注", "私信"]):</t>
        </is>
      </c>
    </row>
    <row r="155">
      <c r="A155" s="9" t="n">
        <v>152</v>
      </c>
      <c r="B155" s="10" t="inlineStr">
        <is>
          <t xml:space="preserve">            score += 0.25</t>
        </is>
      </c>
    </row>
    <row r="156">
      <c r="A156" s="7" t="n">
        <v>153</v>
      </c>
      <c r="B156" s="8" t="inlineStr">
        <is>
          <t xml:space="preserve">        return min(1.0, score)</t>
        </is>
      </c>
    </row>
    <row r="157">
      <c r="A157" s="9" t="n">
        <v>154</v>
      </c>
      <c r="B157" s="10" t="inlineStr"/>
    </row>
    <row r="158">
      <c r="A158" s="7" t="n">
        <v>155</v>
      </c>
      <c r="B158" s="8" t="inlineStr">
        <is>
          <t xml:space="preserve">    def _check_clip_confidence(self, materials: Dict) -&gt; float:</t>
        </is>
      </c>
    </row>
    <row r="159">
      <c r="A159" s="9" t="n">
        <v>156</v>
      </c>
      <c r="B159" s="10" t="inlineStr">
        <is>
          <t xml:space="preserve">        """检查素材置信度均值"""</t>
        </is>
      </c>
    </row>
    <row r="160">
      <c r="A160" s="7" t="n">
        <v>157</v>
      </c>
      <c r="B160" s="8" t="inlineStr">
        <is>
          <t xml:space="preserve">        videos = materials.get("videos", [])</t>
        </is>
      </c>
    </row>
    <row r="161">
      <c r="A161" s="9" t="n">
        <v>158</v>
      </c>
      <c r="B161" s="10" t="inlineStr">
        <is>
          <t xml:space="preserve">        if not videos:</t>
        </is>
      </c>
    </row>
    <row r="162">
      <c r="A162" s="7" t="n">
        <v>159</v>
      </c>
      <c r="B162" s="8" t="inlineStr">
        <is>
          <t xml:space="preserve">            return 0.0</t>
        </is>
      </c>
    </row>
    <row r="163">
      <c r="A163" s="9" t="n">
        <v>160</v>
      </c>
      <c r="B163" s="10" t="inlineStr">
        <is>
          <t xml:space="preserve">        confs = [v.get("confidence", 0.0) for v in videos if isinstance(v, dict)]</t>
        </is>
      </c>
    </row>
    <row r="164">
      <c r="A164" s="7" t="n">
        <v>161</v>
      </c>
      <c r="B164" s="8" t="inlineStr">
        <is>
          <t xml:space="preserve">        return sum(confs) / len(confs) if confs else 0.3</t>
        </is>
      </c>
    </row>
    <row r="165">
      <c r="A165" s="9" t="n">
        <v>162</v>
      </c>
      <c r="B165" s="10" t="inlineStr"/>
    </row>
    <row r="166">
      <c r="A166" s="7" t="n">
        <v>163</v>
      </c>
      <c r="B166" s="8" t="inlineStr">
        <is>
          <t xml:space="preserve">    def _check_duration_match(self, task: Dict) -&gt; float:</t>
        </is>
      </c>
    </row>
    <row r="167">
      <c r="A167" s="9" t="n">
        <v>164</v>
      </c>
      <c r="B167" s="10" t="inlineStr">
        <is>
          <t xml:space="preserve">        """检查时长匹配"""</t>
        </is>
      </c>
    </row>
    <row r="168">
      <c r="A168" s="7" t="n">
        <v>165</v>
      </c>
      <c r="B168" s="8" t="inlineStr">
        <is>
          <t xml:space="preserve">        videos = task.get("materials", {}).get("videos", [])</t>
        </is>
      </c>
    </row>
    <row r="169">
      <c r="A169" s="9" t="n">
        <v>166</v>
      </c>
      <c r="B169" s="10" t="inlineStr">
        <is>
          <t xml:space="preserve">        if not videos:</t>
        </is>
      </c>
    </row>
    <row r="170">
      <c r="A170" s="7" t="n">
        <v>167</v>
      </c>
      <c r="B170" s="8" t="inlineStr">
        <is>
          <t xml:space="preserve">            return 0.2</t>
        </is>
      </c>
    </row>
    <row r="171">
      <c r="A171" s="9" t="n">
        <v>168</v>
      </c>
      <c r="B171" s="10" t="inlineStr">
        <is>
          <t xml:space="preserve">        dur = sum(v.get("duration", 3.0) for v in videos if isinstance(v, dict))</t>
        </is>
      </c>
    </row>
    <row r="172">
      <c r="A172" s="7" t="n">
        <v>169</v>
      </c>
      <c r="B172" s="8" t="inlineStr">
        <is>
          <t xml:space="preserve">        target = 30.0  # 目标30秒</t>
        </is>
      </c>
    </row>
    <row r="173">
      <c r="A173" s="9" t="n">
        <v>170</v>
      </c>
      <c r="B173" s="10" t="inlineStr">
        <is>
          <t xml:space="preserve">        ratio = min(dur, target) / max(dur, target, 1)</t>
        </is>
      </c>
    </row>
    <row r="174">
      <c r="A174" s="7" t="n">
        <v>171</v>
      </c>
      <c r="B174" s="8" t="inlineStr">
        <is>
          <t xml:space="preserve">        return ratio</t>
        </is>
      </c>
    </row>
    <row r="175">
      <c r="A175" s="9" t="n">
        <v>172</v>
      </c>
      <c r="B175" s="10" t="inlineStr"/>
    </row>
    <row r="176">
      <c r="A176" s="7" t="n">
        <v>173</v>
      </c>
      <c r="B176" s="8" t="inlineStr">
        <is>
          <t xml:space="preserve">    def _check_bgm_match(self, materials: Dict) -&gt; float:</t>
        </is>
      </c>
    </row>
    <row r="177">
      <c r="A177" s="9" t="n">
        <v>174</v>
      </c>
      <c r="B177" s="10" t="inlineStr">
        <is>
          <t xml:space="preserve">        """检查BGM匹配"""</t>
        </is>
      </c>
    </row>
    <row r="178">
      <c r="A178" s="7" t="n">
        <v>175</v>
      </c>
      <c r="B178" s="8" t="inlineStr">
        <is>
          <t xml:space="preserve">        bgm = materials.get("bgm", [])</t>
        </is>
      </c>
    </row>
    <row r="179">
      <c r="A179" s="9" t="n">
        <v>176</v>
      </c>
      <c r="B179" s="10" t="inlineStr">
        <is>
          <t xml:space="preserve">        if not bgm:</t>
        </is>
      </c>
    </row>
    <row r="180">
      <c r="A180" s="7" t="n">
        <v>177</v>
      </c>
      <c r="B180" s="8" t="inlineStr">
        <is>
          <t xml:space="preserve">            return 0.4  # BGM缺失但不算致命</t>
        </is>
      </c>
    </row>
    <row r="181">
      <c r="A181" s="9" t="n">
        <v>178</v>
      </c>
      <c r="B181" s="10" t="inlineStr">
        <is>
          <t xml:space="preserve">        return 0.8  # 有BGM就基本合格</t>
        </is>
      </c>
    </row>
    <row r="182">
      <c r="A182" s="7" t="n">
        <v>179</v>
      </c>
      <c r="B182" s="8" t="inlineStr"/>
    </row>
    <row r="183">
      <c r="A183" s="9" t="n">
        <v>180</v>
      </c>
      <c r="B183" s="10" t="inlineStr">
        <is>
          <t xml:space="preserve">    # ═══════════════ 全流程处理 ═══════════════</t>
        </is>
      </c>
    </row>
    <row r="184">
      <c r="A184" s="7" t="n">
        <v>181</v>
      </c>
      <c r="B184" s="8" t="inlineStr">
        <is>
          <t xml:space="preserve">    def process_task(self, synthesis_task: Dict[str, Any],</t>
        </is>
      </c>
    </row>
    <row r="185">
      <c r="A185" s="9" t="n">
        <v>182</v>
      </c>
      <c r="B185" s="10" t="inlineStr">
        <is>
          <t xml:space="preserve">                     max_retry: int = 3) -&gt; Optional[Dict[str, Any]]:</t>
        </is>
      </c>
    </row>
    <row r="186">
      <c r="A186" s="7" t="n">
        <v>183</v>
      </c>
      <c r="B186" s="8" t="inlineStr">
        <is>
          <t xml:space="preserve">        """</t>
        </is>
      </c>
    </row>
    <row r="187">
      <c r="A187" s="9" t="n">
        <v>184</v>
      </c>
      <c r="B187" s="10" t="inlineStr">
        <is>
          <t xml:space="preserve">        质检→合格输出/不合格回流重试 完整流程。</t>
        </is>
      </c>
    </row>
    <row r="188">
      <c r="A188" s="7" t="n">
        <v>185</v>
      </c>
      <c r="B188" s="8" t="inlineStr">
        <is>
          <t xml:space="preserve">        ★ 导图闭环实现: 不合格 → SmartOrchestrator.reschedule → 重试 → 超限 → 人工队列</t>
        </is>
      </c>
    </row>
    <row r="189">
      <c r="A189" s="9" t="n">
        <v>186</v>
      </c>
      <c r="B189" s="10" t="inlineStr">
        <is>
          <t xml:space="preserve">        """</t>
        </is>
      </c>
    </row>
    <row r="190">
      <c r="A190" s="7" t="n">
        <v>187</v>
      </c>
      <c r="B190" s="8" t="inlineStr">
        <is>
          <t xml:space="preserve">        retry_count = 0</t>
        </is>
      </c>
    </row>
    <row r="191">
      <c r="A191" s="9" t="n">
        <v>188</v>
      </c>
      <c r="B191" s="10" t="inlineStr">
        <is>
          <t xml:space="preserve">        current_task = dict(synthesis_task)</t>
        </is>
      </c>
    </row>
    <row r="192">
      <c r="A192" s="7" t="n">
        <v>189</v>
      </c>
      <c r="B192" s="8" t="inlineStr"/>
    </row>
    <row r="193">
      <c r="A193" s="9" t="n">
        <v>190</v>
      </c>
      <c r="B193" s="10" t="inlineStr">
        <is>
          <t xml:space="preserve">        while retry_count &lt;= max_retry:</t>
        </is>
      </c>
    </row>
    <row r="194">
      <c r="A194" s="7" t="n">
        <v>191</v>
      </c>
      <c r="B194" s="8" t="inlineStr">
        <is>
          <t xml:space="preserve">            is_qualified, feedback = self.inspect(current_task)</t>
        </is>
      </c>
    </row>
    <row r="195">
      <c r="A195" s="9" t="n">
        <v>192</v>
      </c>
      <c r="B195" s="10" t="inlineStr"/>
    </row>
    <row r="196">
      <c r="A196" s="7" t="n">
        <v>193</v>
      </c>
      <c r="B196" s="8" t="inlineStr">
        <is>
          <t xml:space="preserve">            if is_qualified:</t>
        </is>
      </c>
    </row>
    <row r="197">
      <c r="A197" s="9" t="n">
        <v>194</v>
      </c>
      <c r="B197" s="10" t="inlineStr">
        <is>
          <t xml:space="preserve">                # ✅ 合格 → 最终合成输出</t>
        </is>
      </c>
    </row>
    <row r="198">
      <c r="A198" s="7" t="n">
        <v>195</v>
      </c>
      <c r="B198" s="8" t="inlineStr">
        <is>
          <t xml:space="preserve">                final = self._synthesize_final_video(current_task)</t>
        </is>
      </c>
    </row>
    <row r="199">
      <c r="A199" s="9" t="n">
        <v>196</v>
      </c>
      <c r="B199" s="10" t="inlineStr">
        <is>
          <t xml:space="preserve">                _log.info("═══ 质检流程完成: 合格输出 ═══")</t>
        </is>
      </c>
    </row>
    <row r="200">
      <c r="A200" s="7" t="n">
        <v>197</v>
      </c>
      <c r="B200" s="8" t="inlineStr">
        <is>
          <t xml:space="preserve">                return final</t>
        </is>
      </c>
    </row>
    <row r="201">
      <c r="A201" s="9" t="n">
        <v>198</v>
      </c>
      <c r="B201" s="10" t="inlineStr">
        <is>
          <t xml:space="preserve">            else:</t>
        </is>
      </c>
    </row>
    <row r="202">
      <c r="A202" s="7" t="n">
        <v>199</v>
      </c>
      <c r="B202" s="8" t="inlineStr">
        <is>
          <t xml:space="preserve">                retry_count += 1</t>
        </is>
      </c>
    </row>
    <row r="203">
      <c r="A203" s="9" t="n">
        <v>200</v>
      </c>
      <c r="B203" s="10" t="inlineStr">
        <is>
          <t xml:space="preserve">                _log.warning(f"质检不合格 (第{retry_count}次): {feedback}")</t>
        </is>
      </c>
    </row>
    <row r="204">
      <c r="A204" s="7" t="n">
        <v>201</v>
      </c>
      <c r="B204" s="8" t="inlineStr"/>
    </row>
    <row r="205">
      <c r="A205" s="9" t="n">
        <v>202</v>
      </c>
      <c r="B205" s="10" t="inlineStr">
        <is>
          <t xml:space="preserve">                if retry_count &gt; max_retry:</t>
        </is>
      </c>
    </row>
    <row r="206">
      <c r="A206" s="7" t="n">
        <v>203</v>
      </c>
      <c r="B206" s="8" t="inlineStr">
        <is>
          <t xml:space="preserve">                    # 🔴 超限 → 转人工队列</t>
        </is>
      </c>
    </row>
    <row r="207">
      <c r="A207" s="9" t="n">
        <v>204</v>
      </c>
      <c r="B207" s="10" t="inlineStr">
        <is>
          <t xml:space="preserve">                    self._enqueue_human_review(current_task, feedback, retry_count)</t>
        </is>
      </c>
    </row>
    <row r="208">
      <c r="A208" s="7" t="n">
        <v>205</v>
      </c>
      <c r="B208" s="8" t="inlineStr">
        <is>
          <t xml:space="preserve">                    _log.error(f"重试{max_retry}次后仍不合格，已转入人工审核队列")</t>
        </is>
      </c>
    </row>
    <row r="209">
      <c r="A209" s="9" t="n">
        <v>206</v>
      </c>
      <c r="B209" s="10" t="inlineStr">
        <is>
          <t xml:space="preserve">                    return current_task</t>
        </is>
      </c>
    </row>
    <row r="210">
      <c r="A210" s="7" t="n">
        <v>207</v>
      </c>
      <c r="B210" s="8" t="inlineStr"/>
    </row>
    <row r="211">
      <c r="A211" s="9" t="n">
        <v>208</v>
      </c>
      <c r="B211" s="10" t="inlineStr">
        <is>
          <t xml:space="preserve">                # 🔄 回流重调度</t>
        </is>
      </c>
    </row>
    <row r="212">
      <c r="A212" s="7" t="n">
        <v>209</v>
      </c>
      <c r="B212" s="8" t="inlineStr">
        <is>
          <t xml:space="preserve">                try:</t>
        </is>
      </c>
    </row>
    <row r="213">
      <c r="A213" s="9" t="n">
        <v>210</v>
      </c>
      <c r="B213" s="10" t="inlineStr">
        <is>
          <t xml:space="preserve">                    from core.smart_orchestrator import get_orchestrator</t>
        </is>
      </c>
    </row>
    <row r="214">
      <c r="A214" s="7" t="n">
        <v>211</v>
      </c>
      <c r="B214" s="8" t="inlineStr">
        <is>
          <t xml:space="preserve">                    orch = get_orchestrator()</t>
        </is>
      </c>
    </row>
    <row r="215">
      <c r="A215" s="9" t="n">
        <v>212</v>
      </c>
      <c r="B215" s="10" t="inlineStr">
        <is>
          <t xml:space="preserve">                    new_task = orch.reschedule_after_fail(</t>
        </is>
      </c>
    </row>
    <row r="216">
      <c r="A216" s="7" t="n">
        <v>213</v>
      </c>
      <c r="B216" s="8" t="inlineStr">
        <is>
          <t xml:space="preserve">                        current_task, feedback, retry_count</t>
        </is>
      </c>
    </row>
    <row r="217">
      <c r="A217" s="9" t="n">
        <v>214</v>
      </c>
      <c r="B217" s="10" t="inlineStr">
        <is>
          <t xml:space="preserve">                    )</t>
        </is>
      </c>
    </row>
    <row r="218">
      <c r="A218" s="7" t="n">
        <v>215</v>
      </c>
      <c r="B218" s="8" t="inlineStr">
        <is>
          <t xml:space="preserve">                    if new_task:</t>
        </is>
      </c>
    </row>
    <row r="219">
      <c r="A219" s="9" t="n">
        <v>216</v>
      </c>
      <c r="B219" s="10" t="inlineStr">
        <is>
          <t xml:space="preserve">                        current_task = new_task</t>
        </is>
      </c>
    </row>
    <row r="220">
      <c r="A220" s="7" t="n">
        <v>217</v>
      </c>
      <c r="B220" s="8" t="inlineStr">
        <is>
          <t xml:space="preserve">                except ImportError:</t>
        </is>
      </c>
    </row>
    <row r="221">
      <c r="A221" s="9" t="n">
        <v>218</v>
      </c>
      <c r="B221" s="10" t="inlineStr">
        <is>
          <t xml:space="preserve">                    # 无 SmartOrchestrator 时简易重试</t>
        </is>
      </c>
    </row>
    <row r="222">
      <c r="A222" s="7" t="n">
        <v>219</v>
      </c>
      <c r="B222" s="8" t="inlineStr">
        <is>
          <t xml:space="preserve">                    pass</t>
        </is>
      </c>
    </row>
    <row r="223">
      <c r="A223" s="9" t="n">
        <v>220</v>
      </c>
      <c r="B223" s="10" t="inlineStr"/>
    </row>
    <row r="224">
      <c r="A224" s="7" t="n">
        <v>221</v>
      </c>
      <c r="B224" s="8" t="inlineStr">
        <is>
          <t xml:space="preserve">        return current_task</t>
        </is>
      </c>
    </row>
    <row r="225">
      <c r="A225" s="9" t="n">
        <v>222</v>
      </c>
      <c r="B225" s="10" t="inlineStr"/>
    </row>
    <row r="226">
      <c r="A226" s="7" t="n">
        <v>223</v>
      </c>
      <c r="B226" s="8" t="inlineStr">
        <is>
          <t xml:space="preserve">    def _synthesize_final_video(self, task: Dict) -&gt; Dict:</t>
        </is>
      </c>
    </row>
    <row r="227">
      <c r="A227" s="9" t="n">
        <v>224</v>
      </c>
      <c r="B227" s="10" t="inlineStr">
        <is>
          <t xml:space="preserve">        """执行最终视频合成 — 对接 pipeline.py"""</t>
        </is>
      </c>
    </row>
    <row r="228">
      <c r="A228" s="7" t="n">
        <v>225</v>
      </c>
      <c r="B228" s="8" t="inlineStr">
        <is>
          <t xml:space="preserve">        _log.info("执行最终视频合成...")</t>
        </is>
      </c>
    </row>
    <row r="229">
      <c r="A229" s="9" t="n">
        <v>226</v>
      </c>
      <c r="B229" s="10" t="inlineStr">
        <is>
          <t xml:space="preserve">        try:</t>
        </is>
      </c>
    </row>
    <row r="230">
      <c r="A230" s="7" t="n">
        <v>227</v>
      </c>
      <c r="B230" s="8" t="inlineStr">
        <is>
          <t xml:space="preserve">            from core.pipeline import run</t>
        </is>
      </c>
    </row>
    <row r="231">
      <c r="A231" s="9" t="n">
        <v>228</v>
      </c>
      <c r="B231" s="10" t="inlineStr">
        <is>
          <t xml:space="preserve">            result = run(</t>
        </is>
      </c>
    </row>
    <row r="232">
      <c r="A232" s="7" t="n">
        <v>229</v>
      </c>
      <c r="B232" s="8" t="inlineStr">
        <is>
          <t xml:space="preserve">                keyword=task.get("keyword", "auto"),</t>
        </is>
      </c>
    </row>
    <row r="233">
      <c r="A233" s="9" t="n">
        <v>230</v>
      </c>
      <c r="B233" s="10" t="inlineStr">
        <is>
          <t xml:space="preserve">                copy_text_override=task.get("copy_text"),</t>
        </is>
      </c>
    </row>
    <row r="234">
      <c r="A234" s="7" t="n">
        <v>231</v>
      </c>
      <c r="B234" s="8" t="inlineStr">
        <is>
          <t xml:space="preserve">            )</t>
        </is>
      </c>
    </row>
    <row r="235">
      <c r="A235" s="9" t="n">
        <v>232</v>
      </c>
      <c r="B235" s="10" t="inlineStr">
        <is>
          <t xml:space="preserve">            if result and isinstance(result, dict):</t>
        </is>
      </c>
    </row>
    <row r="236">
      <c r="A236" s="7" t="n">
        <v>233</v>
      </c>
      <c r="B236" s="8" t="inlineStr">
        <is>
          <t xml:space="preserve">                return {</t>
        </is>
      </c>
    </row>
    <row r="237">
      <c r="A237" s="9" t="n">
        <v>234</v>
      </c>
      <c r="B237" s="10" t="inlineStr">
        <is>
          <t xml:space="preserve">                    "status": "success",</t>
        </is>
      </c>
    </row>
    <row r="238">
      <c r="A238" s="7" t="n">
        <v>235</v>
      </c>
      <c r="B238" s="8" t="inlineStr">
        <is>
          <t xml:space="preserve">                    "draft_dir": result.get("draft_dir", ""),</t>
        </is>
      </c>
    </row>
    <row r="239">
      <c r="A239" s="9" t="n">
        <v>236</v>
      </c>
      <c r="B239" s="10" t="inlineStr">
        <is>
          <t xml:space="preserve">                    "materials": task.get("materials", {}),</t>
        </is>
      </c>
    </row>
    <row r="240">
      <c r="A240" s="7" t="n">
        <v>237</v>
      </c>
      <c r="B240" s="8" t="inlineStr">
        <is>
          <t xml:space="preserve">                    "output_spec": task.get("output_spec", "1080x1920 30fps"),</t>
        </is>
      </c>
    </row>
    <row r="241">
      <c r="A241" s="9" t="n">
        <v>238</v>
      </c>
      <c r="B241" s="10" t="inlineStr">
        <is>
          <t xml:space="preserve">                }</t>
        </is>
      </c>
    </row>
    <row r="242">
      <c r="A242" s="7" t="n">
        <v>239</v>
      </c>
      <c r="B242" s="8" t="inlineStr">
        <is>
          <t xml:space="preserve">        except Exception as e:</t>
        </is>
      </c>
    </row>
    <row r="243">
      <c r="A243" s="9" t="n">
        <v>240</v>
      </c>
      <c r="B243" s="10" t="inlineStr">
        <is>
          <t xml:space="preserve">            _log.error(f"合成异常: {e}")</t>
        </is>
      </c>
    </row>
    <row r="244">
      <c r="A244" s="7" t="n">
        <v>241</v>
      </c>
      <c r="B244" s="8" t="inlineStr"/>
    </row>
    <row r="245">
      <c r="A245" s="9" t="n">
        <v>242</v>
      </c>
      <c r="B245" s="10" t="inlineStr">
        <is>
          <t xml:space="preserve">        return {</t>
        </is>
      </c>
    </row>
    <row r="246">
      <c r="A246" s="7" t="n">
        <v>243</v>
      </c>
      <c r="B246" s="8" t="inlineStr">
        <is>
          <t xml:space="preserve">            "status": "completed",</t>
        </is>
      </c>
    </row>
    <row r="247">
      <c r="A247" s="9" t="n">
        <v>244</v>
      </c>
      <c r="B247" s="10" t="inlineStr">
        <is>
          <t xml:space="preserve">            "materials": task.get("materials", {}),</t>
        </is>
      </c>
    </row>
    <row r="248">
      <c r="A248" s="7" t="n">
        <v>245</v>
      </c>
      <c r="B248" s="8" t="inlineStr">
        <is>
          <t xml:space="preserve">            "output_spec": task.get("output_spec", "1080x1920 30fps"),</t>
        </is>
      </c>
    </row>
    <row r="249">
      <c r="A249" s="9" t="n">
        <v>246</v>
      </c>
      <c r="B249" s="10" t="inlineStr">
        <is>
          <t xml:space="preserve">        }</t>
        </is>
      </c>
    </row>
    <row r="250">
      <c r="A250" s="7" t="n">
        <v>247</v>
      </c>
      <c r="B250" s="8" t="inlineStr"/>
    </row>
    <row r="251">
      <c r="A251" s="9" t="n">
        <v>248</v>
      </c>
      <c r="B251" s="10" t="inlineStr">
        <is>
          <t xml:space="preserve">    def _enqueue_human_review(self, task: Dict, reason: str, retry_count: int):</t>
        </is>
      </c>
    </row>
    <row r="252">
      <c r="A252" s="7" t="n">
        <v>249</v>
      </c>
      <c r="B252" s="8" t="inlineStr">
        <is>
          <t xml:space="preserve">        """重试耗尽 → 转人工审核队列"""</t>
        </is>
      </c>
    </row>
    <row r="253">
      <c r="A253" s="9" t="n">
        <v>250</v>
      </c>
      <c r="B253" s="10" t="inlineStr">
        <is>
          <t xml:space="preserve">        try:</t>
        </is>
      </c>
    </row>
    <row r="254">
      <c r="A254" s="7" t="n">
        <v>251</v>
      </c>
      <c r="B254" s="8" t="inlineStr">
        <is>
          <t xml:space="preserve">            from core.review_queue import get_review_queue</t>
        </is>
      </c>
    </row>
    <row r="255">
      <c r="A255" s="9" t="n">
        <v>252</v>
      </c>
      <c r="B255" s="10" t="inlineStr">
        <is>
          <t xml:space="preserve">            rq = get_review_queue()</t>
        </is>
      </c>
    </row>
    <row r="256">
      <c r="A256" s="7" t="n">
        <v>253</v>
      </c>
      <c r="B256" s="8" t="inlineStr">
        <is>
          <t xml:space="preserve">            rq.submit(</t>
        </is>
      </c>
    </row>
    <row r="257">
      <c r="A257" s="9" t="n">
        <v>254</v>
      </c>
      <c r="B257" s="10" t="inlineStr">
        <is>
          <t xml:space="preserve">                rule_type="generation_failed",</t>
        </is>
      </c>
    </row>
    <row r="258">
      <c r="A258" s="7" t="n">
        <v>255</v>
      </c>
      <c r="B258" s="8" t="inlineStr">
        <is>
          <t xml:space="preserve">                content={</t>
        </is>
      </c>
    </row>
    <row r="259">
      <c r="A259" s="9" t="n">
        <v>256</v>
      </c>
      <c r="B259" s="10" t="inlineStr">
        <is>
          <t xml:space="preserve">                    "keyword": task.get("keyword", "unknown"),</t>
        </is>
      </c>
    </row>
    <row r="260">
      <c r="A260" s="7" t="n">
        <v>257</v>
      </c>
      <c r="B260" s="8" t="inlineStr">
        <is>
          <t xml:space="preserve">                    "fail_reason": reason,</t>
        </is>
      </c>
    </row>
    <row r="261">
      <c r="A261" s="9" t="n">
        <v>258</v>
      </c>
      <c r="B261" s="10" t="inlineStr">
        <is>
          <t xml:space="preserve">                    "retry_count": retry_count,</t>
        </is>
      </c>
    </row>
    <row r="262">
      <c r="A262" s="7" t="n">
        <v>259</v>
      </c>
      <c r="B262" s="8" t="inlineStr">
        <is>
          <t xml:space="preserve">                    "params_snapshot": task.get("rules", {}),</t>
        </is>
      </c>
    </row>
    <row r="263">
      <c r="A263" s="9" t="n">
        <v>260</v>
      </c>
      <c r="B263" s="10" t="inlineStr">
        <is>
          <t xml:space="preserve">                },</t>
        </is>
      </c>
    </row>
    <row r="264">
      <c r="A264" s="7" t="n">
        <v>261</v>
      </c>
      <c r="B264" s="8" t="inlineStr">
        <is>
          <t xml:space="preserve">                source="QualityCenter",</t>
        </is>
      </c>
    </row>
    <row r="265">
      <c r="A265" s="9" t="n">
        <v>262</v>
      </c>
      <c r="B265" s="10" t="inlineStr">
        <is>
          <t xml:space="preserve">                confidence=0.3,</t>
        </is>
      </c>
    </row>
    <row r="266">
      <c r="A266" s="7" t="n">
        <v>263</v>
      </c>
      <c r="B266" s="8" t="inlineStr">
        <is>
          <t xml:space="preserve">            )</t>
        </is>
      </c>
    </row>
    <row r="267">
      <c r="A267" s="9" t="n">
        <v>264</v>
      </c>
      <c r="B267" s="10" t="inlineStr">
        <is>
          <t xml:space="preserve">            _log.info(f"已转入人工审核队列: keyword={task.get('keyword')}")</t>
        </is>
      </c>
    </row>
    <row r="268">
      <c r="A268" s="7" t="n">
        <v>265</v>
      </c>
      <c r="B268" s="8" t="inlineStr"/>
    </row>
    <row r="269">
      <c r="A269" s="9" t="n">
        <v>266</v>
      </c>
      <c r="B269" s="10" t="inlineStr">
        <is>
          <t xml:space="preserve">            # EventBus 通知UI</t>
        </is>
      </c>
    </row>
    <row r="270">
      <c r="A270" s="7" t="n">
        <v>267</v>
      </c>
      <c r="B270" s="8" t="inlineStr">
        <is>
          <t xml:space="preserve">            try:</t>
        </is>
      </c>
    </row>
    <row r="271">
      <c r="A271" s="9" t="n">
        <v>268</v>
      </c>
      <c r="B271" s="10" t="inlineStr">
        <is>
          <t xml:space="preserve">                from core.event_bus import get_bus, Events</t>
        </is>
      </c>
    </row>
    <row r="272">
      <c r="A272" s="7" t="n">
        <v>269</v>
      </c>
      <c r="B272" s="8" t="inlineStr">
        <is>
          <t xml:space="preserve">                get_bus().publish_async(Events.REVIEW_PENDING, {</t>
        </is>
      </c>
    </row>
    <row r="273">
      <c r="A273" s="9" t="n">
        <v>270</v>
      </c>
      <c r="B273" s="10" t="inlineStr">
        <is>
          <t xml:space="preserve">                    "type": "quality_failed",</t>
        </is>
      </c>
    </row>
    <row r="274">
      <c r="A274" s="7" t="n">
        <v>271</v>
      </c>
      <c r="B274" s="8" t="inlineStr">
        <is>
          <t xml:space="preserve">                    "keyword": task.get("keyword"),</t>
        </is>
      </c>
    </row>
    <row r="275">
      <c r="A275" s="9" t="n">
        <v>272</v>
      </c>
      <c r="B275" s="10" t="inlineStr">
        <is>
          <t xml:space="preserve">                    "count": rq.pending_count(),</t>
        </is>
      </c>
    </row>
    <row r="276">
      <c r="A276" s="7" t="n">
        <v>273</v>
      </c>
      <c r="B276" s="8" t="inlineStr">
        <is>
          <t xml:space="preserve">                })</t>
        </is>
      </c>
    </row>
    <row r="277">
      <c r="A277" s="9" t="n">
        <v>274</v>
      </c>
      <c r="B277" s="10" t="inlineStr">
        <is>
          <t xml:space="preserve">            except Exception:</t>
        </is>
      </c>
    </row>
    <row r="278">
      <c r="A278" s="7" t="n">
        <v>275</v>
      </c>
      <c r="B278" s="8" t="inlineStr">
        <is>
          <t xml:space="preserve">                pass</t>
        </is>
      </c>
    </row>
    <row r="279">
      <c r="A279" s="9" t="n">
        <v>276</v>
      </c>
      <c r="B279" s="10" t="inlineStr">
        <is>
          <t xml:space="preserve">        except ImportError:</t>
        </is>
      </c>
    </row>
    <row r="280">
      <c r="A280" s="7" t="n">
        <v>277</v>
      </c>
      <c r="B280" s="8" t="inlineStr">
        <is>
          <t xml:space="preserve">            _log.warning("review_queue 模塊未載入，無法轉入人工隊列")</t>
        </is>
      </c>
    </row>
    <row r="281">
      <c r="A281" s="9" t="n">
        <v>278</v>
      </c>
      <c r="B281" s="10" t="inlineStr">
        <is>
          <t xml:space="preserve">        except Exception as e:</t>
        </is>
      </c>
    </row>
    <row r="282">
      <c r="A282" s="7" t="n">
        <v>279</v>
      </c>
      <c r="B282" s="8" t="inlineStr">
        <is>
          <t xml:space="preserve">            _log.error(f"轉入人工隊列異常: {e}")</t>
        </is>
      </c>
    </row>
    <row r="283">
      <c r="A283" s="9" t="n">
        <v>280</v>
      </c>
      <c r="B283" s="10" t="inlineStr"/>
    </row>
    <row r="284">
      <c r="A284" s="7" t="n">
        <v>281</v>
      </c>
      <c r="B284" s="8" t="inlineStr">
        <is>
          <t xml:space="preserve">    # ═══════════════ 统计 ═══════════════</t>
        </is>
      </c>
    </row>
    <row r="285">
      <c r="A285" s="9" t="n">
        <v>282</v>
      </c>
      <c r="B285" s="10" t="inlineStr">
        <is>
          <t xml:space="preserve">    def get_stats(self) -&gt; Dict:</t>
        </is>
      </c>
    </row>
    <row r="286">
      <c r="A286" s="7" t="n">
        <v>283</v>
      </c>
      <c r="B286" s="8" t="inlineStr">
        <is>
          <t xml:space="preserve">        return dict(self._stats)</t>
        </is>
      </c>
    </row>
    <row r="287">
      <c r="A287" s="9" t="n">
        <v>284</v>
      </c>
      <c r="B287" s="10" t="inlineStr"/>
    </row>
    <row r="288">
      <c r="A288" s="7" t="n">
        <v>285</v>
      </c>
      <c r="B288" s="8" t="inlineStr"/>
    </row>
    <row r="289">
      <c r="A289" s="9" t="n">
        <v>286</v>
      </c>
      <c r="B289" s="10" t="inlineStr">
        <is>
          <t># ── 全局单例 ──────────────────────────────────────────</t>
        </is>
      </c>
    </row>
    <row r="290">
      <c r="A290" s="7" t="n">
        <v>287</v>
      </c>
      <c r="B290" s="8" t="inlineStr">
        <is>
          <t>_quality_center: Optional[QualityCenter] = None</t>
        </is>
      </c>
    </row>
    <row r="291">
      <c r="A291" s="9" t="n">
        <v>288</v>
      </c>
      <c r="B291" s="10" t="inlineStr"/>
    </row>
    <row r="292">
      <c r="A292" s="7" t="n">
        <v>289</v>
      </c>
      <c r="B292" s="8" t="inlineStr">
        <is>
          <t>def get_quality_center() -&gt; QualityCenter:</t>
        </is>
      </c>
    </row>
    <row r="293">
      <c r="A293" s="9" t="n">
        <v>290</v>
      </c>
      <c r="B293" s="10" t="inlineStr">
        <is>
          <t xml:space="preserve">    """获取全局质检中心单例"""</t>
        </is>
      </c>
    </row>
    <row r="294">
      <c r="A294" s="7" t="n">
        <v>291</v>
      </c>
      <c r="B294" s="8" t="inlineStr">
        <is>
          <t xml:space="preserve">    global _quality_center</t>
        </is>
      </c>
    </row>
    <row r="295">
      <c r="A295" s="9" t="n">
        <v>292</v>
      </c>
      <c r="B295" s="10" t="inlineStr">
        <is>
          <t xml:space="preserve">    if _quality_center is None:</t>
        </is>
      </c>
    </row>
    <row r="296">
      <c r="A296" s="7" t="n">
        <v>293</v>
      </c>
      <c r="B296" s="8" t="inlineStr">
        <is>
          <t xml:space="preserve">        _quality_center = QualityCenter()</t>
        </is>
      </c>
    </row>
    <row r="297">
      <c r="A297" s="9" t="n">
        <v>294</v>
      </c>
      <c r="B297" s="10" t="inlineStr">
        <is>
          <t xml:space="preserve">    return _quality_center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core\retry_scheduler.py</t>
        </is>
      </c>
      <c r="C1" s="5" t="inlineStr">
        <is>
          <t>行数: 333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重试调度器 (RetryScheduler) v1.0</t>
        </is>
      </c>
    </row>
    <row r="6">
      <c r="A6" s="7" t="n">
        <v>3</v>
      </c>
      <c r="B6" s="8">
        <f>========================================</f>
        <v/>
      </c>
    </row>
    <row r="7">
      <c r="A7" s="9" t="n">
        <v>4</v>
      </c>
      <c r="B7" s="10" t="inlineStr">
        <is>
          <t>质检不合格的视频自动调整参数重试，最多3次后转人工队列。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用法:</t>
        </is>
      </c>
    </row>
    <row r="10">
      <c r="A10" s="7" t="n">
        <v>7</v>
      </c>
      <c r="B10" s="8" t="inlineStr">
        <is>
          <t xml:space="preserve">    from core.retry_scheduler import get_retry_scheduler</t>
        </is>
      </c>
    </row>
    <row r="11">
      <c r="A11" s="9" t="n">
        <v>8</v>
      </c>
      <c r="B11" s="10" t="inlineStr">
        <is>
          <t xml:space="preserve">    rs = get_retry_scheduler()</t>
        </is>
      </c>
    </row>
    <row r="12">
      <c r="A12" s="7" t="n">
        <v>9</v>
      </c>
      <c r="B12" s="8" t="inlineStr">
        <is>
          <t xml:space="preserve">    adjusted = rs.schedule_retry("岛台", original_params, "material_mismatch", 0.45)</t>
        </is>
      </c>
    </row>
    <row r="13">
      <c r="A13" s="9" t="n">
        <v>10</v>
      </c>
      <c r="B13" s="10" t="inlineStr">
        <is>
          <t xml:space="preserve">    if adjusted:</t>
        </is>
      </c>
    </row>
    <row r="14">
      <c r="A14" s="7" t="n">
        <v>11</v>
      </c>
      <c r="B14" s="8" t="inlineStr">
        <is>
          <t xml:space="preserve">        pipeline.run(**adjusted)  # 用新参数重试</t>
        </is>
      </c>
    </row>
    <row r="15">
      <c r="A15" s="9" t="n">
        <v>12</v>
      </c>
      <c r="B15" s="10" t="inlineStr">
        <is>
          <t xml:space="preserve">    else:</t>
        </is>
      </c>
    </row>
    <row r="16">
      <c r="A16" s="7" t="n">
        <v>13</v>
      </c>
      <c r="B16" s="8" t="inlineStr">
        <is>
          <t xml:space="preserve">        print("已转入人工审核队列")</t>
        </is>
      </c>
    </row>
    <row r="17">
      <c r="A17" s="9" t="n">
        <v>14</v>
      </c>
      <c r="B17" s="10" t="inlineStr">
        <is>
          <t>"""</t>
        </is>
      </c>
    </row>
    <row r="18">
      <c r="A18" s="7" t="n">
        <v>15</v>
      </c>
      <c r="B18" s="8" t="inlineStr">
        <is>
          <t>import sqlite3</t>
        </is>
      </c>
    </row>
    <row r="19">
      <c r="A19" s="9" t="n">
        <v>16</v>
      </c>
      <c r="B19" s="10" t="inlineStr">
        <is>
          <t>import json</t>
        </is>
      </c>
    </row>
    <row r="20">
      <c r="A20" s="7" t="n">
        <v>17</v>
      </c>
      <c r="B20" s="8" t="inlineStr">
        <is>
          <t>import threading</t>
        </is>
      </c>
    </row>
    <row r="21">
      <c r="A21" s="9" t="n">
        <v>18</v>
      </c>
      <c r="B21" s="10" t="inlineStr">
        <is>
          <t>import logging</t>
        </is>
      </c>
    </row>
    <row r="22">
      <c r="A22" s="7" t="n">
        <v>19</v>
      </c>
      <c r="B22" s="8" t="inlineStr">
        <is>
          <t>from pathlib import Path</t>
        </is>
      </c>
    </row>
    <row r="23">
      <c r="A23" s="9" t="n">
        <v>20</v>
      </c>
      <c r="B23" s="10" t="inlineStr">
        <is>
          <t>from datetime import datetime</t>
        </is>
      </c>
    </row>
    <row r="24">
      <c r="A24" s="7" t="n">
        <v>21</v>
      </c>
      <c r="B24" s="8" t="inlineStr">
        <is>
          <t>from enum import Enum</t>
        </is>
      </c>
    </row>
    <row r="25">
      <c r="A25" s="9" t="n">
        <v>22</v>
      </c>
      <c r="B25" s="10" t="inlineStr">
        <is>
          <t>from typing import Optional, Dict, Any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logger = logging.getLogger("RetryScheduler")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>PROJECT_ROOT = Path(__file__).parent.parent</t>
        </is>
      </c>
    </row>
    <row r="30">
      <c r="A30" s="7" t="n">
        <v>27</v>
      </c>
      <c r="B30" s="8" t="inlineStr">
        <is>
          <t>DB_PATH = PROJECT_ROOT / "ai_material_library.db"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>MAX_RETRIES = 3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/>
    </row>
    <row r="35">
      <c r="A35" s="9" t="n">
        <v>32</v>
      </c>
      <c r="B35" s="10" t="inlineStr">
        <is>
          <t>class FailReason(str, Enum):</t>
        </is>
      </c>
    </row>
    <row r="36">
      <c r="A36" s="7" t="n">
        <v>33</v>
      </c>
      <c r="B36" s="8" t="inlineStr">
        <is>
          <t xml:space="preserve">    """质检不合格原因分类"""</t>
        </is>
      </c>
    </row>
    <row r="37">
      <c r="A37" s="9" t="n">
        <v>34</v>
      </c>
      <c r="B37" s="10" t="inlineStr">
        <is>
          <t xml:space="preserve">    LOW_SCORE         = "low_score"           # 综合分数低</t>
        </is>
      </c>
    </row>
    <row r="38">
      <c r="A38" s="7" t="n">
        <v>35</v>
      </c>
      <c r="B38" s="8" t="inlineStr">
        <is>
          <t xml:space="preserve">    MATERIAL_MISMATCH = "material_mismatch"   # 素材不匹配</t>
        </is>
      </c>
    </row>
    <row r="39">
      <c r="A39" s="9" t="n">
        <v>36</v>
      </c>
      <c r="B39" s="10" t="inlineStr">
        <is>
          <t xml:space="preserve">    TTS_ERROR         = "tts_error"           # 配音问题</t>
        </is>
      </c>
    </row>
    <row r="40">
      <c r="A40" s="7" t="n">
        <v>37</v>
      </c>
      <c r="B40" s="8" t="inlineStr">
        <is>
          <t xml:space="preserve">    SCRIPT_WEAK       = "script_weak"         # 文案弱</t>
        </is>
      </c>
    </row>
    <row r="41">
      <c r="A41" s="9" t="n">
        <v>38</v>
      </c>
      <c r="B41" s="10" t="inlineStr">
        <is>
          <t xml:space="preserve">    BGM_WRONG         = "bgm_wrong"           # BGM不合适</t>
        </is>
      </c>
    </row>
    <row r="42">
      <c r="A42" s="7" t="n">
        <v>39</v>
      </c>
      <c r="B42" s="8" t="inlineStr">
        <is>
          <t xml:space="preserve">    NO_CLIPS_FOUND    = "no_clips_found"      # 无可用素材</t>
        </is>
      </c>
    </row>
    <row r="43">
      <c r="A43" s="9" t="n">
        <v>40</v>
      </c>
      <c r="B43" s="10" t="inlineStr">
        <is>
          <t xml:space="preserve">    UNKNOWN           = "unknown"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/>
    </row>
    <row r="46">
      <c r="A46" s="7" t="n">
        <v>43</v>
      </c>
      <c r="B46" s="8" t="inlineStr">
        <is>
          <t>class RetryScheduler:</t>
        </is>
      </c>
    </row>
    <row r="47">
      <c r="A47" s="9" t="n">
        <v>44</v>
      </c>
      <c r="B47" s="10" t="inlineStr">
        <is>
          <t xml:space="preserve">    """</t>
        </is>
      </c>
    </row>
    <row r="48">
      <c r="A48" s="7" t="n">
        <v>45</v>
      </c>
      <c r="B48" s="8" t="inlineStr">
        <is>
          <t xml:space="preserve">    质检失败 → 重试调度器。</t>
        </is>
      </c>
    </row>
    <row r="49">
      <c r="A49" s="9" t="n">
        <v>46</v>
      </c>
      <c r="B49" s="10" t="inlineStr">
        <is>
          <t xml:space="preserve">    最多自动重试3次，每次根据失败原因智能调整参数。</t>
        </is>
      </c>
    </row>
    <row r="50">
      <c r="A50" s="7" t="n">
        <v>47</v>
      </c>
      <c r="B50" s="8" t="inlineStr">
        <is>
          <t xml:space="preserve">    3次后转 human_review_queue 等待人工处理。</t>
        </is>
      </c>
    </row>
    <row r="51">
      <c r="A51" s="9" t="n">
        <v>48</v>
      </c>
      <c r="B51" s="10" t="inlineStr">
        <is>
          <t xml:space="preserve">    """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>
        <is>
          <t xml:space="preserve">    _instance: Optional["RetryScheduler"] = None</t>
        </is>
      </c>
    </row>
    <row r="54">
      <c r="A54" s="7" t="n">
        <v>51</v>
      </c>
      <c r="B54" s="8" t="inlineStr">
        <is>
          <t xml:space="preserve">    _instance_lock = threading.Lock()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def __new__(cls):</t>
        </is>
      </c>
    </row>
    <row r="57">
      <c r="A57" s="9" t="n">
        <v>54</v>
      </c>
      <c r="B57" s="10" t="inlineStr">
        <is>
          <t xml:space="preserve">        if cls._instance is None:</t>
        </is>
      </c>
    </row>
    <row r="58">
      <c r="A58" s="7" t="n">
        <v>55</v>
      </c>
      <c r="B58" s="8" t="inlineStr">
        <is>
          <t xml:space="preserve">            with cls._instance_lock:</t>
        </is>
      </c>
    </row>
    <row r="59">
      <c r="A59" s="9" t="n">
        <v>56</v>
      </c>
      <c r="B59" s="10" t="inlineStr">
        <is>
          <t xml:space="preserve">                if cls._instance is None:</t>
        </is>
      </c>
    </row>
    <row r="60">
      <c r="A60" s="7" t="n">
        <v>57</v>
      </c>
      <c r="B60" s="8" t="inlineStr">
        <is>
          <t xml:space="preserve">                    obj = super().__new__(cls)</t>
        </is>
      </c>
    </row>
    <row r="61">
      <c r="A61" s="9" t="n">
        <v>58</v>
      </c>
      <c r="B61" s="10" t="inlineStr">
        <is>
          <t xml:space="preserve">                    obj._lock = threading.Lock()</t>
        </is>
      </c>
    </row>
    <row r="62">
      <c r="A62" s="7" t="n">
        <v>59</v>
      </c>
      <c r="B62" s="8" t="inlineStr">
        <is>
          <t xml:space="preserve">                    obj._ensure_tables()</t>
        </is>
      </c>
    </row>
    <row r="63">
      <c r="A63" s="9" t="n">
        <v>60</v>
      </c>
      <c r="B63" s="10" t="inlineStr">
        <is>
          <t xml:space="preserve">                    cls._instance = obj</t>
        </is>
      </c>
    </row>
    <row r="64">
      <c r="A64" s="7" t="n">
        <v>61</v>
      </c>
      <c r="B64" s="8" t="inlineStr">
        <is>
          <t xml:space="preserve">        return cls._instance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 xml:space="preserve">    def _ensure_tables(self):</t>
        </is>
      </c>
    </row>
    <row r="67">
      <c r="A67" s="9" t="n">
        <v>64</v>
      </c>
      <c r="B67" s="10" t="inlineStr">
        <is>
          <t xml:space="preserve">        """创建重试相关表"""</t>
        </is>
      </c>
    </row>
    <row r="68">
      <c r="A68" s="7" t="n">
        <v>65</v>
      </c>
      <c r="B68" s="8" t="inlineStr">
        <is>
          <t xml:space="preserve">        try:</t>
        </is>
      </c>
    </row>
    <row r="69">
      <c r="A69" s="9" t="n">
        <v>66</v>
      </c>
      <c r="B69" s="10" t="inlineStr">
        <is>
          <t xml:space="preserve">            with sqlite3.connect(str(DB_PATH)) as conn:</t>
        </is>
      </c>
    </row>
    <row r="70">
      <c r="A70" s="7" t="n">
        <v>67</v>
      </c>
      <c r="B70" s="8" t="inlineStr">
        <is>
          <t xml:space="preserve">                conn.executescript("""</t>
        </is>
      </c>
    </row>
    <row r="71">
      <c r="A71" s="9" t="n">
        <v>68</v>
      </c>
      <c r="B71" s="10" t="inlineStr">
        <is>
          <t xml:space="preserve">                    PRAGMA journal_mode=WAL;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                CREATE TABLE IF NOT EXISTS retry_queue (</t>
        </is>
      </c>
    </row>
    <row r="74">
      <c r="A74" s="7" t="n">
        <v>71</v>
      </c>
      <c r="B74" s="8" t="inlineStr">
        <is>
          <t xml:space="preserve">                        id INTEGER PRIMARY KEY AUTOINCREMENT,</t>
        </is>
      </c>
    </row>
    <row r="75">
      <c r="A75" s="9" t="n">
        <v>72</v>
      </c>
      <c r="B75" s="10" t="inlineStr">
        <is>
          <t xml:space="preserve">                        keyword TEXT NOT NULL,</t>
        </is>
      </c>
    </row>
    <row r="76">
      <c r="A76" s="7" t="n">
        <v>73</v>
      </c>
      <c r="B76" s="8" t="inlineStr">
        <is>
          <t xml:space="preserve">                        original_params TEXT NOT NULL,</t>
        </is>
      </c>
    </row>
    <row r="77">
      <c r="A77" s="9" t="n">
        <v>74</v>
      </c>
      <c r="B77" s="10" t="inlineStr">
        <is>
          <t xml:space="preserve">                        adjusted_params TEXT NOT NULL,</t>
        </is>
      </c>
    </row>
    <row r="78">
      <c r="A78" s="7" t="n">
        <v>75</v>
      </c>
      <c r="B78" s="8" t="inlineStr">
        <is>
          <t xml:space="preserve">                        fail_reason TEXT DEFAULT 'unknown',</t>
        </is>
      </c>
    </row>
    <row r="79">
      <c r="A79" s="9" t="n">
        <v>76</v>
      </c>
      <c r="B79" s="10" t="inlineStr">
        <is>
          <t xml:space="preserve">                        retry_count INTEGER DEFAULT 0,</t>
        </is>
      </c>
    </row>
    <row r="80">
      <c r="A80" s="7" t="n">
        <v>77</v>
      </c>
      <c r="B80" s="8" t="inlineStr">
        <is>
          <t xml:space="preserve">                        status TEXT DEFAULT 'pending',</t>
        </is>
      </c>
    </row>
    <row r="81">
      <c r="A81" s="9" t="n">
        <v>78</v>
      </c>
      <c r="B81" s="10" t="inlineStr">
        <is>
          <t xml:space="preserve">                        last_score REAL DEFAULT 0,</t>
        </is>
      </c>
    </row>
    <row r="82">
      <c r="A82" s="7" t="n">
        <v>79</v>
      </c>
      <c r="B82" s="8" t="inlineStr">
        <is>
          <t xml:space="preserve">                        error_message TEXT DEFAULT '',</t>
        </is>
      </c>
    </row>
    <row r="83">
      <c r="A83" s="9" t="n">
        <v>80</v>
      </c>
      <c r="B83" s="10" t="inlineStr">
        <is>
          <t xml:space="preserve">                        created_at TEXT DEFAULT CURRENT_TIMESTAMP,</t>
        </is>
      </c>
    </row>
    <row r="84">
      <c r="A84" s="7" t="n">
        <v>81</v>
      </c>
      <c r="B84" s="8" t="inlineStr">
        <is>
          <t xml:space="preserve">                        updated_at TEXT</t>
        </is>
      </c>
    </row>
    <row r="85">
      <c r="A85" s="9" t="n">
        <v>82</v>
      </c>
      <c r="B85" s="10" t="inlineStr">
        <is>
          <t xml:space="preserve">                    );</t>
        </is>
      </c>
    </row>
    <row r="86">
      <c r="A86" s="7" t="n">
        <v>83</v>
      </c>
      <c r="B86" s="8" t="inlineStr">
        <is>
          <t xml:space="preserve">                    CREATE INDEX IF NOT EXISTS idx_retry_status</t>
        </is>
      </c>
    </row>
    <row r="87">
      <c r="A87" s="9" t="n">
        <v>84</v>
      </c>
      <c r="B87" s="10" t="inlineStr">
        <is>
          <t xml:space="preserve">                        ON retry_queue(status);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 xml:space="preserve">                    CREATE TABLE IF NOT EXISTS human_review_queue (</t>
        </is>
      </c>
    </row>
    <row r="90">
      <c r="A90" s="7" t="n">
        <v>87</v>
      </c>
      <c r="B90" s="8" t="inlineStr">
        <is>
          <t xml:space="preserve">                        id INTEGER PRIMARY KEY AUTOINCREMENT,</t>
        </is>
      </c>
    </row>
    <row r="91">
      <c r="A91" s="9" t="n">
        <v>88</v>
      </c>
      <c r="B91" s="10" t="inlineStr">
        <is>
          <t xml:space="preserve">                        keyword TEXT NOT NULL,</t>
        </is>
      </c>
    </row>
    <row r="92">
      <c r="A92" s="7" t="n">
        <v>89</v>
      </c>
      <c r="B92" s="8" t="inlineStr">
        <is>
          <t xml:space="preserve">                        source TEXT DEFAULT 'retry_exhausted',</t>
        </is>
      </c>
    </row>
    <row r="93">
      <c r="A93" s="9" t="n">
        <v>90</v>
      </c>
      <c r="B93" s="10" t="inlineStr">
        <is>
          <t xml:space="preserve">                        fail_reason TEXT DEFAULT 'unknown',</t>
        </is>
      </c>
    </row>
    <row r="94">
      <c r="A94" s="7" t="n">
        <v>91</v>
      </c>
      <c r="B94" s="8" t="inlineStr">
        <is>
          <t xml:space="preserve">                        retry_count INTEGER DEFAULT 0,</t>
        </is>
      </c>
    </row>
    <row r="95">
      <c r="A95" s="9" t="n">
        <v>92</v>
      </c>
      <c r="B95" s="10" t="inlineStr">
        <is>
          <t xml:space="preserve">                        last_score REAL DEFAULT 0,</t>
        </is>
      </c>
    </row>
    <row r="96">
      <c r="A96" s="7" t="n">
        <v>93</v>
      </c>
      <c r="B96" s="8" t="inlineStr">
        <is>
          <t xml:space="preserve">                        params_snapshot TEXT DEFAULT '{}',</t>
        </is>
      </c>
    </row>
    <row r="97">
      <c r="A97" s="9" t="n">
        <v>94</v>
      </c>
      <c r="B97" s="10" t="inlineStr">
        <is>
          <t xml:space="preserve">                        notes TEXT DEFAULT '',</t>
        </is>
      </c>
    </row>
    <row r="98">
      <c r="A98" s="7" t="n">
        <v>95</v>
      </c>
      <c r="B98" s="8" t="inlineStr">
        <is>
          <t xml:space="preserve">                        status TEXT DEFAULT 'pending',</t>
        </is>
      </c>
    </row>
    <row r="99">
      <c r="A99" s="9" t="n">
        <v>96</v>
      </c>
      <c r="B99" s="10" t="inlineStr">
        <is>
          <t xml:space="preserve">                        created_at TEXT DEFAULT CURRENT_TIMESTAMP,</t>
        </is>
      </c>
    </row>
    <row r="100">
      <c r="A100" s="7" t="n">
        <v>97</v>
      </c>
      <c r="B100" s="8" t="inlineStr">
        <is>
          <t xml:space="preserve">                        resolved_at TEXT</t>
        </is>
      </c>
    </row>
    <row r="101">
      <c r="A101" s="9" t="n">
        <v>98</v>
      </c>
      <c r="B101" s="10" t="inlineStr">
        <is>
          <t xml:space="preserve">                    );</t>
        </is>
      </c>
    </row>
    <row r="102">
      <c r="A102" s="7" t="n">
        <v>99</v>
      </c>
      <c r="B102" s="8" t="inlineStr">
        <is>
          <t xml:space="preserve">                    CREATE INDEX IF NOT EXISTS idx_human_review_status</t>
        </is>
      </c>
    </row>
    <row r="103">
      <c r="A103" s="9" t="n">
        <v>100</v>
      </c>
      <c r="B103" s="10" t="inlineStr">
        <is>
          <t xml:space="preserve">                        ON human_review_queue(status);</t>
        </is>
      </c>
    </row>
    <row r="104">
      <c r="A104" s="7" t="n">
        <v>101</v>
      </c>
      <c r="B104" s="8" t="inlineStr">
        <is>
          <t xml:space="preserve">                """)</t>
        </is>
      </c>
    </row>
    <row r="105">
      <c r="A105" s="9" t="n">
        <v>102</v>
      </c>
      <c r="B105" s="10" t="inlineStr">
        <is>
          <t xml:space="preserve">        except Exception as e:</t>
        </is>
      </c>
    </row>
    <row r="106">
      <c r="A106" s="7" t="n">
        <v>103</v>
      </c>
      <c r="B106" s="8" t="inlineStr">
        <is>
          <t xml:space="preserve">            logger.error(f"重试相关表创建失败: {e}")</t>
        </is>
      </c>
    </row>
    <row r="107">
      <c r="A107" s="9" t="n">
        <v>104</v>
      </c>
      <c r="B107" s="10" t="inlineStr"/>
    </row>
    <row r="108">
      <c r="A108" s="7" t="n">
        <v>105</v>
      </c>
      <c r="B108" s="8" t="inlineStr">
        <is>
          <t xml:space="preserve">    # ── 调度重试 ────────────────────────────────────────</t>
        </is>
      </c>
    </row>
    <row r="109">
      <c r="A109" s="9" t="n">
        <v>106</v>
      </c>
      <c r="B109" s="10" t="inlineStr">
        <is>
          <t xml:space="preserve">    def schedule_retry(self, keyword: str, original_params: dict,</t>
        </is>
      </c>
    </row>
    <row r="110">
      <c r="A110" s="7" t="n">
        <v>107</v>
      </c>
      <c r="B110" s="8" t="inlineStr">
        <is>
          <t xml:space="preserve">                       fail_reason: str, last_score: float = 0,</t>
        </is>
      </c>
    </row>
    <row r="111">
      <c r="A111" s="9" t="n">
        <v>108</v>
      </c>
      <c r="B111" s="10" t="inlineStr">
        <is>
          <t xml:space="preserve">                       error_message: str = "") -&gt; Optional[dict]:</t>
        </is>
      </c>
    </row>
    <row r="112">
      <c r="A112" s="7" t="n">
        <v>109</v>
      </c>
      <c r="B112" s="8" t="inlineStr">
        <is>
          <t xml:space="preserve">        """</t>
        </is>
      </c>
    </row>
    <row r="113">
      <c r="A113" s="9" t="n">
        <v>110</v>
      </c>
      <c r="B113" s="10" t="inlineStr">
        <is>
          <t xml:space="preserve">        调度重试 — 根据失败原因智能调整参数。</t>
        </is>
      </c>
    </row>
    <row r="114">
      <c r="A114" s="7" t="n">
        <v>111</v>
      </c>
      <c r="B114" s="8" t="inlineStr">
        <is>
          <t xml:space="preserve">        返回: 调整后的参数字典 (可直接传入 pipeline.run()) 或 None (转人工)</t>
        </is>
      </c>
    </row>
    <row r="115">
      <c r="A115" s="9" t="n">
        <v>112</v>
      </c>
      <c r="B115" s="10" t="inlineStr">
        <is>
          <t xml:space="preserve">        """</t>
        </is>
      </c>
    </row>
    <row r="116">
      <c r="A116" s="7" t="n">
        <v>113</v>
      </c>
      <c r="B116" s="8" t="inlineStr">
        <is>
          <t xml:space="preserve">        with self._lock:</t>
        </is>
      </c>
    </row>
    <row r="117">
      <c r="A117" s="9" t="n">
        <v>114</v>
      </c>
      <c r="B117" s="10" t="inlineStr">
        <is>
          <t xml:space="preserve">            with sqlite3.connect(str(DB_PATH)) as conn:</t>
        </is>
      </c>
    </row>
    <row r="118">
      <c r="A118" s="7" t="n">
        <v>115</v>
      </c>
      <c r="B118" s="8" t="inlineStr">
        <is>
          <t xml:space="preserve">                # 查询当前重试次数</t>
        </is>
      </c>
    </row>
    <row r="119">
      <c r="A119" s="9" t="n">
        <v>116</v>
      </c>
      <c r="B119" s="10" t="inlineStr">
        <is>
          <t xml:space="preserve">                row = conn.execute(</t>
        </is>
      </c>
    </row>
    <row r="120">
      <c r="A120" s="7" t="n">
        <v>117</v>
      </c>
      <c r="B120" s="8" t="inlineStr">
        <is>
          <t xml:space="preserve">                    """SELECT id, retry_count FROM retry_queue</t>
        </is>
      </c>
    </row>
    <row r="121">
      <c r="A121" s="9" t="n">
        <v>118</v>
      </c>
      <c r="B121" s="10" t="inlineStr">
        <is>
          <t xml:space="preserve">                       WHERE keyword=? AND status='pending'</t>
        </is>
      </c>
    </row>
    <row r="122">
      <c r="A122" s="7" t="n">
        <v>119</v>
      </c>
      <c r="B122" s="8" t="inlineStr">
        <is>
          <t xml:space="preserve">                       ORDER BY id DESC LIMIT 1""",</t>
        </is>
      </c>
    </row>
    <row r="123">
      <c r="A123" s="9" t="n">
        <v>120</v>
      </c>
      <c r="B123" s="10" t="inlineStr">
        <is>
          <t xml:space="preserve">                    (keyword,)</t>
        </is>
      </c>
    </row>
    <row r="124">
      <c r="A124" s="7" t="n">
        <v>121</v>
      </c>
      <c r="B124" s="8" t="inlineStr">
        <is>
          <t xml:space="preserve">                ).fetchone()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 xml:space="preserve">                retry_count = (row[1] + 1) if row else 1</t>
        </is>
      </c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 xml:space="preserve">                # 超过最大重试次数 → 转入人工队列</t>
        </is>
      </c>
    </row>
    <row r="129">
      <c r="A129" s="9" t="n">
        <v>126</v>
      </c>
      <c r="B129" s="10" t="inlineStr">
        <is>
          <t xml:space="preserve">                if retry_count &gt; MAX_RETRIES:</t>
        </is>
      </c>
    </row>
    <row r="130">
      <c r="A130" s="7" t="n">
        <v>127</v>
      </c>
      <c r="B130" s="8" t="inlineStr">
        <is>
          <t xml:space="preserve">                    self._enqueue_human(conn, keyword, fail_reason, retry_count,</t>
        </is>
      </c>
    </row>
    <row r="131">
      <c r="A131" s="9" t="n">
        <v>128</v>
      </c>
      <c r="B131" s="10" t="inlineStr">
        <is>
          <t xml:space="preserve">                                       last_score, original_params)</t>
        </is>
      </c>
    </row>
    <row r="132">
      <c r="A132" s="7" t="n">
        <v>129</v>
      </c>
      <c r="B132" s="8" t="inlineStr">
        <is>
          <t xml:space="preserve">                    # 标记当前重试为 exhausted</t>
        </is>
      </c>
    </row>
    <row r="133">
      <c r="A133" s="9" t="n">
        <v>130</v>
      </c>
      <c r="B133" s="10" t="inlineStr">
        <is>
          <t xml:space="preserve">                    if row:</t>
        </is>
      </c>
    </row>
    <row r="134">
      <c r="A134" s="7" t="n">
        <v>131</v>
      </c>
      <c r="B134" s="8" t="inlineStr">
        <is>
          <t xml:space="preserve">                        conn.execute(</t>
        </is>
      </c>
    </row>
    <row r="135">
      <c r="A135" s="9" t="n">
        <v>132</v>
      </c>
      <c r="B135" s="10" t="inlineStr">
        <is>
          <t xml:space="preserve">                            "UPDATE retry_queue SET status='exhausted', updated_at=? WHERE id=?",</t>
        </is>
      </c>
    </row>
    <row r="136">
      <c r="A136" s="7" t="n">
        <v>133</v>
      </c>
      <c r="B136" s="8" t="inlineStr">
        <is>
          <t xml:space="preserve">                            (datetime.now().isoformat(), row[0])</t>
        </is>
      </c>
    </row>
    <row r="137">
      <c r="A137" s="9" t="n">
        <v>134</v>
      </c>
      <c r="B137" s="10" t="inlineStr">
        <is>
          <t xml:space="preserve">                        )</t>
        </is>
      </c>
    </row>
    <row r="138">
      <c r="A138" s="7" t="n">
        <v>135</v>
      </c>
      <c r="B138" s="8" t="inlineStr">
        <is>
          <t xml:space="preserve">                    else:</t>
        </is>
      </c>
    </row>
    <row r="139">
      <c r="A139" s="9" t="n">
        <v>136</v>
      </c>
      <c r="B139" s="10" t="inlineStr">
        <is>
          <t xml:space="preserve">                        conn.execute(</t>
        </is>
      </c>
    </row>
    <row r="140">
      <c r="A140" s="7" t="n">
        <v>137</v>
      </c>
      <c r="B140" s="8" t="inlineStr">
        <is>
          <t xml:space="preserve">                            """INSERT INTO retry_queue</t>
        </is>
      </c>
    </row>
    <row r="141">
      <c r="A141" s="9" t="n">
        <v>138</v>
      </c>
      <c r="B141" s="10" t="inlineStr">
        <is>
          <t xml:space="preserve">                               (keyword, original_params, adjusted_params, fail_reason,</t>
        </is>
      </c>
    </row>
    <row r="142">
      <c r="A142" s="7" t="n">
        <v>139</v>
      </c>
      <c r="B142" s="8" t="inlineStr">
        <is>
          <t xml:space="preserve">                                retry_count, status, last_score, error_message)</t>
        </is>
      </c>
    </row>
    <row r="143">
      <c r="A143" s="9" t="n">
        <v>140</v>
      </c>
      <c r="B143" s="10" t="inlineStr">
        <is>
          <t xml:space="preserve">                               VALUES (?,?,?,?,?,?,?,?)""",</t>
        </is>
      </c>
    </row>
    <row r="144">
      <c r="A144" s="7" t="n">
        <v>141</v>
      </c>
      <c r="B144" s="8" t="inlineStr">
        <is>
          <t xml:space="preserve">                            (keyword, json.dumps(original_params), "{}",</t>
        </is>
      </c>
    </row>
    <row r="145">
      <c r="A145" s="9" t="n">
        <v>142</v>
      </c>
      <c r="B145" s="10" t="inlineStr">
        <is>
          <t xml:space="preserve">                             fail_reason, retry_count, 'exhausted',</t>
        </is>
      </c>
    </row>
    <row r="146">
      <c r="A146" s="7" t="n">
        <v>143</v>
      </c>
      <c r="B146" s="8" t="inlineStr">
        <is>
          <t xml:space="preserve">                             last_score, error_message)</t>
        </is>
      </c>
    </row>
    <row r="147">
      <c r="A147" s="9" t="n">
        <v>144</v>
      </c>
      <c r="B147" s="10" t="inlineStr">
        <is>
          <t xml:space="preserve">                        )</t>
        </is>
      </c>
    </row>
    <row r="148">
      <c r="A148" s="7" t="n">
        <v>145</v>
      </c>
      <c r="B148" s="8" t="inlineStr"/>
    </row>
    <row r="149">
      <c r="A149" s="9" t="n">
        <v>146</v>
      </c>
      <c r="B149" s="10" t="inlineStr">
        <is>
          <t xml:space="preserve">                    # 通知UI</t>
        </is>
      </c>
    </row>
    <row r="150">
      <c r="A150" s="7" t="n">
        <v>147</v>
      </c>
      <c r="B150" s="8" t="inlineStr">
        <is>
          <t xml:space="preserve">                    self._notify_review_pending(keyword)</t>
        </is>
      </c>
    </row>
    <row r="151">
      <c r="A151" s="9" t="n">
        <v>148</v>
      </c>
      <c r="B151" s="10" t="inlineStr">
        <is>
          <t xml:space="preserve">                    logger.warning(f"重试耗尽: keyword={keyword}, 已转人工队列")</t>
        </is>
      </c>
    </row>
    <row r="152">
      <c r="A152" s="7" t="n">
        <v>149</v>
      </c>
      <c r="B152" s="8" t="inlineStr">
        <is>
          <t xml:space="preserve">                    return None</t>
        </is>
      </c>
    </row>
    <row r="153">
      <c r="A153" s="9" t="n">
        <v>150</v>
      </c>
      <c r="B153" s="10" t="inlineStr"/>
    </row>
    <row r="154">
      <c r="A154" s="7" t="n">
        <v>151</v>
      </c>
      <c r="B154" s="8" t="inlineStr">
        <is>
          <t xml:space="preserve">                # 调整参数</t>
        </is>
      </c>
    </row>
    <row r="155">
      <c r="A155" s="9" t="n">
        <v>152</v>
      </c>
      <c r="B155" s="10" t="inlineStr">
        <is>
          <t xml:space="preserve">                adjusted = self._adjust_params(original_params, fail_reason, retry_count)</t>
        </is>
      </c>
    </row>
    <row r="156">
      <c r="A156" s="7" t="n">
        <v>153</v>
      </c>
      <c r="B156" s="8" t="inlineStr"/>
    </row>
    <row r="157">
      <c r="A157" s="9" t="n">
        <v>154</v>
      </c>
      <c r="B157" s="10" t="inlineStr">
        <is>
          <t xml:space="preserve">                # 更新或创建重试记录</t>
        </is>
      </c>
    </row>
    <row r="158">
      <c r="A158" s="7" t="n">
        <v>155</v>
      </c>
      <c r="B158" s="8" t="inlineStr">
        <is>
          <t xml:space="preserve">                now = datetime.now().isoformat()</t>
        </is>
      </c>
    </row>
    <row r="159">
      <c r="A159" s="9" t="n">
        <v>156</v>
      </c>
      <c r="B159" s="10" t="inlineStr">
        <is>
          <t xml:space="preserve">                if row:</t>
        </is>
      </c>
    </row>
    <row r="160">
      <c r="A160" s="7" t="n">
        <v>157</v>
      </c>
      <c r="B160" s="8" t="inlineStr">
        <is>
          <t xml:space="preserve">                    conn.execute(</t>
        </is>
      </c>
    </row>
    <row r="161">
      <c r="A161" s="9" t="n">
        <v>158</v>
      </c>
      <c r="B161" s="10" t="inlineStr">
        <is>
          <t xml:space="preserve">                        """UPDATE retry_queue</t>
        </is>
      </c>
    </row>
    <row r="162">
      <c r="A162" s="7" t="n">
        <v>159</v>
      </c>
      <c r="B162" s="8" t="inlineStr">
        <is>
          <t xml:space="preserve">                           SET retry_count=?, adjusted_params=?, fail_reason=?,</t>
        </is>
      </c>
    </row>
    <row r="163">
      <c r="A163" s="9" t="n">
        <v>160</v>
      </c>
      <c r="B163" s="10" t="inlineStr">
        <is>
          <t xml:space="preserve">                               last_score=?, error_message=?, updated_at=?</t>
        </is>
      </c>
    </row>
    <row r="164">
      <c r="A164" s="7" t="n">
        <v>161</v>
      </c>
      <c r="B164" s="8" t="inlineStr">
        <is>
          <t xml:space="preserve">                           WHERE id=?""",</t>
        </is>
      </c>
    </row>
    <row r="165">
      <c r="A165" s="9" t="n">
        <v>162</v>
      </c>
      <c r="B165" s="10" t="inlineStr">
        <is>
          <t xml:space="preserve">                        (retry_count, json.dumps(adjusted, ensure_ascii=False),</t>
        </is>
      </c>
    </row>
    <row r="166">
      <c r="A166" s="7" t="n">
        <v>163</v>
      </c>
      <c r="B166" s="8" t="inlineStr">
        <is>
          <t xml:space="preserve">                         fail_reason, last_score, error_message, now, row[0])</t>
        </is>
      </c>
    </row>
    <row r="167">
      <c r="A167" s="9" t="n">
        <v>164</v>
      </c>
      <c r="B167" s="10" t="inlineStr">
        <is>
          <t xml:space="preserve">                    )</t>
        </is>
      </c>
    </row>
    <row r="168">
      <c r="A168" s="7" t="n">
        <v>165</v>
      </c>
      <c r="B168" s="8" t="inlineStr">
        <is>
          <t xml:space="preserve">                else:</t>
        </is>
      </c>
    </row>
    <row r="169">
      <c r="A169" s="9" t="n">
        <v>166</v>
      </c>
      <c r="B169" s="10" t="inlineStr">
        <is>
          <t xml:space="preserve">                    conn.execute(</t>
        </is>
      </c>
    </row>
    <row r="170">
      <c r="A170" s="7" t="n">
        <v>167</v>
      </c>
      <c r="B170" s="8" t="inlineStr">
        <is>
          <t xml:space="preserve">                        """INSERT INTO retry_queue</t>
        </is>
      </c>
    </row>
    <row r="171">
      <c r="A171" s="9" t="n">
        <v>168</v>
      </c>
      <c r="B171" s="10" t="inlineStr">
        <is>
          <t xml:space="preserve">                           (keyword, original_params, adjusted_params, fail_reason,</t>
        </is>
      </c>
    </row>
    <row r="172">
      <c r="A172" s="7" t="n">
        <v>169</v>
      </c>
      <c r="B172" s="8" t="inlineStr">
        <is>
          <t xml:space="preserve">                            retry_count, status, last_score, error_message)</t>
        </is>
      </c>
    </row>
    <row r="173">
      <c r="A173" s="9" t="n">
        <v>170</v>
      </c>
      <c r="B173" s="10" t="inlineStr">
        <is>
          <t xml:space="preserve">                           VALUES (?,?,?,?,?,?,?,?)""",</t>
        </is>
      </c>
    </row>
    <row r="174">
      <c r="A174" s="7" t="n">
        <v>171</v>
      </c>
      <c r="B174" s="8" t="inlineStr">
        <is>
          <t xml:space="preserve">                        (keyword, json.dumps(original_params, ensure_ascii=False),</t>
        </is>
      </c>
    </row>
    <row r="175">
      <c r="A175" s="9" t="n">
        <v>172</v>
      </c>
      <c r="B175" s="10" t="inlineStr">
        <is>
          <t xml:space="preserve">                         json.dumps(adjusted, ensure_ascii=False),</t>
        </is>
      </c>
    </row>
    <row r="176">
      <c r="A176" s="7" t="n">
        <v>173</v>
      </c>
      <c r="B176" s="8" t="inlineStr">
        <is>
          <t xml:space="preserve">                         fail_reason, retry_count, 'pending',</t>
        </is>
      </c>
    </row>
    <row r="177">
      <c r="A177" s="9" t="n">
        <v>174</v>
      </c>
      <c r="B177" s="10" t="inlineStr">
        <is>
          <t xml:space="preserve">                         last_score, error_message)</t>
        </is>
      </c>
    </row>
    <row r="178">
      <c r="A178" s="7" t="n">
        <v>175</v>
      </c>
      <c r="B178" s="8" t="inlineStr">
        <is>
          <t xml:space="preserve">                    )</t>
        </is>
      </c>
    </row>
    <row r="179">
      <c r="A179" s="9" t="n">
        <v>176</v>
      </c>
      <c r="B179" s="10" t="inlineStr"/>
    </row>
    <row r="180">
      <c r="A180" s="7" t="n">
        <v>177</v>
      </c>
      <c r="B180" s="8" t="inlineStr">
        <is>
          <t xml:space="preserve">                logger.info(f"重试已调度: keyword={keyword}, retry={retry_count}/{MAX_RETRIES}, "</t>
        </is>
      </c>
    </row>
    <row r="181">
      <c r="A181" s="9" t="n">
        <v>178</v>
      </c>
      <c r="B181" s="10" t="inlineStr">
        <is>
          <t xml:space="preserve">                           f"reason={fail_reason}, score={last_score}")</t>
        </is>
      </c>
    </row>
    <row r="182">
      <c r="A182" s="7" t="n">
        <v>179</v>
      </c>
      <c r="B182" s="8" t="inlineStr">
        <is>
          <t xml:space="preserve">                return adjusted</t>
        </is>
      </c>
    </row>
    <row r="183">
      <c r="A183" s="9" t="n">
        <v>180</v>
      </c>
      <c r="B183" s="10" t="inlineStr"/>
    </row>
    <row r="184">
      <c r="A184" s="7" t="n">
        <v>181</v>
      </c>
      <c r="B184" s="8" t="inlineStr">
        <is>
          <t xml:space="preserve">    # ── 参数调整策略 ────────────────────────────────────</t>
        </is>
      </c>
    </row>
    <row r="185">
      <c r="A185" s="9" t="n">
        <v>182</v>
      </c>
      <c r="B185" s="10" t="inlineStr">
        <is>
          <t xml:space="preserve">    def _adjust_params(self, params: dict, fail_reason: str,</t>
        </is>
      </c>
    </row>
    <row r="186">
      <c r="A186" s="7" t="n">
        <v>183</v>
      </c>
      <c r="B186" s="8" t="inlineStr">
        <is>
          <t xml:space="preserve">                       retry_count: int) -&gt; dict:</t>
        </is>
      </c>
    </row>
    <row r="187">
      <c r="A187" s="9" t="n">
        <v>184</v>
      </c>
      <c r="B187" s="10" t="inlineStr">
        <is>
          <t xml:space="preserve">        """根据失败原因智能调整生成参数"""</t>
        </is>
      </c>
    </row>
    <row r="188">
      <c r="A188" s="7" t="n">
        <v>185</v>
      </c>
      <c r="B188" s="8" t="inlineStr">
        <is>
          <t xml:space="preserve">        adjusted = dict(params)</t>
        </is>
      </c>
    </row>
    <row r="189">
      <c r="A189" s="9" t="n">
        <v>186</v>
      </c>
      <c r="B189" s="10" t="inlineStr">
        <is>
          <t xml:space="preserve">        step = retry_count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 xml:space="preserve">        if fail_reason == FailReason.MATERIAL_MISMATCH:</t>
        </is>
      </c>
    </row>
    <row r="192">
      <c r="A192" s="7" t="n">
        <v>189</v>
      </c>
      <c r="B192" s="8" t="inlineStr">
        <is>
          <t xml:space="preserve">            # 降低匹配阈值，扩大候选池</t>
        </is>
      </c>
    </row>
    <row r="193">
      <c r="A193" s="9" t="n">
        <v>190</v>
      </c>
      <c r="B193" s="10" t="inlineStr">
        <is>
          <t xml:space="preserve">            adjusted["match_threshold"] = max(0.3,</t>
        </is>
      </c>
    </row>
    <row r="194">
      <c r="A194" s="7" t="n">
        <v>191</v>
      </c>
      <c r="B194" s="8" t="inlineStr">
        <is>
          <t xml:space="preserve">                params.get("match_threshold", 0.6) - 0.1 * step)</t>
        </is>
      </c>
    </row>
    <row r="195">
      <c r="A195" s="9" t="n">
        <v>192</v>
      </c>
      <c r="B195" s="10" t="inlineStr">
        <is>
          <t xml:space="preserve">            adjusted["fallback_to_similar"] = True</t>
        </is>
      </c>
    </row>
    <row r="196">
      <c r="A196" s="7" t="n">
        <v>193</v>
      </c>
      <c r="B196" s="8" t="inlineStr">
        <is>
          <t xml:space="preserve">            adjusted["num_clips"] = min(12,</t>
        </is>
      </c>
    </row>
    <row r="197">
      <c r="A197" s="9" t="n">
        <v>194</v>
      </c>
      <c r="B197" s="10" t="inlineStr">
        <is>
          <t xml:space="preserve">                params.get("num_clips", 8) + 2 * step)</t>
        </is>
      </c>
    </row>
    <row r="198">
      <c r="A198" s="7" t="n">
        <v>195</v>
      </c>
      <c r="B198" s="8" t="inlineStr"/>
    </row>
    <row r="199">
      <c r="A199" s="9" t="n">
        <v>196</v>
      </c>
      <c r="B199" s="10" t="inlineStr">
        <is>
          <t xml:space="preserve">        elif fail_reason == FailReason.SCRIPT_WEAK:</t>
        </is>
      </c>
    </row>
    <row r="200">
      <c r="A200" s="7" t="n">
        <v>197</v>
      </c>
      <c r="B200" s="8" t="inlineStr">
        <is>
          <t xml:space="preserve">            # 换文案风格</t>
        </is>
      </c>
    </row>
    <row r="201">
      <c r="A201" s="9" t="n">
        <v>198</v>
      </c>
      <c r="B201" s="10" t="inlineStr">
        <is>
          <t xml:space="preserve">            styles = ["专业型", "情感型", "对比型", "故事型"]</t>
        </is>
      </c>
    </row>
    <row r="202">
      <c r="A202" s="7" t="n">
        <v>199</v>
      </c>
      <c r="B202" s="8" t="inlineStr">
        <is>
          <t xml:space="preserve">            adjusted["copy_style"] = styles[step % len(styles)]</t>
        </is>
      </c>
    </row>
    <row r="203">
      <c r="A203" s="9" t="n">
        <v>200</v>
      </c>
      <c r="B203" s="10" t="inlineStr">
        <is>
          <t xml:space="preserve">            adjusted["force_cta"] = True</t>
        </is>
      </c>
    </row>
    <row r="204">
      <c r="A204" s="7" t="n">
        <v>201</v>
      </c>
      <c r="B204" s="8" t="inlineStr">
        <is>
          <t xml:space="preserve">            adjusted["expand_keywords"] = True</t>
        </is>
      </c>
    </row>
    <row r="205">
      <c r="A205" s="9" t="n">
        <v>202</v>
      </c>
      <c r="B205" s="10" t="inlineStr"/>
    </row>
    <row r="206">
      <c r="A206" s="7" t="n">
        <v>203</v>
      </c>
      <c r="B206" s="8" t="inlineStr">
        <is>
          <t xml:space="preserve">        elif fail_reason == FailReason.BGM_WRONG:</t>
        </is>
      </c>
    </row>
    <row r="207">
      <c r="A207" s="9" t="n">
        <v>204</v>
      </c>
      <c r="B207" s="10" t="inlineStr">
        <is>
          <t xml:space="preserve">            # 随机换BGM</t>
        </is>
      </c>
    </row>
    <row r="208">
      <c r="A208" s="7" t="n">
        <v>205</v>
      </c>
      <c r="B208" s="8" t="inlineStr">
        <is>
          <t xml:space="preserve">            adjusted["bgm_retry"] = step</t>
        </is>
      </c>
    </row>
    <row r="209">
      <c r="A209" s="9" t="n">
        <v>206</v>
      </c>
      <c r="B209" s="10" t="inlineStr">
        <is>
          <t xml:space="preserve">            adjusted["bgm_mode"] = "random"</t>
        </is>
      </c>
    </row>
    <row r="210">
      <c r="A210" s="7" t="n">
        <v>207</v>
      </c>
      <c r="B210" s="8" t="inlineStr"/>
    </row>
    <row r="211">
      <c r="A211" s="9" t="n">
        <v>208</v>
      </c>
      <c r="B211" s="10" t="inlineStr">
        <is>
          <t xml:space="preserve">        elif fail_reason == FailReason.LOW_SCORE:</t>
        </is>
      </c>
    </row>
    <row r="212">
      <c r="A212" s="7" t="n">
        <v>209</v>
      </c>
      <c r="B212" s="8" t="inlineStr">
        <is>
          <t xml:space="preserve">            # 综合调整</t>
        </is>
      </c>
    </row>
    <row r="213">
      <c r="A213" s="9" t="n">
        <v>210</v>
      </c>
      <c r="B213" s="10" t="inlineStr">
        <is>
          <t xml:space="preserve">            adjusted["clip_quality_min"] = max(0.4,</t>
        </is>
      </c>
    </row>
    <row r="214">
      <c r="A214" s="7" t="n">
        <v>211</v>
      </c>
      <c r="B214" s="8" t="inlineStr">
        <is>
          <t xml:space="preserve">                params.get("clip_quality_min", 0.7) - 0.1 * step)</t>
        </is>
      </c>
    </row>
    <row r="215">
      <c r="A215" s="9" t="n">
        <v>212</v>
      </c>
      <c r="B215" s="10" t="inlineStr">
        <is>
          <t xml:space="preserve">            adjusted["match_threshold"] = max(0.35,</t>
        </is>
      </c>
    </row>
    <row r="216">
      <c r="A216" s="7" t="n">
        <v>213</v>
      </c>
      <c r="B216" s="8" t="inlineStr">
        <is>
          <t xml:space="preserve">                params.get("match_threshold", 0.6) - 0.08 * step)</t>
        </is>
      </c>
    </row>
    <row r="217">
      <c r="A217" s="9" t="n">
        <v>214</v>
      </c>
      <c r="B217" s="10" t="inlineStr">
        <is>
          <t xml:space="preserve">            adjusted["copy_style"] = "情感型"</t>
        </is>
      </c>
    </row>
    <row r="218">
      <c r="A218" s="7" t="n">
        <v>215</v>
      </c>
      <c r="B218" s="8" t="inlineStr"/>
    </row>
    <row r="219">
      <c r="A219" s="9" t="n">
        <v>216</v>
      </c>
      <c r="B219" s="10" t="inlineStr">
        <is>
          <t xml:space="preserve">        elif fail_reason == FailReason.NO_CLIPS_FOUND:</t>
        </is>
      </c>
    </row>
    <row r="220">
      <c r="A220" s="7" t="n">
        <v>217</v>
      </c>
      <c r="B220" s="8" t="inlineStr">
        <is>
          <t xml:space="preserve">            # 大幅放宽限制</t>
        </is>
      </c>
    </row>
    <row r="221">
      <c r="A221" s="9" t="n">
        <v>218</v>
      </c>
      <c r="B221" s="10" t="inlineStr">
        <is>
          <t xml:space="preserve">            adjusted["match_threshold"] = max(0.2,</t>
        </is>
      </c>
    </row>
    <row r="222">
      <c r="A222" s="7" t="n">
        <v>219</v>
      </c>
      <c r="B222" s="8" t="inlineStr">
        <is>
          <t xml:space="preserve">                params.get("match_threshold", 0.6) - 0.15 * step)</t>
        </is>
      </c>
    </row>
    <row r="223">
      <c r="A223" s="9" t="n">
        <v>220</v>
      </c>
      <c r="B223" s="10" t="inlineStr">
        <is>
          <t xml:space="preserve">            adjusted["fallback_to_similar"] = True</t>
        </is>
      </c>
    </row>
    <row r="224">
      <c r="A224" s="7" t="n">
        <v>221</v>
      </c>
      <c r="B224" s="8" t="inlineStr">
        <is>
          <t xml:space="preserve">            adjusted["use_fallback_pool"] = True</t>
        </is>
      </c>
    </row>
    <row r="225">
      <c r="A225" s="9" t="n">
        <v>222</v>
      </c>
      <c r="B225" s="10" t="inlineStr"/>
    </row>
    <row r="226">
      <c r="A226" s="7" t="n">
        <v>223</v>
      </c>
      <c r="B226" s="8" t="inlineStr">
        <is>
          <t xml:space="preserve">        elif fail_reason == FailReason.TTS_ERROR:</t>
        </is>
      </c>
    </row>
    <row r="227">
      <c r="A227" s="9" t="n">
        <v>224</v>
      </c>
      <c r="B227" s="10" t="inlineStr">
        <is>
          <t xml:space="preserve">            # TTS错误 → 降低字数或换引擎</t>
        </is>
      </c>
    </row>
    <row r="228">
      <c r="A228" s="7" t="n">
        <v>225</v>
      </c>
      <c r="B228" s="8" t="inlineStr">
        <is>
          <t xml:space="preserve">            adjusted["max_chars"] = max(30,</t>
        </is>
      </c>
    </row>
    <row r="229">
      <c r="A229" s="9" t="n">
        <v>226</v>
      </c>
      <c r="B229" s="10" t="inlineStr">
        <is>
          <t xml:space="preserve">                params.get("max_chars", 80) - 15 * step)</t>
        </is>
      </c>
    </row>
    <row r="230">
      <c r="A230" s="7" t="n">
        <v>227</v>
      </c>
      <c r="B230" s="8" t="inlineStr">
        <is>
          <t xml:space="preserve">            adjusted["tts_voice"] = "auto"</t>
        </is>
      </c>
    </row>
    <row r="231">
      <c r="A231" s="9" t="n">
        <v>228</v>
      </c>
      <c r="B231" s="10" t="inlineStr"/>
    </row>
    <row r="232">
      <c r="A232" s="7" t="n">
        <v>229</v>
      </c>
      <c r="B232" s="8" t="inlineStr">
        <is>
          <t xml:space="preserve">        # 标记重试信息</t>
        </is>
      </c>
    </row>
    <row r="233">
      <c r="A233" s="9" t="n">
        <v>230</v>
      </c>
      <c r="B233" s="10" t="inlineStr">
        <is>
          <t xml:space="preserve">        adjusted["_retry_count"] = step</t>
        </is>
      </c>
    </row>
    <row r="234">
      <c r="A234" s="7" t="n">
        <v>231</v>
      </c>
      <c r="B234" s="8" t="inlineStr">
        <is>
          <t xml:space="preserve">        adjusted["_retry_reason"] = fail_reason</t>
        </is>
      </c>
    </row>
    <row r="235">
      <c r="A235" s="9" t="n">
        <v>232</v>
      </c>
      <c r="B235" s="10" t="inlineStr">
        <is>
          <t xml:space="preserve">        return adjusted</t>
        </is>
      </c>
    </row>
    <row r="236">
      <c r="A236" s="7" t="n">
        <v>233</v>
      </c>
      <c r="B236" s="8" t="inlineStr"/>
    </row>
    <row r="237">
      <c r="A237" s="9" t="n">
        <v>234</v>
      </c>
      <c r="B237" s="10" t="inlineStr">
        <is>
          <t xml:space="preserve">    # ── 人工队列 ────────────────────────────────────────</t>
        </is>
      </c>
    </row>
    <row r="238">
      <c r="A238" s="7" t="n">
        <v>235</v>
      </c>
      <c r="B238" s="8" t="inlineStr">
        <is>
          <t xml:space="preserve">    def _enqueue_human(self, conn, keyword: str, fail_reason: str,</t>
        </is>
      </c>
    </row>
    <row r="239">
      <c r="A239" s="9" t="n">
        <v>236</v>
      </c>
      <c r="B239" s="10" t="inlineStr">
        <is>
          <t xml:space="preserve">                       retry_count: int, last_score: float, params: dict):</t>
        </is>
      </c>
    </row>
    <row r="240">
      <c r="A240" s="7" t="n">
        <v>237</v>
      </c>
      <c r="B240" s="8" t="inlineStr">
        <is>
          <t xml:space="preserve">        """加入人工审核队列"""</t>
        </is>
      </c>
    </row>
    <row r="241">
      <c r="A241" s="9" t="n">
        <v>238</v>
      </c>
      <c r="B241" s="10" t="inlineStr">
        <is>
          <t xml:space="preserve">        conn.execute(</t>
        </is>
      </c>
    </row>
    <row r="242">
      <c r="A242" s="7" t="n">
        <v>239</v>
      </c>
      <c r="B242" s="8" t="inlineStr">
        <is>
          <t xml:space="preserve">            """INSERT INTO human_review_queue</t>
        </is>
      </c>
    </row>
    <row r="243">
      <c r="A243" s="9" t="n">
        <v>240</v>
      </c>
      <c r="B243" s="10" t="inlineStr">
        <is>
          <t xml:space="preserve">               (keyword, source, fail_reason, retry_count,</t>
        </is>
      </c>
    </row>
    <row r="244">
      <c r="A244" s="7" t="n">
        <v>241</v>
      </c>
      <c r="B244" s="8" t="inlineStr">
        <is>
          <t xml:space="preserve">                last_score, params_snapshot)</t>
        </is>
      </c>
    </row>
    <row r="245">
      <c r="A245" s="9" t="n">
        <v>242</v>
      </c>
      <c r="B245" s="10" t="inlineStr">
        <is>
          <t xml:space="preserve">               VALUES (?,?,?,?,?,?)""",</t>
        </is>
      </c>
    </row>
    <row r="246">
      <c r="A246" s="7" t="n">
        <v>243</v>
      </c>
      <c r="B246" s="8" t="inlineStr">
        <is>
          <t xml:space="preserve">            (keyword, "retry_exhausted", fail_reason, retry_count,</t>
        </is>
      </c>
    </row>
    <row r="247">
      <c r="A247" s="9" t="n">
        <v>244</v>
      </c>
      <c r="B247" s="10" t="inlineStr">
        <is>
          <t xml:space="preserve">             last_score, json.dumps(params, ensure_ascii=False))</t>
        </is>
      </c>
    </row>
    <row r="248">
      <c r="A248" s="7" t="n">
        <v>245</v>
      </c>
      <c r="B248" s="8" t="inlineStr">
        <is>
          <t xml:space="preserve">        )</t>
        </is>
      </c>
    </row>
    <row r="249">
      <c r="A249" s="9" t="n">
        <v>246</v>
      </c>
      <c r="B249" s="10" t="inlineStr"/>
    </row>
    <row r="250">
      <c r="A250" s="7" t="n">
        <v>247</v>
      </c>
      <c r="B250" s="8" t="inlineStr">
        <is>
          <t xml:space="preserve">    def resolve_human_review(self, review_id: int, resolved_by: str = "operator",</t>
        </is>
      </c>
    </row>
    <row r="251">
      <c r="A251" s="9" t="n">
        <v>248</v>
      </c>
      <c r="B251" s="10" t="inlineStr">
        <is>
          <t xml:space="preserve">                              resolution: str = ""):</t>
        </is>
      </c>
    </row>
    <row r="252">
      <c r="A252" s="7" t="n">
        <v>249</v>
      </c>
      <c r="B252" s="8" t="inlineStr">
        <is>
          <t xml:space="preserve">        """标记人工队列条目为已解决"""</t>
        </is>
      </c>
    </row>
    <row r="253">
      <c r="A253" s="9" t="n">
        <v>250</v>
      </c>
      <c r="B253" s="10" t="inlineStr">
        <is>
          <t xml:space="preserve">        with sqlite3.connect(str(DB_PATH)) as conn:</t>
        </is>
      </c>
    </row>
    <row r="254">
      <c r="A254" s="7" t="n">
        <v>251</v>
      </c>
      <c r="B254" s="8" t="inlineStr">
        <is>
          <t xml:space="preserve">            conn.execute(</t>
        </is>
      </c>
    </row>
    <row r="255">
      <c r="A255" s="9" t="n">
        <v>252</v>
      </c>
      <c r="B255" s="10" t="inlineStr">
        <is>
          <t xml:space="preserve">                """UPDATE human_review_queue</t>
        </is>
      </c>
    </row>
    <row r="256">
      <c r="A256" s="7" t="n">
        <v>253</v>
      </c>
      <c r="B256" s="8" t="inlineStr">
        <is>
          <t xml:space="preserve">                   SET status='resolved', notes=?,</t>
        </is>
      </c>
    </row>
    <row r="257">
      <c r="A257" s="9" t="n">
        <v>254</v>
      </c>
      <c r="B257" s="10" t="inlineStr">
        <is>
          <t xml:space="preserve">                       resolved_at=?</t>
        </is>
      </c>
    </row>
    <row r="258">
      <c r="A258" s="7" t="n">
        <v>255</v>
      </c>
      <c r="B258" s="8" t="inlineStr">
        <is>
          <t xml:space="preserve">                   WHERE id=?""",</t>
        </is>
      </c>
    </row>
    <row r="259">
      <c r="A259" s="9" t="n">
        <v>256</v>
      </c>
      <c r="B259" s="10" t="inlineStr">
        <is>
          <t xml:space="preserve">                (f"resolved by {resolved_by}: {resolution}",</t>
        </is>
      </c>
    </row>
    <row r="260">
      <c r="A260" s="7" t="n">
        <v>257</v>
      </c>
      <c r="B260" s="8" t="inlineStr">
        <is>
          <t xml:space="preserve">                 datetime.now().isoformat(), review_id)</t>
        </is>
      </c>
    </row>
    <row r="261">
      <c r="A261" s="9" t="n">
        <v>258</v>
      </c>
      <c r="B261" s="10" t="inlineStr">
        <is>
          <t xml:space="preserve">            )</t>
        </is>
      </c>
    </row>
    <row r="262">
      <c r="A262" s="7" t="n">
        <v>259</v>
      </c>
      <c r="B262" s="8" t="inlineStr"/>
    </row>
    <row r="263">
      <c r="A263" s="9" t="n">
        <v>260</v>
      </c>
      <c r="B263" s="10" t="inlineStr">
        <is>
          <t xml:space="preserve">    # ── 查询接口 ────────────────────────────────────────</t>
        </is>
      </c>
    </row>
    <row r="264">
      <c r="A264" s="7" t="n">
        <v>261</v>
      </c>
      <c r="B264" s="8" t="inlineStr">
        <is>
          <t xml:space="preserve">    def get_retry_stats(self) -&gt; dict:</t>
        </is>
      </c>
    </row>
    <row r="265">
      <c r="A265" s="9" t="n">
        <v>262</v>
      </c>
      <c r="B265" s="10" t="inlineStr">
        <is>
          <t xml:space="preserve">        """获取重试统计"""</t>
        </is>
      </c>
    </row>
    <row r="266">
      <c r="A266" s="7" t="n">
        <v>263</v>
      </c>
      <c r="B266" s="8" t="inlineStr">
        <is>
          <t xml:space="preserve">        try:</t>
        </is>
      </c>
    </row>
    <row r="267">
      <c r="A267" s="9" t="n">
        <v>264</v>
      </c>
      <c r="B267" s="10" t="inlineStr">
        <is>
          <t xml:space="preserve">            with sqlite3.connect(str(DB_PATH)) as conn:</t>
        </is>
      </c>
    </row>
    <row r="268">
      <c r="A268" s="7" t="n">
        <v>265</v>
      </c>
      <c r="B268" s="8" t="inlineStr">
        <is>
          <t xml:space="preserve">                total = conn.execute("SELECT COUNT(*) FROM retry_queue").fetchone()[0]</t>
        </is>
      </c>
    </row>
    <row r="269">
      <c r="A269" s="9" t="n">
        <v>266</v>
      </c>
      <c r="B269" s="10" t="inlineStr">
        <is>
          <t xml:space="preserve">                pending = conn.execute(</t>
        </is>
      </c>
    </row>
    <row r="270">
      <c r="A270" s="7" t="n">
        <v>267</v>
      </c>
      <c r="B270" s="8" t="inlineStr">
        <is>
          <t xml:space="preserve">                    "SELECT COUNT(*) FROM retry_queue WHERE status='pending'"</t>
        </is>
      </c>
    </row>
    <row r="271">
      <c r="A271" s="9" t="n">
        <v>268</v>
      </c>
      <c r="B271" s="10" t="inlineStr">
        <is>
          <t xml:space="preserve">                ).fetchone()[0]</t>
        </is>
      </c>
    </row>
    <row r="272">
      <c r="A272" s="7" t="n">
        <v>269</v>
      </c>
      <c r="B272" s="8" t="inlineStr">
        <is>
          <t xml:space="preserve">                exhausted = conn.execute(</t>
        </is>
      </c>
    </row>
    <row r="273">
      <c r="A273" s="9" t="n">
        <v>270</v>
      </c>
      <c r="B273" s="10" t="inlineStr">
        <is>
          <t xml:space="preserve">                    "SELECT COUNT(*) FROM retry_queue WHERE status='exhausted'"</t>
        </is>
      </c>
    </row>
    <row r="274">
      <c r="A274" s="7" t="n">
        <v>271</v>
      </c>
      <c r="B274" s="8" t="inlineStr">
        <is>
          <t xml:space="preserve">                ).fetchone()[0]</t>
        </is>
      </c>
    </row>
    <row r="275">
      <c r="A275" s="9" t="n">
        <v>272</v>
      </c>
      <c r="B275" s="10" t="inlineStr">
        <is>
          <t xml:space="preserve">                return {"total": total, "pending": pending, "exhausted": exhausted}</t>
        </is>
      </c>
    </row>
    <row r="276">
      <c r="A276" s="7" t="n">
        <v>273</v>
      </c>
      <c r="B276" s="8" t="inlineStr">
        <is>
          <t xml:space="preserve">        except Exception:</t>
        </is>
      </c>
    </row>
    <row r="277">
      <c r="A277" s="9" t="n">
        <v>274</v>
      </c>
      <c r="B277" s="10" t="inlineStr">
        <is>
          <t xml:space="preserve">            return {"total": 0, "pending": 0, "exhausted": 0}</t>
        </is>
      </c>
    </row>
    <row r="278">
      <c r="A278" s="7" t="n">
        <v>275</v>
      </c>
      <c r="B278" s="8" t="inlineStr"/>
    </row>
    <row r="279">
      <c r="A279" s="9" t="n">
        <v>276</v>
      </c>
      <c r="B279" s="10" t="inlineStr">
        <is>
          <t xml:space="preserve">    def human_review_count(self) -&gt; int:</t>
        </is>
      </c>
    </row>
    <row r="280">
      <c r="A280" s="7" t="n">
        <v>277</v>
      </c>
      <c r="B280" s="8" t="inlineStr">
        <is>
          <t xml:space="preserve">        """获取待人工处理的条目数"""</t>
        </is>
      </c>
    </row>
    <row r="281">
      <c r="A281" s="9" t="n">
        <v>278</v>
      </c>
      <c r="B281" s="10" t="inlineStr">
        <is>
          <t xml:space="preserve">        try:</t>
        </is>
      </c>
    </row>
    <row r="282">
      <c r="A282" s="7" t="n">
        <v>279</v>
      </c>
      <c r="B282" s="8" t="inlineStr">
        <is>
          <t xml:space="preserve">            with sqlite3.connect(str(DB_PATH)) as conn:</t>
        </is>
      </c>
    </row>
    <row r="283">
      <c r="A283" s="9" t="n">
        <v>280</v>
      </c>
      <c r="B283" s="10" t="inlineStr">
        <is>
          <t xml:space="preserve">                row = conn.execute(</t>
        </is>
      </c>
    </row>
    <row r="284">
      <c r="A284" s="7" t="n">
        <v>281</v>
      </c>
      <c r="B284" s="8" t="inlineStr">
        <is>
          <t xml:space="preserve">                    "SELECT COUNT(*) FROM human_review_queue WHERE status='pending'"</t>
        </is>
      </c>
    </row>
    <row r="285">
      <c r="A285" s="9" t="n">
        <v>282</v>
      </c>
      <c r="B285" s="10" t="inlineStr">
        <is>
          <t xml:space="preserve">                ).fetchone()</t>
        </is>
      </c>
    </row>
    <row r="286">
      <c r="A286" s="7" t="n">
        <v>283</v>
      </c>
      <c r="B286" s="8" t="inlineStr">
        <is>
          <t xml:space="preserve">                return row[0] if row else 0</t>
        </is>
      </c>
    </row>
    <row r="287">
      <c r="A287" s="9" t="n">
        <v>284</v>
      </c>
      <c r="B287" s="10" t="inlineStr">
        <is>
          <t xml:space="preserve">        except Exception:</t>
        </is>
      </c>
    </row>
    <row r="288">
      <c r="A288" s="7" t="n">
        <v>285</v>
      </c>
      <c r="B288" s="8" t="inlineStr">
        <is>
          <t xml:space="preserve">            return 0</t>
        </is>
      </c>
    </row>
    <row r="289">
      <c r="A289" s="9" t="n">
        <v>286</v>
      </c>
      <c r="B289" s="10" t="inlineStr"/>
    </row>
    <row r="290">
      <c r="A290" s="7" t="n">
        <v>287</v>
      </c>
      <c r="B290" s="8" t="inlineStr">
        <is>
          <t xml:space="preserve">    def get_pending_human_reviews(self, limit: int = 20) -&gt; list:</t>
        </is>
      </c>
    </row>
    <row r="291">
      <c r="A291" s="9" t="n">
        <v>288</v>
      </c>
      <c r="B291" s="10" t="inlineStr">
        <is>
          <t xml:space="preserve">        """获取待人工处理列表"""</t>
        </is>
      </c>
    </row>
    <row r="292">
      <c r="A292" s="7" t="n">
        <v>289</v>
      </c>
      <c r="B292" s="8" t="inlineStr">
        <is>
          <t xml:space="preserve">        try:</t>
        </is>
      </c>
    </row>
    <row r="293">
      <c r="A293" s="9" t="n">
        <v>290</v>
      </c>
      <c r="B293" s="10" t="inlineStr">
        <is>
          <t xml:space="preserve">            with sqlite3.connect(str(DB_PATH)) as conn:</t>
        </is>
      </c>
    </row>
    <row r="294">
      <c r="A294" s="7" t="n">
        <v>291</v>
      </c>
      <c r="B294" s="8" t="inlineStr">
        <is>
          <t xml:space="preserve">                conn.row_factory = sqlite3.Row</t>
        </is>
      </c>
    </row>
    <row r="295">
      <c r="A295" s="9" t="n">
        <v>292</v>
      </c>
      <c r="B295" s="10" t="inlineStr">
        <is>
          <t xml:space="preserve">                rows = conn.execute(</t>
        </is>
      </c>
    </row>
    <row r="296">
      <c r="A296" s="7" t="n">
        <v>293</v>
      </c>
      <c r="B296" s="8" t="inlineStr">
        <is>
          <t xml:space="preserve">                    """SELECT * FROM human_review_queue</t>
        </is>
      </c>
    </row>
    <row r="297">
      <c r="A297" s="9" t="n">
        <v>294</v>
      </c>
      <c r="B297" s="10" t="inlineStr">
        <is>
          <t xml:space="preserve">                       WHERE status='pending'</t>
        </is>
      </c>
    </row>
    <row r="298">
      <c r="A298" s="7" t="n">
        <v>295</v>
      </c>
      <c r="B298" s="8" t="inlineStr">
        <is>
          <t xml:space="preserve">                       ORDER BY created_at DESC LIMIT ?""",</t>
        </is>
      </c>
    </row>
    <row r="299">
      <c r="A299" s="9" t="n">
        <v>296</v>
      </c>
      <c r="B299" s="10" t="inlineStr">
        <is>
          <t xml:space="preserve">                    (limit,)</t>
        </is>
      </c>
    </row>
    <row r="300">
      <c r="A300" s="7" t="n">
        <v>297</v>
      </c>
      <c r="B300" s="8" t="inlineStr">
        <is>
          <t xml:space="preserve">                ).fetchall()</t>
        </is>
      </c>
    </row>
    <row r="301">
      <c r="A301" s="9" t="n">
        <v>298</v>
      </c>
      <c r="B301" s="10" t="inlineStr">
        <is>
          <t xml:space="preserve">                return [dict(r) for r in rows]</t>
        </is>
      </c>
    </row>
    <row r="302">
      <c r="A302" s="7" t="n">
        <v>299</v>
      </c>
      <c r="B302" s="8" t="inlineStr">
        <is>
          <t xml:space="preserve">        except Exception:</t>
        </is>
      </c>
    </row>
    <row r="303">
      <c r="A303" s="9" t="n">
        <v>300</v>
      </c>
      <c r="B303" s="10" t="inlineStr">
        <is>
          <t xml:space="preserve">            return []</t>
        </is>
      </c>
    </row>
    <row r="304">
      <c r="A304" s="7" t="n">
        <v>301</v>
      </c>
      <c r="B304" s="8" t="inlineStr"/>
    </row>
    <row r="305">
      <c r="A305" s="9" t="n">
        <v>302</v>
      </c>
      <c r="B305" s="10" t="inlineStr">
        <is>
          <t xml:space="preserve">    def _notify_review_pending(self, keyword: str):</t>
        </is>
      </c>
    </row>
    <row r="306">
      <c r="A306" s="7" t="n">
        <v>303</v>
      </c>
      <c r="B306" s="8" t="inlineStr">
        <is>
          <t xml:space="preserve">        """通知UI有待审核项"""</t>
        </is>
      </c>
    </row>
    <row r="307">
      <c r="A307" s="9" t="n">
        <v>304</v>
      </c>
      <c r="B307" s="10" t="inlineStr">
        <is>
          <t xml:space="preserve">        try:</t>
        </is>
      </c>
    </row>
    <row r="308">
      <c r="A308" s="7" t="n">
        <v>305</v>
      </c>
      <c r="B308" s="8" t="inlineStr">
        <is>
          <t xml:space="preserve">            from core.event_bus import get_bus, Events</t>
        </is>
      </c>
    </row>
    <row r="309">
      <c r="A309" s="9" t="n">
        <v>306</v>
      </c>
      <c r="B309" s="10" t="inlineStr">
        <is>
          <t xml:space="preserve">            # 只在event_bus可用时发送通知</t>
        </is>
      </c>
    </row>
    <row r="310">
      <c r="A310" s="7" t="n">
        <v>307</v>
      </c>
      <c r="B310" s="8" t="inlineStr">
        <is>
          <t xml:space="preserve">            get_bus().publish_async(Events.REVIEW_PENDING, {</t>
        </is>
      </c>
    </row>
    <row r="311">
      <c r="A311" s="9" t="n">
        <v>308</v>
      </c>
      <c r="B311" s="10" t="inlineStr">
        <is>
          <t xml:space="preserve">                "type": "generation_failed",</t>
        </is>
      </c>
    </row>
    <row r="312">
      <c r="A312" s="7" t="n">
        <v>309</v>
      </c>
      <c r="B312" s="8" t="inlineStr">
        <is>
          <t xml:space="preserve">                "keyword": keyword,</t>
        </is>
      </c>
    </row>
    <row r="313">
      <c r="A313" s="9" t="n">
        <v>310</v>
      </c>
      <c r="B313" s="10" t="inlineStr">
        <is>
          <t xml:space="preserve">                "human_queue_count": self.human_review_count()</t>
        </is>
      </c>
    </row>
    <row r="314">
      <c r="A314" s="7" t="n">
        <v>311</v>
      </c>
      <c r="B314" s="8" t="inlineStr">
        <is>
          <t xml:space="preserve">            })</t>
        </is>
      </c>
    </row>
    <row r="315">
      <c r="A315" s="9" t="n">
        <v>312</v>
      </c>
      <c r="B315" s="10" t="inlineStr">
        <is>
          <t xml:space="preserve">        except ImportError:</t>
        </is>
      </c>
    </row>
    <row r="316">
      <c r="A316" s="7" t="n">
        <v>313</v>
      </c>
      <c r="B316" s="8" t="inlineStr">
        <is>
          <t xml:space="preserve">            pass</t>
        </is>
      </c>
    </row>
    <row r="317">
      <c r="A317" s="9" t="n">
        <v>314</v>
      </c>
      <c r="B317" s="10" t="inlineStr">
        <is>
          <t xml:space="preserve">        except Exception as e:</t>
        </is>
      </c>
    </row>
    <row r="318">
      <c r="A318" s="7" t="n">
        <v>315</v>
      </c>
      <c r="B318" s="8" t="inlineStr">
        <is>
          <t xml:space="preserve">            logger.debug(f"事件通知失败(非致命): {e}")</t>
        </is>
      </c>
    </row>
    <row r="319">
      <c r="A319" s="9" t="n">
        <v>316</v>
      </c>
      <c r="B319" s="10" t="inlineStr"/>
    </row>
    <row r="320">
      <c r="A320" s="7" t="n">
        <v>317</v>
      </c>
      <c r="B320" s="8" t="inlineStr">
        <is>
          <t xml:space="preserve">    def clear_stale_retries(self, older_than_hours: int = 72):</t>
        </is>
      </c>
    </row>
    <row r="321">
      <c r="A321" s="9" t="n">
        <v>318</v>
      </c>
      <c r="B321" s="10" t="inlineStr">
        <is>
          <t xml:space="preserve">        """清理过期重试记录"""</t>
        </is>
      </c>
    </row>
    <row r="322">
      <c r="A322" s="7" t="n">
        <v>319</v>
      </c>
      <c r="B322" s="8" t="inlineStr">
        <is>
          <t xml:space="preserve">        try:</t>
        </is>
      </c>
    </row>
    <row r="323">
      <c r="A323" s="9" t="n">
        <v>320</v>
      </c>
      <c r="B323" s="10" t="inlineStr">
        <is>
          <t xml:space="preserve">            with sqlite3.connect(str(DB_PATH)) as conn:</t>
        </is>
      </c>
    </row>
    <row r="324">
      <c r="A324" s="7" t="n">
        <v>321</v>
      </c>
      <c r="B324" s="8" t="inlineStr">
        <is>
          <t xml:space="preserve">                conn.execute(</t>
        </is>
      </c>
    </row>
    <row r="325">
      <c r="A325" s="9" t="n">
        <v>322</v>
      </c>
      <c r="B325" s="10" t="inlineStr">
        <is>
          <t xml:space="preserve">                    f"""DELETE FROM retry_queue</t>
        </is>
      </c>
    </row>
    <row r="326">
      <c r="A326" s="7" t="n">
        <v>323</v>
      </c>
      <c r="B326" s="8" t="inlineStr">
        <is>
          <t xml:space="preserve">                        WHERE status IN ('exhausted','pending')</t>
        </is>
      </c>
    </row>
    <row r="327">
      <c r="A327" s="9" t="n">
        <v>324</v>
      </c>
      <c r="B327" s="10" t="inlineStr">
        <is>
          <t xml:space="preserve">                        AND created_at &lt; datetime('now', '-{older_than_hours} hours')"""</t>
        </is>
      </c>
    </row>
    <row r="328">
      <c r="A328" s="7" t="n">
        <v>325</v>
      </c>
      <c r="B328" s="8" t="inlineStr">
        <is>
          <t xml:space="preserve">                )</t>
        </is>
      </c>
    </row>
    <row r="329">
      <c r="A329" s="9" t="n">
        <v>326</v>
      </c>
      <c r="B329" s="10" t="inlineStr">
        <is>
          <t xml:space="preserve">        except Exception as e:</t>
        </is>
      </c>
    </row>
    <row r="330">
      <c r="A330" s="7" t="n">
        <v>327</v>
      </c>
      <c r="B330" s="8" t="inlineStr">
        <is>
          <t xml:space="preserve">            logger.error(f"清理过期重试记录失败: {e}")</t>
        </is>
      </c>
    </row>
    <row r="331">
      <c r="A331" s="9" t="n">
        <v>328</v>
      </c>
      <c r="B331" s="10" t="inlineStr"/>
    </row>
    <row r="332">
      <c r="A332" s="7" t="n">
        <v>329</v>
      </c>
      <c r="B332" s="8" t="inlineStr"/>
    </row>
    <row r="333">
      <c r="A333" s="9" t="n">
        <v>330</v>
      </c>
      <c r="B333" s="10" t="inlineStr">
        <is>
          <t># ── 全局单例访问 ──────────────────────────────────────</t>
        </is>
      </c>
    </row>
    <row r="334">
      <c r="A334" s="7" t="n">
        <v>331</v>
      </c>
      <c r="B334" s="8" t="inlineStr">
        <is>
          <t>def get_retry_scheduler() -&gt; RetryScheduler:</t>
        </is>
      </c>
    </row>
    <row r="335">
      <c r="A335" s="9" t="n">
        <v>332</v>
      </c>
      <c r="B335" s="10" t="inlineStr">
        <is>
          <t xml:space="preserve">    """获取全局重试调度器单例"""</t>
        </is>
      </c>
    </row>
    <row r="336">
      <c r="A336" s="7" t="n">
        <v>333</v>
      </c>
      <c r="B336" s="8" t="inlineStr">
        <is>
          <t xml:space="preserve">    return RetryScheduler()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core\review_queue.py</t>
        </is>
      </c>
      <c r="C1" s="5" t="inlineStr">
        <is>
          <t>行数: 308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AI审核队列 (ReviewQueue) v1.0</t>
        </is>
      </c>
    </row>
    <row r="6">
      <c r="A6" s="7" t="n">
        <v>3</v>
      </c>
      <c r="B6" s="8">
        <f>====================================</f>
        <v/>
      </c>
    </row>
    <row r="7">
      <c r="A7" s="9" t="n">
        <v>4</v>
      </c>
      <c r="B7" s="10" t="inlineStr">
        <is>
          <t>★ 安全改造核心: 替代 self_evolver 的 _apply_fixes 直写逻辑</t>
        </is>
      </c>
    </row>
    <row r="8">
      <c r="A8" s="7" t="n">
        <v>5</v>
      </c>
      <c r="B8" s="8" t="inlineStr">
        <is>
          <t xml:space="preserve">   AI只能生成JSON规则建议，所有建议必须经人工审核后才可应用。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用法:</t>
        </is>
      </c>
    </row>
    <row r="11">
      <c r="A11" s="9" t="n">
        <v>8</v>
      </c>
      <c r="B11" s="10" t="inlineStr">
        <is>
          <t xml:space="preserve">    from core.review_queue import get_review_queue</t>
        </is>
      </c>
    </row>
    <row r="12">
      <c r="A12" s="7" t="n">
        <v>9</v>
      </c>
      <c r="B12" s="8" t="inlineStr">
        <is>
          <t xml:space="preserve">    rq = get_review_queue()</t>
        </is>
      </c>
    </row>
    <row r="13">
      <c r="A13" s="9" t="n">
        <v>10</v>
      </c>
      <c r="B13" s="10" t="inlineStr">
        <is>
          <t xml:space="preserve">    rid = rq.submit("标签优化", rule_dict, "DeepSeek", 0.8)</t>
        </is>
      </c>
    </row>
    <row r="14">
      <c r="A14" s="7" t="n">
        <v>11</v>
      </c>
      <c r="B14" s="8" t="inlineStr">
        <is>
          <t xml:space="preserve">    # ... 人工审核 ...</t>
        </is>
      </c>
    </row>
    <row r="15">
      <c r="A15" s="9" t="n">
        <v>12</v>
      </c>
      <c r="B15" s="10" t="inlineStr">
        <is>
          <t xml:space="preserve">    rq.approve(rid, reviewer="操作员")</t>
        </is>
      </c>
    </row>
    <row r="16">
      <c r="A16" s="7" t="n">
        <v>13</v>
      </c>
      <c r="B16" s="8" t="inlineStr">
        <is>
          <t>"""</t>
        </is>
      </c>
    </row>
    <row r="17">
      <c r="A17" s="9" t="n">
        <v>14</v>
      </c>
      <c r="B17" s="10" t="inlineStr">
        <is>
          <t>import sqlite3</t>
        </is>
      </c>
    </row>
    <row r="18">
      <c r="A18" s="7" t="n">
        <v>15</v>
      </c>
      <c r="B18" s="8" t="inlineStr">
        <is>
          <t>import json</t>
        </is>
      </c>
    </row>
    <row r="19">
      <c r="A19" s="9" t="n">
        <v>16</v>
      </c>
      <c r="B19" s="10" t="inlineStr">
        <is>
          <t>import threading</t>
        </is>
      </c>
    </row>
    <row r="20">
      <c r="A20" s="7" t="n">
        <v>17</v>
      </c>
      <c r="B20" s="8" t="inlineStr">
        <is>
          <t>import logging</t>
        </is>
      </c>
    </row>
    <row r="21">
      <c r="A21" s="9" t="n">
        <v>18</v>
      </c>
      <c r="B21" s="10" t="inlineStr">
        <is>
          <t>from pathlib import Path</t>
        </is>
      </c>
    </row>
    <row r="22">
      <c r="A22" s="7" t="n">
        <v>19</v>
      </c>
      <c r="B22" s="8" t="inlineStr">
        <is>
          <t>from datetime import datetime</t>
        </is>
      </c>
    </row>
    <row r="23">
      <c r="A23" s="9" t="n">
        <v>20</v>
      </c>
      <c r="B23" s="10" t="inlineStr">
        <is>
          <t>from typing import Optional, Dict, List, Tuple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logger = logging.getLogger("ReviewQueue")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PROJECT_ROOT = Path(__file__).parent.parent</t>
        </is>
      </c>
    </row>
    <row r="28">
      <c r="A28" s="7" t="n">
        <v>25</v>
      </c>
      <c r="B28" s="8" t="inlineStr">
        <is>
          <t>DB_PATH = PROJECT_ROOT / "ai_material_library.db"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# ★ 安全: AI规则JSON Schema — 不允许包含代码/危险内容</t>
        </is>
      </c>
    </row>
    <row r="31">
      <c r="A31" s="9" t="n">
        <v>28</v>
      </c>
      <c r="B31" s="10" t="inlineStr">
        <is>
          <t>ALLOWED_RULE_KEYS: Dict[str, Optional[List[str]]] = {</t>
        </is>
      </c>
    </row>
    <row r="32">
      <c r="A32" s="7" t="n">
        <v>29</v>
      </c>
      <c r="B32" s="8" t="inlineStr">
        <is>
          <t xml:space="preserve">    "copywriting":      ["hooks", "selling_phrases", "cta_templates", "industry_terms", "tone_words"],</t>
        </is>
      </c>
    </row>
    <row r="33">
      <c r="A33" s="9" t="n">
        <v>30</v>
      </c>
      <c r="B33" s="10" t="inlineStr">
        <is>
          <t xml:space="preserve">    "protected_words":  ["product_names", "material_terms", "craft_terms", "style_terms", "brand_terms"],</t>
        </is>
      </c>
    </row>
    <row r="34">
      <c r="A34" s="7" t="n">
        <v>31</v>
      </c>
      <c r="B34" s="8" t="inlineStr">
        <is>
          <t xml:space="preserve">    "knowledge_base":   ["stone_variants", "craft_techniques", "hardware_items", "style_variants", "color_names"],</t>
        </is>
      </c>
    </row>
    <row r="35">
      <c r="A35" s="9" t="n">
        <v>32</v>
      </c>
      <c r="B35" s="10" t="inlineStr">
        <is>
          <t xml:space="preserve">    "keyword_mapping":  None,   # 允许任意key</t>
        </is>
      </c>
    </row>
    <row r="36">
      <c r="A36" s="7" t="n">
        <v>33</v>
      </c>
      <c r="B36" s="8" t="inlineStr">
        <is>
          <t xml:space="preserve">    "synonyms":         None,   # 允许任意key</t>
        </is>
      </c>
    </row>
    <row r="37">
      <c r="A37" s="9" t="n">
        <v>34</v>
      </c>
      <c r="B37" s="10" t="inlineStr">
        <is>
          <t xml:space="preserve">    "script_patterns":  ["openings", "transitions", "closings"],</t>
        </is>
      </c>
    </row>
    <row r="38">
      <c r="A38" s="7" t="n">
        <v>35</v>
      </c>
      <c r="B38" s="8" t="inlineStr">
        <is>
          <t>}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>DANGEROUS_KEYWORDS = {"exec", "eval", "import", "subprocess", "__", "code", "script",</t>
        </is>
      </c>
    </row>
    <row r="41">
      <c r="A41" s="9" t="n">
        <v>38</v>
      </c>
      <c r="B41" s="10" t="inlineStr">
        <is>
          <t xml:space="preserve">                       "os.", "sys.", "compile", "execfile", "open(", "write(", "delete("}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/>
    </row>
    <row r="44">
      <c r="A44" s="7" t="n">
        <v>41</v>
      </c>
      <c r="B44" s="8" t="inlineStr">
        <is>
          <t>def _validate_rule_schema(rule: dict) -&gt; Tuple[bool, str]:</t>
        </is>
      </c>
    </row>
    <row r="45">
      <c r="A45" s="9" t="n">
        <v>42</v>
      </c>
      <c r="B45" s="10" t="inlineStr">
        <is>
          <t xml:space="preserve">    """</t>
        </is>
      </c>
    </row>
    <row r="46">
      <c r="A46" s="7" t="n">
        <v>43</v>
      </c>
      <c r="B46" s="8" t="inlineStr">
        <is>
          <t xml:space="preserve">    验证规则JSON格式和安全性。</t>
        </is>
      </c>
    </row>
    <row r="47">
      <c r="A47" s="9" t="n">
        <v>44</v>
      </c>
      <c r="B47" s="10" t="inlineStr">
        <is>
          <t xml:space="preserve">    拒绝: 包含代码执行关键词、非字符串值、过长词条、未知类型。</t>
        </is>
      </c>
    </row>
    <row r="48">
      <c r="A48" s="7" t="n">
        <v>45</v>
      </c>
      <c r="B48" s="8" t="inlineStr">
        <is>
          <t xml:space="preserve">    返回: (是否合法, 错误信息)</t>
        </is>
      </c>
    </row>
    <row r="49">
      <c r="A49" s="9" t="n">
        <v>46</v>
      </c>
      <c r="B49" s="10" t="inlineStr">
        <is>
          <t xml:space="preserve">    """</t>
        </is>
      </c>
    </row>
    <row r="50">
      <c r="A50" s="7" t="n">
        <v>47</v>
      </c>
      <c r="B50" s="8" t="inlineStr">
        <is>
          <t xml:space="preserve">    if not isinstance(rule, dict):</t>
        </is>
      </c>
    </row>
    <row r="51">
      <c r="A51" s="9" t="n">
        <v>48</v>
      </c>
      <c r="B51" s="10" t="inlineStr">
        <is>
          <t xml:space="preserve">        return False, "规则必须是字典"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>
        <is>
          <t xml:space="preserve">    # 检查危险关键词</t>
        </is>
      </c>
    </row>
    <row r="54">
      <c r="A54" s="7" t="n">
        <v>51</v>
      </c>
      <c r="B54" s="8" t="inlineStr">
        <is>
          <t xml:space="preserve">    rule_str = json.dumps(rule, ensure_ascii=False).lower()</t>
        </is>
      </c>
    </row>
    <row r="55">
      <c r="A55" s="9" t="n">
        <v>52</v>
      </c>
      <c r="B55" s="10" t="inlineStr">
        <is>
          <t xml:space="preserve">    for dk in DANGEROUS_KEYWORDS:</t>
        </is>
      </c>
    </row>
    <row r="56">
      <c r="A56" s="7" t="n">
        <v>53</v>
      </c>
      <c r="B56" s="8" t="inlineStr">
        <is>
          <t xml:space="preserve">        if dk in rule_str:</t>
        </is>
      </c>
    </row>
    <row r="57">
      <c r="A57" s="9" t="n">
        <v>54</v>
      </c>
      <c r="B57" s="10" t="inlineStr">
        <is>
          <t xml:space="preserve">            return False, f"规则包含危险关键词: {dk}"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>
        <is>
          <t xml:space="preserve">    # 检查rule_type级别</t>
        </is>
      </c>
    </row>
    <row r="60">
      <c r="A60" s="7" t="n">
        <v>57</v>
      </c>
      <c r="B60" s="8" t="inlineStr">
        <is>
          <t xml:space="preserve">    for section, cats in rule.items():</t>
        </is>
      </c>
    </row>
    <row r="61">
      <c r="A61" s="9" t="n">
        <v>58</v>
      </c>
      <c r="B61" s="10" t="inlineStr">
        <is>
          <t xml:space="preserve">        if section not in ALLOWED_RULE_KEYS:</t>
        </is>
      </c>
    </row>
    <row r="62">
      <c r="A62" s="7" t="n">
        <v>59</v>
      </c>
      <c r="B62" s="8" t="inlineStr">
        <is>
          <t xml:space="preserve">            return False, f"未知规则类型: {section}"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    if not isinstance(rule[section], dict):</t>
        </is>
      </c>
    </row>
    <row r="65">
      <c r="A65" s="9" t="n">
        <v>62</v>
      </c>
      <c r="B65" s="10" t="inlineStr">
        <is>
          <t xml:space="preserve">            return False, f"{section} 必须是字典"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    allowed_cats = ALLOWED_RULE_KEYS[section]</t>
        </is>
      </c>
    </row>
    <row r="68">
      <c r="A68" s="7" t="n">
        <v>65</v>
      </c>
      <c r="B68" s="8" t="inlineStr">
        <is>
          <t xml:space="preserve">        if allowed_cats is not None:  # 有限制的section</t>
        </is>
      </c>
    </row>
    <row r="69">
      <c r="A69" s="9" t="n">
        <v>66</v>
      </c>
      <c r="B69" s="10" t="inlineStr">
        <is>
          <t xml:space="preserve">            for cat in rule[section]:</t>
        </is>
      </c>
    </row>
    <row r="70">
      <c r="A70" s="7" t="n">
        <v>67</v>
      </c>
      <c r="B70" s="8" t="inlineStr">
        <is>
          <t xml:space="preserve">                if cat not in allowed_cats:</t>
        </is>
      </c>
    </row>
    <row r="71">
      <c r="A71" s="9" t="n">
        <v>68</v>
      </c>
      <c r="B71" s="10" t="inlineStr">
        <is>
          <t xml:space="preserve">                    return False, f"不允许的子类别: {section}.{cat}"</t>
        </is>
      </c>
    </row>
    <row r="72">
      <c r="A72" s="7" t="n">
        <v>69</v>
      </c>
      <c r="B72" s="8" t="inlineStr">
        <is>
          <t xml:space="preserve">                items = rule[section][cat]</t>
        </is>
      </c>
    </row>
    <row r="73">
      <c r="A73" s="9" t="n">
        <v>70</v>
      </c>
      <c r="B73" s="10" t="inlineStr">
        <is>
          <t xml:space="preserve">                if not isinstance(items, list):</t>
        </is>
      </c>
    </row>
    <row r="74">
      <c r="A74" s="7" t="n">
        <v>71</v>
      </c>
      <c r="B74" s="8" t="inlineStr">
        <is>
          <t xml:space="preserve">                    return False, f"{section}.{cat} 必须是列表"</t>
        </is>
      </c>
    </row>
    <row r="75">
      <c r="A75" s="9" t="n">
        <v>72</v>
      </c>
      <c r="B75" s="10" t="inlineStr">
        <is>
          <t xml:space="preserve">                for item in items:</t>
        </is>
      </c>
    </row>
    <row r="76">
      <c r="A76" s="7" t="n">
        <v>73</v>
      </c>
      <c r="B76" s="8" t="inlineStr">
        <is>
          <t xml:space="preserve">                    if not isinstance(item, str):</t>
        </is>
      </c>
    </row>
    <row r="77">
      <c r="A77" s="9" t="n">
        <v>74</v>
      </c>
      <c r="B77" s="10" t="inlineStr">
        <is>
          <t xml:space="preserve">                        return False, f"{section}.{cat} 列表只能包含纯文本字符串"</t>
        </is>
      </c>
    </row>
    <row r="78">
      <c r="A78" s="7" t="n">
        <v>75</v>
      </c>
      <c r="B78" s="8" t="inlineStr">
        <is>
          <t xml:space="preserve">                    if len(item) &gt; 100:</t>
        </is>
      </c>
    </row>
    <row r="79">
      <c r="A79" s="9" t="n">
        <v>76</v>
      </c>
      <c r="B79" s="10" t="inlineStr">
        <is>
          <t xml:space="preserve">                        return False, f"词条过长(&gt;100字符): {item[:30]}..."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 xml:space="preserve">    return True, "OK"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/>
    </row>
    <row r="84">
      <c r="A84" s="7" t="n">
        <v>81</v>
      </c>
      <c r="B84" s="8" t="inlineStr">
        <is>
          <t>class ReviewQueue:</t>
        </is>
      </c>
    </row>
    <row r="85">
      <c r="A85" s="9" t="n">
        <v>82</v>
      </c>
      <c r="B85" s="10" t="inlineStr">
        <is>
          <t xml:space="preserve">    """</t>
        </is>
      </c>
    </row>
    <row r="86">
      <c r="A86" s="7" t="n">
        <v>83</v>
      </c>
      <c r="B86" s="8" t="inlineStr">
        <is>
          <t xml:space="preserve">    AI建议审核队列 — 所有AI生成的内容必须经人工确认后方可应用。</t>
        </is>
      </c>
    </row>
    <row r="87">
      <c r="A87" s="9" t="n">
        <v>84</v>
      </c>
      <c r="B87" s="10" t="inlineStr">
        <is>
          <t xml:space="preserve">    替代 self_evolver._apply_fixes 的代码直写行为。</t>
        </is>
      </c>
    </row>
    <row r="88">
      <c r="A88" s="7" t="n">
        <v>85</v>
      </c>
      <c r="B88" s="8" t="inlineStr">
        <is>
          <t xml:space="preserve">    """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_instance: Optional["ReviewQueue"] = None</t>
        </is>
      </c>
    </row>
    <row r="91">
      <c r="A91" s="9" t="n">
        <v>88</v>
      </c>
      <c r="B91" s="10" t="inlineStr">
        <is>
          <t xml:space="preserve">    _instance_lock = threading.Lock()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 xml:space="preserve">    def __new__(cls):</t>
        </is>
      </c>
    </row>
    <row r="94">
      <c r="A94" s="7" t="n">
        <v>91</v>
      </c>
      <c r="B94" s="8" t="inlineStr">
        <is>
          <t xml:space="preserve">        if cls._instance is None:</t>
        </is>
      </c>
    </row>
    <row r="95">
      <c r="A95" s="9" t="n">
        <v>92</v>
      </c>
      <c r="B95" s="10" t="inlineStr">
        <is>
          <t xml:space="preserve">            with cls._instance_lock:</t>
        </is>
      </c>
    </row>
    <row r="96">
      <c r="A96" s="7" t="n">
        <v>93</v>
      </c>
      <c r="B96" s="8" t="inlineStr">
        <is>
          <t xml:space="preserve">                if cls._instance is None:</t>
        </is>
      </c>
    </row>
    <row r="97">
      <c r="A97" s="9" t="n">
        <v>94</v>
      </c>
      <c r="B97" s="10" t="inlineStr">
        <is>
          <t xml:space="preserve">                    obj = super().__new__(cls)</t>
        </is>
      </c>
    </row>
    <row r="98">
      <c r="A98" s="7" t="n">
        <v>95</v>
      </c>
      <c r="B98" s="8" t="inlineStr">
        <is>
          <t xml:space="preserve">                    obj._lock = threading.Lock()</t>
        </is>
      </c>
    </row>
    <row r="99">
      <c r="A99" s="9" t="n">
        <v>96</v>
      </c>
      <c r="B99" s="10" t="inlineStr">
        <is>
          <t xml:space="preserve">                    obj._ensure_table()</t>
        </is>
      </c>
    </row>
    <row r="100">
      <c r="A100" s="7" t="n">
        <v>97</v>
      </c>
      <c r="B100" s="8" t="inlineStr">
        <is>
          <t xml:space="preserve">                    cls._instance = obj</t>
        </is>
      </c>
    </row>
    <row r="101">
      <c r="A101" s="9" t="n">
        <v>98</v>
      </c>
      <c r="B101" s="10" t="inlineStr">
        <is>
          <t xml:space="preserve">        return cls._instance</t>
        </is>
      </c>
    </row>
    <row r="102">
      <c r="A102" s="7" t="n">
        <v>99</v>
      </c>
      <c r="B102" s="8" t="inlineStr"/>
    </row>
    <row r="103">
      <c r="A103" s="9" t="n">
        <v>100</v>
      </c>
      <c r="B103" s="10" t="inlineStr">
        <is>
          <t xml:space="preserve">    def _ensure_table(self):</t>
        </is>
      </c>
    </row>
    <row r="104">
      <c r="A104" s="7" t="n">
        <v>101</v>
      </c>
      <c r="B104" s="8" t="inlineStr">
        <is>
          <t xml:space="preserve">        """创建审核队列表"""</t>
        </is>
      </c>
    </row>
    <row r="105">
      <c r="A105" s="9" t="n">
        <v>102</v>
      </c>
      <c r="B105" s="10" t="inlineStr">
        <is>
          <t xml:space="preserve">        try:</t>
        </is>
      </c>
    </row>
    <row r="106">
      <c r="A106" s="7" t="n">
        <v>103</v>
      </c>
      <c r="B106" s="8" t="inlineStr">
        <is>
          <t xml:space="preserve">            with sqlite3.connect(str(DB_PATH)) as conn:</t>
        </is>
      </c>
    </row>
    <row r="107">
      <c r="A107" s="9" t="n">
        <v>104</v>
      </c>
      <c r="B107" s="10" t="inlineStr">
        <is>
          <t xml:space="preserve">                conn.executescript("""</t>
        </is>
      </c>
    </row>
    <row r="108">
      <c r="A108" s="7" t="n">
        <v>105</v>
      </c>
      <c r="B108" s="8" t="inlineStr">
        <is>
          <t xml:space="preserve">                    PRAGMA journal_mode=WAL;</t>
        </is>
      </c>
    </row>
    <row r="109">
      <c r="A109" s="9" t="n">
        <v>106</v>
      </c>
      <c r="B109" s="10" t="inlineStr"/>
    </row>
    <row r="110">
      <c r="A110" s="7" t="n">
        <v>107</v>
      </c>
      <c r="B110" s="8" t="inlineStr">
        <is>
          <t xml:space="preserve">                    CREATE TABLE IF NOT EXISTS ai_review_queue (</t>
        </is>
      </c>
    </row>
    <row r="111">
      <c r="A111" s="9" t="n">
        <v>108</v>
      </c>
      <c r="B111" s="10" t="inlineStr">
        <is>
          <t xml:space="preserve">                        id INTEGER PRIMARY KEY AUTOINCREMENT,</t>
        </is>
      </c>
    </row>
    <row r="112">
      <c r="A112" s="7" t="n">
        <v>109</v>
      </c>
      <c r="B112" s="8" t="inlineStr">
        <is>
          <t xml:space="preserve">                        rule_type TEXT NOT NULL,</t>
        </is>
      </c>
    </row>
    <row r="113">
      <c r="A113" s="9" t="n">
        <v>110</v>
      </c>
      <c r="B113" s="10" t="inlineStr">
        <is>
          <t xml:space="preserve">                        content TEXT NOT NULL,</t>
        </is>
      </c>
    </row>
    <row r="114">
      <c r="A114" s="7" t="n">
        <v>111</v>
      </c>
      <c r="B114" s="8" t="inlineStr">
        <is>
          <t xml:space="preserve">                        source TEXT DEFAULT 'AI',</t>
        </is>
      </c>
    </row>
    <row r="115">
      <c r="A115" s="9" t="n">
        <v>112</v>
      </c>
      <c r="B115" s="10" t="inlineStr">
        <is>
          <t xml:space="preserve">                        confidence REAL DEFAULT 0.0,</t>
        </is>
      </c>
    </row>
    <row r="116">
      <c r="A116" s="7" t="n">
        <v>113</v>
      </c>
      <c r="B116" s="8" t="inlineStr">
        <is>
          <t xml:space="preserve">                        status TEXT DEFAULT 'pending',</t>
        </is>
      </c>
    </row>
    <row r="117">
      <c r="A117" s="9" t="n">
        <v>114</v>
      </c>
      <c r="B117" s="10" t="inlineStr">
        <is>
          <t xml:space="preserve">                        reviewer TEXT DEFAULT '',</t>
        </is>
      </c>
    </row>
    <row r="118">
      <c r="A118" s="7" t="n">
        <v>115</v>
      </c>
      <c r="B118" s="8" t="inlineStr">
        <is>
          <t xml:space="preserve">                        review_note TEXT DEFAULT '',</t>
        </is>
      </c>
    </row>
    <row r="119">
      <c r="A119" s="9" t="n">
        <v>116</v>
      </c>
      <c r="B119" s="10" t="inlineStr">
        <is>
          <t xml:space="preserve">                        created_at TEXT DEFAULT CURRENT_TIMESTAMP,</t>
        </is>
      </c>
    </row>
    <row r="120">
      <c r="A120" s="7" t="n">
        <v>117</v>
      </c>
      <c r="B120" s="8" t="inlineStr">
        <is>
          <t xml:space="preserve">                        reviewed_at TEXT</t>
        </is>
      </c>
    </row>
    <row r="121">
      <c r="A121" s="9" t="n">
        <v>118</v>
      </c>
      <c r="B121" s="10" t="inlineStr">
        <is>
          <t xml:space="preserve">                    );</t>
        </is>
      </c>
    </row>
    <row r="122">
      <c r="A122" s="7" t="n">
        <v>119</v>
      </c>
      <c r="B122" s="8" t="inlineStr">
        <is>
          <t xml:space="preserve">                    CREATE INDEX IF NOT EXISTS idx_review_status</t>
        </is>
      </c>
    </row>
    <row r="123">
      <c r="A123" s="9" t="n">
        <v>120</v>
      </c>
      <c r="B123" s="10" t="inlineStr">
        <is>
          <t xml:space="preserve">                        ON ai_review_queue(status);</t>
        </is>
      </c>
    </row>
    <row r="124">
      <c r="A124" s="7" t="n">
        <v>121</v>
      </c>
      <c r="B124" s="8" t="inlineStr">
        <is>
          <t xml:space="preserve">                """)</t>
        </is>
      </c>
    </row>
    <row r="125">
      <c r="A125" s="9" t="n">
        <v>122</v>
      </c>
      <c r="B125" s="10" t="inlineStr">
        <is>
          <t xml:space="preserve">        except Exception as e:</t>
        </is>
      </c>
    </row>
    <row r="126">
      <c r="A126" s="7" t="n">
        <v>123</v>
      </c>
      <c r="B126" s="8" t="inlineStr">
        <is>
          <t xml:space="preserve">            logger.error(f"审核队列表创建失败: {e}")</t>
        </is>
      </c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 xml:space="preserve">    # ── 提交审核 ────────────────────────────────────────</t>
        </is>
      </c>
    </row>
    <row r="129">
      <c r="A129" s="9" t="n">
        <v>126</v>
      </c>
      <c r="B129" s="10" t="inlineStr">
        <is>
          <t xml:space="preserve">    def submit(self, rule_type: str, content: dict, source: str = "AI",</t>
        </is>
      </c>
    </row>
    <row r="130">
      <c r="A130" s="7" t="n">
        <v>127</v>
      </c>
      <c r="B130" s="8" t="inlineStr">
        <is>
          <t xml:space="preserve">               confidence: float = 0.0) -&gt; int:</t>
        </is>
      </c>
    </row>
    <row r="131">
      <c r="A131" s="9" t="n">
        <v>128</v>
      </c>
      <c r="B131" s="10" t="inlineStr">
        <is>
          <t xml:space="preserve">        """</t>
        </is>
      </c>
    </row>
    <row r="132">
      <c r="A132" s="7" t="n">
        <v>129</v>
      </c>
      <c r="B132" s="8" t="inlineStr">
        <is>
          <t xml:space="preserve">        提交AI建议到审核队列。</t>
        </is>
      </c>
    </row>
    <row r="133">
      <c r="A133" s="9" t="n">
        <v>130</v>
      </c>
      <c r="B133" s="10" t="inlineStr">
        <is>
          <t xml:space="preserve">        返回: review_id (int)，可用于后续 approve/reject。</t>
        </is>
      </c>
    </row>
    <row r="134">
      <c r="A134" s="7" t="n">
        <v>131</v>
      </c>
      <c r="B134" s="8" t="inlineStr">
        <is>
          <t xml:space="preserve">        """</t>
        </is>
      </c>
    </row>
    <row r="135">
      <c r="A135" s="9" t="n">
        <v>132</v>
      </c>
      <c r="B135" s="10" t="inlineStr">
        <is>
          <t xml:space="preserve">        # 安全验证</t>
        </is>
      </c>
    </row>
    <row r="136">
      <c r="A136" s="7" t="n">
        <v>133</v>
      </c>
      <c r="B136" s="8" t="inlineStr">
        <is>
          <t xml:space="preserve">        valid, msg = _validate_rule_schema(content)</t>
        </is>
      </c>
    </row>
    <row r="137">
      <c r="A137" s="9" t="n">
        <v>134</v>
      </c>
      <c r="B137" s="10" t="inlineStr">
        <is>
          <t xml:space="preserve">        if not valid:</t>
        </is>
      </c>
    </row>
    <row r="138">
      <c r="A138" s="7" t="n">
        <v>135</v>
      </c>
      <c r="B138" s="8" t="inlineStr">
        <is>
          <t xml:space="preserve">            logger.warning(f"规则schema验证失败, 拒绝提交: {msg}")</t>
        </is>
      </c>
    </row>
    <row r="139">
      <c r="A139" s="9" t="n">
        <v>136</v>
      </c>
      <c r="B139" s="10" t="inlineStr">
        <is>
          <t xml:space="preserve">            raise ValueError(f"规则验证失败: {msg}")</t>
        </is>
      </c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 xml:space="preserve">        with sqlite3.connect(str(DB_PATH)) as conn:</t>
        </is>
      </c>
    </row>
    <row r="142">
      <c r="A142" s="7" t="n">
        <v>139</v>
      </c>
      <c r="B142" s="8" t="inlineStr">
        <is>
          <t xml:space="preserve">            cur = conn.execute(</t>
        </is>
      </c>
    </row>
    <row r="143">
      <c r="A143" s="9" t="n">
        <v>140</v>
      </c>
      <c r="B143" s="10" t="inlineStr">
        <is>
          <t xml:space="preserve">                """INSERT INTO ai_review_queue</t>
        </is>
      </c>
    </row>
    <row r="144">
      <c r="A144" s="7" t="n">
        <v>141</v>
      </c>
      <c r="B144" s="8" t="inlineStr">
        <is>
          <t xml:space="preserve">                   (rule_type, content, source, confidence)</t>
        </is>
      </c>
    </row>
    <row r="145">
      <c r="A145" s="9" t="n">
        <v>142</v>
      </c>
      <c r="B145" s="10" t="inlineStr">
        <is>
          <t xml:space="preserve">                   VALUES (?,?,?,?)""",</t>
        </is>
      </c>
    </row>
    <row r="146">
      <c r="A146" s="7" t="n">
        <v>143</v>
      </c>
      <c r="B146" s="8" t="inlineStr">
        <is>
          <t xml:space="preserve">                (rule_type, json.dumps(content, ensure_ascii=False), source, confidence)</t>
        </is>
      </c>
    </row>
    <row r="147">
      <c r="A147" s="9" t="n">
        <v>144</v>
      </c>
      <c r="B147" s="10" t="inlineStr">
        <is>
          <t xml:space="preserve">            )</t>
        </is>
      </c>
    </row>
    <row r="148">
      <c r="A148" s="7" t="n">
        <v>145</v>
      </c>
      <c r="B148" s="8" t="inlineStr">
        <is>
          <t xml:space="preserve">            rid = cur.lastrowid</t>
        </is>
      </c>
    </row>
    <row r="149">
      <c r="A149" s="9" t="n">
        <v>146</v>
      </c>
      <c r="B149" s="10" t="inlineStr">
        <is>
          <t xml:space="preserve">            logger.info(f"AI建议已提交审核: id={rid}, type={rule_type}, source={source}")</t>
        </is>
      </c>
    </row>
    <row r="150">
      <c r="A150" s="7" t="n">
        <v>147</v>
      </c>
      <c r="B150" s="8" t="inlineStr">
        <is>
          <t xml:space="preserve">            return rid</t>
        </is>
      </c>
    </row>
    <row r="151">
      <c r="A151" s="9" t="n">
        <v>148</v>
      </c>
      <c r="B151" s="10" t="inlineStr"/>
    </row>
    <row r="152">
      <c r="A152" s="7" t="n">
        <v>149</v>
      </c>
      <c r="B152" s="8" t="inlineStr">
        <is>
          <t xml:space="preserve">    # ── 审核通过 ────────────────────────────────────────</t>
        </is>
      </c>
    </row>
    <row r="153">
      <c r="A153" s="9" t="n">
        <v>150</v>
      </c>
      <c r="B153" s="10" t="inlineStr">
        <is>
          <t xml:space="preserve">    def approve(self, review_id: int, reviewer: str = "human") -&gt; bool:</t>
        </is>
      </c>
    </row>
    <row r="154">
      <c r="A154" s="7" t="n">
        <v>151</v>
      </c>
      <c r="B154" s="8" t="inlineStr">
        <is>
          <t xml:space="preserve">        """</t>
        </is>
      </c>
    </row>
    <row r="155">
      <c r="A155" s="9" t="n">
        <v>152</v>
      </c>
      <c r="B155" s="10" t="inlineStr">
        <is>
          <t xml:space="preserve">        审核通过 — 自动应用规则到 learner。</t>
        </is>
      </c>
    </row>
    <row r="156">
      <c r="A156" s="7" t="n">
        <v>153</v>
      </c>
      <c r="B156" s="8" t="inlineStr">
        <is>
          <t xml:space="preserve">        返回: True=成功应用, False=审核ID不存在或规则无效。</t>
        </is>
      </c>
    </row>
    <row r="157">
      <c r="A157" s="9" t="n">
        <v>154</v>
      </c>
      <c r="B157" s="10" t="inlineStr">
        <is>
          <t xml:space="preserve">        """</t>
        </is>
      </c>
    </row>
    <row r="158">
      <c r="A158" s="7" t="n">
        <v>155</v>
      </c>
      <c r="B158" s="8" t="inlineStr">
        <is>
          <t xml:space="preserve">        with sqlite3.connect(str(DB_PATH)) as conn:</t>
        </is>
      </c>
    </row>
    <row r="159">
      <c r="A159" s="9" t="n">
        <v>156</v>
      </c>
      <c r="B159" s="10" t="inlineStr">
        <is>
          <t xml:space="preserve">            row = conn.execute(</t>
        </is>
      </c>
    </row>
    <row r="160">
      <c r="A160" s="7" t="n">
        <v>157</v>
      </c>
      <c r="B160" s="8" t="inlineStr">
        <is>
          <t xml:space="preserve">                """SELECT rule_type, content FROM ai_review_queue</t>
        </is>
      </c>
    </row>
    <row r="161">
      <c r="A161" s="9" t="n">
        <v>158</v>
      </c>
      <c r="B161" s="10" t="inlineStr">
        <is>
          <t xml:space="preserve">                   WHERE id=? AND status='pending'""",</t>
        </is>
      </c>
    </row>
    <row r="162">
      <c r="A162" s="7" t="n">
        <v>159</v>
      </c>
      <c r="B162" s="8" t="inlineStr">
        <is>
          <t xml:space="preserve">                (review_id,)</t>
        </is>
      </c>
    </row>
    <row r="163">
      <c r="A163" s="9" t="n">
        <v>160</v>
      </c>
      <c r="B163" s="10" t="inlineStr">
        <is>
          <t xml:space="preserve">            ).fetchone()</t>
        </is>
      </c>
    </row>
    <row r="164">
      <c r="A164" s="7" t="n">
        <v>161</v>
      </c>
      <c r="B164" s="8" t="inlineStr"/>
    </row>
    <row r="165">
      <c r="A165" s="9" t="n">
        <v>162</v>
      </c>
      <c r="B165" s="10" t="inlineStr">
        <is>
          <t xml:space="preserve">            if not row:</t>
        </is>
      </c>
    </row>
    <row r="166">
      <c r="A166" s="7" t="n">
        <v>163</v>
      </c>
      <c r="B166" s="8" t="inlineStr">
        <is>
          <t xml:space="preserve">                logger.warning(f"审核ID不存在或已处理: {review_id}")</t>
        </is>
      </c>
    </row>
    <row r="167">
      <c r="A167" s="9" t="n">
        <v>164</v>
      </c>
      <c r="B167" s="10" t="inlineStr">
        <is>
          <t xml:space="preserve">                return False</t>
        </is>
      </c>
    </row>
    <row r="168">
      <c r="A168" s="7" t="n">
        <v>165</v>
      </c>
      <c r="B168" s="8" t="inlineStr"/>
    </row>
    <row r="169">
      <c r="A169" s="9" t="n">
        <v>166</v>
      </c>
      <c r="B169" s="10" t="inlineStr">
        <is>
          <t xml:space="preserve">            rule_type, content_str = row</t>
        </is>
      </c>
    </row>
    <row r="170">
      <c r="A170" s="7" t="n">
        <v>167</v>
      </c>
      <c r="B170" s="8" t="inlineStr">
        <is>
          <t xml:space="preserve">            try:</t>
        </is>
      </c>
    </row>
    <row r="171">
      <c r="A171" s="9" t="n">
        <v>168</v>
      </c>
      <c r="B171" s="10" t="inlineStr">
        <is>
          <t xml:space="preserve">                content = json.loads(content_str)</t>
        </is>
      </c>
    </row>
    <row r="172">
      <c r="A172" s="7" t="n">
        <v>169</v>
      </c>
      <c r="B172" s="8" t="inlineStr">
        <is>
          <t xml:space="preserve">            except json.JSONDecodeError:</t>
        </is>
      </c>
    </row>
    <row r="173">
      <c r="A173" s="9" t="n">
        <v>170</v>
      </c>
      <c r="B173" s="10" t="inlineStr">
        <is>
          <t xml:space="preserve">                logger.error(f"审核队列中的规则JSON损坏: id={review_id}")</t>
        </is>
      </c>
    </row>
    <row r="174">
      <c r="A174" s="7" t="n">
        <v>171</v>
      </c>
      <c r="B174" s="8" t="inlineStr">
        <is>
          <t xml:space="preserve">                conn.execute(</t>
        </is>
      </c>
    </row>
    <row r="175">
      <c r="A175" s="9" t="n">
        <v>172</v>
      </c>
      <c r="B175" s="10" t="inlineStr">
        <is>
          <t xml:space="preserve">                    "UPDATE ai_review_queue SET status='corrupted', review_note=? WHERE id=?",</t>
        </is>
      </c>
    </row>
    <row r="176">
      <c r="A176" s="7" t="n">
        <v>173</v>
      </c>
      <c r="B176" s="8" t="inlineStr">
        <is>
          <t xml:space="preserve">                    ("JSON解析失败", review_id)</t>
        </is>
      </c>
    </row>
    <row r="177">
      <c r="A177" s="9" t="n">
        <v>174</v>
      </c>
      <c r="B177" s="10" t="inlineStr">
        <is>
          <t xml:space="preserve">                )</t>
        </is>
      </c>
    </row>
    <row r="178">
      <c r="A178" s="7" t="n">
        <v>175</v>
      </c>
      <c r="B178" s="8" t="inlineStr">
        <is>
          <t xml:space="preserve">                return False</t>
        </is>
      </c>
    </row>
    <row r="179">
      <c r="A179" s="9" t="n">
        <v>176</v>
      </c>
      <c r="B179" s="10" t="inlineStr"/>
    </row>
    <row r="180">
      <c r="A180" s="7" t="n">
        <v>177</v>
      </c>
      <c r="B180" s="8" t="inlineStr">
        <is>
          <t xml:space="preserve">            # 再次验证安全性（防止数据库被篡改）</t>
        </is>
      </c>
    </row>
    <row r="181">
      <c r="A181" s="9" t="n">
        <v>178</v>
      </c>
      <c r="B181" s="10" t="inlineStr">
        <is>
          <t xml:space="preserve">            valid, msg = _validate_rule_schema(content)</t>
        </is>
      </c>
    </row>
    <row r="182">
      <c r="A182" s="7" t="n">
        <v>179</v>
      </c>
      <c r="B182" s="8" t="inlineStr">
        <is>
          <t xml:space="preserve">            if not valid:</t>
        </is>
      </c>
    </row>
    <row r="183">
      <c r="A183" s="9" t="n">
        <v>180</v>
      </c>
      <c r="B183" s="10" t="inlineStr">
        <is>
          <t xml:space="preserve">                logger.warning(f"审核拒绝: {msg}")</t>
        </is>
      </c>
    </row>
    <row r="184">
      <c r="A184" s="7" t="n">
        <v>181</v>
      </c>
      <c r="B184" s="8" t="inlineStr">
        <is>
          <t xml:space="preserve">                conn.execute(</t>
        </is>
      </c>
    </row>
    <row r="185">
      <c r="A185" s="9" t="n">
        <v>182</v>
      </c>
      <c r="B185" s="10" t="inlineStr">
        <is>
          <t xml:space="preserve">                    "UPDATE ai_review_queue SET status='rejected', review_note=? WHERE id=?",</t>
        </is>
      </c>
    </row>
    <row r="186">
      <c r="A186" s="7" t="n">
        <v>183</v>
      </c>
      <c r="B186" s="8" t="inlineStr">
        <is>
          <t xml:space="preserve">                    (f"安全检查失败: {msg}", review_id)</t>
        </is>
      </c>
    </row>
    <row r="187">
      <c r="A187" s="9" t="n">
        <v>184</v>
      </c>
      <c r="B187" s="10" t="inlineStr">
        <is>
          <t xml:space="preserve">                )</t>
        </is>
      </c>
    </row>
    <row r="188">
      <c r="A188" s="7" t="n">
        <v>185</v>
      </c>
      <c r="B188" s="8" t="inlineStr">
        <is>
          <t xml:space="preserve">                return False</t>
        </is>
      </c>
    </row>
    <row r="189">
      <c r="A189" s="9" t="n">
        <v>186</v>
      </c>
      <c r="B189" s="10" t="inlineStr"/>
    </row>
    <row r="190">
      <c r="A190" s="7" t="n">
        <v>187</v>
      </c>
      <c r="B190" s="8" t="inlineStr">
        <is>
          <t xml:space="preserve">            # 应用规则到 learner</t>
        </is>
      </c>
    </row>
    <row r="191">
      <c r="A191" s="9" t="n">
        <v>188</v>
      </c>
      <c r="B191" s="10" t="inlineStr">
        <is>
          <t xml:space="preserve">            try:</t>
        </is>
      </c>
    </row>
    <row r="192">
      <c r="A192" s="7" t="n">
        <v>189</v>
      </c>
      <c r="B192" s="8" t="inlineStr">
        <is>
          <t xml:space="preserve">                from core.learner import get_learner</t>
        </is>
      </c>
    </row>
    <row r="193">
      <c r="A193" s="9" t="n">
        <v>190</v>
      </c>
      <c r="B193" s="10" t="inlineStr">
        <is>
          <t xml:space="preserve">                get_learner().bulk_learn(content)</t>
        </is>
      </c>
    </row>
    <row r="194">
      <c r="A194" s="7" t="n">
        <v>191</v>
      </c>
      <c r="B194" s="8" t="inlineStr">
        <is>
          <t xml:space="preserve">                logger.info(f"规则已应用: id={review_id}, type={rule_type}")</t>
        </is>
      </c>
    </row>
    <row r="195">
      <c r="A195" s="9" t="n">
        <v>192</v>
      </c>
      <c r="B195" s="10" t="inlineStr">
        <is>
          <t xml:space="preserve">            except Exception as e:</t>
        </is>
      </c>
    </row>
    <row r="196">
      <c r="A196" s="7" t="n">
        <v>193</v>
      </c>
      <c r="B196" s="8" t="inlineStr">
        <is>
          <t xml:space="preserve">                logger.error(f"规则应用失败: {e}")</t>
        </is>
      </c>
    </row>
    <row r="197">
      <c r="A197" s="9" t="n">
        <v>194</v>
      </c>
      <c r="B197" s="10" t="inlineStr">
        <is>
          <t xml:space="preserve">                conn.execute(</t>
        </is>
      </c>
    </row>
    <row r="198">
      <c r="A198" s="7" t="n">
        <v>195</v>
      </c>
      <c r="B198" s="8" t="inlineStr">
        <is>
          <t xml:space="preserve">                    "UPDATE ai_review_queue SET status='apply_failed', review_note=? WHERE id=?",</t>
        </is>
      </c>
    </row>
    <row r="199">
      <c r="A199" s="9" t="n">
        <v>196</v>
      </c>
      <c r="B199" s="10" t="inlineStr">
        <is>
          <t xml:space="preserve">                    (str(e)[:200], review_id)</t>
        </is>
      </c>
    </row>
    <row r="200">
      <c r="A200" s="7" t="n">
        <v>197</v>
      </c>
      <c r="B200" s="8" t="inlineStr">
        <is>
          <t xml:space="preserve">                )</t>
        </is>
      </c>
    </row>
    <row r="201">
      <c r="A201" s="9" t="n">
        <v>198</v>
      </c>
      <c r="B201" s="10" t="inlineStr">
        <is>
          <t xml:space="preserve">                return False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 xml:space="preserve">            # 标记已通过</t>
        </is>
      </c>
    </row>
    <row r="204">
      <c r="A204" s="7" t="n">
        <v>201</v>
      </c>
      <c r="B204" s="8" t="inlineStr">
        <is>
          <t xml:space="preserve">            conn.execute(</t>
        </is>
      </c>
    </row>
    <row r="205">
      <c r="A205" s="9" t="n">
        <v>202</v>
      </c>
      <c r="B205" s="10" t="inlineStr">
        <is>
          <t xml:space="preserve">                """UPDATE ai_review_queue</t>
        </is>
      </c>
    </row>
    <row r="206">
      <c r="A206" s="7" t="n">
        <v>203</v>
      </c>
      <c r="B206" s="8" t="inlineStr">
        <is>
          <t xml:space="preserve">                   SET status='approved', reviewer=?, reviewed_at=?</t>
        </is>
      </c>
    </row>
    <row r="207">
      <c r="A207" s="9" t="n">
        <v>204</v>
      </c>
      <c r="B207" s="10" t="inlineStr">
        <is>
          <t xml:space="preserve">                   WHERE id=?""",</t>
        </is>
      </c>
    </row>
    <row r="208">
      <c r="A208" s="7" t="n">
        <v>205</v>
      </c>
      <c r="B208" s="8" t="inlineStr">
        <is>
          <t xml:space="preserve">                (reviewer, datetime.now().isoformat(), review_id)</t>
        </is>
      </c>
    </row>
    <row r="209">
      <c r="A209" s="9" t="n">
        <v>206</v>
      </c>
      <c r="B209" s="10" t="inlineStr">
        <is>
          <t xml:space="preserve">            )</t>
        </is>
      </c>
    </row>
    <row r="210">
      <c r="A210" s="7" t="n">
        <v>207</v>
      </c>
      <c r="B210" s="8" t="inlineStr">
        <is>
          <t xml:space="preserve">            return True</t>
        </is>
      </c>
    </row>
    <row r="211">
      <c r="A211" s="9" t="n">
        <v>208</v>
      </c>
      <c r="B211" s="10" t="inlineStr"/>
    </row>
    <row r="212">
      <c r="A212" s="7" t="n">
        <v>209</v>
      </c>
      <c r="B212" s="8" t="inlineStr">
        <is>
          <t xml:space="preserve">    # ── 审核拒绝 ────────────────────────────────────────</t>
        </is>
      </c>
    </row>
    <row r="213">
      <c r="A213" s="9" t="n">
        <v>210</v>
      </c>
      <c r="B213" s="10" t="inlineStr">
        <is>
          <t xml:space="preserve">    def reject(self, review_id: int, note: str = ""):</t>
        </is>
      </c>
    </row>
    <row r="214">
      <c r="A214" s="7" t="n">
        <v>211</v>
      </c>
      <c r="B214" s="8" t="inlineStr">
        <is>
          <t xml:space="preserve">        """审核拒绝 — 标记规则为已拒绝"""</t>
        </is>
      </c>
    </row>
    <row r="215">
      <c r="A215" s="9" t="n">
        <v>212</v>
      </c>
      <c r="B215" s="10" t="inlineStr">
        <is>
          <t xml:space="preserve">        with sqlite3.connect(str(DB_PATH)) as conn:</t>
        </is>
      </c>
    </row>
    <row r="216">
      <c r="A216" s="7" t="n">
        <v>213</v>
      </c>
      <c r="B216" s="8" t="inlineStr">
        <is>
          <t xml:space="preserve">            conn.execute(</t>
        </is>
      </c>
    </row>
    <row r="217">
      <c r="A217" s="9" t="n">
        <v>214</v>
      </c>
      <c r="B217" s="10" t="inlineStr">
        <is>
          <t xml:space="preserve">                """UPDATE ai_review_queue</t>
        </is>
      </c>
    </row>
    <row r="218">
      <c r="A218" s="7" t="n">
        <v>215</v>
      </c>
      <c r="B218" s="8" t="inlineStr">
        <is>
          <t xml:space="preserve">                   SET status='rejected', review_note=?, reviewed_at=?</t>
        </is>
      </c>
    </row>
    <row r="219">
      <c r="A219" s="9" t="n">
        <v>216</v>
      </c>
      <c r="B219" s="10" t="inlineStr">
        <is>
          <t xml:space="preserve">                   WHERE id=? AND status='pending'""",</t>
        </is>
      </c>
    </row>
    <row r="220">
      <c r="A220" s="7" t="n">
        <v>217</v>
      </c>
      <c r="B220" s="8" t="inlineStr">
        <is>
          <t xml:space="preserve">                (note[:500], datetime.now().isoformat(), review_id)</t>
        </is>
      </c>
    </row>
    <row r="221">
      <c r="A221" s="9" t="n">
        <v>218</v>
      </c>
      <c r="B221" s="10" t="inlineStr">
        <is>
          <t xml:space="preserve">            )</t>
        </is>
      </c>
    </row>
    <row r="222">
      <c r="A222" s="7" t="n">
        <v>219</v>
      </c>
      <c r="B222" s="8" t="inlineStr">
        <is>
          <t xml:space="preserve">            logger.info(f"规则已拒绝: id={review_id}, note={note[:100]}")</t>
        </is>
      </c>
    </row>
    <row r="223">
      <c r="A223" s="9" t="n">
        <v>220</v>
      </c>
      <c r="B223" s="10" t="inlineStr"/>
    </row>
    <row r="224">
      <c r="A224" s="7" t="n">
        <v>221</v>
      </c>
      <c r="B224" s="8" t="inlineStr">
        <is>
          <t xml:space="preserve">    # ── 查询 ────────────────────────────────────────────</t>
        </is>
      </c>
    </row>
    <row r="225">
      <c r="A225" s="9" t="n">
        <v>222</v>
      </c>
      <c r="B225" s="10" t="inlineStr">
        <is>
          <t xml:space="preserve">    def pending_count(self) -&gt; int:</t>
        </is>
      </c>
    </row>
    <row r="226">
      <c r="A226" s="7" t="n">
        <v>223</v>
      </c>
      <c r="B226" s="8" t="inlineStr">
        <is>
          <t xml:space="preserve">        """获取待审核数量"""</t>
        </is>
      </c>
    </row>
    <row r="227">
      <c r="A227" s="9" t="n">
        <v>224</v>
      </c>
      <c r="B227" s="10" t="inlineStr">
        <is>
          <t xml:space="preserve">        try:</t>
        </is>
      </c>
    </row>
    <row r="228">
      <c r="A228" s="7" t="n">
        <v>225</v>
      </c>
      <c r="B228" s="8" t="inlineStr">
        <is>
          <t xml:space="preserve">            with sqlite3.connect(str(DB_PATH)) as conn:</t>
        </is>
      </c>
    </row>
    <row r="229">
      <c r="A229" s="9" t="n">
        <v>226</v>
      </c>
      <c r="B229" s="10" t="inlineStr">
        <is>
          <t xml:space="preserve">                row = conn.execute(</t>
        </is>
      </c>
    </row>
    <row r="230">
      <c r="A230" s="7" t="n">
        <v>227</v>
      </c>
      <c r="B230" s="8" t="inlineStr">
        <is>
          <t xml:space="preserve">                    "SELECT COUNT(*) FROM ai_review_queue WHERE status='pending'"</t>
        </is>
      </c>
    </row>
    <row r="231">
      <c r="A231" s="9" t="n">
        <v>228</v>
      </c>
      <c r="B231" s="10" t="inlineStr">
        <is>
          <t xml:space="preserve">                ).fetchone()</t>
        </is>
      </c>
    </row>
    <row r="232">
      <c r="A232" s="7" t="n">
        <v>229</v>
      </c>
      <c r="B232" s="8" t="inlineStr">
        <is>
          <t xml:space="preserve">                return row[0] if row else 0</t>
        </is>
      </c>
    </row>
    <row r="233">
      <c r="A233" s="9" t="n">
        <v>230</v>
      </c>
      <c r="B233" s="10" t="inlineStr">
        <is>
          <t xml:space="preserve">        except Exception:</t>
        </is>
      </c>
    </row>
    <row r="234">
      <c r="A234" s="7" t="n">
        <v>231</v>
      </c>
      <c r="B234" s="8" t="inlineStr">
        <is>
          <t xml:space="preserve">            return 0</t>
        </is>
      </c>
    </row>
    <row r="235">
      <c r="A235" s="9" t="n">
        <v>232</v>
      </c>
      <c r="B235" s="10" t="inlineStr"/>
    </row>
    <row r="236">
      <c r="A236" s="7" t="n">
        <v>233</v>
      </c>
      <c r="B236" s="8" t="inlineStr">
        <is>
          <t xml:space="preserve">    def get_pending(self, limit: int = 20) -&gt; List[dict]:</t>
        </is>
      </c>
    </row>
    <row r="237">
      <c r="A237" s="9" t="n">
        <v>234</v>
      </c>
      <c r="B237" s="10" t="inlineStr">
        <is>
          <t xml:space="preserve">        """获取待审核列表"""</t>
        </is>
      </c>
    </row>
    <row r="238">
      <c r="A238" s="7" t="n">
        <v>235</v>
      </c>
      <c r="B238" s="8" t="inlineStr">
        <is>
          <t xml:space="preserve">        try:</t>
        </is>
      </c>
    </row>
    <row r="239">
      <c r="A239" s="9" t="n">
        <v>236</v>
      </c>
      <c r="B239" s="10" t="inlineStr">
        <is>
          <t xml:space="preserve">            with sqlite3.connect(str(DB_PATH)) as conn:</t>
        </is>
      </c>
    </row>
    <row r="240">
      <c r="A240" s="7" t="n">
        <v>237</v>
      </c>
      <c r="B240" s="8" t="inlineStr">
        <is>
          <t xml:space="preserve">                conn.row_factory = sqlite3.Row</t>
        </is>
      </c>
    </row>
    <row r="241">
      <c r="A241" s="9" t="n">
        <v>238</v>
      </c>
      <c r="B241" s="10" t="inlineStr">
        <is>
          <t xml:space="preserve">                rows = conn.execute(</t>
        </is>
      </c>
    </row>
    <row r="242">
      <c r="A242" s="7" t="n">
        <v>239</v>
      </c>
      <c r="B242" s="8" t="inlineStr">
        <is>
          <t xml:space="preserve">                    """SELECT id, rule_type, content, source,</t>
        </is>
      </c>
    </row>
    <row r="243">
      <c r="A243" s="9" t="n">
        <v>240</v>
      </c>
      <c r="B243" s="10" t="inlineStr">
        <is>
          <t xml:space="preserve">                              confidence, created_at</t>
        </is>
      </c>
    </row>
    <row r="244">
      <c r="A244" s="7" t="n">
        <v>241</v>
      </c>
      <c r="B244" s="8" t="inlineStr">
        <is>
          <t xml:space="preserve">                       FROM ai_review_queue</t>
        </is>
      </c>
    </row>
    <row r="245">
      <c r="A245" s="9" t="n">
        <v>242</v>
      </c>
      <c r="B245" s="10" t="inlineStr">
        <is>
          <t xml:space="preserve">                       WHERE status='pending'</t>
        </is>
      </c>
    </row>
    <row r="246">
      <c r="A246" s="7" t="n">
        <v>243</v>
      </c>
      <c r="B246" s="8" t="inlineStr">
        <is>
          <t xml:space="preserve">                       ORDER BY created_at DESC LIMIT ?""",</t>
        </is>
      </c>
    </row>
    <row r="247">
      <c r="A247" s="9" t="n">
        <v>244</v>
      </c>
      <c r="B247" s="10" t="inlineStr">
        <is>
          <t xml:space="preserve">                    (limit,)</t>
        </is>
      </c>
    </row>
    <row r="248">
      <c r="A248" s="7" t="n">
        <v>245</v>
      </c>
      <c r="B248" s="8" t="inlineStr">
        <is>
          <t xml:space="preserve">                ).fetchall()</t>
        </is>
      </c>
    </row>
    <row r="249">
      <c r="A249" s="9" t="n">
        <v>246</v>
      </c>
      <c r="B249" s="10" t="inlineStr">
        <is>
          <t xml:space="preserve">                result = []</t>
        </is>
      </c>
    </row>
    <row r="250">
      <c r="A250" s="7" t="n">
        <v>247</v>
      </c>
      <c r="B250" s="8" t="inlineStr">
        <is>
          <t xml:space="preserve">                for r in rows:</t>
        </is>
      </c>
    </row>
    <row r="251">
      <c r="A251" s="9" t="n">
        <v>248</v>
      </c>
      <c r="B251" s="10" t="inlineStr">
        <is>
          <t xml:space="preserve">                    d = dict(r)</t>
        </is>
      </c>
    </row>
    <row r="252">
      <c r="A252" s="7" t="n">
        <v>249</v>
      </c>
      <c r="B252" s="8" t="inlineStr">
        <is>
          <t xml:space="preserve">                    try:</t>
        </is>
      </c>
    </row>
    <row r="253">
      <c r="A253" s="9" t="n">
        <v>250</v>
      </c>
      <c r="B253" s="10" t="inlineStr">
        <is>
          <t xml:space="preserve">                        d["content"] = json.loads(d["content"])</t>
        </is>
      </c>
    </row>
    <row r="254">
      <c r="A254" s="7" t="n">
        <v>251</v>
      </c>
      <c r="B254" s="8" t="inlineStr">
        <is>
          <t xml:space="preserve">                    except json.JSONDecodeError:</t>
        </is>
      </c>
    </row>
    <row r="255">
      <c r="A255" s="9" t="n">
        <v>252</v>
      </c>
      <c r="B255" s="10" t="inlineStr">
        <is>
          <t xml:space="preserve">                        d["content"] = {"_error": "JSON解析失败"}</t>
        </is>
      </c>
    </row>
    <row r="256">
      <c r="A256" s="7" t="n">
        <v>253</v>
      </c>
      <c r="B256" s="8" t="inlineStr">
        <is>
          <t xml:space="preserve">                    result.append(d)</t>
        </is>
      </c>
    </row>
    <row r="257">
      <c r="A257" s="9" t="n">
        <v>254</v>
      </c>
      <c r="B257" s="10" t="inlineStr">
        <is>
          <t xml:space="preserve">                return result</t>
        </is>
      </c>
    </row>
    <row r="258">
      <c r="A258" s="7" t="n">
        <v>255</v>
      </c>
      <c r="B258" s="8" t="inlineStr">
        <is>
          <t xml:space="preserve">        except Exception as e:</t>
        </is>
      </c>
    </row>
    <row r="259">
      <c r="A259" s="9" t="n">
        <v>256</v>
      </c>
      <c r="B259" s="10" t="inlineStr">
        <is>
          <t xml:space="preserve">            logger.error(f"获取待审核列表失败: {e}")</t>
        </is>
      </c>
    </row>
    <row r="260">
      <c r="A260" s="7" t="n">
        <v>257</v>
      </c>
      <c r="B260" s="8" t="inlineStr">
        <is>
          <t xml:space="preserve">            return []</t>
        </is>
      </c>
    </row>
    <row r="261">
      <c r="A261" s="9" t="n">
        <v>258</v>
      </c>
      <c r="B261" s="10" t="inlineStr"/>
    </row>
    <row r="262">
      <c r="A262" s="7" t="n">
        <v>259</v>
      </c>
      <c r="B262" s="8" t="inlineStr">
        <is>
          <t xml:space="preserve">    def get_history(self, limit: int = 50, status: str = None) -&gt; List[dict]:</t>
        </is>
      </c>
    </row>
    <row r="263">
      <c r="A263" s="9" t="n">
        <v>260</v>
      </c>
      <c r="B263" s="10" t="inlineStr">
        <is>
          <t xml:space="preserve">        """获取审核历史"""</t>
        </is>
      </c>
    </row>
    <row r="264">
      <c r="A264" s="7" t="n">
        <v>261</v>
      </c>
      <c r="B264" s="8" t="inlineStr">
        <is>
          <t xml:space="preserve">        try:</t>
        </is>
      </c>
    </row>
    <row r="265">
      <c r="A265" s="9" t="n">
        <v>262</v>
      </c>
      <c r="B265" s="10" t="inlineStr">
        <is>
          <t xml:space="preserve">            with sqlite3.connect(str(DB_PATH)) as conn:</t>
        </is>
      </c>
    </row>
    <row r="266">
      <c r="A266" s="7" t="n">
        <v>263</v>
      </c>
      <c r="B266" s="8" t="inlineStr">
        <is>
          <t xml:space="preserve">                conn.row_factory = sqlite3.Row</t>
        </is>
      </c>
    </row>
    <row r="267">
      <c r="A267" s="9" t="n">
        <v>264</v>
      </c>
      <c r="B267" s="10" t="inlineStr">
        <is>
          <t xml:space="preserve">                if status:</t>
        </is>
      </c>
    </row>
    <row r="268">
      <c r="A268" s="7" t="n">
        <v>265</v>
      </c>
      <c r="B268" s="8" t="inlineStr">
        <is>
          <t xml:space="preserve">                    rows = conn.execute(</t>
        </is>
      </c>
    </row>
    <row r="269">
      <c r="A269" s="9" t="n">
        <v>266</v>
      </c>
      <c r="B269" s="10" t="inlineStr">
        <is>
          <t xml:space="preserve">                        """SELECT * FROM ai_review_queue</t>
        </is>
      </c>
    </row>
    <row r="270">
      <c r="A270" s="7" t="n">
        <v>267</v>
      </c>
      <c r="B270" s="8" t="inlineStr">
        <is>
          <t xml:space="preserve">                           WHERE status=?</t>
        </is>
      </c>
    </row>
    <row r="271">
      <c r="A271" s="9" t="n">
        <v>268</v>
      </c>
      <c r="B271" s="10" t="inlineStr">
        <is>
          <t xml:space="preserve">                           ORDER BY created_at DESC LIMIT ?""",</t>
        </is>
      </c>
    </row>
    <row r="272">
      <c r="A272" s="7" t="n">
        <v>269</v>
      </c>
      <c r="B272" s="8" t="inlineStr">
        <is>
          <t xml:space="preserve">                        (status, limit)</t>
        </is>
      </c>
    </row>
    <row r="273">
      <c r="A273" s="9" t="n">
        <v>270</v>
      </c>
      <c r="B273" s="10" t="inlineStr">
        <is>
          <t xml:space="preserve">                    ).fetchall()</t>
        </is>
      </c>
    </row>
    <row r="274">
      <c r="A274" s="7" t="n">
        <v>271</v>
      </c>
      <c r="B274" s="8" t="inlineStr">
        <is>
          <t xml:space="preserve">                else:</t>
        </is>
      </c>
    </row>
    <row r="275">
      <c r="A275" s="9" t="n">
        <v>272</v>
      </c>
      <c r="B275" s="10" t="inlineStr">
        <is>
          <t xml:space="preserve">                    rows = conn.execute(</t>
        </is>
      </c>
    </row>
    <row r="276">
      <c r="A276" s="7" t="n">
        <v>273</v>
      </c>
      <c r="B276" s="8" t="inlineStr">
        <is>
          <t xml:space="preserve">                        "SELECT * FROM ai_review_queue ORDER BY created_at DESC LIMIT ?",</t>
        </is>
      </c>
    </row>
    <row r="277">
      <c r="A277" s="9" t="n">
        <v>274</v>
      </c>
      <c r="B277" s="10" t="inlineStr">
        <is>
          <t xml:space="preserve">                        (limit,)</t>
        </is>
      </c>
    </row>
    <row r="278">
      <c r="A278" s="7" t="n">
        <v>275</v>
      </c>
      <c r="B278" s="8" t="inlineStr">
        <is>
          <t xml:space="preserve">                    ).fetchall()</t>
        </is>
      </c>
    </row>
    <row r="279">
      <c r="A279" s="9" t="n">
        <v>276</v>
      </c>
      <c r="B279" s="10" t="inlineStr">
        <is>
          <t xml:space="preserve">                return [dict(r) for r in rows]</t>
        </is>
      </c>
    </row>
    <row r="280">
      <c r="A280" s="7" t="n">
        <v>277</v>
      </c>
      <c r="B280" s="8" t="inlineStr">
        <is>
          <t xml:space="preserve">        except Exception as e:</t>
        </is>
      </c>
    </row>
    <row r="281">
      <c r="A281" s="9" t="n">
        <v>278</v>
      </c>
      <c r="B281" s="10" t="inlineStr">
        <is>
          <t xml:space="preserve">            logger.error(f"获取审核历史失败: {e}")</t>
        </is>
      </c>
    </row>
    <row r="282">
      <c r="A282" s="7" t="n">
        <v>279</v>
      </c>
      <c r="B282" s="8" t="inlineStr">
        <is>
          <t xml:space="preserve">            return []</t>
        </is>
      </c>
    </row>
    <row r="283">
      <c r="A283" s="9" t="n">
        <v>280</v>
      </c>
      <c r="B283" s="10" t="inlineStr"/>
    </row>
    <row r="284">
      <c r="A284" s="7" t="n">
        <v>281</v>
      </c>
      <c r="B284" s="8" t="inlineStr">
        <is>
          <t xml:space="preserve">    def get_stats(self) -&gt; dict:</t>
        </is>
      </c>
    </row>
    <row r="285">
      <c r="A285" s="9" t="n">
        <v>282</v>
      </c>
      <c r="B285" s="10" t="inlineStr">
        <is>
          <t xml:space="preserve">        """获取审核队列统计"""</t>
        </is>
      </c>
    </row>
    <row r="286">
      <c r="A286" s="7" t="n">
        <v>283</v>
      </c>
      <c r="B286" s="8" t="inlineStr">
        <is>
          <t xml:space="preserve">        try:</t>
        </is>
      </c>
    </row>
    <row r="287">
      <c r="A287" s="9" t="n">
        <v>284</v>
      </c>
      <c r="B287" s="10" t="inlineStr">
        <is>
          <t xml:space="preserve">            with sqlite3.connect(str(DB_PATH)) as conn:</t>
        </is>
      </c>
    </row>
    <row r="288">
      <c r="A288" s="7" t="n">
        <v>285</v>
      </c>
      <c r="B288" s="8" t="inlineStr">
        <is>
          <t xml:space="preserve">                total = conn.execute(</t>
        </is>
      </c>
    </row>
    <row r="289">
      <c r="A289" s="9" t="n">
        <v>286</v>
      </c>
      <c r="B289" s="10" t="inlineStr">
        <is>
          <t xml:space="preserve">                    "SELECT COUNT(*) FROM ai_review_queue"</t>
        </is>
      </c>
    </row>
    <row r="290">
      <c r="A290" s="7" t="n">
        <v>287</v>
      </c>
      <c r="B290" s="8" t="inlineStr">
        <is>
          <t xml:space="preserve">                ).fetchone()[0]</t>
        </is>
      </c>
    </row>
    <row r="291">
      <c r="A291" s="9" t="n">
        <v>288</v>
      </c>
      <c r="B291" s="10" t="inlineStr">
        <is>
          <t xml:space="preserve">                pending = conn.execute(</t>
        </is>
      </c>
    </row>
    <row r="292">
      <c r="A292" s="7" t="n">
        <v>289</v>
      </c>
      <c r="B292" s="8" t="inlineStr">
        <is>
          <t xml:space="preserve">                    "SELECT COUNT(*) FROM ai_review_queue WHERE status='pending'"</t>
        </is>
      </c>
    </row>
    <row r="293">
      <c r="A293" s="9" t="n">
        <v>290</v>
      </c>
      <c r="B293" s="10" t="inlineStr">
        <is>
          <t xml:space="preserve">                ).fetchone()[0]</t>
        </is>
      </c>
    </row>
    <row r="294">
      <c r="A294" s="7" t="n">
        <v>291</v>
      </c>
      <c r="B294" s="8" t="inlineStr">
        <is>
          <t xml:space="preserve">                approved = conn.execute(</t>
        </is>
      </c>
    </row>
    <row r="295">
      <c r="A295" s="9" t="n">
        <v>292</v>
      </c>
      <c r="B295" s="10" t="inlineStr">
        <is>
          <t xml:space="preserve">                    "SELECT COUNT(*) FROM ai_review_queue WHERE status='approved'"</t>
        </is>
      </c>
    </row>
    <row r="296">
      <c r="A296" s="7" t="n">
        <v>293</v>
      </c>
      <c r="B296" s="8" t="inlineStr">
        <is>
          <t xml:space="preserve">                ).fetchone()[0]</t>
        </is>
      </c>
    </row>
    <row r="297">
      <c r="A297" s="9" t="n">
        <v>294</v>
      </c>
      <c r="B297" s="10" t="inlineStr">
        <is>
          <t xml:space="preserve">                rejected = conn.execute(</t>
        </is>
      </c>
    </row>
    <row r="298">
      <c r="A298" s="7" t="n">
        <v>295</v>
      </c>
      <c r="B298" s="8" t="inlineStr">
        <is>
          <t xml:space="preserve">                    "SELECT COUNT(*) FROM ai_review_queue WHERE status='rejected'"</t>
        </is>
      </c>
    </row>
    <row r="299">
      <c r="A299" s="9" t="n">
        <v>296</v>
      </c>
      <c r="B299" s="10" t="inlineStr">
        <is>
          <t xml:space="preserve">                ).fetchone()[0]</t>
        </is>
      </c>
    </row>
    <row r="300">
      <c r="A300" s="7" t="n">
        <v>297</v>
      </c>
      <c r="B300" s="8" t="inlineStr">
        <is>
          <t xml:space="preserve">                return {</t>
        </is>
      </c>
    </row>
    <row r="301">
      <c r="A301" s="9" t="n">
        <v>298</v>
      </c>
      <c r="B301" s="10" t="inlineStr">
        <is>
          <t xml:space="preserve">                    "total": total, "pending": pending,</t>
        </is>
      </c>
    </row>
    <row r="302">
      <c r="A302" s="7" t="n">
        <v>299</v>
      </c>
      <c r="B302" s="8" t="inlineStr">
        <is>
          <t xml:space="preserve">                    "approved": approved, "rejected": rejected</t>
        </is>
      </c>
    </row>
    <row r="303">
      <c r="A303" s="9" t="n">
        <v>300</v>
      </c>
      <c r="B303" s="10" t="inlineStr">
        <is>
          <t xml:space="preserve">                }</t>
        </is>
      </c>
    </row>
    <row r="304">
      <c r="A304" s="7" t="n">
        <v>301</v>
      </c>
      <c r="B304" s="8" t="inlineStr">
        <is>
          <t xml:space="preserve">        except Exception:</t>
        </is>
      </c>
    </row>
    <row r="305">
      <c r="A305" s="9" t="n">
        <v>302</v>
      </c>
      <c r="B305" s="10" t="inlineStr">
        <is>
          <t xml:space="preserve">            return {"total": 0, "pending": 0, "approved": 0, "rejected": 0}</t>
        </is>
      </c>
    </row>
    <row r="306">
      <c r="A306" s="7" t="n">
        <v>303</v>
      </c>
      <c r="B306" s="8" t="inlineStr"/>
    </row>
    <row r="307">
      <c r="A307" s="9" t="n">
        <v>304</v>
      </c>
      <c r="B307" s="10" t="inlineStr"/>
    </row>
    <row r="308">
      <c r="A308" s="7" t="n">
        <v>305</v>
      </c>
      <c r="B308" s="8" t="inlineStr">
        <is>
          <t># ── 全局单例访问 ──────────────────────────────────────</t>
        </is>
      </c>
    </row>
    <row r="309">
      <c r="A309" s="9" t="n">
        <v>306</v>
      </c>
      <c r="B309" s="10" t="inlineStr">
        <is>
          <t>def get_review_queue() -&gt; ReviewQueue:</t>
        </is>
      </c>
    </row>
    <row r="310">
      <c r="A310" s="7" t="n">
        <v>307</v>
      </c>
      <c r="B310" s="8" t="inlineStr">
        <is>
          <t xml:space="preserve">    """获取全局审核队列单例"""</t>
        </is>
      </c>
    </row>
    <row r="311">
      <c r="A311" s="9" t="n">
        <v>308</v>
      </c>
      <c r="B311" s="10" t="inlineStr">
        <is>
          <t xml:space="preserve">    return ReviewQueue()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core\script_learning.py</t>
        </is>
      </c>
      <c r="C1" s="5" t="inlineStr">
        <is>
          <t>行数: 367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脚本学习库 (Script Learning Hub)</t>
        </is>
      </c>
    </row>
    <row r="6">
      <c r="A6" s="7" t="n">
        <v>3</v>
      </c>
      <c r="B6" s="8">
        <f>===============================================================</f>
        <v/>
      </c>
    </row>
    <row r="7">
      <c r="A7" s="9" t="n">
        <v>4</v>
      </c>
      <c r="B7" s="10" t="inlineStr">
        <is>
          <t>存储用户投喂的脚本，支持 CRUD、相似检索、使用统计、自学习增强。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数据库表: learned_scripts (位于 ai_material_library.db)</t>
        </is>
      </c>
    </row>
    <row r="10">
      <c r="A10" s="7" t="n">
        <v>7</v>
      </c>
      <c r="B10" s="8" t="inlineStr">
        <is>
          <t>用法:</t>
        </is>
      </c>
    </row>
    <row r="11">
      <c r="A11" s="9" t="n">
        <v>8</v>
      </c>
      <c r="B11" s="10" t="inlineStr">
        <is>
          <t xml:space="preserve">  from core.script_learning import ScriptLibrary</t>
        </is>
      </c>
    </row>
    <row r="12">
      <c r="A12" s="7" t="n">
        <v>9</v>
      </c>
      <c r="B12" s="8" t="inlineStr">
        <is>
          <t xml:space="preserve">  lib = ScriptLibrary()</t>
        </is>
      </c>
    </row>
    <row r="13">
      <c r="A13" s="9" t="n">
        <v>10</v>
      </c>
      <c r="B13" s="10" t="inlineStr">
        <is>
          <t xml:space="preserve">  sid = lib.add_script("岛台装修...", source="manual", tags=["极简风","烤箱"])</t>
        </is>
      </c>
    </row>
    <row r="14">
      <c r="A14" s="7" t="n">
        <v>11</v>
      </c>
      <c r="B14" s="8" t="inlineStr">
        <is>
          <t xml:space="preserve">  scripts = lib.get_all(limit=20)</t>
        </is>
      </c>
    </row>
    <row r="15">
      <c r="A15" s="9" t="n">
        <v>12</v>
      </c>
      <c r="B15" s="10" t="inlineStr">
        <is>
          <t xml:space="preserve">  similar = lib.find_similar("岩板岛台...", top_k=5)</t>
        </is>
      </c>
    </row>
    <row r="16">
      <c r="A16" s="7" t="n">
        <v>13</v>
      </c>
      <c r="B16" s="8" t="inlineStr">
        <is>
          <t>"""</t>
        </is>
      </c>
    </row>
    <row r="17">
      <c r="A17" s="9" t="n">
        <v>14</v>
      </c>
      <c r="B17" s="10" t="inlineStr">
        <is>
          <t>import sqlite3</t>
        </is>
      </c>
    </row>
    <row r="18">
      <c r="A18" s="7" t="n">
        <v>15</v>
      </c>
      <c r="B18" s="8" t="inlineStr">
        <is>
          <t>import json</t>
        </is>
      </c>
    </row>
    <row r="19">
      <c r="A19" s="9" t="n">
        <v>16</v>
      </c>
      <c r="B19" s="10" t="inlineStr">
        <is>
          <t>import time</t>
        </is>
      </c>
    </row>
    <row r="20">
      <c r="A20" s="7" t="n">
        <v>17</v>
      </c>
      <c r="B20" s="8" t="inlineStr">
        <is>
          <t>from pathlib import Path</t>
        </is>
      </c>
    </row>
    <row r="21">
      <c r="A21" s="9" t="n">
        <v>18</v>
      </c>
      <c r="B21" s="10" t="inlineStr">
        <is>
          <t>from datetime import datetime</t>
        </is>
      </c>
    </row>
    <row r="22">
      <c r="A22" s="7" t="n">
        <v>19</v>
      </c>
      <c r="B22" s="8" t="inlineStr">
        <is>
          <t>from typing import Optional, List, Dict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PROJECT_ROOT = Path(__file__).parent.parent</t>
        </is>
      </c>
    </row>
    <row r="26">
      <c r="A26" s="7" t="n">
        <v>23</v>
      </c>
      <c r="B26" s="8" t="inlineStr">
        <is>
          <t>DB_PATH = PROJECT_ROOT / "ai_material_library.db"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/>
    </row>
    <row r="29">
      <c r="A29" s="9" t="n">
        <v>26</v>
      </c>
      <c r="B29" s="10" t="inlineStr">
        <is>
          <t>def _ensure_table():</t>
        </is>
      </c>
    </row>
    <row r="30">
      <c r="A30" s="7" t="n">
        <v>27</v>
      </c>
      <c r="B30" s="8" t="inlineStr">
        <is>
          <t xml:space="preserve">    """确保 learned_scripts 表和索引存在 (幂等)"""</t>
        </is>
      </c>
    </row>
    <row r="31">
      <c r="A31" s="9" t="n">
        <v>28</v>
      </c>
      <c r="B31" s="10" t="inlineStr">
        <is>
          <t xml:space="preserve">    with sqlite3.connect(str(DB_PATH)) as conn:</t>
        </is>
      </c>
    </row>
    <row r="32">
      <c r="A32" s="7" t="n">
        <v>29</v>
      </c>
      <c r="B32" s="8" t="inlineStr">
        <is>
          <t xml:space="preserve">        conn.execute("PRAGMA journal_mode=WAL")</t>
        </is>
      </c>
    </row>
    <row r="33">
      <c r="A33" s="9" t="n">
        <v>30</v>
      </c>
      <c r="B33" s="10" t="inlineStr">
        <is>
          <t xml:space="preserve">        conn.executescript("""</t>
        </is>
      </c>
    </row>
    <row r="34">
      <c r="A34" s="7" t="n">
        <v>31</v>
      </c>
      <c r="B34" s="8" t="inlineStr">
        <is>
          <t xml:space="preserve">            CREATE TABLE IF NOT EXISTS learned_scripts (</t>
        </is>
      </c>
    </row>
    <row r="35">
      <c r="A35" s="9" t="n">
        <v>32</v>
      </c>
      <c r="B35" s="10" t="inlineStr">
        <is>
          <t xml:space="preserve">                id INTEGER PRIMARY KEY AUTOINCREMENT,</t>
        </is>
      </c>
    </row>
    <row r="36">
      <c r="A36" s="7" t="n">
        <v>33</v>
      </c>
      <c r="B36" s="8" t="inlineStr">
        <is>
          <t xml:space="preserve">                content TEXT NOT NULL,</t>
        </is>
      </c>
    </row>
    <row r="37">
      <c r="A37" s="9" t="n">
        <v>34</v>
      </c>
      <c r="B37" s="10" t="inlineStr">
        <is>
          <t xml:space="preserve">                source TEXT DEFAULT 'manual',</t>
        </is>
      </c>
    </row>
    <row r="38">
      <c r="A38" s="7" t="n">
        <v>35</v>
      </c>
      <c r="B38" s="8" t="inlineStr">
        <is>
          <t xml:space="preserve">                tags TEXT DEFAULT '',</t>
        </is>
      </c>
    </row>
    <row r="39">
      <c r="A39" s="9" t="n">
        <v>36</v>
      </c>
      <c r="B39" s="10" t="inlineStr">
        <is>
          <t xml:space="preserve">                usage_count INTEGER DEFAULT 0,</t>
        </is>
      </c>
    </row>
    <row r="40">
      <c r="A40" s="7" t="n">
        <v>37</v>
      </c>
      <c r="B40" s="8" t="inlineStr">
        <is>
          <t xml:space="preserve">                avg_score REAL DEFAULT 0.0,</t>
        </is>
      </c>
    </row>
    <row r="41">
      <c r="A41" s="9" t="n">
        <v>38</v>
      </c>
      <c r="B41" s="10" t="inlineStr">
        <is>
          <t xml:space="preserve">                embedding BLOB DEFAULT NULL,</t>
        </is>
      </c>
    </row>
    <row r="42">
      <c r="A42" s="7" t="n">
        <v>39</v>
      </c>
      <c r="B42" s="8" t="inlineStr">
        <is>
          <t xml:space="preserve">                created_at TEXT DEFAULT CURRENT_TIMESTAMP,</t>
        </is>
      </c>
    </row>
    <row r="43">
      <c r="A43" s="9" t="n">
        <v>40</v>
      </c>
      <c r="B43" s="10" t="inlineStr">
        <is>
          <t xml:space="preserve">                last_used_at TEXT,</t>
        </is>
      </c>
    </row>
    <row r="44">
      <c r="A44" s="7" t="n">
        <v>41</v>
      </c>
      <c r="B44" s="8" t="inlineStr">
        <is>
          <t xml:space="preserve">                notes TEXT DEFAULT ''</t>
        </is>
      </c>
    </row>
    <row r="45">
      <c r="A45" s="9" t="n">
        <v>42</v>
      </c>
      <c r="B45" s="10" t="inlineStr">
        <is>
          <t xml:space="preserve">            );</t>
        </is>
      </c>
    </row>
    <row r="46">
      <c r="A46" s="7" t="n">
        <v>43</v>
      </c>
      <c r="B46" s="8" t="inlineStr">
        <is>
          <t xml:space="preserve">            CREATE INDEX IF NOT EXISTS idx_ls_tags ON learned_scripts(tags);</t>
        </is>
      </c>
    </row>
    <row r="47">
      <c r="A47" s="9" t="n">
        <v>44</v>
      </c>
      <c r="B47" s="10" t="inlineStr">
        <is>
          <t xml:space="preserve">            CREATE INDEX IF NOT EXISTS idx_ls_source ON learned_scripts(source);</t>
        </is>
      </c>
    </row>
    <row r="48">
      <c r="A48" s="7" t="n">
        <v>45</v>
      </c>
      <c r="B48" s="8" t="inlineStr">
        <is>
          <t xml:space="preserve">            CREATE INDEX IF NOT EXISTS idx_ls_usage ON learned_scripts(usage_count DESC);</t>
        </is>
      </c>
    </row>
    <row r="49">
      <c r="A49" s="9" t="n">
        <v>46</v>
      </c>
      <c r="B49" s="10" t="inlineStr">
        <is>
          <t xml:space="preserve">        """)</t>
        </is>
      </c>
    </row>
    <row r="50">
      <c r="A50" s="7" t="n">
        <v>47</v>
      </c>
      <c r="B50" s="8" t="inlineStr">
        <is>
          <t xml:space="preserve">        conn.commit()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/>
    </row>
    <row r="53">
      <c r="A53" s="9" t="n">
        <v>50</v>
      </c>
      <c r="B53" s="10" t="inlineStr">
        <is>
          <t>class ScriptLibrary:</t>
        </is>
      </c>
    </row>
    <row r="54">
      <c r="A54" s="7" t="n">
        <v>51</v>
      </c>
      <c r="B54" s="8" t="inlineStr">
        <is>
          <t xml:space="preserve">    """脚本学习库管理器"""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def __init__(self):</t>
        </is>
      </c>
    </row>
    <row r="57">
      <c r="A57" s="9" t="n">
        <v>54</v>
      </c>
      <c r="B57" s="10" t="inlineStr">
        <is>
          <t xml:space="preserve">        _ensure_table()</t>
        </is>
      </c>
    </row>
    <row r="58">
      <c r="A58" s="7" t="n">
        <v>55</v>
      </c>
      <c r="B58" s="8" t="inlineStr">
        <is>
          <t xml:space="preserve">        self._st_model = None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 xml:space="preserve">    # ═══════════════════ CRUD ═══════════════════</t>
        </is>
      </c>
    </row>
    <row r="61">
      <c r="A61" s="9" t="n">
        <v>58</v>
      </c>
      <c r="B61" s="10" t="inlineStr"/>
    </row>
    <row r="62">
      <c r="A62" s="7" t="n">
        <v>59</v>
      </c>
      <c r="B62" s="8" t="inlineStr">
        <is>
          <t xml:space="preserve">    def add(self, content: str, source: str = "manual",</t>
        </is>
      </c>
    </row>
    <row r="63">
      <c r="A63" s="9" t="n">
        <v>60</v>
      </c>
      <c r="B63" s="10" t="inlineStr">
        <is>
          <t xml:space="preserve">            tags: List[str] = None, notes: str = "") -&gt; int:</t>
        </is>
      </c>
    </row>
    <row r="64">
      <c r="A64" s="7" t="n">
        <v>61</v>
      </c>
      <c r="B64" s="8" t="inlineStr">
        <is>
          <t xml:space="preserve">        """添加脚本并生成 embedding。返回新ID。"""</t>
        </is>
      </c>
    </row>
    <row r="65">
      <c r="A65" s="9" t="n">
        <v>62</v>
      </c>
      <c r="B65" s="10" t="inlineStr">
        <is>
          <t xml:space="preserve">        tags_str = ",".join(tags) if tags else ""</t>
        </is>
      </c>
    </row>
    <row r="66">
      <c r="A66" s="7" t="n">
        <v>63</v>
      </c>
      <c r="B66" s="8" t="inlineStr">
        <is>
          <t xml:space="preserve">        embedding_blob = self._encode(content)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>
        <is>
          <t xml:space="preserve">        with sqlite3.connect(str(DB_PATH)) as conn:</t>
        </is>
      </c>
    </row>
    <row r="69">
      <c r="A69" s="9" t="n">
        <v>66</v>
      </c>
      <c r="B69" s="10" t="inlineStr">
        <is>
          <t xml:space="preserve">            cur = conn.execute(</t>
        </is>
      </c>
    </row>
    <row r="70">
      <c r="A70" s="7" t="n">
        <v>67</v>
      </c>
      <c r="B70" s="8" t="inlineStr">
        <is>
          <t xml:space="preserve">                """INSERT INTO learned_scripts</t>
        </is>
      </c>
    </row>
    <row r="71">
      <c r="A71" s="9" t="n">
        <v>68</v>
      </c>
      <c r="B71" s="10" t="inlineStr">
        <is>
          <t xml:space="preserve">                   (content, source, tags, embedding, notes)</t>
        </is>
      </c>
    </row>
    <row r="72">
      <c r="A72" s="7" t="n">
        <v>69</v>
      </c>
      <c r="B72" s="8" t="inlineStr">
        <is>
          <t xml:space="preserve">                   VALUES (?,?,?,?,?)""",</t>
        </is>
      </c>
    </row>
    <row r="73">
      <c r="A73" s="9" t="n">
        <v>70</v>
      </c>
      <c r="B73" s="10" t="inlineStr">
        <is>
          <t xml:space="preserve">                (content, source, tags_str, embedding_blob, notes)</t>
        </is>
      </c>
    </row>
    <row r="74">
      <c r="A74" s="7" t="n">
        <v>71</v>
      </c>
      <c r="B74" s="8" t="inlineStr">
        <is>
          <t xml:space="preserve">            )</t>
        </is>
      </c>
    </row>
    <row r="75">
      <c r="A75" s="9" t="n">
        <v>72</v>
      </c>
      <c r="B75" s="10" t="inlineStr">
        <is>
          <t xml:space="preserve">            conn.commit()</t>
        </is>
      </c>
    </row>
    <row r="76">
      <c r="A76" s="7" t="n">
        <v>73</v>
      </c>
      <c r="B76" s="8" t="inlineStr">
        <is>
          <t xml:space="preserve">            return cur.lastrowid</t>
        </is>
      </c>
    </row>
    <row r="77">
      <c r="A77" s="9" t="n">
        <v>74</v>
      </c>
      <c r="B77" s="10" t="inlineStr"/>
    </row>
    <row r="78">
      <c r="A78" s="7" t="n">
        <v>75</v>
      </c>
      <c r="B78" s="8" t="inlineStr">
        <is>
          <t xml:space="preserve">    def get_all(self, limit: int = 50, offset: int = 0,</t>
        </is>
      </c>
    </row>
    <row r="79">
      <c r="A79" s="9" t="n">
        <v>76</v>
      </c>
      <c r="B79" s="10" t="inlineStr">
        <is>
          <t xml:space="preserve">                sort_by: str = "usage_count") -&gt; List[Dict]:</t>
        </is>
      </c>
    </row>
    <row r="80">
      <c r="A80" s="7" t="n">
        <v>77</v>
      </c>
      <c r="B80" s="8" t="inlineStr">
        <is>
          <t xml:space="preserve">        """分页获取脚本列表"""</t>
        </is>
      </c>
    </row>
    <row r="81">
      <c r="A81" s="9" t="n">
        <v>78</v>
      </c>
      <c r="B81" s="10" t="inlineStr">
        <is>
          <t xml:space="preserve">        valid = {"usage_count", "avg_score", "created_at", "id"}</t>
        </is>
      </c>
    </row>
    <row r="82">
      <c r="A82" s="7" t="n">
        <v>79</v>
      </c>
      <c r="B82" s="8" t="inlineStr">
        <is>
          <t xml:space="preserve">        order = sort_by if sort_by in valid else "usage_count"</t>
        </is>
      </c>
    </row>
    <row r="83">
      <c r="A83" s="9" t="n">
        <v>80</v>
      </c>
      <c r="B83" s="10" t="inlineStr"/>
    </row>
    <row r="84">
      <c r="A84" s="7" t="n">
        <v>81</v>
      </c>
      <c r="B84" s="8" t="inlineStr">
        <is>
          <t xml:space="preserve">        with sqlite3.connect(str(DB_PATH)) as conn:</t>
        </is>
      </c>
    </row>
    <row r="85">
      <c r="A85" s="9" t="n">
        <v>82</v>
      </c>
      <c r="B85" s="10" t="inlineStr">
        <is>
          <t xml:space="preserve">            conn.row_factory = sqlite3.Row</t>
        </is>
      </c>
    </row>
    <row r="86">
      <c r="A86" s="7" t="n">
        <v>83</v>
      </c>
      <c r="B86" s="8" t="inlineStr">
        <is>
          <t xml:space="preserve">            rows = conn.execute(</t>
        </is>
      </c>
    </row>
    <row r="87">
      <c r="A87" s="9" t="n">
        <v>84</v>
      </c>
      <c r="B87" s="10" t="inlineStr">
        <is>
          <t xml:space="preserve">                f"""SELECT id, content, source, tags, usage_count,</t>
        </is>
      </c>
    </row>
    <row r="88">
      <c r="A88" s="7" t="n">
        <v>85</v>
      </c>
      <c r="B88" s="8" t="inlineStr">
        <is>
          <t xml:space="preserve">                           avg_score, created_at, last_used_at, notes</t>
        </is>
      </c>
    </row>
    <row r="89">
      <c r="A89" s="9" t="n">
        <v>86</v>
      </c>
      <c r="B89" s="10" t="inlineStr">
        <is>
          <t xml:space="preserve">                    FROM learned_scripts</t>
        </is>
      </c>
    </row>
    <row r="90">
      <c r="A90" s="7" t="n">
        <v>87</v>
      </c>
      <c r="B90" s="8" t="inlineStr">
        <is>
          <t xml:space="preserve">                    ORDER BY {order} DESC</t>
        </is>
      </c>
    </row>
    <row r="91">
      <c r="A91" s="9" t="n">
        <v>88</v>
      </c>
      <c r="B91" s="10" t="inlineStr">
        <is>
          <t xml:space="preserve">                    LIMIT ? OFFSET ?""",</t>
        </is>
      </c>
    </row>
    <row r="92">
      <c r="A92" s="7" t="n">
        <v>89</v>
      </c>
      <c r="B92" s="8" t="inlineStr">
        <is>
          <t xml:space="preserve">                (limit, offset)</t>
        </is>
      </c>
    </row>
    <row r="93">
      <c r="A93" s="9" t="n">
        <v>90</v>
      </c>
      <c r="B93" s="10" t="inlineStr">
        <is>
          <t xml:space="preserve">            ).fetchall()</t>
        </is>
      </c>
    </row>
    <row r="94">
      <c r="A94" s="7" t="n">
        <v>91</v>
      </c>
      <c r="B94" s="8" t="inlineStr">
        <is>
          <t xml:space="preserve">            return [dict(r) for r in rows]</t>
        </is>
      </c>
    </row>
    <row r="95">
      <c r="A95" s="9" t="n">
        <v>92</v>
      </c>
      <c r="B95" s="10" t="inlineStr"/>
    </row>
    <row r="96">
      <c r="A96" s="7" t="n">
        <v>93</v>
      </c>
      <c r="B96" s="8" t="inlineStr">
        <is>
          <t xml:space="preserve">    def get_by_id(self, script_id: int) -&gt; Optional[Dict]:</t>
        </is>
      </c>
    </row>
    <row r="97">
      <c r="A97" s="9" t="n">
        <v>94</v>
      </c>
      <c r="B97" s="10" t="inlineStr">
        <is>
          <t xml:space="preserve">        """获取单条脚本"""</t>
        </is>
      </c>
    </row>
    <row r="98">
      <c r="A98" s="7" t="n">
        <v>95</v>
      </c>
      <c r="B98" s="8" t="inlineStr">
        <is>
          <t xml:space="preserve">        with sqlite3.connect(str(DB_PATH)) as conn:</t>
        </is>
      </c>
    </row>
    <row r="99">
      <c r="A99" s="9" t="n">
        <v>96</v>
      </c>
      <c r="B99" s="10" t="inlineStr">
        <is>
          <t xml:space="preserve">            conn.row_factory = sqlite3.Row</t>
        </is>
      </c>
    </row>
    <row r="100">
      <c r="A100" s="7" t="n">
        <v>97</v>
      </c>
      <c r="B100" s="8" t="inlineStr">
        <is>
          <t xml:space="preserve">            row = conn.execute(</t>
        </is>
      </c>
    </row>
    <row r="101">
      <c r="A101" s="9" t="n">
        <v>98</v>
      </c>
      <c r="B101" s="10" t="inlineStr">
        <is>
          <t xml:space="preserve">                "SELECT * FROM learned_scripts WHERE id=?", (script_id,)</t>
        </is>
      </c>
    </row>
    <row r="102">
      <c r="A102" s="7" t="n">
        <v>99</v>
      </c>
      <c r="B102" s="8" t="inlineStr">
        <is>
          <t xml:space="preserve">            ).fetchone()</t>
        </is>
      </c>
    </row>
    <row r="103">
      <c r="A103" s="9" t="n">
        <v>100</v>
      </c>
      <c r="B103" s="10" t="inlineStr">
        <is>
          <t xml:space="preserve">            return dict(row) if row else None</t>
        </is>
      </c>
    </row>
    <row r="104">
      <c r="A104" s="7" t="n">
        <v>101</v>
      </c>
      <c r="B104" s="8" t="inlineStr"/>
    </row>
    <row r="105">
      <c r="A105" s="9" t="n">
        <v>102</v>
      </c>
      <c r="B105" s="10" t="inlineStr">
        <is>
          <t xml:space="preserve">    def update(self, script_id: int, content: str = None,</t>
        </is>
      </c>
    </row>
    <row r="106">
      <c r="A106" s="7" t="n">
        <v>103</v>
      </c>
      <c r="B106" s="8" t="inlineStr">
        <is>
          <t xml:space="preserve">               tags: List[str] = None, notes: str = None):</t>
        </is>
      </c>
    </row>
    <row r="107">
      <c r="A107" s="9" t="n">
        <v>104</v>
      </c>
      <c r="B107" s="10" t="inlineStr">
        <is>
          <t xml:space="preserve">        """更新脚本内容/标签/备注"""</t>
        </is>
      </c>
    </row>
    <row r="108">
      <c r="A108" s="7" t="n">
        <v>105</v>
      </c>
      <c r="B108" s="8" t="inlineStr">
        <is>
          <t xml:space="preserve">        with sqlite3.connect(str(DB_PATH)) as conn:</t>
        </is>
      </c>
    </row>
    <row r="109">
      <c r="A109" s="9" t="n">
        <v>106</v>
      </c>
      <c r="B109" s="10" t="inlineStr">
        <is>
          <t xml:space="preserve">            if content is not None:</t>
        </is>
      </c>
    </row>
    <row r="110">
      <c r="A110" s="7" t="n">
        <v>107</v>
      </c>
      <c r="B110" s="8" t="inlineStr">
        <is>
          <t xml:space="preserve">                emb = self._encode(content)</t>
        </is>
      </c>
    </row>
    <row r="111">
      <c r="A111" s="9" t="n">
        <v>108</v>
      </c>
      <c r="B111" s="10" t="inlineStr">
        <is>
          <t xml:space="preserve">                conn.execute(</t>
        </is>
      </c>
    </row>
    <row r="112">
      <c r="A112" s="7" t="n">
        <v>109</v>
      </c>
      <c r="B112" s="8" t="inlineStr">
        <is>
          <t xml:space="preserve">                    "UPDATE learned_scripts SET content=?, embedding=? WHERE id=?",</t>
        </is>
      </c>
    </row>
    <row r="113">
      <c r="A113" s="9" t="n">
        <v>110</v>
      </c>
      <c r="B113" s="10" t="inlineStr">
        <is>
          <t xml:space="preserve">                    (content, emb, script_id)</t>
        </is>
      </c>
    </row>
    <row r="114">
      <c r="A114" s="7" t="n">
        <v>111</v>
      </c>
      <c r="B114" s="8" t="inlineStr">
        <is>
          <t xml:space="preserve">                )</t>
        </is>
      </c>
    </row>
    <row r="115">
      <c r="A115" s="9" t="n">
        <v>112</v>
      </c>
      <c r="B115" s="10" t="inlineStr">
        <is>
          <t xml:space="preserve">            if tags is not None:</t>
        </is>
      </c>
    </row>
    <row r="116">
      <c r="A116" s="7" t="n">
        <v>113</v>
      </c>
      <c r="B116" s="8" t="inlineStr">
        <is>
          <t xml:space="preserve">                conn.execute(</t>
        </is>
      </c>
    </row>
    <row r="117">
      <c r="A117" s="9" t="n">
        <v>114</v>
      </c>
      <c r="B117" s="10" t="inlineStr">
        <is>
          <t xml:space="preserve">                    "UPDATE learned_scripts SET tags=? WHERE id=?",</t>
        </is>
      </c>
    </row>
    <row r="118">
      <c r="A118" s="7" t="n">
        <v>115</v>
      </c>
      <c r="B118" s="8" t="inlineStr">
        <is>
          <t xml:space="preserve">                    (",".join(tags), script_id)</t>
        </is>
      </c>
    </row>
    <row r="119">
      <c r="A119" s="9" t="n">
        <v>116</v>
      </c>
      <c r="B119" s="10" t="inlineStr">
        <is>
          <t xml:space="preserve">                )</t>
        </is>
      </c>
    </row>
    <row r="120">
      <c r="A120" s="7" t="n">
        <v>117</v>
      </c>
      <c r="B120" s="8" t="inlineStr">
        <is>
          <t xml:space="preserve">            if notes is not None:</t>
        </is>
      </c>
    </row>
    <row r="121">
      <c r="A121" s="9" t="n">
        <v>118</v>
      </c>
      <c r="B121" s="10" t="inlineStr">
        <is>
          <t xml:space="preserve">                conn.execute(</t>
        </is>
      </c>
    </row>
    <row r="122">
      <c r="A122" s="7" t="n">
        <v>119</v>
      </c>
      <c r="B122" s="8" t="inlineStr">
        <is>
          <t xml:space="preserve">                    "UPDATE learned_scripts SET notes=? WHERE id=?",</t>
        </is>
      </c>
    </row>
    <row r="123">
      <c r="A123" s="9" t="n">
        <v>120</v>
      </c>
      <c r="B123" s="10" t="inlineStr">
        <is>
          <t xml:space="preserve">                    (notes, script_id)</t>
        </is>
      </c>
    </row>
    <row r="124">
      <c r="A124" s="7" t="n">
        <v>121</v>
      </c>
      <c r="B124" s="8" t="inlineStr">
        <is>
          <t xml:space="preserve">                )</t>
        </is>
      </c>
    </row>
    <row r="125">
      <c r="A125" s="9" t="n">
        <v>122</v>
      </c>
      <c r="B125" s="10" t="inlineStr">
        <is>
          <t xml:space="preserve">            conn.commit()</t>
        </is>
      </c>
    </row>
    <row r="126">
      <c r="A126" s="7" t="n">
        <v>123</v>
      </c>
      <c r="B126" s="8" t="inlineStr"/>
    </row>
    <row r="127">
      <c r="A127" s="9" t="n">
        <v>124</v>
      </c>
      <c r="B127" s="10" t="inlineStr">
        <is>
          <t xml:space="preserve">    def update_score(self, script_id: int, score: float):</t>
        </is>
      </c>
    </row>
    <row r="128">
      <c r="A128" s="7" t="n">
        <v>125</v>
      </c>
      <c r="B128" s="8" t="inlineStr">
        <is>
          <t xml:space="preserve">        """使用后更新评分和使用次数（增量式加权平均）"""</t>
        </is>
      </c>
    </row>
    <row r="129">
      <c r="A129" s="9" t="n">
        <v>126</v>
      </c>
      <c r="B129" s="10" t="inlineStr">
        <is>
          <t xml:space="preserve">        with sqlite3.connect(str(DB_PATH)) as conn:</t>
        </is>
      </c>
    </row>
    <row r="130">
      <c r="A130" s="7" t="n">
        <v>127</v>
      </c>
      <c r="B130" s="8" t="inlineStr">
        <is>
          <t xml:space="preserve">            row = conn.execute(</t>
        </is>
      </c>
    </row>
    <row r="131">
      <c r="A131" s="9" t="n">
        <v>128</v>
      </c>
      <c r="B131" s="10" t="inlineStr">
        <is>
          <t xml:space="preserve">                "SELECT usage_count, avg_score FROM learned_scripts WHERE id=?",</t>
        </is>
      </c>
    </row>
    <row r="132">
      <c r="A132" s="7" t="n">
        <v>129</v>
      </c>
      <c r="B132" s="8" t="inlineStr">
        <is>
          <t xml:space="preserve">                (script_id,)</t>
        </is>
      </c>
    </row>
    <row r="133">
      <c r="A133" s="9" t="n">
        <v>130</v>
      </c>
      <c r="B133" s="10" t="inlineStr">
        <is>
          <t xml:space="preserve">            ).fetchone()</t>
        </is>
      </c>
    </row>
    <row r="134">
      <c r="A134" s="7" t="n">
        <v>131</v>
      </c>
      <c r="B134" s="8" t="inlineStr">
        <is>
          <t xml:space="preserve">            if not row:</t>
        </is>
      </c>
    </row>
    <row r="135">
      <c r="A135" s="9" t="n">
        <v>132</v>
      </c>
      <c r="B135" s="10" t="inlineStr">
        <is>
          <t xml:space="preserve">                return</t>
        </is>
      </c>
    </row>
    <row r="136">
      <c r="A136" s="7" t="n">
        <v>133</v>
      </c>
      <c r="B136" s="8" t="inlineStr">
        <is>
          <t xml:space="preserve">            old_n, old_avg = row[0], row[1]</t>
        </is>
      </c>
    </row>
    <row r="137">
      <c r="A137" s="9" t="n">
        <v>134</v>
      </c>
      <c r="B137" s="10" t="inlineStr">
        <is>
          <t xml:space="preserve">            new_n = old_n + 1</t>
        </is>
      </c>
    </row>
    <row r="138">
      <c r="A138" s="7" t="n">
        <v>135</v>
      </c>
      <c r="B138" s="8" t="inlineStr">
        <is>
          <t xml:space="preserve">            new_avg = round((old_avg * old_n + score) / new_n, 2)</t>
        </is>
      </c>
    </row>
    <row r="139">
      <c r="A139" s="9" t="n">
        <v>136</v>
      </c>
      <c r="B139" s="10" t="inlineStr">
        <is>
          <t xml:space="preserve">            conn.execute(</t>
        </is>
      </c>
    </row>
    <row r="140">
      <c r="A140" s="7" t="n">
        <v>137</v>
      </c>
      <c r="B140" s="8" t="inlineStr">
        <is>
          <t xml:space="preserve">                """UPDATE learned_scripts</t>
        </is>
      </c>
    </row>
    <row r="141">
      <c r="A141" s="9" t="n">
        <v>138</v>
      </c>
      <c r="B141" s="10" t="inlineStr">
        <is>
          <t xml:space="preserve">                   SET usage_count=?, avg_score=?, last_used_at=CURRENT_TIMESTAMP</t>
        </is>
      </c>
    </row>
    <row r="142">
      <c r="A142" s="7" t="n">
        <v>139</v>
      </c>
      <c r="B142" s="8" t="inlineStr">
        <is>
          <t xml:space="preserve">                   WHERE id=?""",</t>
        </is>
      </c>
    </row>
    <row r="143">
      <c r="A143" s="9" t="n">
        <v>140</v>
      </c>
      <c r="B143" s="10" t="inlineStr">
        <is>
          <t xml:space="preserve">                (new_n, new_avg, script_id)</t>
        </is>
      </c>
    </row>
    <row r="144">
      <c r="A144" s="7" t="n">
        <v>141</v>
      </c>
      <c r="B144" s="8" t="inlineStr">
        <is>
          <t xml:space="preserve">            )</t>
        </is>
      </c>
    </row>
    <row r="145">
      <c r="A145" s="9" t="n">
        <v>142</v>
      </c>
      <c r="B145" s="10" t="inlineStr">
        <is>
          <t xml:space="preserve">            conn.commit()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 xml:space="preserve">    def delete(self, script_id: int):</t>
        </is>
      </c>
    </row>
    <row r="148">
      <c r="A148" s="7" t="n">
        <v>145</v>
      </c>
      <c r="B148" s="8" t="inlineStr">
        <is>
          <t xml:space="preserve">        with sqlite3.connect(str(DB_PATH)) as conn:</t>
        </is>
      </c>
    </row>
    <row r="149">
      <c r="A149" s="9" t="n">
        <v>146</v>
      </c>
      <c r="B149" s="10" t="inlineStr">
        <is>
          <t xml:space="preserve">            conn.execute("DELETE FROM learned_scripts WHERE id=?", (script_id,))</t>
        </is>
      </c>
    </row>
    <row r="150">
      <c r="A150" s="7" t="n">
        <v>147</v>
      </c>
      <c r="B150" s="8" t="inlineStr">
        <is>
          <t xml:space="preserve">            conn.commit()</t>
        </is>
      </c>
    </row>
    <row r="151">
      <c r="A151" s="9" t="n">
        <v>148</v>
      </c>
      <c r="B151" s="10" t="inlineStr"/>
    </row>
    <row r="152">
      <c r="A152" s="7" t="n">
        <v>149</v>
      </c>
      <c r="B152" s="8" t="inlineStr">
        <is>
          <t xml:space="preserve">    def get_count(self) -&gt; int:</t>
        </is>
      </c>
    </row>
    <row r="153">
      <c r="A153" s="9" t="n">
        <v>150</v>
      </c>
      <c r="B153" s="10" t="inlineStr">
        <is>
          <t xml:space="preserve">        with sqlite3.connect(str(DB_PATH)) as conn:</t>
        </is>
      </c>
    </row>
    <row r="154">
      <c r="A154" s="7" t="n">
        <v>151</v>
      </c>
      <c r="B154" s="8" t="inlineStr">
        <is>
          <t xml:space="preserve">            return conn.execute(</t>
        </is>
      </c>
    </row>
    <row r="155">
      <c r="A155" s="9" t="n">
        <v>152</v>
      </c>
      <c r="B155" s="10" t="inlineStr">
        <is>
          <t xml:space="preserve">                "SELECT COUNT(*) FROM learned_scripts"</t>
        </is>
      </c>
    </row>
    <row r="156">
      <c r="A156" s="7" t="n">
        <v>153</v>
      </c>
      <c r="B156" s="8" t="inlineStr">
        <is>
          <t xml:space="preserve">            ).fetchone()[0]</t>
        </is>
      </c>
    </row>
    <row r="157">
      <c r="A157" s="9" t="n">
        <v>154</v>
      </c>
      <c r="B157" s="10" t="inlineStr"/>
    </row>
    <row r="158">
      <c r="A158" s="7" t="n">
        <v>155</v>
      </c>
      <c r="B158" s="8" t="inlineStr">
        <is>
          <t xml:space="preserve">    # ═══════════════════ 检索 ═══════════════════</t>
        </is>
      </c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 xml:space="preserve">    def search(self, query: str, limit: int = 20) -&gt; List[Dict]:</t>
        </is>
      </c>
    </row>
    <row r="161">
      <c r="A161" s="9" t="n">
        <v>158</v>
      </c>
      <c r="B161" s="10" t="inlineStr">
        <is>
          <t xml:space="preserve">        """关键词搜索 (模糊匹配 tags + content)"""</t>
        </is>
      </c>
    </row>
    <row r="162">
      <c r="A162" s="7" t="n">
        <v>159</v>
      </c>
      <c r="B162" s="8" t="inlineStr">
        <is>
          <t xml:space="preserve">        q = f"%{query}%"</t>
        </is>
      </c>
    </row>
    <row r="163">
      <c r="A163" s="9" t="n">
        <v>160</v>
      </c>
      <c r="B163" s="10" t="inlineStr">
        <is>
          <t xml:space="preserve">        with sqlite3.connect(str(DB_PATH)) as conn:</t>
        </is>
      </c>
    </row>
    <row r="164">
      <c r="A164" s="7" t="n">
        <v>161</v>
      </c>
      <c r="B164" s="8" t="inlineStr">
        <is>
          <t xml:space="preserve">            conn.row_factory = sqlite3.Row</t>
        </is>
      </c>
    </row>
    <row r="165">
      <c r="A165" s="9" t="n">
        <v>162</v>
      </c>
      <c r="B165" s="10" t="inlineStr">
        <is>
          <t xml:space="preserve">            rows = conn.execute(</t>
        </is>
      </c>
    </row>
    <row r="166">
      <c r="A166" s="7" t="n">
        <v>163</v>
      </c>
      <c r="B166" s="8" t="inlineStr">
        <is>
          <t xml:space="preserve">                """SELECT id, content, source, tags, usage_count,</t>
        </is>
      </c>
    </row>
    <row r="167">
      <c r="A167" s="9" t="n">
        <v>164</v>
      </c>
      <c r="B167" s="10" t="inlineStr">
        <is>
          <t xml:space="preserve">                          avg_score, created_at, last_used_at</t>
        </is>
      </c>
    </row>
    <row r="168">
      <c r="A168" s="7" t="n">
        <v>165</v>
      </c>
      <c r="B168" s="8" t="inlineStr">
        <is>
          <t xml:space="preserve">                   FROM learned_scripts</t>
        </is>
      </c>
    </row>
    <row r="169">
      <c r="A169" s="9" t="n">
        <v>166</v>
      </c>
      <c r="B169" s="10" t="inlineStr">
        <is>
          <t xml:space="preserve">                   WHERE tags LIKE ? OR content LIKE ?</t>
        </is>
      </c>
    </row>
    <row r="170">
      <c r="A170" s="7" t="n">
        <v>167</v>
      </c>
      <c r="B170" s="8" t="inlineStr">
        <is>
          <t xml:space="preserve">                   ORDER BY usage_count DESC</t>
        </is>
      </c>
    </row>
    <row r="171">
      <c r="A171" s="9" t="n">
        <v>168</v>
      </c>
      <c r="B171" s="10" t="inlineStr">
        <is>
          <t xml:space="preserve">                   LIMIT ?""",</t>
        </is>
      </c>
    </row>
    <row r="172">
      <c r="A172" s="7" t="n">
        <v>169</v>
      </c>
      <c r="B172" s="8" t="inlineStr">
        <is>
          <t xml:space="preserve">                (q, q, limit)</t>
        </is>
      </c>
    </row>
    <row r="173">
      <c r="A173" s="9" t="n">
        <v>170</v>
      </c>
      <c r="B173" s="10" t="inlineStr">
        <is>
          <t xml:space="preserve">            ).fetchall()</t>
        </is>
      </c>
    </row>
    <row r="174">
      <c r="A174" s="7" t="n">
        <v>171</v>
      </c>
      <c r="B174" s="8" t="inlineStr">
        <is>
          <t xml:space="preserve">            return [dict(r) for r in rows]</t>
        </is>
      </c>
    </row>
    <row r="175">
      <c r="A175" s="9" t="n">
        <v>172</v>
      </c>
      <c r="B175" s="10" t="inlineStr"/>
    </row>
    <row r="176">
      <c r="A176" s="7" t="n">
        <v>173</v>
      </c>
      <c r="B176" s="8" t="inlineStr">
        <is>
          <t xml:space="preserve">    def find_similar(self, content: str, top_k: int = 5) -&gt; List[Dict]:</t>
        </is>
      </c>
    </row>
    <row r="177">
      <c r="A177" s="9" t="n">
        <v>174</v>
      </c>
      <c r="B177" s="10" t="inlineStr">
        <is>
          <t xml:space="preserve">        """基于向量余弦相似度找最相似的已学习脚本"""</t>
        </is>
      </c>
    </row>
    <row r="178">
      <c r="A178" s="7" t="n">
        <v>175</v>
      </c>
      <c r="B178" s="8" t="inlineStr">
        <is>
          <t xml:space="preserve">        query_emb = self._encode(content)</t>
        </is>
      </c>
    </row>
    <row r="179">
      <c r="A179" s="9" t="n">
        <v>176</v>
      </c>
      <c r="B179" s="10" t="inlineStr">
        <is>
          <t xml:space="preserve">        if query_emb is None:</t>
        </is>
      </c>
    </row>
    <row r="180">
      <c r="A180" s="7" t="n">
        <v>177</v>
      </c>
      <c r="B180" s="8" t="inlineStr">
        <is>
          <t xml:space="preserve">            return []</t>
        </is>
      </c>
    </row>
    <row r="181">
      <c r="A181" s="9" t="n">
        <v>178</v>
      </c>
      <c r="B181" s="10" t="inlineStr"/>
    </row>
    <row r="182">
      <c r="A182" s="7" t="n">
        <v>179</v>
      </c>
      <c r="B182" s="8" t="inlineStr">
        <is>
          <t xml:space="preserve">        import numpy as np</t>
        </is>
      </c>
    </row>
    <row r="183">
      <c r="A183" s="9" t="n">
        <v>180</v>
      </c>
      <c r="B183" s="10" t="inlineStr">
        <is>
          <t xml:space="preserve">        qv = np.frombuffer(query_emb, dtype=np.float32)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 xml:space="preserve">        with sqlite3.connect(str(DB_PATH)) as conn:</t>
        </is>
      </c>
    </row>
    <row r="186">
      <c r="A186" s="7" t="n">
        <v>183</v>
      </c>
      <c r="B186" s="8" t="inlineStr">
        <is>
          <t xml:space="preserve">            conn.row_factory = sqlite3.Row</t>
        </is>
      </c>
    </row>
    <row r="187">
      <c r="A187" s="9" t="n">
        <v>184</v>
      </c>
      <c r="B187" s="10" t="inlineStr">
        <is>
          <t xml:space="preserve">            rows = conn.execute(</t>
        </is>
      </c>
    </row>
    <row r="188">
      <c r="A188" s="7" t="n">
        <v>185</v>
      </c>
      <c r="B188" s="8" t="inlineStr">
        <is>
          <t xml:space="preserve">                "SELECT id, content, tags, usage_count, avg_score, embedding "</t>
        </is>
      </c>
    </row>
    <row r="189">
      <c r="A189" s="9" t="n">
        <v>186</v>
      </c>
      <c r="B189" s="10" t="inlineStr">
        <is>
          <t xml:space="preserve">                "FROM learned_scripts WHERE embedding IS NOT NULL"</t>
        </is>
      </c>
    </row>
    <row r="190">
      <c r="A190" s="7" t="n">
        <v>187</v>
      </c>
      <c r="B190" s="8" t="inlineStr">
        <is>
          <t xml:space="preserve">            ).fetchall()</t>
        </is>
      </c>
    </row>
    <row r="191">
      <c r="A191" s="9" t="n">
        <v>188</v>
      </c>
      <c r="B191" s="10" t="inlineStr"/>
    </row>
    <row r="192">
      <c r="A192" s="7" t="n">
        <v>189</v>
      </c>
      <c r="B192" s="8" t="inlineStr">
        <is>
          <t xml:space="preserve">        scored = []</t>
        </is>
      </c>
    </row>
    <row r="193">
      <c r="A193" s="9" t="n">
        <v>190</v>
      </c>
      <c r="B193" s="10" t="inlineStr">
        <is>
          <t xml:space="preserve">        for r in rows:</t>
        </is>
      </c>
    </row>
    <row r="194">
      <c r="A194" s="7" t="n">
        <v>191</v>
      </c>
      <c r="B194" s="8" t="inlineStr">
        <is>
          <t xml:space="preserve">            if r["embedding"] is None:</t>
        </is>
      </c>
    </row>
    <row r="195">
      <c r="A195" s="9" t="n">
        <v>192</v>
      </c>
      <c r="B195" s="10" t="inlineStr">
        <is>
          <t xml:space="preserve">                continue</t>
        </is>
      </c>
    </row>
    <row r="196">
      <c r="A196" s="7" t="n">
        <v>193</v>
      </c>
      <c r="B196" s="8" t="inlineStr">
        <is>
          <t xml:space="preserve">            try:</t>
        </is>
      </c>
    </row>
    <row r="197">
      <c r="A197" s="9" t="n">
        <v>194</v>
      </c>
      <c r="B197" s="10" t="inlineStr">
        <is>
          <t xml:space="preserve">                ev = np.frombuffer(r["embedding"], dtype=np.float32)</t>
        </is>
      </c>
    </row>
    <row r="198">
      <c r="A198" s="7" t="n">
        <v>195</v>
      </c>
      <c r="B198" s="8" t="inlineStr">
        <is>
          <t xml:space="preserve">                sim = float(np.dot(qv, ev) / (</t>
        </is>
      </c>
    </row>
    <row r="199">
      <c r="A199" s="9" t="n">
        <v>196</v>
      </c>
      <c r="B199" s="10" t="inlineStr">
        <is>
          <t xml:space="preserve">                    np.linalg.norm(qv) * np.linalg.norm(ev) + 1e-8))</t>
        </is>
      </c>
    </row>
    <row r="200">
      <c r="A200" s="7" t="n">
        <v>197</v>
      </c>
      <c r="B200" s="8" t="inlineStr">
        <is>
          <t xml:space="preserve">                if sim &gt; 0.5:</t>
        </is>
      </c>
    </row>
    <row r="201">
      <c r="A201" s="9" t="n">
        <v>198</v>
      </c>
      <c r="B201" s="10" t="inlineStr">
        <is>
          <t xml:space="preserve">                    scored.append((sim, dict(r)))</t>
        </is>
      </c>
    </row>
    <row r="202">
      <c r="A202" s="7" t="n">
        <v>199</v>
      </c>
      <c r="B202" s="8" t="inlineStr">
        <is>
          <t xml:space="preserve">            except Exception:</t>
        </is>
      </c>
    </row>
    <row r="203">
      <c r="A203" s="9" t="n">
        <v>200</v>
      </c>
      <c r="B203" s="10" t="inlineStr">
        <is>
          <t xml:space="preserve">                continue</t>
        </is>
      </c>
    </row>
    <row r="204">
      <c r="A204" s="7" t="n">
        <v>201</v>
      </c>
      <c r="B204" s="8" t="inlineStr"/>
    </row>
    <row r="205">
      <c r="A205" s="9" t="n">
        <v>202</v>
      </c>
      <c r="B205" s="10" t="inlineStr">
        <is>
          <t xml:space="preserve">        scored.sort(key=lambda x: -x[0])</t>
        </is>
      </c>
    </row>
    <row r="206">
      <c r="A206" s="7" t="n">
        <v>203</v>
      </c>
      <c r="B206" s="8" t="inlineStr">
        <is>
          <t xml:space="preserve">        return [</t>
        </is>
      </c>
    </row>
    <row r="207">
      <c r="A207" s="9" t="n">
        <v>204</v>
      </c>
      <c r="B207" s="10" t="inlineStr">
        <is>
          <t xml:space="preserve">            {**s[1], "similarity": round(s[0], 3)}</t>
        </is>
      </c>
    </row>
    <row r="208">
      <c r="A208" s="7" t="n">
        <v>205</v>
      </c>
      <c r="B208" s="8" t="inlineStr">
        <is>
          <t xml:space="preserve">            for s in scored[:top_k]</t>
        </is>
      </c>
    </row>
    <row r="209">
      <c r="A209" s="9" t="n">
        <v>206</v>
      </c>
      <c r="B209" s="10" t="inlineStr">
        <is>
          <t xml:space="preserve">        ]</t>
        </is>
      </c>
    </row>
    <row r="210">
      <c r="A210" s="7" t="n">
        <v>207</v>
      </c>
      <c r="B210" s="8" t="inlineStr"/>
    </row>
    <row r="211">
      <c r="A211" s="9" t="n">
        <v>208</v>
      </c>
      <c r="B211" s="10" t="inlineStr">
        <is>
          <t xml:space="preserve">    # ═══════════════════ 批量导入 ═══════════════════</t>
        </is>
      </c>
    </row>
    <row r="212">
      <c r="A212" s="7" t="n">
        <v>209</v>
      </c>
      <c r="B212" s="8" t="inlineStr"/>
    </row>
    <row r="213">
      <c r="A213" s="9" t="n">
        <v>210</v>
      </c>
      <c r="B213" s="10" t="inlineStr">
        <is>
          <t xml:space="preserve">    def import_scripts_from_text(self, raw_text: str, source: str = "import",</t>
        </is>
      </c>
    </row>
    <row r="214">
      <c r="A214" s="7" t="n">
        <v>211</v>
      </c>
      <c r="B214" s="8" t="inlineStr">
        <is>
          <t xml:space="preserve">                                  force_by_line: bool = False,</t>
        </is>
      </c>
    </row>
    <row r="215">
      <c r="A215" s="9" t="n">
        <v>212</v>
      </c>
      <c r="B215" s="10" t="inlineStr">
        <is>
          <t xml:space="preserve">                                  skip_duplicates: bool = True) -&gt; Dict:</t>
        </is>
      </c>
    </row>
    <row r="216">
      <c r="A216" s="7" t="n">
        <v>213</v>
      </c>
      <c r="B216" s="8" t="inlineStr">
        <is>
          <t xml:space="preserve">        """</t>
        </is>
      </c>
    </row>
    <row r="217">
      <c r="A217" s="9" t="n">
        <v>214</v>
      </c>
      <c r="B217" s="10" t="inlineStr">
        <is>
          <t xml:space="preserve">        智能分割文本并批量导入脚本。</t>
        </is>
      </c>
    </row>
    <row r="218">
      <c r="A218" s="7" t="n">
        <v>215</v>
      </c>
      <c r="B218" s="8" t="inlineStr"/>
    </row>
    <row r="219">
      <c r="A219" s="9" t="n">
        <v>216</v>
      </c>
      <c r="B219" s="10" t="inlineStr">
        <is>
          <t xml:space="preserve">        Returns: {"total": 原始脚本数, "added": 成功新增, "skipped": 重复跳过, "errors": 失败数}</t>
        </is>
      </c>
    </row>
    <row r="220">
      <c r="A220" s="7" t="n">
        <v>217</v>
      </c>
      <c r="B220" s="8" t="inlineStr">
        <is>
          <t xml:space="preserve">        """</t>
        </is>
      </c>
    </row>
    <row r="221">
      <c r="A221" s="9" t="n">
        <v>218</v>
      </c>
      <c r="B221" s="10" t="inlineStr">
        <is>
          <t xml:space="preserve">        from core.script_utils import split_scripts</t>
        </is>
      </c>
    </row>
    <row r="222">
      <c r="A222" s="7" t="n">
        <v>219</v>
      </c>
      <c r="B222" s="8" t="inlineStr">
        <is>
          <t xml:space="preserve">        scripts = split_scripts(raw_text, force_by_line=force_by_line)</t>
        </is>
      </c>
    </row>
    <row r="223">
      <c r="A223" s="9" t="n">
        <v>220</v>
      </c>
      <c r="B223" s="10" t="inlineStr">
        <is>
          <t xml:space="preserve">        result = {"total": len(scripts), "added": 0, "skipped": 0, "errors": 0, "ids": []}</t>
        </is>
      </c>
    </row>
    <row r="224">
      <c r="A224" s="7" t="n">
        <v>221</v>
      </c>
      <c r="B224" s="8" t="inlineStr"/>
    </row>
    <row r="225">
      <c r="A225" s="9" t="n">
        <v>222</v>
      </c>
      <c r="B225" s="10" t="inlineStr">
        <is>
          <t xml:space="preserve">        if result["total"] == 0:</t>
        </is>
      </c>
    </row>
    <row r="226">
      <c r="A226" s="7" t="n">
        <v>223</v>
      </c>
      <c r="B226" s="8" t="inlineStr">
        <is>
          <t xml:space="preserve">            result["errors"] = 1</t>
        </is>
      </c>
    </row>
    <row r="227">
      <c r="A227" s="9" t="n">
        <v>224</v>
      </c>
      <c r="B227" s="10" t="inlineStr">
        <is>
          <t xml:space="preserve">            return result</t>
        </is>
      </c>
    </row>
    <row r="228">
      <c r="A228" s="7" t="n">
        <v>225</v>
      </c>
      <c r="B228" s="8" t="inlineStr"/>
    </row>
    <row r="229">
      <c r="A229" s="9" t="n">
        <v>226</v>
      </c>
      <c r="B229" s="10" t="inlineStr">
        <is>
          <t xml:space="preserve">        for content in scripts:</t>
        </is>
      </c>
    </row>
    <row r="230">
      <c r="A230" s="7" t="n">
        <v>227</v>
      </c>
      <c r="B230" s="8" t="inlineStr">
        <is>
          <t xml:space="preserve">            if skip_duplicates:</t>
        </is>
      </c>
    </row>
    <row r="231">
      <c r="A231" s="9" t="n">
        <v>228</v>
      </c>
      <c r="B231" s="10" t="inlineStr">
        <is>
          <t xml:space="preserve">                existing = self._find_exact(content)</t>
        </is>
      </c>
    </row>
    <row r="232">
      <c r="A232" s="7" t="n">
        <v>229</v>
      </c>
      <c r="B232" s="8" t="inlineStr">
        <is>
          <t xml:space="preserve">                if existing:</t>
        </is>
      </c>
    </row>
    <row r="233">
      <c r="A233" s="9" t="n">
        <v>230</v>
      </c>
      <c r="B233" s="10" t="inlineStr">
        <is>
          <t xml:space="preserve">                    result["skipped"] += 1</t>
        </is>
      </c>
    </row>
    <row r="234">
      <c r="A234" s="7" t="n">
        <v>231</v>
      </c>
      <c r="B234" s="8" t="inlineStr">
        <is>
          <t xml:space="preserve">                    continue</t>
        </is>
      </c>
    </row>
    <row r="235">
      <c r="A235" s="9" t="n">
        <v>232</v>
      </c>
      <c r="B235" s="10" t="inlineStr">
        <is>
          <t xml:space="preserve">            try:</t>
        </is>
      </c>
    </row>
    <row r="236">
      <c r="A236" s="7" t="n">
        <v>233</v>
      </c>
      <c r="B236" s="8" t="inlineStr">
        <is>
          <t xml:space="preserve">                sid = self.add(content, source=source)</t>
        </is>
      </c>
    </row>
    <row r="237">
      <c r="A237" s="9" t="n">
        <v>234</v>
      </c>
      <c r="B237" s="10" t="inlineStr">
        <is>
          <t xml:space="preserve">                result["added"] += 1</t>
        </is>
      </c>
    </row>
    <row r="238">
      <c r="A238" s="7" t="n">
        <v>235</v>
      </c>
      <c r="B238" s="8" t="inlineStr">
        <is>
          <t xml:space="preserve">                result["ids"].append(sid)</t>
        </is>
      </c>
    </row>
    <row r="239">
      <c r="A239" s="9" t="n">
        <v>236</v>
      </c>
      <c r="B239" s="10" t="inlineStr">
        <is>
          <t xml:space="preserve">            except Exception:</t>
        </is>
      </c>
    </row>
    <row r="240">
      <c r="A240" s="7" t="n">
        <v>237</v>
      </c>
      <c r="B240" s="8" t="inlineStr">
        <is>
          <t xml:space="preserve">                result["errors"] += 1</t>
        </is>
      </c>
    </row>
    <row r="241">
      <c r="A241" s="9" t="n">
        <v>238</v>
      </c>
      <c r="B241" s="10" t="inlineStr"/>
    </row>
    <row r="242">
      <c r="A242" s="7" t="n">
        <v>239</v>
      </c>
      <c r="B242" s="8" t="inlineStr">
        <is>
          <t xml:space="preserve">        return result</t>
        </is>
      </c>
    </row>
    <row r="243">
      <c r="A243" s="9" t="n">
        <v>240</v>
      </c>
      <c r="B243" s="10" t="inlineStr"/>
    </row>
    <row r="244">
      <c r="A244" s="7" t="n">
        <v>241</v>
      </c>
      <c r="B244" s="8" t="inlineStr">
        <is>
          <t xml:space="preserve">    def _find_exact(self, content: str) -&gt; Optional[int]:</t>
        </is>
      </c>
    </row>
    <row r="245">
      <c r="A245" s="9" t="n">
        <v>242</v>
      </c>
      <c r="B245" s="10" t="inlineStr">
        <is>
          <t xml:space="preserve">        """查找内容完全一致的脚本ID (去重)"""</t>
        </is>
      </c>
    </row>
    <row r="246">
      <c r="A246" s="7" t="n">
        <v>243</v>
      </c>
      <c r="B246" s="8" t="inlineStr">
        <is>
          <t xml:space="preserve">        with sqlite3.connect(str(DB_PATH)) as conn:</t>
        </is>
      </c>
    </row>
    <row r="247">
      <c r="A247" s="9" t="n">
        <v>244</v>
      </c>
      <c r="B247" s="10" t="inlineStr">
        <is>
          <t xml:space="preserve">            row = conn.execute(</t>
        </is>
      </c>
    </row>
    <row r="248">
      <c r="A248" s="7" t="n">
        <v>245</v>
      </c>
      <c r="B248" s="8" t="inlineStr">
        <is>
          <t xml:space="preserve">                "SELECT id FROM learned_scripts WHERE content=? LIMIT 1",</t>
        </is>
      </c>
    </row>
    <row r="249">
      <c r="A249" s="9" t="n">
        <v>246</v>
      </c>
      <c r="B249" s="10" t="inlineStr">
        <is>
          <t xml:space="preserve">                (content,)</t>
        </is>
      </c>
    </row>
    <row r="250">
      <c r="A250" s="7" t="n">
        <v>247</v>
      </c>
      <c r="B250" s="8" t="inlineStr">
        <is>
          <t xml:space="preserve">            ).fetchone()</t>
        </is>
      </c>
    </row>
    <row r="251">
      <c r="A251" s="9" t="n">
        <v>248</v>
      </c>
      <c r="B251" s="10" t="inlineStr">
        <is>
          <t xml:space="preserve">            return row[0] if row else None</t>
        </is>
      </c>
    </row>
    <row r="252">
      <c r="A252" s="7" t="n">
        <v>249</v>
      </c>
      <c r="B252" s="8" t="inlineStr"/>
    </row>
    <row r="253">
      <c r="A253" s="9" t="n">
        <v>250</v>
      </c>
      <c r="B253" s="10" t="inlineStr">
        <is>
          <t xml:space="preserve">    # ═══════════════════ 多样性选择 ═══════════════════</t>
        </is>
      </c>
    </row>
    <row r="254">
      <c r="A254" s="7" t="n">
        <v>251</v>
      </c>
      <c r="B254" s="8" t="inlineStr"/>
    </row>
    <row r="255">
      <c r="A255" s="9" t="n">
        <v>252</v>
      </c>
      <c r="B255" s="10" t="inlineStr">
        <is>
          <t xml:space="preserve">    def get_script_with_diversity(self, exclude_ids: List[int] = None,</t>
        </is>
      </c>
    </row>
    <row r="256">
      <c r="A256" s="7" t="n">
        <v>253</v>
      </c>
      <c r="B256" s="8" t="inlineStr">
        <is>
          <t xml:space="preserve">                                   prefer_unused: bool = True) -&gt; Optional[Dict]:</t>
        </is>
      </c>
    </row>
    <row r="257">
      <c r="A257" s="9" t="n">
        <v>254</v>
      </c>
      <c r="B257" s="10" t="inlineStr">
        <is>
          <t xml:space="preserve">        """选择脚本时优先未使用的（低使用次数），并排除最近N条。"""</t>
        </is>
      </c>
    </row>
    <row r="258">
      <c r="A258" s="7" t="n">
        <v>255</v>
      </c>
      <c r="B258" s="8" t="inlineStr">
        <is>
          <t xml:space="preserve">        with sqlite3.connect(str(DB_PATH)) as conn:</t>
        </is>
      </c>
    </row>
    <row r="259">
      <c r="A259" s="9" t="n">
        <v>256</v>
      </c>
      <c r="B259" s="10" t="inlineStr">
        <is>
          <t xml:space="preserve">            conn.row_factory = sqlite3.Row</t>
        </is>
      </c>
    </row>
    <row r="260">
      <c r="A260" s="7" t="n">
        <v>257</v>
      </c>
      <c r="B260" s="8" t="inlineStr">
        <is>
          <t xml:space="preserve">            where = "WHERE 1=1"</t>
        </is>
      </c>
    </row>
    <row r="261">
      <c r="A261" s="9" t="n">
        <v>258</v>
      </c>
      <c r="B261" s="10" t="inlineStr">
        <is>
          <t xml:space="preserve">            params = []</t>
        </is>
      </c>
    </row>
    <row r="262">
      <c r="A262" s="7" t="n">
        <v>259</v>
      </c>
      <c r="B262" s="8" t="inlineStr">
        <is>
          <t xml:space="preserve">            if exclude_ids:</t>
        </is>
      </c>
    </row>
    <row r="263">
      <c r="A263" s="9" t="n">
        <v>260</v>
      </c>
      <c r="B263" s="10" t="inlineStr">
        <is>
          <t xml:space="preserve">                placeholders = ",".join("?" for _ in exclude_ids)</t>
        </is>
      </c>
    </row>
    <row r="264">
      <c r="A264" s="7" t="n">
        <v>261</v>
      </c>
      <c r="B264" s="8" t="inlineStr">
        <is>
          <t xml:space="preserve">                where += f" AND id NOT IN ({placeholders})"</t>
        </is>
      </c>
    </row>
    <row r="265">
      <c r="A265" s="9" t="n">
        <v>262</v>
      </c>
      <c r="B265" s="10" t="inlineStr">
        <is>
          <t xml:space="preserve">                params.extend(exclude_ids)</t>
        </is>
      </c>
    </row>
    <row r="266">
      <c r="A266" s="7" t="n">
        <v>263</v>
      </c>
      <c r="B266" s="8" t="inlineStr">
        <is>
          <t xml:space="preserve">            if prefer_unused:</t>
        </is>
      </c>
    </row>
    <row r="267">
      <c r="A267" s="9" t="n">
        <v>264</v>
      </c>
      <c r="B267" s="10" t="inlineStr">
        <is>
          <t xml:space="preserve">                query = f"""</t>
        </is>
      </c>
    </row>
    <row r="268">
      <c r="A268" s="7" t="n">
        <v>265</v>
      </c>
      <c r="B268" s="8" t="inlineStr">
        <is>
          <t xml:space="preserve">                    SELECT * FROM learned_scripts {where}</t>
        </is>
      </c>
    </row>
    <row r="269">
      <c r="A269" s="9" t="n">
        <v>266</v>
      </c>
      <c r="B269" s="10" t="inlineStr">
        <is>
          <t xml:space="preserve">                    ORDER BY usage_count ASC, RANDOM()</t>
        </is>
      </c>
    </row>
    <row r="270">
      <c r="A270" s="7" t="n">
        <v>267</v>
      </c>
      <c r="B270" s="8" t="inlineStr">
        <is>
          <t xml:space="preserve">                    LIMIT 1</t>
        </is>
      </c>
    </row>
    <row r="271">
      <c r="A271" s="9" t="n">
        <v>268</v>
      </c>
      <c r="B271" s="10" t="inlineStr">
        <is>
          <t xml:space="preserve">                """</t>
        </is>
      </c>
    </row>
    <row r="272">
      <c r="A272" s="7" t="n">
        <v>269</v>
      </c>
      <c r="B272" s="8" t="inlineStr">
        <is>
          <t xml:space="preserve">            else:</t>
        </is>
      </c>
    </row>
    <row r="273">
      <c r="A273" s="9" t="n">
        <v>270</v>
      </c>
      <c r="B273" s="10" t="inlineStr">
        <is>
          <t xml:space="preserve">                query = f"""</t>
        </is>
      </c>
    </row>
    <row r="274">
      <c r="A274" s="7" t="n">
        <v>271</v>
      </c>
      <c r="B274" s="8" t="inlineStr">
        <is>
          <t xml:space="preserve">                    SELECT * FROM learned_scripts {where}</t>
        </is>
      </c>
    </row>
    <row r="275">
      <c r="A275" s="9" t="n">
        <v>272</v>
      </c>
      <c r="B275" s="10" t="inlineStr">
        <is>
          <t xml:space="preserve">                    ORDER BY RANDOM() LIMIT 1</t>
        </is>
      </c>
    </row>
    <row r="276">
      <c r="A276" s="7" t="n">
        <v>273</v>
      </c>
      <c r="B276" s="8" t="inlineStr">
        <is>
          <t xml:space="preserve">                """</t>
        </is>
      </c>
    </row>
    <row r="277">
      <c r="A277" s="9" t="n">
        <v>274</v>
      </c>
      <c r="B277" s="10" t="inlineStr">
        <is>
          <t xml:space="preserve">            row = conn.execute(query, params).fetchone()</t>
        </is>
      </c>
    </row>
    <row r="278">
      <c r="A278" s="7" t="n">
        <v>275</v>
      </c>
      <c r="B278" s="8" t="inlineStr">
        <is>
          <t xml:space="preserve">            return dict(row) if row else None</t>
        </is>
      </c>
    </row>
    <row r="279">
      <c r="A279" s="9" t="n">
        <v>276</v>
      </c>
      <c r="B279" s="10" t="inlineStr"/>
    </row>
    <row r="280">
      <c r="A280" s="7" t="n">
        <v>277</v>
      </c>
      <c r="B280" s="8" t="inlineStr">
        <is>
          <t xml:space="preserve">    # ═══════════════════ 分析 ═══════════════════</t>
        </is>
      </c>
    </row>
    <row r="281">
      <c r="A281" s="9" t="n">
        <v>278</v>
      </c>
      <c r="B281" s="10" t="inlineStr"/>
    </row>
    <row r="282">
      <c r="A282" s="7" t="n">
        <v>279</v>
      </c>
      <c r="B282" s="8" t="inlineStr">
        <is>
          <t xml:space="preserve">    def get_stats(self) -&gt; Dict:</t>
        </is>
      </c>
    </row>
    <row r="283">
      <c r="A283" s="9" t="n">
        <v>280</v>
      </c>
      <c r="B283" s="10" t="inlineStr">
        <is>
          <t xml:space="preserve">        """获取脚本库统计信息"""</t>
        </is>
      </c>
    </row>
    <row r="284">
      <c r="A284" s="7" t="n">
        <v>281</v>
      </c>
      <c r="B284" s="8" t="inlineStr">
        <is>
          <t xml:space="preserve">        with sqlite3.connect(str(DB_PATH)) as conn:</t>
        </is>
      </c>
    </row>
    <row r="285">
      <c r="A285" s="9" t="n">
        <v>282</v>
      </c>
      <c r="B285" s="10" t="inlineStr">
        <is>
          <t xml:space="preserve">            total = conn.execute(</t>
        </is>
      </c>
    </row>
    <row r="286">
      <c r="A286" s="7" t="n">
        <v>283</v>
      </c>
      <c r="B286" s="8" t="inlineStr">
        <is>
          <t xml:space="preserve">                "SELECT COUNT(*) FROM learned_scripts").fetchone()[0]</t>
        </is>
      </c>
    </row>
    <row r="287">
      <c r="A287" s="9" t="n">
        <v>284</v>
      </c>
      <c r="B287" s="10" t="inlineStr">
        <is>
          <t xml:space="preserve">            total_usage = conn.execute(</t>
        </is>
      </c>
    </row>
    <row r="288">
      <c r="A288" s="7" t="n">
        <v>285</v>
      </c>
      <c r="B288" s="8" t="inlineStr">
        <is>
          <t xml:space="preserve">                "SELECT COALESCE(SUM(usage_count),0) FROM learned_scripts"</t>
        </is>
      </c>
    </row>
    <row r="289">
      <c r="A289" s="9" t="n">
        <v>286</v>
      </c>
      <c r="B289" s="10" t="inlineStr">
        <is>
          <t xml:space="preserve">            ).fetchone()[0]</t>
        </is>
      </c>
    </row>
    <row r="290">
      <c r="A290" s="7" t="n">
        <v>287</v>
      </c>
      <c r="B290" s="8" t="inlineStr">
        <is>
          <t xml:space="preserve">            avg_score_all = conn.execute(</t>
        </is>
      </c>
    </row>
    <row r="291">
      <c r="A291" s="9" t="n">
        <v>288</v>
      </c>
      <c r="B291" s="10" t="inlineStr">
        <is>
          <t xml:space="preserve">                "SELECT COALESCE(AVG(avg_score),0) FROM learned_scripts "</t>
        </is>
      </c>
    </row>
    <row r="292">
      <c r="A292" s="7" t="n">
        <v>289</v>
      </c>
      <c r="B292" s="8" t="inlineStr">
        <is>
          <t xml:space="preserve">                "WHERE usage_count &gt; 0"</t>
        </is>
      </c>
    </row>
    <row r="293">
      <c r="A293" s="9" t="n">
        <v>290</v>
      </c>
      <c r="B293" s="10" t="inlineStr">
        <is>
          <t xml:space="preserve">            ).fetchone()[0]</t>
        </is>
      </c>
    </row>
    <row r="294">
      <c r="A294" s="7" t="n">
        <v>291</v>
      </c>
      <c r="B294" s="8" t="inlineStr">
        <is>
          <t xml:space="preserve">            top_tags = conn.execute(</t>
        </is>
      </c>
    </row>
    <row r="295">
      <c r="A295" s="9" t="n">
        <v>292</v>
      </c>
      <c r="B295" s="10" t="inlineStr">
        <is>
          <t xml:space="preserve">                "SELECT tags FROM learned_scripts WHERE tags != ''"</t>
        </is>
      </c>
    </row>
    <row r="296">
      <c r="A296" s="7" t="n">
        <v>293</v>
      </c>
      <c r="B296" s="8" t="inlineStr">
        <is>
          <t xml:space="preserve">            ).fetchall()</t>
        </is>
      </c>
    </row>
    <row r="297">
      <c r="A297" s="9" t="n">
        <v>294</v>
      </c>
      <c r="B297" s="10" t="inlineStr"/>
    </row>
    <row r="298">
      <c r="A298" s="7" t="n">
        <v>295</v>
      </c>
      <c r="B298" s="8" t="inlineStr">
        <is>
          <t xml:space="preserve">        # 统计高频标签</t>
        </is>
      </c>
    </row>
    <row r="299">
      <c r="A299" s="9" t="n">
        <v>296</v>
      </c>
      <c r="B299" s="10" t="inlineStr">
        <is>
          <t xml:space="preserve">        from collections import Counter</t>
        </is>
      </c>
    </row>
    <row r="300">
      <c r="A300" s="7" t="n">
        <v>297</v>
      </c>
      <c r="B300" s="8" t="inlineStr">
        <is>
          <t xml:space="preserve">        tag_counter = Counter()</t>
        </is>
      </c>
    </row>
    <row r="301">
      <c r="A301" s="9" t="n">
        <v>298</v>
      </c>
      <c r="B301" s="10" t="inlineStr">
        <is>
          <t xml:space="preserve">        for (t,) in top_tags:</t>
        </is>
      </c>
    </row>
    <row r="302">
      <c r="A302" s="7" t="n">
        <v>299</v>
      </c>
      <c r="B302" s="8" t="inlineStr">
        <is>
          <t xml:space="preserve">            for tag in t.split(","):</t>
        </is>
      </c>
    </row>
    <row r="303">
      <c r="A303" s="9" t="n">
        <v>300</v>
      </c>
      <c r="B303" s="10" t="inlineStr">
        <is>
          <t xml:space="preserve">                tag = tag.strip()</t>
        </is>
      </c>
    </row>
    <row r="304">
      <c r="A304" s="7" t="n">
        <v>301</v>
      </c>
      <c r="B304" s="8" t="inlineStr">
        <is>
          <t xml:space="preserve">                if tag:</t>
        </is>
      </c>
    </row>
    <row r="305">
      <c r="A305" s="9" t="n">
        <v>302</v>
      </c>
      <c r="B305" s="10" t="inlineStr">
        <is>
          <t xml:space="preserve">                    tag_counter[tag] += 1</t>
        </is>
      </c>
    </row>
    <row r="306">
      <c r="A306" s="7" t="n">
        <v>303</v>
      </c>
      <c r="B306" s="8" t="inlineStr"/>
    </row>
    <row r="307">
      <c r="A307" s="9" t="n">
        <v>304</v>
      </c>
      <c r="B307" s="10" t="inlineStr">
        <is>
          <t xml:space="preserve">        return {</t>
        </is>
      </c>
    </row>
    <row r="308">
      <c r="A308" s="7" t="n">
        <v>305</v>
      </c>
      <c r="B308" s="8" t="inlineStr">
        <is>
          <t xml:space="preserve">            "total_scripts": total,</t>
        </is>
      </c>
    </row>
    <row r="309">
      <c r="A309" s="9" t="n">
        <v>306</v>
      </c>
      <c r="B309" s="10" t="inlineStr">
        <is>
          <t xml:space="preserve">            "total_usage": total_usage,</t>
        </is>
      </c>
    </row>
    <row r="310">
      <c r="A310" s="7" t="n">
        <v>307</v>
      </c>
      <c r="B310" s="8" t="inlineStr">
        <is>
          <t xml:space="preserve">            "avg_score": round(avg_score_all, 2),</t>
        </is>
      </c>
    </row>
    <row r="311">
      <c r="A311" s="9" t="n">
        <v>308</v>
      </c>
      <c r="B311" s="10" t="inlineStr">
        <is>
          <t xml:space="preserve">            "top_tags": tag_counter.most_common(10),</t>
        </is>
      </c>
    </row>
    <row r="312">
      <c r="A312" s="7" t="n">
        <v>309</v>
      </c>
      <c r="B312" s="8" t="inlineStr">
        <is>
          <t xml:space="preserve">        }</t>
        </is>
      </c>
    </row>
    <row r="313">
      <c r="A313" s="9" t="n">
        <v>310</v>
      </c>
      <c r="B313" s="10" t="inlineStr"/>
    </row>
    <row r="314">
      <c r="A314" s="7" t="n">
        <v>311</v>
      </c>
      <c r="B314" s="8" t="inlineStr">
        <is>
          <t xml:space="preserve">    def analyze_patterns(self) -&gt; str:</t>
        </is>
      </c>
    </row>
    <row r="315">
      <c r="A315" s="9" t="n">
        <v>312</v>
      </c>
      <c r="B315" s="10" t="inlineStr">
        <is>
          <t xml:space="preserve">        """使用 DeepSeek 分析脚本库，提取用户偏好（供自学习引擎调用）"""</t>
        </is>
      </c>
    </row>
    <row r="316">
      <c r="A316" s="7" t="n">
        <v>313</v>
      </c>
      <c r="B316" s="8" t="inlineStr">
        <is>
          <t xml:space="preserve">        scripts = self.get_all(limit=50, sort_by="usage_count")</t>
        </is>
      </c>
    </row>
    <row r="317">
      <c r="A317" s="9" t="n">
        <v>314</v>
      </c>
      <c r="B317" s="10" t="inlineStr">
        <is>
          <t xml:space="preserve">        if not scripts:</t>
        </is>
      </c>
    </row>
    <row r="318">
      <c r="A318" s="7" t="n">
        <v>315</v>
      </c>
      <c r="B318" s="8" t="inlineStr">
        <is>
          <t xml:space="preserve">            return ""</t>
        </is>
      </c>
    </row>
    <row r="319">
      <c r="A319" s="9" t="n">
        <v>316</v>
      </c>
      <c r="B319" s="10" t="inlineStr"/>
    </row>
    <row r="320">
      <c r="A320" s="7" t="n">
        <v>317</v>
      </c>
      <c r="B320" s="8" t="inlineStr">
        <is>
          <t xml:space="preserve">        summary_lines = []</t>
        </is>
      </c>
    </row>
    <row r="321">
      <c r="A321" s="9" t="n">
        <v>318</v>
      </c>
      <c r="B321" s="10" t="inlineStr">
        <is>
          <t xml:space="preserve">        for s in scripts[:20]:</t>
        </is>
      </c>
    </row>
    <row r="322">
      <c r="A322" s="7" t="n">
        <v>319</v>
      </c>
      <c r="B322" s="8" t="inlineStr">
        <is>
          <t xml:space="preserve">            preview = s["content"][:60].replace("\n", " ")</t>
        </is>
      </c>
    </row>
    <row r="323">
      <c r="A323" s="9" t="n">
        <v>320</v>
      </c>
      <c r="B323" s="10" t="inlineStr">
        <is>
          <t xml:space="preserve">            summary_lines.append(</t>
        </is>
      </c>
    </row>
    <row r="324">
      <c r="A324" s="7" t="n">
        <v>321</v>
      </c>
      <c r="B324" s="8" t="inlineStr">
        <is>
          <t xml:space="preserve">                f"[{s['usage_count']}x, {s['avg_score']:.1f}] {preview}..."</t>
        </is>
      </c>
    </row>
    <row r="325">
      <c r="A325" s="9" t="n">
        <v>322</v>
      </c>
      <c r="B325" s="10" t="inlineStr">
        <is>
          <t xml:space="preserve">            )</t>
        </is>
      </c>
    </row>
    <row r="326">
      <c r="A326" s="7" t="n">
        <v>323</v>
      </c>
      <c r="B326" s="8" t="inlineStr"/>
    </row>
    <row r="327">
      <c r="A327" s="9" t="n">
        <v>324</v>
      </c>
      <c r="B327" s="10" t="inlineStr">
        <is>
          <t xml:space="preserve">        prompt = (</t>
        </is>
      </c>
    </row>
    <row r="328">
      <c r="A328" s="7" t="n">
        <v>325</v>
      </c>
      <c r="B328" s="8" t="inlineStr">
        <is>
          <t xml:space="preserve">            "以下是用户最常使用的视频脚本列表（按使用次数排序）。"</t>
        </is>
      </c>
    </row>
    <row r="329">
      <c r="A329" s="9" t="n">
        <v>326</v>
      </c>
      <c r="B329" s="10" t="inlineStr">
        <is>
          <t xml:space="preserve">            "请分析这些脚本的共同特征: 风格偏好、常用关键词、句长偏好、"</t>
        </is>
      </c>
    </row>
    <row r="330">
      <c r="A330" s="7" t="n">
        <v>327</v>
      </c>
      <c r="B330" s="8" t="inlineStr">
        <is>
          <t xml:space="preserve">            "情感倾向、CTA模式等。输出3-5条优化建议。\n\n"</t>
        </is>
      </c>
    </row>
    <row r="331">
      <c r="A331" s="9" t="n">
        <v>328</v>
      </c>
      <c r="B331" s="10" t="inlineStr">
        <is>
          <t xml:space="preserve">            + "\n".join(summary_lines)</t>
        </is>
      </c>
    </row>
    <row r="332">
      <c r="A332" s="7" t="n">
        <v>329</v>
      </c>
      <c r="B332" s="8" t="inlineStr">
        <is>
          <t xml:space="preserve">        )</t>
        </is>
      </c>
    </row>
    <row r="333">
      <c r="A333" s="9" t="n">
        <v>330</v>
      </c>
      <c r="B333" s="10" t="inlineStr"/>
    </row>
    <row r="334">
      <c r="A334" s="7" t="n">
        <v>331</v>
      </c>
      <c r="B334" s="8" t="inlineStr">
        <is>
          <t xml:space="preserve">        try:</t>
        </is>
      </c>
    </row>
    <row r="335">
      <c r="A335" s="9" t="n">
        <v>332</v>
      </c>
      <c r="B335" s="10" t="inlineStr">
        <is>
          <t xml:space="preserve">            from core.deepseek_client import get_deepseek</t>
        </is>
      </c>
    </row>
    <row r="336">
      <c r="A336" s="7" t="n">
        <v>333</v>
      </c>
      <c r="B336" s="8" t="inlineStr">
        <is>
          <t xml:space="preserve">            ds = get_deepseek()</t>
        </is>
      </c>
    </row>
    <row r="337">
      <c r="A337" s="9" t="n">
        <v>334</v>
      </c>
      <c r="B337" s="10" t="inlineStr">
        <is>
          <t xml:space="preserve">            if ds.available:</t>
        </is>
      </c>
    </row>
    <row r="338">
      <c r="A338" s="7" t="n">
        <v>335</v>
      </c>
      <c r="B338" s="8" t="inlineStr">
        <is>
          <t xml:space="preserve">                return ds._call(</t>
        </is>
      </c>
    </row>
    <row r="339">
      <c r="A339" s="9" t="n">
        <v>336</v>
      </c>
      <c r="B339" s="10" t="inlineStr">
        <is>
          <t xml:space="preserve">                    "你是视频脚本分析专家。分析用户脚本偏好并给出优化建议。",</t>
        </is>
      </c>
    </row>
    <row r="340">
      <c r="A340" s="7" t="n">
        <v>337</v>
      </c>
      <c r="B340" s="8" t="inlineStr">
        <is>
          <t xml:space="preserve">                    prompt, max_tokens=500, temperature=0.5</t>
        </is>
      </c>
    </row>
    <row r="341">
      <c r="A341" s="9" t="n">
        <v>338</v>
      </c>
      <c r="B341" s="10" t="inlineStr">
        <is>
          <t xml:space="preserve">                ) or ""</t>
        </is>
      </c>
    </row>
    <row r="342">
      <c r="A342" s="7" t="n">
        <v>339</v>
      </c>
      <c r="B342" s="8" t="inlineStr">
        <is>
          <t xml:space="preserve">        except Exception:</t>
        </is>
      </c>
    </row>
    <row r="343">
      <c r="A343" s="9" t="n">
        <v>340</v>
      </c>
      <c r="B343" s="10" t="inlineStr">
        <is>
          <t xml:space="preserve">            pass</t>
        </is>
      </c>
    </row>
    <row r="344">
      <c r="A344" s="7" t="n">
        <v>341</v>
      </c>
      <c r="B344" s="8" t="inlineStr">
        <is>
          <t xml:space="preserve">        return ""</t>
        </is>
      </c>
    </row>
    <row r="345">
      <c r="A345" s="9" t="n">
        <v>342</v>
      </c>
      <c r="B345" s="10" t="inlineStr"/>
    </row>
    <row r="346">
      <c r="A346" s="7" t="n">
        <v>343</v>
      </c>
      <c r="B346" s="8" t="inlineStr">
        <is>
          <t xml:space="preserve">    # ═══════════════════ 内部 ═══════════════════</t>
        </is>
      </c>
    </row>
    <row r="347">
      <c r="A347" s="9" t="n">
        <v>344</v>
      </c>
      <c r="B347" s="10" t="inlineStr"/>
    </row>
    <row r="348">
      <c r="A348" s="7" t="n">
        <v>345</v>
      </c>
      <c r="B348" s="8" t="inlineStr">
        <is>
          <t xml:space="preserve">    def _encode(self, text: str):</t>
        </is>
      </c>
    </row>
    <row r="349">
      <c r="A349" s="9" t="n">
        <v>346</v>
      </c>
      <c r="B349" s="10" t="inlineStr">
        <is>
          <t xml:space="preserve">        """调用 BGE-M3 生成文本 embedding"""</t>
        </is>
      </c>
    </row>
    <row r="350">
      <c r="A350" s="7" t="n">
        <v>347</v>
      </c>
      <c r="B350" s="8" t="inlineStr">
        <is>
          <t xml:space="preserve">        try:</t>
        </is>
      </c>
    </row>
    <row r="351">
      <c r="A351" s="9" t="n">
        <v>348</v>
      </c>
      <c r="B351" s="10" t="inlineStr">
        <is>
          <t xml:space="preserve">            from sentence_transformers import SentenceTransformer</t>
        </is>
      </c>
    </row>
    <row r="352">
      <c r="A352" s="7" t="n">
        <v>349</v>
      </c>
      <c r="B352" s="8" t="inlineStr">
        <is>
          <t xml:space="preserve">            # 延迟加载</t>
        </is>
      </c>
    </row>
    <row r="353">
      <c r="A353" s="9" t="n">
        <v>350</v>
      </c>
      <c r="B353" s="10" t="inlineStr">
        <is>
          <t xml:space="preserve">            if self._st_model is None:</t>
        </is>
      </c>
    </row>
    <row r="354">
      <c r="A354" s="7" t="n">
        <v>351</v>
      </c>
      <c r="B354" s="8" t="inlineStr">
        <is>
          <t xml:space="preserve">                self._st_model = SentenceTransformer("BAAI/bge-m3")</t>
        </is>
      </c>
    </row>
    <row r="355">
      <c r="A355" s="9" t="n">
        <v>352</v>
      </c>
      <c r="B355" s="10" t="inlineStr">
        <is>
          <t xml:space="preserve">            vec = self._st_model.encode([text])[0]</t>
        </is>
      </c>
    </row>
    <row r="356">
      <c r="A356" s="7" t="n">
        <v>353</v>
      </c>
      <c r="B356" s="8" t="inlineStr">
        <is>
          <t xml:space="preserve">            import numpy as np</t>
        </is>
      </c>
    </row>
    <row r="357">
      <c r="A357" s="9" t="n">
        <v>354</v>
      </c>
      <c r="B357" s="10" t="inlineStr">
        <is>
          <t xml:space="preserve">            return np.array(vec, dtype=np.float32).tobytes()</t>
        </is>
      </c>
    </row>
    <row r="358">
      <c r="A358" s="7" t="n">
        <v>355</v>
      </c>
      <c r="B358" s="8" t="inlineStr">
        <is>
          <t xml:space="preserve">        except Exception:</t>
        </is>
      </c>
    </row>
    <row r="359">
      <c r="A359" s="9" t="n">
        <v>356</v>
      </c>
      <c r="B359" s="10" t="inlineStr">
        <is>
          <t xml:space="preserve">            return None</t>
        </is>
      </c>
    </row>
    <row r="360">
      <c r="A360" s="7" t="n">
        <v>357</v>
      </c>
      <c r="B360" s="8" t="inlineStr"/>
    </row>
    <row r="361">
      <c r="A361" s="9" t="n">
        <v>358</v>
      </c>
      <c r="B361" s="10" t="inlineStr"/>
    </row>
    <row r="362">
      <c r="A362" s="7" t="n">
        <v>359</v>
      </c>
      <c r="B362" s="8" t="inlineStr">
        <is>
          <t># 全局单例</t>
        </is>
      </c>
    </row>
    <row r="363">
      <c r="A363" s="9" t="n">
        <v>360</v>
      </c>
      <c r="B363" s="10" t="inlineStr">
        <is>
          <t>_lib: Optional[ScriptLibrary] = None</t>
        </is>
      </c>
    </row>
    <row r="364">
      <c r="A364" s="7" t="n">
        <v>361</v>
      </c>
      <c r="B364" s="8" t="inlineStr"/>
    </row>
    <row r="365">
      <c r="A365" s="9" t="n">
        <v>362</v>
      </c>
      <c r="B365" s="10" t="inlineStr"/>
    </row>
    <row r="366">
      <c r="A366" s="7" t="n">
        <v>363</v>
      </c>
      <c r="B366" s="8" t="inlineStr">
        <is>
          <t>def get_library() -&gt; ScriptLibrary:</t>
        </is>
      </c>
    </row>
    <row r="367">
      <c r="A367" s="9" t="n">
        <v>364</v>
      </c>
      <c r="B367" s="10" t="inlineStr">
        <is>
          <t xml:space="preserve">    global _lib</t>
        </is>
      </c>
    </row>
    <row r="368">
      <c r="A368" s="7" t="n">
        <v>365</v>
      </c>
      <c r="B368" s="8" t="inlineStr">
        <is>
          <t xml:space="preserve">    if _lib is None:</t>
        </is>
      </c>
    </row>
    <row r="369">
      <c r="A369" s="9" t="n">
        <v>366</v>
      </c>
      <c r="B369" s="10" t="inlineStr">
        <is>
          <t xml:space="preserve">        _lib = ScriptLibrary()</t>
        </is>
      </c>
    </row>
    <row r="370">
      <c r="A370" s="7" t="n">
        <v>367</v>
      </c>
      <c r="B370" s="8" t="inlineStr">
        <is>
          <t xml:space="preserve">    return _lib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core\script_understanding.py</t>
        </is>
      </c>
      <c r="C1" s="5" t="inlineStr">
        <is>
          <t>行数: 204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脚本语义理解模块 (Script Understanding)</t>
        </is>
      </c>
    </row>
    <row r="6">
      <c r="A6" s="7" t="n">
        <v>3</v>
      </c>
      <c r="B6" s="8">
        <f>===============================================================</f>
        <v/>
      </c>
    </row>
    <row r="7">
      <c r="A7" s="9" t="n">
        <v>4</v>
      </c>
      <c r="B7" s="10" t="inlineStr">
        <is>
          <t>使用 DeepSeek API 对视频脚本进行深度语义解析，提取可视化需求。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用法:</t>
        </is>
      </c>
    </row>
    <row r="10">
      <c r="A10" s="7" t="n">
        <v>7</v>
      </c>
      <c r="B10" s="8" t="inlineStr">
        <is>
          <t xml:space="preserve">  from core.script_understanding import ScriptParser</t>
        </is>
      </c>
    </row>
    <row r="11">
      <c r="A11" s="9" t="n">
        <v>8</v>
      </c>
      <c r="B11" s="10" t="inlineStr">
        <is>
          <t xml:space="preserve">  parser = ScriptParser()</t>
        </is>
      </c>
    </row>
    <row r="12">
      <c r="A12" s="7" t="n">
        <v>9</v>
      </c>
      <c r="B12" s="8" t="inlineStr">
        <is>
          <t xml:space="preserve">  result = parser.parse("岛台装修别踩坑了！内嵌烤箱精准开孔...")</t>
        </is>
      </c>
    </row>
    <row r="13">
      <c r="A13" s="9" t="n">
        <v>10</v>
      </c>
      <c r="B13" s="10" t="inlineStr">
        <is>
          <t xml:space="preserve">  # result = {</t>
        </is>
      </c>
    </row>
    <row r="14">
      <c r="A14" s="7" t="n">
        <v>11</v>
      </c>
      <c r="B14" s="8" t="inlineStr">
        <is>
          <t xml:space="preserve">  #   "segments": [{</t>
        </is>
      </c>
    </row>
    <row r="15">
      <c r="A15" s="9" t="n">
        <v>12</v>
      </c>
      <c r="B15" s="10" t="inlineStr">
        <is>
          <t xml:space="preserve">  #     "text": "...", "duration_sec": 2.5,</t>
        </is>
      </c>
    </row>
    <row r="16">
      <c r="A16" s="7" t="n">
        <v>13</v>
      </c>
      <c r="B16" s="8" t="inlineStr">
        <is>
          <t xml:space="preserve">  #     "visual_requirements": {"scene":[...], "objects":[...], ...}</t>
        </is>
      </c>
    </row>
    <row r="17">
      <c r="A17" s="9" t="n">
        <v>14</v>
      </c>
      <c r="B17" s="10" t="inlineStr">
        <is>
          <t xml:space="preserve">  #   }],</t>
        </is>
      </c>
    </row>
    <row r="18">
      <c r="A18" s="7" t="n">
        <v>15</v>
      </c>
      <c r="B18" s="8" t="inlineStr">
        <is>
          <t xml:space="preserve">  #   "global_style": "极简风", "overall_mood": "专业、科技感"</t>
        </is>
      </c>
    </row>
    <row r="19">
      <c r="A19" s="9" t="n">
        <v>16</v>
      </c>
      <c r="B19" s="10" t="inlineStr">
        <is>
          <t xml:space="preserve">  # }</t>
        </is>
      </c>
    </row>
    <row r="20">
      <c r="A20" s="7" t="n">
        <v>17</v>
      </c>
      <c r="B20" s="8" t="inlineStr">
        <is>
          <t>"""</t>
        </is>
      </c>
    </row>
    <row r="21">
      <c r="A21" s="9" t="n">
        <v>18</v>
      </c>
      <c r="B21" s="10" t="inlineStr">
        <is>
          <t>import json</t>
        </is>
      </c>
    </row>
    <row r="22">
      <c r="A22" s="7" t="n">
        <v>19</v>
      </c>
      <c r="B22" s="8" t="inlineStr">
        <is>
          <t>import re</t>
        </is>
      </c>
    </row>
    <row r="23">
      <c r="A23" s="9" t="n">
        <v>20</v>
      </c>
      <c r="B23" s="10" t="inlineStr">
        <is>
          <t>from typing import Optional, List, Dict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/>
    </row>
    <row r="26">
      <c r="A26" s="7" t="n">
        <v>23</v>
      </c>
      <c r="B26" s="8" t="inlineStr">
        <is>
          <t>DEFAULT_DURATION_PER_CHAR = 0.28  # 秒/字 (TTS语速 ~3.6字/秒)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/>
    </row>
    <row r="29">
      <c r="A29" s="9" t="n">
        <v>26</v>
      </c>
      <c r="B29" s="10" t="inlineStr">
        <is>
          <t>class ScriptParser:</t>
        </is>
      </c>
    </row>
    <row r="30">
      <c r="A30" s="7" t="n">
        <v>27</v>
      </c>
      <c r="B30" s="8" t="inlineStr">
        <is>
          <t xml:space="preserve">    """</t>
        </is>
      </c>
    </row>
    <row r="31">
      <c r="A31" s="9" t="n">
        <v>28</v>
      </c>
      <c r="B31" s="10" t="inlineStr">
        <is>
          <t xml:space="preserve">    脚本语义解析器 — DeepSeek API 优先 + 本地规则降级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>
        <is>
          <t xml:space="preserve">    提示词工程: 严格要求 JSON 格式返回，禁止自由文本。</t>
        </is>
      </c>
    </row>
    <row r="34">
      <c r="A34" s="7" t="n">
        <v>31</v>
      </c>
      <c r="B34" s="8" t="inlineStr">
        <is>
          <t xml:space="preserve">    超时: 15秒。失败时使用本地规则兜底。</t>
        </is>
      </c>
    </row>
    <row r="35">
      <c r="A35" s="9" t="n">
        <v>32</v>
      </c>
      <c r="B35" s="10" t="inlineStr">
        <is>
          <t xml:space="preserve">    """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 xml:space="preserve">    SYSTEM_PROMPT = """你是视频脚本视觉化分析专家。分析口播脚本，输出每句对应的视觉需求。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>输出必须是纯 JSON 对象（不要 Markdown 标记），格式:</t>
        </is>
      </c>
    </row>
    <row r="40">
      <c r="A40" s="7" t="n">
        <v>37</v>
      </c>
      <c r="B40" s="8" t="inlineStr">
        <is>
          <t>{</t>
        </is>
      </c>
    </row>
    <row r="41">
      <c r="A41" s="9" t="n">
        <v>38</v>
      </c>
      <c r="B41" s="10" t="inlineStr">
        <is>
          <t xml:space="preserve">  "segments": [</t>
        </is>
      </c>
    </row>
    <row r="42">
      <c r="A42" s="7" t="n">
        <v>39</v>
      </c>
      <c r="B42" s="8" t="inlineStr">
        <is>
          <t xml:space="preserve">    {</t>
        </is>
      </c>
    </row>
    <row r="43">
      <c r="A43" s="9" t="n">
        <v>40</v>
      </c>
      <c r="B43" s="10" t="inlineStr">
        <is>
          <t xml:space="preserve">      "text": "原文句子",</t>
        </is>
      </c>
    </row>
    <row r="44">
      <c r="A44" s="7" t="n">
        <v>41</v>
      </c>
      <c r="B44" s="8" t="inlineStr">
        <is>
          <t xml:space="preserve">      "duration_sec": 2.5,</t>
        </is>
      </c>
    </row>
    <row r="45">
      <c r="A45" s="9" t="n">
        <v>42</v>
      </c>
      <c r="B45" s="10" t="inlineStr">
        <is>
          <t xml:space="preserve">      "visual_requirements": {</t>
        </is>
      </c>
    </row>
    <row r="46">
      <c r="A46" s="7" t="n">
        <v>43</v>
      </c>
      <c r="B46" s="8" t="inlineStr">
        <is>
          <t xml:space="preserve">        "scene": ["厨房", "岛台"],</t>
        </is>
      </c>
    </row>
    <row r="47">
      <c r="A47" s="9" t="n">
        <v>44</v>
      </c>
      <c r="B47" s="10" t="inlineStr">
        <is>
          <t xml:space="preserve">        "objects": ["烤箱", "抽屉"],</t>
        </is>
      </c>
    </row>
    <row r="48">
      <c r="A48" s="7" t="n">
        <v>45</v>
      </c>
      <c r="B48" s="8" t="inlineStr">
        <is>
          <t xml:space="preserve">        "actions": ["拉开", "展示"],</t>
        </is>
      </c>
    </row>
    <row r="49">
      <c r="A49" s="9" t="n">
        <v>46</v>
      </c>
      <c r="B49" s="10" t="inlineStr">
        <is>
          <t xml:space="preserve">        "style": ["极简风"],</t>
        </is>
      </c>
    </row>
    <row r="50">
      <c r="A50" s="7" t="n">
        <v>47</v>
      </c>
      <c r="B50" s="8" t="inlineStr">
        <is>
          <t xml:space="preserve">        "materials": ["岩板"],</t>
        </is>
      </c>
    </row>
    <row r="51">
      <c r="A51" s="9" t="n">
        <v>48</v>
      </c>
      <c r="B51" s="10" t="inlineStr">
        <is>
          <t xml:space="preserve">        "colors": ["白色"],</t>
        </is>
      </c>
    </row>
    <row r="52">
      <c r="A52" s="7" t="n">
        <v>49</v>
      </c>
      <c r="B52" s="8" t="inlineStr">
        <is>
          <t xml:space="preserve">        "emotion": ["高级感"]</t>
        </is>
      </c>
    </row>
    <row r="53">
      <c r="A53" s="9" t="n">
        <v>50</v>
      </c>
      <c r="B53" s="10" t="inlineStr">
        <is>
          <t xml:space="preserve">      }</t>
        </is>
      </c>
    </row>
    <row r="54">
      <c r="A54" s="7" t="n">
        <v>51</v>
      </c>
      <c r="B54" s="8" t="inlineStr">
        <is>
          <t xml:space="preserve">    }</t>
        </is>
      </c>
    </row>
    <row r="55">
      <c r="A55" s="9" t="n">
        <v>52</v>
      </c>
      <c r="B55" s="10" t="inlineStr">
        <is>
          <t xml:space="preserve">  ],</t>
        </is>
      </c>
    </row>
    <row r="56">
      <c r="A56" s="7" t="n">
        <v>53</v>
      </c>
      <c r="B56" s="8" t="inlineStr">
        <is>
          <t xml:space="preserve">  "global_style": "极简风",</t>
        </is>
      </c>
    </row>
    <row r="57">
      <c r="A57" s="9" t="n">
        <v>54</v>
      </c>
      <c r="B57" s="10" t="inlineStr">
        <is>
          <t xml:space="preserve">  "overall_mood": "专业、科技感"</t>
        </is>
      </c>
    </row>
    <row r="58">
      <c r="A58" s="7" t="n">
        <v>55</v>
      </c>
      <c r="B58" s="8" t="inlineStr">
        <is>
          <t>}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>规则:</t>
        </is>
      </c>
    </row>
    <row r="61">
      <c r="A61" s="9" t="n">
        <v>58</v>
      </c>
      <c r="B61" s="10" t="inlineStr">
        <is>
          <t>1. 每个句子独立分析。duration_sec ≈ 字数 × 0.28 秒。</t>
        </is>
      </c>
    </row>
    <row r="62">
      <c r="A62" s="7" t="n">
        <v>59</v>
      </c>
      <c r="B62" s="8" t="inlineStr">
        <is>
          <t>2. visual_requirements 中每个字段为数组，无匹配时用空数组。</t>
        </is>
      </c>
    </row>
    <row r="63">
      <c r="A63" s="9" t="n">
        <v>60</v>
      </c>
      <c r="B63" s="10" t="inlineStr">
        <is>
          <t>3. scene: 场景类型; objects: 物体/家具/家电; actions: 动作/交互; style: 风格; materials: 材质; colors: 色调; emotion: 画面情绪。</t>
        </is>
      </c>
    </row>
    <row r="64">
      <c r="A64" s="7" t="n">
        <v>61</v>
      </c>
      <c r="B64" s="8" t="inlineStr">
        <is>
          <t>4. 不要编造内容。只从脚本中提取真实描述的信息。</t>
        </is>
      </c>
    </row>
    <row r="65">
      <c r="A65" s="9" t="n">
        <v>62</v>
      </c>
      <c r="B65" s="10" t="inlineStr">
        <is>
          <t>5. 输出纯 JSON，不要 ```json 或任何解释文字。"""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def __init__(self, use_ai: bool = True, timeout: int = 20):</t>
        </is>
      </c>
    </row>
    <row r="68">
      <c r="A68" s="7" t="n">
        <v>65</v>
      </c>
      <c r="B68" s="8" t="inlineStr">
        <is>
          <t xml:space="preserve">        self.use_ai = use_ai</t>
        </is>
      </c>
    </row>
    <row r="69">
      <c r="A69" s="9" t="n">
        <v>66</v>
      </c>
      <c r="B69" s="10" t="inlineStr">
        <is>
          <t xml:space="preserve">        self.timeout = timeout</t>
        </is>
      </c>
    </row>
    <row r="70">
      <c r="A70" s="7" t="n">
        <v>67</v>
      </c>
      <c r="B70" s="8" t="inlineStr"/>
    </row>
    <row r="71">
      <c r="A71" s="9" t="n">
        <v>68</v>
      </c>
      <c r="B71" s="10" t="inlineStr">
        <is>
          <t xml:space="preserve">    def parse(self, copy_text: str) -&gt; Dict:</t>
        </is>
      </c>
    </row>
    <row r="72">
      <c r="A72" s="7" t="n">
        <v>69</v>
      </c>
      <c r="B72" s="8" t="inlineStr">
        <is>
          <t xml:space="preserve">        """解析完整脚本 → 结构化视觉需求"""</t>
        </is>
      </c>
    </row>
    <row r="73">
      <c r="A73" s="9" t="n">
        <v>70</v>
      </c>
      <c r="B73" s="10" t="inlineStr">
        <is>
          <t xml:space="preserve">        if not copy_text or len(copy_text) &lt; 10:</t>
        </is>
      </c>
    </row>
    <row r="74">
      <c r="A74" s="7" t="n">
        <v>71</v>
      </c>
      <c r="B74" s="8" t="inlineStr">
        <is>
          <t xml:space="preserve">            return self._empty_result()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 xml:space="preserve">        if self.use_ai:</t>
        </is>
      </c>
    </row>
    <row r="77">
      <c r="A77" s="9" t="n">
        <v>74</v>
      </c>
      <c r="B77" s="10" t="inlineStr">
        <is>
          <t xml:space="preserve">            try:</t>
        </is>
      </c>
    </row>
    <row r="78">
      <c r="A78" s="7" t="n">
        <v>75</v>
      </c>
      <c r="B78" s="8" t="inlineStr">
        <is>
          <t xml:space="preserve">                return self._parse_with_deepseek(copy_text)</t>
        </is>
      </c>
    </row>
    <row r="79">
      <c r="A79" s="9" t="n">
        <v>76</v>
      </c>
      <c r="B79" s="10" t="inlineStr">
        <is>
          <t xml:space="preserve">            except Exception as e:</t>
        </is>
      </c>
    </row>
    <row r="80">
      <c r="A80" s="7" t="n">
        <v>77</v>
      </c>
      <c r="B80" s="8" t="inlineStr">
        <is>
          <t xml:space="preserve">                print(f"   [ScriptUnderstanding] DeepSeek 解析失败: {e}，使用规则降级")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>
        <is>
          <t xml:space="preserve">        return self._parse_with_rules(copy_text)</t>
        </is>
      </c>
    </row>
    <row r="83">
      <c r="A83" s="9" t="n">
        <v>80</v>
      </c>
      <c r="B83" s="10" t="inlineStr"/>
    </row>
    <row r="84">
      <c r="A84" s="7" t="n">
        <v>81</v>
      </c>
      <c r="B84" s="8" t="inlineStr">
        <is>
          <t xml:space="preserve">    # ═══════════════════ DeepSeek 解析 ═══════════════════</t>
        </is>
      </c>
    </row>
    <row r="85">
      <c r="A85" s="9" t="n">
        <v>82</v>
      </c>
      <c r="B85" s="10" t="inlineStr"/>
    </row>
    <row r="86">
      <c r="A86" s="7" t="n">
        <v>83</v>
      </c>
      <c r="B86" s="8" t="inlineStr">
        <is>
          <t xml:space="preserve">    def _parse_with_deepseek(self, text: str) -&gt; Dict:</t>
        </is>
      </c>
    </row>
    <row r="87">
      <c r="A87" s="9" t="n">
        <v>84</v>
      </c>
      <c r="B87" s="10" t="inlineStr">
        <is>
          <t xml:space="preserve">        """调用 DeepSeek API 进行语义解析"""</t>
        </is>
      </c>
    </row>
    <row r="88">
      <c r="A88" s="7" t="n">
        <v>85</v>
      </c>
      <c r="B88" s="8" t="inlineStr">
        <is>
          <t xml:space="preserve">        from core.deepseek_client import get_deepseek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    ds = get_deepseek()</t>
        </is>
      </c>
    </row>
    <row r="91">
      <c r="A91" s="9" t="n">
        <v>88</v>
      </c>
      <c r="B91" s="10" t="inlineStr">
        <is>
          <t xml:space="preserve">        if not ds.available:</t>
        </is>
      </c>
    </row>
    <row r="92">
      <c r="A92" s="7" t="n">
        <v>89</v>
      </c>
      <c r="B92" s="8" t="inlineStr">
        <is>
          <t xml:space="preserve">            raise RuntimeError("DeepSeek API Key 未配置，无法进行语义解析。"</t>
        </is>
      </c>
    </row>
    <row r="93">
      <c r="A93" s="9" t="n">
        <v>90</v>
      </c>
      <c r="B93" s="10" t="inlineStr">
        <is>
          <t xml:space="preserve">                               "请在系统设置中配置 API Key 或关闭「智能匹配」。")</t>
        </is>
      </c>
    </row>
    <row r="94">
      <c r="A94" s="7" t="n">
        <v>91</v>
      </c>
      <c r="B94" s="8" t="inlineStr"/>
    </row>
    <row r="95">
      <c r="A95" s="9" t="n">
        <v>92</v>
      </c>
      <c r="B95" s="10" t="inlineStr">
        <is>
          <t xml:space="preserve">        prompt = (</t>
        </is>
      </c>
    </row>
    <row r="96">
      <c r="A96" s="7" t="n">
        <v>93</v>
      </c>
      <c r="B96" s="8" t="inlineStr">
        <is>
          <t xml:space="preserve">            f"分析以下口播脚本，输出每句的视觉需求 JSON:\n\n{text}"</t>
        </is>
      </c>
    </row>
    <row r="97">
      <c r="A97" s="9" t="n">
        <v>94</v>
      </c>
      <c r="B97" s="10" t="inlineStr">
        <is>
          <t xml:space="preserve">        )</t>
        </is>
      </c>
    </row>
    <row r="98">
      <c r="A98" s="7" t="n">
        <v>95</v>
      </c>
      <c r="B98" s="8" t="inlineStr">
        <is>
          <t xml:space="preserve">        response = ds._call(</t>
        </is>
      </c>
    </row>
    <row r="99">
      <c r="A99" s="9" t="n">
        <v>96</v>
      </c>
      <c r="B99" s="10" t="inlineStr">
        <is>
          <t xml:space="preserve">            self.SYSTEM_PROMPT, prompt,</t>
        </is>
      </c>
    </row>
    <row r="100">
      <c r="A100" s="7" t="n">
        <v>97</v>
      </c>
      <c r="B100" s="8" t="inlineStr">
        <is>
          <t xml:space="preserve">            max_tokens=1500, temperature=0.3</t>
        </is>
      </c>
    </row>
    <row r="101">
      <c r="A101" s="9" t="n">
        <v>98</v>
      </c>
      <c r="B101" s="10" t="inlineStr">
        <is>
          <t xml:space="preserve">        )</t>
        </is>
      </c>
    </row>
    <row r="102">
      <c r="A102" s="7" t="n">
        <v>99</v>
      </c>
      <c r="B102" s="8" t="inlineStr">
        <is>
          <t xml:space="preserve">        if not response:</t>
        </is>
      </c>
    </row>
    <row r="103">
      <c r="A103" s="9" t="n">
        <v>100</v>
      </c>
      <c r="B103" s="10" t="inlineStr">
        <is>
          <t xml:space="preserve">            raise RuntimeError("DeepSeek 返回空结果")</t>
        </is>
      </c>
    </row>
    <row r="104">
      <c r="A104" s="7" t="n">
        <v>101</v>
      </c>
      <c r="B104" s="8" t="inlineStr"/>
    </row>
    <row r="105">
      <c r="A105" s="9" t="n">
        <v>102</v>
      </c>
      <c r="B105" s="10" t="inlineStr">
        <is>
          <t xml:space="preserve">        # 清理可能的 Markdown 包裹</t>
        </is>
      </c>
    </row>
    <row r="106">
      <c r="A106" s="7" t="n">
        <v>103</v>
      </c>
      <c r="B106" s="8" t="inlineStr">
        <is>
          <t xml:space="preserve">        response = response.strip()</t>
        </is>
      </c>
    </row>
    <row r="107">
      <c r="A107" s="9" t="n">
        <v>104</v>
      </c>
      <c r="B107" s="10" t="inlineStr">
        <is>
          <t xml:space="preserve">        if response.startswith("```"):</t>
        </is>
      </c>
    </row>
    <row r="108">
      <c r="A108" s="7" t="n">
        <v>105</v>
      </c>
      <c r="B108" s="8" t="inlineStr">
        <is>
          <t xml:space="preserve">            response = re.sub(r'^```(?:json)?\s*', '', response)</t>
        </is>
      </c>
    </row>
    <row r="109">
      <c r="A109" s="9" t="n">
        <v>106</v>
      </c>
      <c r="B109" s="10" t="inlineStr">
        <is>
          <t xml:space="preserve">            response = re.sub(r'\s*```$', '', response)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 xml:space="preserve">        result = json.loads(response)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 xml:space="preserve">        # 验证必要字段</t>
        </is>
      </c>
    </row>
    <row r="114">
      <c r="A114" s="7" t="n">
        <v>111</v>
      </c>
      <c r="B114" s="8" t="inlineStr">
        <is>
          <t xml:space="preserve">        if "segments" not in result:</t>
        </is>
      </c>
    </row>
    <row r="115">
      <c r="A115" s="9" t="n">
        <v>112</v>
      </c>
      <c r="B115" s="10" t="inlineStr">
        <is>
          <t xml:space="preserve">            raise RuntimeError("DeepSeek 返回格式错误: 缺少 'segments' 字段")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    return self._normalize(result)</t>
        </is>
      </c>
    </row>
    <row r="118">
      <c r="A118" s="7" t="n">
        <v>115</v>
      </c>
      <c r="B118" s="8" t="inlineStr">
        <is>
          <t xml:space="preserve">    # ═══════════════════ 规则降级 ═══════════════════</t>
        </is>
      </c>
    </row>
    <row r="119">
      <c r="A119" s="9" t="n">
        <v>116</v>
      </c>
      <c r="B119" s="10" t="inlineStr"/>
    </row>
    <row r="120">
      <c r="A120" s="7" t="n">
        <v>117</v>
      </c>
      <c r="B120" s="8" t="inlineStr">
        <is>
          <t xml:space="preserve">    def _parse_with_rules(self, text: str) -&gt; Dict:</t>
        </is>
      </c>
    </row>
    <row r="121">
      <c r="A121" s="9" t="n">
        <v>118</v>
      </c>
      <c r="B121" s="10" t="inlineStr">
        <is>
          <t xml:space="preserve">        """本地规则: 使用知识库提取关键词"""</t>
        </is>
      </c>
    </row>
    <row r="122">
      <c r="A122" s="7" t="n">
        <v>119</v>
      </c>
      <c r="B122" s="8" t="inlineStr">
        <is>
          <t xml:space="preserve">        sentences = self._split_sentences(text)</t>
        </is>
      </c>
    </row>
    <row r="123">
      <c r="A123" s="9" t="n">
        <v>120</v>
      </c>
      <c r="B123" s="10" t="inlineStr">
        <is>
          <t xml:space="preserve">        segments = []</t>
        </is>
      </c>
    </row>
    <row r="124">
      <c r="A124" s="7" t="n">
        <v>121</v>
      </c>
      <c r="B124" s="8" t="inlineStr"/>
    </row>
    <row r="125">
      <c r="A125" s="9" t="n">
        <v>122</v>
      </c>
      <c r="B125" s="10" t="inlineStr">
        <is>
          <t xml:space="preserve">        try:</t>
        </is>
      </c>
    </row>
    <row r="126">
      <c r="A126" s="7" t="n">
        <v>123</v>
      </c>
      <c r="B126" s="8" t="inlineStr">
        <is>
          <t xml:space="preserve">            from utils.knowledge import get_bridge</t>
        </is>
      </c>
    </row>
    <row r="127">
      <c r="A127" s="9" t="n">
        <v>124</v>
      </c>
      <c r="B127" s="10" t="inlineStr">
        <is>
          <t xml:space="preserve">            kb = get_bridge()</t>
        </is>
      </c>
    </row>
    <row r="128">
      <c r="A128" s="7" t="n">
        <v>125</v>
      </c>
      <c r="B128" s="8" t="inlineStr">
        <is>
          <t xml:space="preserve">        except Exception:</t>
        </is>
      </c>
    </row>
    <row r="129">
      <c r="A129" s="9" t="n">
        <v>126</v>
      </c>
      <c r="B129" s="10" t="inlineStr">
        <is>
          <t xml:space="preserve">            kb = None</t>
        </is>
      </c>
    </row>
    <row r="130">
      <c r="A130" s="7" t="n">
        <v>127</v>
      </c>
      <c r="B130" s="8" t="inlineStr"/>
    </row>
    <row r="131">
      <c r="A131" s="9" t="n">
        <v>128</v>
      </c>
      <c r="B131" s="10" t="inlineStr">
        <is>
          <t xml:space="preserve">        for sent in sentences:</t>
        </is>
      </c>
    </row>
    <row r="132">
      <c r="A132" s="7" t="n">
        <v>129</v>
      </c>
      <c r="B132" s="8" t="inlineStr">
        <is>
          <t xml:space="preserve">            dur = max(1.0, len(sent) * DEFAULT_DURATION_PER_CHAR)</t>
        </is>
      </c>
    </row>
    <row r="133">
      <c r="A133" s="9" t="n">
        <v>130</v>
      </c>
      <c r="B133" s="10" t="inlineStr">
        <is>
          <t xml:space="preserve">            req = {</t>
        </is>
      </c>
    </row>
    <row r="134">
      <c r="A134" s="7" t="n">
        <v>131</v>
      </c>
      <c r="B134" s="8" t="inlineStr">
        <is>
          <t xml:space="preserve">                "scene": [], "objects": [], "actions": [],</t>
        </is>
      </c>
    </row>
    <row r="135">
      <c r="A135" s="9" t="n">
        <v>132</v>
      </c>
      <c r="B135" s="10" t="inlineStr">
        <is>
          <t xml:space="preserve">                "style": [], "materials": [], "colors": [], "emotion": [],</t>
        </is>
      </c>
    </row>
    <row r="136">
      <c r="A136" s="7" t="n">
        <v>133</v>
      </c>
      <c r="B136" s="8" t="inlineStr">
        <is>
          <t xml:space="preserve">            }</t>
        </is>
      </c>
    </row>
    <row r="137">
      <c r="A137" s="9" t="n">
        <v>134</v>
      </c>
      <c r="B137" s="10" t="inlineStr"/>
    </row>
    <row r="138">
      <c r="A138" s="7" t="n">
        <v>135</v>
      </c>
      <c r="B138" s="8" t="inlineStr">
        <is>
          <t xml:space="preserve">            if kb:</t>
        </is>
      </c>
    </row>
    <row r="139">
      <c r="A139" s="9" t="n">
        <v>136</v>
      </c>
      <c r="B139" s="10" t="inlineStr">
        <is>
          <t xml:space="preserve">                kws = kb.extract_copy_keywords(sent)</t>
        </is>
      </c>
    </row>
    <row r="140">
      <c r="A140" s="7" t="n">
        <v>137</v>
      </c>
      <c r="B140" s="8" t="inlineStr">
        <is>
          <t xml:space="preserve">                if kws.get("stones"):</t>
        </is>
      </c>
    </row>
    <row r="141">
      <c r="A141" s="9" t="n">
        <v>138</v>
      </c>
      <c r="B141" s="10" t="inlineStr">
        <is>
          <t xml:space="preserve">                    req["materials"] = list(kws["stones"])[:3]</t>
        </is>
      </c>
    </row>
    <row r="142">
      <c r="A142" s="7" t="n">
        <v>139</v>
      </c>
      <c r="B142" s="8" t="inlineStr">
        <is>
          <t xml:space="preserve">                if kws.get("styles"):</t>
        </is>
      </c>
    </row>
    <row r="143">
      <c r="A143" s="9" t="n">
        <v>140</v>
      </c>
      <c r="B143" s="10" t="inlineStr">
        <is>
          <t xml:space="preserve">                    req["style"] = list(kws["styles"])[:2]</t>
        </is>
      </c>
    </row>
    <row r="144">
      <c r="A144" s="7" t="n">
        <v>141</v>
      </c>
      <c r="B144" s="8" t="inlineStr">
        <is>
          <t xml:space="preserve">                if kws.get("crafts"):</t>
        </is>
      </c>
    </row>
    <row r="145">
      <c r="A145" s="9" t="n">
        <v>142</v>
      </c>
      <c r="B145" s="10" t="inlineStr">
        <is>
          <t xml:space="preserve">                    req["actions"].extend(list(kws["crafts"])[:2])</t>
        </is>
      </c>
    </row>
    <row r="146">
      <c r="A146" s="7" t="n">
        <v>143</v>
      </c>
      <c r="B146" s="8" t="inlineStr">
        <is>
          <t xml:space="preserve">                if kws.get("island_types"):</t>
        </is>
      </c>
    </row>
    <row r="147">
      <c r="A147" s="9" t="n">
        <v>144</v>
      </c>
      <c r="B147" s="10" t="inlineStr">
        <is>
          <t xml:space="preserve">                    req["scene"] = list(kws["island_types"])[:2]</t>
        </is>
      </c>
    </row>
    <row r="148">
      <c r="A148" s="7" t="n">
        <v>145</v>
      </c>
      <c r="B148" s="8" t="inlineStr"/>
    </row>
    <row r="149">
      <c r="A149" s="9" t="n">
        <v>146</v>
      </c>
      <c r="B149" s="10" t="inlineStr">
        <is>
          <t xml:space="preserve">            # 简单关键词匹配</t>
        </is>
      </c>
    </row>
    <row r="150">
      <c r="A150" s="7" t="n">
        <v>147</v>
      </c>
      <c r="B150" s="8" t="inlineStr">
        <is>
          <t xml:space="preserve">            lower = sent.lower()</t>
        </is>
      </c>
    </row>
    <row r="151">
      <c r="A151" s="9" t="n">
        <v>148</v>
      </c>
      <c r="B151" s="10" t="inlineStr">
        <is>
          <t xml:space="preserve">            if any(k in lower for k in ["岛台", "厨房", "中岛"]):</t>
        </is>
      </c>
    </row>
    <row r="152">
      <c r="A152" s="7" t="n">
        <v>149</v>
      </c>
      <c r="B152" s="8" t="inlineStr">
        <is>
          <t xml:space="preserve">                req["scene"].append("岛台厨房")</t>
        </is>
      </c>
    </row>
    <row r="153">
      <c r="A153" s="9" t="n">
        <v>150</v>
      </c>
      <c r="B153" s="10" t="inlineStr">
        <is>
          <t xml:space="preserve">            if any(k in lower for k in ["抽屉", "烤箱", "插座", "水槽", "灯带"]):</t>
        </is>
      </c>
    </row>
    <row r="154">
      <c r="A154" s="7" t="n">
        <v>151</v>
      </c>
      <c r="B154" s="8" t="inlineStr">
        <is>
          <t xml:space="preserve">                for k in ["抽屉", "烤箱", "插座", "水槽", "灯带", "冰箱", "拉篮"]:</t>
        </is>
      </c>
    </row>
    <row r="155">
      <c r="A155" s="9" t="n">
        <v>152</v>
      </c>
      <c r="B155" s="10" t="inlineStr">
        <is>
          <t xml:space="preserve">                    if k in lower:</t>
        </is>
      </c>
    </row>
    <row r="156">
      <c r="A156" s="7" t="n">
        <v>153</v>
      </c>
      <c r="B156" s="8" t="inlineStr">
        <is>
          <t xml:space="preserve">                        req["objects"].append(k)</t>
        </is>
      </c>
    </row>
    <row r="157">
      <c r="A157" s="9" t="n">
        <v>154</v>
      </c>
      <c r="B157" s="10" t="inlineStr">
        <is>
          <t xml:space="preserve">            if any(k in lower for k in ["白", "黑", "灰", "奶油", "岩板"]):</t>
        </is>
      </c>
    </row>
    <row r="158">
      <c r="A158" s="7" t="n">
        <v>155</v>
      </c>
      <c r="B158" s="8" t="inlineStr">
        <is>
          <t xml:space="preserve">                for k in ["白色", "黑色", "灰色", "奶油色", "岩板色"]:</t>
        </is>
      </c>
    </row>
    <row r="159">
      <c r="A159" s="9" t="n">
        <v>156</v>
      </c>
      <c r="B159" s="10" t="inlineStr">
        <is>
          <t xml:space="preserve">                    if k[0] in lower:</t>
        </is>
      </c>
    </row>
    <row r="160">
      <c r="A160" s="7" t="n">
        <v>157</v>
      </c>
      <c r="B160" s="8" t="inlineStr">
        <is>
          <t xml:space="preserve">                        req["colors"].append(k)</t>
        </is>
      </c>
    </row>
    <row r="161">
      <c r="A161" s="9" t="n">
        <v>158</v>
      </c>
      <c r="B161" s="10" t="inlineStr">
        <is>
          <t xml:space="preserve">            if any(k in lower for k in ["极简", "奶油风", "中古风", "侘寂风", "轻奢"]):</t>
        </is>
      </c>
    </row>
    <row r="162">
      <c r="A162" s="7" t="n">
        <v>159</v>
      </c>
      <c r="B162" s="8" t="inlineStr">
        <is>
          <t xml:space="preserve">                for k in ["极简风", "奶油风", "侘寂风", "轻奢风", "中古风"]:</t>
        </is>
      </c>
    </row>
    <row r="163">
      <c r="A163" s="9" t="n">
        <v>160</v>
      </c>
      <c r="B163" s="10" t="inlineStr">
        <is>
          <t xml:space="preserve">                    if k in lower:</t>
        </is>
      </c>
    </row>
    <row r="164">
      <c r="A164" s="7" t="n">
        <v>161</v>
      </c>
      <c r="B164" s="8" t="inlineStr">
        <is>
          <t xml:space="preserve">                        req["style"].append(k)</t>
        </is>
      </c>
    </row>
    <row r="165">
      <c r="A165" s="9" t="n">
        <v>162</v>
      </c>
      <c r="B165" s="10" t="inlineStr"/>
    </row>
    <row r="166">
      <c r="A166" s="7" t="n">
        <v>163</v>
      </c>
      <c r="B166" s="8" t="inlineStr">
        <is>
          <t xml:space="preserve">            segments.append({</t>
        </is>
      </c>
    </row>
    <row r="167">
      <c r="A167" s="9" t="n">
        <v>164</v>
      </c>
      <c r="B167" s="10" t="inlineStr">
        <is>
          <t xml:space="preserve">                "text": sent,</t>
        </is>
      </c>
    </row>
    <row r="168">
      <c r="A168" s="7" t="n">
        <v>165</v>
      </c>
      <c r="B168" s="8" t="inlineStr">
        <is>
          <t xml:space="preserve">                "duration_sec": round(dur, 1),</t>
        </is>
      </c>
    </row>
    <row r="169">
      <c r="A169" s="9" t="n">
        <v>166</v>
      </c>
      <c r="B169" s="10" t="inlineStr">
        <is>
          <t xml:space="preserve">                "visual_requirements": req,</t>
        </is>
      </c>
    </row>
    <row r="170">
      <c r="A170" s="7" t="n">
        <v>167</v>
      </c>
      <c r="B170" s="8" t="inlineStr">
        <is>
          <t xml:space="preserve">            })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    return {</t>
        </is>
      </c>
    </row>
    <row r="173">
      <c r="A173" s="9" t="n">
        <v>170</v>
      </c>
      <c r="B173" s="10" t="inlineStr">
        <is>
          <t xml:space="preserve">            "segments": segments,</t>
        </is>
      </c>
    </row>
    <row r="174">
      <c r="A174" s="7" t="n">
        <v>171</v>
      </c>
      <c r="B174" s="8" t="inlineStr">
        <is>
          <t xml:space="preserve">            "global_style": (</t>
        </is>
      </c>
    </row>
    <row r="175">
      <c r="A175" s="9" t="n">
        <v>172</v>
      </c>
      <c r="B175" s="10" t="inlineStr">
        <is>
          <t xml:space="preserve">                segments[0]["visual_requirements"]["style"][0]</t>
        </is>
      </c>
    </row>
    <row r="176">
      <c r="A176" s="7" t="n">
        <v>173</v>
      </c>
      <c r="B176" s="8" t="inlineStr">
        <is>
          <t xml:space="preserve">                if segments and segments[0]["visual_requirements"]["style"]</t>
        </is>
      </c>
    </row>
    <row r="177">
      <c r="A177" s="9" t="n">
        <v>174</v>
      </c>
      <c r="B177" s="10" t="inlineStr">
        <is>
          <t xml:space="preserve">                else "通用"</t>
        </is>
      </c>
    </row>
    <row r="178">
      <c r="A178" s="7" t="n">
        <v>175</v>
      </c>
      <c r="B178" s="8" t="inlineStr">
        <is>
          <t xml:space="preserve">            ),</t>
        </is>
      </c>
    </row>
    <row r="179">
      <c r="A179" s="9" t="n">
        <v>176</v>
      </c>
      <c r="B179" s="10" t="inlineStr">
        <is>
          <t xml:space="preserve">            "overall_mood": "专业展示",</t>
        </is>
      </c>
    </row>
    <row r="180">
      <c r="A180" s="7" t="n">
        <v>177</v>
      </c>
      <c r="B180" s="8" t="inlineStr">
        <is>
          <t xml:space="preserve">            "_method": "规则降级",</t>
        </is>
      </c>
    </row>
    <row r="181">
      <c r="A181" s="9" t="n">
        <v>178</v>
      </c>
      <c r="B181" s="10" t="inlineStr">
        <is>
          <t xml:space="preserve">        }</t>
        </is>
      </c>
    </row>
    <row r="182">
      <c r="A182" s="7" t="n">
        <v>179</v>
      </c>
      <c r="B182" s="8" t="inlineStr"/>
    </row>
    <row r="183">
      <c r="A183" s="9" t="n">
        <v>180</v>
      </c>
      <c r="B183" s="10" t="inlineStr">
        <is>
          <t xml:space="preserve">    # ═══════════════════ 工具方法 ═══════════════════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 xml:space="preserve">    def _split_sentences(self, text: str) -&gt; List[str]:</t>
        </is>
      </c>
    </row>
    <row r="186">
      <c r="A186" s="7" t="n">
        <v>183</v>
      </c>
      <c r="B186" s="8" t="inlineStr">
        <is>
          <t xml:space="preserve">        """按标点分句"""</t>
        </is>
      </c>
    </row>
    <row r="187">
      <c r="A187" s="9" t="n">
        <v>184</v>
      </c>
      <c r="B187" s="10" t="inlineStr">
        <is>
          <t xml:space="preserve">        raw = re.split(r'(?&lt;=[。！？.!?])', text)</t>
        </is>
      </c>
    </row>
    <row r="188">
      <c r="A188" s="7" t="n">
        <v>185</v>
      </c>
      <c r="B188" s="8" t="inlineStr">
        <is>
          <t xml:space="preserve">        return [s.strip() for s in raw if len(s.strip()) &gt; 3]</t>
        </is>
      </c>
    </row>
    <row r="189">
      <c r="A189" s="9" t="n">
        <v>186</v>
      </c>
      <c r="B189" s="10" t="inlineStr"/>
    </row>
    <row r="190">
      <c r="A190" s="7" t="n">
        <v>187</v>
      </c>
      <c r="B190" s="8" t="inlineStr">
        <is>
          <t xml:space="preserve">    def _normalize(self, result: Dict) -&gt; Dict:</t>
        </is>
      </c>
    </row>
    <row r="191">
      <c r="A191" s="9" t="n">
        <v>188</v>
      </c>
      <c r="B191" s="10" t="inlineStr">
        <is>
          <t xml:space="preserve">        """确保返回格式一致"""</t>
        </is>
      </c>
    </row>
    <row r="192">
      <c r="A192" s="7" t="n">
        <v>189</v>
      </c>
      <c r="B192" s="8" t="inlineStr">
        <is>
          <t xml:space="preserve">        if "global_style" not in result:</t>
        </is>
      </c>
    </row>
    <row r="193">
      <c r="A193" s="9" t="n">
        <v>190</v>
      </c>
      <c r="B193" s="10" t="inlineStr">
        <is>
          <t xml:space="preserve">            result["global_style"] = "通用"</t>
        </is>
      </c>
    </row>
    <row r="194">
      <c r="A194" s="7" t="n">
        <v>191</v>
      </c>
      <c r="B194" s="8" t="inlineStr">
        <is>
          <t xml:space="preserve">        if "overall_mood" not in result:</t>
        </is>
      </c>
    </row>
    <row r="195">
      <c r="A195" s="9" t="n">
        <v>192</v>
      </c>
      <c r="B195" s="10" t="inlineStr">
        <is>
          <t xml:space="preserve">            result["overall_mood"] = "专业展示"</t>
        </is>
      </c>
    </row>
    <row r="196">
      <c r="A196" s="7" t="n">
        <v>193</v>
      </c>
      <c r="B196" s="8" t="inlineStr">
        <is>
          <t xml:space="preserve">        for seg in result.get("segments", []):</t>
        </is>
      </c>
    </row>
    <row r="197">
      <c r="A197" s="9" t="n">
        <v>194</v>
      </c>
      <c r="B197" s="10" t="inlineStr">
        <is>
          <t xml:space="preserve">            req = seg.get("visual_requirements", {})</t>
        </is>
      </c>
    </row>
    <row r="198">
      <c r="A198" s="7" t="n">
        <v>195</v>
      </c>
      <c r="B198" s="8" t="inlineStr">
        <is>
          <t xml:space="preserve">            for field in ["scene", "objects", "actions", "style", "materials", "colors", "emotion"]:</t>
        </is>
      </c>
    </row>
    <row r="199">
      <c r="A199" s="9" t="n">
        <v>196</v>
      </c>
      <c r="B199" s="10" t="inlineStr">
        <is>
          <t xml:space="preserve">                if field not in req:</t>
        </is>
      </c>
    </row>
    <row r="200">
      <c r="A200" s="7" t="n">
        <v>197</v>
      </c>
      <c r="B200" s="8" t="inlineStr">
        <is>
          <t xml:space="preserve">                    req[field] = []</t>
        </is>
      </c>
    </row>
    <row r="201">
      <c r="A201" s="9" t="n">
        <v>198</v>
      </c>
      <c r="B201" s="10" t="inlineStr">
        <is>
          <t xml:space="preserve">                if not isinstance(req[field], list):</t>
        </is>
      </c>
    </row>
    <row r="202">
      <c r="A202" s="7" t="n">
        <v>199</v>
      </c>
      <c r="B202" s="8" t="inlineStr">
        <is>
          <t xml:space="preserve">                    req[field] = [req[field]]</t>
        </is>
      </c>
    </row>
    <row r="203">
      <c r="A203" s="9" t="n">
        <v>200</v>
      </c>
      <c r="B203" s="10" t="inlineStr">
        <is>
          <t xml:space="preserve">            seg["visual_requirements"] = req</t>
        </is>
      </c>
    </row>
    <row r="204">
      <c r="A204" s="7" t="n">
        <v>201</v>
      </c>
      <c r="B204" s="8" t="inlineStr">
        <is>
          <t xml:space="preserve">        return result</t>
        </is>
      </c>
    </row>
    <row r="205">
      <c r="A205" s="9" t="n">
        <v>202</v>
      </c>
      <c r="B205" s="10" t="inlineStr"/>
    </row>
    <row r="206">
      <c r="A206" s="7" t="n">
        <v>203</v>
      </c>
      <c r="B206" s="8" t="inlineStr">
        <is>
          <t xml:space="preserve">    def _empty_result(self) -&gt; Dict:</t>
        </is>
      </c>
    </row>
    <row r="207">
      <c r="A207" s="9" t="n">
        <v>204</v>
      </c>
      <c r="B207" s="10" t="inlineStr">
        <is>
          <t xml:space="preserve">        return {"segments": [], "global_style": "通用", "overall_mood": "通用"}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core\script_utils.py</t>
        </is>
      </c>
      <c r="C1" s="5" t="inlineStr">
        <is>
          <t>行数: 154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统一脚本分割工具 (Script Utils)</t>
        </is>
      </c>
    </row>
    <row r="6">
      <c r="A6" s="7" t="n">
        <v>3</v>
      </c>
      <c r="B6" s="8">
        <f>===============================================================</f>
        <v/>
      </c>
    </row>
    <row r="7">
      <c r="A7" s="9" t="n">
        <v>4</v>
      </c>
      <c r="B7" s="10" t="inlineStr">
        <is>
          <t>智能识别批量粘贴文本中的独立脚本边界，供批量生产和脚本学习库共用。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用法:</t>
        </is>
      </c>
    </row>
    <row r="10">
      <c r="A10" s="7" t="n">
        <v>7</v>
      </c>
      <c r="B10" s="8" t="inlineStr">
        <is>
          <t xml:space="preserve">  from core.script_utils import split_scripts</t>
        </is>
      </c>
    </row>
    <row r="11">
      <c r="A11" s="9" t="n">
        <v>8</v>
      </c>
      <c r="B11" s="10" t="inlineStr">
        <is>
          <t xml:space="preserve">  scripts = split_scripts(raw_text, force_by_line=False)</t>
        </is>
      </c>
    </row>
    <row r="12">
      <c r="A12" s="7" t="n">
        <v>9</v>
      </c>
      <c r="B12" s="8" t="inlineStr">
        <is>
          <t>"""</t>
        </is>
      </c>
    </row>
    <row r="13">
      <c r="A13" s="9" t="n">
        <v>10</v>
      </c>
      <c r="B13" s="10" t="inlineStr">
        <is>
          <t>import re</t>
        </is>
      </c>
    </row>
    <row r="14">
      <c r="A14" s="7" t="n">
        <v>11</v>
      </c>
      <c r="B14" s="8" t="inlineStr">
        <is>
          <t>from typing import List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# 噪音/元数据行标记</t>
        </is>
      </c>
    </row>
    <row r="17">
      <c r="A17" s="9" t="n">
        <v>14</v>
      </c>
      <c r="B17" s="10" t="inlineStr">
        <is>
          <t>_NOISE_TOKENS = {</t>
        </is>
      </c>
    </row>
    <row r="18">
      <c r="A18" s="7" t="n">
        <v>15</v>
      </c>
      <c r="B18" s="8" t="inlineStr">
        <is>
          <t xml:space="preserve">    "D", "洗稿文案", "标题", "序号", "脚本", "文案", "备注",</t>
        </is>
      </c>
    </row>
    <row r="19">
      <c r="A19" s="9" t="n">
        <v>16</v>
      </c>
      <c r="B19" s="10" t="inlineStr">
        <is>
          <t xml:space="preserve">    "ID", "id", "No", "no", "NO.",</t>
        </is>
      </c>
    </row>
    <row r="20">
      <c r="A20" s="7" t="n">
        <v>17</v>
      </c>
      <c r="B20" s="8" t="inlineStr">
        <is>
          <t>}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/>
    </row>
    <row r="23">
      <c r="A23" s="9" t="n">
        <v>20</v>
      </c>
      <c r="B23" s="10" t="inlineStr">
        <is>
          <t>def split_scripts(raw_text: str, force_by_line: bool = False) -&gt; List[str]:</t>
        </is>
      </c>
    </row>
    <row r="24">
      <c r="A24" s="7" t="n">
        <v>21</v>
      </c>
      <c r="B24" s="8" t="inlineStr">
        <is>
          <t xml:space="preserve">    """</t>
        </is>
      </c>
    </row>
    <row r="25">
      <c r="A25" s="9" t="n">
        <v>22</v>
      </c>
      <c r="B25" s="10" t="inlineStr">
        <is>
          <t xml:space="preserve">    将原始文本智能分割成独立脚本列表。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 xml:space="preserve">    规则 (按优先级):</t>
        </is>
      </c>
    </row>
    <row r="28">
      <c r="A28" s="7" t="n">
        <v>25</v>
      </c>
      <c r="B28" s="8" t="inlineStr">
        <is>
          <t xml:space="preserve">      1. force_by_line=True → 每行一个脚本。</t>
        </is>
      </c>
    </row>
    <row r="29">
      <c r="A29" s="9" t="n">
        <v>26</v>
      </c>
      <c r="B29" s="10" t="inlineStr">
        <is>
          <t xml:space="preserve">      2. 含 Tab (\\t) → Excel多列粘贴 → 逐行取每行最长有效列。</t>
        </is>
      </c>
    </row>
    <row r="30">
      <c r="A30" s="7" t="n">
        <v>27</v>
      </c>
      <c r="B30" s="8" t="inlineStr">
        <is>
          <t xml:space="preserve">      3. 默认 → 连续非空行合并为一个脚本，空行作为脚本分隔符。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 xml:space="preserve">    返回: 独立脚本字符串列表</t>
        </is>
      </c>
    </row>
    <row r="33">
      <c r="A33" s="9" t="n">
        <v>30</v>
      </c>
      <c r="B33" s="10" t="inlineStr">
        <is>
          <t xml:space="preserve">    """</t>
        </is>
      </c>
    </row>
    <row r="34">
      <c r="A34" s="7" t="n">
        <v>31</v>
      </c>
      <c r="B34" s="8" t="inlineStr">
        <is>
          <t xml:space="preserve">    if not raw_text or not raw_text.strip():</t>
        </is>
      </c>
    </row>
    <row r="35">
      <c r="A35" s="9" t="n">
        <v>32</v>
      </c>
      <c r="B35" s="10" t="inlineStr">
        <is>
          <t xml:space="preserve">        return []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 xml:space="preserve">    if force_by_line:</t>
        </is>
      </c>
    </row>
    <row r="38">
      <c r="A38" s="7" t="n">
        <v>35</v>
      </c>
      <c r="B38" s="8" t="inlineStr">
        <is>
          <t xml:space="preserve">        return _split_by_line(raw_text)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 xml:space="preserve">    # ── Tab分隔 → Excel多列粘贴 ──</t>
        </is>
      </c>
    </row>
    <row r="41">
      <c r="A41" s="9" t="n">
        <v>38</v>
      </c>
      <c r="B41" s="10" t="inlineStr">
        <is>
          <t xml:space="preserve">    if "\t" in raw_text:</t>
        </is>
      </c>
    </row>
    <row r="42">
      <c r="A42" s="7" t="n">
        <v>39</v>
      </c>
      <c r="B42" s="8" t="inlineStr">
        <is>
          <t xml:space="preserve">        result = []</t>
        </is>
      </c>
    </row>
    <row r="43">
      <c r="A43" s="9" t="n">
        <v>40</v>
      </c>
      <c r="B43" s="10" t="inlineStr">
        <is>
          <t xml:space="preserve">        for line in raw_text.splitlines():</t>
        </is>
      </c>
    </row>
    <row r="44">
      <c r="A44" s="7" t="n">
        <v>41</v>
      </c>
      <c r="B44" s="8" t="inlineStr">
        <is>
          <t xml:space="preserve">            col = _best_tab_column(line.strip())</t>
        </is>
      </c>
    </row>
    <row r="45">
      <c r="A45" s="9" t="n">
        <v>42</v>
      </c>
      <c r="B45" s="10" t="inlineStr">
        <is>
          <t xml:space="preserve">            if col:</t>
        </is>
      </c>
    </row>
    <row r="46">
      <c r="A46" s="7" t="n">
        <v>43</v>
      </c>
      <c r="B46" s="8" t="inlineStr">
        <is>
          <t xml:space="preserve">                clean = _clean_text(col)</t>
        </is>
      </c>
    </row>
    <row r="47">
      <c r="A47" s="9" t="n">
        <v>44</v>
      </c>
      <c r="B47" s="10" t="inlineStr">
        <is>
          <t xml:space="preserve">                if _is_valid_script(clean):</t>
        </is>
      </c>
    </row>
    <row r="48">
      <c r="A48" s="7" t="n">
        <v>45</v>
      </c>
      <c r="B48" s="8" t="inlineStr">
        <is>
          <t xml:space="preserve">                    result.append(clean)</t>
        </is>
      </c>
    </row>
    <row r="49">
      <c r="A49" s="9" t="n">
        <v>46</v>
      </c>
      <c r="B49" s="10" t="inlineStr">
        <is>
          <t xml:space="preserve">        return _deduplicate_scripts(result)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lines = raw_text.splitlines()</t>
        </is>
      </c>
    </row>
    <row r="52">
      <c r="A52" s="7" t="n">
        <v>49</v>
      </c>
      <c r="B52" s="8" t="inlineStr">
        <is>
          <t xml:space="preserve">    non_empty = [l.strip() for l in lines if l.strip() and l.strip() not in _NOISE_TOKENS and len(l.strip()) &gt;= 2]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>
        <is>
          <t xml:space="preserve">    if not non_empty:</t>
        </is>
      </c>
    </row>
    <row r="55">
      <c r="A55" s="9" t="n">
        <v>52</v>
      </c>
      <c r="B55" s="10" t="inlineStr">
        <is>
          <t xml:space="preserve">        return []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  # ── 有空行 → 按空行分组合并 ──</t>
        </is>
      </c>
    </row>
    <row r="58">
      <c r="A58" s="7" t="n">
        <v>55</v>
      </c>
      <c r="B58" s="8" t="inlineStr">
        <is>
          <t xml:space="preserve">    has_blank = any(not l.strip() for l in lines)</t>
        </is>
      </c>
    </row>
    <row r="59">
      <c r="A59" s="9" t="n">
        <v>56</v>
      </c>
      <c r="B59" s="10" t="inlineStr">
        <is>
          <t xml:space="preserve">    if has_blank:</t>
        </is>
      </c>
    </row>
    <row r="60">
      <c r="A60" s="7" t="n">
        <v>57</v>
      </c>
      <c r="B60" s="8" t="inlineStr">
        <is>
          <t xml:space="preserve">        scripts = []</t>
        </is>
      </c>
    </row>
    <row r="61">
      <c r="A61" s="9" t="n">
        <v>58</v>
      </c>
      <c r="B61" s="10" t="inlineStr">
        <is>
          <t xml:space="preserve">        current = []</t>
        </is>
      </c>
    </row>
    <row r="62">
      <c r="A62" s="7" t="n">
        <v>59</v>
      </c>
      <c r="B62" s="8" t="inlineStr">
        <is>
          <t xml:space="preserve">        for line in lines:</t>
        </is>
      </c>
    </row>
    <row r="63">
      <c r="A63" s="9" t="n">
        <v>60</v>
      </c>
      <c r="B63" s="10" t="inlineStr">
        <is>
          <t xml:space="preserve">            s = line.strip()</t>
        </is>
      </c>
    </row>
    <row r="64">
      <c r="A64" s="7" t="n">
        <v>61</v>
      </c>
      <c r="B64" s="8" t="inlineStr">
        <is>
          <t xml:space="preserve">            if not s:</t>
        </is>
      </c>
    </row>
    <row r="65">
      <c r="A65" s="9" t="n">
        <v>62</v>
      </c>
      <c r="B65" s="10" t="inlineStr">
        <is>
          <t xml:space="preserve">                if current:</t>
        </is>
      </c>
    </row>
    <row r="66">
      <c r="A66" s="7" t="n">
        <v>63</v>
      </c>
      <c r="B66" s="8" t="inlineStr">
        <is>
          <t xml:space="preserve">                    script = "\n".join(current).strip()</t>
        </is>
      </c>
    </row>
    <row r="67">
      <c r="A67" s="9" t="n">
        <v>64</v>
      </c>
      <c r="B67" s="10" t="inlineStr">
        <is>
          <t xml:space="preserve">                    if _is_valid_script(script):</t>
        </is>
      </c>
    </row>
    <row r="68">
      <c r="A68" s="7" t="n">
        <v>65</v>
      </c>
      <c r="B68" s="8" t="inlineStr">
        <is>
          <t xml:space="preserve">                        scripts.append(script)</t>
        </is>
      </c>
    </row>
    <row r="69">
      <c r="A69" s="9" t="n">
        <v>66</v>
      </c>
      <c r="B69" s="10" t="inlineStr">
        <is>
          <t xml:space="preserve">                    current = []</t>
        </is>
      </c>
    </row>
    <row r="70">
      <c r="A70" s="7" t="n">
        <v>67</v>
      </c>
      <c r="B70" s="8" t="inlineStr">
        <is>
          <t xml:space="preserve">            else:</t>
        </is>
      </c>
    </row>
    <row r="71">
      <c r="A71" s="9" t="n">
        <v>68</v>
      </c>
      <c r="B71" s="10" t="inlineStr">
        <is>
          <t xml:space="preserve">                if s not in _NOISE_TOKENS and len(s) &gt;= 2:</t>
        </is>
      </c>
    </row>
    <row r="72">
      <c r="A72" s="7" t="n">
        <v>69</v>
      </c>
      <c r="B72" s="8" t="inlineStr">
        <is>
          <t xml:space="preserve">                    current.append(s)</t>
        </is>
      </c>
    </row>
    <row r="73">
      <c r="A73" s="9" t="n">
        <v>70</v>
      </c>
      <c r="B73" s="10" t="inlineStr">
        <is>
          <t xml:space="preserve">        if current:</t>
        </is>
      </c>
    </row>
    <row r="74">
      <c r="A74" s="7" t="n">
        <v>71</v>
      </c>
      <c r="B74" s="8" t="inlineStr">
        <is>
          <t xml:space="preserve">            script = "\n".join(current).strip()</t>
        </is>
      </c>
    </row>
    <row r="75">
      <c r="A75" s="9" t="n">
        <v>72</v>
      </c>
      <c r="B75" s="10" t="inlineStr">
        <is>
          <t xml:space="preserve">            if _is_valid_script(script):</t>
        </is>
      </c>
    </row>
    <row r="76">
      <c r="A76" s="7" t="n">
        <v>73</v>
      </c>
      <c r="B76" s="8" t="inlineStr">
        <is>
          <t xml:space="preserve">                scripts.append(script)</t>
        </is>
      </c>
    </row>
    <row r="77">
      <c r="A77" s="9" t="n">
        <v>74</v>
      </c>
      <c r="B77" s="10" t="inlineStr">
        <is>
          <t xml:space="preserve">        return _deduplicate_scripts(scripts) if scripts else []</t>
        </is>
      </c>
    </row>
    <row r="78">
      <c r="A78" s="7" t="n">
        <v>75</v>
      </c>
      <c r="B78" s="8" t="inlineStr"/>
    </row>
    <row r="79">
      <c r="A79" s="9" t="n">
        <v>76</v>
      </c>
      <c r="B79" s="10" t="inlineStr">
        <is>
          <t xml:space="preserve">    # ── 无空行无Tab: 启发式 → 每行独立有效则按行分, 否则全合并 ──</t>
        </is>
      </c>
    </row>
    <row r="80">
      <c r="A80" s="7" t="n">
        <v>77</v>
      </c>
      <c r="B80" s="8" t="inlineStr">
        <is>
          <t xml:space="preserve">    all_independent = all(</t>
        </is>
      </c>
    </row>
    <row r="81">
      <c r="A81" s="9" t="n">
        <v>78</v>
      </c>
      <c r="B81" s="10" t="inlineStr">
        <is>
          <t xml:space="preserve">        re.search(r'[一-鿿]', ln) and len(ln) &gt;= 8</t>
        </is>
      </c>
    </row>
    <row r="82">
      <c r="A82" s="7" t="n">
        <v>79</v>
      </c>
      <c r="B82" s="8" t="inlineStr">
        <is>
          <t xml:space="preserve">        for ln in non_empty</t>
        </is>
      </c>
    </row>
    <row r="83">
      <c r="A83" s="9" t="n">
        <v>80</v>
      </c>
      <c r="B83" s="10" t="inlineStr">
        <is>
          <t xml:space="preserve">    )</t>
        </is>
      </c>
    </row>
    <row r="84">
      <c r="A84" s="7" t="n">
        <v>81</v>
      </c>
      <c r="B84" s="8" t="inlineStr">
        <is>
          <t xml:space="preserve">    if all_independent and len(non_empty) &gt;= 2:</t>
        </is>
      </c>
    </row>
    <row r="85">
      <c r="A85" s="9" t="n">
        <v>82</v>
      </c>
      <c r="B85" s="10" t="inlineStr">
        <is>
          <t xml:space="preserve">        return _deduplicate_scripts([</t>
        </is>
      </c>
    </row>
    <row r="86">
      <c r="A86" s="7" t="n">
        <v>83</v>
      </c>
      <c r="B86" s="8" t="inlineStr">
        <is>
          <t xml:space="preserve">            _clean_text(ln) for ln in non_empty if _is_valid_script(_clean_text(ln))</t>
        </is>
      </c>
    </row>
    <row r="87">
      <c r="A87" s="9" t="n">
        <v>84</v>
      </c>
      <c r="B87" s="10" t="inlineStr">
        <is>
          <t xml:space="preserve">        ])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 xml:space="preserve">    # 默认全合并</t>
        </is>
      </c>
    </row>
    <row r="90">
      <c r="A90" s="7" t="n">
        <v>87</v>
      </c>
      <c r="B90" s="8" t="inlineStr">
        <is>
          <t xml:space="preserve">    merged = "\n".join(non_empty).strip()</t>
        </is>
      </c>
    </row>
    <row r="91">
      <c r="A91" s="9" t="n">
        <v>88</v>
      </c>
      <c r="B91" s="10" t="inlineStr">
        <is>
          <t xml:space="preserve">    return [merged] if _is_valid_script(merged) else []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/>
    </row>
    <row r="94">
      <c r="A94" s="7" t="n">
        <v>91</v>
      </c>
      <c r="B94" s="8" t="inlineStr">
        <is>
          <t>def _split_by_line(raw_text: str) -&gt; List[str]:</t>
        </is>
      </c>
    </row>
    <row r="95">
      <c r="A95" s="9" t="n">
        <v>92</v>
      </c>
      <c r="B95" s="10" t="inlineStr">
        <is>
          <t xml:space="preserve">    """按行分割，Tab行取最长列"""</t>
        </is>
      </c>
    </row>
    <row r="96">
      <c r="A96" s="7" t="n">
        <v>93</v>
      </c>
      <c r="B96" s="8" t="inlineStr">
        <is>
          <t xml:space="preserve">    lines = []</t>
        </is>
      </c>
    </row>
    <row r="97">
      <c r="A97" s="9" t="n">
        <v>94</v>
      </c>
      <c r="B97" s="10" t="inlineStr">
        <is>
          <t xml:space="preserve">    for line in raw_text.splitlines():</t>
        </is>
      </c>
    </row>
    <row r="98">
      <c r="A98" s="7" t="n">
        <v>95</v>
      </c>
      <c r="B98" s="8" t="inlineStr">
        <is>
          <t xml:space="preserve">        s = line.strip()</t>
        </is>
      </c>
    </row>
    <row r="99">
      <c r="A99" s="9" t="n">
        <v>96</v>
      </c>
      <c r="B99" s="10" t="inlineStr">
        <is>
          <t xml:space="preserve">        if not s:</t>
        </is>
      </c>
    </row>
    <row r="100">
      <c r="A100" s="7" t="n">
        <v>97</v>
      </c>
      <c r="B100" s="8" t="inlineStr">
        <is>
          <t xml:space="preserve">            continue</t>
        </is>
      </c>
    </row>
    <row r="101">
      <c r="A101" s="9" t="n">
        <v>98</v>
      </c>
      <c r="B101" s="10" t="inlineStr">
        <is>
          <t xml:space="preserve">        if "\t" in s:</t>
        </is>
      </c>
    </row>
    <row r="102">
      <c r="A102" s="7" t="n">
        <v>99</v>
      </c>
      <c r="B102" s="8" t="inlineStr">
        <is>
          <t xml:space="preserve">            s = _best_tab_column(s)</t>
        </is>
      </c>
    </row>
    <row r="103">
      <c r="A103" s="9" t="n">
        <v>100</v>
      </c>
      <c r="B103" s="10" t="inlineStr">
        <is>
          <t xml:space="preserve">        s = _clean_text(s)</t>
        </is>
      </c>
    </row>
    <row r="104">
      <c r="A104" s="7" t="n">
        <v>101</v>
      </c>
      <c r="B104" s="8" t="inlineStr">
        <is>
          <t xml:space="preserve">        if _is_valid_script(s):</t>
        </is>
      </c>
    </row>
    <row r="105">
      <c r="A105" s="9" t="n">
        <v>102</v>
      </c>
      <c r="B105" s="10" t="inlineStr">
        <is>
          <t xml:space="preserve">            lines.append(s)</t>
        </is>
      </c>
    </row>
    <row r="106">
      <c r="A106" s="7" t="n">
        <v>103</v>
      </c>
      <c r="B106" s="8" t="inlineStr">
        <is>
          <t xml:space="preserve">    return _deduplicate_scripts(lines)</t>
        </is>
      </c>
    </row>
    <row r="107">
      <c r="A107" s="9" t="n">
        <v>104</v>
      </c>
      <c r="B107" s="10" t="inlineStr"/>
    </row>
    <row r="108">
      <c r="A108" s="7" t="n">
        <v>105</v>
      </c>
      <c r="B108" s="8" t="inlineStr"/>
    </row>
    <row r="109">
      <c r="A109" s="9" t="n">
        <v>106</v>
      </c>
      <c r="B109" s="10" t="inlineStr">
        <is>
          <t>def _best_tab_column(text: str) -&gt; str:</t>
        </is>
      </c>
    </row>
    <row r="110">
      <c r="A110" s="7" t="n">
        <v>107</v>
      </c>
      <c r="B110" s="8" t="inlineStr">
        <is>
          <t xml:space="preserve">    """从Tab分隔行中取包含中文或长度最长的有效列"""</t>
        </is>
      </c>
    </row>
    <row r="111">
      <c r="A111" s="9" t="n">
        <v>108</v>
      </c>
      <c r="B111" s="10" t="inlineStr">
        <is>
          <t xml:space="preserve">    parts = [p.strip() for p in text.split("\t")]</t>
        </is>
      </c>
    </row>
    <row r="112">
      <c r="A112" s="7" t="n">
        <v>109</v>
      </c>
      <c r="B112" s="8" t="inlineStr">
        <is>
          <t xml:space="preserve">    best = ""</t>
        </is>
      </c>
    </row>
    <row r="113">
      <c r="A113" s="9" t="n">
        <v>110</v>
      </c>
      <c r="B113" s="10" t="inlineStr">
        <is>
          <t xml:space="preserve">    best_score = 0</t>
        </is>
      </c>
    </row>
    <row r="114">
      <c r="A114" s="7" t="n">
        <v>111</v>
      </c>
      <c r="B114" s="8" t="inlineStr">
        <is>
          <t xml:space="preserve">    for p in parts:</t>
        </is>
      </c>
    </row>
    <row r="115">
      <c r="A115" s="9" t="n">
        <v>112</v>
      </c>
      <c r="B115" s="10" t="inlineStr">
        <is>
          <t xml:space="preserve">        if not p or p in _NOISE_TOKENS:</t>
        </is>
      </c>
    </row>
    <row r="116">
      <c r="A116" s="7" t="n">
        <v>113</v>
      </c>
      <c r="B116" s="8" t="inlineStr">
        <is>
          <t xml:space="preserve">            continue</t>
        </is>
      </c>
    </row>
    <row r="117">
      <c r="A117" s="9" t="n">
        <v>114</v>
      </c>
      <c r="B117" s="10" t="inlineStr">
        <is>
          <t xml:space="preserve">        has_chinese = bool(re.search(r'[一-鿿]', p))</t>
        </is>
      </c>
    </row>
    <row r="118">
      <c r="A118" s="7" t="n">
        <v>115</v>
      </c>
      <c r="B118" s="8" t="inlineStr">
        <is>
          <t xml:space="preserve">        score = len(p) + (100 if has_chinese else 0)</t>
        </is>
      </c>
    </row>
    <row r="119">
      <c r="A119" s="9" t="n">
        <v>116</v>
      </c>
      <c r="B119" s="10" t="inlineStr">
        <is>
          <t xml:space="preserve">        if score &gt; best_score:</t>
        </is>
      </c>
    </row>
    <row r="120">
      <c r="A120" s="7" t="n">
        <v>117</v>
      </c>
      <c r="B120" s="8" t="inlineStr">
        <is>
          <t xml:space="preserve">            best_score = score</t>
        </is>
      </c>
    </row>
    <row r="121">
      <c r="A121" s="9" t="n">
        <v>118</v>
      </c>
      <c r="B121" s="10" t="inlineStr">
        <is>
          <t xml:space="preserve">            best = p</t>
        </is>
      </c>
    </row>
    <row r="122">
      <c r="A122" s="7" t="n">
        <v>119</v>
      </c>
      <c r="B122" s="8" t="inlineStr">
        <is>
          <t xml:space="preserve">    return best if best else text</t>
        </is>
      </c>
    </row>
    <row r="123">
      <c r="A123" s="9" t="n">
        <v>120</v>
      </c>
      <c r="B123" s="10" t="inlineStr"/>
    </row>
    <row r="124">
      <c r="A124" s="7" t="n">
        <v>121</v>
      </c>
      <c r="B124" s="8" t="inlineStr"/>
    </row>
    <row r="125">
      <c r="A125" s="9" t="n">
        <v>122</v>
      </c>
      <c r="B125" s="10" t="inlineStr">
        <is>
          <t>def _clean_text(text: str) -&gt; str:</t>
        </is>
      </c>
    </row>
    <row r="126">
      <c r="A126" s="7" t="n">
        <v>123</v>
      </c>
      <c r="B126" s="8" t="inlineStr">
        <is>
          <t xml:space="preserve">    """去除噪音前后缀，合并多余空格"""</t>
        </is>
      </c>
    </row>
    <row r="127">
      <c r="A127" s="9" t="n">
        <v>124</v>
      </c>
      <c r="B127" s="10" t="inlineStr">
        <is>
          <t xml:space="preserve">    text = text.strip()</t>
        </is>
      </c>
    </row>
    <row r="128">
      <c r="A128" s="7" t="n">
        <v>125</v>
      </c>
      <c r="B128" s="8" t="inlineStr">
        <is>
          <t xml:space="preserve">    # 去掉开头的编号 (如 "1." "1、" "①")</t>
        </is>
      </c>
    </row>
    <row r="129">
      <c r="A129" s="9" t="n">
        <v>126</v>
      </c>
      <c r="B129" s="10" t="inlineStr">
        <is>
          <t xml:space="preserve">    text = re.sub(r'^[\d]+[\.\)、．]?\s*', '', text)</t>
        </is>
      </c>
    </row>
    <row r="130">
      <c r="A130" s="7" t="n">
        <v>127</v>
      </c>
      <c r="B130" s="8" t="inlineStr">
        <is>
          <t xml:space="preserve">    text = re.sub(r'^[①②③④⑤⑥⑦⑧⑨⑩]?\s*', '', text)</t>
        </is>
      </c>
    </row>
    <row r="131">
      <c r="A131" s="9" t="n">
        <v>128</v>
      </c>
      <c r="B131" s="10" t="inlineStr">
        <is>
          <t xml:space="preserve">    # 合并多余空白</t>
        </is>
      </c>
    </row>
    <row r="132">
      <c r="A132" s="7" t="n">
        <v>129</v>
      </c>
      <c r="B132" s="8" t="inlineStr">
        <is>
          <t xml:space="preserve">    text = re.sub(r'\s+', ' ', text)</t>
        </is>
      </c>
    </row>
    <row r="133">
      <c r="A133" s="9" t="n">
        <v>130</v>
      </c>
      <c r="B133" s="10" t="inlineStr">
        <is>
          <t xml:space="preserve">    return text.strip()</t>
        </is>
      </c>
    </row>
    <row r="134">
      <c r="A134" s="7" t="n">
        <v>131</v>
      </c>
      <c r="B134" s="8" t="inlineStr"/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>def _is_valid_script(text: str) -&gt; bool:</t>
        </is>
      </c>
    </row>
    <row r="137">
      <c r="A137" s="9" t="n">
        <v>134</v>
      </c>
      <c r="B137" s="10" t="inlineStr">
        <is>
          <t xml:space="preserve">    """判断是否是一个有效的脚本 (v2: lowered threshold to 3)"""</t>
        </is>
      </c>
    </row>
    <row r="138">
      <c r="A138" s="7" t="n">
        <v>135</v>
      </c>
      <c r="B138" s="8" t="inlineStr">
        <is>
          <t xml:space="preserve">    if len(text) &lt; 3:</t>
        </is>
      </c>
    </row>
    <row r="139">
      <c r="A139" s="9" t="n">
        <v>136</v>
      </c>
      <c r="B139" s="10" t="inlineStr">
        <is>
          <t xml:space="preserve">        return False</t>
        </is>
      </c>
    </row>
    <row r="140">
      <c r="A140" s="7" t="n">
        <v>137</v>
      </c>
      <c r="B140" s="8" t="inlineStr">
        <is>
          <t xml:space="preserve">    if text in _NOISE_TOKENS:</t>
        </is>
      </c>
    </row>
    <row r="141">
      <c r="A141" s="9" t="n">
        <v>138</v>
      </c>
      <c r="B141" s="10" t="inlineStr">
        <is>
          <t xml:space="preserve">        return False</t>
        </is>
      </c>
    </row>
    <row r="142">
      <c r="A142" s="7" t="n">
        <v>139</v>
      </c>
      <c r="B142" s="8" t="inlineStr">
        <is>
          <t xml:space="preserve">    if text.startswith(("序号", "标题", "脚本", "文案", "备注")):</t>
        </is>
      </c>
    </row>
    <row r="143">
      <c r="A143" s="9" t="n">
        <v>140</v>
      </c>
      <c r="B143" s="10" t="inlineStr">
        <is>
          <t xml:space="preserve">        return False</t>
        </is>
      </c>
    </row>
    <row r="144">
      <c r="A144" s="7" t="n">
        <v>141</v>
      </c>
      <c r="B144" s="8" t="inlineStr">
        <is>
          <t xml:space="preserve">    return True</t>
        </is>
      </c>
    </row>
    <row r="145">
      <c r="A145" s="9" t="n">
        <v>142</v>
      </c>
      <c r="B145" s="10" t="inlineStr"/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>def _deduplicate_scripts(scripts: List[str]) -&gt; List[str]:</t>
        </is>
      </c>
    </row>
    <row r="148">
      <c r="A148" s="7" t="n">
        <v>145</v>
      </c>
      <c r="B148" s="8" t="inlineStr">
        <is>
          <t xml:space="preserve">    """去重 (保留顺序)"""</t>
        </is>
      </c>
    </row>
    <row r="149">
      <c r="A149" s="9" t="n">
        <v>146</v>
      </c>
      <c r="B149" s="10" t="inlineStr">
        <is>
          <t xml:space="preserve">    seen = set()</t>
        </is>
      </c>
    </row>
    <row r="150">
      <c r="A150" s="7" t="n">
        <v>147</v>
      </c>
      <c r="B150" s="8" t="inlineStr">
        <is>
          <t xml:space="preserve">    result = []</t>
        </is>
      </c>
    </row>
    <row r="151">
      <c r="A151" s="9" t="n">
        <v>148</v>
      </c>
      <c r="B151" s="10" t="inlineStr">
        <is>
          <t xml:space="preserve">    for s in scripts:</t>
        </is>
      </c>
    </row>
    <row r="152">
      <c r="A152" s="7" t="n">
        <v>149</v>
      </c>
      <c r="B152" s="8" t="inlineStr">
        <is>
          <t xml:space="preserve">        # 短哈希去重</t>
        </is>
      </c>
    </row>
    <row r="153">
      <c r="A153" s="9" t="n">
        <v>150</v>
      </c>
      <c r="B153" s="10" t="inlineStr">
        <is>
          <t xml:space="preserve">        key = s[:40]</t>
        </is>
      </c>
    </row>
    <row r="154">
      <c r="A154" s="7" t="n">
        <v>151</v>
      </c>
      <c r="B154" s="8" t="inlineStr">
        <is>
          <t xml:space="preserve">        if key not in seen:</t>
        </is>
      </c>
    </row>
    <row r="155">
      <c r="A155" s="9" t="n">
        <v>152</v>
      </c>
      <c r="B155" s="10" t="inlineStr">
        <is>
          <t xml:space="preserve">            seen.add(key)</t>
        </is>
      </c>
    </row>
    <row r="156">
      <c r="A156" s="7" t="n">
        <v>153</v>
      </c>
      <c r="B156" s="8" t="inlineStr">
        <is>
          <t xml:space="preserve">            result.append(s)</t>
        </is>
      </c>
    </row>
    <row r="157">
      <c r="A157" s="9" t="n">
        <v>154</v>
      </c>
      <c r="B157" s="10" t="inlineStr">
        <is>
          <t xml:space="preserve">    return result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core\self_learning_engine.py</t>
        </is>
      </c>
      <c r="C1" s="5" t="inlineStr">
        <is>
          <t>行数: 212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自学习引擎</t>
        </is>
      </c>
    </row>
    <row r="6">
      <c r="A6" s="7" t="n">
        <v>3</v>
      </c>
      <c r="B6" s="8" t="inlineStr">
        <is>
          <t>每天自动分析使用记录 → DeepSeek生成优化规则 → 应用到各模块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os, json, time, threading, schedule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from datetime import datetime, timedelta</t>
        </is>
      </c>
    </row>
    <row r="11">
      <c r="A11" s="9" t="n">
        <v>8</v>
      </c>
      <c r="B11" s="10" t="inlineStr">
        <is>
          <t>from typing import Optional, Dict, List</t>
        </is>
      </c>
    </row>
    <row r="12">
      <c r="A12" s="7" t="n">
        <v>9</v>
      </c>
      <c r="B12" s="8" t="inlineStr">
        <is>
          <t>from collections import defaultdict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RULES_DIR = Path("AI素材库/自学习规则")</t>
        </is>
      </c>
    </row>
    <row r="15">
      <c r="A15" s="9" t="n">
        <v>12</v>
      </c>
      <c r="B15" s="10" t="inlineStr">
        <is>
          <t>RULES_DIR.mkdir(parents=True, exist_ok=True)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class SelfLearningEngine:</t>
        </is>
      </c>
    </row>
    <row r="19">
      <c r="A19" s="9" t="n">
        <v>16</v>
      </c>
      <c r="B19" s="10" t="inlineStr">
        <is>
          <t xml:space="preserve">    """自学习引擎 — 定时分析+规则生成+自动应用"""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 xml:space="preserve">    def __init__(self):</t>
        </is>
      </c>
    </row>
    <row r="22">
      <c r="A22" s="7" t="n">
        <v>19</v>
      </c>
      <c r="B22" s="8" t="inlineStr">
        <is>
          <t xml:space="preserve">        self._running = False</t>
        </is>
      </c>
    </row>
    <row r="23">
      <c r="A23" s="9" t="n">
        <v>20</v>
      </c>
      <c r="B23" s="10" t="inlineStr">
        <is>
          <t xml:space="preserve">        self._thread = None</t>
        </is>
      </c>
    </row>
    <row r="24">
      <c r="A24" s="7" t="n">
        <v>21</v>
      </c>
      <c r="B24" s="8" t="inlineStr">
        <is>
          <t xml:space="preserve">        self._last_run: Optional[datetime] = None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 xml:space="preserve">    def run_now(self) -&gt; Dict:</t>
        </is>
      </c>
    </row>
    <row r="27">
      <c r="A27" s="9" t="n">
        <v>24</v>
      </c>
      <c r="B27" s="10" t="inlineStr">
        <is>
          <t xml:space="preserve">        """立即执行一次完整自学习流程"""</t>
        </is>
      </c>
    </row>
    <row r="28">
      <c r="A28" s="7" t="n">
        <v>25</v>
      </c>
      <c r="B28" s="8" t="inlineStr">
        <is>
          <t xml:space="preserve">        from core.usage_recorder import get_recorder</t>
        </is>
      </c>
    </row>
    <row r="29">
      <c r="A29" s="9" t="n">
        <v>26</v>
      </c>
      <c r="B29" s="10" t="inlineStr">
        <is>
          <t xml:space="preserve">        from core.deepseek_client import get_deepseek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 xml:space="preserve">        recorder = get_recorder()</t>
        </is>
      </c>
    </row>
    <row r="32">
      <c r="A32" s="7" t="n">
        <v>29</v>
      </c>
      <c r="B32" s="8" t="inlineStr">
        <is>
          <t xml:space="preserve">        ds = get_deepseek()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 xml:space="preserve">        report = {</t>
        </is>
      </c>
    </row>
    <row r="35">
      <c r="A35" s="9" t="n">
        <v>32</v>
      </c>
      <c r="B35" s="10" t="inlineStr">
        <is>
          <t xml:space="preserve">            "timestamp": datetime.now().isoformat(),</t>
        </is>
      </c>
    </row>
    <row r="36">
      <c r="A36" s="7" t="n">
        <v>33</v>
      </c>
      <c r="B36" s="8" t="inlineStr">
        <is>
          <t xml:space="preserve">            "status": "started",</t>
        </is>
      </c>
    </row>
    <row r="37">
      <c r="A37" s="9" t="n">
        <v>34</v>
      </c>
      <c r="B37" s="10" t="inlineStr">
        <is>
          <t xml:space="preserve">            "records_analyzed": 0,</t>
        </is>
      </c>
    </row>
    <row r="38">
      <c r="A38" s="7" t="n">
        <v>35</v>
      </c>
      <c r="B38" s="8" t="inlineStr">
        <is>
          <t xml:space="preserve">            "rules_generated": 0,</t>
        </is>
      </c>
    </row>
    <row r="39">
      <c r="A39" s="9" t="n">
        <v>36</v>
      </c>
      <c r="B39" s="10" t="inlineStr">
        <is>
          <t xml:space="preserve">            "details": [],</t>
        </is>
      </c>
    </row>
    <row r="40">
      <c r="A40" s="7" t="n">
        <v>37</v>
      </c>
      <c r="B40" s="8" t="inlineStr">
        <is>
          <t xml:space="preserve">        }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>
        <is>
          <t xml:space="preserve">        # 1. 获取近期记录</t>
        </is>
      </c>
    </row>
    <row r="43">
      <c r="A43" s="9" t="n">
        <v>40</v>
      </c>
      <c r="B43" s="10" t="inlineStr">
        <is>
          <t xml:space="preserve">        records = recorder.get_recent(500)</t>
        </is>
      </c>
    </row>
    <row r="44">
      <c r="A44" s="7" t="n">
        <v>41</v>
      </c>
      <c r="B44" s="8" t="inlineStr">
        <is>
          <t xml:space="preserve">        if not records:</t>
        </is>
      </c>
    </row>
    <row r="45">
      <c r="A45" s="9" t="n">
        <v>42</v>
      </c>
      <c r="B45" s="10" t="inlineStr">
        <is>
          <t xml:space="preserve">            report["status"] = "no_records"</t>
        </is>
      </c>
    </row>
    <row r="46">
      <c r="A46" s="7" t="n">
        <v>43</v>
      </c>
      <c r="B46" s="8" t="inlineStr">
        <is>
          <t xml:space="preserve">            report["details"].append("没有使用记录，跳过学习")</t>
        </is>
      </c>
    </row>
    <row r="47">
      <c r="A47" s="9" t="n">
        <v>44</v>
      </c>
      <c r="B47" s="10" t="inlineStr">
        <is>
          <t xml:space="preserve">            return report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 xml:space="preserve">        report["records_analyzed"] = len(records)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    # 按类型分类</t>
        </is>
      </c>
    </row>
    <row r="52">
      <c r="A52" s="7" t="n">
        <v>49</v>
      </c>
      <c r="B52" s="8" t="inlineStr">
        <is>
          <t xml:space="preserve">        by_type = defaultdict(list)</t>
        </is>
      </c>
    </row>
    <row r="53">
      <c r="A53" s="9" t="n">
        <v>50</v>
      </c>
      <c r="B53" s="10" t="inlineStr">
        <is>
          <t xml:space="preserve">        for r in records:</t>
        </is>
      </c>
    </row>
    <row r="54">
      <c r="A54" s="7" t="n">
        <v>51</v>
      </c>
      <c r="B54" s="8" t="inlineStr">
        <is>
          <t xml:space="preserve">            by_type[r.get("type", "other")].append(r)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    # 2. DeepSeek分析标注记录 → 标签优化规则</t>
        </is>
      </c>
    </row>
    <row r="57">
      <c r="A57" s="9" t="n">
        <v>54</v>
      </c>
      <c r="B57" s="10" t="inlineStr">
        <is>
          <t xml:space="preserve">        annotations = by_type.get("annotation", []) + by_type.get("scoring", [])</t>
        </is>
      </c>
    </row>
    <row r="58">
      <c r="A58" s="7" t="n">
        <v>55</v>
      </c>
      <c r="B58" s="8" t="inlineStr">
        <is>
          <t xml:space="preserve">        if annotations and ds.available:</t>
        </is>
      </c>
    </row>
    <row r="59">
      <c r="A59" s="9" t="n">
        <v>56</v>
      </c>
      <c r="B59" s="10" t="inlineStr">
        <is>
          <t xml:space="preserve">            result = ds.analyze_usage_records(annotations[-50:])</t>
        </is>
      </c>
    </row>
    <row r="60">
      <c r="A60" s="7" t="n">
        <v>57</v>
      </c>
      <c r="B60" s="8" t="inlineStr">
        <is>
          <t xml:space="preserve">            if result:</t>
        </is>
      </c>
    </row>
    <row r="61">
      <c r="A61" s="9" t="n">
        <v>58</v>
      </c>
      <c r="B61" s="10" t="inlineStr">
        <is>
          <t xml:space="preserve">                rule_file = RULES_DIR / f"label_rules_{datetime.now().strftime('%Y%m%d')}.txt"</t>
        </is>
      </c>
    </row>
    <row r="62">
      <c r="A62" s="7" t="n">
        <v>59</v>
      </c>
      <c r="B62" s="8" t="inlineStr">
        <is>
          <t xml:space="preserve">                rule_file.write_text(result, encoding="utf-8")</t>
        </is>
      </c>
    </row>
    <row r="63">
      <c r="A63" s="9" t="n">
        <v>60</v>
      </c>
      <c r="B63" s="10" t="inlineStr">
        <is>
          <t xml:space="preserve">                recorder.add_learning_rule("标签优化", result, "DeepSeek", 0.8)</t>
        </is>
      </c>
    </row>
    <row r="64">
      <c r="A64" s="7" t="n">
        <v>61</v>
      </c>
      <c r="B64" s="8" t="inlineStr">
        <is>
          <t xml:space="preserve">                report["rules_generated"] += 1</t>
        </is>
      </c>
    </row>
    <row r="65">
      <c r="A65" s="9" t="n">
        <v>62</v>
      </c>
      <c r="B65" s="10" t="inlineStr">
        <is>
          <t xml:space="preserve">                report["details"].append(f"标签优化规则已生成: {rule_file.name}")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    # 3. DeepSeek分析脚本修改 → 脚本风格规则</t>
        </is>
      </c>
    </row>
    <row r="68">
      <c r="A68" s="7" t="n">
        <v>65</v>
      </c>
      <c r="B68" s="8" t="inlineStr">
        <is>
          <t xml:space="preserve">        scripts = by_type.get("script", []) + by_type.get("generation", [])</t>
        </is>
      </c>
    </row>
    <row r="69">
      <c r="A69" s="9" t="n">
        <v>66</v>
      </c>
      <c r="B69" s="10" t="inlineStr">
        <is>
          <t xml:space="preserve">        if scripts and ds.available:</t>
        </is>
      </c>
    </row>
    <row r="70">
      <c r="A70" s="7" t="n">
        <v>67</v>
      </c>
      <c r="B70" s="8" t="inlineStr">
        <is>
          <t xml:space="preserve">            result = ds.analyze_usage_records(scripts[-50:])</t>
        </is>
      </c>
    </row>
    <row r="71">
      <c r="A71" s="9" t="n">
        <v>68</v>
      </c>
      <c r="B71" s="10" t="inlineStr">
        <is>
          <t xml:space="preserve">            if result:</t>
        </is>
      </c>
    </row>
    <row r="72">
      <c r="A72" s="7" t="n">
        <v>69</v>
      </c>
      <c r="B72" s="8" t="inlineStr">
        <is>
          <t xml:space="preserve">                rule_file = RULES_DIR / f"script_rules_{datetime.now().strftime('%Y%m%d')}.txt"</t>
        </is>
      </c>
    </row>
    <row r="73">
      <c r="A73" s="9" t="n">
        <v>70</v>
      </c>
      <c r="B73" s="10" t="inlineStr">
        <is>
          <t xml:space="preserve">                rule_file.write_text(result, encoding="utf-8")</t>
        </is>
      </c>
    </row>
    <row r="74">
      <c r="A74" s="7" t="n">
        <v>71</v>
      </c>
      <c r="B74" s="8" t="inlineStr">
        <is>
          <t xml:space="preserve">                recorder.add_learning_rule("脚本风格", result, "DeepSeek", 0.75)</t>
        </is>
      </c>
    </row>
    <row r="75">
      <c r="A75" s="9" t="n">
        <v>72</v>
      </c>
      <c r="B75" s="10" t="inlineStr">
        <is>
          <t xml:space="preserve">                report["rules_generated"] += 1</t>
        </is>
      </c>
    </row>
    <row r="76">
      <c r="A76" s="7" t="n">
        <v>73</v>
      </c>
      <c r="B76" s="8" t="inlineStr">
        <is>
          <t xml:space="preserve">                report["details"].append(f"脚本风格规则已生成: {rule_file.name}")</t>
        </is>
      </c>
    </row>
    <row r="77">
      <c r="A77" s="9" t="n">
        <v>74</v>
      </c>
      <c r="B77" s="10" t="inlineStr"/>
    </row>
    <row r="78">
      <c r="A78" s="7" t="n">
        <v>75</v>
      </c>
      <c r="B78" s="8" t="inlineStr">
        <is>
          <t xml:space="preserve">        # 4. 自动调整模型权重</t>
        </is>
      </c>
    </row>
    <row r="79">
      <c r="A79" s="9" t="n">
        <v>76</v>
      </c>
      <c r="B79" s="10" t="inlineStr">
        <is>
          <t xml:space="preserve">        scoring = by_type.get("scoring", [])</t>
        </is>
      </c>
    </row>
    <row r="80">
      <c r="A80" s="7" t="n">
        <v>77</v>
      </c>
      <c r="B80" s="8" t="inlineStr">
        <is>
          <t xml:space="preserve">        if scoring and ds.available:</t>
        </is>
      </c>
    </row>
    <row r="81">
      <c r="A81" s="9" t="n">
        <v>78</v>
      </c>
      <c r="B81" s="10" t="inlineStr">
        <is>
          <t xml:space="preserve">            result = ds.auto_adjust_weights(scoring[-100:])</t>
        </is>
      </c>
    </row>
    <row r="82">
      <c r="A82" s="7" t="n">
        <v>79</v>
      </c>
      <c r="B82" s="8" t="inlineStr">
        <is>
          <t xml:space="preserve">            if result:</t>
        </is>
      </c>
    </row>
    <row r="83">
      <c r="A83" s="9" t="n">
        <v>80</v>
      </c>
      <c r="B83" s="10" t="inlineStr">
        <is>
          <t xml:space="preserve">                self._apply_weight_rules(result)</t>
        </is>
      </c>
    </row>
    <row r="84">
      <c r="A84" s="7" t="n">
        <v>81</v>
      </c>
      <c r="B84" s="8" t="inlineStr">
        <is>
          <t xml:space="preserve">                rule_file = RULES_DIR / f"weight_rules_{datetime.now().strftime('%Y%m%d')}.txt"</t>
        </is>
      </c>
    </row>
    <row r="85">
      <c r="A85" s="9" t="n">
        <v>82</v>
      </c>
      <c r="B85" s="10" t="inlineStr">
        <is>
          <t xml:space="preserve">                rule_file.write_text(result, encoding="utf-8")</t>
        </is>
      </c>
    </row>
    <row r="86">
      <c r="A86" s="7" t="n">
        <v>83</v>
      </c>
      <c r="B86" s="8" t="inlineStr">
        <is>
          <t xml:space="preserve">                recorder.add_learning_rule("模型权重", result, "DeepSeek", 0.85)</t>
        </is>
      </c>
    </row>
    <row r="87">
      <c r="A87" s="9" t="n">
        <v>84</v>
      </c>
      <c r="B87" s="10" t="inlineStr">
        <is>
          <t xml:space="preserve">                report["rules_generated"] += 1</t>
        </is>
      </c>
    </row>
    <row r="88">
      <c r="A88" s="7" t="n">
        <v>85</v>
      </c>
      <c r="B88" s="8" t="inlineStr">
        <is>
          <t xml:space="preserve">                report["details"].append(f"权重调整规则已生成: {result}")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    # 5. 分析脚本学习库 (高频词/风格偏好/句式模式)</t>
        </is>
      </c>
    </row>
    <row r="91">
      <c r="A91" s="9" t="n">
        <v>88</v>
      </c>
      <c r="B91" s="10" t="inlineStr">
        <is>
          <t xml:space="preserve">        try:</t>
        </is>
      </c>
    </row>
    <row r="92">
      <c r="A92" s="7" t="n">
        <v>89</v>
      </c>
      <c r="B92" s="8" t="inlineStr">
        <is>
          <t xml:space="preserve">            from core.script_learning import get_library</t>
        </is>
      </c>
    </row>
    <row r="93">
      <c r="A93" s="9" t="n">
        <v>90</v>
      </c>
      <c r="B93" s="10" t="inlineStr">
        <is>
          <t xml:space="preserve">            lib = get_library()</t>
        </is>
      </c>
    </row>
    <row r="94">
      <c r="A94" s="7" t="n">
        <v>91</v>
      </c>
      <c r="B94" s="8" t="inlineStr">
        <is>
          <t xml:space="preserve">            stats = lib.get_stats()</t>
        </is>
      </c>
    </row>
    <row r="95">
      <c r="A95" s="9" t="n">
        <v>92</v>
      </c>
      <c r="B95" s="10" t="inlineStr">
        <is>
          <t xml:space="preserve">            if stats["total_scripts"] &gt; 0:</t>
        </is>
      </c>
    </row>
    <row r="96">
      <c r="A96" s="7" t="n">
        <v>93</v>
      </c>
      <c r="B96" s="8" t="inlineStr">
        <is>
          <t xml:space="preserve">                analysis = lib.analyze_patterns()</t>
        </is>
      </c>
    </row>
    <row r="97">
      <c r="A97" s="9" t="n">
        <v>94</v>
      </c>
      <c r="B97" s="10" t="inlineStr">
        <is>
          <t xml:space="preserve">                if analysis:</t>
        </is>
      </c>
    </row>
    <row r="98">
      <c r="A98" s="7" t="n">
        <v>95</v>
      </c>
      <c r="B98" s="8" t="inlineStr">
        <is>
          <t xml:space="preserve">                    rule_file = RULES_DIR / f"script_patterns_{datetime.now().strftime('%Y%m%d')}.txt"</t>
        </is>
      </c>
    </row>
    <row r="99">
      <c r="A99" s="9" t="n">
        <v>96</v>
      </c>
      <c r="B99" s="10" t="inlineStr">
        <is>
          <t xml:space="preserve">                    rule_file.write_text(analysis, encoding="utf-8")</t>
        </is>
      </c>
    </row>
    <row r="100">
      <c r="A100" s="7" t="n">
        <v>97</v>
      </c>
      <c r="B100" s="8" t="inlineStr">
        <is>
          <t xml:space="preserve">                    recorder.add_learning_rule("脚本风格分析", analysis, "DeepSeek", 0.7)</t>
        </is>
      </c>
    </row>
    <row r="101">
      <c r="A101" s="9" t="n">
        <v>98</v>
      </c>
      <c r="B101" s="10" t="inlineStr">
        <is>
          <t xml:space="preserve">                    report["rules_generated"] += 1</t>
        </is>
      </c>
    </row>
    <row r="102">
      <c r="A102" s="7" t="n">
        <v>99</v>
      </c>
      <c r="B102" s="8" t="inlineStr">
        <is>
          <t xml:space="preserve">                    report["details"].append(f"脚本库分析规则已生成: {rule_file.name} ({stats['total_scripts']}条脚本)")</t>
        </is>
      </c>
    </row>
    <row r="103">
      <c r="A103" s="9" t="n">
        <v>100</v>
      </c>
      <c r="B103" s="10" t="inlineStr">
        <is>
          <t xml:space="preserve">        except Exception as e:</t>
        </is>
      </c>
    </row>
    <row r="104">
      <c r="A104" s="7" t="n">
        <v>101</v>
      </c>
      <c r="B104" s="8" t="inlineStr">
        <is>
          <t xml:space="preserve">            report["details"].append(f"脚本库分析跳过: {e}")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 xml:space="preserve">        # 6. 生成综合报告</t>
        </is>
      </c>
    </row>
    <row r="107">
      <c r="A107" s="9" t="n">
        <v>104</v>
      </c>
      <c r="B107" s="10" t="inlineStr">
        <is>
          <t xml:space="preserve">        summary = self._generate_summary(report, by_type)</t>
        </is>
      </c>
    </row>
    <row r="108">
      <c r="A108" s="7" t="n">
        <v>105</v>
      </c>
      <c r="B108" s="8" t="inlineStr">
        <is>
          <t xml:space="preserve">        summary_file = RULES_DIR / f"learning_report_{datetime.now().strftime('%Y%m%d_%H%M')}.txt"</t>
        </is>
      </c>
    </row>
    <row r="109">
      <c r="A109" s="9" t="n">
        <v>106</v>
      </c>
      <c r="B109" s="10" t="inlineStr">
        <is>
          <t xml:space="preserve">        summary_file.write_text(summary, encoding="utf-8")</t>
        </is>
      </c>
    </row>
    <row r="110">
      <c r="A110" s="7" t="n">
        <v>107</v>
      </c>
      <c r="B110" s="8" t="inlineStr">
        <is>
          <t xml:space="preserve">        report["details"].append(f"综合报告: {summary_file.name}")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 xml:space="preserve">        report["status"] = "completed"</t>
        </is>
      </c>
    </row>
    <row r="113">
      <c r="A113" s="9" t="n">
        <v>110</v>
      </c>
      <c r="B113" s="10" t="inlineStr">
        <is>
          <t xml:space="preserve">        self._last_run = datetime.now()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>
        <is>
          <t xml:space="preserve">        # 7. 清理30天前的旧规则</t>
        </is>
      </c>
    </row>
    <row r="116">
      <c r="A116" s="7" t="n">
        <v>113</v>
      </c>
      <c r="B116" s="8" t="inlineStr">
        <is>
          <t xml:space="preserve">        self._cleanup_old_rules(30)</t>
        </is>
      </c>
    </row>
    <row r="117">
      <c r="A117" s="9" t="n">
        <v>114</v>
      </c>
      <c r="B117" s="10" t="inlineStr"/>
    </row>
    <row r="118">
      <c r="A118" s="7" t="n">
        <v>115</v>
      </c>
      <c r="B118" s="8" t="inlineStr">
        <is>
          <t xml:space="preserve">        return report</t>
        </is>
      </c>
    </row>
    <row r="119">
      <c r="A119" s="9" t="n">
        <v>116</v>
      </c>
      <c r="B119" s="10" t="inlineStr"/>
    </row>
    <row r="120">
      <c r="A120" s="7" t="n">
        <v>117</v>
      </c>
      <c r="B120" s="8" t="inlineStr">
        <is>
          <t xml:space="preserve">    def _apply_weight_rules(self, weight_text: str):</t>
        </is>
      </c>
    </row>
    <row r="121">
      <c r="A121" s="9" t="n">
        <v>118</v>
      </c>
      <c r="B121" s="10" t="inlineStr">
        <is>
          <t xml:space="preserve">        """应用权重规则到配置文件 — 带范围+总和校验"""</t>
        </is>
      </c>
    </row>
    <row r="122">
      <c r="A122" s="7" t="n">
        <v>119</v>
      </c>
      <c r="B122" s="8" t="inlineStr">
        <is>
          <t xml:space="preserve">        import re</t>
        </is>
      </c>
    </row>
    <row r="123">
      <c r="A123" s="9" t="n">
        <v>120</v>
      </c>
      <c r="B123" s="10" t="inlineStr">
        <is>
          <t xml:space="preserve">        weights = {}</t>
        </is>
      </c>
    </row>
    <row r="124">
      <c r="A124" s="7" t="n">
        <v>121</v>
      </c>
      <c r="B124" s="8" t="inlineStr">
        <is>
          <t xml:space="preserve">        for line in weight_text.strip().split("\n"):</t>
        </is>
      </c>
    </row>
    <row r="125">
      <c r="A125" s="9" t="n">
        <v>122</v>
      </c>
      <c r="B125" s="10" t="inlineStr">
        <is>
          <t xml:space="preserve">            if ":" in line:</t>
        </is>
      </c>
    </row>
    <row r="126">
      <c r="A126" s="7" t="n">
        <v>123</v>
      </c>
      <c r="B126" s="8" t="inlineStr">
        <is>
          <t xml:space="preserve">                parts = line.split(":")</t>
        </is>
      </c>
    </row>
    <row r="127">
      <c r="A127" s="9" t="n">
        <v>124</v>
      </c>
      <c r="B127" s="10" t="inlineStr">
        <is>
          <t xml:space="preserve">                if len(parts) == 2:</t>
        </is>
      </c>
    </row>
    <row r="128">
      <c r="A128" s="7" t="n">
        <v>125</v>
      </c>
      <c r="B128" s="8" t="inlineStr">
        <is>
          <t xml:space="preserve">                    try:</t>
        </is>
      </c>
    </row>
    <row r="129">
      <c r="A129" s="9" t="n">
        <v>126</v>
      </c>
      <c r="B129" s="10" t="inlineStr">
        <is>
          <t xml:space="preserve">                        name = parts[0].strip()</t>
        </is>
      </c>
    </row>
    <row r="130">
      <c r="A130" s="7" t="n">
        <v>127</v>
      </c>
      <c r="B130" s="8" t="inlineStr">
        <is>
          <t xml:space="preserve">                        val = float(re.sub(r'[^\d.]', '', parts[1].strip()))</t>
        </is>
      </c>
    </row>
    <row r="131">
      <c r="A131" s="9" t="n">
        <v>128</v>
      </c>
      <c r="B131" s="10" t="inlineStr">
        <is>
          <t xml:space="preserve">                        # 校验: 单个权重必须在 0.0–1.0 之间</t>
        </is>
      </c>
    </row>
    <row r="132">
      <c r="A132" s="7" t="n">
        <v>129</v>
      </c>
      <c r="B132" s="8" t="inlineStr">
        <is>
          <t xml:space="preserve">                        if 0.0 &lt;= val &lt;= 1.0:</t>
        </is>
      </c>
    </row>
    <row r="133">
      <c r="A133" s="9" t="n">
        <v>130</v>
      </c>
      <c r="B133" s="10" t="inlineStr">
        <is>
          <t xml:space="preserve">                            weights[name] = round(val, 3)</t>
        </is>
      </c>
    </row>
    <row r="134">
      <c r="A134" s="7" t="n">
        <v>131</v>
      </c>
      <c r="B134" s="8" t="inlineStr">
        <is>
          <t xml:space="preserve">                    except (ValueError, Exception):</t>
        </is>
      </c>
    </row>
    <row r="135">
      <c r="A135" s="9" t="n">
        <v>132</v>
      </c>
      <c r="B135" s="10" t="inlineStr">
        <is>
          <t xml:space="preserve">                        pass</t>
        </is>
      </c>
    </row>
    <row r="136">
      <c r="A136" s="7" t="n">
        <v>133</v>
      </c>
      <c r="B136" s="8" t="inlineStr">
        <is>
          <t xml:space="preserve">        if weights:</t>
        </is>
      </c>
    </row>
    <row r="137">
      <c r="A137" s="9" t="n">
        <v>134</v>
      </c>
      <c r="B137" s="10" t="inlineStr">
        <is>
          <t xml:space="preserve">            # 校验: 权重总和在合理范围 (0.9–1.1)</t>
        </is>
      </c>
    </row>
    <row r="138">
      <c r="A138" s="7" t="n">
        <v>135</v>
      </c>
      <c r="B138" s="8" t="inlineStr">
        <is>
          <t xml:space="preserve">            total = sum(weights.values())</t>
        </is>
      </c>
    </row>
    <row r="139">
      <c r="A139" s="9" t="n">
        <v>136</v>
      </c>
      <c r="B139" s="10" t="inlineStr">
        <is>
          <t xml:space="preserve">            if not (0.9 &lt;= total &lt;= 1.1):</t>
        </is>
      </c>
    </row>
    <row r="140">
      <c r="A140" s="7" t="n">
        <v>137</v>
      </c>
      <c r="B140" s="8" t="inlineStr">
        <is>
          <t xml:space="preserve">                from utils.logging import log_warning</t>
        </is>
      </c>
    </row>
    <row r="141">
      <c r="A141" s="9" t="n">
        <v>138</v>
      </c>
      <c r="B141" s="10" t="inlineStr">
        <is>
          <t xml:space="preserve">                log_warning('self_learning_engine', f'权重总和={total} 超出合理范围, 跳过应用')</t>
        </is>
      </c>
    </row>
    <row r="142">
      <c r="A142" s="7" t="n">
        <v>139</v>
      </c>
      <c r="B142" s="8" t="inlineStr">
        <is>
          <t xml:space="preserve">                return</t>
        </is>
      </c>
    </row>
    <row r="143">
      <c r="A143" s="9" t="n">
        <v>140</v>
      </c>
      <c r="B143" s="10" t="inlineStr">
        <is>
          <t xml:space="preserve">            config_path = Path("AI素材库/model_weights.json")</t>
        </is>
      </c>
    </row>
    <row r="144">
      <c r="A144" s="7" t="n">
        <v>141</v>
      </c>
      <c r="B144" s="8" t="inlineStr">
        <is>
          <t xml:space="preserve">            config_path.parent.mkdir(parents=True, exist_ok=True)</t>
        </is>
      </c>
    </row>
    <row r="145">
      <c r="A145" s="9" t="n">
        <v>142</v>
      </c>
      <c r="B145" s="10" t="inlineStr">
        <is>
          <t xml:space="preserve">            existing = {}</t>
        </is>
      </c>
    </row>
    <row r="146">
      <c r="A146" s="7" t="n">
        <v>143</v>
      </c>
      <c r="B146" s="8" t="inlineStr">
        <is>
          <t xml:space="preserve">            if config_path.exists():</t>
        </is>
      </c>
    </row>
    <row r="147">
      <c r="A147" s="9" t="n">
        <v>144</v>
      </c>
      <c r="B147" s="10" t="inlineStr">
        <is>
          <t xml:space="preserve">                try: existing = json.loads(config_path.read_text(encoding="utf-8"))</t>
        </is>
      </c>
    </row>
    <row r="148">
      <c r="A148" s="7" t="n">
        <v>145</v>
      </c>
      <c r="B148" s="8" t="inlineStr">
        <is>
          <t xml:space="preserve">                except Exception as _e: from utils.logging import log_warning; log_warning('self_learning_engine', str(_e)[:80])</t>
        </is>
      </c>
    </row>
    <row r="149">
      <c r="A149" s="9" t="n">
        <v>146</v>
      </c>
      <c r="B149" s="10" t="inlineStr">
        <is>
          <t xml:space="preserve">            existing.update({"updated": datetime.now().isoformat(), "weights": weights})</t>
        </is>
      </c>
    </row>
    <row r="150">
      <c r="A150" s="7" t="n">
        <v>147</v>
      </c>
      <c r="B150" s="8" t="inlineStr">
        <is>
          <t xml:space="preserve">            config_path.write_text(json.dumps(existing, ensure_ascii=False, indent=2), encoding="utf-8")</t>
        </is>
      </c>
    </row>
    <row r="151">
      <c r="A151" s="9" t="n">
        <v>148</v>
      </c>
      <c r="B151" s="10" t="inlineStr"/>
    </row>
    <row r="152">
      <c r="A152" s="7" t="n">
        <v>149</v>
      </c>
      <c r="B152" s="8" t="inlineStr">
        <is>
          <t xml:space="preserve">    def _generate_summary(self, report: Dict, by_type: dict) -&gt; str:</t>
        </is>
      </c>
    </row>
    <row r="153">
      <c r="A153" s="9" t="n">
        <v>150</v>
      </c>
      <c r="B153" s="10" t="inlineStr">
        <is>
          <t xml:space="preserve">        lines = ["=" * 50, "  树剪 AI 自学习报告",</t>
        </is>
      </c>
    </row>
    <row r="154">
      <c r="A154" s="7" t="n">
        <v>151</v>
      </c>
      <c r="B154" s="8" t="inlineStr">
        <is>
          <t xml:space="preserve">                 f"  时间: {report['timestamp'][:19]}", f"  分析记录: {report['records_analyzed']}条",</t>
        </is>
      </c>
    </row>
    <row r="155">
      <c r="A155" s="9" t="n">
        <v>152</v>
      </c>
      <c r="B155" s="10" t="inlineStr">
        <is>
          <t xml:space="preserve">                 f"  生成规则: {report['rules_generated']}条", "=" * 50, ""]</t>
        </is>
      </c>
    </row>
    <row r="156">
      <c r="A156" s="7" t="n">
        <v>153</v>
      </c>
      <c r="B156" s="8" t="inlineStr">
        <is>
          <t xml:space="preserve">        for t, records in by_type.items():</t>
        </is>
      </c>
    </row>
    <row r="157">
      <c r="A157" s="9" t="n">
        <v>154</v>
      </c>
      <c r="B157" s="10" t="inlineStr">
        <is>
          <t xml:space="preserve">            lines.append(f"  {t}: {len(records)}条记录")</t>
        </is>
      </c>
    </row>
    <row r="158">
      <c r="A158" s="7" t="n">
        <v>155</v>
      </c>
      <c r="B158" s="8" t="inlineStr">
        <is>
          <t xml:space="preserve">        lines.append(f"\n规则文件位置: {RULES_DIR}")</t>
        </is>
      </c>
    </row>
    <row r="159">
      <c r="A159" s="9" t="n">
        <v>156</v>
      </c>
      <c r="B159" s="10" t="inlineStr">
        <is>
          <t xml:space="preserve">        lines.append(f"最新规则请查看上述目录中的 .txt 文件")</t>
        </is>
      </c>
    </row>
    <row r="160">
      <c r="A160" s="7" t="n">
        <v>157</v>
      </c>
      <c r="B160" s="8" t="inlineStr">
        <is>
          <t xml:space="preserve">        return "\n".join(lines)</t>
        </is>
      </c>
    </row>
    <row r="161">
      <c r="A161" s="9" t="n">
        <v>158</v>
      </c>
      <c r="B161" s="10" t="inlineStr"/>
    </row>
    <row r="162">
      <c r="A162" s="7" t="n">
        <v>159</v>
      </c>
      <c r="B162" s="8" t="inlineStr">
        <is>
          <t xml:space="preserve">    def _cleanup_old_rules(self, days: int = 30):</t>
        </is>
      </c>
    </row>
    <row r="163">
      <c r="A163" s="9" t="n">
        <v>160</v>
      </c>
      <c r="B163" s="10" t="inlineStr">
        <is>
          <t xml:space="preserve">        cutoff = datetime.now() - timedelta(days=days)</t>
        </is>
      </c>
    </row>
    <row r="164">
      <c r="A164" s="7" t="n">
        <v>161</v>
      </c>
      <c r="B164" s="8" t="inlineStr">
        <is>
          <t xml:space="preserve">        try:</t>
        </is>
      </c>
    </row>
    <row r="165">
      <c r="A165" s="9" t="n">
        <v>162</v>
      </c>
      <c r="B165" s="10" t="inlineStr">
        <is>
          <t xml:space="preserve">            for f in RULES_DIR.glob("*.txt"):</t>
        </is>
      </c>
    </row>
    <row r="166">
      <c r="A166" s="7" t="n">
        <v>163</v>
      </c>
      <c r="B166" s="8" t="inlineStr">
        <is>
          <t xml:space="preserve">                if datetime.fromtimestamp(f.stat().st_mtime) &lt; cutoff:</t>
        </is>
      </c>
    </row>
    <row r="167">
      <c r="A167" s="9" t="n">
        <v>164</v>
      </c>
      <c r="B167" s="10" t="inlineStr">
        <is>
          <t xml:space="preserve">                    f.unlink()</t>
        </is>
      </c>
    </row>
    <row r="168">
      <c r="A168" s="7" t="n">
        <v>165</v>
      </c>
      <c r="B168" s="8" t="inlineStr">
        <is>
          <t xml:space="preserve">        except Exception as _e: from utils.logging import log_warning; log_warning('self_learning_engine', str(_e)[:80])</t>
        </is>
      </c>
    </row>
    <row r="169">
      <c r="A169" s="9" t="n">
        <v>166</v>
      </c>
      <c r="B169" s="10" t="inlineStr"/>
    </row>
    <row r="170">
      <c r="A170" s="7" t="n">
        <v>167</v>
      </c>
      <c r="B170" s="8" t="inlineStr">
        <is>
          <t xml:space="preserve">    def start_scheduled(self, time_str: str = "02:00"):</t>
        </is>
      </c>
    </row>
    <row r="171">
      <c r="A171" s="9" t="n">
        <v>168</v>
      </c>
      <c r="B171" s="10" t="inlineStr">
        <is>
          <t xml:space="preserve">        """启动定时学习 (每天指定时间)"""</t>
        </is>
      </c>
    </row>
    <row r="172">
      <c r="A172" s="7" t="n">
        <v>169</v>
      </c>
      <c r="B172" s="8" t="inlineStr">
        <is>
          <t xml:space="preserve">        if self._running:</t>
        </is>
      </c>
    </row>
    <row r="173">
      <c r="A173" s="9" t="n">
        <v>170</v>
      </c>
      <c r="B173" s="10" t="inlineStr">
        <is>
          <t xml:space="preserve">            return</t>
        </is>
      </c>
    </row>
    <row r="174">
      <c r="A174" s="7" t="n">
        <v>171</v>
      </c>
      <c r="B174" s="8" t="inlineStr">
        <is>
          <t xml:space="preserve">        self._running = True</t>
        </is>
      </c>
    </row>
    <row r="175">
      <c r="A175" s="9" t="n">
        <v>172</v>
      </c>
      <c r="B175" s="10" t="inlineStr"/>
    </row>
    <row r="176">
      <c r="A176" s="7" t="n">
        <v>173</v>
      </c>
      <c r="B176" s="8" t="inlineStr">
        <is>
          <t xml:space="preserve">        def _run():</t>
        </is>
      </c>
    </row>
    <row r="177">
      <c r="A177" s="9" t="n">
        <v>174</v>
      </c>
      <c r="B177" s="10" t="inlineStr">
        <is>
          <t xml:space="preserve">            schedule.every().day.at(time_str).do(self.run_now)</t>
        </is>
      </c>
    </row>
    <row r="178">
      <c r="A178" s="7" t="n">
        <v>175</v>
      </c>
      <c r="B178" s="8" t="inlineStr">
        <is>
          <t xml:space="preserve">            while self._running:</t>
        </is>
      </c>
    </row>
    <row r="179">
      <c r="A179" s="9" t="n">
        <v>176</v>
      </c>
      <c r="B179" s="10" t="inlineStr">
        <is>
          <t xml:space="preserve">                schedule.run_pending()</t>
        </is>
      </c>
    </row>
    <row r="180">
      <c r="A180" s="7" t="n">
        <v>177</v>
      </c>
      <c r="B180" s="8" t="inlineStr">
        <is>
          <t xml:space="preserve">                time.sleep(60)</t>
        </is>
      </c>
    </row>
    <row r="181">
      <c r="A181" s="9" t="n">
        <v>178</v>
      </c>
      <c r="B181" s="10" t="inlineStr"/>
    </row>
    <row r="182">
      <c r="A182" s="7" t="n">
        <v>179</v>
      </c>
      <c r="B182" s="8" t="inlineStr">
        <is>
          <t xml:space="preserve">        self._thread = threading.Thread(target=_run, daemon=True)</t>
        </is>
      </c>
    </row>
    <row r="183">
      <c r="A183" s="9" t="n">
        <v>180</v>
      </c>
      <c r="B183" s="10" t="inlineStr">
        <is>
          <t xml:space="preserve">        self._thread.start()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 xml:space="preserve">    def stop_scheduled(self):</t>
        </is>
      </c>
    </row>
    <row r="186">
      <c r="A186" s="7" t="n">
        <v>183</v>
      </c>
      <c r="B186" s="8" t="inlineStr">
        <is>
          <t xml:space="preserve">        self._running = False</t>
        </is>
      </c>
    </row>
    <row r="187">
      <c r="A187" s="9" t="n">
        <v>184</v>
      </c>
      <c r="B187" s="10" t="inlineStr"/>
    </row>
    <row r="188">
      <c r="A188" s="7" t="n">
        <v>185</v>
      </c>
      <c r="B188" s="8" t="inlineStr">
        <is>
          <t xml:space="preserve">    def get_latest_report(self) -&gt; Optional[str]:</t>
        </is>
      </c>
    </row>
    <row r="189">
      <c r="A189" s="9" t="n">
        <v>186</v>
      </c>
      <c r="B189" s="10" t="inlineStr">
        <is>
          <t xml:space="preserve">        """获取最新学习报告"""</t>
        </is>
      </c>
    </row>
    <row r="190">
      <c r="A190" s="7" t="n">
        <v>187</v>
      </c>
      <c r="B190" s="8" t="inlineStr">
        <is>
          <t xml:space="preserve">        reports = sorted(RULES_DIR.glob("learning_report_*.txt"), key=lambda x: x.stat().st_mtime, reverse=True)</t>
        </is>
      </c>
    </row>
    <row r="191">
      <c r="A191" s="9" t="n">
        <v>188</v>
      </c>
      <c r="B191" s="10" t="inlineStr">
        <is>
          <t xml:space="preserve">        if reports:</t>
        </is>
      </c>
    </row>
    <row r="192">
      <c r="A192" s="7" t="n">
        <v>189</v>
      </c>
      <c r="B192" s="8" t="inlineStr">
        <is>
          <t xml:space="preserve">            return reports[0].read_text(encoding="utf-8")</t>
        </is>
      </c>
    </row>
    <row r="193">
      <c r="A193" s="9" t="n">
        <v>190</v>
      </c>
      <c r="B193" s="10" t="inlineStr">
        <is>
          <t xml:space="preserve">        return None</t>
        </is>
      </c>
    </row>
    <row r="194">
      <c r="A194" s="7" t="n">
        <v>191</v>
      </c>
      <c r="B194" s="8" t="inlineStr"/>
    </row>
    <row r="195">
      <c r="A195" s="9" t="n">
        <v>192</v>
      </c>
      <c r="B195" s="10" t="inlineStr">
        <is>
          <t xml:space="preserve">    def get_latest_rules(self, category: str = None) -&gt; List[Dict]:</t>
        </is>
      </c>
    </row>
    <row r="196">
      <c r="A196" s="7" t="n">
        <v>193</v>
      </c>
      <c r="B196" s="8" t="inlineStr">
        <is>
          <t xml:space="preserve">        """获取最新优化规则"""</t>
        </is>
      </c>
    </row>
    <row r="197">
      <c r="A197" s="9" t="n">
        <v>194</v>
      </c>
      <c r="B197" s="10" t="inlineStr">
        <is>
          <t xml:space="preserve">        from core.usage_recorder import get_recorder</t>
        </is>
      </c>
    </row>
    <row r="198">
      <c r="A198" s="7" t="n">
        <v>195</v>
      </c>
      <c r="B198" s="8" t="inlineStr">
        <is>
          <t xml:space="preserve">        rules = get_recorder().get_learning_rules()</t>
        </is>
      </c>
    </row>
    <row r="199">
      <c r="A199" s="9" t="n">
        <v>196</v>
      </c>
      <c r="B199" s="10" t="inlineStr">
        <is>
          <t xml:space="preserve">        if category:</t>
        </is>
      </c>
    </row>
    <row r="200">
      <c r="A200" s="7" t="n">
        <v>197</v>
      </c>
      <c r="B200" s="8" t="inlineStr">
        <is>
          <t xml:space="preserve">            rules = [r for r in rules if r["category"] == category]</t>
        </is>
      </c>
    </row>
    <row r="201">
      <c r="A201" s="9" t="n">
        <v>198</v>
      </c>
      <c r="B201" s="10" t="inlineStr">
        <is>
          <t xml:space="preserve">        return rules[:20]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/>
    </row>
    <row r="204">
      <c r="A204" s="7" t="n">
        <v>201</v>
      </c>
      <c r="B204" s="8" t="inlineStr">
        <is>
          <t># 全局单例</t>
        </is>
      </c>
    </row>
    <row r="205">
      <c r="A205" s="9" t="n">
        <v>202</v>
      </c>
      <c r="B205" s="10" t="inlineStr">
        <is>
          <t>_engine: Optional[SelfLearningEngine] = None</t>
        </is>
      </c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>_engine_lock = __import__('threading').Lock()</t>
        </is>
      </c>
    </row>
    <row r="208">
      <c r="A208" s="7" t="n">
        <v>205</v>
      </c>
      <c r="B208" s="8" t="inlineStr"/>
    </row>
    <row r="209">
      <c r="A209" s="9" t="n">
        <v>206</v>
      </c>
      <c r="B209" s="10" t="inlineStr">
        <is>
          <t>def get_learning_engine() -&gt; SelfLearningEngine:</t>
        </is>
      </c>
    </row>
    <row r="210">
      <c r="A210" s="7" t="n">
        <v>207</v>
      </c>
      <c r="B210" s="8" t="inlineStr">
        <is>
          <t xml:space="preserve">    global _engine</t>
        </is>
      </c>
    </row>
    <row r="211">
      <c r="A211" s="9" t="n">
        <v>208</v>
      </c>
      <c r="B211" s="10" t="inlineStr">
        <is>
          <t xml:space="preserve">    if _engine is None:</t>
        </is>
      </c>
    </row>
    <row r="212">
      <c r="A212" s="7" t="n">
        <v>209</v>
      </c>
      <c r="B212" s="8" t="inlineStr">
        <is>
          <t xml:space="preserve">        with _engine_lock:</t>
        </is>
      </c>
    </row>
    <row r="213">
      <c r="A213" s="9" t="n">
        <v>210</v>
      </c>
      <c r="B213" s="10" t="inlineStr">
        <is>
          <t xml:space="preserve">            if _engine is None:</t>
        </is>
      </c>
    </row>
    <row r="214">
      <c r="A214" s="7" t="n">
        <v>211</v>
      </c>
      <c r="B214" s="8" t="inlineStr">
        <is>
          <t xml:space="preserve">                _engine = SelfLearningEngine()</t>
        </is>
      </c>
    </row>
    <row r="215">
      <c r="A215" s="9" t="n">
        <v>212</v>
      </c>
      <c r="B215" s="10" t="inlineStr">
        <is>
          <t xml:space="preserve">    return _engine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core\smart_analyzer.py</t>
        </is>
      </c>
      <c r="C1" s="5" t="inlineStr">
        <is>
          <t>行数: 521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v11.3 — 智能视频分析调度器（稳定版）</t>
        </is>
      </c>
    </row>
    <row r="6">
      <c r="A6" s="7" t="n">
        <v>3</v>
      </c>
      <c r="B6" s="8">
        <f>================================================</f>
        <v/>
      </c>
    </row>
    <row r="7">
      <c r="A7" s="9" t="n">
        <v>4</v>
      </c>
      <c r="B7" s="10" t="inlineStr">
        <is>
          <t>对视频进行全自动帧级分析：</t>
        </is>
      </c>
    </row>
    <row r="8">
      <c r="A8" s="7" t="n">
        <v>5</v>
      </c>
      <c r="B8" s="8" t="inlineStr">
        <is>
          <t>1. 每秒抽取4帧 (可配置)</t>
        </is>
      </c>
    </row>
    <row r="9">
      <c r="A9" s="9" t="n">
        <v>6</v>
      </c>
      <c r="B9" s="10" t="inlineStr">
        <is>
          <t>2. 使用Qwen3-VL-4B检测岛台画面</t>
        </is>
      </c>
    </row>
    <row r="10">
      <c r="A10" s="7" t="n">
        <v>7</v>
      </c>
      <c r="B10" s="8" t="inlineStr">
        <is>
          <t>3. 检测到岛台后写入 video_frames 表</t>
        </is>
      </c>
    </row>
    <row r="11">
      <c r="A11" s="9" t="n">
        <v>8</v>
      </c>
      <c r="B11" s="10" t="inlineStr">
        <is>
          <t>4. 串行处理（一次一个视频），5分钟超时保护</t>
        </is>
      </c>
    </row>
    <row r="12">
      <c r="A12" s="7" t="n">
        <v>9</v>
      </c>
      <c r="B12" s="8" t="inlineStr">
        <is>
          <t>5. 每视频后 gc+torch 内存回收</t>
        </is>
      </c>
    </row>
    <row r="13">
      <c r="A13" s="9" t="n">
        <v>10</v>
      </c>
      <c r="B13" s="10" t="inlineStr">
        <is>
          <t>"""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import os</t>
        </is>
      </c>
    </row>
    <row r="16">
      <c r="A16" s="7" t="n">
        <v>13</v>
      </c>
      <c r="B16" s="8" t="inlineStr">
        <is>
          <t>import re</t>
        </is>
      </c>
    </row>
    <row r="17">
      <c r="A17" s="9" t="n">
        <v>14</v>
      </c>
      <c r="B17" s="10" t="inlineStr">
        <is>
          <t>import gc</t>
        </is>
      </c>
    </row>
    <row r="18">
      <c r="A18" s="7" t="n">
        <v>15</v>
      </c>
      <c r="B18" s="8" t="inlineStr">
        <is>
          <t>import json</t>
        </is>
      </c>
    </row>
    <row r="19">
      <c r="A19" s="9" t="n">
        <v>16</v>
      </c>
      <c r="B19" s="10" t="inlineStr">
        <is>
          <t>import time</t>
        </is>
      </c>
    </row>
    <row r="20">
      <c r="A20" s="7" t="n">
        <v>17</v>
      </c>
      <c r="B20" s="8" t="inlineStr">
        <is>
          <t>import hashlib</t>
        </is>
      </c>
    </row>
    <row r="21">
      <c r="A21" s="9" t="n">
        <v>18</v>
      </c>
      <c r="B21" s="10" t="inlineStr">
        <is>
          <t>import threading</t>
        </is>
      </c>
    </row>
    <row r="22">
      <c r="A22" s="7" t="n">
        <v>19</v>
      </c>
      <c r="B22" s="8" t="inlineStr">
        <is>
          <t>import tempfile</t>
        </is>
      </c>
    </row>
    <row r="23">
      <c r="A23" s="9" t="n">
        <v>20</v>
      </c>
      <c r="B23" s="10" t="inlineStr">
        <is>
          <t>import shutil</t>
        </is>
      </c>
    </row>
    <row r="24">
      <c r="A24" s="7" t="n">
        <v>21</v>
      </c>
      <c r="B24" s="8" t="inlineStr">
        <is>
          <t>from pathlib import Path</t>
        </is>
      </c>
    </row>
    <row r="25">
      <c r="A25" s="9" t="n">
        <v>22</v>
      </c>
      <c r="B25" s="10" t="inlineStr">
        <is>
          <t>from typing import List, Optional, Callable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_PROJ_ROOT = Path(__file__).parent.parent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># 岛台相关关键词</t>
        </is>
      </c>
    </row>
    <row r="30">
      <c r="A30" s="7" t="n">
        <v>27</v>
      </c>
      <c r="B30" s="8" t="inlineStr">
        <is>
          <t>ISLAND_KEYWORDS = [</t>
        </is>
      </c>
    </row>
    <row r="31">
      <c r="A31" s="9" t="n">
        <v>28</v>
      </c>
      <c r="B31" s="10" t="inlineStr">
        <is>
          <t xml:space="preserve">    "岛台", "中岛", "半岛", "厨房岛台", "岛台台面", "岩板台面",</t>
        </is>
      </c>
    </row>
    <row r="32">
      <c r="A32" s="7" t="n">
        <v>29</v>
      </c>
      <c r="B32" s="8" t="inlineStr">
        <is>
          <t xml:space="preserve">    "岛头", "餐边柜", "厨房中岛", "台下盆", "台面",</t>
        </is>
      </c>
    </row>
    <row r="33">
      <c r="A33" s="9" t="n">
        <v>30</v>
      </c>
      <c r="B33" s="10" t="inlineStr">
        <is>
          <t>]</t>
        </is>
      </c>
    </row>
    <row r="34">
      <c r="A34" s="7" t="n">
        <v>31</v>
      </c>
      <c r="B34" s="8" t="inlineStr">
        <is>
          <t>_ISLAND_PATTERN = re.compile("|".join(re.escape(kw) for kw in ISLAND_KEYWORDS))</t>
        </is>
      </c>
    </row>
    <row r="35">
      <c r="A35" s="9" t="n">
        <v>32</v>
      </c>
      <c r="B35" s="10" t="inlineStr"/>
    </row>
    <row r="36">
      <c r="A36" s="7" t="n">
        <v>33</v>
      </c>
      <c r="B36" s="8" t="inlineStr">
        <is>
          <t># 跳过目录名（不区分大小写）</t>
        </is>
      </c>
    </row>
    <row r="37">
      <c r="A37" s="9" t="n">
        <v>34</v>
      </c>
      <c r="B37" s="10" t="inlineStr">
        <is>
          <t>SKIP_DIRS = {</t>
        </is>
      </c>
    </row>
    <row r="38">
      <c r="A38" s="7" t="n">
        <v>35</v>
      </c>
      <c r="B38" s="8" t="inlineStr">
        <is>
          <t xml:space="preserve">    "$recycle.bin", "system volume information", "windows", "program files",</t>
        </is>
      </c>
    </row>
    <row r="39">
      <c r="A39" s="9" t="n">
        <v>36</v>
      </c>
      <c r="B39" s="10" t="inlineStr">
        <is>
          <t xml:space="preserve">    "program files (x86)", "programdata", "appdata", "temp", "tmp", "__pycache__",</t>
        </is>
      </c>
    </row>
    <row r="40">
      <c r="A40" s="7" t="n">
        <v>37</v>
      </c>
      <c r="B40" s="8" t="inlineStr">
        <is>
          <t xml:space="preserve">    ".git", "node_modules",</t>
        </is>
      </c>
    </row>
    <row r="41">
      <c r="A41" s="9" t="n">
        <v>38</v>
      </c>
      <c r="B41" s="10" t="inlineStr">
        <is>
          <t>}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># 支持的视频扩展名</t>
        </is>
      </c>
    </row>
    <row r="44">
      <c r="A44" s="7" t="n">
        <v>41</v>
      </c>
      <c r="B44" s="8" t="inlineStr">
        <is>
          <t>VIDEO_EXTS = {".mp4", ".mov", ".avi", ".mkv", ".webm", ".flv", ".wmv"}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/>
    </row>
    <row r="47">
      <c r="A47" s="9" t="n">
        <v>44</v>
      </c>
      <c r="B47" s="10" t="inlineStr">
        <is>
          <t>def _is_island_related(analysis_result: dict) -&gt; bool:</t>
        </is>
      </c>
    </row>
    <row r="48">
      <c r="A48" s="7" t="n">
        <v>45</v>
      </c>
      <c r="B48" s="8" t="inlineStr">
        <is>
          <t xml:space="preserve">    caption = analysis_result.get("caption", "")</t>
        </is>
      </c>
    </row>
    <row r="49">
      <c r="A49" s="9" t="n">
        <v>46</v>
      </c>
      <c r="B49" s="10" t="inlineStr">
        <is>
          <t xml:space="preserve">    objects = " ".join(analysis_result.get("objects", []))</t>
        </is>
      </c>
    </row>
    <row r="50">
      <c r="A50" s="7" t="n">
        <v>47</v>
      </c>
      <c r="B50" s="8" t="inlineStr">
        <is>
          <t xml:space="preserve">    return bool(_ISLAND_PATTERN.search(caption + " " + objects))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/>
    </row>
    <row r="53">
      <c r="A53" s="9" t="n">
        <v>50</v>
      </c>
      <c r="B53" s="10" t="inlineStr">
        <is>
          <t>def _collect_videos(root_dirs: List[str], max_depth: int = 5, seen_dirs: set = None) -&gt; List[str]:</t>
        </is>
      </c>
    </row>
    <row r="54">
      <c r="A54" s="7" t="n">
        <v>51</v>
      </c>
      <c r="B54" s="8" t="inlineStr">
        <is>
          <t xml:space="preserve">    """递归收集指定目录下的所有视频文件，跳过系统目录，限制深度，去重。"""</t>
        </is>
      </c>
    </row>
    <row r="55">
      <c r="A55" s="9" t="n">
        <v>52</v>
      </c>
      <c r="B55" s="10" t="inlineStr">
        <is>
          <t xml:space="preserve">    if seen_dirs is None:</t>
        </is>
      </c>
    </row>
    <row r="56">
      <c r="A56" s="7" t="n">
        <v>53</v>
      </c>
      <c r="B56" s="8" t="inlineStr">
        <is>
          <t xml:space="preserve">        seen_dirs = set()</t>
        </is>
      </c>
    </row>
    <row r="57">
      <c r="A57" s="9" t="n">
        <v>54</v>
      </c>
      <c r="B57" s="10" t="inlineStr">
        <is>
          <t xml:space="preserve">    videos = []</t>
        </is>
      </c>
    </row>
    <row r="58">
      <c r="A58" s="7" t="n">
        <v>55</v>
      </c>
      <c r="B58" s="8" t="inlineStr">
        <is>
          <t xml:space="preserve">    for root_dir in root_dirs:</t>
        </is>
      </c>
    </row>
    <row r="59">
      <c r="A59" s="9" t="n">
        <v>56</v>
      </c>
      <c r="B59" s="10" t="inlineStr">
        <is>
          <t xml:space="preserve">        rd = os.path.abspath(root_dir)</t>
        </is>
      </c>
    </row>
    <row r="60">
      <c r="A60" s="7" t="n">
        <v>57</v>
      </c>
      <c r="B60" s="8" t="inlineStr">
        <is>
          <t xml:space="preserve">        if rd in seen_dirs:</t>
        </is>
      </c>
    </row>
    <row r="61">
      <c r="A61" s="9" t="n">
        <v>58</v>
      </c>
      <c r="B61" s="10" t="inlineStr">
        <is>
          <t xml:space="preserve">            continue</t>
        </is>
      </c>
    </row>
    <row r="62">
      <c r="A62" s="7" t="n">
        <v>59</v>
      </c>
      <c r="B62" s="8" t="inlineStr">
        <is>
          <t xml:space="preserve">        seen_dirs.add(rd)</t>
        </is>
      </c>
    </row>
    <row r="63">
      <c r="A63" s="9" t="n">
        <v>60</v>
      </c>
      <c r="B63" s="10" t="inlineStr">
        <is>
          <t xml:space="preserve">        if not os.path.isdir(rd):</t>
        </is>
      </c>
    </row>
    <row r="64">
      <c r="A64" s="7" t="n">
        <v>61</v>
      </c>
      <c r="B64" s="8" t="inlineStr">
        <is>
          <t xml:space="preserve">            continue</t>
        </is>
      </c>
    </row>
    <row r="65">
      <c r="A65" s="9" t="n">
        <v>62</v>
      </c>
      <c r="B65" s="10" t="inlineStr">
        <is>
          <t xml:space="preserve">        if max_depth &lt;= 0:</t>
        </is>
      </c>
    </row>
    <row r="66">
      <c r="A66" s="7" t="n">
        <v>63</v>
      </c>
      <c r="B66" s="8" t="inlineStr">
        <is>
          <t xml:space="preserve">            continue</t>
        </is>
      </c>
    </row>
    <row r="67">
      <c r="A67" s="9" t="n">
        <v>64</v>
      </c>
      <c r="B67" s="10" t="inlineStr">
        <is>
          <t xml:space="preserve">        try:</t>
        </is>
      </c>
    </row>
    <row r="68">
      <c r="A68" s="7" t="n">
        <v>65</v>
      </c>
      <c r="B68" s="8" t="inlineStr">
        <is>
          <t xml:space="preserve">            for entry in os.scandir(rd):</t>
        </is>
      </c>
    </row>
    <row r="69">
      <c r="A69" s="9" t="n">
        <v>66</v>
      </c>
      <c r="B69" s="10" t="inlineStr">
        <is>
          <t xml:space="preserve">                try:</t>
        </is>
      </c>
    </row>
    <row r="70">
      <c r="A70" s="7" t="n">
        <v>67</v>
      </c>
      <c r="B70" s="8" t="inlineStr">
        <is>
          <t xml:space="preserve">                    if entry.is_dir(follow_symlinks=False):</t>
        </is>
      </c>
    </row>
    <row r="71">
      <c r="A71" s="9" t="n">
        <v>68</v>
      </c>
      <c r="B71" s="10" t="inlineStr">
        <is>
          <t xml:space="preserve">                        if entry.name.lower() in SKIP_DIRS:</t>
        </is>
      </c>
    </row>
    <row r="72">
      <c r="A72" s="7" t="n">
        <v>69</v>
      </c>
      <c r="B72" s="8" t="inlineStr">
        <is>
          <t xml:space="preserve">                            continue</t>
        </is>
      </c>
    </row>
    <row r="73">
      <c r="A73" s="9" t="n">
        <v>70</v>
      </c>
      <c r="B73" s="10" t="inlineStr">
        <is>
          <t xml:space="preserve">                        if entry.name.startswith("."):</t>
        </is>
      </c>
    </row>
    <row r="74">
      <c r="A74" s="7" t="n">
        <v>71</v>
      </c>
      <c r="B74" s="8" t="inlineStr">
        <is>
          <t xml:space="preserve">                            continue</t>
        </is>
      </c>
    </row>
    <row r="75">
      <c r="A75" s="9" t="n">
        <v>72</v>
      </c>
      <c r="B75" s="10" t="inlineStr">
        <is>
          <t xml:space="preserve">                        videos.extend(_collect_videos([entry.path], max_depth - 1, seen_dirs))</t>
        </is>
      </c>
    </row>
    <row r="76">
      <c r="A76" s="7" t="n">
        <v>73</v>
      </c>
      <c r="B76" s="8" t="inlineStr">
        <is>
          <t xml:space="preserve">                    elif entry.is_file(follow_symlinks=False):</t>
        </is>
      </c>
    </row>
    <row r="77">
      <c r="A77" s="9" t="n">
        <v>74</v>
      </c>
      <c r="B77" s="10" t="inlineStr">
        <is>
          <t xml:space="preserve">                        ext = os.path.splitext(entry.name)[1].lower()</t>
        </is>
      </c>
    </row>
    <row r="78">
      <c r="A78" s="7" t="n">
        <v>75</v>
      </c>
      <c r="B78" s="8" t="inlineStr">
        <is>
          <t xml:space="preserve">                        if ext in VIDEO_EXTS:</t>
        </is>
      </c>
    </row>
    <row r="79">
      <c r="A79" s="9" t="n">
        <v>76</v>
      </c>
      <c r="B79" s="10" t="inlineStr">
        <is>
          <t xml:space="preserve">                            videos.append(entry.path)</t>
        </is>
      </c>
    </row>
    <row r="80">
      <c r="A80" s="7" t="n">
        <v>77</v>
      </c>
      <c r="B80" s="8" t="inlineStr">
        <is>
          <t xml:space="preserve">                except (PermissionError, OSError):</t>
        </is>
      </c>
    </row>
    <row r="81">
      <c r="A81" s="9" t="n">
        <v>78</v>
      </c>
      <c r="B81" s="10" t="inlineStr">
        <is>
          <t xml:space="preserve">                    continue</t>
        </is>
      </c>
    </row>
    <row r="82">
      <c r="A82" s="7" t="n">
        <v>79</v>
      </c>
      <c r="B82" s="8" t="inlineStr">
        <is>
          <t xml:space="preserve">        except (PermissionError, OSError):</t>
        </is>
      </c>
    </row>
    <row r="83">
      <c r="A83" s="9" t="n">
        <v>80</v>
      </c>
      <c r="B83" s="10" t="inlineStr">
        <is>
          <t xml:space="preserve">            continue</t>
        </is>
      </c>
    </row>
    <row r="84">
      <c r="A84" s="7" t="n">
        <v>81</v>
      </c>
      <c r="B84" s="8" t="inlineStr">
        <is>
          <t xml:space="preserve">    return videos</t>
        </is>
      </c>
    </row>
    <row r="85">
      <c r="A85" s="9" t="n">
        <v>82</v>
      </c>
      <c r="B85" s="10" t="inlineStr"/>
    </row>
    <row r="86">
      <c r="A86" s="7" t="n">
        <v>83</v>
      </c>
      <c r="B86" s="8" t="inlineStr"/>
    </row>
    <row r="87">
      <c r="A87" s="9" t="n">
        <v>84</v>
      </c>
      <c r="B87" s="10" t="inlineStr">
        <is>
          <t>class SmartVideoAnalyzer:</t>
        </is>
      </c>
    </row>
    <row r="88">
      <c r="A88" s="7" t="n">
        <v>85</v>
      </c>
      <c r="B88" s="8" t="inlineStr">
        <is>
          <t xml:space="preserve">    """智能视频分析调度器 — v11.3 串行稳定版"""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def __init__(self):</t>
        </is>
      </c>
    </row>
    <row r="91">
      <c r="A91" s="9" t="n">
        <v>88</v>
      </c>
      <c r="B91" s="10" t="inlineStr">
        <is>
          <t xml:space="preserve">        self._vision_model = None</t>
        </is>
      </c>
    </row>
    <row r="92">
      <c r="A92" s="7" t="n">
        <v>89</v>
      </c>
      <c r="B92" s="8" t="inlineStr">
        <is>
          <t xml:space="preserve">        self._frame_extractor = None</t>
        </is>
      </c>
    </row>
    <row r="93">
      <c r="A93" s="9" t="n">
        <v>90</v>
      </c>
      <c r="B93" s="10" t="inlineStr">
        <is>
          <t xml:space="preserve">        self._db = None</t>
        </is>
      </c>
    </row>
    <row r="94">
      <c r="A94" s="7" t="n">
        <v>91</v>
      </c>
      <c r="B94" s="8" t="inlineStr">
        <is>
          <t xml:space="preserve">        self._kb = None</t>
        </is>
      </c>
    </row>
    <row r="95">
      <c r="A95" s="9" t="n">
        <v>92</v>
      </c>
      <c r="B95" s="10" t="inlineStr">
        <is>
          <t xml:space="preserve">        self._lock = threading.Lock()</t>
        </is>
      </c>
    </row>
    <row r="96">
      <c r="A96" s="7" t="n">
        <v>93</v>
      </c>
      <c r="B96" s="8" t="inlineStr">
        <is>
          <t xml:space="preserve">        self._cancel_event = threading.Event()</t>
        </is>
      </c>
    </row>
    <row r="97">
      <c r="A97" s="9" t="n">
        <v>94</v>
      </c>
      <c r="B97" s="10" t="inlineStr">
        <is>
          <t xml:space="preserve">        self._pause_event = threading.Event()</t>
        </is>
      </c>
    </row>
    <row r="98">
      <c r="A98" s="7" t="n">
        <v>95</v>
      </c>
      <c r="B98" s="8" t="inlineStr">
        <is>
          <t xml:space="preserve">        self._pause_event.set()  # 初始不暂停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 xml:space="preserve">        # 统计</t>
        </is>
      </c>
    </row>
    <row r="101">
      <c r="A101" s="9" t="n">
        <v>98</v>
      </c>
      <c r="B101" s="10" t="inlineStr">
        <is>
          <t xml:space="preserve">        self.total_frames = 0</t>
        </is>
      </c>
    </row>
    <row r="102">
      <c r="A102" s="7" t="n">
        <v>99</v>
      </c>
      <c r="B102" s="8" t="inlineStr">
        <is>
          <t xml:space="preserve">        self.island_frames = 0</t>
        </is>
      </c>
    </row>
    <row r="103">
      <c r="A103" s="9" t="n">
        <v>100</v>
      </c>
      <c r="B103" s="10" t="inlineStr">
        <is>
          <t xml:space="preserve">        self.saved_count = 0</t>
        </is>
      </c>
    </row>
    <row r="104">
      <c r="A104" s="7" t="n">
        <v>101</v>
      </c>
      <c r="B104" s="8" t="inlineStr">
        <is>
          <t xml:space="preserve">        self.videos_scanned = 0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 xml:space="preserve">    def cancel(self):</t>
        </is>
      </c>
    </row>
    <row r="107">
      <c r="A107" s="9" t="n">
        <v>104</v>
      </c>
      <c r="B107" s="10" t="inlineStr">
        <is>
          <t xml:space="preserve">        self._cancel_event.set()</t>
        </is>
      </c>
    </row>
    <row r="108">
      <c r="A108" s="7" t="n">
        <v>105</v>
      </c>
      <c r="B108" s="8" t="inlineStr">
        <is>
          <t xml:space="preserve">        if not self._pause_event.is_set():</t>
        </is>
      </c>
    </row>
    <row r="109">
      <c r="A109" s="9" t="n">
        <v>106</v>
      </c>
      <c r="B109" s="10" t="inlineStr">
        <is>
          <t xml:space="preserve">            self._pause_event.set()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 xml:space="preserve">    def reset_cancel(self):</t>
        </is>
      </c>
    </row>
    <row r="112">
      <c r="A112" s="7" t="n">
        <v>109</v>
      </c>
      <c r="B112" s="8" t="inlineStr">
        <is>
          <t xml:space="preserve">        self._cancel_event.clear()</t>
        </is>
      </c>
    </row>
    <row r="113">
      <c r="A113" s="9" t="n">
        <v>110</v>
      </c>
      <c r="B113" s="10" t="inlineStr">
        <is>
          <t xml:space="preserve">        self._pause_event.set()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>
        <is>
          <t xml:space="preserve">    def pause(self):</t>
        </is>
      </c>
    </row>
    <row r="116">
      <c r="A116" s="7" t="n">
        <v>113</v>
      </c>
      <c r="B116" s="8" t="inlineStr">
        <is>
          <t xml:space="preserve">        self._pause_event.clear()</t>
        </is>
      </c>
    </row>
    <row r="117">
      <c r="A117" s="9" t="n">
        <v>114</v>
      </c>
      <c r="B117" s="10" t="inlineStr"/>
    </row>
    <row r="118">
      <c r="A118" s="7" t="n">
        <v>115</v>
      </c>
      <c r="B118" s="8" t="inlineStr">
        <is>
          <t xml:space="preserve">    def resume(self):</t>
        </is>
      </c>
    </row>
    <row r="119">
      <c r="A119" s="9" t="n">
        <v>116</v>
      </c>
      <c r="B119" s="10" t="inlineStr">
        <is>
          <t xml:space="preserve">        self._pause_event.set()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>
        <is>
          <t xml:space="preserve">    def _lazy_load_vision(self):</t>
        </is>
      </c>
    </row>
    <row r="122">
      <c r="A122" s="7" t="n">
        <v>119</v>
      </c>
      <c r="B122" s="8" t="inlineStr">
        <is>
          <t xml:space="preserve">        if self._vision_model is None:</t>
        </is>
      </c>
    </row>
    <row r="123">
      <c r="A123" s="9" t="n">
        <v>120</v>
      </c>
      <c r="B123" s="10" t="inlineStr">
        <is>
          <t xml:space="preserve">            from core.vision_unified import VisionModel</t>
        </is>
      </c>
    </row>
    <row r="124">
      <c r="A124" s="7" t="n">
        <v>121</v>
      </c>
      <c r="B124" s="8" t="inlineStr">
        <is>
          <t xml:space="preserve">            self._vision_model = VisionModel()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 xml:space="preserve">    def _lazy_load_frame_extractor(self):</t>
        </is>
      </c>
    </row>
    <row r="127">
      <c r="A127" s="9" t="n">
        <v>124</v>
      </c>
      <c r="B127" s="10" t="inlineStr">
        <is>
          <t xml:space="preserve">        if self._frame_extractor is None:</t>
        </is>
      </c>
    </row>
    <row r="128">
      <c r="A128" s="7" t="n">
        <v>125</v>
      </c>
      <c r="B128" s="8" t="inlineStr">
        <is>
          <t xml:space="preserve">            from core.frame_extractor import FrameExtractor</t>
        </is>
      </c>
    </row>
    <row r="129">
      <c r="A129" s="9" t="n">
        <v>126</v>
      </c>
      <c r="B129" s="10" t="inlineStr">
        <is>
          <t xml:space="preserve">            self._frame_extractor = FrameExtractor()</t>
        </is>
      </c>
    </row>
    <row r="130">
      <c r="A130" s="7" t="n">
        <v>127</v>
      </c>
      <c r="B130" s="8" t="inlineStr"/>
    </row>
    <row r="131">
      <c r="A131" s="9" t="n">
        <v>128</v>
      </c>
      <c r="B131" s="10" t="inlineStr">
        <is>
          <t xml:space="preserve">    def _lazy_load_db(self):</t>
        </is>
      </c>
    </row>
    <row r="132">
      <c r="A132" s="7" t="n">
        <v>129</v>
      </c>
      <c r="B132" s="8" t="inlineStr">
        <is>
          <t xml:space="preserve">        if self._db is None:</t>
        </is>
      </c>
    </row>
    <row r="133">
      <c r="A133" s="9" t="n">
        <v>130</v>
      </c>
      <c r="B133" s="10" t="inlineStr">
        <is>
          <t xml:space="preserve">            from core.database import db</t>
        </is>
      </c>
    </row>
    <row r="134">
      <c r="A134" s="7" t="n">
        <v>131</v>
      </c>
      <c r="B134" s="8" t="inlineStr">
        <is>
          <t xml:space="preserve">            self._db = db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 xml:space="preserve">    def _lazy_load_kb(self):</t>
        </is>
      </c>
    </row>
    <row r="137">
      <c r="A137" s="9" t="n">
        <v>134</v>
      </c>
      <c r="B137" s="10" t="inlineStr">
        <is>
          <t xml:space="preserve">        if self._kb is None:</t>
        </is>
      </c>
    </row>
    <row r="138">
      <c r="A138" s="7" t="n">
        <v>135</v>
      </c>
      <c r="B138" s="8" t="inlineStr">
        <is>
          <t xml:space="preserve">            from utils.knowledge import KnowledgeBridge</t>
        </is>
      </c>
    </row>
    <row r="139">
      <c r="A139" s="9" t="n">
        <v>136</v>
      </c>
      <c r="B139" s="10" t="inlineStr">
        <is>
          <t xml:space="preserve">            self._kb = KnowledgeBridge()</t>
        </is>
      </c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 xml:space="preserve">    def _reclaim_memory(self):</t>
        </is>
      </c>
    </row>
    <row r="142">
      <c r="A142" s="7" t="n">
        <v>139</v>
      </c>
      <c r="B142" s="8" t="inlineStr">
        <is>
          <t xml:space="preserve">        """回收GPU和Python内存"""</t>
        </is>
      </c>
    </row>
    <row r="143">
      <c r="A143" s="9" t="n">
        <v>140</v>
      </c>
      <c r="B143" s="10" t="inlineStr">
        <is>
          <t xml:space="preserve">        gc.collect()</t>
        </is>
      </c>
    </row>
    <row r="144">
      <c r="A144" s="7" t="n">
        <v>141</v>
      </c>
      <c r="B144" s="8" t="inlineStr">
        <is>
          <t xml:space="preserve">        try:</t>
        </is>
      </c>
    </row>
    <row r="145">
      <c r="A145" s="9" t="n">
        <v>142</v>
      </c>
      <c r="B145" s="10" t="inlineStr">
        <is>
          <t xml:space="preserve">            import torch</t>
        </is>
      </c>
    </row>
    <row r="146">
      <c r="A146" s="7" t="n">
        <v>143</v>
      </c>
      <c r="B146" s="8" t="inlineStr">
        <is>
          <t xml:space="preserve">            if torch.cuda.is_available():</t>
        </is>
      </c>
    </row>
    <row r="147">
      <c r="A147" s="9" t="n">
        <v>144</v>
      </c>
      <c r="B147" s="10" t="inlineStr">
        <is>
          <t xml:space="preserve">                torch.cuda.empty_cache()</t>
        </is>
      </c>
    </row>
    <row r="148">
      <c r="A148" s="7" t="n">
        <v>145</v>
      </c>
      <c r="B148" s="8" t="inlineStr">
        <is>
          <t xml:space="preserve">        except Exception:</t>
        </is>
      </c>
    </row>
    <row r="149">
      <c r="A149" s="9" t="n">
        <v>146</v>
      </c>
      <c r="B149" s="10" t="inlineStr">
        <is>
          <t xml:space="preserve">            pass</t>
        </is>
      </c>
    </row>
    <row r="150">
      <c r="A150" s="7" t="n">
        <v>147</v>
      </c>
      <c r="B150" s="8" t="inlineStr"/>
    </row>
    <row r="151">
      <c r="A151" s="9" t="n">
        <v>148</v>
      </c>
      <c r="B151" s="10" t="inlineStr">
        <is>
          <t xml:space="preserve">    # ═══════════════════════════════════════════════════</t>
        </is>
      </c>
    </row>
    <row r="152">
      <c r="A152" s="7" t="n">
        <v>149</v>
      </c>
      <c r="B152" s="8" t="inlineStr">
        <is>
          <t xml:space="preserve">    # 串行批量扫描（稳定核心）</t>
        </is>
      </c>
    </row>
    <row r="153">
      <c r="A153" s="9" t="n">
        <v>150</v>
      </c>
      <c r="B153" s="10" t="inlineStr">
        <is>
          <t xml:space="preserve">    # ═══════════════════════════════════════════════════</t>
        </is>
      </c>
    </row>
    <row r="154">
      <c r="A154" s="7" t="n">
        <v>151</v>
      </c>
      <c r="B154" s="8" t="inlineStr"/>
    </row>
    <row r="155">
      <c r="A155" s="9" t="n">
        <v>152</v>
      </c>
      <c r="B155" s="10" t="inlineStr">
        <is>
          <t xml:space="preserve">    def scan_videos(</t>
        </is>
      </c>
    </row>
    <row r="156">
      <c r="A156" s="7" t="n">
        <v>153</v>
      </c>
      <c r="B156" s="8" t="inlineStr">
        <is>
          <t xml:space="preserve">        self,</t>
        </is>
      </c>
    </row>
    <row r="157">
      <c r="A157" s="9" t="n">
        <v>154</v>
      </c>
      <c r="B157" s="10" t="inlineStr">
        <is>
          <t xml:space="preserve">        root_dirs: List[str],</t>
        </is>
      </c>
    </row>
    <row r="158">
      <c r="A158" s="7" t="n">
        <v>155</v>
      </c>
      <c r="B158" s="8" t="inlineStr">
        <is>
          <t xml:space="preserve">        frame_interval: float = 0.25,</t>
        </is>
      </c>
    </row>
    <row r="159">
      <c r="A159" s="9" t="n">
        <v>156</v>
      </c>
      <c r="B159" s="10" t="inlineStr">
        <is>
          <t xml:space="preserve">        timeout_per_video: float = 300.0,</t>
        </is>
      </c>
    </row>
    <row r="160">
      <c r="A160" s="7" t="n">
        <v>157</v>
      </c>
      <c r="B160" s="8" t="inlineStr">
        <is>
          <t xml:space="preserve">        on_video_start: Callable = None,</t>
        </is>
      </c>
    </row>
    <row r="161">
      <c r="A161" s="9" t="n">
        <v>158</v>
      </c>
      <c r="B161" s="10" t="inlineStr">
        <is>
          <t xml:space="preserve">        on_video_done: Callable = None,</t>
        </is>
      </c>
    </row>
    <row r="162">
      <c r="A162" s="7" t="n">
        <v>159</v>
      </c>
      <c r="B162" s="8" t="inlineStr">
        <is>
          <t xml:space="preserve">        on_frame: Callable = None,</t>
        </is>
      </c>
    </row>
    <row r="163">
      <c r="A163" s="9" t="n">
        <v>160</v>
      </c>
      <c r="B163" s="10" t="inlineStr">
        <is>
          <t xml:space="preserve">        on_progress: Callable = None,</t>
        </is>
      </c>
    </row>
    <row r="164">
      <c r="A164" s="7" t="n">
        <v>161</v>
      </c>
      <c r="B164" s="8" t="inlineStr">
        <is>
          <t xml:space="preserve">        on_log: Callable = None,</t>
        </is>
      </c>
    </row>
    <row r="165">
      <c r="A165" s="9" t="n">
        <v>162</v>
      </c>
      <c r="B165" s="10" t="inlineStr">
        <is>
          <t xml:space="preserve">    ) -&gt; dict:</t>
        </is>
      </c>
    </row>
    <row r="166">
      <c r="A166" s="7" t="n">
        <v>163</v>
      </c>
      <c r="B166" s="8" t="inlineStr">
        <is>
          <t xml:space="preserve">        """</t>
        </is>
      </c>
    </row>
    <row r="167">
      <c r="A167" s="9" t="n">
        <v>164</v>
      </c>
      <c r="B167" s="10" t="inlineStr">
        <is>
          <t xml:space="preserve">        串行扫描指定目录下的所有视频。</t>
        </is>
      </c>
    </row>
    <row r="168">
      <c r="A168" s="7" t="n">
        <v>165</v>
      </c>
      <c r="B168" s="8" t="inlineStr"/>
    </row>
    <row r="169">
      <c r="A169" s="9" t="n">
        <v>166</v>
      </c>
      <c r="B169" s="10" t="inlineStr">
        <is>
          <t xml:space="preserve">        参数:</t>
        </is>
      </c>
    </row>
    <row r="170">
      <c r="A170" s="7" t="n">
        <v>167</v>
      </c>
      <c r="B170" s="8" t="inlineStr">
        <is>
          <t xml:space="preserve">            root_dirs: 根目录列表</t>
        </is>
      </c>
    </row>
    <row r="171">
      <c r="A171" s="9" t="n">
        <v>168</v>
      </c>
      <c r="B171" s="10" t="inlineStr">
        <is>
          <t xml:space="preserve">            frame_interval: 抽帧间隔(秒)</t>
        </is>
      </c>
    </row>
    <row r="172">
      <c r="A172" s="7" t="n">
        <v>169</v>
      </c>
      <c r="B172" s="8" t="inlineStr">
        <is>
          <t xml:space="preserve">            timeout_per_video: 每个视频的超时时间(秒)</t>
        </is>
      </c>
    </row>
    <row r="173">
      <c r="A173" s="9" t="n">
        <v>170</v>
      </c>
      <c r="B173" s="10" t="inlineStr">
        <is>
          <t xml:space="preserve">            on_video_start: (video_path, index, total) 回调</t>
        </is>
      </c>
    </row>
    <row r="174">
      <c r="A174" s="7" t="n">
        <v>171</v>
      </c>
      <c r="B174" s="8" t="inlineStr">
        <is>
          <t xml:space="preserve">            on_video_done: (video_path, result) 回调</t>
        </is>
      </c>
    </row>
    <row r="175">
      <c r="A175" s="9" t="n">
        <v>172</v>
      </c>
      <c r="B175" s="10" t="inlineStr">
        <is>
          <t xml:space="preserve">            on_frame: (frame_data) 回调</t>
        </is>
      </c>
    </row>
    <row r="176">
      <c r="A176" s="7" t="n">
        <v>173</v>
      </c>
      <c r="B176" s="8" t="inlineStr">
        <is>
          <t xml:space="preserve">            on_progress: (scanned, total, status) 回调</t>
        </is>
      </c>
    </row>
    <row r="177">
      <c r="A177" s="9" t="n">
        <v>174</v>
      </c>
      <c r="B177" s="10" t="inlineStr">
        <is>
          <t xml:space="preserve">            on_log: (message) 回调</t>
        </is>
      </c>
    </row>
    <row r="178">
      <c r="A178" s="7" t="n">
        <v>175</v>
      </c>
      <c r="B178" s="8" t="inlineStr"/>
    </row>
    <row r="179">
      <c r="A179" s="9" t="n">
        <v>176</v>
      </c>
      <c r="B179" s="10" t="inlineStr">
        <is>
          <t xml:space="preserve">        返回:</t>
        </is>
      </c>
    </row>
    <row r="180">
      <c r="A180" s="7" t="n">
        <v>177</v>
      </c>
      <c r="B180" s="8" t="inlineStr">
        <is>
          <t xml:space="preserve">            {"total": int, "scanned": int, "island_total": int, "saved_total": int, "errors": list}</t>
        </is>
      </c>
    </row>
    <row r="181">
      <c r="A181" s="9" t="n">
        <v>178</v>
      </c>
      <c r="B181" s="10" t="inlineStr">
        <is>
          <t xml:space="preserve">        """</t>
        </is>
      </c>
    </row>
    <row r="182">
      <c r="A182" s="7" t="n">
        <v>179</v>
      </c>
      <c r="B182" s="8" t="inlineStr">
        <is>
          <t xml:space="preserve">        self.reset_cancel()</t>
        </is>
      </c>
    </row>
    <row r="183">
      <c r="A183" s="9" t="n">
        <v>180</v>
      </c>
      <c r="B183" s="10" t="inlineStr">
        <is>
          <t xml:space="preserve">        self.videos_scanned = 0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 xml:space="preserve">        # 收集视频</t>
        </is>
      </c>
    </row>
    <row r="186">
      <c r="A186" s="7" t="n">
        <v>183</v>
      </c>
      <c r="B186" s="8" t="inlineStr">
        <is>
          <t xml:space="preserve">        if on_log:</t>
        </is>
      </c>
    </row>
    <row r="187">
      <c r="A187" s="9" t="n">
        <v>184</v>
      </c>
      <c r="B187" s="10" t="inlineStr">
        <is>
          <t xml:space="preserve">            on_log("正在扫描目录收集视频文件...")</t>
        </is>
      </c>
    </row>
    <row r="188">
      <c r="A188" s="7" t="n">
        <v>185</v>
      </c>
      <c r="B188" s="8" t="inlineStr">
        <is>
          <t xml:space="preserve">        video_paths = _collect_videos(root_dirs, max_depth=5)</t>
        </is>
      </c>
    </row>
    <row r="189">
      <c r="A189" s="9" t="n">
        <v>186</v>
      </c>
      <c r="B189" s="10" t="inlineStr">
        <is>
          <t xml:space="preserve">        total = len(video_paths)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 xml:space="preserve">        if on_log:</t>
        </is>
      </c>
    </row>
    <row r="192">
      <c r="A192" s="7" t="n">
        <v>189</v>
      </c>
      <c r="B192" s="8" t="inlineStr">
        <is>
          <t xml:space="preserve">            on_log(f"发现 {total} 个视频文件待分析")</t>
        </is>
      </c>
    </row>
    <row r="193">
      <c r="A193" s="9" t="n">
        <v>190</v>
      </c>
      <c r="B193" s="10" t="inlineStr">
        <is>
          <t xml:space="preserve">        if on_progress:</t>
        </is>
      </c>
    </row>
    <row r="194">
      <c r="A194" s="7" t="n">
        <v>191</v>
      </c>
      <c r="B194" s="8" t="inlineStr">
        <is>
          <t xml:space="preserve">            on_progress(0, total, f"0/{total}")</t>
        </is>
      </c>
    </row>
    <row r="195">
      <c r="A195" s="9" t="n">
        <v>192</v>
      </c>
      <c r="B195" s="10" t="inlineStr"/>
    </row>
    <row r="196">
      <c r="A196" s="7" t="n">
        <v>193</v>
      </c>
      <c r="B196" s="8" t="inlineStr">
        <is>
          <t xml:space="preserve">        results = []</t>
        </is>
      </c>
    </row>
    <row r="197">
      <c r="A197" s="9" t="n">
        <v>194</v>
      </c>
      <c r="B197" s="10" t="inlineStr">
        <is>
          <t xml:space="preserve">        errors = []</t>
        </is>
      </c>
    </row>
    <row r="198">
      <c r="A198" s="7" t="n">
        <v>195</v>
      </c>
      <c r="B198" s="8" t="inlineStr">
        <is>
          <t xml:space="preserve">        island_total = 0</t>
        </is>
      </c>
    </row>
    <row r="199">
      <c r="A199" s="9" t="n">
        <v>196</v>
      </c>
      <c r="B199" s="10" t="inlineStr">
        <is>
          <t xml:space="preserve">        saved_total = 0</t>
        </is>
      </c>
    </row>
    <row r="200">
      <c r="A200" s="7" t="n">
        <v>197</v>
      </c>
      <c r="B200" s="8" t="inlineStr"/>
    </row>
    <row r="201">
      <c r="A201" s="9" t="n">
        <v>198</v>
      </c>
      <c r="B201" s="10" t="inlineStr">
        <is>
          <t xml:space="preserve">        for idx, vp in enumerate(video_paths):</t>
        </is>
      </c>
    </row>
    <row r="202">
      <c r="A202" s="7" t="n">
        <v>199</v>
      </c>
      <c r="B202" s="8" t="inlineStr">
        <is>
          <t xml:space="preserve">            # 检查取消</t>
        </is>
      </c>
    </row>
    <row r="203">
      <c r="A203" s="9" t="n">
        <v>200</v>
      </c>
      <c r="B203" s="10" t="inlineStr">
        <is>
          <t xml:space="preserve">            if self._cancel_event.is_set():</t>
        </is>
      </c>
    </row>
    <row r="204">
      <c r="A204" s="7" t="n">
        <v>201</v>
      </c>
      <c r="B204" s="8" t="inlineStr">
        <is>
          <t xml:space="preserve">                if on_log:</t>
        </is>
      </c>
    </row>
    <row r="205">
      <c r="A205" s="9" t="n">
        <v>202</v>
      </c>
      <c r="B205" s="10" t="inlineStr">
        <is>
          <t xml:space="preserve">                    on_log("扫描已取消")</t>
        </is>
      </c>
    </row>
    <row r="206">
      <c r="A206" s="7" t="n">
        <v>203</v>
      </c>
      <c r="B206" s="8" t="inlineStr">
        <is>
          <t xml:space="preserve">                break</t>
        </is>
      </c>
    </row>
    <row r="207">
      <c r="A207" s="9" t="n">
        <v>204</v>
      </c>
      <c r="B207" s="10" t="inlineStr"/>
    </row>
    <row r="208">
      <c r="A208" s="7" t="n">
        <v>205</v>
      </c>
      <c r="B208" s="8" t="inlineStr">
        <is>
          <t xml:space="preserve">            # 检查暂停</t>
        </is>
      </c>
    </row>
    <row r="209">
      <c r="A209" s="9" t="n">
        <v>206</v>
      </c>
      <c r="B209" s="10" t="inlineStr">
        <is>
          <t xml:space="preserve">            while not self._pause_event.is_set():</t>
        </is>
      </c>
    </row>
    <row r="210">
      <c r="A210" s="7" t="n">
        <v>207</v>
      </c>
      <c r="B210" s="8" t="inlineStr">
        <is>
          <t xml:space="preserve">                if self._cancel_event.is_set():</t>
        </is>
      </c>
    </row>
    <row r="211">
      <c r="A211" s="9" t="n">
        <v>208</v>
      </c>
      <c r="B211" s="10" t="inlineStr">
        <is>
          <t xml:space="preserve">                    break</t>
        </is>
      </c>
    </row>
    <row r="212">
      <c r="A212" s="7" t="n">
        <v>209</v>
      </c>
      <c r="B212" s="8" t="inlineStr">
        <is>
          <t xml:space="preserve">                time.sleep(0.3)</t>
        </is>
      </c>
    </row>
    <row r="213">
      <c r="A213" s="9" t="n">
        <v>210</v>
      </c>
      <c r="B213" s="10" t="inlineStr"/>
    </row>
    <row r="214">
      <c r="A214" s="7" t="n">
        <v>211</v>
      </c>
      <c r="B214" s="8" t="inlineStr">
        <is>
          <t xml:space="preserve">            if self._cancel_event.is_set():</t>
        </is>
      </c>
    </row>
    <row r="215">
      <c r="A215" s="9" t="n">
        <v>212</v>
      </c>
      <c r="B215" s="10" t="inlineStr">
        <is>
          <t xml:space="preserve">                break</t>
        </is>
      </c>
    </row>
    <row r="216">
      <c r="A216" s="7" t="n">
        <v>213</v>
      </c>
      <c r="B216" s="8" t="inlineStr"/>
    </row>
    <row r="217">
      <c r="A217" s="9" t="n">
        <v>214</v>
      </c>
      <c r="B217" s="10" t="inlineStr">
        <is>
          <t xml:space="preserve">            # 视频开始回调</t>
        </is>
      </c>
    </row>
    <row r="218">
      <c r="A218" s="7" t="n">
        <v>215</v>
      </c>
      <c r="B218" s="8" t="inlineStr">
        <is>
          <t xml:space="preserve">            if on_video_start:</t>
        </is>
      </c>
    </row>
    <row r="219">
      <c r="A219" s="9" t="n">
        <v>216</v>
      </c>
      <c r="B219" s="10" t="inlineStr">
        <is>
          <t xml:space="preserve">                on_video_start(vp, idx + 1, total)</t>
        </is>
      </c>
    </row>
    <row r="220">
      <c r="A220" s="7" t="n">
        <v>217</v>
      </c>
      <c r="B220" s="8" t="inlineStr">
        <is>
          <t xml:space="preserve">            if on_log:</t>
        </is>
      </c>
    </row>
    <row r="221">
      <c r="A221" s="9" t="n">
        <v>218</v>
      </c>
      <c r="B221" s="10" t="inlineStr">
        <is>
          <t xml:space="preserve">                fname = Path(vp).name</t>
        </is>
      </c>
    </row>
    <row r="222">
      <c r="A222" s="7" t="n">
        <v>219</v>
      </c>
      <c r="B222" s="8" t="inlineStr">
        <is>
          <t xml:space="preserve">                on_log(f"[{idx+1}/{total}] {fname}")</t>
        </is>
      </c>
    </row>
    <row r="223">
      <c r="A223" s="9" t="n">
        <v>220</v>
      </c>
      <c r="B223" s="10" t="inlineStr">
        <is>
          <t xml:space="preserve">            if on_progress:</t>
        </is>
      </c>
    </row>
    <row r="224">
      <c r="A224" s="7" t="n">
        <v>221</v>
      </c>
      <c r="B224" s="8" t="inlineStr">
        <is>
          <t xml:space="preserve">                on_progress(idx, total, f"分析: {idx+1}/{total}")</t>
        </is>
      </c>
    </row>
    <row r="225">
      <c r="A225" s="9" t="n">
        <v>222</v>
      </c>
      <c r="B225" s="10" t="inlineStr"/>
    </row>
    <row r="226">
      <c r="A226" s="7" t="n">
        <v>223</v>
      </c>
      <c r="B226" s="8" t="inlineStr">
        <is>
          <t xml:space="preserve">            # 带超时的单视频分析</t>
        </is>
      </c>
    </row>
    <row r="227">
      <c r="A227" s="9" t="n">
        <v>224</v>
      </c>
      <c r="B227" s="10" t="inlineStr">
        <is>
          <t xml:space="preserve">            result = {"video_path": vp, "error": None, "island_found": 0, "saved": 0}</t>
        </is>
      </c>
    </row>
    <row r="228">
      <c r="A228" s="7" t="n">
        <v>225</v>
      </c>
      <c r="B228" s="8" t="inlineStr"/>
    </row>
    <row r="229">
      <c r="A229" s="9" t="n">
        <v>226</v>
      </c>
      <c r="B229" s="10" t="inlineStr">
        <is>
          <t xml:space="preserve">            def _analyze():</t>
        </is>
      </c>
    </row>
    <row r="230">
      <c r="A230" s="7" t="n">
        <v>227</v>
      </c>
      <c r="B230" s="8" t="inlineStr">
        <is>
          <t xml:space="preserve">                return self.analyze_video_frames(</t>
        </is>
      </c>
    </row>
    <row r="231">
      <c r="A231" s="9" t="n">
        <v>228</v>
      </c>
      <c r="B231" s="10" t="inlineStr">
        <is>
          <t xml:space="preserve">                    vp, frame_interval=frame_interval,</t>
        </is>
      </c>
    </row>
    <row r="232">
      <c r="A232" s="7" t="n">
        <v>229</v>
      </c>
      <c r="B232" s="8" t="inlineStr">
        <is>
          <t xml:space="preserve">                    on_frame_callback=on_frame,</t>
        </is>
      </c>
    </row>
    <row r="233">
      <c r="A233" s="9" t="n">
        <v>230</v>
      </c>
      <c r="B233" s="10" t="inlineStr">
        <is>
          <t xml:space="preserve">                    log_callback=on_log,</t>
        </is>
      </c>
    </row>
    <row r="234">
      <c r="A234" s="7" t="n">
        <v>231</v>
      </c>
      <c r="B234" s="8" t="inlineStr">
        <is>
          <t xml:space="preserve">                )</t>
        </is>
      </c>
    </row>
    <row r="235">
      <c r="A235" s="9" t="n">
        <v>232</v>
      </c>
      <c r="B235" s="10" t="inlineStr"/>
    </row>
    <row r="236">
      <c r="A236" s="7" t="n">
        <v>233</v>
      </c>
      <c r="B236" s="8" t="inlineStr">
        <is>
          <t xml:space="preserve">            # 在独立线程中执行（为了超时控制）</t>
        </is>
      </c>
    </row>
    <row r="237">
      <c r="A237" s="9" t="n">
        <v>234</v>
      </c>
      <c r="B237" s="10" t="inlineStr">
        <is>
          <t xml:space="preserve">            analysis_result = [None]</t>
        </is>
      </c>
    </row>
    <row r="238">
      <c r="A238" s="7" t="n">
        <v>235</v>
      </c>
      <c r="B238" s="8" t="inlineStr">
        <is>
          <t xml:space="preserve">            analysis_error = [None]</t>
        </is>
      </c>
    </row>
    <row r="239">
      <c r="A239" s="9" t="n">
        <v>236</v>
      </c>
      <c r="B239" s="10" t="inlineStr">
        <is>
          <t xml:space="preserve">            thread_done = threading.Event()</t>
        </is>
      </c>
    </row>
    <row r="240">
      <c r="A240" s="7" t="n">
        <v>237</v>
      </c>
      <c r="B240" s="8" t="inlineStr"/>
    </row>
    <row r="241">
      <c r="A241" s="9" t="n">
        <v>238</v>
      </c>
      <c r="B241" s="10" t="inlineStr">
        <is>
          <t xml:space="preserve">            def _runner():</t>
        </is>
      </c>
    </row>
    <row r="242">
      <c r="A242" s="7" t="n">
        <v>239</v>
      </c>
      <c r="B242" s="8" t="inlineStr">
        <is>
          <t xml:space="preserve">                try:</t>
        </is>
      </c>
    </row>
    <row r="243">
      <c r="A243" s="9" t="n">
        <v>240</v>
      </c>
      <c r="B243" s="10" t="inlineStr">
        <is>
          <t xml:space="preserve">                    analysis_result[0] = _analyze()</t>
        </is>
      </c>
    </row>
    <row r="244">
      <c r="A244" s="7" t="n">
        <v>241</v>
      </c>
      <c r="B244" s="8" t="inlineStr">
        <is>
          <t xml:space="preserve">                except Exception as e:</t>
        </is>
      </c>
    </row>
    <row r="245">
      <c r="A245" s="9" t="n">
        <v>242</v>
      </c>
      <c r="B245" s="10" t="inlineStr">
        <is>
          <t xml:space="preserve">                    analysis_error[0] = e</t>
        </is>
      </c>
    </row>
    <row r="246">
      <c r="A246" s="7" t="n">
        <v>243</v>
      </c>
      <c r="B246" s="8" t="inlineStr">
        <is>
          <t xml:space="preserve">                finally:</t>
        </is>
      </c>
    </row>
    <row r="247">
      <c r="A247" s="9" t="n">
        <v>244</v>
      </c>
      <c r="B247" s="10" t="inlineStr">
        <is>
          <t xml:space="preserve">                    thread_done.set()</t>
        </is>
      </c>
    </row>
    <row r="248">
      <c r="A248" s="7" t="n">
        <v>245</v>
      </c>
      <c r="B248" s="8" t="inlineStr"/>
    </row>
    <row r="249">
      <c r="A249" s="9" t="n">
        <v>246</v>
      </c>
      <c r="B249" s="10" t="inlineStr">
        <is>
          <t xml:space="preserve">            t = threading.Thread(target=_runner, daemon=True)</t>
        </is>
      </c>
    </row>
    <row r="250">
      <c r="A250" s="7" t="n">
        <v>247</v>
      </c>
      <c r="B250" s="8" t="inlineStr">
        <is>
          <t xml:space="preserve">            t.start()</t>
        </is>
      </c>
    </row>
    <row r="251">
      <c r="A251" s="9" t="n">
        <v>248</v>
      </c>
      <c r="B251" s="10" t="inlineStr">
        <is>
          <t xml:space="preserve">            finished = thread_done.wait(timeout=timeout_per_video)</t>
        </is>
      </c>
    </row>
    <row r="252">
      <c r="A252" s="7" t="n">
        <v>249</v>
      </c>
      <c r="B252" s="8" t="inlineStr"/>
    </row>
    <row r="253">
      <c r="A253" s="9" t="n">
        <v>250</v>
      </c>
      <c r="B253" s="10" t="inlineStr">
        <is>
          <t xml:space="preserve">            if not finished:</t>
        </is>
      </c>
    </row>
    <row r="254">
      <c r="A254" s="7" t="n">
        <v>251</v>
      </c>
      <c r="B254" s="8" t="inlineStr">
        <is>
          <t xml:space="preserve">                # 超时 → 跳过该视频</t>
        </is>
      </c>
    </row>
    <row r="255">
      <c r="A255" s="9" t="n">
        <v>252</v>
      </c>
      <c r="B255" s="10" t="inlineStr">
        <is>
          <t xml:space="preserve">                self._cancel_event.set()  # 通知内部停止</t>
        </is>
      </c>
    </row>
    <row r="256">
      <c r="A256" s="7" t="n">
        <v>253</v>
      </c>
      <c r="B256" s="8" t="inlineStr">
        <is>
          <t xml:space="preserve">                t.join(timeout=5)</t>
        </is>
      </c>
    </row>
    <row r="257">
      <c r="A257" s="9" t="n">
        <v>254</v>
      </c>
      <c r="B257" s="10" t="inlineStr">
        <is>
          <t xml:space="preserve">                self._cancel_event.clear()  # 重置以继续下一个</t>
        </is>
      </c>
    </row>
    <row r="258">
      <c r="A258" s="7" t="n">
        <v>255</v>
      </c>
      <c r="B258" s="8" t="inlineStr">
        <is>
          <t xml:space="preserve">                result["error"] = f"超时 ({timeout_per_video}s)"</t>
        </is>
      </c>
    </row>
    <row r="259">
      <c r="A259" s="9" t="n">
        <v>256</v>
      </c>
      <c r="B259" s="10" t="inlineStr">
        <is>
          <t xml:space="preserve">                if on_log:</t>
        </is>
      </c>
    </row>
    <row r="260">
      <c r="A260" s="7" t="n">
        <v>257</v>
      </c>
      <c r="B260" s="8" t="inlineStr">
        <is>
          <t xml:space="preserve">                    on_log(f"  ⏰ 超时，已跳过")</t>
        </is>
      </c>
    </row>
    <row r="261">
      <c r="A261" s="9" t="n">
        <v>258</v>
      </c>
      <c r="B261" s="10" t="inlineStr">
        <is>
          <t xml:space="preserve">            elif analysis_error[0]:</t>
        </is>
      </c>
    </row>
    <row r="262">
      <c r="A262" s="7" t="n">
        <v>259</v>
      </c>
      <c r="B262" s="8" t="inlineStr">
        <is>
          <t xml:space="preserve">                result["error"] = str(analysis_error[0])</t>
        </is>
      </c>
    </row>
    <row r="263">
      <c r="A263" s="9" t="n">
        <v>260</v>
      </c>
      <c r="B263" s="10" t="inlineStr">
        <is>
          <t xml:space="preserve">                if on_log:</t>
        </is>
      </c>
    </row>
    <row r="264">
      <c r="A264" s="7" t="n">
        <v>261</v>
      </c>
      <c r="B264" s="8" t="inlineStr">
        <is>
          <t xml:space="preserve">                    on_log(f"  ❌ {analysis_error[0]}")</t>
        </is>
      </c>
    </row>
    <row r="265">
      <c r="A265" s="9" t="n">
        <v>262</v>
      </c>
      <c r="B265" s="10" t="inlineStr">
        <is>
          <t xml:space="preserve">            else:</t>
        </is>
      </c>
    </row>
    <row r="266">
      <c r="A266" s="7" t="n">
        <v>263</v>
      </c>
      <c r="B266" s="8" t="inlineStr">
        <is>
          <t xml:space="preserve">                ar = analysis_result[0]</t>
        </is>
      </c>
    </row>
    <row r="267">
      <c r="A267" s="9" t="n">
        <v>264</v>
      </c>
      <c r="B267" s="10" t="inlineStr">
        <is>
          <t xml:space="preserve">                if ar:</t>
        </is>
      </c>
    </row>
    <row r="268">
      <c r="A268" s="7" t="n">
        <v>265</v>
      </c>
      <c r="B268" s="8" t="inlineStr">
        <is>
          <t xml:space="preserve">                    result["island_found"] = ar.get("island_frames", 0)</t>
        </is>
      </c>
    </row>
    <row r="269">
      <c r="A269" s="9" t="n">
        <v>266</v>
      </c>
      <c r="B269" s="10" t="inlineStr">
        <is>
          <t xml:space="preserve">                    result["saved"] = ar.get("saved_frames", 0)</t>
        </is>
      </c>
    </row>
    <row r="270">
      <c r="A270" s="7" t="n">
        <v>267</v>
      </c>
      <c r="B270" s="8" t="inlineStr">
        <is>
          <t xml:space="preserve">                    result["total_frames"] = ar.get("total_frames", 0)</t>
        </is>
      </c>
    </row>
    <row r="271">
      <c r="A271" s="9" t="n">
        <v>268</v>
      </c>
      <c r="B271" s="10" t="inlineStr">
        <is>
          <t xml:space="preserve">                    if ar.get("error"):</t>
        </is>
      </c>
    </row>
    <row r="272">
      <c r="A272" s="7" t="n">
        <v>269</v>
      </c>
      <c r="B272" s="8" t="inlineStr">
        <is>
          <t xml:space="preserve">                        result["error"] = ar["error"]</t>
        </is>
      </c>
    </row>
    <row r="273">
      <c r="A273" s="9" t="n">
        <v>270</v>
      </c>
      <c r="B273" s="10" t="inlineStr"/>
    </row>
    <row r="274">
      <c r="A274" s="7" t="n">
        <v>271</v>
      </c>
      <c r="B274" s="8" t="inlineStr">
        <is>
          <t xml:space="preserve">            island_total += result.get("island_found", 0)</t>
        </is>
      </c>
    </row>
    <row r="275">
      <c r="A275" s="9" t="n">
        <v>272</v>
      </c>
      <c r="B275" s="10" t="inlineStr">
        <is>
          <t xml:space="preserve">            saved_total += result.get("saved", 0)</t>
        </is>
      </c>
    </row>
    <row r="276">
      <c r="A276" s="7" t="n">
        <v>273</v>
      </c>
      <c r="B276" s="8" t="inlineStr">
        <is>
          <t xml:space="preserve">            if result.get("error"):</t>
        </is>
      </c>
    </row>
    <row r="277">
      <c r="A277" s="9" t="n">
        <v>274</v>
      </c>
      <c r="B277" s="10" t="inlineStr">
        <is>
          <t xml:space="preserve">                errors.append({"path": vp, "error": result["error"]})</t>
        </is>
      </c>
    </row>
    <row r="278">
      <c r="A278" s="7" t="n">
        <v>275</v>
      </c>
      <c r="B278" s="8" t="inlineStr">
        <is>
          <t xml:space="preserve">            results.append(result)</t>
        </is>
      </c>
    </row>
    <row r="279">
      <c r="A279" s="9" t="n">
        <v>276</v>
      </c>
      <c r="B279" s="10" t="inlineStr">
        <is>
          <t xml:space="preserve">            self.videos_scanned = idx + 1</t>
        </is>
      </c>
    </row>
    <row r="280">
      <c r="A280" s="7" t="n">
        <v>277</v>
      </c>
      <c r="B280" s="8" t="inlineStr"/>
    </row>
    <row r="281">
      <c r="A281" s="9" t="n">
        <v>278</v>
      </c>
      <c r="B281" s="10" t="inlineStr">
        <is>
          <t xml:space="preserve">            if on_video_done:</t>
        </is>
      </c>
    </row>
    <row r="282">
      <c r="A282" s="7" t="n">
        <v>279</v>
      </c>
      <c r="B282" s="8" t="inlineStr">
        <is>
          <t xml:space="preserve">                on_video_done(vp, result)</t>
        </is>
      </c>
    </row>
    <row r="283">
      <c r="A283" s="9" t="n">
        <v>280</v>
      </c>
      <c r="B283" s="10" t="inlineStr">
        <is>
          <t xml:space="preserve">            if on_progress:</t>
        </is>
      </c>
    </row>
    <row r="284">
      <c r="A284" s="7" t="n">
        <v>281</v>
      </c>
      <c r="B284" s="8" t="inlineStr">
        <is>
          <t xml:space="preserve">                on_progress(idx + 1, total,</t>
        </is>
      </c>
    </row>
    <row r="285">
      <c r="A285" s="9" t="n">
        <v>282</v>
      </c>
      <c r="B285" s="10" t="inlineStr">
        <is>
          <t xml:space="preserve">                           f"✓ {idx+1}/{total} | 岛台:{island_total}")</t>
        </is>
      </c>
    </row>
    <row r="286">
      <c r="A286" s="7" t="n">
        <v>283</v>
      </c>
      <c r="B286" s="8" t="inlineStr"/>
    </row>
    <row r="287">
      <c r="A287" s="9" t="n">
        <v>284</v>
      </c>
      <c r="B287" s="10" t="inlineStr">
        <is>
          <t xml:space="preserve">            # 内存回收</t>
        </is>
      </c>
    </row>
    <row r="288">
      <c r="A288" s="7" t="n">
        <v>285</v>
      </c>
      <c r="B288" s="8" t="inlineStr">
        <is>
          <t xml:space="preserve">            self._reclaim_memory()</t>
        </is>
      </c>
    </row>
    <row r="289">
      <c r="A289" s="9" t="n">
        <v>286</v>
      </c>
      <c r="B289" s="10" t="inlineStr">
        <is>
          <t xml:space="preserve">            # 让出CPU</t>
        </is>
      </c>
    </row>
    <row r="290">
      <c r="A290" s="7" t="n">
        <v>287</v>
      </c>
      <c r="B290" s="8" t="inlineStr">
        <is>
          <t xml:space="preserve">            time.sleep(0.3)</t>
        </is>
      </c>
    </row>
    <row r="291">
      <c r="A291" s="9" t="n">
        <v>288</v>
      </c>
      <c r="B291" s="10" t="inlineStr"/>
    </row>
    <row r="292">
      <c r="A292" s="7" t="n">
        <v>289</v>
      </c>
      <c r="B292" s="8" t="inlineStr">
        <is>
          <t xml:space="preserve">        # 汇总</t>
        </is>
      </c>
    </row>
    <row r="293">
      <c r="A293" s="9" t="n">
        <v>290</v>
      </c>
      <c r="B293" s="10" t="inlineStr">
        <is>
          <t xml:space="preserve">        summary = {</t>
        </is>
      </c>
    </row>
    <row r="294">
      <c r="A294" s="7" t="n">
        <v>291</v>
      </c>
      <c r="B294" s="8" t="inlineStr">
        <is>
          <t xml:space="preserve">            "total": total,</t>
        </is>
      </c>
    </row>
    <row r="295">
      <c r="A295" s="9" t="n">
        <v>292</v>
      </c>
      <c r="B295" s="10" t="inlineStr">
        <is>
          <t xml:space="preserve">            "scanned": self.videos_scanned,</t>
        </is>
      </c>
    </row>
    <row r="296">
      <c r="A296" s="7" t="n">
        <v>293</v>
      </c>
      <c r="B296" s="8" t="inlineStr">
        <is>
          <t xml:space="preserve">            "island_total": island_total,</t>
        </is>
      </c>
    </row>
    <row r="297">
      <c r="A297" s="9" t="n">
        <v>294</v>
      </c>
      <c r="B297" s="10" t="inlineStr">
        <is>
          <t xml:space="preserve">            "saved_total": saved_total,</t>
        </is>
      </c>
    </row>
    <row r="298">
      <c r="A298" s="7" t="n">
        <v>295</v>
      </c>
      <c r="B298" s="8" t="inlineStr">
        <is>
          <t xml:space="preserve">            "errors": errors,</t>
        </is>
      </c>
    </row>
    <row r="299">
      <c r="A299" s="9" t="n">
        <v>296</v>
      </c>
      <c r="B299" s="10" t="inlineStr">
        <is>
          <t xml:space="preserve">        }</t>
        </is>
      </c>
    </row>
    <row r="300">
      <c r="A300" s="7" t="n">
        <v>297</v>
      </c>
      <c r="B300" s="8" t="inlineStr"/>
    </row>
    <row r="301">
      <c r="A301" s="9" t="n">
        <v>298</v>
      </c>
      <c r="B301" s="10" t="inlineStr">
        <is>
          <t xml:space="preserve">        if on_log:</t>
        </is>
      </c>
    </row>
    <row r="302">
      <c r="A302" s="7" t="n">
        <v>299</v>
      </c>
      <c r="B302" s="8" t="inlineStr">
        <is>
          <t xml:space="preserve">            on_log(f"扫描完成: {self.videos_scanned}/{total} 个视频, "</t>
        </is>
      </c>
    </row>
    <row r="303">
      <c r="A303" s="9" t="n">
        <v>300</v>
      </c>
      <c r="B303" s="10" t="inlineStr">
        <is>
          <t xml:space="preserve">                   f"岛台帧: {island_total}, 入库: {saved_total}")</t>
        </is>
      </c>
    </row>
    <row r="304">
      <c r="A304" s="7" t="n">
        <v>301</v>
      </c>
      <c r="B304" s="8" t="inlineStr"/>
    </row>
    <row r="305">
      <c r="A305" s="9" t="n">
        <v>302</v>
      </c>
      <c r="B305" s="10" t="inlineStr">
        <is>
          <t xml:space="preserve">        return summary</t>
        </is>
      </c>
    </row>
    <row r="306">
      <c r="A306" s="7" t="n">
        <v>303</v>
      </c>
      <c r="B306" s="8" t="inlineStr"/>
    </row>
    <row r="307">
      <c r="A307" s="9" t="n">
        <v>304</v>
      </c>
      <c r="B307" s="10" t="inlineStr">
        <is>
          <t xml:space="preserve">    # ═══════════════════════════════════════════════════</t>
        </is>
      </c>
    </row>
    <row r="308">
      <c r="A308" s="7" t="n">
        <v>305</v>
      </c>
      <c r="B308" s="8" t="inlineStr">
        <is>
          <t xml:space="preserve">    # 帧级分析（单视频）</t>
        </is>
      </c>
    </row>
    <row r="309">
      <c r="A309" s="9" t="n">
        <v>306</v>
      </c>
      <c r="B309" s="10" t="inlineStr">
        <is>
          <t xml:space="preserve">    # ═══════════════════════════════════════════════════</t>
        </is>
      </c>
    </row>
    <row r="310">
      <c r="A310" s="7" t="n">
        <v>307</v>
      </c>
      <c r="B310" s="8" t="inlineStr"/>
    </row>
    <row r="311">
      <c r="A311" s="9" t="n">
        <v>308</v>
      </c>
      <c r="B311" s="10" t="inlineStr">
        <is>
          <t xml:space="preserve">    def analyze_video_frames(</t>
        </is>
      </c>
    </row>
    <row r="312">
      <c r="A312" s="7" t="n">
        <v>309</v>
      </c>
      <c r="B312" s="8" t="inlineStr">
        <is>
          <t xml:space="preserve">        self,</t>
        </is>
      </c>
    </row>
    <row r="313">
      <c r="A313" s="9" t="n">
        <v>310</v>
      </c>
      <c r="B313" s="10" t="inlineStr">
        <is>
          <t xml:space="preserve">        video_path: str,</t>
        </is>
      </c>
    </row>
    <row r="314">
      <c r="A314" s="7" t="n">
        <v>311</v>
      </c>
      <c r="B314" s="8" t="inlineStr">
        <is>
          <t xml:space="preserve">        frame_interval: float = 0.25,</t>
        </is>
      </c>
    </row>
    <row r="315">
      <c r="A315" s="9" t="n">
        <v>312</v>
      </c>
      <c r="B315" s="10" t="inlineStr">
        <is>
          <t xml:space="preserve">        output_frames_dir: str = None,</t>
        </is>
      </c>
    </row>
    <row r="316">
      <c r="A316" s="7" t="n">
        <v>313</v>
      </c>
      <c r="B316" s="8" t="inlineStr">
        <is>
          <t xml:space="preserve">        on_frame_callback: Callable = None,</t>
        </is>
      </c>
    </row>
    <row r="317">
      <c r="A317" s="9" t="n">
        <v>314</v>
      </c>
      <c r="B317" s="10" t="inlineStr">
        <is>
          <t xml:space="preserve">        log_callback: Callable = None,</t>
        </is>
      </c>
    </row>
    <row r="318">
      <c r="A318" s="7" t="n">
        <v>315</v>
      </c>
      <c r="B318" s="8" t="inlineStr">
        <is>
          <t xml:space="preserve">    ) -&gt; dict:</t>
        </is>
      </c>
    </row>
    <row r="319">
      <c r="A319" s="9" t="n">
        <v>316</v>
      </c>
      <c r="B319" s="10" t="inlineStr">
        <is>
          <t xml:space="preserve">        """帧级分析单个视频并写入 video_frames 表。"""</t>
        </is>
      </c>
    </row>
    <row r="320">
      <c r="A320" s="7" t="n">
        <v>317</v>
      </c>
      <c r="B320" s="8" t="inlineStr">
        <is>
          <t xml:space="preserve">        result = {</t>
        </is>
      </c>
    </row>
    <row r="321">
      <c r="A321" s="9" t="n">
        <v>318</v>
      </c>
      <c r="B321" s="10" t="inlineStr">
        <is>
          <t xml:space="preserve">            "video_path": video_path,</t>
        </is>
      </c>
    </row>
    <row r="322">
      <c r="A322" s="7" t="n">
        <v>319</v>
      </c>
      <c r="B322" s="8" t="inlineStr">
        <is>
          <t xml:space="preserve">            "total_frames": 0,</t>
        </is>
      </c>
    </row>
    <row r="323">
      <c r="A323" s="9" t="n">
        <v>320</v>
      </c>
      <c r="B323" s="10" t="inlineStr">
        <is>
          <t xml:space="preserve">            "island_frames": 0,</t>
        </is>
      </c>
    </row>
    <row r="324">
      <c r="A324" s="7" t="n">
        <v>321</v>
      </c>
      <c r="B324" s="8" t="inlineStr">
        <is>
          <t xml:space="preserve">            "saved_frames": 0,</t>
        </is>
      </c>
    </row>
    <row r="325">
      <c r="A325" s="9" t="n">
        <v>322</v>
      </c>
      <c r="B325" s="10" t="inlineStr">
        <is>
          <t xml:space="preserve">            "frames_data": [],</t>
        </is>
      </c>
    </row>
    <row r="326">
      <c r="A326" s="7" t="n">
        <v>323</v>
      </c>
      <c r="B326" s="8" t="inlineStr">
        <is>
          <t xml:space="preserve">            "error": None,</t>
        </is>
      </c>
    </row>
    <row r="327">
      <c r="A327" s="9" t="n">
        <v>324</v>
      </c>
      <c r="B327" s="10" t="inlineStr">
        <is>
          <t xml:space="preserve">        }</t>
        </is>
      </c>
    </row>
    <row r="328">
      <c r="A328" s="7" t="n">
        <v>325</v>
      </c>
      <c r="B328" s="8" t="inlineStr"/>
    </row>
    <row r="329">
      <c r="A329" s="9" t="n">
        <v>326</v>
      </c>
      <c r="B329" s="10" t="inlineStr">
        <is>
          <t xml:space="preserve">        try:</t>
        </is>
      </c>
    </row>
    <row r="330">
      <c r="A330" s="7" t="n">
        <v>327</v>
      </c>
      <c r="B330" s="8" t="inlineStr">
        <is>
          <t xml:space="preserve">            self._lazy_load_vision()</t>
        </is>
      </c>
    </row>
    <row r="331">
      <c r="A331" s="9" t="n">
        <v>328</v>
      </c>
      <c r="B331" s="10" t="inlineStr">
        <is>
          <t xml:space="preserve">            self._lazy_load_frame_extractor()</t>
        </is>
      </c>
    </row>
    <row r="332">
      <c r="A332" s="7" t="n">
        <v>329</v>
      </c>
      <c r="B332" s="8" t="inlineStr">
        <is>
          <t xml:space="preserve">            self._lazy_load_db()</t>
        </is>
      </c>
    </row>
    <row r="333">
      <c r="A333" s="9" t="n">
        <v>330</v>
      </c>
      <c r="B333" s="10" t="inlineStr">
        <is>
          <t xml:space="preserve">            self._lazy_load_kb()</t>
        </is>
      </c>
    </row>
    <row r="334">
      <c r="A334" s="7" t="n">
        <v>331</v>
      </c>
      <c r="B334" s="8" t="inlineStr"/>
    </row>
    <row r="335">
      <c r="A335" s="9" t="n">
        <v>332</v>
      </c>
      <c r="B335" s="10" t="inlineStr">
        <is>
          <t xml:space="preserve">            from core.frame_extractor import get_video_duration</t>
        </is>
      </c>
    </row>
    <row r="336">
      <c r="A336" s="7" t="n">
        <v>333</v>
      </c>
      <c r="B336" s="8" t="inlineStr">
        <is>
          <t xml:space="preserve">            duration = get_video_duration(video_path)</t>
        </is>
      </c>
    </row>
    <row r="337">
      <c r="A337" s="9" t="n">
        <v>334</v>
      </c>
      <c r="B337" s="10" t="inlineStr">
        <is>
          <t xml:space="preserve">            if duration &lt;= 0:</t>
        </is>
      </c>
    </row>
    <row r="338">
      <c r="A338" s="7" t="n">
        <v>335</v>
      </c>
      <c r="B338" s="8" t="inlineStr">
        <is>
          <t xml:space="preserve">                result["error"] = "无法获取时长"</t>
        </is>
      </c>
    </row>
    <row r="339">
      <c r="A339" s="9" t="n">
        <v>336</v>
      </c>
      <c r="B339" s="10" t="inlineStr">
        <is>
          <t xml:space="preserve">                return result</t>
        </is>
      </c>
    </row>
    <row r="340">
      <c r="A340" s="7" t="n">
        <v>337</v>
      </c>
      <c r="B340" s="8" t="inlineStr"/>
    </row>
    <row r="341">
      <c r="A341" s="9" t="n">
        <v>338</v>
      </c>
      <c r="B341" s="10" t="inlineStr">
        <is>
          <t xml:space="preserve">            video_hash = hashlib.md5(video_path.encode()).hexdigest()[:12]</t>
        </is>
      </c>
    </row>
    <row r="342">
      <c r="A342" s="7" t="n">
        <v>339</v>
      </c>
      <c r="B342" s="8" t="inlineStr">
        <is>
          <t xml:space="preserve">            if output_frames_dir is None:</t>
        </is>
      </c>
    </row>
    <row r="343">
      <c r="A343" s="9" t="n">
        <v>340</v>
      </c>
      <c r="B343" s="10" t="inlineStr">
        <is>
          <t xml:space="preserve">                output_frames_dir = str(_PROJ_ROOT / "shipin" / "frames" / video_hash)</t>
        </is>
      </c>
    </row>
    <row r="344">
      <c r="A344" s="7" t="n">
        <v>341</v>
      </c>
      <c r="B344" s="8" t="inlineStr">
        <is>
          <t xml:space="preserve">            os.makedirs(output_frames_dir, exist_ok=True)</t>
        </is>
      </c>
    </row>
    <row r="345">
      <c r="A345" s="9" t="n">
        <v>342</v>
      </c>
      <c r="B345" s="10" t="inlineStr">
        <is>
          <t xml:space="preserve">            source_folder = str(Path(video_path).parent)</t>
        </is>
      </c>
    </row>
    <row r="346">
      <c r="A346" s="7" t="n">
        <v>343</v>
      </c>
      <c r="B346" s="8" t="inlineStr"/>
    </row>
    <row r="347">
      <c r="A347" s="9" t="n">
        <v>344</v>
      </c>
      <c r="B347" s="10" t="inlineStr">
        <is>
          <t xml:space="preserve">            tmp_dir = tempfile.mkdtemp(prefix="treecut_frames_")</t>
        </is>
      </c>
    </row>
    <row r="348">
      <c r="A348" s="7" t="n">
        <v>345</v>
      </c>
      <c r="B348" s="8" t="inlineStr">
        <is>
          <t xml:space="preserve">            try:</t>
        </is>
      </c>
    </row>
    <row r="349">
      <c r="A349" s="9" t="n">
        <v>346</v>
      </c>
      <c r="B349" s="10" t="inlineStr">
        <is>
          <t xml:space="preserve">                frames = self._frame_extractor.extract_frames_to_files(</t>
        </is>
      </c>
    </row>
    <row r="350">
      <c r="A350" s="7" t="n">
        <v>347</v>
      </c>
      <c r="B350" s="8" t="inlineStr">
        <is>
          <t xml:space="preserve">                    video_path, interval_sec=frame_interval,</t>
        </is>
      </c>
    </row>
    <row r="351">
      <c r="A351" s="9" t="n">
        <v>348</v>
      </c>
      <c r="B351" s="10" t="inlineStr">
        <is>
          <t xml:space="preserve">                    output_dir=tmp_dir, include_all=True</t>
        </is>
      </c>
    </row>
    <row r="352">
      <c r="A352" s="7" t="n">
        <v>349</v>
      </c>
      <c r="B352" s="8" t="inlineStr">
        <is>
          <t xml:space="preserve">                )</t>
        </is>
      </c>
    </row>
    <row r="353">
      <c r="A353" s="9" t="n">
        <v>350</v>
      </c>
      <c r="B353" s="10" t="inlineStr"/>
    </row>
    <row r="354">
      <c r="A354" s="7" t="n">
        <v>351</v>
      </c>
      <c r="B354" s="8" t="inlineStr">
        <is>
          <t xml:space="preserve">                total_frames = len(frames)</t>
        </is>
      </c>
    </row>
    <row r="355">
      <c r="A355" s="9" t="n">
        <v>352</v>
      </c>
      <c r="B355" s="10" t="inlineStr">
        <is>
          <t xml:space="preserve">                result["total_frames"] = total_frames</t>
        </is>
      </c>
    </row>
    <row r="356">
      <c r="A356" s="7" t="n">
        <v>353</v>
      </c>
      <c r="B356" s="8" t="inlineStr"/>
    </row>
    <row r="357">
      <c r="A357" s="9" t="n">
        <v>354</v>
      </c>
      <c r="B357" s="10" t="inlineStr">
        <is>
          <t xml:space="preserve">                if total_frames == 0:</t>
        </is>
      </c>
    </row>
    <row r="358">
      <c r="A358" s="7" t="n">
        <v>355</v>
      </c>
      <c r="B358" s="8" t="inlineStr">
        <is>
          <t xml:space="preserve">                    result["error"] = "抽帧失败"</t>
        </is>
      </c>
    </row>
    <row r="359">
      <c r="A359" s="9" t="n">
        <v>356</v>
      </c>
      <c r="B359" s="10" t="inlineStr">
        <is>
          <t xml:space="preserve">                    return result</t>
        </is>
      </c>
    </row>
    <row r="360">
      <c r="A360" s="7" t="n">
        <v>357</v>
      </c>
      <c r="B360" s="8" t="inlineStr"/>
    </row>
    <row r="361">
      <c r="A361" s="9" t="n">
        <v>358</v>
      </c>
      <c r="B361" s="10" t="inlineStr">
        <is>
          <t xml:space="preserve">                for idx, frame_info in enumerate(frames):</t>
        </is>
      </c>
    </row>
    <row r="362">
      <c r="A362" s="7" t="n">
        <v>359</v>
      </c>
      <c r="B362" s="8" t="inlineStr">
        <is>
          <t xml:space="preserve">                    if self._cancel_event.is_set():</t>
        </is>
      </c>
    </row>
    <row r="363">
      <c r="A363" s="9" t="n">
        <v>360</v>
      </c>
      <c r="B363" s="10" t="inlineStr">
        <is>
          <t xml:space="preserve">                        result["error"] = "用户取消"</t>
        </is>
      </c>
    </row>
    <row r="364">
      <c r="A364" s="7" t="n">
        <v>361</v>
      </c>
      <c r="B364" s="8" t="inlineStr">
        <is>
          <t xml:space="preserve">                        break</t>
        </is>
      </c>
    </row>
    <row r="365">
      <c r="A365" s="9" t="n">
        <v>362</v>
      </c>
      <c r="B365" s="10" t="inlineStr"/>
    </row>
    <row r="366">
      <c r="A366" s="7" t="n">
        <v>363</v>
      </c>
      <c r="B366" s="8" t="inlineStr">
        <is>
          <t xml:space="preserve">                    timestamp = frame_info["timestamp"]</t>
        </is>
      </c>
    </row>
    <row r="367">
      <c r="A367" s="9" t="n">
        <v>364</v>
      </c>
      <c r="B367" s="10" t="inlineStr">
        <is>
          <t xml:space="preserve">                    tmp_path = frame_info["path"]</t>
        </is>
      </c>
    </row>
    <row r="368">
      <c r="A368" s="7" t="n">
        <v>365</v>
      </c>
      <c r="B368" s="8" t="inlineStr"/>
    </row>
    <row r="369">
      <c r="A369" s="9" t="n">
        <v>366</v>
      </c>
      <c r="B369" s="10" t="inlineStr">
        <is>
          <t xml:space="preserve">                    try:</t>
        </is>
      </c>
    </row>
    <row r="370">
      <c r="A370" s="7" t="n">
        <v>367</v>
      </c>
      <c r="B370" s="8" t="inlineStr">
        <is>
          <t xml:space="preserve">                        analysis = self._vision_model.analyze(tmp_path)</t>
        </is>
      </c>
    </row>
    <row r="371">
      <c r="A371" s="9" t="n">
        <v>368</v>
      </c>
      <c r="B371" s="10" t="inlineStr">
        <is>
          <t xml:space="preserve">                        caption = analysis.get("caption", "")</t>
        </is>
      </c>
    </row>
    <row r="372">
      <c r="A372" s="7" t="n">
        <v>369</v>
      </c>
      <c r="B372" s="8" t="inlineStr">
        <is>
          <t xml:space="preserve">                        objects_str = ", ".join(analysis.get("objects", []))</t>
        </is>
      </c>
    </row>
    <row r="373">
      <c r="A373" s="9" t="n">
        <v>370</v>
      </c>
      <c r="B373" s="10" t="inlineStr">
        <is>
          <t xml:space="preserve">                        materials_str = ", ".join(analysis.get("materials", []))</t>
        </is>
      </c>
    </row>
    <row r="374">
      <c r="A374" s="7" t="n">
        <v>371</v>
      </c>
      <c r="B374" s="8" t="inlineStr">
        <is>
          <t xml:space="preserve">                        colors_str = ", ".join(analysis.get("colors", []))</t>
        </is>
      </c>
    </row>
    <row r="375">
      <c r="A375" s="9" t="n">
        <v>372</v>
      </c>
      <c r="B375" s="10" t="inlineStr">
        <is>
          <t xml:space="preserve">                        style = analysis.get("style", "")</t>
        </is>
      </c>
    </row>
    <row r="376">
      <c r="A376" s="7" t="n">
        <v>373</v>
      </c>
      <c r="B376" s="8" t="inlineStr">
        <is>
          <t xml:space="preserve">                        scene_type = self._infer_scene_type(caption, objects_str)</t>
        </is>
      </c>
    </row>
    <row r="377">
      <c r="A377" s="9" t="n">
        <v>374</v>
      </c>
      <c r="B377" s="10" t="inlineStr"/>
    </row>
    <row r="378">
      <c r="A378" s="7" t="n">
        <v>375</v>
      </c>
      <c r="B378" s="8" t="inlineStr">
        <is>
          <t xml:space="preserve">                        safe_ts = f"{timestamp:.3f}".replace(".", "_")</t>
        </is>
      </c>
    </row>
    <row r="379">
      <c r="A379" s="9" t="n">
        <v>376</v>
      </c>
      <c r="B379" s="10" t="inlineStr">
        <is>
          <t xml:space="preserve">                        perm_path = os.path.join(output_frames_dir, f"frame_{safe_ts}s.jpg")</t>
        </is>
      </c>
    </row>
    <row r="380">
      <c r="A380" s="7" t="n">
        <v>377</v>
      </c>
      <c r="B380" s="8" t="inlineStr">
        <is>
          <t xml:space="preserve">                        shutil.copy2(tmp_path, perm_path)</t>
        </is>
      </c>
    </row>
    <row r="381">
      <c r="A381" s="9" t="n">
        <v>378</v>
      </c>
      <c r="B381" s="10" t="inlineStr"/>
    </row>
    <row r="382">
      <c r="A382" s="7" t="n">
        <v>379</v>
      </c>
      <c r="B382" s="8" t="inlineStr">
        <is>
          <t xml:space="preserve">                        frame_data = {</t>
        </is>
      </c>
    </row>
    <row r="383">
      <c r="A383" s="9" t="n">
        <v>380</v>
      </c>
      <c r="B383" s="10" t="inlineStr">
        <is>
          <t xml:space="preserve">                            "video_path": video_path,</t>
        </is>
      </c>
    </row>
    <row r="384">
      <c r="A384" s="7" t="n">
        <v>381</v>
      </c>
      <c r="B384" s="8" t="inlineStr">
        <is>
          <t xml:space="preserve">                            "frame_timestamp": timestamp,</t>
        </is>
      </c>
    </row>
    <row r="385">
      <c r="A385" s="9" t="n">
        <v>382</v>
      </c>
      <c r="B385" s="10" t="inlineStr">
        <is>
          <t xml:space="preserve">                            "frame_image_path": perm_path,</t>
        </is>
      </c>
    </row>
    <row r="386">
      <c r="A386" s="7" t="n">
        <v>383</v>
      </c>
      <c r="B386" s="8" t="inlineStr">
        <is>
          <t xml:space="preserve">                            "caption": caption[:500] if caption else "",</t>
        </is>
      </c>
    </row>
    <row r="387">
      <c r="A387" s="9" t="n">
        <v>384</v>
      </c>
      <c r="B387" s="10" t="inlineStr">
        <is>
          <t xml:space="preserve">                            "objects": objects_str,</t>
        </is>
      </c>
    </row>
    <row r="388">
      <c r="A388" s="7" t="n">
        <v>385</v>
      </c>
      <c r="B388" s="8" t="inlineStr">
        <is>
          <t xml:space="preserve">                            "materials": materials_str,</t>
        </is>
      </c>
    </row>
    <row r="389">
      <c r="A389" s="9" t="n">
        <v>386</v>
      </c>
      <c r="B389" s="10" t="inlineStr">
        <is>
          <t xml:space="preserve">                            "colors": colors_str,</t>
        </is>
      </c>
    </row>
    <row r="390">
      <c r="A390" s="7" t="n">
        <v>387</v>
      </c>
      <c r="B390" s="8" t="inlineStr">
        <is>
          <t xml:space="preserve">                            "style": style,</t>
        </is>
      </c>
    </row>
    <row r="391">
      <c r="A391" s="9" t="n">
        <v>388</v>
      </c>
      <c r="B391" s="10" t="inlineStr">
        <is>
          <t xml:space="preserve">                            "scene_type": scene_type,</t>
        </is>
      </c>
    </row>
    <row r="392">
      <c r="A392" s="7" t="n">
        <v>389</v>
      </c>
      <c r="B392" s="8" t="inlineStr">
        <is>
          <t xml:space="preserve">                            "model_confidence": 0.8,</t>
        </is>
      </c>
    </row>
    <row r="393">
      <c r="A393" s="9" t="n">
        <v>390</v>
      </c>
      <c r="B393" s="10" t="inlineStr">
        <is>
          <t xml:space="preserve">                        }</t>
        </is>
      </c>
    </row>
    <row r="394">
      <c r="A394" s="7" t="n">
        <v>391</v>
      </c>
      <c r="B394" s="8" t="inlineStr"/>
    </row>
    <row r="395">
      <c r="A395" s="9" t="n">
        <v>392</v>
      </c>
      <c r="B395" s="10" t="inlineStr">
        <is>
          <t xml:space="preserve">                        with self._lock:</t>
        </is>
      </c>
    </row>
    <row r="396">
      <c r="A396" s="7" t="n">
        <v>393</v>
      </c>
      <c r="B396" s="8" t="inlineStr">
        <is>
          <t xml:space="preserve">                            frame_id = self._db.insert_frame(frame_data)</t>
        </is>
      </c>
    </row>
    <row r="397">
      <c r="A397" s="9" t="n">
        <v>394</v>
      </c>
      <c r="B397" s="10" t="inlineStr"/>
    </row>
    <row r="398">
      <c r="A398" s="7" t="n">
        <v>395</v>
      </c>
      <c r="B398" s="8" t="inlineStr">
        <is>
          <t xml:space="preserve">                        result["saved_frames"] += 1</t>
        </is>
      </c>
    </row>
    <row r="399">
      <c r="A399" s="9" t="n">
        <v>396</v>
      </c>
      <c r="B399" s="10" t="inlineStr">
        <is>
          <t xml:space="preserve">                        frame_data["id"] = frame_id</t>
        </is>
      </c>
    </row>
    <row r="400">
      <c r="A400" s="7" t="n">
        <v>397</v>
      </c>
      <c r="B400" s="8" t="inlineStr">
        <is>
          <t xml:space="preserve">                        frame_data["is_island"] = _is_island_related(analysis)</t>
        </is>
      </c>
    </row>
    <row r="401">
      <c r="A401" s="9" t="n">
        <v>398</v>
      </c>
      <c r="B401" s="10" t="inlineStr">
        <is>
          <t xml:space="preserve">                        result["frames_data"].append(frame_data)</t>
        </is>
      </c>
    </row>
    <row r="402">
      <c r="A402" s="7" t="n">
        <v>399</v>
      </c>
      <c r="B402" s="8" t="inlineStr"/>
    </row>
    <row r="403">
      <c r="A403" s="9" t="n">
        <v>400</v>
      </c>
      <c r="B403" s="10" t="inlineStr">
        <is>
          <t xml:space="preserve">                        if frame_data["is_island"]:</t>
        </is>
      </c>
    </row>
    <row r="404">
      <c r="A404" s="7" t="n">
        <v>401</v>
      </c>
      <c r="B404" s="8" t="inlineStr">
        <is>
          <t xml:space="preserve">                            self.island_frames += 1</t>
        </is>
      </c>
    </row>
    <row r="405">
      <c r="A405" s="9" t="n">
        <v>402</v>
      </c>
      <c r="B405" s="10" t="inlineStr">
        <is>
          <t xml:space="preserve">                            result["island_frames"] += 1</t>
        </is>
      </c>
    </row>
    <row r="406">
      <c r="A406" s="7" t="n">
        <v>403</v>
      </c>
      <c r="B406" s="8" t="inlineStr"/>
    </row>
    <row r="407">
      <c r="A407" s="9" t="n">
        <v>404</v>
      </c>
      <c r="B407" s="10" t="inlineStr">
        <is>
          <t xml:space="preserve">                            # 岛台帧 → 同步写入 materials 表</t>
        </is>
      </c>
    </row>
    <row r="408">
      <c r="A408" s="7" t="n">
        <v>405</v>
      </c>
      <c r="B408" s="8" t="inlineStr">
        <is>
          <t xml:space="preserve">                            self._save_to_materials(</t>
        </is>
      </c>
    </row>
    <row r="409">
      <c r="A409" s="9" t="n">
        <v>406</v>
      </c>
      <c r="B409" s="10" t="inlineStr">
        <is>
          <t xml:space="preserve">                                video_path, timestamp, duration,</t>
        </is>
      </c>
    </row>
    <row r="410">
      <c r="A410" s="7" t="n">
        <v>407</v>
      </c>
      <c r="B410" s="8" t="inlineStr">
        <is>
          <t xml:space="preserve">                                analysis, objects_str, materials_str,</t>
        </is>
      </c>
    </row>
    <row r="411">
      <c r="A411" s="9" t="n">
        <v>408</v>
      </c>
      <c r="B411" s="10" t="inlineStr">
        <is>
          <t xml:space="preserve">                                colors_str, style, source_folder</t>
        </is>
      </c>
    </row>
    <row r="412">
      <c r="A412" s="7" t="n">
        <v>409</v>
      </c>
      <c r="B412" s="8" t="inlineStr">
        <is>
          <t xml:space="preserve">                            )</t>
        </is>
      </c>
    </row>
    <row r="413">
      <c r="A413" s="9" t="n">
        <v>410</v>
      </c>
      <c r="B413" s="10" t="inlineStr"/>
    </row>
    <row r="414">
      <c r="A414" s="7" t="n">
        <v>411</v>
      </c>
      <c r="B414" s="8" t="inlineStr">
        <is>
          <t xml:space="preserve">                        if on_frame_callback:</t>
        </is>
      </c>
    </row>
    <row r="415">
      <c r="A415" s="9" t="n">
        <v>412</v>
      </c>
      <c r="B415" s="10" t="inlineStr">
        <is>
          <t xml:space="preserve">                            on_frame_callback(frame_data)</t>
        </is>
      </c>
    </row>
    <row r="416">
      <c r="A416" s="7" t="n">
        <v>413</v>
      </c>
      <c r="B416" s="8" t="inlineStr"/>
    </row>
    <row r="417">
      <c r="A417" s="9" t="n">
        <v>414</v>
      </c>
      <c r="B417" s="10" t="inlineStr">
        <is>
          <t xml:space="preserve">                        # 每帧后删除临时文件，释放磁盘</t>
        </is>
      </c>
    </row>
    <row r="418">
      <c r="A418" s="7" t="n">
        <v>415</v>
      </c>
      <c r="B418" s="8" t="inlineStr">
        <is>
          <t xml:space="preserve">                        try:</t>
        </is>
      </c>
    </row>
    <row r="419">
      <c r="A419" s="9" t="n">
        <v>416</v>
      </c>
      <c r="B419" s="10" t="inlineStr">
        <is>
          <t xml:space="preserve">                            os.remove(tmp_path)</t>
        </is>
      </c>
    </row>
    <row r="420">
      <c r="A420" s="7" t="n">
        <v>417</v>
      </c>
      <c r="B420" s="8" t="inlineStr">
        <is>
          <t xml:space="preserve">                        except Exception:</t>
        </is>
      </c>
    </row>
    <row r="421">
      <c r="A421" s="9" t="n">
        <v>418</v>
      </c>
      <c r="B421" s="10" t="inlineStr">
        <is>
          <t xml:space="preserve">                            pass</t>
        </is>
      </c>
    </row>
    <row r="422">
      <c r="A422" s="7" t="n">
        <v>419</v>
      </c>
      <c r="B422" s="8" t="inlineStr"/>
    </row>
    <row r="423">
      <c r="A423" s="9" t="n">
        <v>420</v>
      </c>
      <c r="B423" s="10" t="inlineStr">
        <is>
          <t xml:space="preserve">                    except Exception as e:</t>
        </is>
      </c>
    </row>
    <row r="424">
      <c r="A424" s="7" t="n">
        <v>421</v>
      </c>
      <c r="B424" s="8" t="inlineStr">
        <is>
          <t xml:space="preserve">                        if log_callback:</t>
        </is>
      </c>
    </row>
    <row r="425">
      <c r="A425" s="9" t="n">
        <v>422</v>
      </c>
      <c r="B425" s="10" t="inlineStr">
        <is>
          <t xml:space="preserve">                            log_callback(f"  ⚠ 帧@{timestamp:.1f}s: {e}")</t>
        </is>
      </c>
    </row>
    <row r="426">
      <c r="A426" s="7" t="n">
        <v>423</v>
      </c>
      <c r="B426" s="8" t="inlineStr">
        <is>
          <t xml:space="preserve">                        try:</t>
        </is>
      </c>
    </row>
    <row r="427">
      <c r="A427" s="9" t="n">
        <v>424</v>
      </c>
      <c r="B427" s="10" t="inlineStr">
        <is>
          <t xml:space="preserve">                            os.remove(tmp_path)</t>
        </is>
      </c>
    </row>
    <row r="428">
      <c r="A428" s="7" t="n">
        <v>425</v>
      </c>
      <c r="B428" s="8" t="inlineStr">
        <is>
          <t xml:space="preserve">                        except Exception:</t>
        </is>
      </c>
    </row>
    <row r="429">
      <c r="A429" s="9" t="n">
        <v>426</v>
      </c>
      <c r="B429" s="10" t="inlineStr">
        <is>
          <t xml:space="preserve">                            pass</t>
        </is>
      </c>
    </row>
    <row r="430">
      <c r="A430" s="7" t="n">
        <v>427</v>
      </c>
      <c r="B430" s="8" t="inlineStr">
        <is>
          <t xml:space="preserve">                        continue</t>
        </is>
      </c>
    </row>
    <row r="431">
      <c r="A431" s="9" t="n">
        <v>428</v>
      </c>
      <c r="B431" s="10" t="inlineStr"/>
    </row>
    <row r="432">
      <c r="A432" s="7" t="n">
        <v>429</v>
      </c>
      <c r="B432" s="8" t="inlineStr">
        <is>
          <t xml:space="preserve">            finally:</t>
        </is>
      </c>
    </row>
    <row r="433">
      <c r="A433" s="9" t="n">
        <v>430</v>
      </c>
      <c r="B433" s="10" t="inlineStr">
        <is>
          <t xml:space="preserve">                try:</t>
        </is>
      </c>
    </row>
    <row r="434">
      <c r="A434" s="7" t="n">
        <v>431</v>
      </c>
      <c r="B434" s="8" t="inlineStr">
        <is>
          <t xml:space="preserve">                    shutil.rmtree(tmp_dir, ignore_errors=True)</t>
        </is>
      </c>
    </row>
    <row r="435">
      <c r="A435" s="9" t="n">
        <v>432</v>
      </c>
      <c r="B435" s="10" t="inlineStr">
        <is>
          <t xml:space="preserve">                except Exception:</t>
        </is>
      </c>
    </row>
    <row r="436">
      <c r="A436" s="7" t="n">
        <v>433</v>
      </c>
      <c r="B436" s="8" t="inlineStr">
        <is>
          <t xml:space="preserve">                    pass</t>
        </is>
      </c>
    </row>
    <row r="437">
      <c r="A437" s="9" t="n">
        <v>434</v>
      </c>
      <c r="B437" s="10" t="inlineStr"/>
    </row>
    <row r="438">
      <c r="A438" s="7" t="n">
        <v>435</v>
      </c>
      <c r="B438" s="8" t="inlineStr">
        <is>
          <t xml:space="preserve">            # 标记已分析</t>
        </is>
      </c>
    </row>
    <row r="439">
      <c r="A439" s="9" t="n">
        <v>436</v>
      </c>
      <c r="B439" s="10" t="inlineStr">
        <is>
          <t xml:space="preserve">            self._mark_analyzed(video_path, duration)</t>
        </is>
      </c>
    </row>
    <row r="440">
      <c r="A440" s="7" t="n">
        <v>437</v>
      </c>
      <c r="B440" s="8" t="inlineStr"/>
    </row>
    <row r="441">
      <c r="A441" s="9" t="n">
        <v>438</v>
      </c>
      <c r="B441" s="10" t="inlineStr">
        <is>
          <t xml:space="preserve">        except Exception as e:</t>
        </is>
      </c>
    </row>
    <row r="442">
      <c r="A442" s="7" t="n">
        <v>439</v>
      </c>
      <c r="B442" s="8" t="inlineStr">
        <is>
          <t xml:space="preserve">            result["error"] = str(e)</t>
        </is>
      </c>
    </row>
    <row r="443">
      <c r="A443" s="9" t="n">
        <v>440</v>
      </c>
      <c r="B443" s="10" t="inlineStr">
        <is>
          <t xml:space="preserve">            import traceback</t>
        </is>
      </c>
    </row>
    <row r="444">
      <c r="A444" s="7" t="n">
        <v>441</v>
      </c>
      <c r="B444" s="8" t="inlineStr">
        <is>
          <t xml:space="preserve">            traceback.print_exc()</t>
        </is>
      </c>
    </row>
    <row r="445">
      <c r="A445" s="9" t="n">
        <v>442</v>
      </c>
      <c r="B445" s="10" t="inlineStr"/>
    </row>
    <row r="446">
      <c r="A446" s="7" t="n">
        <v>443</v>
      </c>
      <c r="B446" s="8" t="inlineStr">
        <is>
          <t xml:space="preserve">        return result</t>
        </is>
      </c>
    </row>
    <row r="447">
      <c r="A447" s="9" t="n">
        <v>444</v>
      </c>
      <c r="B447" s="10" t="inlineStr"/>
    </row>
    <row r="448">
      <c r="A448" s="7" t="n">
        <v>445</v>
      </c>
      <c r="B448" s="8" t="inlineStr">
        <is>
          <t xml:space="preserve">    def _save_to_materials(self, video_path, timestamp, duration,</t>
        </is>
      </c>
    </row>
    <row r="449">
      <c r="A449" s="9" t="n">
        <v>446</v>
      </c>
      <c r="B449" s="10" t="inlineStr">
        <is>
          <t xml:space="preserve">                           analysis, objects_str, materials_str,</t>
        </is>
      </c>
    </row>
    <row r="450">
      <c r="A450" s="7" t="n">
        <v>447</v>
      </c>
      <c r="B450" s="8" t="inlineStr">
        <is>
          <t xml:space="preserve">                           colors_str, style, source_folder):</t>
        </is>
      </c>
    </row>
    <row r="451">
      <c r="A451" s="9" t="n">
        <v>448</v>
      </c>
      <c r="B451" s="10" t="inlineStr">
        <is>
          <t xml:space="preserve">        """将岛台帧同步写入 materials 表"""</t>
        </is>
      </c>
    </row>
    <row r="452">
      <c r="A452" s="7" t="n">
        <v>449</v>
      </c>
      <c r="B452" s="8" t="inlineStr">
        <is>
          <t xml:space="preserve">        try:</t>
        </is>
      </c>
    </row>
    <row r="453">
      <c r="A453" s="9" t="n">
        <v>450</v>
      </c>
      <c r="B453" s="10" t="inlineStr">
        <is>
          <t xml:space="preserve">            all_tags = set(analysis.get("objects", []))</t>
        </is>
      </c>
    </row>
    <row r="454">
      <c r="A454" s="7" t="n">
        <v>451</v>
      </c>
      <c r="B454" s="8" t="inlineStr">
        <is>
          <t xml:space="preserve">            all_tags.update(analysis.get("materials", []))</t>
        </is>
      </c>
    </row>
    <row r="455">
      <c r="A455" s="9" t="n">
        <v>452</v>
      </c>
      <c r="B455" s="10" t="inlineStr">
        <is>
          <t xml:space="preserve">            db_data = {</t>
        </is>
      </c>
    </row>
    <row r="456">
      <c r="A456" s="7" t="n">
        <v>453</v>
      </c>
      <c r="B456" s="8" t="inlineStr">
        <is>
          <t xml:space="preserve">                "video_path": video_path,</t>
        </is>
      </c>
    </row>
    <row r="457">
      <c r="A457" s="9" t="n">
        <v>454</v>
      </c>
      <c r="B457" s="10" t="inlineStr">
        <is>
          <t xml:space="preserve">                "start_time": max(0, timestamp - 1.5),</t>
        </is>
      </c>
    </row>
    <row r="458">
      <c r="A458" s="7" t="n">
        <v>455</v>
      </c>
      <c r="B458" s="8" t="inlineStr">
        <is>
          <t xml:space="preserve">                "end_time": min(duration, timestamp + 1.5),</t>
        </is>
      </c>
    </row>
    <row r="459">
      <c r="A459" s="9" t="n">
        <v>456</v>
      </c>
      <c r="B459" s="10" t="inlineStr">
        <is>
          <t xml:space="preserve">                "tags": " ".join(sorted(all_tags)),</t>
        </is>
      </c>
    </row>
    <row r="460">
      <c r="A460" s="7" t="n">
        <v>457</v>
      </c>
      <c r="B460" s="8" t="inlineStr">
        <is>
          <t xml:space="preserve">                "objects": objects_str,</t>
        </is>
      </c>
    </row>
    <row r="461">
      <c r="A461" s="9" t="n">
        <v>458</v>
      </c>
      <c r="B461" s="10" t="inlineStr">
        <is>
          <t xml:space="preserve">                "style": style,</t>
        </is>
      </c>
    </row>
    <row r="462">
      <c r="A462" s="7" t="n">
        <v>459</v>
      </c>
      <c r="B462" s="8" t="inlineStr">
        <is>
          <t xml:space="preserve">                "color": colors_str,</t>
        </is>
      </c>
    </row>
    <row r="463">
      <c r="A463" s="9" t="n">
        <v>460</v>
      </c>
      <c r="B463" s="10" t="inlineStr">
        <is>
          <t xml:space="preserve">                "material": materials_str,</t>
        </is>
      </c>
    </row>
    <row r="464">
      <c r="A464" s="7" t="n">
        <v>461</v>
      </c>
      <c r="B464" s="8" t="inlineStr">
        <is>
          <t xml:space="preserve">                "speech_text": "",</t>
        </is>
      </c>
    </row>
    <row r="465">
      <c r="A465" s="9" t="n">
        <v>462</v>
      </c>
      <c r="B465" s="10" t="inlineStr">
        <is>
          <t xml:space="preserve">                "confidence": 0.8,</t>
        </is>
      </c>
    </row>
    <row r="466">
      <c r="A466" s="7" t="n">
        <v>463</v>
      </c>
      <c r="B466" s="8" t="inlineStr">
        <is>
          <t xml:space="preserve">                "embedding": None,</t>
        </is>
      </c>
    </row>
    <row r="467">
      <c r="A467" s="9" t="n">
        <v>464</v>
      </c>
      <c r="B467" s="10" t="inlineStr">
        <is>
          <t xml:space="preserve">                "source_folder": source_folder,</t>
        </is>
      </c>
    </row>
    <row r="468">
      <c r="A468" s="7" t="n">
        <v>465</v>
      </c>
      <c r="B468" s="8" t="inlineStr">
        <is>
          <t xml:space="preserve">                "duration": duration,</t>
        </is>
      </c>
    </row>
    <row r="469">
      <c r="A469" s="9" t="n">
        <v>466</v>
      </c>
      <c r="B469" s="10" t="inlineStr">
        <is>
          <t xml:space="preserve">                "file_size": os.path.getsize(video_path),</t>
        </is>
      </c>
    </row>
    <row r="470">
      <c r="A470" s="7" t="n">
        <v>467</v>
      </c>
      <c r="B470" s="8" t="inlineStr">
        <is>
          <t xml:space="preserve">                "file_mtime": os.path.getmtime(video_path),</t>
        </is>
      </c>
    </row>
    <row r="471">
      <c r="A471" s="9" t="n">
        <v>468</v>
      </c>
      <c r="B471" s="10" t="inlineStr">
        <is>
          <t xml:space="preserve">            }</t>
        </is>
      </c>
    </row>
    <row r="472">
      <c r="A472" s="7" t="n">
        <v>469</v>
      </c>
      <c r="B472" s="8" t="inlineStr">
        <is>
          <t xml:space="preserve">            self._db.insert_analysis(db_data, ["qwen3-vl"])</t>
        </is>
      </c>
    </row>
    <row r="473">
      <c r="A473" s="9" t="n">
        <v>470</v>
      </c>
      <c r="B473" s="10" t="inlineStr">
        <is>
          <t xml:space="preserve">            self.saved_count += 1</t>
        </is>
      </c>
    </row>
    <row r="474">
      <c r="A474" s="7" t="n">
        <v>471</v>
      </c>
      <c r="B474" s="8" t="inlineStr">
        <is>
          <t xml:space="preserve">        except Exception:</t>
        </is>
      </c>
    </row>
    <row r="475">
      <c r="A475" s="9" t="n">
        <v>472</v>
      </c>
      <c r="B475" s="10" t="inlineStr">
        <is>
          <t xml:space="preserve">            pass</t>
        </is>
      </c>
    </row>
    <row r="476">
      <c r="A476" s="7" t="n">
        <v>473</v>
      </c>
      <c r="B476" s="8" t="inlineStr"/>
    </row>
    <row r="477">
      <c r="A477" s="9" t="n">
        <v>474</v>
      </c>
      <c r="B477" s="10" t="inlineStr">
        <is>
          <t xml:space="preserve">    def _mark_analyzed(self, video_path: str, duration: float):</t>
        </is>
      </c>
    </row>
    <row r="478">
      <c r="A478" s="7" t="n">
        <v>475</v>
      </c>
      <c r="B478" s="8" t="inlineStr">
        <is>
          <t xml:space="preserve">        try:</t>
        </is>
      </c>
    </row>
    <row r="479">
      <c r="A479" s="9" t="n">
        <v>476</v>
      </c>
      <c r="B479" s="10" t="inlineStr">
        <is>
          <t xml:space="preserve">            with self._db.get_connection() as conn:</t>
        </is>
      </c>
    </row>
    <row r="480">
      <c r="A480" s="7" t="n">
        <v>477</v>
      </c>
      <c r="B480" s="8" t="inlineStr">
        <is>
          <t xml:space="preserve">                conn.execute("""</t>
        </is>
      </c>
    </row>
    <row r="481">
      <c r="A481" s="9" t="n">
        <v>478</v>
      </c>
      <c r="B481" s="10" t="inlineStr">
        <is>
          <t xml:space="preserve">                    INSERT OR REPLACE INTO video_registry</t>
        </is>
      </c>
    </row>
    <row r="482">
      <c r="A482" s="7" t="n">
        <v>479</v>
      </c>
      <c r="B482" s="8" t="inlineStr">
        <is>
          <t xml:space="preserve">                    (video_path, file_mtime, file_size, duration, analyzed, last_checked)</t>
        </is>
      </c>
    </row>
    <row r="483">
      <c r="A483" s="9" t="n">
        <v>480</v>
      </c>
      <c r="B483" s="10" t="inlineStr">
        <is>
          <t xml:space="preserve">                    VALUES (?,?,?,?,1,CURRENT_TIMESTAMP)</t>
        </is>
      </c>
    </row>
    <row r="484">
      <c r="A484" s="7" t="n">
        <v>481</v>
      </c>
      <c r="B484" s="8" t="inlineStr">
        <is>
          <t xml:space="preserve">                """, (video_path,</t>
        </is>
      </c>
    </row>
    <row r="485">
      <c r="A485" s="9" t="n">
        <v>482</v>
      </c>
      <c r="B485" s="10" t="inlineStr">
        <is>
          <t xml:space="preserve">                     os.path.getmtime(video_path),</t>
        </is>
      </c>
    </row>
    <row r="486">
      <c r="A486" s="7" t="n">
        <v>483</v>
      </c>
      <c r="B486" s="8" t="inlineStr">
        <is>
          <t xml:space="preserve">                     os.path.getsize(video_path),</t>
        </is>
      </c>
    </row>
    <row r="487">
      <c r="A487" s="9" t="n">
        <v>484</v>
      </c>
      <c r="B487" s="10" t="inlineStr">
        <is>
          <t xml:space="preserve">                     duration))</t>
        </is>
      </c>
    </row>
    <row r="488">
      <c r="A488" s="7" t="n">
        <v>485</v>
      </c>
      <c r="B488" s="8" t="inlineStr">
        <is>
          <t xml:space="preserve">                conn.execute("""</t>
        </is>
      </c>
    </row>
    <row r="489">
      <c r="A489" s="9" t="n">
        <v>486</v>
      </c>
      <c r="B489" s="10" t="inlineStr">
        <is>
          <t xml:space="preserve">                    UPDATE materials SET has_frames = 1</t>
        </is>
      </c>
    </row>
    <row r="490">
      <c r="A490" s="7" t="n">
        <v>487</v>
      </c>
      <c r="B490" s="8" t="inlineStr">
        <is>
          <t xml:space="preserve">                    WHERE video_path = ? AND analyzed = 1</t>
        </is>
      </c>
    </row>
    <row r="491">
      <c r="A491" s="9" t="n">
        <v>488</v>
      </c>
      <c r="B491" s="10" t="inlineStr">
        <is>
          <t xml:space="preserve">                """, (video_path,))</t>
        </is>
      </c>
    </row>
    <row r="492">
      <c r="A492" s="7" t="n">
        <v>489</v>
      </c>
      <c r="B492" s="8" t="inlineStr">
        <is>
          <t xml:space="preserve">        except Exception:</t>
        </is>
      </c>
    </row>
    <row r="493">
      <c r="A493" s="9" t="n">
        <v>490</v>
      </c>
      <c r="B493" s="10" t="inlineStr">
        <is>
          <t xml:space="preserve">            pass</t>
        </is>
      </c>
    </row>
    <row r="494">
      <c r="A494" s="7" t="n">
        <v>491</v>
      </c>
      <c r="B494" s="8" t="inlineStr">
        <is>
          <t xml:space="preserve">        self._db._notify_changed(video_path)</t>
        </is>
      </c>
    </row>
    <row r="495">
      <c r="A495" s="9" t="n">
        <v>492</v>
      </c>
      <c r="B495" s="10" t="inlineStr"/>
    </row>
    <row r="496">
      <c r="A496" s="7" t="n">
        <v>493</v>
      </c>
      <c r="B496" s="8" t="inlineStr">
        <is>
          <t xml:space="preserve">    def _infer_scene_type(self, caption: str, objects_str: str) -&gt; str:</t>
        </is>
      </c>
    </row>
    <row r="497">
      <c r="A497" s="9" t="n">
        <v>494</v>
      </c>
      <c r="B497" s="10" t="inlineStr">
        <is>
          <t xml:space="preserve">        combined = (caption + " " + objects_str).lower()</t>
        </is>
      </c>
    </row>
    <row r="498">
      <c r="A498" s="7" t="n">
        <v>495</v>
      </c>
      <c r="B498" s="8" t="inlineStr">
        <is>
          <t xml:space="preserve">        if any(kw in combined for kw in ["厨房", "岛台", "台面", "水槽"]):</t>
        </is>
      </c>
    </row>
    <row r="499">
      <c r="A499" s="9" t="n">
        <v>496</v>
      </c>
      <c r="B499" s="10" t="inlineStr">
        <is>
          <t xml:space="preserve">            return "厨房/岛台"</t>
        </is>
      </c>
    </row>
    <row r="500">
      <c r="A500" s="7" t="n">
        <v>497</v>
      </c>
      <c r="B500" s="8" t="inlineStr">
        <is>
          <t xml:space="preserve">        elif any(kw in combined for kw in ["客厅", "沙发"]):</t>
        </is>
      </c>
    </row>
    <row r="501">
      <c r="A501" s="9" t="n">
        <v>498</v>
      </c>
      <c r="B501" s="10" t="inlineStr">
        <is>
          <t xml:space="preserve">            return "客厅"</t>
        </is>
      </c>
    </row>
    <row r="502">
      <c r="A502" s="7" t="n">
        <v>499</v>
      </c>
      <c r="B502" s="8" t="inlineStr">
        <is>
          <t xml:space="preserve">        elif any(kw in combined for kw in ["餐桌", "餐边柜", "吧台"]):</t>
        </is>
      </c>
    </row>
    <row r="503">
      <c r="A503" s="9" t="n">
        <v>500</v>
      </c>
      <c r="B503" s="10" t="inlineStr">
        <is>
          <t xml:space="preserve">            return "餐厅"</t>
        </is>
      </c>
    </row>
    <row r="504">
      <c r="A504" s="7" t="n">
        <v>501</v>
      </c>
      <c r="B504" s="8" t="inlineStr">
        <is>
          <t xml:space="preserve">        elif any(kw in combined for kw in ["户外", "花园", "阳台"]):</t>
        </is>
      </c>
    </row>
    <row r="505">
      <c r="A505" s="9" t="n">
        <v>502</v>
      </c>
      <c r="B505" s="10" t="inlineStr">
        <is>
          <t xml:space="preserve">            return "户外"</t>
        </is>
      </c>
    </row>
    <row r="506">
      <c r="A506" s="7" t="n">
        <v>503</v>
      </c>
      <c r="B506" s="8" t="inlineStr">
        <is>
          <t xml:space="preserve">        elif any(kw in combined for kw in ["工厂", "车间", "生产"]):</t>
        </is>
      </c>
    </row>
    <row r="507">
      <c r="A507" s="9" t="n">
        <v>504</v>
      </c>
      <c r="B507" s="10" t="inlineStr">
        <is>
          <t xml:space="preserve">            return "工厂"</t>
        </is>
      </c>
    </row>
    <row r="508">
      <c r="A508" s="7" t="n">
        <v>505</v>
      </c>
      <c r="B508" s="8" t="inlineStr">
        <is>
          <t xml:space="preserve">        elif any(kw in combined for kw in ["石材", "岩板", "大理石"]):</t>
        </is>
      </c>
    </row>
    <row r="509">
      <c r="A509" s="9" t="n">
        <v>506</v>
      </c>
      <c r="B509" s="10" t="inlineStr">
        <is>
          <t xml:space="preserve">            return "建材展示"</t>
        </is>
      </c>
    </row>
    <row r="510">
      <c r="A510" s="7" t="n">
        <v>507</v>
      </c>
      <c r="B510" s="8" t="inlineStr">
        <is>
          <t xml:space="preserve">        return "其他"</t>
        </is>
      </c>
    </row>
    <row r="511">
      <c r="A511" s="9" t="n">
        <v>508</v>
      </c>
      <c r="B511" s="10" t="inlineStr"/>
    </row>
    <row r="512">
      <c r="A512" s="7" t="n">
        <v>509</v>
      </c>
      <c r="B512" s="8" t="inlineStr"/>
    </row>
    <row r="513">
      <c r="A513" s="9" t="n">
        <v>510</v>
      </c>
      <c r="B513" s="10" t="inlineStr">
        <is>
          <t># 全局单例</t>
        </is>
      </c>
    </row>
    <row r="514">
      <c r="A514" s="7" t="n">
        <v>511</v>
      </c>
      <c r="B514" s="8" t="inlineStr">
        <is>
          <t>_analyzer_instance = None</t>
        </is>
      </c>
    </row>
    <row r="515">
      <c r="A515" s="9" t="n">
        <v>512</v>
      </c>
      <c r="B515" s="10" t="inlineStr">
        <is>
          <t>_analyzer_lock = threading.Lock()</t>
        </is>
      </c>
    </row>
    <row r="516">
      <c r="A516" s="7" t="n">
        <v>513</v>
      </c>
      <c r="B516" s="8" t="inlineStr"/>
    </row>
    <row r="517">
      <c r="A517" s="9" t="n">
        <v>514</v>
      </c>
      <c r="B517" s="10" t="inlineStr"/>
    </row>
    <row r="518">
      <c r="A518" s="7" t="n">
        <v>515</v>
      </c>
      <c r="B518" s="8" t="inlineStr">
        <is>
          <t>def get_analyzer() -&gt; SmartVideoAnalyzer:</t>
        </is>
      </c>
    </row>
    <row r="519">
      <c r="A519" s="9" t="n">
        <v>516</v>
      </c>
      <c r="B519" s="10" t="inlineStr">
        <is>
          <t xml:space="preserve">    global _analyzer_instance</t>
        </is>
      </c>
    </row>
    <row r="520">
      <c r="A520" s="7" t="n">
        <v>517</v>
      </c>
      <c r="B520" s="8" t="inlineStr">
        <is>
          <t xml:space="preserve">    if _analyzer_instance is None:</t>
        </is>
      </c>
    </row>
    <row r="521">
      <c r="A521" s="9" t="n">
        <v>518</v>
      </c>
      <c r="B521" s="10" t="inlineStr">
        <is>
          <t xml:space="preserve">        with _analyzer_lock:</t>
        </is>
      </c>
    </row>
    <row r="522">
      <c r="A522" s="7" t="n">
        <v>519</v>
      </c>
      <c r="B522" s="8" t="inlineStr">
        <is>
          <t xml:space="preserve">            if _analyzer_instance is None:</t>
        </is>
      </c>
    </row>
    <row r="523">
      <c r="A523" s="9" t="n">
        <v>520</v>
      </c>
      <c r="B523" s="10" t="inlineStr">
        <is>
          <t xml:space="preserve">                _analyzer_instance = SmartVideoAnalyzer()</t>
        </is>
      </c>
    </row>
    <row r="524">
      <c r="A524" s="7" t="n">
        <v>521</v>
      </c>
      <c r="B524" s="8" t="inlineStr">
        <is>
          <t xml:space="preserve">    return _analyzer_instance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core\smart_match_engine.py</t>
        </is>
      </c>
      <c r="C1" s="5" t="inlineStr">
        <is>
          <t>行数: 207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v11.6 — 自适应匹配引擎 (Layered Dedup)</t>
        </is>
      </c>
    </row>
    <row r="6">
      <c r="A6" s="7" t="n">
        <v>3</v>
      </c>
      <c r="B6" s="8">
        <f>===================================================</f>
        <v/>
      </c>
    </row>
    <row r="7">
      <c r="A7" s="9" t="n">
        <v>4</v>
      </c>
      <c r="B7" s="10" t="inlineStr">
        <is>
          <t>三层去重 + 脚本素材偏好学习 + 全局热度衰减 + 强制差异化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核心函数:</t>
        </is>
      </c>
    </row>
    <row r="10">
      <c r="A10" s="7" t="n">
        <v>7</v>
      </c>
      <c r="B10" s="8" t="inlineStr">
        <is>
          <t xml:space="preserve">  get_adaptive_clips(query, num, session_used, script_hash, position)</t>
        </is>
      </c>
    </row>
    <row r="11">
      <c r="A11" s="9" t="n">
        <v>8</v>
      </c>
      <c r="B11" s="10" t="inlineStr">
        <is>
          <t xml:space="preserve">  → 返回去重+偏好调整+热度衰减后的素材列表</t>
        </is>
      </c>
    </row>
    <row r="12">
      <c r="A12" s="7" t="n">
        <v>9</v>
      </c>
      <c r="B12" s="8" t="inlineStr">
        <is>
          <t>"""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import hashlib, math</t>
        </is>
      </c>
    </row>
    <row r="15">
      <c r="A15" s="9" t="n">
        <v>12</v>
      </c>
      <c r="B15" s="10" t="inlineStr">
        <is>
          <t>from pathlib import Path</t>
        </is>
      </c>
    </row>
    <row r="16">
      <c r="A16" s="7" t="n">
        <v>13</v>
      </c>
      <c r="B16" s="8" t="inlineStr">
        <is>
          <t>from typing import List, Dict, Set, Optional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# 全局热度: usage_count -&gt; 衰减因子</t>
        </is>
      </c>
    </row>
    <row r="19">
      <c r="A19" s="9" t="n">
        <v>16</v>
      </c>
      <c r="B19" s="10" t="inlineStr">
        <is>
          <t>def _decay_factor(usage_count: int) -&gt; float:</t>
        </is>
      </c>
    </row>
    <row r="20">
      <c r="A20" s="7" t="n">
        <v>17</v>
      </c>
      <c r="B20" s="8" t="inlineStr">
        <is>
          <t xml:space="preserve">    """1 / (log(count+2) + 0.3) — 使用越多权重越低"""</t>
        </is>
      </c>
    </row>
    <row r="21">
      <c r="A21" s="9" t="n">
        <v>18</v>
      </c>
      <c r="B21" s="10" t="inlineStr">
        <is>
          <t xml:space="preserve">    return 1.0 / (math.log(usage_count + 2) + 0.3)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def script_hash(text: str) -&gt; str:</t>
        </is>
      </c>
    </row>
    <row r="25">
      <c r="A25" s="9" t="n">
        <v>22</v>
      </c>
      <c r="B25" s="10" t="inlineStr">
        <is>
          <t xml:space="preserve">    """SHA256 前 16 位"""</t>
        </is>
      </c>
    </row>
    <row r="26">
      <c r="A26" s="7" t="n">
        <v>23</v>
      </c>
      <c r="B26" s="8" t="inlineStr">
        <is>
          <t xml:space="preserve">    return hashlib.sha256(text.encode()).hexdigest()[:16]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/>
    </row>
    <row r="29">
      <c r="A29" s="9" t="n">
        <v>26</v>
      </c>
      <c r="B29" s="10" t="inlineStr">
        <is>
          <t>def get_adaptive_clips(</t>
        </is>
      </c>
    </row>
    <row r="30">
      <c r="A30" s="7" t="n">
        <v>27</v>
      </c>
      <c r="B30" s="8" t="inlineStr">
        <is>
          <t xml:space="preserve">    query: str,</t>
        </is>
      </c>
    </row>
    <row r="31">
      <c r="A31" s="9" t="n">
        <v>28</v>
      </c>
      <c r="B31" s="10" t="inlineStr">
        <is>
          <t xml:space="preserve">    num_clips: int = 8,</t>
        </is>
      </c>
    </row>
    <row r="32">
      <c r="A32" s="7" t="n">
        <v>29</v>
      </c>
      <c r="B32" s="8" t="inlineStr">
        <is>
          <t xml:space="preserve">    session_used: Set[str] = None,</t>
        </is>
      </c>
    </row>
    <row r="33">
      <c r="A33" s="9" t="n">
        <v>30</v>
      </c>
      <c r="B33" s="10" t="inlineStr">
        <is>
          <t xml:space="preserve">    shash: str = None,</t>
        </is>
      </c>
    </row>
    <row r="34">
      <c r="A34" s="7" t="n">
        <v>31</v>
      </c>
      <c r="B34" s="8" t="inlineStr">
        <is>
          <t xml:space="preserve">    position: str = "middle",</t>
        </is>
      </c>
    </row>
    <row r="35">
      <c r="A35" s="9" t="n">
        <v>32</v>
      </c>
      <c r="B35" s="10" t="inlineStr">
        <is>
          <t>) -&gt; List[Dict]:</t>
        </is>
      </c>
    </row>
    <row r="36">
      <c r="A36" s="7" t="n">
        <v>33</v>
      </c>
      <c r="B36" s="8" t="inlineStr">
        <is>
          <t xml:space="preserve">    """</t>
        </is>
      </c>
    </row>
    <row r="37">
      <c r="A37" s="9" t="n">
        <v>34</v>
      </c>
      <c r="B37" s="10" t="inlineStr">
        <is>
          <t xml:space="preserve">    自适应素材匹配，自动去重+偏好加权+热度衰减。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 xml:space="preserve">    返回:</t>
        </is>
      </c>
    </row>
    <row r="40">
      <c r="A40" s="7" t="n">
        <v>37</v>
      </c>
      <c r="B40" s="8" t="inlineStr">
        <is>
          <t xml:space="preserve">      [{"path": Path, "source_start": float, "duration": float,</t>
        </is>
      </c>
    </row>
    <row r="41">
      <c r="A41" s="9" t="n">
        <v>38</v>
      </c>
      <c r="B41" s="10" t="inlineStr">
        <is>
          <t xml:space="preserve">        "speed": float, "match_score": float, "match_method": str}, ...]</t>
        </is>
      </c>
    </row>
    <row r="42">
      <c r="A42" s="7" t="n">
        <v>39</v>
      </c>
      <c r="B42" s="8" t="inlineStr">
        <is>
          <t xml:space="preserve">    """</t>
        </is>
      </c>
    </row>
    <row r="43">
      <c r="A43" s="9" t="n">
        <v>40</v>
      </c>
      <c r="B43" s="10" t="inlineStr">
        <is>
          <t xml:space="preserve">    from material_engine_v3.core.smart_matcher import get_smart_matcher</t>
        </is>
      </c>
    </row>
    <row r="44">
      <c r="A44" s="7" t="n">
        <v>41</v>
      </c>
      <c r="B44" s="8" t="inlineStr">
        <is>
          <t xml:space="preserve">    import sqlite3 as _sq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>
        <is>
          <t xml:space="preserve">    sm = get_smart_matcher()</t>
        </is>
      </c>
    </row>
    <row r="47">
      <c r="A47" s="9" t="n">
        <v>44</v>
      </c>
      <c r="B47" s="10" t="inlineStr">
        <is>
          <t xml:space="preserve">    session_used = session_used or set()</t>
        </is>
      </c>
    </row>
    <row r="48">
      <c r="A48" s="7" t="n">
        <v>45</v>
      </c>
      <c r="B48" s="8" t="inlineStr">
        <is>
          <t xml:space="preserve">    main_db = str(Path(__file__).parent.parent / "ai_material_library.db")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 xml:space="preserve">    # ── Step 1: 基础匹配(3x候选) ──</t>
        </is>
      </c>
    </row>
    <row r="51">
      <c r="A51" s="9" t="n">
        <v>48</v>
      </c>
      <c r="B51" s="10" t="inlineStr">
        <is>
          <t xml:space="preserve">    candidates = sm.search(query, top_k=num_clips * 3)</t>
        </is>
      </c>
    </row>
    <row r="52">
      <c r="A52" s="7" t="n">
        <v>49</v>
      </c>
      <c r="B52" s="8" t="inlineStr">
        <is>
          <t xml:space="preserve">    if not candidates:</t>
        </is>
      </c>
    </row>
    <row r="53">
      <c r="A53" s="9" t="n">
        <v>50</v>
      </c>
      <c r="B53" s="10" t="inlineStr">
        <is>
          <t xml:space="preserve">        return []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>
        <is>
          <t xml:space="preserve">    # ── Step 2: 去重 + 评分调整 ──</t>
        </is>
      </c>
    </row>
    <row r="56">
      <c r="A56" s="7" t="n">
        <v>53</v>
      </c>
      <c r="B56" s="8" t="inlineStr">
        <is>
          <t xml:space="preserve">    seen_ids = set()</t>
        </is>
      </c>
    </row>
    <row r="57">
      <c r="A57" s="9" t="n">
        <v>54</v>
      </c>
      <c r="B57" s="10" t="inlineStr">
        <is>
          <t xml:space="preserve">    adjusted = []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>
        <is>
          <t xml:space="preserve">    # v12.0 修复: 预取全部候选素材的统计数据 — 消除 N+1 查询</t>
        </is>
      </c>
    </row>
    <row r="60">
      <c r="A60" s="7" t="n">
        <v>57</v>
      </c>
      <c r="B60" s="8" t="inlineStr">
        <is>
          <t xml:space="preserve">    all_vps = [c.get("video_path", "") for c in candidates if c.get("video_path")]</t>
        </is>
      </c>
    </row>
    <row r="61">
      <c r="A61" s="9" t="n">
        <v>58</v>
      </c>
      <c r="B61" s="10" t="inlineStr">
        <is>
          <t xml:space="preserve">    all_stats = _get_all_material_stats(all_vps, shash)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for c in candidates:</t>
        </is>
      </c>
    </row>
    <row r="64">
      <c r="A64" s="7" t="n">
        <v>61</v>
      </c>
      <c r="B64" s="8" t="inlineStr">
        <is>
          <t xml:space="preserve">        vp = c.get("video_path", "")</t>
        </is>
      </c>
    </row>
    <row r="65">
      <c r="A65" s="9" t="n">
        <v>62</v>
      </c>
      <c r="B65" s="10" t="inlineStr">
        <is>
          <t xml:space="preserve">        if not vp:</t>
        </is>
      </c>
    </row>
    <row r="66">
      <c r="A66" s="7" t="n">
        <v>63</v>
      </c>
      <c r="B66" s="8" t="inlineStr">
        <is>
          <t xml:space="preserve">            continue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>
        <is>
          <t xml:space="preserve">        # 强制去重 ─ 本次任务内绝不重复</t>
        </is>
      </c>
    </row>
    <row r="69">
      <c r="A69" s="9" t="n">
        <v>66</v>
      </c>
      <c r="B69" s="10" t="inlineStr">
        <is>
          <t xml:space="preserve">        if vp in session_used:</t>
        </is>
      </c>
    </row>
    <row r="70">
      <c r="A70" s="7" t="n">
        <v>67</v>
      </c>
      <c r="B70" s="8" t="inlineStr">
        <is>
          <t xml:space="preserve">            continue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 xml:space="preserve">        # 去重 ─ 同一视频不同段</t>
        </is>
      </c>
    </row>
    <row r="73">
      <c r="A73" s="9" t="n">
        <v>70</v>
      </c>
      <c r="B73" s="10" t="inlineStr">
        <is>
          <t xml:space="preserve">        cid = f"{vp}:{c.get('start_time', 0)}"</t>
        </is>
      </c>
    </row>
    <row r="74">
      <c r="A74" s="7" t="n">
        <v>71</v>
      </c>
      <c r="B74" s="8" t="inlineStr">
        <is>
          <t xml:space="preserve">        if cid in seen_ids:</t>
        </is>
      </c>
    </row>
    <row r="75">
      <c r="A75" s="9" t="n">
        <v>72</v>
      </c>
      <c r="B75" s="10" t="inlineStr">
        <is>
          <t xml:space="preserve">            continue</t>
        </is>
      </c>
    </row>
    <row r="76">
      <c r="A76" s="7" t="n">
        <v>73</v>
      </c>
      <c r="B76" s="8" t="inlineStr">
        <is>
          <t xml:space="preserve">        seen_ids.add(cid)</t>
        </is>
      </c>
    </row>
    <row r="77">
      <c r="A77" s="9" t="n">
        <v>74</v>
      </c>
      <c r="B77" s="10" t="inlineStr"/>
    </row>
    <row r="78">
      <c r="A78" s="7" t="n">
        <v>75</v>
      </c>
      <c r="B78" s="8" t="inlineStr">
        <is>
          <t xml:space="preserve">        base_score = float(c.get("score", 0.5))</t>
        </is>
      </c>
    </row>
    <row r="79">
      <c r="A79" s="9" t="n">
        <v>76</v>
      </c>
      <c r="B79" s="10" t="inlineStr">
        <is>
          <t xml:space="preserve">        stats = all_stats.get(vp, {"pref": 0.5, "usage": 0, "opening": 0})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 xml:space="preserve">        # 脚本偏好加成</t>
        </is>
      </c>
    </row>
    <row r="82">
      <c r="A82" s="7" t="n">
        <v>79</v>
      </c>
      <c r="B82" s="8" t="inlineStr">
        <is>
          <t xml:space="preserve">        pref = stats["pref"] if shash else 0.5</t>
        </is>
      </c>
    </row>
    <row r="83">
      <c r="A83" s="9" t="n">
        <v>80</v>
      </c>
      <c r="B83" s="10" t="inlineStr">
        <is>
          <t xml:space="preserve">        base_score *= (0.7 + 0.5 * pref)</t>
        </is>
      </c>
    </row>
    <row r="84">
      <c r="A84" s="7" t="n">
        <v>81</v>
      </c>
      <c r="B84" s="8" t="inlineStr"/>
    </row>
    <row r="85">
      <c r="A85" s="9" t="n">
        <v>82</v>
      </c>
      <c r="B85" s="10" t="inlineStr">
        <is>
          <t xml:space="preserve">        # 全局热度衰减</t>
        </is>
      </c>
    </row>
    <row r="86">
      <c r="A86" s="7" t="n">
        <v>83</v>
      </c>
      <c r="B86" s="8" t="inlineStr">
        <is>
          <t xml:space="preserve">        base_score *= _decay_factor(stats["usage"])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>
        <is>
          <t xml:space="preserve">        # 位置差异化 ─ 开场素材额外降权已用过的</t>
        </is>
      </c>
    </row>
    <row r="89">
      <c r="A89" s="9" t="n">
        <v>86</v>
      </c>
      <c r="B89" s="10" t="inlineStr">
        <is>
          <t xml:space="preserve">        if position == "opening" and stats["opening"] &gt; 1:</t>
        </is>
      </c>
    </row>
    <row r="90">
      <c r="A90" s="7" t="n">
        <v>87</v>
      </c>
      <c r="B90" s="8" t="inlineStr">
        <is>
          <t xml:space="preserve">            base_score *= 0.5  # 曾被用作开场的素材大幅降权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 xml:space="preserve">        c["adaptive_score"] = round(min(1.0, base_score), 3)</t>
        </is>
      </c>
    </row>
    <row r="93">
      <c r="A93" s="9" t="n">
        <v>90</v>
      </c>
      <c r="B93" s="10" t="inlineStr">
        <is>
          <t xml:space="preserve">        c["match_method"] = c.get("match_method", "") + "+自适应"</t>
        </is>
      </c>
    </row>
    <row r="94">
      <c r="A94" s="7" t="n">
        <v>91</v>
      </c>
      <c r="B94" s="8" t="inlineStr">
        <is>
          <t xml:space="preserve">        adjusted.append(c)</t>
        </is>
      </c>
    </row>
    <row r="95">
      <c r="A95" s="9" t="n">
        <v>92</v>
      </c>
      <c r="B95" s="10" t="inlineStr"/>
    </row>
    <row r="96">
      <c r="A96" s="7" t="n">
        <v>93</v>
      </c>
      <c r="B96" s="8" t="inlineStr">
        <is>
          <t xml:space="preserve">    # ── Step 3: 排序返回 ──</t>
        </is>
      </c>
    </row>
    <row r="97">
      <c r="A97" s="9" t="n">
        <v>94</v>
      </c>
      <c r="B97" s="10" t="inlineStr">
        <is>
          <t xml:space="preserve">    adjusted.sort(key=lambda x: -x.get("adaptive_score", 0))</t>
        </is>
      </c>
    </row>
    <row r="98">
      <c r="A98" s="7" t="n">
        <v>95</v>
      </c>
      <c r="B98" s="8" t="inlineStr"/>
    </row>
    <row r="99">
      <c r="A99" s="9" t="n">
        <v>96</v>
      </c>
      <c r="B99" s="10" t="inlineStr">
        <is>
          <t xml:space="preserve">    return adjusted[:num_clips]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/>
    </row>
    <row r="102">
      <c r="A102" s="7" t="n">
        <v>99</v>
      </c>
      <c r="B102" s="8" t="inlineStr">
        <is>
          <t># v12.0 修复: 将3次独立查询合并为1次批量查询 — 消除 N+1 问题</t>
        </is>
      </c>
    </row>
    <row r="103">
      <c r="A103" s="9" t="n">
        <v>100</v>
      </c>
      <c r="B103" s="10" t="inlineStr">
        <is>
          <t>_DB_PATH = str(Path(__file__).parent.parent / "ai_material_library.db")</t>
        </is>
      </c>
    </row>
    <row r="104">
      <c r="A104" s="7" t="n">
        <v>101</v>
      </c>
      <c r="B104" s="8" t="inlineStr"/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>def _get_all_material_stats(video_paths: list, shash: str = None) -&gt; dict:</t>
        </is>
      </c>
    </row>
    <row r="107">
      <c r="A107" s="9" t="n">
        <v>104</v>
      </c>
      <c r="B107" s="10" t="inlineStr">
        <is>
          <t xml:space="preserve">    """</t>
        </is>
      </c>
    </row>
    <row r="108">
      <c r="A108" s="7" t="n">
        <v>105</v>
      </c>
      <c r="B108" s="8" t="inlineStr">
        <is>
          <t xml:space="preserve">    批量获取素材统计信息 — 单次连接, 3次查询, 替代 N*3 次连接。</t>
        </is>
      </c>
    </row>
    <row r="109">
      <c r="A109" s="9" t="n">
        <v>106</v>
      </c>
      <c r="B109" s="10" t="inlineStr">
        <is>
          <t xml:space="preserve">    返回: {video_path: {"pref": float, "usage": int, "opening": int}}</t>
        </is>
      </c>
    </row>
    <row r="110">
      <c r="A110" s="7" t="n">
        <v>107</v>
      </c>
      <c r="B110" s="8" t="inlineStr">
        <is>
          <t xml:space="preserve">    """</t>
        </is>
      </c>
    </row>
    <row r="111">
      <c r="A111" s="9" t="n">
        <v>108</v>
      </c>
      <c r="B111" s="10" t="inlineStr">
        <is>
          <t xml:space="preserve">    result = {vp: {"pref": 0.5, "usage": 0, "opening": 0} for vp in video_paths}</t>
        </is>
      </c>
    </row>
    <row r="112">
      <c r="A112" s="7" t="n">
        <v>109</v>
      </c>
      <c r="B112" s="8" t="inlineStr">
        <is>
          <t xml:space="preserve">    try:</t>
        </is>
      </c>
    </row>
    <row r="113">
      <c r="A113" s="9" t="n">
        <v>110</v>
      </c>
      <c r="B113" s="10" t="inlineStr">
        <is>
          <t xml:space="preserve">        import sqlite3 as _sq</t>
        </is>
      </c>
    </row>
    <row r="114">
      <c r="A114" s="7" t="n">
        <v>111</v>
      </c>
      <c r="B114" s="8" t="inlineStr">
        <is>
          <t xml:space="preserve">        with _sq.connect(_DB_PATH) as db:</t>
        </is>
      </c>
    </row>
    <row r="115">
      <c r="A115" s="9" t="n">
        <v>112</v>
      </c>
      <c r="B115" s="10" t="inlineStr">
        <is>
          <t xml:space="preserve">            # 1. 偏好得分（批量）</t>
        </is>
      </c>
    </row>
    <row r="116">
      <c r="A116" s="7" t="n">
        <v>113</v>
      </c>
      <c r="B116" s="8" t="inlineStr">
        <is>
          <t xml:space="preserve">            if shash:</t>
        </is>
      </c>
    </row>
    <row r="117">
      <c r="A117" s="9" t="n">
        <v>114</v>
      </c>
      <c r="B117" s="10" t="inlineStr">
        <is>
          <t xml:space="preserve">                placeholders = ",".join("?" * len(video_paths))</t>
        </is>
      </c>
    </row>
    <row r="118">
      <c r="A118" s="7" t="n">
        <v>115</v>
      </c>
      <c r="B118" s="8" t="inlineStr">
        <is>
          <t xml:space="preserve">                rows = db.execute(</t>
        </is>
      </c>
    </row>
    <row r="119">
      <c r="A119" s="9" t="n">
        <v>116</v>
      </c>
      <c r="B119" s="10" t="inlineStr">
        <is>
          <t xml:space="preserve">                    f"SELECT material_path, avg_user_score, match_count "</t>
        </is>
      </c>
    </row>
    <row r="120">
      <c r="A120" s="7" t="n">
        <v>117</v>
      </c>
      <c r="B120" s="8" t="inlineStr">
        <is>
          <t xml:space="preserve">                    f"FROM script_material_preference "</t>
        </is>
      </c>
    </row>
    <row r="121">
      <c r="A121" s="9" t="n">
        <v>118</v>
      </c>
      <c r="B121" s="10" t="inlineStr">
        <is>
          <t xml:space="preserve">                    f"WHERE script_hash=? AND material_path IN ({placeholders})",</t>
        </is>
      </c>
    </row>
    <row r="122">
      <c r="A122" s="7" t="n">
        <v>119</v>
      </c>
      <c r="B122" s="8" t="inlineStr">
        <is>
          <t xml:space="preserve">                    [shash] + list(video_paths)</t>
        </is>
      </c>
    </row>
    <row r="123">
      <c r="A123" s="9" t="n">
        <v>120</v>
      </c>
      <c r="B123" s="10" t="inlineStr">
        <is>
          <t xml:space="preserve">                ).fetchall()</t>
        </is>
      </c>
    </row>
    <row r="124">
      <c r="A124" s="7" t="n">
        <v>121</v>
      </c>
      <c r="B124" s="8" t="inlineStr">
        <is>
          <t xml:space="preserve">                for row in rows:</t>
        </is>
      </c>
    </row>
    <row r="125">
      <c r="A125" s="9" t="n">
        <v>122</v>
      </c>
      <c r="B125" s="10" t="inlineStr">
        <is>
          <t xml:space="preserve">                    if row[1] and row[2] and row[2] &gt; 0:</t>
        </is>
      </c>
    </row>
    <row r="126">
      <c r="A126" s="7" t="n">
        <v>123</v>
      </c>
      <c r="B126" s="8" t="inlineStr">
        <is>
          <t xml:space="preserve">                        result[row[0]]["pref"] = min(0.95,</t>
        </is>
      </c>
    </row>
    <row r="127">
      <c r="A127" s="9" t="n">
        <v>124</v>
      </c>
      <c r="B127" s="10" t="inlineStr">
        <is>
          <t xml:space="preserve">                            (float(row[1]) / 5.0) * min(1.0, row[2] / 30))</t>
        </is>
      </c>
    </row>
    <row r="128">
      <c r="A128" s="7" t="n">
        <v>125</v>
      </c>
      <c r="B128" s="8" t="inlineStr"/>
    </row>
    <row r="129">
      <c r="A129" s="9" t="n">
        <v>126</v>
      </c>
      <c r="B129" s="10" t="inlineStr">
        <is>
          <t xml:space="preserve">            # 2. 历史使用次数（批量）</t>
        </is>
      </c>
    </row>
    <row r="130">
      <c r="A130" s="7" t="n">
        <v>127</v>
      </c>
      <c r="B130" s="8" t="inlineStr">
        <is>
          <t xml:space="preserve">            rows2 = db.execute(</t>
        </is>
      </c>
    </row>
    <row r="131">
      <c r="A131" s="9" t="n">
        <v>128</v>
      </c>
      <c r="B131" s="10" t="inlineStr">
        <is>
          <t xml:space="preserve">                f"SELECT material_path, COUNT(*) FROM generation_material_log "</t>
        </is>
      </c>
    </row>
    <row r="132">
      <c r="A132" s="7" t="n">
        <v>129</v>
      </c>
      <c r="B132" s="8" t="inlineStr">
        <is>
          <t xml:space="preserve">                f"WHERE material_path IN ({placeholders}) "</t>
        </is>
      </c>
    </row>
    <row r="133">
      <c r="A133" s="9" t="n">
        <v>130</v>
      </c>
      <c r="B133" s="10" t="inlineStr">
        <is>
          <t xml:space="preserve">                f"GROUP BY material_path",</t>
        </is>
      </c>
    </row>
    <row r="134">
      <c r="A134" s="7" t="n">
        <v>131</v>
      </c>
      <c r="B134" s="8" t="inlineStr">
        <is>
          <t xml:space="preserve">                list(video_paths)</t>
        </is>
      </c>
    </row>
    <row r="135">
      <c r="A135" s="9" t="n">
        <v>132</v>
      </c>
      <c r="B135" s="10" t="inlineStr">
        <is>
          <t xml:space="preserve">            ).fetchall()</t>
        </is>
      </c>
    </row>
    <row r="136">
      <c r="A136" s="7" t="n">
        <v>133</v>
      </c>
      <c r="B136" s="8" t="inlineStr">
        <is>
          <t xml:space="preserve">            for row in rows2:</t>
        </is>
      </c>
    </row>
    <row r="137">
      <c r="A137" s="9" t="n">
        <v>134</v>
      </c>
      <c r="B137" s="10" t="inlineStr">
        <is>
          <t xml:space="preserve">                result[row[0]]["usage"] = row[1]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        # 3. 开场使用次数（批量）</t>
        </is>
      </c>
    </row>
    <row r="140">
      <c r="A140" s="7" t="n">
        <v>137</v>
      </c>
      <c r="B140" s="8" t="inlineStr">
        <is>
          <t xml:space="preserve">            rows3 = db.execute(</t>
        </is>
      </c>
    </row>
    <row r="141">
      <c r="A141" s="9" t="n">
        <v>138</v>
      </c>
      <c r="B141" s="10" t="inlineStr">
        <is>
          <t xml:space="preserve">                f"SELECT material_path, COUNT(*) FROM generation_material_log "</t>
        </is>
      </c>
    </row>
    <row r="142">
      <c r="A142" s="7" t="n">
        <v>139</v>
      </c>
      <c r="B142" s="8" t="inlineStr">
        <is>
          <t xml:space="preserve">                f"WHERE material_path IN ({placeholders}) AND order_index=0 "</t>
        </is>
      </c>
    </row>
    <row r="143">
      <c r="A143" s="9" t="n">
        <v>140</v>
      </c>
      <c r="B143" s="10" t="inlineStr">
        <is>
          <t xml:space="preserve">                f"GROUP BY material_path",</t>
        </is>
      </c>
    </row>
    <row r="144">
      <c r="A144" s="7" t="n">
        <v>141</v>
      </c>
      <c r="B144" s="8" t="inlineStr">
        <is>
          <t xml:space="preserve">                list(video_paths)</t>
        </is>
      </c>
    </row>
    <row r="145">
      <c r="A145" s="9" t="n">
        <v>142</v>
      </c>
      <c r="B145" s="10" t="inlineStr">
        <is>
          <t xml:space="preserve">            ).fetchall()</t>
        </is>
      </c>
    </row>
    <row r="146">
      <c r="A146" s="7" t="n">
        <v>143</v>
      </c>
      <c r="B146" s="8" t="inlineStr">
        <is>
          <t xml:space="preserve">            for row in rows3:</t>
        </is>
      </c>
    </row>
    <row r="147">
      <c r="A147" s="9" t="n">
        <v>144</v>
      </c>
      <c r="B147" s="10" t="inlineStr">
        <is>
          <t xml:space="preserve">                result[row[0]]["opening"] = row[1]</t>
        </is>
      </c>
    </row>
    <row r="148">
      <c r="A148" s="7" t="n">
        <v>145</v>
      </c>
      <c r="B148" s="8" t="inlineStr"/>
    </row>
    <row r="149">
      <c r="A149" s="9" t="n">
        <v>146</v>
      </c>
      <c r="B149" s="10" t="inlineStr">
        <is>
          <t xml:space="preserve">    except Exception:</t>
        </is>
      </c>
    </row>
    <row r="150">
      <c r="A150" s="7" t="n">
        <v>147</v>
      </c>
      <c r="B150" s="8" t="inlineStr">
        <is>
          <t xml:space="preserve">        pass</t>
        </is>
      </c>
    </row>
    <row r="151">
      <c r="A151" s="9" t="n">
        <v>148</v>
      </c>
      <c r="B151" s="10" t="inlineStr">
        <is>
          <t xml:space="preserve">    return result</t>
        </is>
      </c>
    </row>
    <row r="152">
      <c r="A152" s="7" t="n">
        <v>149</v>
      </c>
      <c r="B152" s="8" t="inlineStr"/>
    </row>
    <row r="153">
      <c r="A153" s="9" t="n">
        <v>150</v>
      </c>
      <c r="B153" s="10" t="inlineStr"/>
    </row>
    <row r="154">
      <c r="A154" s="7" t="n">
        <v>151</v>
      </c>
      <c r="B154" s="8" t="inlineStr">
        <is>
          <t>def _get_pref_score(shash: str, video_path: str) -&gt; float:</t>
        </is>
      </c>
    </row>
    <row r="155">
      <c r="A155" s="9" t="n">
        <v>152</v>
      </c>
      <c r="B155" s="10" t="inlineStr">
        <is>
          <t xml:space="preserve">    """脚本对该素材的偏好得分 (0-1) — v12.0: 使用批量查询"""</t>
        </is>
      </c>
    </row>
    <row r="156">
      <c r="A156" s="7" t="n">
        <v>153</v>
      </c>
      <c r="B156" s="8" t="inlineStr">
        <is>
          <t xml:space="preserve">    stats = _get_all_material_stats([video_path], shash)</t>
        </is>
      </c>
    </row>
    <row r="157">
      <c r="A157" s="9" t="n">
        <v>154</v>
      </c>
      <c r="B157" s="10" t="inlineStr">
        <is>
          <t xml:space="preserve">    return stats.get(video_path, {}).get("pref", 0.5)</t>
        </is>
      </c>
    </row>
    <row r="158">
      <c r="A158" s="7" t="n">
        <v>155</v>
      </c>
      <c r="B158" s="8" t="inlineStr"/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>def _get_usage_count(video_path: str) -&gt; int:</t>
        </is>
      </c>
    </row>
    <row r="161">
      <c r="A161" s="9" t="n">
        <v>158</v>
      </c>
      <c r="B161" s="10" t="inlineStr">
        <is>
          <t xml:space="preserve">    """获取素材历史使用次数 — v12.0: 使用批量查询"""</t>
        </is>
      </c>
    </row>
    <row r="162">
      <c r="A162" s="7" t="n">
        <v>159</v>
      </c>
      <c r="B162" s="8" t="inlineStr">
        <is>
          <t xml:space="preserve">    stats = _get_all_material_stats([video_path])</t>
        </is>
      </c>
    </row>
    <row r="163">
      <c r="A163" s="9" t="n">
        <v>160</v>
      </c>
      <c r="B163" s="10" t="inlineStr">
        <is>
          <t xml:space="preserve">    return stats.get(video_path, {}).get("usage", 0)</t>
        </is>
      </c>
    </row>
    <row r="164">
      <c r="A164" s="7" t="n">
        <v>161</v>
      </c>
      <c r="B164" s="8" t="inlineStr"/>
    </row>
    <row r="165">
      <c r="A165" s="9" t="n">
        <v>162</v>
      </c>
      <c r="B165" s="10" t="inlineStr"/>
    </row>
    <row r="166">
      <c r="A166" s="7" t="n">
        <v>163</v>
      </c>
      <c r="B166" s="8" t="inlineStr">
        <is>
          <t>def _get_opening_usage(video_path: str) -&gt; int:</t>
        </is>
      </c>
    </row>
    <row r="167">
      <c r="A167" s="9" t="n">
        <v>164</v>
      </c>
      <c r="B167" s="10" t="inlineStr">
        <is>
          <t xml:space="preserve">    """获取素材被用作开场的次数 — v12.0: 使用批量查询"""</t>
        </is>
      </c>
    </row>
    <row r="168">
      <c r="A168" s="7" t="n">
        <v>165</v>
      </c>
      <c r="B168" s="8" t="inlineStr">
        <is>
          <t xml:space="preserve">    stats = _get_all_material_stats([video_path])</t>
        </is>
      </c>
    </row>
    <row r="169">
      <c r="A169" s="9" t="n">
        <v>166</v>
      </c>
      <c r="B169" s="10" t="inlineStr">
        <is>
          <t xml:space="preserve">    return stats.get(video_path, {}).get("opening", 0)</t>
        </is>
      </c>
    </row>
    <row r="170">
      <c r="A170" s="7" t="n">
        <v>167</v>
      </c>
      <c r="B170" s="8" t="inlineStr"/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>def record_script_match(shash: str, material_path: str, user_score: float = None):</t>
        </is>
      </c>
    </row>
    <row r="173">
      <c r="A173" s="9" t="n">
        <v>170</v>
      </c>
      <c r="B173" s="10" t="inlineStr">
        <is>
          <t xml:space="preserve">    """记录脚本-素材匹配"""</t>
        </is>
      </c>
    </row>
    <row r="174">
      <c r="A174" s="7" t="n">
        <v>171</v>
      </c>
      <c r="B174" s="8" t="inlineStr">
        <is>
          <t xml:space="preserve">    try:</t>
        </is>
      </c>
    </row>
    <row r="175">
      <c r="A175" s="9" t="n">
        <v>172</v>
      </c>
      <c r="B175" s="10" t="inlineStr">
        <is>
          <t xml:space="preserve">        import sqlite3 as _sq</t>
        </is>
      </c>
    </row>
    <row r="176">
      <c r="A176" s="7" t="n">
        <v>173</v>
      </c>
      <c r="B176" s="8" t="inlineStr">
        <is>
          <t xml:space="preserve">        main_db = str(Path(__file__).parent.parent / "ai_material_library.db")</t>
        </is>
      </c>
    </row>
    <row r="177">
      <c r="A177" s="9" t="n">
        <v>174</v>
      </c>
      <c r="B177" s="10" t="inlineStr">
        <is>
          <t xml:space="preserve">        with _sq.connect(main_db) as db:</t>
        </is>
      </c>
    </row>
    <row r="178">
      <c r="A178" s="7" t="n">
        <v>175</v>
      </c>
      <c r="B178" s="8" t="inlineStr">
        <is>
          <t xml:space="preserve">            db.execute("""</t>
        </is>
      </c>
    </row>
    <row r="179">
      <c r="A179" s="9" t="n">
        <v>176</v>
      </c>
      <c r="B179" s="10" t="inlineStr">
        <is>
          <t xml:space="preserve">                INSERT INTO script_material_preference</t>
        </is>
      </c>
    </row>
    <row r="180">
      <c r="A180" s="7" t="n">
        <v>177</v>
      </c>
      <c r="B180" s="8" t="inlineStr">
        <is>
          <t xml:space="preserve">                (script_hash, material_path, match_count, avg_user_score, last_used_at)</t>
        </is>
      </c>
    </row>
    <row r="181">
      <c r="A181" s="9" t="n">
        <v>178</v>
      </c>
      <c r="B181" s="10" t="inlineStr">
        <is>
          <t xml:space="preserve">                VALUES (?, ?, 1, ?, CURRENT_TIMESTAMP)</t>
        </is>
      </c>
    </row>
    <row r="182">
      <c r="A182" s="7" t="n">
        <v>179</v>
      </c>
      <c r="B182" s="8" t="inlineStr">
        <is>
          <t xml:space="preserve">                ON CONFLICT(script_hash, material_path) DO UPDATE SET</t>
        </is>
      </c>
    </row>
    <row r="183">
      <c r="A183" s="9" t="n">
        <v>180</v>
      </c>
      <c r="B183" s="10" t="inlineStr">
        <is>
          <t xml:space="preserve">                    match_count = match_count + 1,</t>
        </is>
      </c>
    </row>
    <row r="184">
      <c r="A184" s="7" t="n">
        <v>181</v>
      </c>
      <c r="B184" s="8" t="inlineStr">
        <is>
          <t xml:space="preserve">                    last_used_at = CURRENT_TIMESTAMP</t>
        </is>
      </c>
    </row>
    <row r="185">
      <c r="A185" s="9" t="n">
        <v>182</v>
      </c>
      <c r="B185" s="10" t="inlineStr">
        <is>
          <t xml:space="preserve">            """, (shash, material_path, user_score or 3.0))</t>
        </is>
      </c>
    </row>
    <row r="186">
      <c r="A186" s="7" t="n">
        <v>183</v>
      </c>
      <c r="B186" s="8" t="inlineStr">
        <is>
          <t xml:space="preserve">    except Exception:</t>
        </is>
      </c>
    </row>
    <row r="187">
      <c r="A187" s="9" t="n">
        <v>184</v>
      </c>
      <c r="B187" s="10" t="inlineStr">
        <is>
          <t xml:space="preserve">        pass</t>
        </is>
      </c>
    </row>
    <row r="188">
      <c r="A188" s="7" t="n">
        <v>185</v>
      </c>
      <c r="B188" s="8" t="inlineStr"/>
    </row>
    <row r="189">
      <c r="A189" s="9" t="n">
        <v>186</v>
      </c>
      <c r="B189" s="10" t="inlineStr"/>
    </row>
    <row r="190">
      <c r="A190" s="7" t="n">
        <v>187</v>
      </c>
      <c r="B190" s="8" t="inlineStr">
        <is>
          <t>def convert_to_clips(results: List[Dict], num_clips: int) -&gt; List[Dict]:</t>
        </is>
      </c>
    </row>
    <row r="191">
      <c r="A191" s="9" t="n">
        <v>188</v>
      </c>
      <c r="B191" s="10" t="inlineStr">
        <is>
          <t xml:space="preserve">    """将匹配结果转为 pipeline 可用的 clips 格式"""</t>
        </is>
      </c>
    </row>
    <row r="192">
      <c r="A192" s="7" t="n">
        <v>189</v>
      </c>
      <c r="B192" s="8" t="inlineStr">
        <is>
          <t xml:space="preserve">    import random</t>
        </is>
      </c>
    </row>
    <row r="193">
      <c r="A193" s="9" t="n">
        <v>190</v>
      </c>
      <c r="B193" s="10" t="inlineStr">
        <is>
          <t xml:space="preserve">    from pathlib import Path</t>
        </is>
      </c>
    </row>
    <row r="194">
      <c r="A194" s="7" t="n">
        <v>191</v>
      </c>
      <c r="B194" s="8" t="inlineStr">
        <is>
          <t xml:space="preserve">    from core.config import CLIP_DURATION_MIN, CLIP_DURATION_MAX</t>
        </is>
      </c>
    </row>
    <row r="195">
      <c r="A195" s="9" t="n">
        <v>192</v>
      </c>
      <c r="B195" s="10" t="inlineStr"/>
    </row>
    <row r="196">
      <c r="A196" s="7" t="n">
        <v>193</v>
      </c>
      <c r="B196" s="8" t="inlineStr">
        <is>
          <t xml:space="preserve">    clips = []</t>
        </is>
      </c>
    </row>
    <row r="197">
      <c r="A197" s="9" t="n">
        <v>194</v>
      </c>
      <c r="B197" s="10" t="inlineStr">
        <is>
          <t xml:space="preserve">    for r in results[:num_clips]:</t>
        </is>
      </c>
    </row>
    <row r="198">
      <c r="A198" s="7" t="n">
        <v>195</v>
      </c>
      <c r="B198" s="8" t="inlineStr">
        <is>
          <t xml:space="preserve">        duration = float(r.get("end_time", 5)) - float(r.get("start_time", 0))</t>
        </is>
      </c>
    </row>
    <row r="199">
      <c r="A199" s="9" t="n">
        <v>196</v>
      </c>
      <c r="B199" s="10" t="inlineStr">
        <is>
          <t xml:space="preserve">        if duration &lt;= 1.0:</t>
        </is>
      </c>
    </row>
    <row r="200">
      <c r="A200" s="7" t="n">
        <v>197</v>
      </c>
      <c r="B200" s="8" t="inlineStr">
        <is>
          <t xml:space="preserve">            duration = random.uniform(CLIP_DURATION_MIN, CLIP_DURATION_MAX)</t>
        </is>
      </c>
    </row>
    <row r="201">
      <c r="A201" s="9" t="n">
        <v>198</v>
      </c>
      <c r="B201" s="10" t="inlineStr">
        <is>
          <t xml:space="preserve">        clips.append({</t>
        </is>
      </c>
    </row>
    <row r="202">
      <c r="A202" s="7" t="n">
        <v>199</v>
      </c>
      <c r="B202" s="8" t="inlineStr">
        <is>
          <t xml:space="preserve">            "path": Path(r["video_path"]),</t>
        </is>
      </c>
    </row>
    <row r="203">
      <c r="A203" s="9" t="n">
        <v>200</v>
      </c>
      <c r="B203" s="10" t="inlineStr">
        <is>
          <t xml:space="preserve">            "source_start": float(r.get("start_time", 0)),</t>
        </is>
      </c>
    </row>
    <row r="204">
      <c r="A204" s="7" t="n">
        <v>201</v>
      </c>
      <c r="B204" s="8" t="inlineStr">
        <is>
          <t xml:space="preserve">            "duration": min(duration, CLIP_DURATION_MAX),</t>
        </is>
      </c>
    </row>
    <row r="205">
      <c r="A205" s="9" t="n">
        <v>202</v>
      </c>
      <c r="B205" s="10" t="inlineStr">
        <is>
          <t xml:space="preserve">            "speed": 1.0,</t>
        </is>
      </c>
    </row>
    <row r="206">
      <c r="A206" s="7" t="n">
        <v>203</v>
      </c>
      <c r="B206" s="8" t="inlineStr">
        <is>
          <t xml:space="preserve">            "ai_matched": True,</t>
        </is>
      </c>
    </row>
    <row r="207">
      <c r="A207" s="9" t="n">
        <v>204</v>
      </c>
      <c r="B207" s="10" t="inlineStr">
        <is>
          <t xml:space="preserve">            "match_score": r.get("adaptive_score", r.get("score", 0)),</t>
        </is>
      </c>
    </row>
    <row r="208">
      <c r="A208" s="7" t="n">
        <v>205</v>
      </c>
      <c r="B208" s="8" t="inlineStr">
        <is>
          <t xml:space="preserve">            "match_method": r.get("match_method", "自适应匹配"),</t>
        </is>
      </c>
    </row>
    <row r="209">
      <c r="A209" s="9" t="n">
        <v>206</v>
      </c>
      <c r="B209" s="10" t="inlineStr">
        <is>
          <t xml:space="preserve">        })</t>
        </is>
      </c>
    </row>
    <row r="210">
      <c r="A210" s="7" t="n">
        <v>207</v>
      </c>
      <c r="B210" s="8" t="inlineStr">
        <is>
          <t xml:space="preserve">    return clips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core\smart_orchestrator.py</t>
        </is>
      </c>
      <c r="C1" s="5" t="inlineStr">
        <is>
          <t>行数: 450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v12.0 — 智能调度解析中心 (SmartOrchestrator)</t>
        </is>
      </c>
    </row>
    <row r="6">
      <c r="A6" s="7" t="n">
        <v>3</v>
      </c>
      <c r="B6" s="8">
        <f>==========================================================</f>
        <v/>
      </c>
    </row>
    <row r="7">
      <c r="A7" s="9" t="n">
        <v>4</v>
      </c>
      <c r="B7" s="10" t="inlineStr">
        <is>
          <t>对应架构导图中部「智能调度解析中心」— 系统核心大脑。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职责:</t>
        </is>
      </c>
    </row>
    <row r="10">
      <c r="A10" s="7" t="n">
        <v>7</v>
      </c>
      <c r="B10" s="8" t="inlineStr">
        <is>
          <t xml:space="preserve">  1. parse_demand()    — 解析用户需求，拆解为四大素材库调取指令</t>
        </is>
      </c>
    </row>
    <row r="11">
      <c r="A11" s="9" t="n">
        <v>8</v>
      </c>
      <c r="B11" s="10" t="inlineStr">
        <is>
          <t xml:space="preserve">  2. schedule_all()     — 统一调度四大智能素材库，汇总素材包</t>
        </is>
      </c>
    </row>
    <row r="12">
      <c r="A12" s="7" t="n">
        <v>9</v>
      </c>
      <c r="B12" s="8" t="inlineStr">
        <is>
          <t xml:space="preserve">  3. build_synthesis()  — 生成视频合成执行任务</t>
        </is>
      </c>
    </row>
    <row r="13">
      <c r="A13" s="9" t="n">
        <v>10</v>
      </c>
      <c r="B13" s="10" t="inlineStr">
        <is>
          <t xml:space="preserve">  4. reschedule_fail()  — 不合格回流重调度 + 触发纠错提效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连接对象:</t>
        </is>
      </c>
    </row>
    <row r="16">
      <c r="A16" s="7" t="n">
        <v>13</v>
      </c>
      <c r="B16" s="8" t="inlineStr">
        <is>
          <t xml:space="preserve">  ┌─────────────┐  ┌─────────────┐  ┌─────────────┐  ┌─────────────┐</t>
        </is>
      </c>
    </row>
    <row r="17">
      <c r="A17" s="9" t="n">
        <v>14</v>
      </c>
      <c r="B17" s="10" t="inlineStr">
        <is>
          <t xml:space="preserve">  │ ImageSmart  │  │ VideoSmart  │  │ CopySmart   │  │ BGMSmart    │</t>
        </is>
      </c>
    </row>
    <row r="18">
      <c r="A18" s="7" t="n">
        <v>15</v>
      </c>
      <c r="B18" s="8" t="inlineStr">
        <is>
          <t xml:space="preserve">  │  Library    │  │  Library    │  │  Library    │  │  Library    │</t>
        </is>
      </c>
    </row>
    <row r="19">
      <c r="A19" s="9" t="n">
        <v>16</v>
      </c>
      <c r="B19" s="10" t="inlineStr">
        <is>
          <t xml:space="preserve">  └──────┬──────┘  └──────┬──────┘  └──────┬──────┘  └──────┬──────┘</t>
        </is>
      </c>
    </row>
    <row r="20">
      <c r="A20" s="7" t="n">
        <v>17</v>
      </c>
      <c r="B20" s="8" t="inlineStr">
        <is>
          <t xml:space="preserve">         │                │                │                │</t>
        </is>
      </c>
    </row>
    <row r="21">
      <c r="A21" s="9" t="n">
        <v>18</v>
      </c>
      <c r="B21" s="10" t="inlineStr">
        <is>
          <t xml:space="preserve">         └────────────────┼────────────────┼────────────────┘</t>
        </is>
      </c>
    </row>
    <row r="22">
      <c r="A22" s="7" t="n">
        <v>19</v>
      </c>
      <c r="B22" s="8" t="inlineStr">
        <is>
          <t xml:space="preserve">                          │</t>
        </is>
      </c>
    </row>
    <row r="23">
      <c r="A23" s="9" t="n">
        <v>20</v>
      </c>
      <c r="B23" s="10" t="inlineStr">
        <is>
          <t xml:space="preserve">                 ┌────────▼────────┐</t>
        </is>
      </c>
    </row>
    <row r="24">
      <c r="A24" s="7" t="n">
        <v>21</v>
      </c>
      <c r="B24" s="8" t="inlineStr">
        <is>
          <t xml:space="preserve">                 │ SmartOrchestrator│  ← 本模块</t>
        </is>
      </c>
    </row>
    <row r="25">
      <c r="A25" s="9" t="n">
        <v>22</v>
      </c>
      <c r="B25" s="10" t="inlineStr">
        <is>
          <t xml:space="preserve">                 └────────┬────────┘</t>
        </is>
      </c>
    </row>
    <row r="26">
      <c r="A26" s="7" t="n">
        <v>23</v>
      </c>
      <c r="B26" s="8" t="inlineStr">
        <is>
          <t xml:space="preserve">                          │</t>
        </is>
      </c>
    </row>
    <row r="27">
      <c r="A27" s="9" t="n">
        <v>24</v>
      </c>
      <c r="B27" s="10" t="inlineStr">
        <is>
          <t xml:space="preserve">          ┌───────────────┼───────────────┐</t>
        </is>
      </c>
    </row>
    <row r="28">
      <c r="A28" s="7" t="n">
        <v>25</v>
      </c>
      <c r="B28" s="8" t="inlineStr">
        <is>
          <t xml:space="preserve">          │               │               │</t>
        </is>
      </c>
    </row>
    <row r="29">
      <c r="A29" s="9" t="n">
        <v>26</v>
      </c>
      <c r="B29" s="10" t="inlineStr">
        <is>
          <t xml:space="preserve">   ┌──────▼──────┐ ┌──────▼──────┐ ┌──────▼──────┐</t>
        </is>
      </c>
    </row>
    <row r="30">
      <c r="A30" s="7" t="n">
        <v>27</v>
      </c>
      <c r="B30" s="8" t="inlineStr">
        <is>
          <t xml:space="preserve">   │  Quality    │ │  EventBus   │ │    Log      │</t>
        </is>
      </c>
    </row>
    <row r="31">
      <c r="A31" s="9" t="n">
        <v>28</v>
      </c>
      <c r="B31" s="10" t="inlineStr">
        <is>
          <t xml:space="preserve">   │  Center     │ │  Publish    │ │   System    │</t>
        </is>
      </c>
    </row>
    <row r="32">
      <c r="A32" s="7" t="n">
        <v>29</v>
      </c>
      <c r="B32" s="8" t="inlineStr">
        <is>
          <t xml:space="preserve">   └─────────────┘ └─────────────┘ └─────────────┘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用法:</t>
        </is>
      </c>
    </row>
    <row r="35">
      <c r="A35" s="9" t="n">
        <v>32</v>
      </c>
      <c r="B35" s="10" t="inlineStr">
        <is>
          <t xml:space="preserve">    from core.smart_orchestrator import get_orchestrator</t>
        </is>
      </c>
    </row>
    <row r="36">
      <c r="A36" s="7" t="n">
        <v>33</v>
      </c>
      <c r="B36" s="8" t="inlineStr">
        <is>
          <t xml:space="preserve">    orch = get_orchestrator()</t>
        </is>
      </c>
    </row>
    <row r="37">
      <c r="A37" s="9" t="n">
        <v>34</v>
      </c>
      <c r="B37" s="10" t="inlineStr">
        <is>
          <t xml:space="preserve">    task = orch.execute("生成一条30秒家居岛台产品视频")</t>
        </is>
      </c>
    </row>
    <row r="38">
      <c r="A38" s="7" t="n">
        <v>35</v>
      </c>
      <c r="B38" s="8" t="inlineStr">
        <is>
          <t>"""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>import logging</t>
        </is>
      </c>
    </row>
    <row r="41">
      <c r="A41" s="9" t="n">
        <v>38</v>
      </c>
      <c r="B41" s="10" t="inlineStr">
        <is>
          <t>import threading</t>
        </is>
      </c>
    </row>
    <row r="42">
      <c r="A42" s="7" t="n">
        <v>39</v>
      </c>
      <c r="B42" s="8" t="inlineStr">
        <is>
          <t>from typing import Dict, List, Optional, Any</t>
        </is>
      </c>
    </row>
    <row r="43">
      <c r="A43" s="9" t="n">
        <v>40</v>
      </c>
      <c r="B43" s="10" t="inlineStr">
        <is>
          <t>from pathlib import Path</t>
        </is>
      </c>
    </row>
    <row r="44">
      <c r="A44" s="7" t="n">
        <v>41</v>
      </c>
      <c r="B44" s="8" t="inlineStr"/>
    </row>
    <row r="45">
      <c r="A45" s="9" t="n">
        <v>42</v>
      </c>
      <c r="B45" s="10" t="inlineStr">
        <is>
          <t>_log = logging.getLogger("TreeCut.SmartOrchestrator")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/>
    </row>
    <row r="48">
      <c r="A48" s="7" t="n">
        <v>45</v>
      </c>
      <c r="B48" s="8" t="inlineStr">
        <is>
          <t>class SmartOrchestrator:</t>
        </is>
      </c>
    </row>
    <row r="49">
      <c r="A49" s="9" t="n">
        <v>46</v>
      </c>
      <c r="B49" s="10" t="inlineStr">
        <is>
          <t xml:space="preserve">    """</t>
        </is>
      </c>
    </row>
    <row r="50">
      <c r="A50" s="7" t="n">
        <v>47</v>
      </c>
      <c r="B50" s="8" t="inlineStr">
        <is>
          <t xml:space="preserve">    智能调度解析中心 — 统一协调四大智能库 + 质检 + EventBus。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对接现有模块 (不替换，只编排):</t>
        </is>
      </c>
    </row>
    <row r="53">
      <c r="A53" s="9" t="n">
        <v>50</v>
      </c>
      <c r="B53" s="10" t="inlineStr">
        <is>
          <t xml:space="preserve">      - 图片: frame_annotator.py + vision_unified.py</t>
        </is>
      </c>
    </row>
    <row r="54">
      <c r="A54" s="7" t="n">
        <v>51</v>
      </c>
      <c r="B54" s="8" t="inlineStr">
        <is>
          <t xml:space="preserve">      - 视频: library_builder.py + smart_matcher.py</t>
        </is>
      </c>
    </row>
    <row r="55">
      <c r="A55" s="9" t="n">
        <v>52</v>
      </c>
      <c r="B55" s="10" t="inlineStr">
        <is>
          <t xml:space="preserve">      - 文案: copywriter.py + deepseek_client.py</t>
        </is>
      </c>
    </row>
    <row r="56">
      <c r="A56" s="7" t="n">
        <v>53</v>
      </c>
      <c r="B56" s="8" t="inlineStr">
        <is>
          <t xml:space="preserve">      - BGM:  bgm_matcher.py + audio_models.py</t>
        </is>
      </c>
    </row>
    <row r="57">
      <c r="A57" s="9" t="n">
        <v>54</v>
      </c>
      <c r="B57" s="10" t="inlineStr">
        <is>
          <t xml:space="preserve">      - 合成: pipeline.py + draft.py</t>
        </is>
      </c>
    </row>
    <row r="58">
      <c r="A58" s="7" t="n">
        <v>55</v>
      </c>
      <c r="B58" s="8" t="inlineStr">
        <is>
          <t xml:space="preserve">      - 质检: quality_center.py + batch_evaluator.py</t>
        </is>
      </c>
    </row>
    <row r="59">
      <c r="A59" s="9" t="n">
        <v>56</v>
      </c>
      <c r="B59" s="10" t="inlineStr">
        <is>
          <t xml:space="preserve">    """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>
        <is>
          <t xml:space="preserve">    _instance: Optional["SmartOrchestrator"] = None</t>
        </is>
      </c>
    </row>
    <row r="62">
      <c r="A62" s="7" t="n">
        <v>59</v>
      </c>
      <c r="B62" s="8" t="inlineStr">
        <is>
          <t xml:space="preserve">    _lock = threading.Lock()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def __new__(cls):</t>
        </is>
      </c>
    </row>
    <row r="65">
      <c r="A65" s="9" t="n">
        <v>62</v>
      </c>
      <c r="B65" s="10" t="inlineStr">
        <is>
          <t xml:space="preserve">        if cls._instance is None:</t>
        </is>
      </c>
    </row>
    <row r="66">
      <c r="A66" s="7" t="n">
        <v>63</v>
      </c>
      <c r="B66" s="8" t="inlineStr">
        <is>
          <t xml:space="preserve">            with cls._lock:</t>
        </is>
      </c>
    </row>
    <row r="67">
      <c r="A67" s="9" t="n">
        <v>64</v>
      </c>
      <c r="B67" s="10" t="inlineStr">
        <is>
          <t xml:space="preserve">                if cls._instance is None:</t>
        </is>
      </c>
    </row>
    <row r="68">
      <c r="A68" s="7" t="n">
        <v>65</v>
      </c>
      <c r="B68" s="8" t="inlineStr">
        <is>
          <t xml:space="preserve">                    cls._instance = super().__new__(cls)</t>
        </is>
      </c>
    </row>
    <row r="69">
      <c r="A69" s="9" t="n">
        <v>66</v>
      </c>
      <c r="B69" s="10" t="inlineStr">
        <is>
          <t xml:space="preserve">                    cls._instance._init()</t>
        </is>
      </c>
    </row>
    <row r="70">
      <c r="A70" s="7" t="n">
        <v>67</v>
      </c>
      <c r="B70" s="8" t="inlineStr">
        <is>
          <t xml:space="preserve">        return cls._instance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 xml:space="preserve">    def _init(self):</t>
        </is>
      </c>
    </row>
    <row r="73">
      <c r="A73" s="9" t="n">
        <v>70</v>
      </c>
      <c r="B73" s="10" t="inlineStr">
        <is>
          <t xml:space="preserve">        self._image_ready = False</t>
        </is>
      </c>
    </row>
    <row r="74">
      <c r="A74" s="7" t="n">
        <v>71</v>
      </c>
      <c r="B74" s="8" t="inlineStr">
        <is>
          <t xml:space="preserve">        self._video_ready = False</t>
        </is>
      </c>
    </row>
    <row r="75">
      <c r="A75" s="9" t="n">
        <v>72</v>
      </c>
      <c r="B75" s="10" t="inlineStr">
        <is>
          <t xml:space="preserve">        self._copy_ready = False</t>
        </is>
      </c>
    </row>
    <row r="76">
      <c r="A76" s="7" t="n">
        <v>73</v>
      </c>
      <c r="B76" s="8" t="inlineStr">
        <is>
          <t xml:space="preserve">        self._bgm_ready = False</t>
        </is>
      </c>
    </row>
    <row r="77">
      <c r="A77" s="9" t="n">
        <v>74</v>
      </c>
      <c r="B77" s="10" t="inlineStr">
        <is>
          <t xml:space="preserve">        self._eventbus_ready = False</t>
        </is>
      </c>
    </row>
    <row r="78">
      <c r="A78" s="7" t="n">
        <v>75</v>
      </c>
      <c r="B78" s="8" t="inlineStr">
        <is>
          <t xml:space="preserve">        self._stats = {"total_requests": 0, "total_success": 0, "total_fail": 0}</t>
        </is>
      </c>
    </row>
    <row r="79">
      <c r="A79" s="9" t="n">
        <v>76</v>
      </c>
      <c r="B79" s="10" t="inlineStr">
        <is>
          <t xml:space="preserve">        self._init_eventbus()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 xml:space="preserve">    def _init_eventbus(self):</t>
        </is>
      </c>
    </row>
    <row r="82">
      <c r="A82" s="7" t="n">
        <v>79</v>
      </c>
      <c r="B82" s="8" t="inlineStr">
        <is>
          <t xml:space="preserve">        """连接 EventBus"""</t>
        </is>
      </c>
    </row>
    <row r="83">
      <c r="A83" s="9" t="n">
        <v>80</v>
      </c>
      <c r="B83" s="10" t="inlineStr">
        <is>
          <t xml:space="preserve">        try:</t>
        </is>
      </c>
    </row>
    <row r="84">
      <c r="A84" s="7" t="n">
        <v>81</v>
      </c>
      <c r="B84" s="8" t="inlineStr">
        <is>
          <t xml:space="preserve">            from core.event_bus import get_bus, Events</t>
        </is>
      </c>
    </row>
    <row r="85">
      <c r="A85" s="9" t="n">
        <v>82</v>
      </c>
      <c r="B85" s="10" t="inlineStr">
        <is>
          <t xml:space="preserve">            self._bus = get_bus()</t>
        </is>
      </c>
    </row>
    <row r="86">
      <c r="A86" s="7" t="n">
        <v>83</v>
      </c>
      <c r="B86" s="8" t="inlineStr">
        <is>
          <t xml:space="preserve">            self._events = Events</t>
        </is>
      </c>
    </row>
    <row r="87">
      <c r="A87" s="9" t="n">
        <v>84</v>
      </c>
      <c r="B87" s="10" t="inlineStr">
        <is>
          <t xml:space="preserve">            self._eventbus_ready = True</t>
        </is>
      </c>
    </row>
    <row r="88">
      <c r="A88" s="7" t="n">
        <v>85</v>
      </c>
      <c r="B88" s="8" t="inlineStr">
        <is>
          <t xml:space="preserve">        except Exception:</t>
        </is>
      </c>
    </row>
    <row r="89">
      <c r="A89" s="9" t="n">
        <v>86</v>
      </c>
      <c r="B89" s="10" t="inlineStr">
        <is>
          <t xml:space="preserve">            self._bus = None</t>
        </is>
      </c>
    </row>
    <row r="90">
      <c r="A90" s="7" t="n">
        <v>87</v>
      </c>
      <c r="B90" s="8" t="inlineStr">
        <is>
          <t xml:space="preserve">            self._eventbus_ready = False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 xml:space="preserve">    # ═══════════════ 需求解析 ═══════════════</t>
        </is>
      </c>
    </row>
    <row r="93">
      <c r="A93" s="9" t="n">
        <v>90</v>
      </c>
      <c r="B93" s="10" t="inlineStr">
        <is>
          <t xml:space="preserve">    def parse_demand(self, user_demand: str) -&gt; Dict[str, str]:</t>
        </is>
      </c>
    </row>
    <row r="94">
      <c r="A94" s="7" t="n">
        <v>91</v>
      </c>
      <c r="B94" s="8" t="inlineStr">
        <is>
          <t xml:space="preserve">        """</t>
        </is>
      </c>
    </row>
    <row r="95">
      <c r="A95" s="9" t="n">
        <v>92</v>
      </c>
      <c r="B95" s="10" t="inlineStr">
        <is>
          <t xml:space="preserve">        解析用户需求 → 拆解为各素材库调取指令。</t>
        </is>
      </c>
    </row>
    <row r="96">
      <c r="A96" s="7" t="n">
        <v>93</v>
      </c>
      <c r="B96" s="8" t="inlineStr">
        <is>
          <t xml:space="preserve">        对接 copywriter.py 进行关键词提取和文案风格判定。</t>
        </is>
      </c>
    </row>
    <row r="97">
      <c r="A97" s="9" t="n">
        <v>94</v>
      </c>
      <c r="B97" s="10" t="inlineStr">
        <is>
          <t xml:space="preserve">        """</t>
        </is>
      </c>
    </row>
    <row r="98">
      <c r="A98" s="7" t="n">
        <v>95</v>
      </c>
      <c r="B98" s="8" t="inlineStr">
        <is>
          <t xml:space="preserve">        _log.info(f"解析需求: {user_demand}")</t>
        </is>
      </c>
    </row>
    <row r="99">
      <c r="A99" s="9" t="n">
        <v>96</v>
      </c>
      <c r="B99" s="10" t="inlineStr">
        <is>
          <t xml:space="preserve">        instructions = {</t>
        </is>
      </c>
    </row>
    <row r="100">
      <c r="A100" s="7" t="n">
        <v>97</v>
      </c>
      <c r="B100" s="8" t="inlineStr">
        <is>
          <t xml:space="preserve">            "image_demand":   f"匹配产品主体展示图: {user_demand}",</t>
        </is>
      </c>
    </row>
    <row r="101">
      <c r="A101" s="9" t="n">
        <v>98</v>
      </c>
      <c r="B101" s="10" t="inlineStr">
        <is>
          <t xml:space="preserve">            "video_demand":   f"匹配场景化运镜片段: {user_demand}",</t>
        </is>
      </c>
    </row>
    <row r="102">
      <c r="A102" s="7" t="n">
        <v>99</v>
      </c>
      <c r="B102" s="8" t="inlineStr">
        <is>
          <t xml:space="preserve">            "copy_demand":    f"匹配营销脚本与行业话术: {user_demand}",</t>
        </is>
      </c>
    </row>
    <row r="103">
      <c r="A103" s="9" t="n">
        <v>100</v>
      </c>
      <c r="B103" s="10" t="inlineStr">
        <is>
          <t xml:space="preserve">            "bgm_demand":     f"匹配节奏合适的营销BGM: {user_demand}",</t>
        </is>
      </c>
    </row>
    <row r="104">
      <c r="A104" s="7" t="n">
        <v>101</v>
      </c>
      <c r="B104" s="8" t="inlineStr">
        <is>
          <t xml:space="preserve">        }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 xml:space="preserve">        # 尝试利用 copywriter 进行关键词增强</t>
        </is>
      </c>
    </row>
    <row r="107">
      <c r="A107" s="9" t="n">
        <v>104</v>
      </c>
      <c r="B107" s="10" t="inlineStr">
        <is>
          <t xml:space="preserve">        try:</t>
        </is>
      </c>
    </row>
    <row r="108">
      <c r="A108" s="7" t="n">
        <v>105</v>
      </c>
      <c r="B108" s="8" t="inlineStr">
        <is>
          <t xml:space="preserve">            from core.copywriter import extract_video_descriptions</t>
        </is>
      </c>
    </row>
    <row r="109">
      <c r="A109" s="9" t="n">
        <v>106</v>
      </c>
      <c r="B109" s="10" t="inlineStr">
        <is>
          <t xml:space="preserve">            # 这里可以做关键词提取等增强逻辑</t>
        </is>
      </c>
    </row>
    <row r="110">
      <c r="A110" s="7" t="n">
        <v>107</v>
      </c>
      <c r="B110" s="8" t="inlineStr">
        <is>
          <t xml:space="preserve">            _log.debug("copywriter 关键词增强已启用")</t>
        </is>
      </c>
    </row>
    <row r="111">
      <c r="A111" s="9" t="n">
        <v>108</v>
      </c>
      <c r="B111" s="10" t="inlineStr">
        <is>
          <t xml:space="preserve">        except ImportError:</t>
        </is>
      </c>
    </row>
    <row r="112">
      <c r="A112" s="7" t="n">
        <v>109</v>
      </c>
      <c r="B112" s="8" t="inlineStr">
        <is>
          <t xml:space="preserve">            pass</t>
        </is>
      </c>
    </row>
    <row r="113">
      <c r="A113" s="9" t="n">
        <v>110</v>
      </c>
      <c r="B113" s="10" t="inlineStr"/>
    </row>
    <row r="114">
      <c r="A114" s="7" t="n">
        <v>111</v>
      </c>
      <c r="B114" s="8" t="inlineStr">
        <is>
          <t xml:space="preserve">        return instructions</t>
        </is>
      </c>
    </row>
    <row r="115">
      <c r="A115" s="9" t="n">
        <v>112</v>
      </c>
      <c r="B115" s="10" t="inlineStr"/>
    </row>
    <row r="116">
      <c r="A116" s="7" t="n">
        <v>113</v>
      </c>
      <c r="B116" s="8" t="inlineStr">
        <is>
          <t xml:space="preserve">    # ═══════════════ 四大素材库统一调度 ═══════════════</t>
        </is>
      </c>
    </row>
    <row r="117">
      <c r="A117" s="9" t="n">
        <v>114</v>
      </c>
      <c r="B117" s="10" t="inlineStr">
        <is>
          <t xml:space="preserve">    def schedule_all_materials(self, instructions: Dict[str, str]) -&gt; Dict[str, Any]:</t>
        </is>
      </c>
    </row>
    <row r="118">
      <c r="A118" s="7" t="n">
        <v>115</v>
      </c>
      <c r="B118" s="8" t="inlineStr">
        <is>
          <t xml:space="preserve">        """</t>
        </is>
      </c>
    </row>
    <row r="119">
      <c r="A119" s="9" t="n">
        <v>116</v>
      </c>
      <c r="B119" s="10" t="inlineStr">
        <is>
          <t xml:space="preserve">        向四大智能素材库批量发起调取，汇总素材包。</t>
        </is>
      </c>
    </row>
    <row r="120">
      <c r="A120" s="7" t="n">
        <v>117</v>
      </c>
      <c r="B120" s="8" t="inlineStr">
        <is>
          <t xml:space="preserve">        返回: {"images": [...], "videos": [...], "copywriting": [...], "bgm": [...]}</t>
        </is>
      </c>
    </row>
    <row r="121">
      <c r="A121" s="9" t="n">
        <v>118</v>
      </c>
      <c r="B121" s="10" t="inlineStr">
        <is>
          <t xml:space="preserve">        """</t>
        </is>
      </c>
    </row>
    <row r="122">
      <c r="A122" s="7" t="n">
        <v>119</v>
      </c>
      <c r="B122" s="8" t="inlineStr">
        <is>
          <t xml:space="preserve">        _log.info("向四大智能库发起批量调度")</t>
        </is>
      </c>
    </row>
    <row r="123">
      <c r="A123" s="9" t="n">
        <v>120</v>
      </c>
      <c r="B123" s="10" t="inlineStr">
        <is>
          <t xml:space="preserve">        material_pack: Dict[str, Any] = {</t>
        </is>
      </c>
    </row>
    <row r="124">
      <c r="A124" s="7" t="n">
        <v>121</v>
      </c>
      <c r="B124" s="8" t="inlineStr">
        <is>
          <t xml:space="preserve">            "images":      self._fetch_images(instructions.get("image_demand", "")),</t>
        </is>
      </c>
    </row>
    <row r="125">
      <c r="A125" s="9" t="n">
        <v>122</v>
      </c>
      <c r="B125" s="10" t="inlineStr">
        <is>
          <t xml:space="preserve">            "videos":      self._fetch_videos(instructions.get("video_demand", "")),</t>
        </is>
      </c>
    </row>
    <row r="126">
      <c r="A126" s="7" t="n">
        <v>123</v>
      </c>
      <c r="B126" s="8" t="inlineStr">
        <is>
          <t xml:space="preserve">            "copywriting": self._fetch_copy(instructions.get("copy_demand", "")),</t>
        </is>
      </c>
    </row>
    <row r="127">
      <c r="A127" s="9" t="n">
        <v>124</v>
      </c>
      <c r="B127" s="10" t="inlineStr">
        <is>
          <t xml:space="preserve">            "bgm":         self._fetch_bgm(instructions.get("bgm_demand", "")),</t>
        </is>
      </c>
    </row>
    <row r="128">
      <c r="A128" s="7" t="n">
        <v>125</v>
      </c>
      <c r="B128" s="8" t="inlineStr">
        <is>
          <t xml:space="preserve">        }</t>
        </is>
      </c>
    </row>
    <row r="129">
      <c r="A129" s="9" t="n">
        <v>126</v>
      </c>
      <c r="B129" s="10" t="inlineStr"/>
    </row>
    <row r="130">
      <c r="A130" s="7" t="n">
        <v>127</v>
      </c>
      <c r="B130" s="8" t="inlineStr">
        <is>
          <t xml:space="preserve">        total = sum(len(v) for v in material_pack.values() if isinstance(v, list))</t>
        </is>
      </c>
    </row>
    <row r="131">
      <c r="A131" s="9" t="n">
        <v>128</v>
      </c>
      <c r="B131" s="10" t="inlineStr">
        <is>
          <t xml:space="preserve">        _log.info(f"调度完成: 汇总 {total} 条素材")</t>
        </is>
      </c>
    </row>
    <row r="132">
      <c r="A132" s="7" t="n">
        <v>129</v>
      </c>
      <c r="B132" s="8" t="inlineStr">
        <is>
          <t xml:space="preserve">        self._stats["total_requests"] += 1</t>
        </is>
      </c>
    </row>
    <row r="133">
      <c r="A133" s="9" t="n">
        <v>130</v>
      </c>
      <c r="B133" s="10" t="inlineStr">
        <is>
          <t xml:space="preserve">        return material_pack</t>
        </is>
      </c>
    </row>
    <row r="134">
      <c r="A134" s="7" t="n">
        <v>131</v>
      </c>
      <c r="B134" s="8" t="inlineStr"/>
    </row>
    <row r="135">
      <c r="A135" s="9" t="n">
        <v>132</v>
      </c>
      <c r="B135" s="10" t="inlineStr">
        <is>
          <t xml:space="preserve">    def _fetch_images(self, demand: str) -&gt; List[Dict]:</t>
        </is>
      </c>
    </row>
    <row r="136">
      <c r="A136" s="7" t="n">
        <v>133</v>
      </c>
      <c r="B136" s="8" t="inlineStr">
        <is>
          <t xml:space="preserve">        """从图片智能素材库获取素材"""</t>
        </is>
      </c>
    </row>
    <row r="137">
      <c r="A137" s="9" t="n">
        <v>134</v>
      </c>
      <c r="B137" s="10" t="inlineStr">
        <is>
          <t xml:space="preserve">        try:</t>
        </is>
      </c>
    </row>
    <row r="138">
      <c r="A138" s="7" t="n">
        <v>135</v>
      </c>
      <c r="B138" s="8" t="inlineStr">
        <is>
          <t xml:space="preserve">            from core.database import db</t>
        </is>
      </c>
    </row>
    <row r="139">
      <c r="A139" s="9" t="n">
        <v>136</v>
      </c>
      <c r="B139" s="10" t="inlineStr">
        <is>
          <t xml:space="preserve">            with db.get_connection() as conn:</t>
        </is>
      </c>
    </row>
    <row r="140">
      <c r="A140" s="7" t="n">
        <v>137</v>
      </c>
      <c r="B140" s="8" t="inlineStr">
        <is>
          <t xml:space="preserve">                rows = conn.execute(</t>
        </is>
      </c>
    </row>
    <row r="141">
      <c r="A141" s="9" t="n">
        <v>138</v>
      </c>
      <c r="B141" s="10" t="inlineStr">
        <is>
          <t xml:space="preserve">                    """SELECT video_path, tags, objects, style, confidence</t>
        </is>
      </c>
    </row>
    <row r="142">
      <c r="A142" s="7" t="n">
        <v>139</v>
      </c>
      <c r="B142" s="8" t="inlineStr">
        <is>
          <t xml:space="preserve">                       FROM materials WHERE analyzed=1 AND tags!=''</t>
        </is>
      </c>
    </row>
    <row r="143">
      <c r="A143" s="9" t="n">
        <v>140</v>
      </c>
      <c r="B143" s="10" t="inlineStr">
        <is>
          <t xml:space="preserve">                       ORDER BY confidence DESC LIMIT 10"""</t>
        </is>
      </c>
    </row>
    <row r="144">
      <c r="A144" s="7" t="n">
        <v>141</v>
      </c>
      <c r="B144" s="8" t="inlineStr">
        <is>
          <t xml:space="preserve">                ).fetchall()</t>
        </is>
      </c>
    </row>
    <row r="145">
      <c r="A145" s="9" t="n">
        <v>142</v>
      </c>
      <c r="B145" s="10" t="inlineStr">
        <is>
          <t xml:space="preserve">                return [{"path": r[0], "tags": r[1], "objects": r[2],</t>
        </is>
      </c>
    </row>
    <row r="146">
      <c r="A146" s="7" t="n">
        <v>143</v>
      </c>
      <c r="B146" s="8" t="inlineStr">
        <is>
          <t xml:space="preserve">                        "style": r[3], "confidence": r[4]} for r in rows]</t>
        </is>
      </c>
    </row>
    <row r="147">
      <c r="A147" s="9" t="n">
        <v>144</v>
      </c>
      <c r="B147" s="10" t="inlineStr">
        <is>
          <t xml:space="preserve">        except Exception as e:</t>
        </is>
      </c>
    </row>
    <row r="148">
      <c r="A148" s="7" t="n">
        <v>145</v>
      </c>
      <c r="B148" s="8" t="inlineStr">
        <is>
          <t xml:space="preserve">            _log.warning(f"图片库调度异常: {e}")</t>
        </is>
      </c>
    </row>
    <row r="149">
      <c r="A149" s="9" t="n">
        <v>146</v>
      </c>
      <c r="B149" s="10" t="inlineStr">
        <is>
          <t xml:space="preserve">            return []</t>
        </is>
      </c>
    </row>
    <row r="150">
      <c r="A150" s="7" t="n">
        <v>147</v>
      </c>
      <c r="B150" s="8" t="inlineStr"/>
    </row>
    <row r="151">
      <c r="A151" s="9" t="n">
        <v>148</v>
      </c>
      <c r="B151" s="10" t="inlineStr">
        <is>
          <t xml:space="preserve">    def _fetch_videos(self, demand: str) -&gt; List[Dict]:</t>
        </is>
      </c>
    </row>
    <row r="152">
      <c r="A152" s="7" t="n">
        <v>149</v>
      </c>
      <c r="B152" s="8" t="inlineStr">
        <is>
          <t xml:space="preserve">        """从视频智能素材库获取素材"""</t>
        </is>
      </c>
    </row>
    <row r="153">
      <c r="A153" s="9" t="n">
        <v>150</v>
      </c>
      <c r="B153" s="10" t="inlineStr">
        <is>
          <t xml:space="preserve">        try:</t>
        </is>
      </c>
    </row>
    <row r="154">
      <c r="A154" s="7" t="n">
        <v>151</v>
      </c>
      <c r="B154" s="8" t="inlineStr">
        <is>
          <t xml:space="preserve">            from core.database import db</t>
        </is>
      </c>
    </row>
    <row r="155">
      <c r="A155" s="9" t="n">
        <v>152</v>
      </c>
      <c r="B155" s="10" t="inlineStr">
        <is>
          <t xml:space="preserve">            with db.get_connection() as conn:</t>
        </is>
      </c>
    </row>
    <row r="156">
      <c r="A156" s="7" t="n">
        <v>153</v>
      </c>
      <c r="B156" s="8" t="inlineStr">
        <is>
          <t xml:space="preserve">                rows = conn.execute(</t>
        </is>
      </c>
    </row>
    <row r="157">
      <c r="A157" s="9" t="n">
        <v>154</v>
      </c>
      <c r="B157" s="10" t="inlineStr">
        <is>
          <t xml:space="preserve">                    """SELECT video_path, start_time, end_time, duration, tags, confidence</t>
        </is>
      </c>
    </row>
    <row r="158">
      <c r="A158" s="7" t="n">
        <v>155</v>
      </c>
      <c r="B158" s="8" t="inlineStr">
        <is>
          <t xml:space="preserve">                       FROM materials WHERE analyzed=1 AND duration&gt;1.0</t>
        </is>
      </c>
    </row>
    <row r="159">
      <c r="A159" s="9" t="n">
        <v>156</v>
      </c>
      <c r="B159" s="10" t="inlineStr">
        <is>
          <t xml:space="preserve">                       ORDER BY confidence DESC LIMIT 10"""</t>
        </is>
      </c>
    </row>
    <row r="160">
      <c r="A160" s="7" t="n">
        <v>157</v>
      </c>
      <c r="B160" s="8" t="inlineStr">
        <is>
          <t xml:space="preserve">                ).fetchall()</t>
        </is>
      </c>
    </row>
    <row r="161">
      <c r="A161" s="9" t="n">
        <v>158</v>
      </c>
      <c r="B161" s="10" t="inlineStr">
        <is>
          <t xml:space="preserve">                return [{"path": r[0], "source_start": r[1], "end_time": r[2],</t>
        </is>
      </c>
    </row>
    <row r="162">
      <c r="A162" s="7" t="n">
        <v>159</v>
      </c>
      <c r="B162" s="8" t="inlineStr">
        <is>
          <t xml:space="preserve">                        "duration": r[3], "tags": r[4], "confidence": r[5]} for r in rows]</t>
        </is>
      </c>
    </row>
    <row r="163">
      <c r="A163" s="9" t="n">
        <v>160</v>
      </c>
      <c r="B163" s="10" t="inlineStr">
        <is>
          <t xml:space="preserve">        except Exception as e:</t>
        </is>
      </c>
    </row>
    <row r="164">
      <c r="A164" s="7" t="n">
        <v>161</v>
      </c>
      <c r="B164" s="8" t="inlineStr">
        <is>
          <t xml:space="preserve">            _log.warning(f"视频库调度异常: {e}")</t>
        </is>
      </c>
    </row>
    <row r="165">
      <c r="A165" s="9" t="n">
        <v>162</v>
      </c>
      <c r="B165" s="10" t="inlineStr">
        <is>
          <t xml:space="preserve">            return []</t>
        </is>
      </c>
    </row>
    <row r="166">
      <c r="A166" s="7" t="n">
        <v>163</v>
      </c>
      <c r="B166" s="8" t="inlineStr"/>
    </row>
    <row r="167">
      <c r="A167" s="9" t="n">
        <v>164</v>
      </c>
      <c r="B167" s="10" t="inlineStr">
        <is>
          <t xml:space="preserve">    def _fetch_copy(self, demand: str) -&gt; List[str]:</t>
        </is>
      </c>
    </row>
    <row r="168">
      <c r="A168" s="7" t="n">
        <v>165</v>
      </c>
      <c r="B168" s="8" t="inlineStr">
        <is>
          <t xml:space="preserve">        """从文案智能库获取文案"""</t>
        </is>
      </c>
    </row>
    <row r="169">
      <c r="A169" s="9" t="n">
        <v>166</v>
      </c>
      <c r="B169" s="10" t="inlineStr">
        <is>
          <t xml:space="preserve">        try:</t>
        </is>
      </c>
    </row>
    <row r="170">
      <c r="A170" s="7" t="n">
        <v>167</v>
      </c>
      <c r="B170" s="8" t="inlineStr">
        <is>
          <t xml:space="preserve">            from core.copywriter import generate_copy</t>
        </is>
      </c>
    </row>
    <row r="171">
      <c r="A171" s="9" t="n">
        <v>168</v>
      </c>
      <c r="B171" s="10" t="inlineStr">
        <is>
          <t xml:space="preserve">            result = generate_copy(keyword=demand, num_clips=6, total_duration=30.0)</t>
        </is>
      </c>
    </row>
    <row r="172">
      <c r="A172" s="7" t="n">
        <v>169</v>
      </c>
      <c r="B172" s="8" t="inlineStr">
        <is>
          <t xml:space="preserve">            return [result] if result else []</t>
        </is>
      </c>
    </row>
    <row r="173">
      <c r="A173" s="9" t="n">
        <v>170</v>
      </c>
      <c r="B173" s="10" t="inlineStr">
        <is>
          <t xml:space="preserve">        except Exception as e:</t>
        </is>
      </c>
    </row>
    <row r="174">
      <c r="A174" s="7" t="n">
        <v>171</v>
      </c>
      <c r="B174" s="8" t="inlineStr">
        <is>
          <t xml:space="preserve">            _log.warning(f"文案库调度异常: {e}")</t>
        </is>
      </c>
    </row>
    <row r="175">
      <c r="A175" s="9" t="n">
        <v>172</v>
      </c>
      <c r="B175" s="10" t="inlineStr">
        <is>
          <t xml:space="preserve">            # fallback</t>
        </is>
      </c>
    </row>
    <row r="176">
      <c r="A176" s="7" t="n">
        <v>173</v>
      </c>
      <c r="B176" s="8" t="inlineStr">
        <is>
          <t xml:space="preserve">            try:</t>
        </is>
      </c>
    </row>
    <row r="177">
      <c r="A177" s="9" t="n">
        <v>174</v>
      </c>
      <c r="B177" s="10" t="inlineStr">
        <is>
          <t xml:space="preserve">                from core.database import db</t>
        </is>
      </c>
    </row>
    <row r="178">
      <c r="A178" s="7" t="n">
        <v>175</v>
      </c>
      <c r="B178" s="8" t="inlineStr">
        <is>
          <t xml:space="preserve">                with db.get_connection() as conn:</t>
        </is>
      </c>
    </row>
    <row r="179">
      <c r="A179" s="9" t="n">
        <v>176</v>
      </c>
      <c r="B179" s="10" t="inlineStr">
        <is>
          <t xml:space="preserve">                    rows = conn.execute(</t>
        </is>
      </c>
    </row>
    <row r="180">
      <c r="A180" s="7" t="n">
        <v>177</v>
      </c>
      <c r="B180" s="8" t="inlineStr">
        <is>
          <t xml:space="preserve">                        "SELECT content FROM learned_scripts ORDER BY id DESC LIMIT 5"</t>
        </is>
      </c>
    </row>
    <row r="181">
      <c r="A181" s="9" t="n">
        <v>178</v>
      </c>
      <c r="B181" s="10" t="inlineStr">
        <is>
          <t xml:space="preserve">                    ).fetchall()</t>
        </is>
      </c>
    </row>
    <row r="182">
      <c r="A182" s="7" t="n">
        <v>179</v>
      </c>
      <c r="B182" s="8" t="inlineStr">
        <is>
          <t xml:space="preserve">                    return [r[0] for r in rows]</t>
        </is>
      </c>
    </row>
    <row r="183">
      <c r="A183" s="9" t="n">
        <v>180</v>
      </c>
      <c r="B183" s="10" t="inlineStr">
        <is>
          <t xml:space="preserve">            except Exception:</t>
        </is>
      </c>
    </row>
    <row r="184">
      <c r="A184" s="7" t="n">
        <v>181</v>
      </c>
      <c r="B184" s="8" t="inlineStr">
        <is>
          <t xml:space="preserve">                return []</t>
        </is>
      </c>
    </row>
    <row r="185">
      <c r="A185" s="9" t="n">
        <v>182</v>
      </c>
      <c r="B185" s="10" t="inlineStr"/>
    </row>
    <row r="186">
      <c r="A186" s="7" t="n">
        <v>183</v>
      </c>
      <c r="B186" s="8" t="inlineStr">
        <is>
          <t xml:space="preserve">    def _fetch_bgm(self, demand: str) -&gt; List[str]:</t>
        </is>
      </c>
    </row>
    <row r="187">
      <c r="A187" s="9" t="n">
        <v>184</v>
      </c>
      <c r="B187" s="10" t="inlineStr">
        <is>
          <t xml:space="preserve">        """从BGM智能素材库获取BGM"""</t>
        </is>
      </c>
    </row>
    <row r="188">
      <c r="A188" s="7" t="n">
        <v>185</v>
      </c>
      <c r="B188" s="8" t="inlineStr">
        <is>
          <t xml:space="preserve">        try:</t>
        </is>
      </c>
    </row>
    <row r="189">
      <c r="A189" s="9" t="n">
        <v>186</v>
      </c>
      <c r="B189" s="10" t="inlineStr">
        <is>
          <t xml:space="preserve">            from core.bgm_matcher import match_bgm</t>
        </is>
      </c>
    </row>
    <row r="190">
      <c r="A190" s="7" t="n">
        <v>187</v>
      </c>
      <c r="B190" s="8" t="inlineStr">
        <is>
          <t xml:space="preserve">            bgm_list = match_bgm(demand)</t>
        </is>
      </c>
    </row>
    <row r="191">
      <c r="A191" s="9" t="n">
        <v>188</v>
      </c>
      <c r="B191" s="10" t="inlineStr">
        <is>
          <t xml:space="preserve">            return bgm_list if bgm_list else []</t>
        </is>
      </c>
    </row>
    <row r="192">
      <c r="A192" s="7" t="n">
        <v>189</v>
      </c>
      <c r="B192" s="8" t="inlineStr">
        <is>
          <t xml:space="preserve">        except Exception:</t>
        </is>
      </c>
    </row>
    <row r="193">
      <c r="A193" s="9" t="n">
        <v>190</v>
      </c>
      <c r="B193" s="10" t="inlineStr">
        <is>
          <t xml:space="preserve">            return []</t>
        </is>
      </c>
    </row>
    <row r="194">
      <c r="A194" s="7" t="n">
        <v>191</v>
      </c>
      <c r="B194" s="8" t="inlineStr"/>
    </row>
    <row r="195">
      <c r="A195" s="9" t="n">
        <v>192</v>
      </c>
      <c r="B195" s="10" t="inlineStr">
        <is>
          <t xml:space="preserve">    # ═══════════════ 生成合成任务 ═══════════════</t>
        </is>
      </c>
    </row>
    <row r="196">
      <c r="A196" s="7" t="n">
        <v>193</v>
      </c>
      <c r="B196" s="8" t="inlineStr">
        <is>
          <t xml:space="preserve">    def build_synthesis_task(self, material_pack: Dict[str, Any],</t>
        </is>
      </c>
    </row>
    <row r="197">
      <c r="A197" s="9" t="n">
        <v>194</v>
      </c>
      <c r="B197" s="10" t="inlineStr">
        <is>
          <t xml:space="preserve">                              keyword: str = "",</t>
        </is>
      </c>
    </row>
    <row r="198">
      <c r="A198" s="7" t="n">
        <v>195</v>
      </c>
      <c r="B198" s="8" t="inlineStr">
        <is>
          <t xml:space="preserve">                              copy_text: str = None) -&gt; Dict[str, Any]:</t>
        </is>
      </c>
    </row>
    <row r="199">
      <c r="A199" s="9" t="n">
        <v>196</v>
      </c>
      <c r="B199" s="10" t="inlineStr">
        <is>
          <t xml:space="preserve">        """</t>
        </is>
      </c>
    </row>
    <row r="200">
      <c r="A200" s="7" t="n">
        <v>197</v>
      </c>
      <c r="B200" s="8" t="inlineStr">
        <is>
          <t xml:space="preserve">        构建视频合成执行任务。</t>
        </is>
      </c>
    </row>
    <row r="201">
      <c r="A201" s="9" t="n">
        <v>198</v>
      </c>
      <c r="B201" s="10" t="inlineStr">
        <is>
          <t xml:space="preserve">        对接 pipeline.py 进行实际视频生成。</t>
        </is>
      </c>
    </row>
    <row r="202">
      <c r="A202" s="7" t="n">
        <v>199</v>
      </c>
      <c r="B202" s="8" t="inlineStr">
        <is>
          <t xml:space="preserve">        """</t>
        </is>
      </c>
    </row>
    <row r="203">
      <c r="A203" s="9" t="n">
        <v>200</v>
      </c>
      <c r="B203" s="10" t="inlineStr">
        <is>
          <t xml:space="preserve">        _log.info(f"构建合成任务: keyword={keyword}")</t>
        </is>
      </c>
    </row>
    <row r="204">
      <c r="A204" s="7" t="n">
        <v>201</v>
      </c>
      <c r="B204" s="8" t="inlineStr"/>
    </row>
    <row r="205">
      <c r="A205" s="9" t="n">
        <v>202</v>
      </c>
      <c r="B205" s="10" t="inlineStr">
        <is>
          <t xml:space="preserve">        task = {</t>
        </is>
      </c>
    </row>
    <row r="206">
      <c r="A206" s="7" t="n">
        <v>203</v>
      </c>
      <c r="B206" s="8" t="inlineStr">
        <is>
          <t xml:space="preserve">            "keyword": keyword,</t>
        </is>
      </c>
    </row>
    <row r="207">
      <c r="A207" s="9" t="n">
        <v>204</v>
      </c>
      <c r="B207" s="10" t="inlineStr">
        <is>
          <t xml:space="preserve">            "materials": material_pack,</t>
        </is>
      </c>
    </row>
    <row r="208">
      <c r="A208" s="7" t="n">
        <v>205</v>
      </c>
      <c r="B208" s="8" t="inlineStr">
        <is>
          <t xml:space="preserve">            "copy_text": copy_text or "",</t>
        </is>
      </c>
    </row>
    <row r="209">
      <c r="A209" s="9" t="n">
        <v>206</v>
      </c>
      <c r="B209" s="10" t="inlineStr">
        <is>
          <t xml:space="preserve">            "rules": {</t>
        </is>
      </c>
    </row>
    <row r="210">
      <c r="A210" s="7" t="n">
        <v>207</v>
      </c>
      <c r="B210" s="8" t="inlineStr">
        <is>
          <t xml:space="preserve">                "match_method": "FAISS+CLIP重排",</t>
        </is>
      </c>
    </row>
    <row r="211">
      <c r="A211" s="9" t="n">
        <v>208</v>
      </c>
      <c r="B211" s="10" t="inlineStr">
        <is>
          <t xml:space="preserve">                "clip_duration_min": 3.0,</t>
        </is>
      </c>
    </row>
    <row r="212">
      <c r="A212" s="7" t="n">
        <v>209</v>
      </c>
      <c r="B212" s="8" t="inlineStr">
        <is>
          <t xml:space="preserve">                "clip_duration_max": 5.0,</t>
        </is>
      </c>
    </row>
    <row r="213">
      <c r="A213" s="9" t="n">
        <v>210</v>
      </c>
      <c r="B213" s="10" t="inlineStr">
        <is>
          <t xml:space="preserve">                "num_clips": 6,</t>
        </is>
      </c>
    </row>
    <row r="214">
      <c r="A214" s="7" t="n">
        <v>211</v>
      </c>
      <c r="B214" s="8" t="inlineStr">
        <is>
          <t xml:space="preserve">            },</t>
        </is>
      </c>
    </row>
    <row r="215">
      <c r="A215" s="9" t="n">
        <v>212</v>
      </c>
      <c r="B215" s="10" t="inlineStr">
        <is>
          <t xml:space="preserve">            "output_spec": "1080x1920 30fps",</t>
        </is>
      </c>
    </row>
    <row r="216">
      <c r="A216" s="7" t="n">
        <v>213</v>
      </c>
      <c r="B216" s="8" t="inlineStr">
        <is>
          <t xml:space="preserve">        }</t>
        </is>
      </c>
    </row>
    <row r="217">
      <c r="A217" s="9" t="n">
        <v>214</v>
      </c>
      <c r="B217" s="10" t="inlineStr"/>
    </row>
    <row r="218">
      <c r="A218" s="7" t="n">
        <v>215</v>
      </c>
      <c r="B218" s="8" t="inlineStr">
        <is>
          <t xml:space="preserve">        # 如果有关键词但无文案，自动生成</t>
        </is>
      </c>
    </row>
    <row r="219">
      <c r="A219" s="9" t="n">
        <v>216</v>
      </c>
      <c r="B219" s="10" t="inlineStr">
        <is>
          <t xml:space="preserve">        if keyword and not task["copy_text"]:</t>
        </is>
      </c>
    </row>
    <row r="220">
      <c r="A220" s="7" t="n">
        <v>217</v>
      </c>
      <c r="B220" s="8" t="inlineStr">
        <is>
          <t xml:space="preserve">            try:</t>
        </is>
      </c>
    </row>
    <row r="221">
      <c r="A221" s="9" t="n">
        <v>218</v>
      </c>
      <c r="B221" s="10" t="inlineStr">
        <is>
          <t xml:space="preserve">                from core.copywriter import generate_copy</t>
        </is>
      </c>
    </row>
    <row r="222">
      <c r="A222" s="7" t="n">
        <v>219</v>
      </c>
      <c r="B222" s="8" t="inlineStr">
        <is>
          <t xml:space="preserve">                task["copy_text"] = generate_copy(</t>
        </is>
      </c>
    </row>
    <row r="223">
      <c r="A223" s="9" t="n">
        <v>220</v>
      </c>
      <c r="B223" s="10" t="inlineStr">
        <is>
          <t xml:space="preserve">                    keyword=keyword, num_clips=6, total_duration=30.0</t>
        </is>
      </c>
    </row>
    <row r="224">
      <c r="A224" s="7" t="n">
        <v>221</v>
      </c>
      <c r="B224" s="8" t="inlineStr">
        <is>
          <t xml:space="preserve">                )</t>
        </is>
      </c>
    </row>
    <row r="225">
      <c r="A225" s="9" t="n">
        <v>222</v>
      </c>
      <c r="B225" s="10" t="inlineStr">
        <is>
          <t xml:space="preserve">            except Exception:</t>
        </is>
      </c>
    </row>
    <row r="226">
      <c r="A226" s="7" t="n">
        <v>223</v>
      </c>
      <c r="B226" s="8" t="inlineStr">
        <is>
          <t xml:space="preserve">                pass</t>
        </is>
      </c>
    </row>
    <row r="227">
      <c r="A227" s="9" t="n">
        <v>224</v>
      </c>
      <c r="B227" s="10" t="inlineStr"/>
    </row>
    <row r="228">
      <c r="A228" s="7" t="n">
        <v>225</v>
      </c>
      <c r="B228" s="8" t="inlineStr">
        <is>
          <t xml:space="preserve">        return task</t>
        </is>
      </c>
    </row>
    <row r="229">
      <c r="A229" s="9" t="n">
        <v>226</v>
      </c>
      <c r="B229" s="10" t="inlineStr"/>
    </row>
    <row r="230">
      <c r="A230" s="7" t="n">
        <v>227</v>
      </c>
      <c r="B230" s="8" t="inlineStr">
        <is>
          <t xml:space="preserve">    # ═══════════════ 回流重调度（闭环核心）═══════════════</t>
        </is>
      </c>
    </row>
    <row r="231">
      <c r="A231" s="9" t="n">
        <v>228</v>
      </c>
      <c r="B231" s="10" t="inlineStr">
        <is>
          <t xml:space="preserve">    def reschedule_after_fail(self, original_task: Dict[str, Any],</t>
        </is>
      </c>
    </row>
    <row r="232">
      <c r="A232" s="7" t="n">
        <v>229</v>
      </c>
      <c r="B232" s="8" t="inlineStr">
        <is>
          <t xml:space="preserve">                               fail_reason: str,</t>
        </is>
      </c>
    </row>
    <row r="233">
      <c r="A233" s="9" t="n">
        <v>230</v>
      </c>
      <c r="B233" s="10" t="inlineStr">
        <is>
          <t xml:space="preserve">                               retry_count: int = 0) -&gt; Optional[Dict[str, Any]]:</t>
        </is>
      </c>
    </row>
    <row r="234">
      <c r="A234" s="7" t="n">
        <v>231</v>
      </c>
      <c r="B234" s="8" t="inlineStr">
        <is>
          <t xml:space="preserve">        """</t>
        </is>
      </c>
    </row>
    <row r="235">
      <c r="A235" s="9" t="n">
        <v>232</v>
      </c>
      <c r="B235" s="10" t="inlineStr">
        <is>
          <t xml:space="preserve">        ★ 導圖閉環核心: 不合格 → 回流重调度 → 纠错提效。</t>
        </is>
      </c>
    </row>
    <row r="236">
      <c r="A236" s="7" t="n">
        <v>233</v>
      </c>
      <c r="B236" s="8" t="inlineStr">
        <is>
          <t xml:space="preserve">        对接 retry_scheduler.py 进行智能参数调整。</t>
        </is>
      </c>
    </row>
    <row r="237">
      <c r="A237" s="9" t="n">
        <v>234</v>
      </c>
      <c r="B237" s="10" t="inlineStr">
        <is>
          <t xml:space="preserve">        """</t>
        </is>
      </c>
    </row>
    <row r="238">
      <c r="A238" s="7" t="n">
        <v>235</v>
      </c>
      <c r="B238" s="8" t="inlineStr">
        <is>
          <t xml:space="preserve">        _log.warning(f"回流重调度: reason={fail_reason}, retry={retry_count}")</t>
        </is>
      </c>
    </row>
    <row r="239">
      <c r="A239" s="9" t="n">
        <v>236</v>
      </c>
      <c r="B239" s="10" t="inlineStr"/>
    </row>
    <row r="240">
      <c r="A240" s="7" t="n">
        <v>237</v>
      </c>
      <c r="B240" s="8" t="inlineStr">
        <is>
          <t xml:space="preserve">        # 1. 触发视频库纠错提效</t>
        </is>
      </c>
    </row>
    <row r="241">
      <c r="A241" s="9" t="n">
        <v>238</v>
      </c>
      <c r="B241" s="10" t="inlineStr">
        <is>
          <t xml:space="preserve">        try:</t>
        </is>
      </c>
    </row>
    <row r="242">
      <c r="A242" s="7" t="n">
        <v>239</v>
      </c>
      <c r="B242" s="8" t="inlineStr">
        <is>
          <t xml:space="preserve">            from core.event_wiring import publish_log</t>
        </is>
      </c>
    </row>
    <row r="243">
      <c r="A243" s="9" t="n">
        <v>240</v>
      </c>
      <c r="B243" s="10" t="inlineStr">
        <is>
          <t xml:space="preserve">            publish_log("SmartOrchestrator", "warning", f"纠错提效: {fail_reason}")</t>
        </is>
      </c>
    </row>
    <row r="244">
      <c r="A244" s="7" t="n">
        <v>241</v>
      </c>
      <c r="B244" s="8" t="inlineStr">
        <is>
          <t xml:space="preserve">        except Exception:</t>
        </is>
      </c>
    </row>
    <row r="245">
      <c r="A245" s="9" t="n">
        <v>242</v>
      </c>
      <c r="B245" s="10" t="inlineStr">
        <is>
          <t xml:space="preserve">            pass</t>
        </is>
      </c>
    </row>
    <row r="246">
      <c r="A246" s="7" t="n">
        <v>243</v>
      </c>
      <c r="B246" s="8" t="inlineStr"/>
    </row>
    <row r="247">
      <c r="A247" s="9" t="n">
        <v>244</v>
      </c>
      <c r="B247" s="10" t="inlineStr">
        <is>
          <t xml:space="preserve">        # 2. 调用 RetryScheduler 获取调整后的参数</t>
        </is>
      </c>
    </row>
    <row r="248">
      <c r="A248" s="7" t="n">
        <v>245</v>
      </c>
      <c r="B248" s="8" t="inlineStr">
        <is>
          <t xml:space="preserve">        try:</t>
        </is>
      </c>
    </row>
    <row r="249">
      <c r="A249" s="9" t="n">
        <v>246</v>
      </c>
      <c r="B249" s="10" t="inlineStr">
        <is>
          <t xml:space="preserve">            from core.retry_scheduler import get_retry_scheduler, FailReason</t>
        </is>
      </c>
    </row>
    <row r="250">
      <c r="A250" s="7" t="n">
        <v>247</v>
      </c>
      <c r="B250" s="8" t="inlineStr">
        <is>
          <t xml:space="preserve">            rs = get_retry_scheduler()</t>
        </is>
      </c>
    </row>
    <row r="251">
      <c r="A251" s="9" t="n">
        <v>248</v>
      </c>
      <c r="B251" s="10" t="inlineStr">
        <is>
          <t xml:space="preserve">            original_params = original_task.get("rules", {})</t>
        </is>
      </c>
    </row>
    <row r="252">
      <c r="A252" s="7" t="n">
        <v>249</v>
      </c>
      <c r="B252" s="8" t="inlineStr">
        <is>
          <t xml:space="preserve">            reason = FailReason(fail_reason) if fail_reason in FailReason._value2member_map_ else FailReason.UNKNOWN</t>
        </is>
      </c>
    </row>
    <row r="253">
      <c r="A253" s="9" t="n">
        <v>250</v>
      </c>
      <c r="B253" s="10" t="inlineStr">
        <is>
          <t xml:space="preserve">            adjusted = rs.schedule_retry(</t>
        </is>
      </c>
    </row>
    <row r="254">
      <c r="A254" s="7" t="n">
        <v>251</v>
      </c>
      <c r="B254" s="8" t="inlineStr">
        <is>
          <t xml:space="preserve">                original_task.get("keyword", "unknown"),</t>
        </is>
      </c>
    </row>
    <row r="255">
      <c r="A255" s="9" t="n">
        <v>252</v>
      </c>
      <c r="B255" s="10" t="inlineStr">
        <is>
          <t xml:space="preserve">                original_params, reason.value,</t>
        </is>
      </c>
    </row>
    <row r="256">
      <c r="A256" s="7" t="n">
        <v>253</v>
      </c>
      <c r="B256" s="8" t="inlineStr">
        <is>
          <t xml:space="preserve">                last_score=0</t>
        </is>
      </c>
    </row>
    <row r="257">
      <c r="A257" s="9" t="n">
        <v>254</v>
      </c>
      <c r="B257" s="10" t="inlineStr">
        <is>
          <t xml:space="preserve">            )</t>
        </is>
      </c>
    </row>
    <row r="258">
      <c r="A258" s="7" t="n">
        <v>255</v>
      </c>
      <c r="B258" s="8" t="inlineStr">
        <is>
          <t xml:space="preserve">            if adjusted:</t>
        </is>
      </c>
    </row>
    <row r="259">
      <c r="A259" s="9" t="n">
        <v>256</v>
      </c>
      <c r="B259" s="10" t="inlineStr">
        <is>
          <t xml:space="preserve">                # 用调整后的参数重建任务</t>
        </is>
      </c>
    </row>
    <row r="260">
      <c r="A260" s="7" t="n">
        <v>257</v>
      </c>
      <c r="B260" s="8" t="inlineStr">
        <is>
          <t xml:space="preserve">                new_task = dict(original_task)</t>
        </is>
      </c>
    </row>
    <row r="261">
      <c r="A261" s="9" t="n">
        <v>258</v>
      </c>
      <c r="B261" s="10" t="inlineStr">
        <is>
          <t xml:space="preserve">                new_task["rules"] = adjusted</t>
        </is>
      </c>
    </row>
    <row r="262">
      <c r="A262" s="7" t="n">
        <v>259</v>
      </c>
      <c r="B262" s="8" t="inlineStr">
        <is>
          <t xml:space="preserve">                new_task["_retry_count"] = retry_count + 1</t>
        </is>
      </c>
    </row>
    <row r="263">
      <c r="A263" s="9" t="n">
        <v>260</v>
      </c>
      <c r="B263" s="10" t="inlineStr">
        <is>
          <t xml:space="preserve">                _log.info(f"重调度完成: 新参数={adjusted}")</t>
        </is>
      </c>
    </row>
    <row r="264">
      <c r="A264" s="7" t="n">
        <v>261</v>
      </c>
      <c r="B264" s="8" t="inlineStr">
        <is>
          <t xml:space="preserve">                return new_task</t>
        </is>
      </c>
    </row>
    <row r="265">
      <c r="A265" s="9" t="n">
        <v>262</v>
      </c>
      <c r="B265" s="10" t="inlineStr">
        <is>
          <t xml:space="preserve">        except ImportError:</t>
        </is>
      </c>
    </row>
    <row r="266">
      <c r="A266" s="7" t="n">
        <v>263</v>
      </c>
      <c r="B266" s="8" t="inlineStr">
        <is>
          <t xml:space="preserve">            pass</t>
        </is>
      </c>
    </row>
    <row r="267">
      <c r="A267" s="9" t="n">
        <v>264</v>
      </c>
      <c r="B267" s="10" t="inlineStr">
        <is>
          <t xml:space="preserve">        except Exception as e:</t>
        </is>
      </c>
    </row>
    <row r="268">
      <c r="A268" s="7" t="n">
        <v>265</v>
      </c>
      <c r="B268" s="8" t="inlineStr">
        <is>
          <t xml:space="preserve">            _log.error(f"重调度异常: {e}")</t>
        </is>
      </c>
    </row>
    <row r="269">
      <c r="A269" s="9" t="n">
        <v>266</v>
      </c>
      <c r="B269" s="10" t="inlineStr"/>
    </row>
    <row r="270">
      <c r="A270" s="7" t="n">
        <v>267</v>
      </c>
      <c r="B270" s="8" t="inlineStr">
        <is>
          <t xml:space="preserve">        # 回退: 简单调整阈值</t>
        </is>
      </c>
    </row>
    <row r="271">
      <c r="A271" s="9" t="n">
        <v>268</v>
      </c>
      <c r="B271" s="10" t="inlineStr">
        <is>
          <t xml:space="preserve">        new_task = dict(original_task)</t>
        </is>
      </c>
    </row>
    <row r="272">
      <c r="A272" s="7" t="n">
        <v>269</v>
      </c>
      <c r="B272" s="8" t="inlineStr">
        <is>
          <t xml:space="preserve">        new_task["rules"]["match_threshold"] = max(0.3,</t>
        </is>
      </c>
    </row>
    <row r="273">
      <c r="A273" s="9" t="n">
        <v>270</v>
      </c>
      <c r="B273" s="10" t="inlineStr">
        <is>
          <t xml:space="preserve">            original_task.get("rules", {}).get("match_threshold", 0.6) - 0.1)</t>
        </is>
      </c>
    </row>
    <row r="274">
      <c r="A274" s="7" t="n">
        <v>271</v>
      </c>
      <c r="B274" s="8" t="inlineStr">
        <is>
          <t xml:space="preserve">        new_task["_retry_count"] = retry_count + 1</t>
        </is>
      </c>
    </row>
    <row r="275">
      <c r="A275" s="9" t="n">
        <v>272</v>
      </c>
      <c r="B275" s="10" t="inlineStr">
        <is>
          <t xml:space="preserve">        return new_task</t>
        </is>
      </c>
    </row>
    <row r="276">
      <c r="A276" s="7" t="n">
        <v>273</v>
      </c>
      <c r="B276" s="8" t="inlineStr"/>
    </row>
    <row r="277">
      <c r="A277" s="9" t="n">
        <v>274</v>
      </c>
      <c r="B277" s="10" t="inlineStr">
        <is>
          <t xml:space="preserve">    # ═══════════════ 全流程执行 ═══════════════</t>
        </is>
      </c>
    </row>
    <row r="278">
      <c r="A278" s="7" t="n">
        <v>275</v>
      </c>
      <c r="B278" s="8" t="inlineStr">
        <is>
          <t xml:space="preserve">    def execute(self, user_demand: str,</t>
        </is>
      </c>
    </row>
    <row r="279">
      <c r="A279" s="9" t="n">
        <v>276</v>
      </c>
      <c r="B279" s="10" t="inlineStr">
        <is>
          <t xml:space="preserve">                keyword: str = None,</t>
        </is>
      </c>
    </row>
    <row r="280">
      <c r="A280" s="7" t="n">
        <v>277</v>
      </c>
      <c r="B280" s="8" t="inlineStr">
        <is>
          <t xml:space="preserve">                max_retry: int = 3) -&gt; Optional[Dict[str, Any]]:</t>
        </is>
      </c>
    </row>
    <row r="281">
      <c r="A281" s="9" t="n">
        <v>278</v>
      </c>
      <c r="B281" s="10" t="inlineStr">
        <is>
          <t xml:space="preserve">        """</t>
        </is>
      </c>
    </row>
    <row r="282">
      <c r="A282" s="7" t="n">
        <v>279</v>
      </c>
      <c r="B282" s="8" t="inlineStr">
        <is>
          <t xml:space="preserve">        一键执行完整流程: 解析→调度→合成→质检→(不合格→回流)×N→输出。</t>
        </is>
      </c>
    </row>
    <row r="283">
      <c r="A283" s="9" t="n">
        <v>280</v>
      </c>
      <c r="B283" s="10" t="inlineStr">
        <is>
          <t xml:space="preserve">        ★ v12.1: 自动记录到 task_record 表</t>
        </is>
      </c>
    </row>
    <row r="284">
      <c r="A284" s="7" t="n">
        <v>281</v>
      </c>
      <c r="B284" s="8" t="inlineStr">
        <is>
          <t xml:space="preserve">        """</t>
        </is>
      </c>
    </row>
    <row r="285">
      <c r="A285" s="9" t="n">
        <v>282</v>
      </c>
      <c r="B285" s="10" t="inlineStr">
        <is>
          <t xml:space="preserve">        kw = keyword or user_demand</t>
        </is>
      </c>
    </row>
    <row r="286">
      <c r="A286" s="7" t="n">
        <v>283</v>
      </c>
      <c r="B286" s="8" t="inlineStr">
        <is>
          <t xml:space="preserve">        _log.info(f"═══ 开始全流程执行: {kw} ═══")</t>
        </is>
      </c>
    </row>
    <row r="287">
      <c r="A287" s="9" t="n">
        <v>284</v>
      </c>
      <c r="B287" s="10" t="inlineStr">
        <is>
          <t xml:space="preserve">        self._publish_event("GENERATION_STARTED", {"keyword": kw})</t>
        </is>
      </c>
    </row>
    <row r="288">
      <c r="A288" s="7" t="n">
        <v>285</v>
      </c>
      <c r="B288" s="8" t="inlineStr"/>
    </row>
    <row r="289">
      <c r="A289" s="9" t="n">
        <v>286</v>
      </c>
      <c r="B289" s="10" t="inlineStr">
        <is>
          <t xml:space="preserve">        # ★ v12.1: 创建任务记录</t>
        </is>
      </c>
    </row>
    <row r="290">
      <c r="A290" s="7" t="n">
        <v>287</v>
      </c>
      <c r="B290" s="8" t="inlineStr">
        <is>
          <t xml:space="preserve">        task_id = -1</t>
        </is>
      </c>
    </row>
    <row r="291">
      <c r="A291" s="9" t="n">
        <v>288</v>
      </c>
      <c r="B291" s="10" t="inlineStr">
        <is>
          <t xml:space="preserve">        try:</t>
        </is>
      </c>
    </row>
    <row r="292">
      <c r="A292" s="7" t="n">
        <v>289</v>
      </c>
      <c r="B292" s="8" t="inlineStr">
        <is>
          <t xml:space="preserve">            from core.database import db</t>
        </is>
      </c>
    </row>
    <row r="293">
      <c r="A293" s="9" t="n">
        <v>290</v>
      </c>
      <c r="B293" s="10" t="inlineStr">
        <is>
          <t xml:space="preserve">            task_id = db.insert_task_record(</t>
        </is>
      </c>
    </row>
    <row r="294">
      <c r="A294" s="7" t="n">
        <v>291</v>
      </c>
      <c r="B294" s="8" t="inlineStr">
        <is>
          <t xml:space="preserve">                demand=user_demand, keyword=kw, status="执行中",</t>
        </is>
      </c>
    </row>
    <row r="295">
      <c r="A295" s="9" t="n">
        <v>292</v>
      </c>
      <c r="B295" s="10" t="inlineStr">
        <is>
          <t xml:space="preserve">                retry_times=0</t>
        </is>
      </c>
    </row>
    <row r="296">
      <c r="A296" s="7" t="n">
        <v>293</v>
      </c>
      <c r="B296" s="8" t="inlineStr">
        <is>
          <t xml:space="preserve">            )</t>
        </is>
      </c>
    </row>
    <row r="297">
      <c r="A297" s="9" t="n">
        <v>294</v>
      </c>
      <c r="B297" s="10" t="inlineStr">
        <is>
          <t xml:space="preserve">        except Exception:</t>
        </is>
      </c>
    </row>
    <row r="298">
      <c r="A298" s="7" t="n">
        <v>295</v>
      </c>
      <c r="B298" s="8" t="inlineStr">
        <is>
          <t xml:space="preserve">            pass</t>
        </is>
      </c>
    </row>
    <row r="299">
      <c r="A299" s="9" t="n">
        <v>296</v>
      </c>
      <c r="B299" s="10" t="inlineStr"/>
    </row>
    <row r="300">
      <c r="A300" s="7" t="n">
        <v>297</v>
      </c>
      <c r="B300" s="8" t="inlineStr">
        <is>
          <t xml:space="preserve">        # Step 1: 解析需求</t>
        </is>
      </c>
    </row>
    <row r="301">
      <c r="A301" s="9" t="n">
        <v>298</v>
      </c>
      <c r="B301" s="10" t="inlineStr">
        <is>
          <t xml:space="preserve">        instructions = self.parse_demand(user_demand)</t>
        </is>
      </c>
    </row>
    <row r="302">
      <c r="A302" s="7" t="n">
        <v>299</v>
      </c>
      <c r="B302" s="8" t="inlineStr"/>
    </row>
    <row r="303">
      <c r="A303" s="9" t="n">
        <v>300</v>
      </c>
      <c r="B303" s="10" t="inlineStr">
        <is>
          <t xml:space="preserve">        # Step 2: 调度素材</t>
        </is>
      </c>
    </row>
    <row r="304">
      <c r="A304" s="7" t="n">
        <v>301</v>
      </c>
      <c r="B304" s="8" t="inlineStr">
        <is>
          <t xml:space="preserve">        material_pack = self.schedule_all_materials(instructions)</t>
        </is>
      </c>
    </row>
    <row r="305">
      <c r="A305" s="9" t="n">
        <v>302</v>
      </c>
      <c r="B305" s="10" t="inlineStr"/>
    </row>
    <row r="306">
      <c r="A306" s="7" t="n">
        <v>303</v>
      </c>
      <c r="B306" s="8" t="inlineStr">
        <is>
          <t xml:space="preserve">        # Step 3: 构建合成任务</t>
        </is>
      </c>
    </row>
    <row r="307">
      <c r="A307" s="9" t="n">
        <v>304</v>
      </c>
      <c r="B307" s="10" t="inlineStr">
        <is>
          <t xml:space="preserve">        synthesis_task = self.build_synthesis_task(material_pack, keyword=kw)</t>
        </is>
      </c>
    </row>
    <row r="308">
      <c r="A308" s="7" t="n">
        <v>305</v>
      </c>
      <c r="B308" s="8" t="inlineStr">
        <is>
          <t xml:space="preserve">        materials_count = sum(len(v) for v in material_pack.values() if isinstance(v, list))</t>
        </is>
      </c>
    </row>
    <row r="309">
      <c r="A309" s="9" t="n">
        <v>306</v>
      </c>
      <c r="B309" s="10" t="inlineStr"/>
    </row>
    <row r="310">
      <c r="A310" s="7" t="n">
        <v>307</v>
      </c>
      <c r="B310" s="8" t="inlineStr">
        <is>
          <t xml:space="preserve">        # Step 4: 质检 + 回流循环</t>
        </is>
      </c>
    </row>
    <row r="311">
      <c r="A311" s="9" t="n">
        <v>308</v>
      </c>
      <c r="B311" s="10" t="inlineStr">
        <is>
          <t xml:space="preserve">        retry_count = 0</t>
        </is>
      </c>
    </row>
    <row r="312">
      <c r="A312" s="7" t="n">
        <v>309</v>
      </c>
      <c r="B312" s="8" t="inlineStr">
        <is>
          <t xml:space="preserve">        current_task = synthesis_task</t>
        </is>
      </c>
    </row>
    <row r="313">
      <c r="A313" s="9" t="n">
        <v>310</v>
      </c>
      <c r="B313" s="10" t="inlineStr"/>
    </row>
    <row r="314">
      <c r="A314" s="7" t="n">
        <v>311</v>
      </c>
      <c r="B314" s="8" t="inlineStr">
        <is>
          <t xml:space="preserve">        while retry_count &lt;= max_retry:</t>
        </is>
      </c>
    </row>
    <row r="315">
      <c r="A315" s="9" t="n">
        <v>312</v>
      </c>
      <c r="B315" s="10" t="inlineStr">
        <is>
          <t xml:space="preserve">            try:</t>
        </is>
      </c>
    </row>
    <row r="316">
      <c r="A316" s="7" t="n">
        <v>313</v>
      </c>
      <c r="B316" s="8" t="inlineStr">
        <is>
          <t xml:space="preserve">                from core.quality_center import get_quality_center</t>
        </is>
      </c>
    </row>
    <row r="317">
      <c r="A317" s="9" t="n">
        <v>314</v>
      </c>
      <c r="B317" s="10" t="inlineStr">
        <is>
          <t xml:space="preserve">                qc = get_quality_center()</t>
        </is>
      </c>
    </row>
    <row r="318">
      <c r="A318" s="7" t="n">
        <v>315</v>
      </c>
      <c r="B318" s="8" t="inlineStr">
        <is>
          <t xml:space="preserve">                is_qualified, feedback = qc.inspect(current_task)</t>
        </is>
      </c>
    </row>
    <row r="319">
      <c r="A319" s="9" t="n">
        <v>316</v>
      </c>
      <c r="B319" s="10" t="inlineStr">
        <is>
          <t xml:space="preserve">            except ImportError:</t>
        </is>
      </c>
    </row>
    <row r="320">
      <c r="A320" s="7" t="n">
        <v>317</v>
      </c>
      <c r="B320" s="8" t="inlineStr">
        <is>
          <t xml:space="preserve">                result = self._run_pipeline(current_task)</t>
        </is>
      </c>
    </row>
    <row r="321">
      <c r="A321" s="9" t="n">
        <v>318</v>
      </c>
      <c r="B321" s="10" t="inlineStr">
        <is>
          <t xml:space="preserve">                if task_id &gt; 0:</t>
        </is>
      </c>
    </row>
    <row r="322">
      <c r="A322" s="7" t="n">
        <v>319</v>
      </c>
      <c r="B322" s="8" t="inlineStr">
        <is>
          <t xml:space="preserve">                    try:</t>
        </is>
      </c>
    </row>
    <row r="323">
      <c r="A323" s="9" t="n">
        <v>320</v>
      </c>
      <c r="B323" s="10" t="inlineStr">
        <is>
          <t xml:space="preserve">                        db.update_task_record(task_id, status="成功",</t>
        </is>
      </c>
    </row>
    <row r="324">
      <c r="A324" s="7" t="n">
        <v>321</v>
      </c>
      <c r="B324" s="8" t="inlineStr">
        <is>
          <t xml:space="preserve">                            output_path=result.get("draft_dir","") if result else "")</t>
        </is>
      </c>
    </row>
    <row r="325">
      <c r="A325" s="9" t="n">
        <v>322</v>
      </c>
      <c r="B325" s="10" t="inlineStr">
        <is>
          <t xml:space="preserve">                        db.update_task_record(task_id, materials_count=materials_count)</t>
        </is>
      </c>
    </row>
    <row r="326">
      <c r="A326" s="7" t="n">
        <v>323</v>
      </c>
      <c r="B326" s="8" t="inlineStr">
        <is>
          <t xml:space="preserve">                    except Exception:</t>
        </is>
      </c>
    </row>
    <row r="327">
      <c r="A327" s="9" t="n">
        <v>324</v>
      </c>
      <c r="B327" s="10" t="inlineStr">
        <is>
          <t xml:space="preserve">                        pass</t>
        </is>
      </c>
    </row>
    <row r="328">
      <c r="A328" s="7" t="n">
        <v>325</v>
      </c>
      <c r="B328" s="8" t="inlineStr">
        <is>
          <t xml:space="preserve">                return result</t>
        </is>
      </c>
    </row>
    <row r="329">
      <c r="A329" s="9" t="n">
        <v>326</v>
      </c>
      <c r="B329" s="10" t="inlineStr"/>
    </row>
    <row r="330">
      <c r="A330" s="7" t="n">
        <v>327</v>
      </c>
      <c r="B330" s="8" t="inlineStr">
        <is>
          <t xml:space="preserve">            if is_qualified:</t>
        </is>
      </c>
    </row>
    <row r="331">
      <c r="A331" s="9" t="n">
        <v>328</v>
      </c>
      <c r="B331" s="10" t="inlineStr">
        <is>
          <t xml:space="preserve">                _log.info("质检通过，开始合成")</t>
        </is>
      </c>
    </row>
    <row r="332">
      <c r="A332" s="7" t="n">
        <v>329</v>
      </c>
      <c r="B332" s="8" t="inlineStr">
        <is>
          <t xml:space="preserve">                result = self._run_pipeline(current_task)</t>
        </is>
      </c>
    </row>
    <row r="333">
      <c r="A333" s="9" t="n">
        <v>330</v>
      </c>
      <c r="B333" s="10" t="inlineStr">
        <is>
          <t xml:space="preserve">                if result:</t>
        </is>
      </c>
    </row>
    <row r="334">
      <c r="A334" s="7" t="n">
        <v>331</v>
      </c>
      <c r="B334" s="8" t="inlineStr">
        <is>
          <t xml:space="preserve">                    self._stats["total_success"] += 1</t>
        </is>
      </c>
    </row>
    <row r="335">
      <c r="A335" s="9" t="n">
        <v>332</v>
      </c>
      <c r="B335" s="10" t="inlineStr">
        <is>
          <t xml:space="preserve">                    self._publish_event("GENERATION_DONE", {"keyword": kw, "result": result})</t>
        </is>
      </c>
    </row>
    <row r="336">
      <c r="A336" s="7" t="n">
        <v>333</v>
      </c>
      <c r="B336" s="8" t="inlineStr">
        <is>
          <t xml:space="preserve">                if task_id &gt; 0:</t>
        </is>
      </c>
    </row>
    <row r="337">
      <c r="A337" s="9" t="n">
        <v>334</v>
      </c>
      <c r="B337" s="10" t="inlineStr">
        <is>
          <t xml:space="preserve">                    try:</t>
        </is>
      </c>
    </row>
    <row r="338">
      <c r="A338" s="7" t="n">
        <v>335</v>
      </c>
      <c r="B338" s="8" t="inlineStr">
        <is>
          <t xml:space="preserve">                        db.update_task_record(task_id, status="成功",</t>
        </is>
      </c>
    </row>
    <row r="339">
      <c r="A339" s="9" t="n">
        <v>336</v>
      </c>
      <c r="B339" s="10" t="inlineStr">
        <is>
          <t xml:space="preserve">                            output_path=result.get("draft_dir","") if result else "",</t>
        </is>
      </c>
    </row>
    <row r="340">
      <c r="A340" s="7" t="n">
        <v>337</v>
      </c>
      <c r="B340" s="8" t="inlineStr">
        <is>
          <t xml:space="preserve">                            retry_times=retry_count, materials_count=materials_count)</t>
        </is>
      </c>
    </row>
    <row r="341">
      <c r="A341" s="9" t="n">
        <v>338</v>
      </c>
      <c r="B341" s="10" t="inlineStr">
        <is>
          <t xml:space="preserve">                    except Exception:</t>
        </is>
      </c>
    </row>
    <row r="342">
      <c r="A342" s="7" t="n">
        <v>339</v>
      </c>
      <c r="B342" s="8" t="inlineStr">
        <is>
          <t xml:space="preserve">                        pass</t>
        </is>
      </c>
    </row>
    <row r="343">
      <c r="A343" s="9" t="n">
        <v>340</v>
      </c>
      <c r="B343" s="10" t="inlineStr">
        <is>
          <t xml:space="preserve">                return result</t>
        </is>
      </c>
    </row>
    <row r="344">
      <c r="A344" s="7" t="n">
        <v>341</v>
      </c>
      <c r="B344" s="8" t="inlineStr">
        <is>
          <t xml:space="preserve">            else:</t>
        </is>
      </c>
    </row>
    <row r="345">
      <c r="A345" s="9" t="n">
        <v>342</v>
      </c>
      <c r="B345" s="10" t="inlineStr">
        <is>
          <t xml:space="preserve">                retry_count += 1</t>
        </is>
      </c>
    </row>
    <row r="346">
      <c r="A346" s="7" t="n">
        <v>343</v>
      </c>
      <c r="B346" s="8" t="inlineStr">
        <is>
          <t xml:space="preserve">                _log.warning(f"质检不通过 (第{retry_count}次): {feedback}")</t>
        </is>
      </c>
    </row>
    <row r="347">
      <c r="A347" s="9" t="n">
        <v>344</v>
      </c>
      <c r="B347" s="10" t="inlineStr">
        <is>
          <t xml:space="preserve">                if retry_count &gt; max_retry:</t>
        </is>
      </c>
    </row>
    <row r="348">
      <c r="A348" s="7" t="n">
        <v>345</v>
      </c>
      <c r="B348" s="8" t="inlineStr">
        <is>
          <t xml:space="preserve">                    self._stats["total_fail"] += 1</t>
        </is>
      </c>
    </row>
    <row r="349">
      <c r="A349" s="9" t="n">
        <v>346</v>
      </c>
      <c r="B349" s="10" t="inlineStr">
        <is>
          <t xml:space="preserve">                    self._publish_event("GENERATION_FAILED",</t>
        </is>
      </c>
    </row>
    <row r="350">
      <c r="A350" s="7" t="n">
        <v>347</v>
      </c>
      <c r="B350" s="8" t="inlineStr">
        <is>
          <t xml:space="preserve">                        {"keyword": kw, "error": f"重试{max_retry}次后仍不合格: {feedback}"})</t>
        </is>
      </c>
    </row>
    <row r="351">
      <c r="A351" s="9" t="n">
        <v>348</v>
      </c>
      <c r="B351" s="10" t="inlineStr">
        <is>
          <t xml:space="preserve">                    if task_id &gt; 0:</t>
        </is>
      </c>
    </row>
    <row r="352">
      <c r="A352" s="7" t="n">
        <v>349</v>
      </c>
      <c r="B352" s="8" t="inlineStr">
        <is>
          <t xml:space="preserve">                        try:</t>
        </is>
      </c>
    </row>
    <row r="353">
      <c r="A353" s="9" t="n">
        <v>350</v>
      </c>
      <c r="B353" s="10" t="inlineStr">
        <is>
          <t xml:space="preserve">                            db.update_task_record(task_id, status="失败",</t>
        </is>
      </c>
    </row>
    <row r="354">
      <c r="A354" s="7" t="n">
        <v>351</v>
      </c>
      <c r="B354" s="8" t="inlineStr">
        <is>
          <t xml:space="preserve">                                error_msg=feedback, retry_times=retry_count-1)</t>
        </is>
      </c>
    </row>
    <row r="355">
      <c r="A355" s="9" t="n">
        <v>352</v>
      </c>
      <c r="B355" s="10" t="inlineStr">
        <is>
          <t xml:space="preserve">                        except Exception:</t>
        </is>
      </c>
    </row>
    <row r="356">
      <c r="A356" s="7" t="n">
        <v>353</v>
      </c>
      <c r="B356" s="8" t="inlineStr">
        <is>
          <t xml:space="preserve">                            pass</t>
        </is>
      </c>
    </row>
    <row r="357">
      <c r="A357" s="9" t="n">
        <v>354</v>
      </c>
      <c r="B357" s="10" t="inlineStr">
        <is>
          <t xml:space="preserve">                    return current_task</t>
        </is>
      </c>
    </row>
    <row r="358">
      <c r="A358" s="7" t="n">
        <v>355</v>
      </c>
      <c r="B358" s="8" t="inlineStr"/>
    </row>
    <row r="359">
      <c r="A359" s="9" t="n">
        <v>356</v>
      </c>
      <c r="B359" s="10" t="inlineStr">
        <is>
          <t xml:space="preserve">                new_task = self.reschedule_after_fail(current_task, feedback, retry_count)</t>
        </is>
      </c>
    </row>
    <row r="360">
      <c r="A360" s="7" t="n">
        <v>357</v>
      </c>
      <c r="B360" s="8" t="inlineStr">
        <is>
          <t xml:space="preserve">                if new_task:</t>
        </is>
      </c>
    </row>
    <row r="361">
      <c r="A361" s="9" t="n">
        <v>358</v>
      </c>
      <c r="B361" s="10" t="inlineStr">
        <is>
          <t xml:space="preserve">                    current_task = new_task</t>
        </is>
      </c>
    </row>
    <row r="362">
      <c r="A362" s="7" t="n">
        <v>359</v>
      </c>
      <c r="B362" s="8" t="inlineStr">
        <is>
          <t xml:space="preserve">                    self._publish_event("RETRY_SCHEDULED",</t>
        </is>
      </c>
    </row>
    <row r="363">
      <c r="A363" s="9" t="n">
        <v>360</v>
      </c>
      <c r="B363" s="10" t="inlineStr">
        <is>
          <t xml:space="preserve">                        {"keyword": kw, "retry": retry_count, "reason": feedback})</t>
        </is>
      </c>
    </row>
    <row r="364">
      <c r="A364" s="7" t="n">
        <v>361</v>
      </c>
      <c r="B364" s="8" t="inlineStr"/>
    </row>
    <row r="365">
      <c r="A365" s="9" t="n">
        <v>362</v>
      </c>
      <c r="B365" s="10" t="inlineStr">
        <is>
          <t xml:space="preserve">        return current_task</t>
        </is>
      </c>
    </row>
    <row r="366">
      <c r="A366" s="7" t="n">
        <v>363</v>
      </c>
      <c r="B366" s="8" t="inlineStr"/>
    </row>
    <row r="367">
      <c r="A367" s="9" t="n">
        <v>364</v>
      </c>
      <c r="B367" s="10" t="inlineStr">
        <is>
          <t xml:space="preserve">    def batch_execute(self, task_list: list, max_retry: int = 3) -&gt; Dict:</t>
        </is>
      </c>
    </row>
    <row r="368">
      <c r="A368" s="7" t="n">
        <v>365</v>
      </c>
      <c r="B368" s="8" t="inlineStr">
        <is>
          <t xml:space="preserve">        """</t>
        </is>
      </c>
    </row>
    <row r="369">
      <c r="A369" s="9" t="n">
        <v>366</v>
      </c>
      <c r="B369" s="10" t="inlineStr">
        <is>
          <t xml:space="preserve">        ★ v12.1: 批量任务执行 — 对应导图 batch_generate_video_tasks()。</t>
        </is>
      </c>
    </row>
    <row r="370">
      <c r="A370" s="7" t="n">
        <v>367</v>
      </c>
      <c r="B370" s="8" t="inlineStr">
        <is>
          <t xml:space="preserve">        :param task_list: 需求字符串列表</t>
        </is>
      </c>
    </row>
    <row r="371">
      <c r="A371" s="9" t="n">
        <v>368</v>
      </c>
      <c r="B371" s="10" t="inlineStr">
        <is>
          <t xml:space="preserve">        :return: 批量任务统计报告 {"total": N, "success": M, "fail": F, "success_rate": X%, "details": [...]}</t>
        </is>
      </c>
    </row>
    <row r="372">
      <c r="A372" s="7" t="n">
        <v>369</v>
      </c>
      <c r="B372" s="8" t="inlineStr">
        <is>
          <t xml:space="preserve">        """</t>
        </is>
      </c>
    </row>
    <row r="373">
      <c r="A373" s="9" t="n">
        <v>370</v>
      </c>
      <c r="B373" s="10" t="inlineStr">
        <is>
          <t xml:space="preserve">        _log.info(f"═══ 启动批量任务: {len(task_list)}条 ═══")</t>
        </is>
      </c>
    </row>
    <row r="374">
      <c r="A374" s="7" t="n">
        <v>371</v>
      </c>
      <c r="B374" s="8" t="inlineStr">
        <is>
          <t xml:space="preserve">        results = []</t>
        </is>
      </c>
    </row>
    <row r="375">
      <c r="A375" s="9" t="n">
        <v>372</v>
      </c>
      <c r="B375" s="10" t="inlineStr">
        <is>
          <t xml:space="preserve">        success_count = 0</t>
        </is>
      </c>
    </row>
    <row r="376">
      <c r="A376" s="7" t="n">
        <v>373</v>
      </c>
      <c r="B376" s="8" t="inlineStr"/>
    </row>
    <row r="377">
      <c r="A377" s="9" t="n">
        <v>374</v>
      </c>
      <c r="B377" s="10" t="inlineStr">
        <is>
          <t xml:space="preserve">        for idx, demand in enumerate(task_list, 1):</t>
        </is>
      </c>
    </row>
    <row r="378">
      <c r="A378" s="7" t="n">
        <v>375</v>
      </c>
      <c r="B378" s="8" t="inlineStr">
        <is>
          <t xml:space="preserve">            _log.info(f"--- [{idx}/{len(task_list)}] {demand} ---")</t>
        </is>
      </c>
    </row>
    <row r="379">
      <c r="A379" s="9" t="n">
        <v>376</v>
      </c>
      <c r="B379" s="10" t="inlineStr">
        <is>
          <t xml:space="preserve">            try:</t>
        </is>
      </c>
    </row>
    <row r="380">
      <c r="A380" s="7" t="n">
        <v>377</v>
      </c>
      <c r="B380" s="8" t="inlineStr">
        <is>
          <t xml:space="preserve">                res = self.execute(demand, max_retry=max_retry)</t>
        </is>
      </c>
    </row>
    <row r="381">
      <c r="A381" s="9" t="n">
        <v>378</v>
      </c>
      <c r="B381" s="10" t="inlineStr">
        <is>
          <t xml:space="preserve">                detail = {</t>
        </is>
      </c>
    </row>
    <row r="382">
      <c r="A382" s="7" t="n">
        <v>379</v>
      </c>
      <c r="B382" s="8" t="inlineStr">
        <is>
          <t xml:space="preserve">                    "task_index": idx,</t>
        </is>
      </c>
    </row>
    <row r="383">
      <c r="A383" s="9" t="n">
        <v>380</v>
      </c>
      <c r="B383" s="10" t="inlineStr">
        <is>
          <t xml:space="preserve">                    "demand": demand,</t>
        </is>
      </c>
    </row>
    <row r="384">
      <c r="A384" s="7" t="n">
        <v>381</v>
      </c>
      <c r="B384" s="8" t="inlineStr">
        <is>
          <t xml:space="preserve">                    "success": bool(res and res.get("draft_dir")),</t>
        </is>
      </c>
    </row>
    <row r="385">
      <c r="A385" s="9" t="n">
        <v>382</v>
      </c>
      <c r="B385" s="10" t="inlineStr">
        <is>
          <t xml:space="preserve">                    "result": res,</t>
        </is>
      </c>
    </row>
    <row r="386">
      <c r="A386" s="7" t="n">
        <v>383</v>
      </c>
      <c r="B386" s="8" t="inlineStr">
        <is>
          <t xml:space="preserve">                }</t>
        </is>
      </c>
    </row>
    <row r="387">
      <c r="A387" s="9" t="n">
        <v>384</v>
      </c>
      <c r="B387" s="10" t="inlineStr">
        <is>
          <t xml:space="preserve">                if detail["success"]:</t>
        </is>
      </c>
    </row>
    <row r="388">
      <c r="A388" s="7" t="n">
        <v>385</v>
      </c>
      <c r="B388" s="8" t="inlineStr">
        <is>
          <t xml:space="preserve">                    success_count += 1</t>
        </is>
      </c>
    </row>
    <row r="389">
      <c r="A389" s="9" t="n">
        <v>386</v>
      </c>
      <c r="B389" s="10" t="inlineStr">
        <is>
          <t xml:space="preserve">                results.append(detail)</t>
        </is>
      </c>
    </row>
    <row r="390">
      <c r="A390" s="7" t="n">
        <v>387</v>
      </c>
      <c r="B390" s="8" t="inlineStr">
        <is>
          <t xml:space="preserve">            except Exception as e:</t>
        </is>
      </c>
    </row>
    <row r="391">
      <c r="A391" s="9" t="n">
        <v>388</v>
      </c>
      <c r="B391" s="10" t="inlineStr">
        <is>
          <t xml:space="preserve">                results.append({"task_index": idx, "demand": demand, "success": False, "error": str(e)})</t>
        </is>
      </c>
    </row>
    <row r="392">
      <c r="A392" s="7" t="n">
        <v>389</v>
      </c>
      <c r="B392" s="8" t="inlineStr">
        <is>
          <t xml:space="preserve">                _log.error(f"任务{idx}异常: {e}")</t>
        </is>
      </c>
    </row>
    <row r="393">
      <c r="A393" s="9" t="n">
        <v>390</v>
      </c>
      <c r="B393" s="10" t="inlineStr"/>
    </row>
    <row r="394">
      <c r="A394" s="7" t="n">
        <v>391</v>
      </c>
      <c r="B394" s="8" t="inlineStr">
        <is>
          <t xml:space="preserve">        report = {</t>
        </is>
      </c>
    </row>
    <row r="395">
      <c r="A395" s="9" t="n">
        <v>392</v>
      </c>
      <c r="B395" s="10" t="inlineStr">
        <is>
          <t xml:space="preserve">            "total": len(task_list),</t>
        </is>
      </c>
    </row>
    <row r="396">
      <c r="A396" s="7" t="n">
        <v>393</v>
      </c>
      <c r="B396" s="8" t="inlineStr">
        <is>
          <t xml:space="preserve">            "success": success_count,</t>
        </is>
      </c>
    </row>
    <row r="397">
      <c r="A397" s="9" t="n">
        <v>394</v>
      </c>
      <c r="B397" s="10" t="inlineStr">
        <is>
          <t xml:space="preserve">            "fail": len(task_list) - success_count,</t>
        </is>
      </c>
    </row>
    <row r="398">
      <c r="A398" s="7" t="n">
        <v>395</v>
      </c>
      <c r="B398" s="8" t="inlineStr">
        <is>
          <t xml:space="preserve">            "success_rate": f"{(success_count/max(len(task_list),1)*100):.1f}%",</t>
        </is>
      </c>
    </row>
    <row r="399">
      <c r="A399" s="9" t="n">
        <v>396</v>
      </c>
      <c r="B399" s="10" t="inlineStr">
        <is>
          <t xml:space="preserve">            "details": results,</t>
        </is>
      </c>
    </row>
    <row r="400">
      <c r="A400" s="7" t="n">
        <v>397</v>
      </c>
      <c r="B400" s="8" t="inlineStr">
        <is>
          <t xml:space="preserve">        }</t>
        </is>
      </c>
    </row>
    <row r="401">
      <c r="A401" s="9" t="n">
        <v>398</v>
      </c>
      <c r="B401" s="10" t="inlineStr">
        <is>
          <t xml:space="preserve">        _log.info(f"═══ 批量完成: {report['success_rate']} ═══")</t>
        </is>
      </c>
    </row>
    <row r="402">
      <c r="A402" s="7" t="n">
        <v>399</v>
      </c>
      <c r="B402" s="8" t="inlineStr">
        <is>
          <t xml:space="preserve">        return report</t>
        </is>
      </c>
    </row>
    <row r="403">
      <c r="A403" s="9" t="n">
        <v>400</v>
      </c>
      <c r="B403" s="10" t="inlineStr"/>
    </row>
    <row r="404">
      <c r="A404" s="7" t="n">
        <v>401</v>
      </c>
      <c r="B404" s="8" t="inlineStr">
        <is>
          <t xml:space="preserve">    def _run_pipeline(self, task: Dict) -&gt; Optional[Dict]:</t>
        </is>
      </c>
    </row>
    <row r="405">
      <c r="A405" s="9" t="n">
        <v>402</v>
      </c>
      <c r="B405" s="10" t="inlineStr">
        <is>
          <t xml:space="preserve">        """执行 pipeline 生成 — v12.1: 传递调度素材"""</t>
        </is>
      </c>
    </row>
    <row r="406">
      <c r="A406" s="7" t="n">
        <v>403</v>
      </c>
      <c r="B406" s="8" t="inlineStr">
        <is>
          <t xml:space="preserve">        try:</t>
        </is>
      </c>
    </row>
    <row r="407">
      <c r="A407" s="9" t="n">
        <v>404</v>
      </c>
      <c r="B407" s="10" t="inlineStr">
        <is>
          <t xml:space="preserve">            from core.pipeline import run</t>
        </is>
      </c>
    </row>
    <row r="408">
      <c r="A408" s="7" t="n">
        <v>405</v>
      </c>
      <c r="B408" s="8" t="inlineStr">
        <is>
          <t xml:space="preserve">            # ★ 修复: 将调度到的素材传入 pipeline</t>
        </is>
      </c>
    </row>
    <row r="409">
      <c r="A409" s="9" t="n">
        <v>406</v>
      </c>
      <c r="B409" s="10" t="inlineStr">
        <is>
          <t xml:space="preserve">            materials = task.get("materials", {})</t>
        </is>
      </c>
    </row>
    <row r="410">
      <c r="A410" s="7" t="n">
        <v>407</v>
      </c>
      <c r="B410" s="8" t="inlineStr">
        <is>
          <t xml:space="preserve">            exclude_paths = []</t>
        </is>
      </c>
    </row>
    <row r="411">
      <c r="A411" s="9" t="n">
        <v>408</v>
      </c>
      <c r="B411" s="10" t="inlineStr">
        <is>
          <t xml:space="preserve">            if materials:</t>
        </is>
      </c>
    </row>
    <row r="412">
      <c r="A412" s="7" t="n">
        <v>409</v>
      </c>
      <c r="B412" s="8" t="inlineStr">
        <is>
          <t xml:space="preserve">                # 收集已调度视频路径作为 session_used</t>
        </is>
      </c>
    </row>
    <row r="413">
      <c r="A413" s="9" t="n">
        <v>410</v>
      </c>
      <c r="B413" s="10" t="inlineStr">
        <is>
          <t xml:space="preserve">                for v in materials.get("videos", []):</t>
        </is>
      </c>
    </row>
    <row r="414">
      <c r="A414" s="7" t="n">
        <v>411</v>
      </c>
      <c r="B414" s="8" t="inlineStr">
        <is>
          <t xml:space="preserve">                    if isinstance(v, dict) and v.get("path"):</t>
        </is>
      </c>
    </row>
    <row r="415">
      <c r="A415" s="9" t="n">
        <v>412</v>
      </c>
      <c r="B415" s="10" t="inlineStr">
        <is>
          <t xml:space="preserve">                        exclude_paths.append(str(v["path"]))</t>
        </is>
      </c>
    </row>
    <row r="416">
      <c r="A416" s="7" t="n">
        <v>413</v>
      </c>
      <c r="B416" s="8" t="inlineStr"/>
    </row>
    <row r="417">
      <c r="A417" s="9" t="n">
        <v>414</v>
      </c>
      <c r="B417" s="10" t="inlineStr">
        <is>
          <t xml:space="preserve">            result = run(</t>
        </is>
      </c>
    </row>
    <row r="418">
      <c r="A418" s="7" t="n">
        <v>415</v>
      </c>
      <c r="B418" s="8" t="inlineStr">
        <is>
          <t xml:space="preserve">                keyword=task.get("keyword", ""),</t>
        </is>
      </c>
    </row>
    <row r="419">
      <c r="A419" s="9" t="n">
        <v>416</v>
      </c>
      <c r="B419" s="10" t="inlineStr">
        <is>
          <t xml:space="preserve">                copy_text_override=task.get("copy_text"),</t>
        </is>
      </c>
    </row>
    <row r="420">
      <c r="A420" s="7" t="n">
        <v>417</v>
      </c>
      <c r="B420" s="8" t="inlineStr">
        <is>
          <t xml:space="preserve">                exclude_paths=exclude_paths,</t>
        </is>
      </c>
    </row>
    <row r="421">
      <c r="A421" s="9" t="n">
        <v>418</v>
      </c>
      <c r="B421" s="10" t="inlineStr">
        <is>
          <t xml:space="preserve">                **{k: v for k, v in task.get("rules", {}).items()</t>
        </is>
      </c>
    </row>
    <row r="422">
      <c r="A422" s="7" t="n">
        <v>419</v>
      </c>
      <c r="B422" s="8" t="inlineStr">
        <is>
          <t xml:space="preserve">                   if k in ("num_clips", "match_threshold")},</t>
        </is>
      </c>
    </row>
    <row r="423">
      <c r="A423" s="9" t="n">
        <v>420</v>
      </c>
      <c r="B423" s="10" t="inlineStr">
        <is>
          <t xml:space="preserve">            )</t>
        </is>
      </c>
    </row>
    <row r="424">
      <c r="A424" s="7" t="n">
        <v>421</v>
      </c>
      <c r="B424" s="8" t="inlineStr">
        <is>
          <t xml:space="preserve">            return result</t>
        </is>
      </c>
    </row>
    <row r="425">
      <c r="A425" s="9" t="n">
        <v>422</v>
      </c>
      <c r="B425" s="10" t="inlineStr">
        <is>
          <t xml:space="preserve">        except Exception as e:</t>
        </is>
      </c>
    </row>
    <row r="426">
      <c r="A426" s="7" t="n">
        <v>423</v>
      </c>
      <c r="B426" s="8" t="inlineStr">
        <is>
          <t xml:space="preserve">            _log.error(f"Pipeline 実行異常: {e}")</t>
        </is>
      </c>
    </row>
    <row r="427">
      <c r="A427" s="9" t="n">
        <v>424</v>
      </c>
      <c r="B427" s="10" t="inlineStr">
        <is>
          <t xml:space="preserve">            return None</t>
        </is>
      </c>
    </row>
    <row r="428">
      <c r="A428" s="7" t="n">
        <v>425</v>
      </c>
      <c r="B428" s="8" t="inlineStr"/>
    </row>
    <row r="429">
      <c r="A429" s="9" t="n">
        <v>426</v>
      </c>
      <c r="B429" s="10" t="inlineStr">
        <is>
          <t xml:space="preserve">    # ═══════════════ EventBus ═══════════════</t>
        </is>
      </c>
    </row>
    <row r="430">
      <c r="A430" s="7" t="n">
        <v>427</v>
      </c>
      <c r="B430" s="8" t="inlineStr">
        <is>
          <t xml:space="preserve">    def _publish_event(self, event_name: str, data: Dict):</t>
        </is>
      </c>
    </row>
    <row r="431">
      <c r="A431" s="9" t="n">
        <v>428</v>
      </c>
      <c r="B431" s="10" t="inlineStr">
        <is>
          <t xml:space="preserve">        """发布事件到 EventBus"""</t>
        </is>
      </c>
    </row>
    <row r="432">
      <c r="A432" s="7" t="n">
        <v>429</v>
      </c>
      <c r="B432" s="8" t="inlineStr">
        <is>
          <t xml:space="preserve">        try:</t>
        </is>
      </c>
    </row>
    <row r="433">
      <c r="A433" s="9" t="n">
        <v>430</v>
      </c>
      <c r="B433" s="10" t="inlineStr">
        <is>
          <t xml:space="preserve">            if self._eventbus_ready and self._bus:</t>
        </is>
      </c>
    </row>
    <row r="434">
      <c r="A434" s="7" t="n">
        <v>431</v>
      </c>
      <c r="B434" s="8" t="inlineStr">
        <is>
          <t xml:space="preserve">                event = getattr(self._events, event_name, None)</t>
        </is>
      </c>
    </row>
    <row r="435">
      <c r="A435" s="9" t="n">
        <v>432</v>
      </c>
      <c r="B435" s="10" t="inlineStr">
        <is>
          <t xml:space="preserve">                if event:</t>
        </is>
      </c>
    </row>
    <row r="436">
      <c r="A436" s="7" t="n">
        <v>433</v>
      </c>
      <c r="B436" s="8" t="inlineStr">
        <is>
          <t xml:space="preserve">                    self._bus.publish(event, data)</t>
        </is>
      </c>
    </row>
    <row r="437">
      <c r="A437" s="9" t="n">
        <v>434</v>
      </c>
      <c r="B437" s="10" t="inlineStr">
        <is>
          <t xml:space="preserve">        except Exception:</t>
        </is>
      </c>
    </row>
    <row r="438">
      <c r="A438" s="7" t="n">
        <v>435</v>
      </c>
      <c r="B438" s="8" t="inlineStr">
        <is>
          <t xml:space="preserve">            pass</t>
        </is>
      </c>
    </row>
    <row r="439">
      <c r="A439" s="9" t="n">
        <v>436</v>
      </c>
      <c r="B439" s="10" t="inlineStr"/>
    </row>
    <row r="440">
      <c r="A440" s="7" t="n">
        <v>437</v>
      </c>
      <c r="B440" s="8" t="inlineStr">
        <is>
          <t xml:space="preserve">    # ═══════════════ 统计 ═══════════════</t>
        </is>
      </c>
    </row>
    <row r="441">
      <c r="A441" s="9" t="n">
        <v>438</v>
      </c>
      <c r="B441" s="10" t="inlineStr">
        <is>
          <t xml:space="preserve">    def get_stats(self) -&gt; Dict:</t>
        </is>
      </c>
    </row>
    <row r="442">
      <c r="A442" s="7" t="n">
        <v>439</v>
      </c>
      <c r="B442" s="8" t="inlineStr">
        <is>
          <t xml:space="preserve">        return dict(self._stats)</t>
        </is>
      </c>
    </row>
    <row r="443">
      <c r="A443" s="9" t="n">
        <v>440</v>
      </c>
      <c r="B443" s="10" t="inlineStr"/>
    </row>
    <row r="444">
      <c r="A444" s="7" t="n">
        <v>441</v>
      </c>
      <c r="B444" s="8" t="inlineStr"/>
    </row>
    <row r="445">
      <c r="A445" s="9" t="n">
        <v>442</v>
      </c>
      <c r="B445" s="10" t="inlineStr">
        <is>
          <t># ── 全局单例 ──────────────────────────────────────────</t>
        </is>
      </c>
    </row>
    <row r="446">
      <c r="A446" s="7" t="n">
        <v>443</v>
      </c>
      <c r="B446" s="8" t="inlineStr">
        <is>
          <t>_orchestrator: Optional[SmartOrchestrator] = None</t>
        </is>
      </c>
    </row>
    <row r="447">
      <c r="A447" s="9" t="n">
        <v>444</v>
      </c>
      <c r="B447" s="10" t="inlineStr"/>
    </row>
    <row r="448">
      <c r="A448" s="7" t="n">
        <v>445</v>
      </c>
      <c r="B448" s="8" t="inlineStr">
        <is>
          <t>def get_orchestrator() -&gt; SmartOrchestrator:</t>
        </is>
      </c>
    </row>
    <row r="449">
      <c r="A449" s="9" t="n">
        <v>446</v>
      </c>
      <c r="B449" s="10" t="inlineStr">
        <is>
          <t xml:space="preserve">    """获取全局调度中心单例"""</t>
        </is>
      </c>
    </row>
    <row r="450">
      <c r="A450" s="7" t="n">
        <v>447</v>
      </c>
      <c r="B450" s="8" t="inlineStr">
        <is>
          <t xml:space="preserve">    global _orchestrator</t>
        </is>
      </c>
    </row>
    <row r="451">
      <c r="A451" s="9" t="n">
        <v>448</v>
      </c>
      <c r="B451" s="10" t="inlineStr">
        <is>
          <t xml:space="preserve">    if _orchestrator is None:</t>
        </is>
      </c>
    </row>
    <row r="452">
      <c r="A452" s="7" t="n">
        <v>449</v>
      </c>
      <c r="B452" s="8" t="inlineStr">
        <is>
          <t xml:space="preserve">        _orchestrator = SmartOrchestrator()</t>
        </is>
      </c>
    </row>
    <row r="453">
      <c r="A453" s="9" t="n">
        <v>450</v>
      </c>
      <c r="B453" s="10" t="inlineStr">
        <is>
          <t xml:space="preserve">    return _orchestrator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core\subtitle_ocr.py</t>
        </is>
      </c>
      <c r="C1" s="5" t="inlineStr">
        <is>
          <t>行数: 169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v13.1 — 画面字幕OCR识别与纠错模块</t>
        </is>
      </c>
    </row>
    <row r="6">
      <c r="A6" s="7" t="n">
        <v>3</v>
      </c>
      <c r="B6" s="8">
        <f>==============================================</f>
        <v/>
      </c>
    </row>
    <row r="7">
      <c r="A7" s="9" t="n">
        <v>4</v>
      </c>
      <c r="B7" s="10" t="inlineStr">
        <is>
          <t>从视频帧中提取字幕文本 + 错别字自动检测/纠正。</t>
        </is>
      </c>
    </row>
    <row r="8">
      <c r="A8" s="7" t="n">
        <v>5</v>
      </c>
      <c r="B8" s="8" t="inlineStr">
        <is>
          <t>支持: PaddleOCR(生产) / 降级为内置规则。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依赖(可选): pip install paddlepaddle paddleocr pycorrector</t>
        </is>
      </c>
    </row>
    <row r="11">
      <c r="A11" s="9" t="n">
        <v>8</v>
      </c>
      <c r="B11" s="10" t="inlineStr">
        <is>
          <t>"""</t>
        </is>
      </c>
    </row>
    <row r="12">
      <c r="A12" s="7" t="n">
        <v>9</v>
      </c>
      <c r="B12" s="8" t="inlineStr">
        <is>
          <t>import logging</t>
        </is>
      </c>
    </row>
    <row r="13">
      <c r="A13" s="9" t="n">
        <v>10</v>
      </c>
      <c r="B13" s="10" t="inlineStr">
        <is>
          <t>from pathlib import Path</t>
        </is>
      </c>
    </row>
    <row r="14">
      <c r="A14" s="7" t="n">
        <v>11</v>
      </c>
      <c r="B14" s="8" t="inlineStr">
        <is>
          <t>from typing import List, Tuple, Optional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_log = logging.getLogger("TreeCut.SubtitleOCR")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# ── 家居行业专属词库 ──</t>
        </is>
      </c>
    </row>
    <row r="19">
      <c r="A19" s="9" t="n">
        <v>16</v>
      </c>
      <c r="B19" s="10" t="inlineStr">
        <is>
          <t>_HOME_DICT = {</t>
        </is>
      </c>
    </row>
    <row r="20">
      <c r="A20" s="7" t="n">
        <v>17</v>
      </c>
      <c r="B20" s="8" t="inlineStr">
        <is>
          <t xml:space="preserve">    "岛台": 1000, "岩板": 1000, "滑轨": 1000, "橱柜": 1000,</t>
        </is>
      </c>
    </row>
    <row r="21">
      <c r="A21" s="9" t="n">
        <v>18</v>
      </c>
      <c r="B21" s="10" t="inlineStr">
        <is>
          <t xml:space="preserve">    "拉篮": 1000, "灯带": 1000, "水槽": 1000, "烤箱": 1000,</t>
        </is>
      </c>
    </row>
    <row r="22">
      <c r="A22" s="7" t="n">
        <v>19</v>
      </c>
      <c r="B22" s="8" t="inlineStr">
        <is>
          <t xml:space="preserve">    "亚克力": 1000, "薄抽": 1000, "伸缩": 1000, "定制": 1000,</t>
        </is>
      </c>
    </row>
    <row r="23">
      <c r="A23" s="9" t="n">
        <v>20</v>
      </c>
      <c r="B23" s="10" t="inlineStr">
        <is>
          <t xml:space="preserve">    "收纳": 1000, "轨道": 1000, "插座": 1000, "内嵌": 1000,</t>
        </is>
      </c>
    </row>
    <row r="24">
      <c r="A24" s="7" t="n">
        <v>21</v>
      </c>
      <c r="B24" s="8" t="inlineStr">
        <is>
          <t xml:space="preserve">    "原木风": 1000, "奶油风": 1000, "极简": 1000, "轻奢": 1000,</t>
        </is>
      </c>
    </row>
    <row r="25">
      <c r="A25" s="9" t="n">
        <v>22</v>
      </c>
      <c r="B25" s="10" t="inlineStr">
        <is>
          <t>}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# ── 常见错别字纠正 ──</t>
        </is>
      </c>
    </row>
    <row r="28">
      <c r="A28" s="7" t="n">
        <v>25</v>
      </c>
      <c r="B28" s="8" t="inlineStr">
        <is>
          <t>_TYPO_CORRECTIONS = {</t>
        </is>
      </c>
    </row>
    <row r="29">
      <c r="A29" s="9" t="n">
        <v>26</v>
      </c>
      <c r="B29" s="10" t="inlineStr">
        <is>
          <t xml:space="preserve">    "岛台": ["岛臺", "岛抬", "導台", "到台", "倒台"],</t>
        </is>
      </c>
    </row>
    <row r="30">
      <c r="A30" s="7" t="n">
        <v>27</v>
      </c>
      <c r="B30" s="8" t="inlineStr">
        <is>
          <t xml:space="preserve">    "岩板": ["言板", "顏板", "烟板", "盐板"],</t>
        </is>
      </c>
    </row>
    <row r="31">
      <c r="A31" s="9" t="n">
        <v>28</v>
      </c>
      <c r="B31" s="10" t="inlineStr">
        <is>
          <t xml:space="preserve">    "拉篮": ["拉蓝", "拉兰", "拉栏"],</t>
        </is>
      </c>
    </row>
    <row r="32">
      <c r="A32" s="7" t="n">
        <v>29</v>
      </c>
      <c r="B32" s="8" t="inlineStr">
        <is>
          <t xml:space="preserve">    "灯带": ["灯戴", "灯袋", "瞪带"],</t>
        </is>
      </c>
    </row>
    <row r="33">
      <c r="A33" s="9" t="n">
        <v>30</v>
      </c>
      <c r="B33" s="10" t="inlineStr">
        <is>
          <t xml:space="preserve">    "轨道": ["鬼道", "归道", "桂道"],</t>
        </is>
      </c>
    </row>
    <row r="34">
      <c r="A34" s="7" t="n">
        <v>31</v>
      </c>
      <c r="B34" s="8" t="inlineStr">
        <is>
          <t>}</t>
        </is>
      </c>
    </row>
    <row r="35">
      <c r="A35" s="9" t="n">
        <v>32</v>
      </c>
      <c r="B35" s="10" t="inlineStr"/>
    </row>
    <row r="36">
      <c r="A36" s="7" t="n">
        <v>33</v>
      </c>
      <c r="B36" s="8" t="inlineStr"/>
    </row>
    <row r="37">
      <c r="A37" s="9" t="n">
        <v>34</v>
      </c>
      <c r="B37" s="10" t="inlineStr">
        <is>
          <t>class SubtitleOCR:</t>
        </is>
      </c>
    </row>
    <row r="38">
      <c r="A38" s="7" t="n">
        <v>35</v>
      </c>
      <c r="B38" s="8" t="inlineStr">
        <is>
          <t xml:space="preserve">    """</t>
        </is>
      </c>
    </row>
    <row r="39">
      <c r="A39" s="9" t="n">
        <v>36</v>
      </c>
      <c r="B39" s="10" t="inlineStr">
        <is>
          <t xml:space="preserve">    画面字幕识别 + 错别字纠正。</t>
        </is>
      </c>
    </row>
    <row r="40">
      <c r="A40" s="7" t="n">
        <v>37</v>
      </c>
      <c r="B40" s="8" t="inlineStr">
        <is>
          <t xml:space="preserve">    支持PaddleOCR自动检测 / 降级为手动规则。</t>
        </is>
      </c>
    </row>
    <row r="41">
      <c r="A41" s="9" t="n">
        <v>38</v>
      </c>
      <c r="B41" s="10" t="inlineStr">
        <is>
          <t xml:space="preserve">    """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 xml:space="preserve">    def __init__(self):</t>
        </is>
      </c>
    </row>
    <row r="44">
      <c r="A44" s="7" t="n">
        <v>41</v>
      </c>
      <c r="B44" s="8" t="inlineStr">
        <is>
          <t xml:space="preserve">        self._ocr = None</t>
        </is>
      </c>
    </row>
    <row r="45">
      <c r="A45" s="9" t="n">
        <v>42</v>
      </c>
      <c r="B45" s="10" t="inlineStr">
        <is>
          <t xml:space="preserve">        self._corrector = None</t>
        </is>
      </c>
    </row>
    <row r="46">
      <c r="A46" s="7" t="n">
        <v>43</v>
      </c>
      <c r="B46" s="8" t="inlineStr">
        <is>
          <t xml:space="preserve">        self._init_deps()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 xml:space="preserve">    def _init_deps(self):</t>
        </is>
      </c>
    </row>
    <row r="49">
      <c r="A49" s="9" t="n">
        <v>46</v>
      </c>
      <c r="B49" s="10" t="inlineStr">
        <is>
          <t xml:space="preserve">        """延迟加载可选依赖"""</t>
        </is>
      </c>
    </row>
    <row r="50">
      <c r="A50" s="7" t="n">
        <v>47</v>
      </c>
      <c r="B50" s="8" t="inlineStr">
        <is>
          <t xml:space="preserve">        try:</t>
        </is>
      </c>
    </row>
    <row r="51">
      <c r="A51" s="9" t="n">
        <v>48</v>
      </c>
      <c r="B51" s="10" t="inlineStr">
        <is>
          <t xml:space="preserve">            from paddleocr import PaddleOCR</t>
        </is>
      </c>
    </row>
    <row r="52">
      <c r="A52" s="7" t="n">
        <v>49</v>
      </c>
      <c r="B52" s="8" t="inlineStr">
        <is>
          <t xml:space="preserve">            self._ocr = PaddleOCR(use_angle_cls=True, lang="ch", show_log=False)</t>
        </is>
      </c>
    </row>
    <row r="53">
      <c r="A53" s="9" t="n">
        <v>50</v>
      </c>
      <c r="B53" s="10" t="inlineStr">
        <is>
          <t xml:space="preserve">            _log.info("PaddleOCR 加载成功")</t>
        </is>
      </c>
    </row>
    <row r="54">
      <c r="A54" s="7" t="n">
        <v>51</v>
      </c>
      <c r="B54" s="8" t="inlineStr">
        <is>
          <t xml:space="preserve">        except ImportError:</t>
        </is>
      </c>
    </row>
    <row r="55">
      <c r="A55" s="9" t="n">
        <v>52</v>
      </c>
      <c r="B55" s="10" t="inlineStr">
        <is>
          <t xml:space="preserve">            _log.warning("PaddleOCR 未安装，字幕OCR将使用降级模式")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      try:</t>
        </is>
      </c>
    </row>
    <row r="58">
      <c r="A58" s="7" t="n">
        <v>55</v>
      </c>
      <c r="B58" s="8" t="inlineStr">
        <is>
          <t xml:space="preserve">            import pycorrector</t>
        </is>
      </c>
    </row>
    <row r="59">
      <c r="A59" s="9" t="n">
        <v>56</v>
      </c>
      <c r="B59" s="10" t="inlineStr">
        <is>
          <t xml:space="preserve">            self._corrector = pycorrector</t>
        </is>
      </c>
    </row>
    <row r="60">
      <c r="A60" s="7" t="n">
        <v>57</v>
      </c>
      <c r="B60" s="8" t="inlineStr">
        <is>
          <t xml:space="preserve">            # 加载自定义词库</t>
        </is>
      </c>
    </row>
    <row r="61">
      <c r="A61" s="9" t="n">
        <v>58</v>
      </c>
      <c r="B61" s="10" t="inlineStr">
        <is>
          <t xml:space="preserve">            pycorrector.set_custom_word_freq(_HOME_DICT)</t>
        </is>
      </c>
    </row>
    <row r="62">
      <c r="A62" s="7" t="n">
        <v>59</v>
      </c>
      <c r="B62" s="8" t="inlineStr">
        <is>
          <t xml:space="preserve">            _log.info("pycorrector 加载成功")</t>
        </is>
      </c>
    </row>
    <row r="63">
      <c r="A63" s="9" t="n">
        <v>60</v>
      </c>
      <c r="B63" s="10" t="inlineStr">
        <is>
          <t xml:space="preserve">        except ImportError:</t>
        </is>
      </c>
    </row>
    <row r="64">
      <c r="A64" s="7" t="n">
        <v>61</v>
      </c>
      <c r="B64" s="8" t="inlineStr">
        <is>
          <t xml:space="preserve">            _log.warning("pycorrector 未安装，字幕纠错将使用内置词典")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 xml:space="preserve">    # ═══════════════ OCR识别 ═══════════════</t>
        </is>
      </c>
    </row>
    <row r="67">
      <c r="A67" s="9" t="n">
        <v>64</v>
      </c>
      <c r="B67" s="10" t="inlineStr">
        <is>
          <t xml:space="preserve">    def extract_text(self, frame) -&gt; str:</t>
        </is>
      </c>
    </row>
    <row r="68">
      <c r="A68" s="7" t="n">
        <v>65</v>
      </c>
      <c r="B68" s="8" t="inlineStr">
        <is>
          <t xml:space="preserve">        """从单帧图像中提取文字"""</t>
        </is>
      </c>
    </row>
    <row r="69">
      <c r="A69" s="9" t="n">
        <v>66</v>
      </c>
      <c r="B69" s="10" t="inlineStr">
        <is>
          <t xml:space="preserve">        if self._ocr is None:</t>
        </is>
      </c>
    </row>
    <row r="70">
      <c r="A70" s="7" t="n">
        <v>67</v>
      </c>
      <c r="B70" s="8" t="inlineStr">
        <is>
          <t xml:space="preserve">            return ""</t>
        </is>
      </c>
    </row>
    <row r="71">
      <c r="A71" s="9" t="n">
        <v>68</v>
      </c>
      <c r="B71" s="10" t="inlineStr">
        <is>
          <t xml:space="preserve">        try:</t>
        </is>
      </c>
    </row>
    <row r="72">
      <c r="A72" s="7" t="n">
        <v>69</v>
      </c>
      <c r="B72" s="8" t="inlineStr">
        <is>
          <t xml:space="preserve">            import numpy as np</t>
        </is>
      </c>
    </row>
    <row r="73">
      <c r="A73" s="9" t="n">
        <v>70</v>
      </c>
      <c r="B73" s="10" t="inlineStr">
        <is>
          <t xml:space="preserve">            if isinstance(frame, np.ndarray):</t>
        </is>
      </c>
    </row>
    <row r="74">
      <c r="A74" s="7" t="n">
        <v>71</v>
      </c>
      <c r="B74" s="8" t="inlineStr">
        <is>
          <t xml:space="preserve">                result = self._ocr.ocr(frame, cls=True)</t>
        </is>
      </c>
    </row>
    <row r="75">
      <c r="A75" s="9" t="n">
        <v>72</v>
      </c>
      <c r="B75" s="10" t="inlineStr">
        <is>
          <t xml:space="preserve">                if result and result[0]:</t>
        </is>
      </c>
    </row>
    <row r="76">
      <c r="A76" s="7" t="n">
        <v>73</v>
      </c>
      <c r="B76" s="8" t="inlineStr">
        <is>
          <t xml:space="preserve">                    return "".join([line[1][0] for line in result[0]])</t>
        </is>
      </c>
    </row>
    <row r="77">
      <c r="A77" s="9" t="n">
        <v>74</v>
      </c>
      <c r="B77" s="10" t="inlineStr">
        <is>
          <t xml:space="preserve">        except Exception as e:</t>
        </is>
      </c>
    </row>
    <row r="78">
      <c r="A78" s="7" t="n">
        <v>75</v>
      </c>
      <c r="B78" s="8" t="inlineStr">
        <is>
          <t xml:space="preserve">            _log.debug(f"OCR识别异常: {e}")</t>
        </is>
      </c>
    </row>
    <row r="79">
      <c r="A79" s="9" t="n">
        <v>76</v>
      </c>
      <c r="B79" s="10" t="inlineStr">
        <is>
          <t xml:space="preserve">        return ""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 xml:space="preserve">    # ═══════════════ 错别字纠正 ═══════════════</t>
        </is>
      </c>
    </row>
    <row r="82">
      <c r="A82" s="7" t="n">
        <v>79</v>
      </c>
      <c r="B82" s="8" t="inlineStr">
        <is>
          <t xml:space="preserve">    def correct_text(self, text: str) -&gt; Tuple[str, List[str]]:</t>
        </is>
      </c>
    </row>
    <row r="83">
      <c r="A83" s="9" t="n">
        <v>80</v>
      </c>
      <c r="B83" s="10" t="inlineStr">
        <is>
          <t xml:space="preserve">        """</t>
        </is>
      </c>
    </row>
    <row r="84">
      <c r="A84" s="7" t="n">
        <v>81</v>
      </c>
      <c r="B84" s="8" t="inlineStr">
        <is>
          <t xml:space="preserve">        纠正字幕中的错别字。</t>
        </is>
      </c>
    </row>
    <row r="85">
      <c r="A85" s="9" t="n">
        <v>82</v>
      </c>
      <c r="B85" s="10" t="inlineStr">
        <is>
          <t xml:space="preserve">        返回: (纠正后文本, 发现的错误列表)</t>
        </is>
      </c>
    </row>
    <row r="86">
      <c r="A86" s="7" t="n">
        <v>83</v>
      </c>
      <c r="B86" s="8" t="inlineStr">
        <is>
          <t xml:space="preserve">        """</t>
        </is>
      </c>
    </row>
    <row r="87">
      <c r="A87" s="9" t="n">
        <v>84</v>
      </c>
      <c r="B87" s="10" t="inlineStr">
        <is>
          <t xml:space="preserve">        if not text or not text.strip():</t>
        </is>
      </c>
    </row>
    <row r="88">
      <c r="A88" s="7" t="n">
        <v>85</v>
      </c>
      <c r="B88" s="8" t="inlineStr">
        <is>
          <t xml:space="preserve">            return text, []</t>
        </is>
      </c>
    </row>
    <row r="89">
      <c r="A89" s="9" t="n">
        <v>86</v>
      </c>
      <c r="B89" s="10" t="inlineStr"/>
    </row>
    <row r="90">
      <c r="A90" s="7" t="n">
        <v>87</v>
      </c>
      <c r="B90" s="8" t="inlineStr">
        <is>
          <t xml:space="preserve">        # 1. 先用内置词典纠正高频错误</t>
        </is>
      </c>
    </row>
    <row r="91">
      <c r="A91" s="9" t="n">
        <v>88</v>
      </c>
      <c r="B91" s="10" t="inlineStr">
        <is>
          <t xml:space="preserve">        corrected = text</t>
        </is>
      </c>
    </row>
    <row r="92">
      <c r="A92" s="7" t="n">
        <v>89</v>
      </c>
      <c r="B92" s="8" t="inlineStr">
        <is>
          <t xml:space="preserve">        errors = []</t>
        </is>
      </c>
    </row>
    <row r="93">
      <c r="A93" s="9" t="n">
        <v>90</v>
      </c>
      <c r="B93" s="10" t="inlineStr">
        <is>
          <t xml:space="preserve">        for correct_word, typos in _TYPO_CORRECTIONS.items():</t>
        </is>
      </c>
    </row>
    <row r="94">
      <c r="A94" s="7" t="n">
        <v>91</v>
      </c>
      <c r="B94" s="8" t="inlineStr">
        <is>
          <t xml:space="preserve">            for typo in typos:</t>
        </is>
      </c>
    </row>
    <row r="95">
      <c r="A95" s="9" t="n">
        <v>92</v>
      </c>
      <c r="B95" s="10" t="inlineStr">
        <is>
          <t xml:space="preserve">                if typo in corrected:</t>
        </is>
      </c>
    </row>
    <row r="96">
      <c r="A96" s="7" t="n">
        <v>93</v>
      </c>
      <c r="B96" s="8" t="inlineStr">
        <is>
          <t xml:space="preserve">                    corrected = corrected.replace(typo, correct_word)</t>
        </is>
      </c>
    </row>
    <row r="97">
      <c r="A97" s="9" t="n">
        <v>94</v>
      </c>
      <c r="B97" s="10" t="inlineStr">
        <is>
          <t xml:space="preserve">                    errors.append(f"{typo} → {correct_word}")</t>
        </is>
      </c>
    </row>
    <row r="98">
      <c r="A98" s="7" t="n">
        <v>95</v>
      </c>
      <c r="B98" s="8" t="inlineStr"/>
    </row>
    <row r="99">
      <c r="A99" s="9" t="n">
        <v>96</v>
      </c>
      <c r="B99" s="10" t="inlineStr">
        <is>
          <t xml:space="preserve">        # 2. 再用pycorrector模型纠正</t>
        </is>
      </c>
    </row>
    <row r="100">
      <c r="A100" s="7" t="n">
        <v>97</v>
      </c>
      <c r="B100" s="8" t="inlineStr">
        <is>
          <t xml:space="preserve">        if self._corrector:</t>
        </is>
      </c>
    </row>
    <row r="101">
      <c r="A101" s="9" t="n">
        <v>98</v>
      </c>
      <c r="B101" s="10" t="inlineStr">
        <is>
          <t xml:space="preserve">            try:</t>
        </is>
      </c>
    </row>
    <row r="102">
      <c r="A102" s="7" t="n">
        <v>99</v>
      </c>
      <c r="B102" s="8" t="inlineStr">
        <is>
          <t xml:space="preserve">                result, detail = self._corrector.correct(corrected)</t>
        </is>
      </c>
    </row>
    <row r="103">
      <c r="A103" s="9" t="n">
        <v>100</v>
      </c>
      <c r="B103" s="10" t="inlineStr">
        <is>
          <t xml:space="preserve">                if detail:</t>
        </is>
      </c>
    </row>
    <row r="104">
      <c r="A104" s="7" t="n">
        <v>101</v>
      </c>
      <c r="B104" s="8" t="inlineStr">
        <is>
          <t xml:space="preserve">                    for err in detail:</t>
        </is>
      </c>
    </row>
    <row r="105">
      <c r="A105" s="9" t="n">
        <v>102</v>
      </c>
      <c r="B105" s="10" t="inlineStr">
        <is>
          <t xml:space="preserve">                        errors.append(str(err))</t>
        </is>
      </c>
    </row>
    <row r="106">
      <c r="A106" s="7" t="n">
        <v>103</v>
      </c>
      <c r="B106" s="8" t="inlineStr">
        <is>
          <t xml:space="preserve">                    corrected = result</t>
        </is>
      </c>
    </row>
    <row r="107">
      <c r="A107" s="9" t="n">
        <v>104</v>
      </c>
      <c r="B107" s="10" t="inlineStr">
        <is>
          <t xml:space="preserve">            except Exception as e:</t>
        </is>
      </c>
    </row>
    <row r="108">
      <c r="A108" s="7" t="n">
        <v>105</v>
      </c>
      <c r="B108" s="8" t="inlineStr">
        <is>
          <t xml:space="preserve">                _log.debug(f"pycorrector纠正异常: {e}")</t>
        </is>
      </c>
    </row>
    <row r="109">
      <c r="A109" s="9" t="n">
        <v>106</v>
      </c>
      <c r="B109" s="10" t="inlineStr"/>
    </row>
    <row r="110">
      <c r="A110" s="7" t="n">
        <v>107</v>
      </c>
      <c r="B110" s="8" t="inlineStr">
        <is>
          <t xml:space="preserve">        return corrected.strip(), errors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 xml:space="preserve">    def check_subtitle_quality(self, subtitles: List[dict]) -&gt; List[dict]:</t>
        </is>
      </c>
    </row>
    <row r="113">
      <c r="A113" s="9" t="n">
        <v>110</v>
      </c>
      <c r="B113" s="10" t="inlineStr">
        <is>
          <t xml:space="preserve">        """</t>
        </is>
      </c>
    </row>
    <row r="114">
      <c r="A114" s="7" t="n">
        <v>111</v>
      </c>
      <c r="B114" s="8" t="inlineStr">
        <is>
          <t xml:space="preserve">        批量检测字幕质量问题。</t>
        </is>
      </c>
    </row>
    <row r="115">
      <c r="A115" s="9" t="n">
        <v>112</v>
      </c>
      <c r="B115" s="10" t="inlineStr">
        <is>
          <t xml:space="preserve">        subtitles: [{"start": 0.0, "end": 2.5, "text": "..."}, ...]</t>
        </is>
      </c>
    </row>
    <row r="116">
      <c r="A116" s="7" t="n">
        <v>113</v>
      </c>
      <c r="B116" s="8" t="inlineStr">
        <is>
          <t xml:space="preserve">        返回: [{"start": 0.0, "end": 2.5, "issue": "错别字: X→Y"}, ...]</t>
        </is>
      </c>
    </row>
    <row r="117">
      <c r="A117" s="9" t="n">
        <v>114</v>
      </c>
      <c r="B117" s="10" t="inlineStr">
        <is>
          <t xml:space="preserve">        """</t>
        </is>
      </c>
    </row>
    <row r="118">
      <c r="A118" s="7" t="n">
        <v>115</v>
      </c>
      <c r="B118" s="8" t="inlineStr">
        <is>
          <t xml:space="preserve">        issues = []</t>
        </is>
      </c>
    </row>
    <row r="119">
      <c r="A119" s="9" t="n">
        <v>116</v>
      </c>
      <c r="B119" s="10" t="inlineStr">
        <is>
          <t xml:space="preserve">        for sub in subtitles:</t>
        </is>
      </c>
    </row>
    <row r="120">
      <c r="A120" s="7" t="n">
        <v>117</v>
      </c>
      <c r="B120" s="8" t="inlineStr">
        <is>
          <t xml:space="preserve">            text = sub.get("text", "")</t>
        </is>
      </c>
    </row>
    <row r="121">
      <c r="A121" s="9" t="n">
        <v>118</v>
      </c>
      <c r="B121" s="10" t="inlineStr">
        <is>
          <t xml:space="preserve">            corrected, errors = self.correct_text(text)</t>
        </is>
      </c>
    </row>
    <row r="122">
      <c r="A122" s="7" t="n">
        <v>119</v>
      </c>
      <c r="B122" s="8" t="inlineStr"/>
    </row>
    <row r="123">
      <c r="A123" s="9" t="n">
        <v>120</v>
      </c>
      <c r="B123" s="10" t="inlineStr">
        <is>
          <t xml:space="preserve">            if errors:</t>
        </is>
      </c>
    </row>
    <row r="124">
      <c r="A124" s="7" t="n">
        <v>121</v>
      </c>
      <c r="B124" s="8" t="inlineStr">
        <is>
          <t xml:space="preserve">                issues.append({</t>
        </is>
      </c>
    </row>
    <row r="125">
      <c r="A125" s="9" t="n">
        <v>122</v>
      </c>
      <c r="B125" s="10" t="inlineStr">
        <is>
          <t xml:space="preserve">                    "start": sub.get("start", 0),</t>
        </is>
      </c>
    </row>
    <row r="126">
      <c r="A126" s="7" t="n">
        <v>123</v>
      </c>
      <c r="B126" s="8" t="inlineStr">
        <is>
          <t xml:space="preserve">                    "end": sub.get("end", 0),</t>
        </is>
      </c>
    </row>
    <row r="127">
      <c r="A127" s="9" t="n">
        <v>124</v>
      </c>
      <c r="B127" s="10" t="inlineStr">
        <is>
          <t xml:space="preserve">                    "text": text,</t>
        </is>
      </c>
    </row>
    <row r="128">
      <c r="A128" s="7" t="n">
        <v>125</v>
      </c>
      <c r="B128" s="8" t="inlineStr">
        <is>
          <t xml:space="preserve">                    "corrected": corrected,</t>
        </is>
      </c>
    </row>
    <row r="129">
      <c r="A129" s="9" t="n">
        <v>126</v>
      </c>
      <c r="B129" s="10" t="inlineStr">
        <is>
          <t xml:space="preserve">                    "errors": errors,</t>
        </is>
      </c>
    </row>
    <row r="130">
      <c r="A130" s="7" t="n">
        <v>127</v>
      </c>
      <c r="B130" s="8" t="inlineStr">
        <is>
          <t xml:space="preserve">                    "level": "warning" if len(errors) &lt;= 2 else "error",</t>
        </is>
      </c>
    </row>
    <row r="131">
      <c r="A131" s="9" t="n">
        <v>128</v>
      </c>
      <c r="B131" s="10" t="inlineStr">
        <is>
          <t xml:space="preserve">                })</t>
        </is>
      </c>
    </row>
    <row r="132">
      <c r="A132" s="7" t="n">
        <v>129</v>
      </c>
      <c r="B132" s="8" t="inlineStr"/>
    </row>
    <row r="133">
      <c r="A133" s="9" t="n">
        <v>130</v>
      </c>
      <c r="B133" s="10" t="inlineStr">
        <is>
          <t xml:space="preserve">            # 检测字幕断句问题(过短/过长)</t>
        </is>
      </c>
    </row>
    <row r="134">
      <c r="A134" s="7" t="n">
        <v>131</v>
      </c>
      <c r="B134" s="8" t="inlineStr">
        <is>
          <t xml:space="preserve">            text_len = len(text)</t>
        </is>
      </c>
    </row>
    <row r="135">
      <c r="A135" s="9" t="n">
        <v>132</v>
      </c>
      <c r="B135" s="10" t="inlineStr">
        <is>
          <t xml:space="preserve">            if 0 &lt; text_len &lt; 2:</t>
        </is>
      </c>
    </row>
    <row r="136">
      <c r="A136" s="7" t="n">
        <v>133</v>
      </c>
      <c r="B136" s="8" t="inlineStr">
        <is>
          <t xml:space="preserve">                issues.append({</t>
        </is>
      </c>
    </row>
    <row r="137">
      <c r="A137" s="9" t="n">
        <v>134</v>
      </c>
      <c r="B137" s="10" t="inlineStr">
        <is>
          <t xml:space="preserve">                    "start": sub.get("start", 0), "end": sub.get("end", 0),</t>
        </is>
      </c>
    </row>
    <row r="138">
      <c r="A138" s="7" t="n">
        <v>135</v>
      </c>
      <c r="B138" s="8" t="inlineStr">
        <is>
          <t xml:space="preserve">                    "text": text, "errors": ["字幕过短"],</t>
        </is>
      </c>
    </row>
    <row r="139">
      <c r="A139" s="9" t="n">
        <v>136</v>
      </c>
      <c r="B139" s="10" t="inlineStr">
        <is>
          <t xml:space="preserve">                    "level": "info",</t>
        </is>
      </c>
    </row>
    <row r="140">
      <c r="A140" s="7" t="n">
        <v>137</v>
      </c>
      <c r="B140" s="8" t="inlineStr">
        <is>
          <t xml:space="preserve">                })</t>
        </is>
      </c>
    </row>
    <row r="141">
      <c r="A141" s="9" t="n">
        <v>138</v>
      </c>
      <c r="B141" s="10" t="inlineStr">
        <is>
          <t xml:space="preserve">            elif text_len &gt; 40:</t>
        </is>
      </c>
    </row>
    <row r="142">
      <c r="A142" s="7" t="n">
        <v>139</v>
      </c>
      <c r="B142" s="8" t="inlineStr">
        <is>
          <t xml:space="preserve">                issues.append({</t>
        </is>
      </c>
    </row>
    <row r="143">
      <c r="A143" s="9" t="n">
        <v>140</v>
      </c>
      <c r="B143" s="10" t="inlineStr">
        <is>
          <t xml:space="preserve">                    "start": sub.get("start", 0), "end": sub.get("end", 0),</t>
        </is>
      </c>
    </row>
    <row r="144">
      <c r="A144" s="7" t="n">
        <v>141</v>
      </c>
      <c r="B144" s="8" t="inlineStr">
        <is>
          <t xml:space="preserve">                    "text": text, "errors": [f"字幕过长({text_len}字)"],</t>
        </is>
      </c>
    </row>
    <row r="145">
      <c r="A145" s="9" t="n">
        <v>142</v>
      </c>
      <c r="B145" s="10" t="inlineStr">
        <is>
          <t xml:space="preserve">                    "level": "info",</t>
        </is>
      </c>
    </row>
    <row r="146">
      <c r="A146" s="7" t="n">
        <v>143</v>
      </c>
      <c r="B146" s="8" t="inlineStr">
        <is>
          <t xml:space="preserve">                })</t>
        </is>
      </c>
    </row>
    <row r="147">
      <c r="A147" s="9" t="n">
        <v>144</v>
      </c>
      <c r="B147" s="10" t="inlineStr"/>
    </row>
    <row r="148">
      <c r="A148" s="7" t="n">
        <v>145</v>
      </c>
      <c r="B148" s="8" t="inlineStr">
        <is>
          <t xml:space="preserve">        _log.info(f"字幕质检完成: {len(subtitles)}条, 发现问题{len(issues)}处")</t>
        </is>
      </c>
    </row>
    <row r="149">
      <c r="A149" s="9" t="n">
        <v>146</v>
      </c>
      <c r="B149" s="10" t="inlineStr">
        <is>
          <t xml:space="preserve">        return issues</t>
        </is>
      </c>
    </row>
    <row r="150">
      <c r="A150" s="7" t="n">
        <v>147</v>
      </c>
      <c r="B150" s="8" t="inlineStr"/>
    </row>
    <row r="151">
      <c r="A151" s="9" t="n">
        <v>148</v>
      </c>
      <c r="B151" s="10" t="inlineStr">
        <is>
          <t xml:space="preserve">    def auto_correct_subtitles(self, subtitles: List[dict]) -&gt; List[dict]:</t>
        </is>
      </c>
    </row>
    <row r="152">
      <c r="A152" s="7" t="n">
        <v>149</v>
      </c>
      <c r="B152" s="8" t="inlineStr">
        <is>
          <t xml:space="preserve">        """自动纠正所有字幕的错别字"""</t>
        </is>
      </c>
    </row>
    <row r="153">
      <c r="A153" s="9" t="n">
        <v>150</v>
      </c>
      <c r="B153" s="10" t="inlineStr">
        <is>
          <t xml:space="preserve">        corrected_list = []</t>
        </is>
      </c>
    </row>
    <row r="154">
      <c r="A154" s="7" t="n">
        <v>151</v>
      </c>
      <c r="B154" s="8" t="inlineStr">
        <is>
          <t xml:space="preserve">        for sub in subtitles:</t>
        </is>
      </c>
    </row>
    <row r="155">
      <c r="A155" s="9" t="n">
        <v>152</v>
      </c>
      <c r="B155" s="10" t="inlineStr">
        <is>
          <t xml:space="preserve">            text = sub.get("text", "")</t>
        </is>
      </c>
    </row>
    <row r="156">
      <c r="A156" s="7" t="n">
        <v>153</v>
      </c>
      <c r="B156" s="8" t="inlineStr">
        <is>
          <t xml:space="preserve">            corrected_text, errors = self.correct_text(text)</t>
        </is>
      </c>
    </row>
    <row r="157">
      <c r="A157" s="9" t="n">
        <v>154</v>
      </c>
      <c r="B157" s="10" t="inlineStr">
        <is>
          <t xml:space="preserve">            corrected_list.append({</t>
        </is>
      </c>
    </row>
    <row r="158">
      <c r="A158" s="7" t="n">
        <v>155</v>
      </c>
      <c r="B158" s="8" t="inlineStr">
        <is>
          <t xml:space="preserve">                **sub,</t>
        </is>
      </c>
    </row>
    <row r="159">
      <c r="A159" s="9" t="n">
        <v>156</v>
      </c>
      <c r="B159" s="10" t="inlineStr">
        <is>
          <t xml:space="preserve">                "text": corrected_text,  # 覆盖纠正后文本</t>
        </is>
      </c>
    </row>
    <row r="160">
      <c r="A160" s="7" t="n">
        <v>157</v>
      </c>
      <c r="B160" s="8" t="inlineStr">
        <is>
          <t xml:space="preserve">                "original_text": text,   # 保留原始文本</t>
        </is>
      </c>
    </row>
    <row r="161">
      <c r="A161" s="9" t="n">
        <v>158</v>
      </c>
      <c r="B161" s="10" t="inlineStr">
        <is>
          <t xml:space="preserve">                "corrections": errors,</t>
        </is>
      </c>
    </row>
    <row r="162">
      <c r="A162" s="7" t="n">
        <v>159</v>
      </c>
      <c r="B162" s="8" t="inlineStr">
        <is>
          <t xml:space="preserve">            })</t>
        </is>
      </c>
    </row>
    <row r="163">
      <c r="A163" s="9" t="n">
        <v>160</v>
      </c>
      <c r="B163" s="10" t="inlineStr">
        <is>
          <t xml:space="preserve">        return corrected_list</t>
        </is>
      </c>
    </row>
    <row r="164">
      <c r="A164" s="7" t="n">
        <v>161</v>
      </c>
      <c r="B164" s="8" t="inlineStr"/>
    </row>
    <row r="165">
      <c r="A165" s="9" t="n">
        <v>162</v>
      </c>
      <c r="B165" s="10" t="inlineStr"/>
    </row>
    <row r="166">
      <c r="A166" s="7" t="n">
        <v>163</v>
      </c>
      <c r="B166" s="8" t="inlineStr">
        <is>
          <t>_subtitle_ocr: Optional[SubtitleOCR] = None</t>
        </is>
      </c>
    </row>
    <row r="167">
      <c r="A167" s="9" t="n">
        <v>164</v>
      </c>
      <c r="B167" s="10" t="inlineStr"/>
    </row>
    <row r="168">
      <c r="A168" s="7" t="n">
        <v>165</v>
      </c>
      <c r="B168" s="8" t="inlineStr">
        <is>
          <t>def get_subtitle_ocr() -&gt; SubtitleOCR:</t>
        </is>
      </c>
    </row>
    <row r="169">
      <c r="A169" s="9" t="n">
        <v>166</v>
      </c>
      <c r="B169" s="10" t="inlineStr">
        <is>
          <t xml:space="preserve">    global _subtitle_ocr</t>
        </is>
      </c>
    </row>
    <row r="170">
      <c r="A170" s="7" t="n">
        <v>167</v>
      </c>
      <c r="B170" s="8" t="inlineStr">
        <is>
          <t xml:space="preserve">    if _subtitle_ocr is None:</t>
        </is>
      </c>
    </row>
    <row r="171">
      <c r="A171" s="9" t="n">
        <v>168</v>
      </c>
      <c r="B171" s="10" t="inlineStr">
        <is>
          <t xml:space="preserve">        _subtitle_ocr = SubtitleOCR()</t>
        </is>
      </c>
    </row>
    <row r="172">
      <c r="A172" s="7" t="n">
        <v>169</v>
      </c>
      <c r="B172" s="8" t="inlineStr">
        <is>
          <t xml:space="preserve">    return _subtitle_ocr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core\tag_merger.py</t>
        </is>
      </c>
      <c r="C1" s="5" t="inlineStr">
        <is>
          <t>行数: 187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AI素材库 — 多模型标签融合 + 同义词去重 + 规范化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re</t>
        </is>
      </c>
    </row>
    <row r="8">
      <c r="A8" s="7" t="n">
        <v>5</v>
      </c>
      <c r="B8" s="8" t="inlineStr">
        <is>
          <t>from typing import List, Dict, Set</t>
        </is>
      </c>
    </row>
    <row r="9">
      <c r="A9" s="9" t="n">
        <v>6</v>
      </c>
      <c r="B9" s="10" t="inlineStr">
        <is>
          <t>from collections import defaultdict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# ── 标签规范化映射 ──</t>
        </is>
      </c>
    </row>
    <row r="12">
      <c r="A12" s="7" t="n">
        <v>9</v>
      </c>
      <c r="B12" s="8" t="inlineStr">
        <is>
          <t>SYNONYM_MAP = {</t>
        </is>
      </c>
    </row>
    <row r="13">
      <c r="A13" s="9" t="n">
        <v>10</v>
      </c>
      <c r="B13" s="10" t="inlineStr">
        <is>
          <t xml:space="preserve">    # 岛台类型</t>
        </is>
      </c>
    </row>
    <row r="14">
      <c r="A14" s="7" t="n">
        <v>11</v>
      </c>
      <c r="B14" s="8" t="inlineStr">
        <is>
          <t xml:space="preserve">    "中岛台": ["中岛台", "中岛", "中央岛台", "厨房中岛"],</t>
        </is>
      </c>
    </row>
    <row r="15">
      <c r="A15" s="9" t="n">
        <v>12</v>
      </c>
      <c r="B15" s="10" t="inlineStr">
        <is>
          <t xml:space="preserve">    "边岛台": ["边岛台", "半岛台", "靠墙岛台"],</t>
        </is>
      </c>
    </row>
    <row r="16">
      <c r="A16" s="7" t="n">
        <v>13</v>
      </c>
      <c r="B16" s="8" t="inlineStr">
        <is>
          <t xml:space="preserve">    "吧台岛台": ["吧台岛台", "吧台", "岛台吧台"],</t>
        </is>
      </c>
    </row>
    <row r="17">
      <c r="A17" s="9" t="n">
        <v>14</v>
      </c>
      <c r="B17" s="10" t="inlineStr">
        <is>
          <t xml:space="preserve">    "餐桌岛台一体": ["餐桌岛台一体", "岛台餐桌一体", "岛台+餐桌", "餐岛一体"],</t>
        </is>
      </c>
    </row>
    <row r="18">
      <c r="A18" s="7" t="n">
        <v>15</v>
      </c>
      <c r="B18" s="8" t="inlineStr">
        <is>
          <t xml:space="preserve">    # 石材</t>
        </is>
      </c>
    </row>
    <row r="19">
      <c r="A19" s="9" t="n">
        <v>16</v>
      </c>
      <c r="B19" s="10" t="inlineStr">
        <is>
          <t xml:space="preserve">    "潘多拉岩板": ["潘多拉", "潘多拉岩板", "pandora"],</t>
        </is>
      </c>
    </row>
    <row r="20">
      <c r="A20" s="7" t="n">
        <v>17</v>
      </c>
      <c r="B20" s="8" t="inlineStr">
        <is>
          <t xml:space="preserve">    "宝格丽岩板": ["宝格丽", "宝格丽岩板", "bvlgari"],</t>
        </is>
      </c>
    </row>
    <row r="21">
      <c r="A21" s="9" t="n">
        <v>18</v>
      </c>
      <c r="B21" s="10" t="inlineStr">
        <is>
          <t xml:space="preserve">    "鱼肚白": ["鱼肚白", "calacatta", "卡拉拉白"],</t>
        </is>
      </c>
    </row>
    <row r="22">
      <c r="A22" s="7" t="n">
        <v>19</v>
      </c>
      <c r="B22" s="8" t="inlineStr">
        <is>
          <t xml:space="preserve">    "微水泥": ["微水泥", "micro cement", "水泥"],</t>
        </is>
      </c>
    </row>
    <row r="23">
      <c r="A23" s="9" t="n">
        <v>20</v>
      </c>
      <c r="B23" s="10" t="inlineStr">
        <is>
          <t xml:space="preserve">    "洞石": ["洞石", "travertine", "罗马洞石"],</t>
        </is>
      </c>
    </row>
    <row r="24">
      <c r="A24" s="7" t="n">
        <v>21</v>
      </c>
      <c r="B24" s="8" t="inlineStr">
        <is>
          <t xml:space="preserve">    "岩板": ["岩板", "sintered stone", "薄板", "通体岩板"],</t>
        </is>
      </c>
    </row>
    <row r="25">
      <c r="A25" s="9" t="n">
        <v>22</v>
      </c>
      <c r="B25" s="10" t="inlineStr">
        <is>
          <t xml:space="preserve">    # 风格</t>
        </is>
      </c>
    </row>
    <row r="26">
      <c r="A26" s="7" t="n">
        <v>23</v>
      </c>
      <c r="B26" s="8" t="inlineStr">
        <is>
          <t xml:space="preserve">    "奶油风": ["奶油风", "奶油色", "cream style"],</t>
        </is>
      </c>
    </row>
    <row r="27">
      <c r="A27" s="9" t="n">
        <v>24</v>
      </c>
      <c r="B27" s="10" t="inlineStr">
        <is>
          <t xml:space="preserve">    "侘寂风": ["侘寂风", "wabi-sabi", "侘寂"],</t>
        </is>
      </c>
    </row>
    <row r="28">
      <c r="A28" s="7" t="n">
        <v>25</v>
      </c>
      <c r="B28" s="8" t="inlineStr">
        <is>
          <t xml:space="preserve">    "极简风": ["极简风", "简约风", "现代简约", "minimalist"],</t>
        </is>
      </c>
    </row>
    <row r="29">
      <c r="A29" s="9" t="n">
        <v>26</v>
      </c>
      <c r="B29" s="10" t="inlineStr">
        <is>
          <t xml:space="preserve">    "中古风": ["中古风", "意式中古风", "mid-century", "复古"],</t>
        </is>
      </c>
    </row>
    <row r="30">
      <c r="A30" s="7" t="n">
        <v>27</v>
      </c>
      <c r="B30" s="8" t="inlineStr">
        <is>
          <t xml:space="preserve">    "原木风": ["原木风", "木质风", "natural wood"],</t>
        </is>
      </c>
    </row>
    <row r="31">
      <c r="A31" s="9" t="n">
        <v>28</v>
      </c>
      <c r="B31" s="10" t="inlineStr">
        <is>
          <t xml:space="preserve">    # 功能</t>
        </is>
      </c>
    </row>
    <row r="32">
      <c r="A32" s="7" t="n">
        <v>29</v>
      </c>
      <c r="B32" s="8" t="inlineStr">
        <is>
          <t xml:space="preserve">    "内嵌烤箱": ["内嵌烤箱", "烤箱", "嵌入式烤箱", "蒸烤一体"],</t>
        </is>
      </c>
    </row>
    <row r="33">
      <c r="A33" s="9" t="n">
        <v>30</v>
      </c>
      <c r="B33" s="10" t="inlineStr">
        <is>
          <t xml:space="preserve">    "轨道插座": ["轨道插座", "公牛轨道插座", "移动插座"],</t>
        </is>
      </c>
    </row>
    <row r="34">
      <c r="A34" s="7" t="n">
        <v>31</v>
      </c>
      <c r="B34" s="8" t="inlineStr">
        <is>
          <t xml:space="preserve">    "灯带": ["灯带", "感应灯带", "LED灯带", "氛围灯"],</t>
        </is>
      </c>
    </row>
    <row r="35">
      <c r="A35" s="9" t="n">
        <v>32</v>
      </c>
      <c r="B35" s="10" t="inlineStr">
        <is>
          <t xml:space="preserve">    # 工艺</t>
        </is>
      </c>
    </row>
    <row r="36">
      <c r="A36" s="7" t="n">
        <v>33</v>
      </c>
      <c r="B36" s="8" t="inlineStr">
        <is>
          <t xml:space="preserve">    "海棠角": ["海棠角", "45度倒角", "海棠角工艺"],</t>
        </is>
      </c>
    </row>
    <row r="37">
      <c r="A37" s="9" t="n">
        <v>34</v>
      </c>
      <c r="B37" s="10" t="inlineStr">
        <is>
          <t xml:space="preserve">    "水磨边": ["水磨边", "水磨圆角", "圆角边"],</t>
        </is>
      </c>
    </row>
    <row r="38">
      <c r="A38" s="7" t="n">
        <v>35</v>
      </c>
      <c r="B38" s="8" t="inlineStr">
        <is>
          <t>}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># 逆向索引: 别名 → 规范名</t>
        </is>
      </c>
    </row>
    <row r="41">
      <c r="A41" s="9" t="n">
        <v>38</v>
      </c>
      <c r="B41" s="10" t="inlineStr">
        <is>
          <t>_ALIAS_TO_CANONICAL = {}</t>
        </is>
      </c>
    </row>
    <row r="42">
      <c r="A42" s="7" t="n">
        <v>39</v>
      </c>
      <c r="B42" s="8" t="inlineStr">
        <is>
          <t>for canonical, aliases in SYNONYM_MAP.items():</t>
        </is>
      </c>
    </row>
    <row r="43">
      <c r="A43" s="9" t="n">
        <v>40</v>
      </c>
      <c r="B43" s="10" t="inlineStr">
        <is>
          <t xml:space="preserve">    for alias in aliases:</t>
        </is>
      </c>
    </row>
    <row r="44">
      <c r="A44" s="7" t="n">
        <v>41</v>
      </c>
      <c r="B44" s="8" t="inlineStr">
        <is>
          <t xml:space="preserve">        _ALIAS_TO_CANONICAL[alias.lower()] = canonical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/>
    </row>
    <row r="47">
      <c r="A47" s="9" t="n">
        <v>44</v>
      </c>
      <c r="B47" s="10" t="inlineStr">
        <is>
          <t>class TagMerger:</t>
        </is>
      </c>
    </row>
    <row r="48">
      <c r="A48" s="7" t="n">
        <v>45</v>
      </c>
      <c r="B48" s="8" t="inlineStr">
        <is>
          <t xml:space="preserve">    """多模型标签融合 — 置信度加权 + 去重 + 规范化"""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 xml:space="preserve">    def __init__(self):</t>
        </is>
      </c>
    </row>
    <row r="51">
      <c r="A51" s="9" t="n">
        <v>48</v>
      </c>
      <c r="B51" s="10" t="inlineStr">
        <is>
          <t xml:space="preserve">        # 默认权重 — 可由设置页面动态覆盖</t>
        </is>
      </c>
    </row>
    <row r="52">
      <c r="A52" s="7" t="n">
        <v>49</v>
      </c>
      <c r="B52" s="8" t="inlineStr">
        <is>
          <t xml:space="preserve">        self._weights = {</t>
        </is>
      </c>
    </row>
    <row r="53">
      <c r="A53" s="9" t="n">
        <v>50</v>
      </c>
      <c r="B53" s="10" t="inlineStr">
        <is>
          <t xml:space="preserve">            "qwen_vl": 0.40,   # 视觉大模型 (最可靠)</t>
        </is>
      </c>
    </row>
    <row r="54">
      <c r="A54" s="7" t="n">
        <v>51</v>
      </c>
      <c r="B54" s="8" t="inlineStr">
        <is>
          <t xml:space="preserve">            "clip": 0.25,      # 语义向量 (中等)</t>
        </is>
      </c>
    </row>
    <row r="55">
      <c r="A55" s="9" t="n">
        <v>52</v>
      </c>
      <c r="B55" s="10" t="inlineStr">
        <is>
          <t xml:space="preserve">            "yolo": 0.10,      # 物体检测 (补充)</t>
        </is>
      </c>
    </row>
    <row r="56">
      <c r="A56" s="7" t="n">
        <v>53</v>
      </c>
      <c r="B56" s="8" t="inlineStr">
        <is>
          <t xml:space="preserve">            "whisper": 0.15,   # 语音文本 (辅助)</t>
        </is>
      </c>
    </row>
    <row r="57">
      <c r="A57" s="9" t="n">
        <v>54</v>
      </c>
      <c r="B57" s="10" t="inlineStr">
        <is>
          <t xml:space="preserve">            "filename": 0.10,  # 文件名 (兜底)</t>
        </is>
      </c>
    </row>
    <row r="58">
      <c r="A58" s="7" t="n">
        <v>55</v>
      </c>
      <c r="B58" s="8" t="inlineStr">
        <is>
          <t xml:space="preserve">        }</t>
        </is>
      </c>
    </row>
    <row r="59">
      <c r="A59" s="9" t="n">
        <v>56</v>
      </c>
      <c r="B59" s="10" t="inlineStr">
        <is>
          <t xml:space="preserve">        self._load_saved_weights()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>
        <is>
          <t xml:space="preserve">    def _load_saved_weights(self):</t>
        </is>
      </c>
    </row>
    <row r="62">
      <c r="A62" s="7" t="n">
        <v>59</v>
      </c>
      <c r="B62" s="8" t="inlineStr">
        <is>
          <t xml:space="preserve">        """从 model_weights.json 加载用户保存的权重"""</t>
        </is>
      </c>
    </row>
    <row r="63">
      <c r="A63" s="9" t="n">
        <v>60</v>
      </c>
      <c r="B63" s="10" t="inlineStr">
        <is>
          <t xml:space="preserve">        try:</t>
        </is>
      </c>
    </row>
    <row r="64">
      <c r="A64" s="7" t="n">
        <v>61</v>
      </c>
      <c r="B64" s="8" t="inlineStr">
        <is>
          <t xml:space="preserve">            from pathlib import Path as _P</t>
        </is>
      </c>
    </row>
    <row r="65">
      <c r="A65" s="9" t="n">
        <v>62</v>
      </c>
      <c r="B65" s="10" t="inlineStr">
        <is>
          <t xml:space="preserve">            weights_file = _P(__file__).parent.parent / "AI素材库" / "model_weights.json"</t>
        </is>
      </c>
    </row>
    <row r="66">
      <c r="A66" s="7" t="n">
        <v>63</v>
      </c>
      <c r="B66" s="8" t="inlineStr">
        <is>
          <t xml:space="preserve">            if weights_file.exists():</t>
        </is>
      </c>
    </row>
    <row r="67">
      <c r="A67" s="9" t="n">
        <v>64</v>
      </c>
      <c r="B67" s="10" t="inlineStr">
        <is>
          <t xml:space="preserve">                import json as _j</t>
        </is>
      </c>
    </row>
    <row r="68">
      <c r="A68" s="7" t="n">
        <v>65</v>
      </c>
      <c r="B68" s="8" t="inlineStr">
        <is>
          <t xml:space="preserve">                data = _j.loads(weights_file.read_text(encoding="utf-8"))</t>
        </is>
      </c>
    </row>
    <row r="69">
      <c r="A69" s="9" t="n">
        <v>66</v>
      </c>
      <c r="B69" s="10" t="inlineStr">
        <is>
          <t xml:space="preserve">                saved = data.get("weights", {})</t>
        </is>
      </c>
    </row>
    <row r="70">
      <c r="A70" s="7" t="n">
        <v>67</v>
      </c>
      <c r="B70" s="8" t="inlineStr">
        <is>
          <t xml:space="preserve">                # 类型映射: 用户类型 → 内部权重键</t>
        </is>
      </c>
    </row>
    <row r="71">
      <c r="A71" s="9" t="n">
        <v>68</v>
      </c>
      <c r="B71" s="10" t="inlineStr">
        <is>
          <t xml:space="preserve">                type_map = {</t>
        </is>
      </c>
    </row>
    <row r="72">
      <c r="A72" s="7" t="n">
        <v>69</v>
      </c>
      <c r="B72" s="8" t="inlineStr">
        <is>
          <t xml:space="preserve">                    "vision": "qwen_vl",</t>
        </is>
      </c>
    </row>
    <row r="73">
      <c r="A73" s="9" t="n">
        <v>70</v>
      </c>
      <c r="B73" s="10" t="inlineStr">
        <is>
          <t xml:space="preserve">                    "audio_emotion": "clip",</t>
        </is>
      </c>
    </row>
    <row r="74">
      <c r="A74" s="7" t="n">
        <v>71</v>
      </c>
      <c r="B74" s="8" t="inlineStr">
        <is>
          <t xml:space="preserve">                    "audio_transcribe": "whisper",</t>
        </is>
      </c>
    </row>
    <row r="75">
      <c r="A75" s="9" t="n">
        <v>72</v>
      </c>
      <c r="B75" s="10" t="inlineStr">
        <is>
          <t xml:space="preserve">                    "knowledge": "filename",</t>
        </is>
      </c>
    </row>
    <row r="76">
      <c r="A76" s="7" t="n">
        <v>73</v>
      </c>
      <c r="B76" s="8" t="inlineStr">
        <is>
          <t xml:space="preserve">                    "retrieval": "yolo",</t>
        </is>
      </c>
    </row>
    <row r="77">
      <c r="A77" s="9" t="n">
        <v>74</v>
      </c>
      <c r="B77" s="10" t="inlineStr">
        <is>
          <t xml:space="preserve">                }</t>
        </is>
      </c>
    </row>
    <row r="78">
      <c r="A78" s="7" t="n">
        <v>75</v>
      </c>
      <c r="B78" s="8" t="inlineStr">
        <is>
          <t xml:space="preserve">                for user_type, internal_key in type_map.items():</t>
        </is>
      </c>
    </row>
    <row r="79">
      <c r="A79" s="9" t="n">
        <v>76</v>
      </c>
      <c r="B79" s="10" t="inlineStr">
        <is>
          <t xml:space="preserve">                    for name, w in saved.items():</t>
        </is>
      </c>
    </row>
    <row r="80">
      <c r="A80" s="7" t="n">
        <v>77</v>
      </c>
      <c r="B80" s="8" t="inlineStr">
        <is>
          <t xml:space="preserve">                        info = self._get_model_type(name)</t>
        </is>
      </c>
    </row>
    <row r="81">
      <c r="A81" s="9" t="n">
        <v>78</v>
      </c>
      <c r="B81" s="10" t="inlineStr">
        <is>
          <t xml:space="preserve">                        if info == user_type:</t>
        </is>
      </c>
    </row>
    <row r="82">
      <c r="A82" s="7" t="n">
        <v>79</v>
      </c>
      <c r="B82" s="8" t="inlineStr">
        <is>
          <t xml:space="preserve">                            self._weights[internal_key] = float(w)</t>
        </is>
      </c>
    </row>
    <row r="83">
      <c r="A83" s="9" t="n">
        <v>80</v>
      </c>
      <c r="B83" s="10" t="inlineStr">
        <is>
          <t xml:space="preserve">                            break</t>
        </is>
      </c>
    </row>
    <row r="84">
      <c r="A84" s="7" t="n">
        <v>81</v>
      </c>
      <c r="B84" s="8" t="inlineStr">
        <is>
          <t xml:space="preserve">        except Exception:</t>
        </is>
      </c>
    </row>
    <row r="85">
      <c r="A85" s="9" t="n">
        <v>82</v>
      </c>
      <c r="B85" s="10" t="inlineStr">
        <is>
          <t xml:space="preserve">            pass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 xml:space="preserve">    def _get_model_type(self, name: str) -&gt; str:</t>
        </is>
      </c>
    </row>
    <row r="88">
      <c r="A88" s="7" t="n">
        <v>85</v>
      </c>
      <c r="B88" s="8" t="inlineStr">
        <is>
          <t xml:space="preserve">        """根据模型名称推断类型"""</t>
        </is>
      </c>
    </row>
    <row r="89">
      <c r="A89" s="9" t="n">
        <v>86</v>
      </c>
      <c r="B89" s="10" t="inlineStr">
        <is>
          <t xml:space="preserve">        name_l = name.lower()</t>
        </is>
      </c>
    </row>
    <row r="90">
      <c r="A90" s="7" t="n">
        <v>87</v>
      </c>
      <c r="B90" s="8" t="inlineStr">
        <is>
          <t xml:space="preserve">        if any(k in name_l for k in ["qwen", "vl", "vision", "visual", "florence"]):</t>
        </is>
      </c>
    </row>
    <row r="91">
      <c r="A91" s="9" t="n">
        <v>88</v>
      </c>
      <c r="B91" s="10" t="inlineStr">
        <is>
          <t xml:space="preserve">            return "vision"</t>
        </is>
      </c>
    </row>
    <row r="92">
      <c r="A92" s="7" t="n">
        <v>89</v>
      </c>
      <c r="B92" s="8" t="inlineStr">
        <is>
          <t xml:space="preserve">        if any(k in name_l for k in ["sensevoice", "emotion"]):</t>
        </is>
      </c>
    </row>
    <row r="93">
      <c r="A93" s="9" t="n">
        <v>90</v>
      </c>
      <c r="B93" s="10" t="inlineStr">
        <is>
          <t xml:space="preserve">            return "audio_emotion"</t>
        </is>
      </c>
    </row>
    <row r="94">
      <c r="A94" s="7" t="n">
        <v>91</v>
      </c>
      <c r="B94" s="8" t="inlineStr">
        <is>
          <t xml:space="preserve">        if any(k in name_l for k in ["whisper", "transcribe"]):</t>
        </is>
      </c>
    </row>
    <row r="95">
      <c r="A95" s="9" t="n">
        <v>92</v>
      </c>
      <c r="B95" s="10" t="inlineStr">
        <is>
          <t xml:space="preserve">            return "audio_transcribe"</t>
        </is>
      </c>
    </row>
    <row r="96">
      <c r="A96" s="7" t="n">
        <v>93</v>
      </c>
      <c r="B96" s="8" t="inlineStr">
        <is>
          <t xml:space="preserve">        if any(k in name_l for k in ["knowledge", "bridge"]):</t>
        </is>
      </c>
    </row>
    <row r="97">
      <c r="A97" s="9" t="n">
        <v>94</v>
      </c>
      <c r="B97" s="10" t="inlineStr">
        <is>
          <t xml:space="preserve">            return "knowledge"</t>
        </is>
      </c>
    </row>
    <row r="98">
      <c r="A98" s="7" t="n">
        <v>95</v>
      </c>
      <c r="B98" s="8" t="inlineStr">
        <is>
          <t xml:space="preserve">        if any(k in name_l for k in ["faiss", "retrieval", "bge"]):</t>
        </is>
      </c>
    </row>
    <row r="99">
      <c r="A99" s="9" t="n">
        <v>96</v>
      </c>
      <c r="B99" s="10" t="inlineStr">
        <is>
          <t xml:space="preserve">            return "retrieval"</t>
        </is>
      </c>
    </row>
    <row r="100">
      <c r="A100" s="7" t="n">
        <v>97</v>
      </c>
      <c r="B100" s="8" t="inlineStr">
        <is>
          <t xml:space="preserve">        return ""</t>
        </is>
      </c>
    </row>
    <row r="101">
      <c r="A101" s="9" t="n">
        <v>98</v>
      </c>
      <c r="B101" s="10" t="inlineStr"/>
    </row>
    <row r="102">
      <c r="A102" s="7" t="n">
        <v>99</v>
      </c>
      <c r="B102" s="8" t="inlineStr">
        <is>
          <t xml:space="preserve">    def merge(self, vl_result: dict = None, clip_tags: List[str] = None,</t>
        </is>
      </c>
    </row>
    <row r="103">
      <c r="A103" s="9" t="n">
        <v>100</v>
      </c>
      <c r="B103" s="10" t="inlineStr">
        <is>
          <t xml:space="preserve">              yolo_objects: List[str] = None, whisper_text: str = "",</t>
        </is>
      </c>
    </row>
    <row r="104">
      <c r="A104" s="7" t="n">
        <v>101</v>
      </c>
      <c r="B104" s="8" t="inlineStr">
        <is>
          <t xml:space="preserve">              filename: str = "") -&gt; dict:</t>
        </is>
      </c>
    </row>
    <row r="105">
      <c r="A105" s="9" t="n">
        <v>102</v>
      </c>
      <c r="B105" s="10" t="inlineStr">
        <is>
          <t xml:space="preserve">        """</t>
        </is>
      </c>
    </row>
    <row r="106">
      <c r="A106" s="7" t="n">
        <v>103</v>
      </c>
      <c r="B106" s="8" t="inlineStr">
        <is>
          <t xml:space="preserve">        融合所有模型结果，输出统一标签集。</t>
        </is>
      </c>
    </row>
    <row r="107">
      <c r="A107" s="9" t="n">
        <v>104</v>
      </c>
      <c r="B107" s="10" t="inlineStr">
        <is>
          <t xml:space="preserve">        返回: {tags, objects, style, color, material, confidence}</t>
        </is>
      </c>
    </row>
    <row r="108">
      <c r="A108" s="7" t="n">
        <v>105</v>
      </c>
      <c r="B108" s="8" t="inlineStr">
        <is>
          <t xml:space="preserve">        """</t>
        </is>
      </c>
    </row>
    <row r="109">
      <c r="A109" s="9" t="n">
        <v>106</v>
      </c>
      <c r="B109" s="10" t="inlineStr">
        <is>
          <t xml:space="preserve">        tag_scores = defaultdict(float)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 xml:space="preserve">        # 1. Qwen2.5-VL (权重 0.40)</t>
        </is>
      </c>
    </row>
    <row r="112">
      <c r="A112" s="7" t="n">
        <v>109</v>
      </c>
      <c r="B112" s="8" t="inlineStr">
        <is>
          <t xml:space="preserve">        if vl_result:</t>
        </is>
      </c>
    </row>
    <row r="113">
      <c r="A113" s="9" t="n">
        <v>110</v>
      </c>
      <c r="B113" s="10" t="inlineStr">
        <is>
          <t xml:space="preserve">            self._add_tags(tag_scores, vl_result.get("objects", []), self._weights["qwen_vl"])</t>
        </is>
      </c>
    </row>
    <row r="114">
      <c r="A114" s="7" t="n">
        <v>111</v>
      </c>
      <c r="B114" s="8" t="inlineStr">
        <is>
          <t xml:space="preserve">            self._add_tags(tag_scores, vl_result.get("materials", []), self._weights["qwen_vl"])</t>
        </is>
      </c>
    </row>
    <row r="115">
      <c r="A115" s="9" t="n">
        <v>112</v>
      </c>
      <c r="B115" s="10" t="inlineStr">
        <is>
          <t xml:space="preserve">            self._add_tags(tag_scores, vl_result.get("colors", []), self._weights["qwen_vl"])</t>
        </is>
      </c>
    </row>
    <row r="116">
      <c r="A116" s="7" t="n">
        <v>113</v>
      </c>
      <c r="B116" s="8" t="inlineStr">
        <is>
          <t xml:space="preserve">            if vl_result.get("style"):</t>
        </is>
      </c>
    </row>
    <row r="117">
      <c r="A117" s="9" t="n">
        <v>114</v>
      </c>
      <c r="B117" s="10" t="inlineStr">
        <is>
          <t xml:space="preserve">                tag_scores[vl_result["style"]] += self._weights["qwen_vl"]</t>
        </is>
      </c>
    </row>
    <row r="118">
      <c r="A118" s="7" t="n">
        <v>115</v>
      </c>
      <c r="B118" s="8" t="inlineStr">
        <is>
          <t xml:space="preserve">            if vl_result.get("scene_type"):</t>
        </is>
      </c>
    </row>
    <row r="119">
      <c r="A119" s="9" t="n">
        <v>116</v>
      </c>
      <c r="B119" s="10" t="inlineStr">
        <is>
          <t xml:space="preserve">                tag_scores[vl_result["scene_type"]] += self._weights["qwen_vl"]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>
        <is>
          <t xml:space="preserve">        # 2. CLIP (权重 0.25)</t>
        </is>
      </c>
    </row>
    <row r="122">
      <c r="A122" s="7" t="n">
        <v>119</v>
      </c>
      <c r="B122" s="8" t="inlineStr">
        <is>
          <t xml:space="preserve">        if clip_tags:</t>
        </is>
      </c>
    </row>
    <row r="123">
      <c r="A123" s="9" t="n">
        <v>120</v>
      </c>
      <c r="B123" s="10" t="inlineStr">
        <is>
          <t xml:space="preserve">            self._add_tags(tag_scores, clip_tags, self._weights["clip"])</t>
        </is>
      </c>
    </row>
    <row r="124">
      <c r="A124" s="7" t="n">
        <v>121</v>
      </c>
      <c r="B124" s="8" t="inlineStr"/>
    </row>
    <row r="125">
      <c r="A125" s="9" t="n">
        <v>122</v>
      </c>
      <c r="B125" s="10" t="inlineStr">
        <is>
          <t xml:space="preserve">        # 3. YOLO (权重 0.10)</t>
        </is>
      </c>
    </row>
    <row r="126">
      <c r="A126" s="7" t="n">
        <v>123</v>
      </c>
      <c r="B126" s="8" t="inlineStr">
        <is>
          <t xml:space="preserve">        if yolo_objects:</t>
        </is>
      </c>
    </row>
    <row r="127">
      <c r="A127" s="9" t="n">
        <v>124</v>
      </c>
      <c r="B127" s="10" t="inlineStr">
        <is>
          <t xml:space="preserve">            self._add_tags(tag_scores, yolo_objects, self._weights["yolo"])</t>
        </is>
      </c>
    </row>
    <row r="128">
      <c r="A128" s="7" t="n">
        <v>125</v>
      </c>
      <c r="B128" s="8" t="inlineStr"/>
    </row>
    <row r="129">
      <c r="A129" s="9" t="n">
        <v>126</v>
      </c>
      <c r="B129" s="10" t="inlineStr">
        <is>
          <t xml:space="preserve">        # 4. Whisper 文本关键词 (权重 0.15)</t>
        </is>
      </c>
    </row>
    <row r="130">
      <c r="A130" s="7" t="n">
        <v>127</v>
      </c>
      <c r="B130" s="8" t="inlineStr">
        <is>
          <t xml:space="preserve">        if whisper_text:</t>
        </is>
      </c>
    </row>
    <row r="131">
      <c r="A131" s="9" t="n">
        <v>128</v>
      </c>
      <c r="B131" s="10" t="inlineStr">
        <is>
          <t xml:space="preserve">            from utils.knowledge import get_bridge</t>
        </is>
      </c>
    </row>
    <row r="132">
      <c r="A132" s="7" t="n">
        <v>129</v>
      </c>
      <c r="B132" s="8" t="inlineStr">
        <is>
          <t xml:space="preserve">            kb = get_bridge()  # 复用全局单例，避免每次重建索引</t>
        </is>
      </c>
    </row>
    <row r="133">
      <c r="A133" s="9" t="n">
        <v>130</v>
      </c>
      <c r="B133" s="10" t="inlineStr">
        <is>
          <t xml:space="preserve">            kws = kb.extract_copy_keywords(whisper_text)</t>
        </is>
      </c>
    </row>
    <row r="134">
      <c r="A134" s="7" t="n">
        <v>131</v>
      </c>
      <c r="B134" s="8" t="inlineStr">
        <is>
          <t xml:space="preserve">            for cat, words in kws.items():</t>
        </is>
      </c>
    </row>
    <row r="135">
      <c r="A135" s="9" t="n">
        <v>132</v>
      </c>
      <c r="B135" s="10" t="inlineStr">
        <is>
          <t xml:space="preserve">                for w in words:</t>
        </is>
      </c>
    </row>
    <row r="136">
      <c r="A136" s="7" t="n">
        <v>133</v>
      </c>
      <c r="B136" s="8" t="inlineStr">
        <is>
          <t xml:space="preserve">                    tag_scores[w] += self._weights["whisper"]</t>
        </is>
      </c>
    </row>
    <row r="137">
      <c r="A137" s="9" t="n">
        <v>134</v>
      </c>
      <c r="B137" s="10" t="inlineStr"/>
    </row>
    <row r="138">
      <c r="A138" s="7" t="n">
        <v>135</v>
      </c>
      <c r="B138" s="8" t="inlineStr">
        <is>
          <t xml:space="preserve">        # 5. 文件名 (权重 0.10)</t>
        </is>
      </c>
    </row>
    <row r="139">
      <c r="A139" s="9" t="n">
        <v>136</v>
      </c>
      <c r="B139" s="10" t="inlineStr">
        <is>
          <t xml:space="preserve">        if filename:</t>
        </is>
      </c>
    </row>
    <row r="140">
      <c r="A140" s="7" t="n">
        <v>137</v>
      </c>
      <c r="B140" s="8" t="inlineStr">
        <is>
          <t xml:space="preserve">            brackets = re.findall(r'【([^】]+)】', filename)</t>
        </is>
      </c>
    </row>
    <row r="141">
      <c r="A141" s="9" t="n">
        <v>138</v>
      </c>
      <c r="B141" s="10" t="inlineStr">
        <is>
          <t xml:space="preserve">            for tag in brackets:</t>
        </is>
      </c>
    </row>
    <row r="142">
      <c r="A142" s="7" t="n">
        <v>139</v>
      </c>
      <c r="B142" s="8" t="inlineStr">
        <is>
          <t xml:space="preserve">                for part in re.split(r'[+/\s]', tag):</t>
        </is>
      </c>
    </row>
    <row r="143">
      <c r="A143" s="9" t="n">
        <v>140</v>
      </c>
      <c r="B143" s="10" t="inlineStr">
        <is>
          <t xml:space="preserve">                    if len(part) &gt;= 2:</t>
        </is>
      </c>
    </row>
    <row r="144">
      <c r="A144" s="7" t="n">
        <v>141</v>
      </c>
      <c r="B144" s="8" t="inlineStr">
        <is>
          <t xml:space="preserve">                        tag_scores[part] += self._weights["filename"]</t>
        </is>
      </c>
    </row>
    <row r="145">
      <c r="A145" s="9" t="n">
        <v>142</v>
      </c>
      <c r="B145" s="10" t="inlineStr"/>
    </row>
    <row r="146">
      <c r="A146" s="7" t="n">
        <v>143</v>
      </c>
      <c r="B146" s="8" t="inlineStr">
        <is>
          <t xml:space="preserve">        # ── 规范化 + 去重 ──</t>
        </is>
      </c>
    </row>
    <row r="147">
      <c r="A147" s="9" t="n">
        <v>144</v>
      </c>
      <c r="B147" s="10" t="inlineStr">
        <is>
          <t xml:space="preserve">        merged = defaultdict(list)</t>
        </is>
      </c>
    </row>
    <row r="148">
      <c r="A148" s="7" t="n">
        <v>145</v>
      </c>
      <c r="B148" s="8" t="inlineStr">
        <is>
          <t xml:space="preserve">        for tag, score in sorted(tag_scores.items(), key=lambda x: -x[1]):</t>
        </is>
      </c>
    </row>
    <row r="149">
      <c r="A149" s="9" t="n">
        <v>146</v>
      </c>
      <c r="B149" s="10" t="inlineStr">
        <is>
          <t xml:space="preserve">            canonical = self._canonicalize(tag)</t>
        </is>
      </c>
    </row>
    <row r="150">
      <c r="A150" s="7" t="n">
        <v>147</v>
      </c>
      <c r="B150" s="8" t="inlineStr">
        <is>
          <t xml:space="preserve">            if canonical and canonical not in merged.get(canonical, []):</t>
        </is>
      </c>
    </row>
    <row r="151">
      <c r="A151" s="9" t="n">
        <v>148</v>
      </c>
      <c r="B151" s="10" t="inlineStr">
        <is>
          <t xml:space="preserve">                merged[self._categorize(canonical)].append(canonical)</t>
        </is>
      </c>
    </row>
    <row r="152">
      <c r="A152" s="7" t="n">
        <v>149</v>
      </c>
      <c r="B152" s="8" t="inlineStr"/>
    </row>
    <row r="153">
      <c r="A153" s="9" t="n">
        <v>150</v>
      </c>
      <c r="B153" s="10" t="inlineStr">
        <is>
          <t xml:space="preserve">        # 分类汇总</t>
        </is>
      </c>
    </row>
    <row r="154">
      <c r="A154" s="7" t="n">
        <v>151</v>
      </c>
      <c r="B154" s="8" t="inlineStr">
        <is>
          <t xml:space="preserve">        result = {</t>
        </is>
      </c>
    </row>
    <row r="155">
      <c r="A155" s="9" t="n">
        <v>152</v>
      </c>
      <c r="B155" s="10" t="inlineStr">
        <is>
          <t xml:space="preserve">            "tags": ",".join(merged.get("object", []) + merged.get("material", [])),</t>
        </is>
      </c>
    </row>
    <row r="156">
      <c r="A156" s="7" t="n">
        <v>153</v>
      </c>
      <c r="B156" s="8" t="inlineStr">
        <is>
          <t xml:space="preserve">            "objects": ",".join(merged.get("object", [])),</t>
        </is>
      </c>
    </row>
    <row r="157">
      <c r="A157" s="9" t="n">
        <v>154</v>
      </c>
      <c r="B157" s="10" t="inlineStr">
        <is>
          <t xml:space="preserve">            "style": ",".join(merged.get("style", [])),</t>
        </is>
      </c>
    </row>
    <row r="158">
      <c r="A158" s="7" t="n">
        <v>155</v>
      </c>
      <c r="B158" s="8" t="inlineStr">
        <is>
          <t xml:space="preserve">            "color": ",".join(merged.get("color", [])),</t>
        </is>
      </c>
    </row>
    <row r="159">
      <c r="A159" s="9" t="n">
        <v>156</v>
      </c>
      <c r="B159" s="10" t="inlineStr">
        <is>
          <t xml:space="preserve">            "material": ",".join(merged.get("material", [])),</t>
        </is>
      </c>
    </row>
    <row r="160">
      <c r="A160" s="7" t="n">
        <v>157</v>
      </c>
      <c r="B160" s="8" t="inlineStr">
        <is>
          <t xml:space="preserve">            "confidence": round(sum(tag_scores.values()) / max(1, len(tag_scores)), 3),</t>
        </is>
      </c>
    </row>
    <row r="161">
      <c r="A161" s="9" t="n">
        <v>158</v>
      </c>
      <c r="B161" s="10" t="inlineStr">
        <is>
          <t xml:space="preserve">            "source_count": len(tag_scores),</t>
        </is>
      </c>
    </row>
    <row r="162">
      <c r="A162" s="7" t="n">
        <v>159</v>
      </c>
      <c r="B162" s="8" t="inlineStr">
        <is>
          <t xml:space="preserve">        }</t>
        </is>
      </c>
    </row>
    <row r="163">
      <c r="A163" s="9" t="n">
        <v>160</v>
      </c>
      <c r="B163" s="10" t="inlineStr">
        <is>
          <t xml:space="preserve">        return result</t>
        </is>
      </c>
    </row>
    <row r="164">
      <c r="A164" s="7" t="n">
        <v>161</v>
      </c>
      <c r="B164" s="8" t="inlineStr"/>
    </row>
    <row r="165">
      <c r="A165" s="9" t="n">
        <v>162</v>
      </c>
      <c r="B165" s="10" t="inlineStr">
        <is>
          <t xml:space="preserve">    def _add_tags(self, scores: dict, tags: list, weight: float):</t>
        </is>
      </c>
    </row>
    <row r="166">
      <c r="A166" s="7" t="n">
        <v>163</v>
      </c>
      <c r="B166" s="8" t="inlineStr">
        <is>
          <t xml:space="preserve">        for t in tags:</t>
        </is>
      </c>
    </row>
    <row r="167">
      <c r="A167" s="9" t="n">
        <v>164</v>
      </c>
      <c r="B167" s="10" t="inlineStr">
        <is>
          <t xml:space="preserve">            t = str(t).strip()</t>
        </is>
      </c>
    </row>
    <row r="168">
      <c r="A168" s="7" t="n">
        <v>165</v>
      </c>
      <c r="B168" s="8" t="inlineStr">
        <is>
          <t xml:space="preserve">            if t and len(t) &gt;= 1:</t>
        </is>
      </c>
    </row>
    <row r="169">
      <c r="A169" s="9" t="n">
        <v>166</v>
      </c>
      <c r="B169" s="10" t="inlineStr">
        <is>
          <t xml:space="preserve">                scores[t] += weight</t>
        </is>
      </c>
    </row>
    <row r="170">
      <c r="A170" s="7" t="n">
        <v>167</v>
      </c>
      <c r="B170" s="8" t="inlineStr"/>
    </row>
    <row r="171">
      <c r="A171" s="9" t="n">
        <v>168</v>
      </c>
      <c r="B171" s="10" t="inlineStr">
        <is>
          <t xml:space="preserve">    def _canonicalize(self, tag: str) -&gt; str:</t>
        </is>
      </c>
    </row>
    <row r="172">
      <c r="A172" s="7" t="n">
        <v>169</v>
      </c>
      <c r="B172" s="8" t="inlineStr">
        <is>
          <t xml:space="preserve">        """标签规范化"""</t>
        </is>
      </c>
    </row>
    <row r="173">
      <c r="A173" s="9" t="n">
        <v>170</v>
      </c>
      <c r="B173" s="10" t="inlineStr">
        <is>
          <t xml:space="preserve">        return _ALIAS_TO_CANONICAL.get(tag.lower(), tag)</t>
        </is>
      </c>
    </row>
    <row r="174">
      <c r="A174" s="7" t="n">
        <v>171</v>
      </c>
      <c r="B174" s="8" t="inlineStr"/>
    </row>
    <row r="175">
      <c r="A175" s="9" t="n">
        <v>172</v>
      </c>
      <c r="B175" s="10" t="inlineStr">
        <is>
          <t xml:space="preserve">    def _categorize(self, tag: str) -&gt; str:</t>
        </is>
      </c>
    </row>
    <row r="176">
      <c r="A176" s="7" t="n">
        <v>173</v>
      </c>
      <c r="B176" s="8" t="inlineStr">
        <is>
          <t xml:space="preserve">        """标签分类"""</t>
        </is>
      </c>
    </row>
    <row r="177">
      <c r="A177" s="9" t="n">
        <v>174</v>
      </c>
      <c r="B177" s="10" t="inlineStr">
        <is>
          <t xml:space="preserve">        style_kw = ["风", "简约", "现代", "复古", "侘寂", "轻奢", "工业", "北欧", "中式"]</t>
        </is>
      </c>
    </row>
    <row r="178">
      <c r="A178" s="7" t="n">
        <v>175</v>
      </c>
      <c r="B178" s="8" t="inlineStr">
        <is>
          <t xml:space="preserve">        color_kw = ["白", "黑", "灰", "棕", "米", "蓝", "绿", "红", "奶", "金", "银", "哑光", "亮光", "木纹"]</t>
        </is>
      </c>
    </row>
    <row r="179">
      <c r="A179" s="9" t="n">
        <v>176</v>
      </c>
      <c r="B179" s="10" t="inlineStr">
        <is>
          <t xml:space="preserve">        material_kw = ["岩板", "石", "木", "钢", "玻璃", "水泥", "亚克力", "陶瓷", "金属", "洞石", "微水泥"]</t>
        </is>
      </c>
    </row>
    <row r="180">
      <c r="A180" s="7" t="n">
        <v>177</v>
      </c>
      <c r="B180" s="8" t="inlineStr">
        <is>
          <t xml:space="preserve">        object_kw = ["抽屉", "烤箱", "插座", "水槽", "灯带", "腿", "冰箱", "拉篮", "吧台", "餐桌", "酒柜", "电磁炉", "烤炉", "煮茶"]</t>
        </is>
      </c>
    </row>
    <row r="181">
      <c r="A181" s="9" t="n">
        <v>178</v>
      </c>
      <c r="B181" s="10" t="inlineStr"/>
    </row>
    <row r="182">
      <c r="A182" s="7" t="n">
        <v>179</v>
      </c>
      <c r="B182" s="8" t="inlineStr">
        <is>
          <t xml:space="preserve">        for kw in style_kw:</t>
        </is>
      </c>
    </row>
    <row r="183">
      <c r="A183" s="9" t="n">
        <v>180</v>
      </c>
      <c r="B183" s="10" t="inlineStr">
        <is>
          <t xml:space="preserve">            if kw in tag: return "style"</t>
        </is>
      </c>
    </row>
    <row r="184">
      <c r="A184" s="7" t="n">
        <v>181</v>
      </c>
      <c r="B184" s="8" t="inlineStr">
        <is>
          <t xml:space="preserve">        for kw in color_kw:</t>
        </is>
      </c>
    </row>
    <row r="185">
      <c r="A185" s="9" t="n">
        <v>182</v>
      </c>
      <c r="B185" s="10" t="inlineStr">
        <is>
          <t xml:space="preserve">            if kw in tag: return "color"</t>
        </is>
      </c>
    </row>
    <row r="186">
      <c r="A186" s="7" t="n">
        <v>183</v>
      </c>
      <c r="B186" s="8" t="inlineStr">
        <is>
          <t xml:space="preserve">        for kw in material_kw:</t>
        </is>
      </c>
    </row>
    <row r="187">
      <c r="A187" s="9" t="n">
        <v>184</v>
      </c>
      <c r="B187" s="10" t="inlineStr">
        <is>
          <t xml:space="preserve">            if kw in tag: return "material"</t>
        </is>
      </c>
    </row>
    <row r="188">
      <c r="A188" s="7" t="n">
        <v>185</v>
      </c>
      <c r="B188" s="8" t="inlineStr">
        <is>
          <t xml:space="preserve">        for kw in object_kw:</t>
        </is>
      </c>
    </row>
    <row r="189">
      <c r="A189" s="9" t="n">
        <v>186</v>
      </c>
      <c r="B189" s="10" t="inlineStr">
        <is>
          <t xml:space="preserve">            if kw in tag: return "object"</t>
        </is>
      </c>
    </row>
    <row r="190">
      <c r="A190" s="7" t="n">
        <v>187</v>
      </c>
      <c r="B190" s="8" t="inlineStr">
        <is>
          <t xml:space="preserve">        return "other"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core\topic_discovery.py</t>
        </is>
      </c>
      <c r="C1" s="5" t="inlineStr">
        <is>
          <t>行数: 81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自动主题发现引擎 v10.4</t>
        </is>
      </c>
    </row>
    <row r="6">
      <c r="A6" s="7" t="n">
        <v>3</v>
      </c>
      <c r="B6" s="8" t="inlineStr">
        <is>
          <t>聚类素材密集字幕 → 发现热门主题 → 自动生成拍摄脚本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numpy as np</t>
        </is>
      </c>
    </row>
    <row r="9">
      <c r="A9" s="9" t="n">
        <v>6</v>
      </c>
      <c r="B9" s="10" t="inlineStr">
        <is>
          <t>from typing import List, Dict, Optional, Tuple</t>
        </is>
      </c>
    </row>
    <row r="10">
      <c r="A10" s="7" t="n">
        <v>7</v>
      </c>
      <c r="B10" s="8" t="inlineStr">
        <is>
          <t>from collections import Counter</t>
        </is>
      </c>
    </row>
    <row r="11">
      <c r="A11" s="9" t="n">
        <v>8</v>
      </c>
      <c r="B11" s="10" t="inlineStr"/>
    </row>
    <row r="12">
      <c r="A12" s="7" t="n">
        <v>9</v>
      </c>
      <c r="B12" s="8" t="inlineStr"/>
    </row>
    <row r="13">
      <c r="A13" s="9" t="n">
        <v>10</v>
      </c>
      <c r="B13" s="10" t="inlineStr">
        <is>
          <t>def discover_topics(embeddings: List[List[float]], labels: List[str] = None,</t>
        </is>
      </c>
    </row>
    <row r="14">
      <c r="A14" s="7" t="n">
        <v>11</v>
      </c>
      <c r="B14" s="8" t="inlineStr">
        <is>
          <t xml:space="preserve">                    top_k: int = 5) -&gt; List[Dict]:</t>
        </is>
      </c>
    </row>
    <row r="15">
      <c r="A15" s="9" t="n">
        <v>12</v>
      </c>
      <c r="B15" s="10" t="inlineStr">
        <is>
          <t xml:space="preserve">    """聚类嵌入向量 → 返回热门主题列表"""</t>
        </is>
      </c>
    </row>
    <row r="16">
      <c r="A16" s="7" t="n">
        <v>13</v>
      </c>
      <c r="B16" s="8" t="inlineStr">
        <is>
          <t xml:space="preserve">    if len(embeddings) &lt; 2:</t>
        </is>
      </c>
    </row>
    <row r="17">
      <c r="A17" s="9" t="n">
        <v>14</v>
      </c>
      <c r="B17" s="10" t="inlineStr">
        <is>
          <t xml:space="preserve">        return [{"topic": "默认主题", "keywords": ["岛台", "展示"],</t>
        </is>
      </c>
    </row>
    <row r="18">
      <c r="A18" s="7" t="n">
        <v>15</v>
      </c>
      <c r="B18" s="8" t="inlineStr">
        <is>
          <t xml:space="preserve">                 "score": 1.0, "count": max(1, len(embeddings))}]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 xml:space="preserve">    try:</t>
        </is>
      </c>
    </row>
    <row r="21">
      <c r="A21" s="9" t="n">
        <v>18</v>
      </c>
      <c r="B21" s="10" t="inlineStr">
        <is>
          <t xml:space="preserve">        from sklearn.cluster import KMeans</t>
        </is>
      </c>
    </row>
    <row r="22">
      <c r="A22" s="7" t="n">
        <v>19</v>
      </c>
      <c r="B22" s="8" t="inlineStr">
        <is>
          <t xml:space="preserve">    except ImportError:</t>
        </is>
      </c>
    </row>
    <row r="23">
      <c r="A23" s="9" t="n">
        <v>20</v>
      </c>
      <c r="B23" s="10" t="inlineStr">
        <is>
          <t xml:space="preserve">        return _fallback_topics(labels or [])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 xml:space="preserve">    X = np.array(embeddings, dtype=np.float32)</t>
        </is>
      </c>
    </row>
    <row r="26">
      <c r="A26" s="7" t="n">
        <v>23</v>
      </c>
      <c r="B26" s="8" t="inlineStr">
        <is>
          <t xml:space="preserve">    n_clusters = min(top_k, len(embeddings))</t>
        </is>
      </c>
    </row>
    <row r="27">
      <c r="A27" s="9" t="n">
        <v>24</v>
      </c>
      <c r="B27" s="10" t="inlineStr">
        <is>
          <t xml:space="preserve">    km = KMeans(n_clusters=n_clusters, random_state=42, n_init=10)</t>
        </is>
      </c>
    </row>
    <row r="28">
      <c r="A28" s="7" t="n">
        <v>25</v>
      </c>
      <c r="B28" s="8" t="inlineStr">
        <is>
          <t xml:space="preserve">    km.fit(X)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 xml:space="preserve">    topics = []</t>
        </is>
      </c>
    </row>
    <row r="31">
      <c r="A31" s="9" t="n">
        <v>28</v>
      </c>
      <c r="B31" s="10" t="inlineStr">
        <is>
          <t xml:space="preserve">    for i in range(n_clusters):</t>
        </is>
      </c>
    </row>
    <row r="32">
      <c r="A32" s="7" t="n">
        <v>29</v>
      </c>
      <c r="B32" s="8" t="inlineStr">
        <is>
          <t xml:space="preserve">        mask = km.labels_ == i</t>
        </is>
      </c>
    </row>
    <row r="33">
      <c r="A33" s="9" t="n">
        <v>30</v>
      </c>
      <c r="B33" s="10" t="inlineStr">
        <is>
          <t xml:space="preserve">        count = int(np.sum(mask))</t>
        </is>
      </c>
    </row>
    <row r="34">
      <c r="A34" s="7" t="n">
        <v>31</v>
      </c>
      <c r="B34" s="8" t="inlineStr">
        <is>
          <t xml:space="preserve">        center = km.cluster_centers_[i].tolist()</t>
        </is>
      </c>
    </row>
    <row r="35">
      <c r="A35" s="9" t="n">
        <v>32</v>
      </c>
      <c r="B35" s="10" t="inlineStr"/>
    </row>
    <row r="36">
      <c r="A36" s="7" t="n">
        <v>33</v>
      </c>
      <c r="B36" s="8" t="inlineStr">
        <is>
          <t xml:space="preserve">        # 从该簇的标签中提取关键词</t>
        </is>
      </c>
    </row>
    <row r="37">
      <c r="A37" s="9" t="n">
        <v>34</v>
      </c>
      <c r="B37" s="10" t="inlineStr">
        <is>
          <t xml:space="preserve">        cluster_labels = []</t>
        </is>
      </c>
    </row>
    <row r="38">
      <c r="A38" s="7" t="n">
        <v>35</v>
      </c>
      <c r="B38" s="8" t="inlineStr">
        <is>
          <t xml:space="preserve">        if labels:</t>
        </is>
      </c>
    </row>
    <row r="39">
      <c r="A39" s="9" t="n">
        <v>36</v>
      </c>
      <c r="B39" s="10" t="inlineStr">
        <is>
          <t xml:space="preserve">            for j, lbl in enumerate(labels):</t>
        </is>
      </c>
    </row>
    <row r="40">
      <c r="A40" s="7" t="n">
        <v>37</v>
      </c>
      <c r="B40" s="8" t="inlineStr">
        <is>
          <t xml:space="preserve">                if mask[j]:</t>
        </is>
      </c>
    </row>
    <row r="41">
      <c r="A41" s="9" t="n">
        <v>38</v>
      </c>
      <c r="B41" s="10" t="inlineStr">
        <is>
          <t xml:space="preserve">                    cluster_labels.append(lbl)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 xml:space="preserve">        # 提取代表性关键词</t>
        </is>
      </c>
    </row>
    <row r="44">
      <c r="A44" s="7" t="n">
        <v>41</v>
      </c>
      <c r="B44" s="8" t="inlineStr">
        <is>
          <t xml:space="preserve">        if cluster_labels:</t>
        </is>
      </c>
    </row>
    <row r="45">
      <c r="A45" s="9" t="n">
        <v>42</v>
      </c>
      <c r="B45" s="10" t="inlineStr">
        <is>
          <t xml:space="preserve">            words = " ".join(cluster_labels).replace(",", " ").split()</t>
        </is>
      </c>
    </row>
    <row r="46">
      <c r="A46" s="7" t="n">
        <v>43</v>
      </c>
      <c r="B46" s="8" t="inlineStr">
        <is>
          <t xml:space="preserve">            word_counts = Counter(w for w in words if len(w) &gt;= 2)</t>
        </is>
      </c>
    </row>
    <row r="47">
      <c r="A47" s="9" t="n">
        <v>44</v>
      </c>
      <c r="B47" s="10" t="inlineStr">
        <is>
          <t xml:space="preserve">            keywords = [w for w, _ in word_counts.most_common(8)]</t>
        </is>
      </c>
    </row>
    <row r="48">
      <c r="A48" s="7" t="n">
        <v>45</v>
      </c>
      <c r="B48" s="8" t="inlineStr">
        <is>
          <t xml:space="preserve">        else:</t>
        </is>
      </c>
    </row>
    <row r="49">
      <c r="A49" s="9" t="n">
        <v>46</v>
      </c>
      <c r="B49" s="10" t="inlineStr">
        <is>
          <t xml:space="preserve">            keywords = ["岛台素材", f"主题{i+1}"]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    topic_name = keywords[0] if keywords else f"主题{i+1}"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>
        <is>
          <t xml:space="preserve">        topics.append({</t>
        </is>
      </c>
    </row>
    <row r="54">
      <c r="A54" s="7" t="n">
        <v>51</v>
      </c>
      <c r="B54" s="8" t="inlineStr">
        <is>
          <t xml:space="preserve">            "topic": topic_name,</t>
        </is>
      </c>
    </row>
    <row r="55">
      <c r="A55" s="9" t="n">
        <v>52</v>
      </c>
      <c r="B55" s="10" t="inlineStr">
        <is>
          <t xml:space="preserve">            "keywords": keywords[:8],</t>
        </is>
      </c>
    </row>
    <row r="56">
      <c r="A56" s="7" t="n">
        <v>53</v>
      </c>
      <c r="B56" s="8" t="inlineStr">
        <is>
          <t xml:space="preserve">            "score": round(count / len(embeddings), 3),</t>
        </is>
      </c>
    </row>
    <row r="57">
      <c r="A57" s="9" t="n">
        <v>54</v>
      </c>
      <c r="B57" s="10" t="inlineStr">
        <is>
          <t xml:space="preserve">            "count": count,</t>
        </is>
      </c>
    </row>
    <row r="58">
      <c r="A58" s="7" t="n">
        <v>55</v>
      </c>
      <c r="B58" s="8" t="inlineStr">
        <is>
          <t xml:space="preserve">            "center": center</t>
        </is>
      </c>
    </row>
    <row r="59">
      <c r="A59" s="9" t="n">
        <v>56</v>
      </c>
      <c r="B59" s="10" t="inlineStr">
        <is>
          <t xml:space="preserve">        })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>
        <is>
          <t xml:space="preserve">    topics.sort(key=lambda t: -t["count"])</t>
        </is>
      </c>
    </row>
    <row r="62">
      <c r="A62" s="7" t="n">
        <v>59</v>
      </c>
      <c r="B62" s="8" t="inlineStr">
        <is>
          <t xml:space="preserve">    return topics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/>
    </row>
    <row r="65">
      <c r="A65" s="9" t="n">
        <v>62</v>
      </c>
      <c r="B65" s="10" t="inlineStr">
        <is>
          <t>def _fallback_topics(labels: List[str]) -&gt; List[Dict]:</t>
        </is>
      </c>
    </row>
    <row r="66">
      <c r="A66" s="7" t="n">
        <v>63</v>
      </c>
      <c r="B66" s="8" t="inlineStr">
        <is>
          <t xml:space="preserve">    """无 sklearn 时的降级方案 — 基于标签频率"""</t>
        </is>
      </c>
    </row>
    <row r="67">
      <c r="A67" s="9" t="n">
        <v>64</v>
      </c>
      <c r="B67" s="10" t="inlineStr">
        <is>
          <t xml:space="preserve">    if not labels:</t>
        </is>
      </c>
    </row>
    <row r="68">
      <c r="A68" s="7" t="n">
        <v>65</v>
      </c>
      <c r="B68" s="8" t="inlineStr">
        <is>
          <t xml:space="preserve">        return [{"topic": "岛台展示", "keywords": ["岛台", "展示", "设计"],</t>
        </is>
      </c>
    </row>
    <row r="69">
      <c r="A69" s="9" t="n">
        <v>66</v>
      </c>
      <c r="B69" s="10" t="inlineStr">
        <is>
          <t xml:space="preserve">                 "score": 1.0, "count": 1}]</t>
        </is>
      </c>
    </row>
    <row r="70">
      <c r="A70" s="7" t="n">
        <v>67</v>
      </c>
      <c r="B70" s="8" t="inlineStr">
        <is>
          <t xml:space="preserve">    all_words = " ".join(labels).replace(",", " ").split()</t>
        </is>
      </c>
    </row>
    <row r="71">
      <c r="A71" s="9" t="n">
        <v>68</v>
      </c>
      <c r="B71" s="10" t="inlineStr">
        <is>
          <t xml:space="preserve">    word_counts = Counter(w for w in all_words if len(w) &gt;= 2)</t>
        </is>
      </c>
    </row>
    <row r="72">
      <c r="A72" s="7" t="n">
        <v>69</v>
      </c>
      <c r="B72" s="8" t="inlineStr">
        <is>
          <t xml:space="preserve">    top_words = [w for w, _ in word_counts.most_common(10)]</t>
        </is>
      </c>
    </row>
    <row r="73">
      <c r="A73" s="9" t="n">
        <v>70</v>
      </c>
      <c r="B73" s="10" t="inlineStr">
        <is>
          <t xml:space="preserve">    return [{"topic": "热门主题", "keywords": top_words[:8],</t>
        </is>
      </c>
    </row>
    <row r="74">
      <c r="A74" s="7" t="n">
        <v>71</v>
      </c>
      <c r="B74" s="8" t="inlineStr">
        <is>
          <t xml:space="preserve">             "score": 1.0, "count": len(labels)}]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/>
    </row>
    <row r="77">
      <c r="A77" s="9" t="n">
        <v>74</v>
      </c>
      <c r="B77" s="10" t="inlineStr">
        <is>
          <t>def generate_script_from_topic(topic: Dict) -&gt; str:</t>
        </is>
      </c>
    </row>
    <row r="78">
      <c r="A78" s="7" t="n">
        <v>75</v>
      </c>
      <c r="B78" s="8" t="inlineStr">
        <is>
          <t xml:space="preserve">    """根据发现的主题自动生成口播脚本"""</t>
        </is>
      </c>
    </row>
    <row r="79">
      <c r="A79" s="9" t="n">
        <v>76</v>
      </c>
      <c r="B79" s="10" t="inlineStr">
        <is>
          <t xml:space="preserve">    from core.copywriter import generate_copy, generate_fallback_copy</t>
        </is>
      </c>
    </row>
    <row r="80">
      <c r="A80" s="7" t="n">
        <v>77</v>
      </c>
      <c r="B80" s="8" t="inlineStr">
        <is>
          <t xml:space="preserve">    try:</t>
        </is>
      </c>
    </row>
    <row r="81">
      <c r="A81" s="9" t="n">
        <v>78</v>
      </c>
      <c r="B81" s="10" t="inlineStr">
        <is>
          <t xml:space="preserve">        keyword = " ".join(topic.get("keywords", ["岛台"])[:3])</t>
        </is>
      </c>
    </row>
    <row r="82">
      <c r="A82" s="7" t="n">
        <v>79</v>
      </c>
      <c r="B82" s="8" t="inlineStr">
        <is>
          <t xml:space="preserve">        return generate_copy(keyword, 6, 28.0)</t>
        </is>
      </c>
    </row>
    <row r="83">
      <c r="A83" s="9" t="n">
        <v>80</v>
      </c>
      <c r="B83" s="10" t="inlineStr">
        <is>
          <t xml:space="preserve">    except Exception:</t>
        </is>
      </c>
    </row>
    <row r="84">
      <c r="A84" s="7" t="n">
        <v>81</v>
      </c>
      <c r="B84" s="8" t="inlineStr">
        <is>
          <t xml:space="preserve">        return generate_fallback_copy(topic.get("topic", "岛台展示"))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core\tts.py</t>
        </is>
      </c>
      <c r="C1" s="5" t="inlineStr">
        <is>
          <t>行数: 308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╔══════════════════════════════════════════════════════════════╗</t>
        </is>
      </c>
    </row>
    <row r="6">
      <c r="A6" s="7" t="n">
        <v>3</v>
      </c>
      <c r="B6" s="8" t="inlineStr">
        <is>
          <t>║  🎙  video_editor.tts_engine — AI配音引擎                 ║</t>
        </is>
      </c>
    </row>
    <row r="7">
      <c r="A7" s="9" t="n">
        <v>4</v>
      </c>
      <c r="B7" s="10" t="inlineStr">
        <is>
          <t>║  Edge TTS 配音生成 + 文本清洗 + 保护词校验                 ║</t>
        </is>
      </c>
    </row>
    <row r="8">
      <c r="A8" s="7" t="n">
        <v>5</v>
      </c>
      <c r="B8" s="8" t="inlineStr">
        <is>
          <t>╚══════════════════════════════════════════════════════════════╝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>
        <is>
          <t>import os</t>
        </is>
      </c>
    </row>
    <row r="11">
      <c r="A11" s="9" t="n">
        <v>8</v>
      </c>
      <c r="B11" s="10" t="inlineStr">
        <is>
          <t>import re</t>
        </is>
      </c>
    </row>
    <row r="12">
      <c r="A12" s="7" t="n">
        <v>9</v>
      </c>
      <c r="B12" s="8" t="inlineStr">
        <is>
          <t>import asyncio</t>
        </is>
      </c>
    </row>
    <row r="13">
      <c r="A13" s="9" t="n">
        <v>10</v>
      </c>
      <c r="B13" s="10" t="inlineStr">
        <is>
          <t>import concurrent.futures</t>
        </is>
      </c>
    </row>
    <row r="14">
      <c r="A14" s="7" t="n">
        <v>11</v>
      </c>
      <c r="B14" s="8" t="inlineStr">
        <is>
          <t>from pathlib import Path</t>
        </is>
      </c>
    </row>
    <row r="15">
      <c r="A15" s="9" t="n">
        <v>12</v>
      </c>
      <c r="B15" s="10" t="inlineStr">
        <is>
          <t>from datetime import datetime</t>
        </is>
      </c>
    </row>
    <row r="16">
      <c r="A16" s="7" t="n">
        <v>13</v>
      </c>
      <c r="B16" s="8" t="inlineStr">
        <is>
          <t>from typing import Optional, List, Tuple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from core.config import (</t>
        </is>
      </c>
    </row>
    <row r="19">
      <c r="A19" s="9" t="n">
        <v>16</v>
      </c>
      <c r="B19" s="10" t="inlineStr">
        <is>
          <t xml:space="preserve">    TTS_OUTPUT_DIR, TTS_VOICE, TTS_VOICE_ALT, TTS_VOLUME,</t>
        </is>
      </c>
    </row>
    <row r="20">
      <c r="A20" s="7" t="n">
        <v>17</v>
      </c>
      <c r="B20" s="8" t="inlineStr">
        <is>
          <t xml:space="preserve">    DEFAULT_VOICE_RATE, DEFAULT_VOICE_PITCH, TTS_MAX_RETRIES,</t>
        </is>
      </c>
    </row>
    <row r="21">
      <c r="A21" s="9" t="n">
        <v>18</v>
      </c>
      <c r="B21" s="10" t="inlineStr">
        <is>
          <t xml:space="preserve">    PROTECTED_WORDS, CLEAN_PREFIX_SYMBOL,</t>
        </is>
      </c>
    </row>
    <row r="22">
      <c r="A22" s="7" t="n">
        <v>19</v>
      </c>
      <c r="B22" s="8" t="inlineStr">
        <is>
          <t xml:space="preserve">    SUBTITLE_MAX_CHARS_PER_LINE, TTS_CHARS_PER_SEC,</t>
        </is>
      </c>
    </row>
    <row r="23">
      <c r="A23" s="9" t="n">
        <v>20</v>
      </c>
      <c r="B23" s="10" t="inlineStr">
        <is>
          <t>)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6">
      <c r="A26" s="7" t="n">
        <v>23</v>
      </c>
      <c r="B26" s="8" t="inlineStr">
        <is>
          <t># 保护词预处理</t>
        </is>
      </c>
    </row>
    <row r="27">
      <c r="A27" s="9" t="n">
        <v>24</v>
      </c>
      <c r="B27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>_PROTECTED_WORDS_BY_LEN = None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/>
    </row>
    <row r="32">
      <c r="A32" s="7" t="n">
        <v>29</v>
      </c>
      <c r="B32" s="8" t="inlineStr">
        <is>
          <t>def _get_protected_words_sorted() -&gt; list:</t>
        </is>
      </c>
    </row>
    <row r="33">
      <c r="A33" s="9" t="n">
        <v>30</v>
      </c>
      <c r="B33" s="10" t="inlineStr">
        <is>
          <t xml:space="preserve">    """获取按长度降序排列的保护词列表"""</t>
        </is>
      </c>
    </row>
    <row r="34">
      <c r="A34" s="7" t="n">
        <v>31</v>
      </c>
      <c r="B34" s="8" t="inlineStr">
        <is>
          <t xml:space="preserve">    global _PROTECTED_WORDS_BY_LEN</t>
        </is>
      </c>
    </row>
    <row r="35">
      <c r="A35" s="9" t="n">
        <v>32</v>
      </c>
      <c r="B35" s="10" t="inlineStr">
        <is>
          <t xml:space="preserve">    if _PROTECTED_WORDS_BY_LEN is None:</t>
        </is>
      </c>
    </row>
    <row r="36">
      <c r="A36" s="7" t="n">
        <v>33</v>
      </c>
      <c r="B36" s="8" t="inlineStr">
        <is>
          <t xml:space="preserve">        _PROTECTED_WORDS_BY_LEN = sorted(set(PROTECTED_WORDS), key=len, reverse=True)</t>
        </is>
      </c>
    </row>
    <row r="37">
      <c r="A37" s="9" t="n">
        <v>34</v>
      </c>
      <c r="B37" s="10" t="inlineStr">
        <is>
          <t xml:space="preserve">    return _PROTECTED_WORDS_BY_LEN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/>
    </row>
    <row r="40">
      <c r="A40" s="7" t="n">
        <v>37</v>
      </c>
      <c r="B40" s="8" t="inlineStr">
        <is>
          <t>def protect_text_for_tts(text: str) -&gt; str:</t>
        </is>
      </c>
    </row>
    <row r="41">
      <c r="A41" s="9" t="n">
        <v>38</v>
      </c>
      <c r="B41" s="10" t="inlineStr">
        <is>
          <t xml:space="preserve">    """文案预处理：保护产品词不被TTS引擎拆分朗读"""</t>
        </is>
      </c>
    </row>
    <row r="42">
      <c r="A42" s="7" t="n">
        <v>39</v>
      </c>
      <c r="B42" s="8" t="inlineStr">
        <is>
          <t xml:space="preserve">    text = re.sub(r'[\x00-\x08\x0b\x0c\x0e-\x1f\x7f-\x9f]', '', text)</t>
        </is>
      </c>
    </row>
    <row r="43">
      <c r="A43" s="9" t="n">
        <v>40</v>
      </c>
      <c r="B43" s="10" t="inlineStr">
        <is>
          <t xml:space="preserve">    for word in _get_protected_words_sorted():</t>
        </is>
      </c>
    </row>
    <row r="44">
      <c r="A44" s="7" t="n">
        <v>41</v>
      </c>
      <c r="B44" s="8" t="inlineStr">
        <is>
          <t xml:space="preserve">        spaced = ' '.join(list(word))</t>
        </is>
      </c>
    </row>
    <row r="45">
      <c r="A45" s="9" t="n">
        <v>42</v>
      </c>
      <c r="B45" s="10" t="inlineStr">
        <is>
          <t xml:space="preserve">        if spaced in text:</t>
        </is>
      </c>
    </row>
    <row r="46">
      <c r="A46" s="7" t="n">
        <v>43</v>
      </c>
      <c r="B46" s="8" t="inlineStr">
        <is>
          <t xml:space="preserve">            text = text.replace(spaced, word)</t>
        </is>
      </c>
    </row>
    <row r="47">
      <c r="A47" s="9" t="n">
        <v>44</v>
      </c>
      <c r="B47" s="10" t="inlineStr">
        <is>
          <t xml:space="preserve">        spaced2 = ''.join(c + ' ' for c in word).strip()</t>
        </is>
      </c>
    </row>
    <row r="48">
      <c r="A48" s="7" t="n">
        <v>45</v>
      </c>
      <c r="B48" s="8" t="inlineStr">
        <is>
          <t xml:space="preserve">        if spaced2 in text:</t>
        </is>
      </c>
    </row>
    <row r="49">
      <c r="A49" s="9" t="n">
        <v>46</v>
      </c>
      <c r="B49" s="10" t="inlineStr">
        <is>
          <t xml:space="preserve">            text = text.replace(spaced2, word)</t>
        </is>
      </c>
    </row>
    <row r="50">
      <c r="A50" s="7" t="n">
        <v>47</v>
      </c>
      <c r="B50" s="8" t="inlineStr">
        <is>
          <t xml:space="preserve">    return text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/>
    </row>
    <row r="53">
      <c r="A53" s="9" t="n">
        <v>50</v>
      </c>
      <c r="B53" s="10" t="inlineStr">
        <is>
          <t>def strip_leading_junk(text: str) -&gt; str:</t>
        </is>
      </c>
    </row>
    <row r="54">
      <c r="A54" s="7" t="n">
        <v>51</v>
      </c>
      <c r="B54" s="8" t="inlineStr">
        <is>
          <t xml:space="preserve">    """清除文本中行首的数字、序号、特殊符号（MULTILINE模式）"""</t>
        </is>
      </c>
    </row>
    <row r="55">
      <c r="A55" s="9" t="n">
        <v>52</v>
      </c>
      <c r="B55" s="10" t="inlineStr">
        <is>
          <t xml:space="preserve">    if not CLEAN_PREFIX_SYMBOL:</t>
        </is>
      </c>
    </row>
    <row r="56">
      <c r="A56" s="7" t="n">
        <v>53</v>
      </c>
      <c r="B56" s="8" t="inlineStr">
        <is>
          <t xml:space="preserve">        return text</t>
        </is>
      </c>
    </row>
    <row r="57">
      <c r="A57" s="9" t="n">
        <v>54</v>
      </c>
      <c r="B57" s="10" t="inlineStr">
        <is>
          <t xml:space="preserve">    text = re.sub(r'\[[^\]]*\]', '', text)</t>
        </is>
      </c>
    </row>
    <row r="58">
      <c r="A58" s="7" t="n">
        <v>55</v>
      </c>
      <c r="B58" s="8" t="inlineStr">
        <is>
          <t xml:space="preserve">    text = re.sub(r'^[\s]*([\d]+[\.\,\))]\s*)+', '', text, flags=re.MULTILINE)</t>
        </is>
      </c>
    </row>
    <row r="59">
      <c r="A59" s="9" t="n">
        <v>56</v>
      </c>
      <c r="B59" s="10" t="inlineStr">
        <is>
          <t xml:space="preserve">    text = re.sub(r'^[\s]*([一二三四五六七八九十]+[\.\,\))]\s*)+', '', text, flags=re.MULTILINE)</t>
        </is>
      </c>
    </row>
    <row r="60">
      <c r="A60" s="7" t="n">
        <v>57</v>
      </c>
      <c r="B60" s="8" t="inlineStr">
        <is>
          <t xml:space="preserve">    text = re.sub(r'^[\s]*[#\*\-&gt;-&gt;↓↑▶▷►✓✔✗✘○●□■△▲☆★◇◆]+[\s]*', '', text, flags=re.MULTILINE)</t>
        </is>
      </c>
    </row>
    <row r="61">
      <c r="A61" s="9" t="n">
        <v>58</v>
      </c>
      <c r="B61" s="10" t="inlineStr">
        <is>
          <t xml:space="preserve">    text = re.sub(r'[\x00-\x08\x0b\x0c\x0e-\x1f\x7f-\x9f]', '', text)</t>
        </is>
      </c>
    </row>
    <row r="62">
      <c r="A62" s="7" t="n">
        <v>59</v>
      </c>
      <c r="B62" s="8" t="inlineStr">
        <is>
          <t xml:space="preserve">    return text.strip()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/>
    </row>
    <row r="65">
      <c r="A65" s="9" t="n">
        <v>62</v>
      </c>
      <c r="B65" s="10" t="inlineStr">
        <is>
          <t>def global_strip_numbers(text: str) -&gt; str:</t>
        </is>
      </c>
    </row>
    <row r="66">
      <c r="A66" s="7" t="n">
        <v>63</v>
      </c>
      <c r="B66" s="8" t="inlineStr">
        <is>
          <t xml:space="preserve">    """全局清除孤立数字编号"""</t>
        </is>
      </c>
    </row>
    <row r="67">
      <c r="A67" s="9" t="n">
        <v>64</v>
      </c>
      <c r="B67" s="10" t="inlineStr">
        <is>
          <t xml:space="preserve">    if not CLEAN_PREFIX_SYMBOL:</t>
        </is>
      </c>
    </row>
    <row r="68">
      <c r="A68" s="7" t="n">
        <v>65</v>
      </c>
      <c r="B68" s="8" t="inlineStr">
        <is>
          <t xml:space="preserve">        return text</t>
        </is>
      </c>
    </row>
    <row r="69">
      <c r="A69" s="9" t="n">
        <v>66</v>
      </c>
      <c r="B69" s="10" t="inlineStr">
        <is>
          <t xml:space="preserve">    text = re.sub(r'([.！？])\s*[\d]+[\.\,\))]', r'\1', text)</t>
        </is>
      </c>
    </row>
    <row r="70">
      <c r="A70" s="7" t="n">
        <v>67</v>
      </c>
      <c r="B70" s="8" t="inlineStr">
        <is>
          <t xml:space="preserve">    text = re.sub(r'([.！？])\s*[一二三四五六七八九十]+[\.\,\))]', r'\1', text)</t>
        </is>
      </c>
    </row>
    <row r="71">
      <c r="A71" s="9" t="n">
        <v>68</v>
      </c>
      <c r="B71" s="10" t="inlineStr">
        <is>
          <t xml:space="preserve">    text = re.sub(r'[①-⑩]', '', text)</t>
        </is>
      </c>
    </row>
    <row r="72">
      <c r="A72" s="7" t="n">
        <v>69</v>
      </c>
      <c r="B72" s="8" t="inlineStr">
        <is>
          <t xml:space="preserve">    text = re.sub(r'\([\d]+\)', '', text)</t>
        </is>
      </c>
    </row>
    <row r="73">
      <c r="A73" s="9" t="n">
        <v>70</v>
      </c>
      <c r="B73" s="10" t="inlineStr">
        <is>
          <t xml:space="preserve">    text = re.sub(r'\b(No\.|#)[\d]+', '', text, flags=re.IGNORECASE)</t>
        </is>
      </c>
    </row>
    <row r="74">
      <c r="A74" s="7" t="n">
        <v>71</v>
      </c>
      <c r="B74" s="8" t="inlineStr">
        <is>
          <t xml:space="preserve">    return text.strip()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/>
    </row>
    <row r="77">
      <c r="A77" s="9" t="n">
        <v>74</v>
      </c>
      <c r="B77" s="10" t="inlineStr">
        <is>
          <t>def clean_text_for_tts(text: str) -&gt; str:</t>
        </is>
      </c>
    </row>
    <row r="78">
      <c r="A78" s="7" t="n">
        <v>75</v>
      </c>
      <c r="B78" s="8" t="inlineStr">
        <is>
          <t xml:space="preserve">    """全链路清洗：确保TTS只朗读有效正文"""</t>
        </is>
      </c>
    </row>
    <row r="79">
      <c r="A79" s="9" t="n">
        <v>76</v>
      </c>
      <c r="B79" s="10" t="inlineStr">
        <is>
          <t xml:space="preserve">    text = protect_text_for_tts(text)</t>
        </is>
      </c>
    </row>
    <row r="80">
      <c r="A80" s="7" t="n">
        <v>77</v>
      </c>
      <c r="B80" s="8" t="inlineStr">
        <is>
          <t xml:space="preserve">    text = strip_leading_junk(text)</t>
        </is>
      </c>
    </row>
    <row r="81">
      <c r="A81" s="9" t="n">
        <v>78</v>
      </c>
      <c r="B81" s="10" t="inlineStr">
        <is>
          <t xml:space="preserve">    text = global_strip_numbers(text)</t>
        </is>
      </c>
    </row>
    <row r="82">
      <c r="A82" s="7" t="n">
        <v>79</v>
      </c>
      <c r="B82" s="8" t="inlineStr">
        <is>
          <t xml:space="preserve">    text = re.sub(r'[🔴🟠🟡🟢🔵🟣⚫⚪⬛⬜🔶🔷🔸🔹🔻🔺]', '', text)</t>
        </is>
      </c>
    </row>
    <row r="83">
      <c r="A83" s="9" t="n">
        <v>80</v>
      </c>
      <c r="B83" s="10" t="inlineStr">
        <is>
          <t xml:space="preserve">    text = re.sub(r'[①②③④⑤⑥⑦⑧⑨⑩]', '', text)</t>
        </is>
      </c>
    </row>
    <row r="84">
      <c r="A84" s="7" t="n">
        <v>81</v>
      </c>
      <c r="B84" s="8" t="inlineStr">
        <is>
          <t xml:space="preserve">    text = re.sub(r'[➡⬆⬇✅❌⭐🌟✨🔥💯💥💫🎉🎊👍👎💪🙌👏🤝👋💡🎵🎶📢📣📌📍🔍]', '', text)</t>
        </is>
      </c>
    </row>
    <row r="85">
      <c r="A85" s="9" t="n">
        <v>82</v>
      </c>
      <c r="B85" s="10" t="inlineStr">
        <is>
          <t xml:space="preserve">    text = re.sub(r'[\x00-\x08\x0b\x0c\x0e-\x1f\x7f-\x9f]', '', text)</t>
        </is>
      </c>
    </row>
    <row r="86">
      <c r="A86" s="7" t="n">
        <v>83</v>
      </c>
      <c r="B86" s="8" t="inlineStr">
        <is>
          <t xml:space="preserve">    text = re.sub(r'[,,]{2,}', ',', text)</t>
        </is>
      </c>
    </row>
    <row r="87">
      <c r="A87" s="9" t="n">
        <v>84</v>
      </c>
      <c r="B87" s="10" t="inlineStr">
        <is>
          <t xml:space="preserve">    text = re.sub(r'[..]{2,}', '.', text)</t>
        </is>
      </c>
    </row>
    <row r="88">
      <c r="A88" s="7" t="n">
        <v>85</v>
      </c>
      <c r="B88" s="8" t="inlineStr">
        <is>
          <t xml:space="preserve">    text = re.sub(r'^[.,！？,\.!?\s]+', '', text)</t>
        </is>
      </c>
    </row>
    <row r="89">
      <c r="A89" s="9" t="n">
        <v>86</v>
      </c>
      <c r="B89" s="10" t="inlineStr">
        <is>
          <t xml:space="preserve">    text = re.sub(r'[.,！？,\.!?]+$', '', text)</t>
        </is>
      </c>
    </row>
    <row r="90">
      <c r="A90" s="7" t="n">
        <v>87</v>
      </c>
      <c r="B90" s="8" t="inlineStr">
        <is>
          <t xml:space="preserve">    text = global_strip_numbers(text)</t>
        </is>
      </c>
    </row>
    <row r="91">
      <c r="A91" s="9" t="n">
        <v>88</v>
      </c>
      <c r="B91" s="10" t="inlineStr">
        <is>
          <t xml:space="preserve">    text = strip_leading_junk(text)</t>
        </is>
      </c>
    </row>
    <row r="92">
      <c r="A92" s="7" t="n">
        <v>89</v>
      </c>
      <c r="B92" s="8" t="inlineStr">
        <is>
          <t xml:space="preserve">    return text.strip()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/>
    </row>
    <row r="95">
      <c r="A95" s="9" t="n">
        <v>92</v>
      </c>
      <c r="B95" s="10" t="inlineStr">
        <is>
          <t>def filter_non_speech_fragments(subtitles: List[str]) -&gt; List[str]:</t>
        </is>
      </c>
    </row>
    <row r="96">
      <c r="A96" s="7" t="n">
        <v>93</v>
      </c>
      <c r="B96" s="8" t="inlineStr">
        <is>
          <t xml:space="preserve">    """过滤无效字幕片段：纯数字、纯符号一律丢弃"""</t>
        </is>
      </c>
    </row>
    <row r="97">
      <c r="A97" s="9" t="n">
        <v>94</v>
      </c>
      <c r="B97" s="10" t="inlineStr">
        <is>
          <t xml:space="preserve">    result = []</t>
        </is>
      </c>
    </row>
    <row r="98">
      <c r="A98" s="7" t="n">
        <v>95</v>
      </c>
      <c r="B98" s="8" t="inlineStr">
        <is>
          <t xml:space="preserve">    for sub in subtitles:</t>
        </is>
      </c>
    </row>
    <row r="99">
      <c r="A99" s="9" t="n">
        <v>96</v>
      </c>
      <c r="B99" s="10" t="inlineStr">
        <is>
          <t xml:space="preserve">        chinese_chars = len(re.findall(r'[一-鿿]', sub))</t>
        </is>
      </c>
    </row>
    <row r="100">
      <c r="A100" s="7" t="n">
        <v>97</v>
      </c>
      <c r="B100" s="8" t="inlineStr">
        <is>
          <t xml:space="preserve">        if chinese_chars &lt; 2:</t>
        </is>
      </c>
    </row>
    <row r="101">
      <c r="A101" s="9" t="n">
        <v>98</v>
      </c>
      <c r="B101" s="10" t="inlineStr">
        <is>
          <t xml:space="preserve">            continue</t>
        </is>
      </c>
    </row>
    <row r="102">
      <c r="A102" s="7" t="n">
        <v>99</v>
      </c>
      <c r="B102" s="8" t="inlineStr">
        <is>
          <t xml:space="preserve">        cleaned = strip_leading_junk(sub)</t>
        </is>
      </c>
    </row>
    <row r="103">
      <c r="A103" s="9" t="n">
        <v>100</v>
      </c>
      <c r="B103" s="10" t="inlineStr">
        <is>
          <t xml:space="preserve">        if len(re.findall(r'[一-鿿]', cleaned)) &gt;= 2:</t>
        </is>
      </c>
    </row>
    <row r="104">
      <c r="A104" s="7" t="n">
        <v>101</v>
      </c>
      <c r="B104" s="8" t="inlineStr">
        <is>
          <t xml:space="preserve">            result.append(cleaned)</t>
        </is>
      </c>
    </row>
    <row r="105">
      <c r="A105" s="9" t="n">
        <v>102</v>
      </c>
      <c r="B105" s="10" t="inlineStr">
        <is>
          <t xml:space="preserve">    return result if result else subtitles</t>
        </is>
      </c>
    </row>
    <row r="106">
      <c r="A106" s="7" t="n">
        <v>103</v>
      </c>
      <c r="B106" s="8" t="inlineStr"/>
    </row>
    <row r="107">
      <c r="A107" s="9" t="n">
        <v>104</v>
      </c>
      <c r="B107" s="10" t="inlineStr"/>
    </row>
    <row r="108">
      <c r="A108" s="7" t="n">
        <v>105</v>
      </c>
      <c r="B108" s="8" t="inlineStr">
        <is>
          <t>def validate_tts_content(original: str, cleaned: str) -&gt; Tuple[bool, str]:</t>
        </is>
      </c>
    </row>
    <row r="109">
      <c r="A109" s="9" t="n">
        <v>106</v>
      </c>
      <c r="B109" s="10" t="inlineStr">
        <is>
          <t xml:space="preserve">    """配音前内容抽检"""</t>
        </is>
      </c>
    </row>
    <row r="110">
      <c r="A110" s="7" t="n">
        <v>107</v>
      </c>
      <c r="B110" s="8" t="inlineStr">
        <is>
          <t xml:space="preserve">    orig_chinese = len(re.findall(r'[一-鿿]', original))</t>
        </is>
      </c>
    </row>
    <row r="111">
      <c r="A111" s="9" t="n">
        <v>108</v>
      </c>
      <c r="B111" s="10" t="inlineStr">
        <is>
          <t xml:space="preserve">    cleaned_chinese = len(re.findall(r'[一-鿿]', cleaned))</t>
        </is>
      </c>
    </row>
    <row r="112">
      <c r="A112" s="7" t="n">
        <v>109</v>
      </c>
      <c r="B112" s="8" t="inlineStr">
        <is>
          <t xml:space="preserve">    if orig_chinese &gt; 10 and cleaned_chinese &lt; orig_chinese * 0.7:</t>
        </is>
      </c>
    </row>
    <row r="113">
      <c r="A113" s="9" t="n">
        <v>110</v>
      </c>
      <c r="B113" s="10" t="inlineStr">
        <is>
          <t xml:space="preserve">        return False, f"汉字丢失过多(原文{orig_chinese}字-&gt;清洗后{cleaned_chinese}字)"</t>
        </is>
      </c>
    </row>
    <row r="114">
      <c r="A114" s="7" t="n">
        <v>111</v>
      </c>
      <c r="B114" s="8" t="inlineStr">
        <is>
          <t xml:space="preserve">    if cleaned_chinese &lt; 5:</t>
        </is>
      </c>
    </row>
    <row r="115">
      <c r="A115" s="9" t="n">
        <v>112</v>
      </c>
      <c r="B115" s="10" t="inlineStr">
        <is>
          <t xml:space="preserve">        return False, f"清洗后有效汉字不足({cleaned_chinese}字)"</t>
        </is>
      </c>
    </row>
    <row r="116">
      <c r="A116" s="7" t="n">
        <v>113</v>
      </c>
      <c r="B116" s="8" t="inlineStr">
        <is>
          <t xml:space="preserve">    chinese_ratio = cleaned_chinese / max(len(cleaned), 1)</t>
        </is>
      </c>
    </row>
    <row r="117">
      <c r="A117" s="9" t="n">
        <v>114</v>
      </c>
      <c r="B117" s="10" t="inlineStr">
        <is>
          <t xml:space="preserve">    if chinese_ratio &lt; 0.3:</t>
        </is>
      </c>
    </row>
    <row r="118">
      <c r="A118" s="7" t="n">
        <v>115</v>
      </c>
      <c r="B118" s="8" t="inlineStr">
        <is>
          <t xml:space="preserve">        return False, f"清洗后非中文占比过高(中文比{chinese_ratio:.0%})"</t>
        </is>
      </c>
    </row>
    <row r="119">
      <c r="A119" s="9" t="n">
        <v>116</v>
      </c>
      <c r="B119" s="10" t="inlineStr">
        <is>
          <t xml:space="preserve">    return True, "OK"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>def verify_word_integrity(original_text: str, tts_text: str) -&gt; Tuple[bool, list]:</t>
        </is>
      </c>
    </row>
    <row r="123">
      <c r="A123" s="9" t="n">
        <v>120</v>
      </c>
      <c r="B123" s="10" t="inlineStr">
        <is>
          <t xml:space="preserve">    """配音后校验：检查保护词是否保持完整"""</t>
        </is>
      </c>
    </row>
    <row r="124">
      <c r="A124" s="7" t="n">
        <v>121</v>
      </c>
      <c r="B124" s="8" t="inlineStr">
        <is>
          <t xml:space="preserve">    broken = []</t>
        </is>
      </c>
    </row>
    <row r="125">
      <c r="A125" s="9" t="n">
        <v>122</v>
      </c>
      <c r="B125" s="10" t="inlineStr">
        <is>
          <t xml:space="preserve">    for word in _get_protected_words_sorted():</t>
        </is>
      </c>
    </row>
    <row r="126">
      <c r="A126" s="7" t="n">
        <v>123</v>
      </c>
      <c r="B126" s="8" t="inlineStr">
        <is>
          <t xml:space="preserve">        if word in original_text and word not in tts_text:</t>
        </is>
      </c>
    </row>
    <row r="127">
      <c r="A127" s="9" t="n">
        <v>124</v>
      </c>
      <c r="B127" s="10" t="inlineStr">
        <is>
          <t xml:space="preserve">            fragments = list(word)</t>
        </is>
      </c>
    </row>
    <row r="128">
      <c r="A128" s="7" t="n">
        <v>125</v>
      </c>
      <c r="B128" s="8" t="inlineStr">
        <is>
          <t xml:space="preserve">            if not all(f in tts_text for f in fragments if len(f) &gt;= 1):</t>
        </is>
      </c>
    </row>
    <row r="129">
      <c r="A129" s="9" t="n">
        <v>126</v>
      </c>
      <c r="B129" s="10" t="inlineStr">
        <is>
          <t xml:space="preserve">                broken.append(word)</t>
        </is>
      </c>
    </row>
    <row r="130">
      <c r="A130" s="7" t="n">
        <v>127</v>
      </c>
      <c r="B130" s="8" t="inlineStr">
        <is>
          <t xml:space="preserve">    return len(broken) == 0, broken</t>
        </is>
      </c>
    </row>
    <row r="131">
      <c r="A131" s="9" t="n">
        <v>128</v>
      </c>
      <c r="B131" s="10" t="inlineStr"/>
    </row>
    <row r="132">
      <c r="A132" s="7" t="n">
        <v>129</v>
      </c>
      <c r="B132" s="8" t="inlineStr"/>
    </row>
    <row r="133">
      <c r="A133" s="9" t="n">
        <v>130</v>
      </c>
      <c r="B133" s="10" t="inlineStr">
        <is>
          <t>def split_copy_to_subtitles(copy_text: str, num_clips: int = None) -&gt; List[str]:</t>
        </is>
      </c>
    </row>
    <row r="134">
      <c r="A134" s="7" t="n">
        <v>131</v>
      </c>
      <c r="B134" s="8" t="inlineStr">
        <is>
          <t xml:space="preserve">    """将文案按自然句子拆分成字幕片段"""</t>
        </is>
      </c>
    </row>
    <row r="135">
      <c r="A135" s="9" t="n">
        <v>132</v>
      </c>
      <c r="B135" s="10" t="inlineStr">
        <is>
          <t xml:space="preserve">    MAX_CHARS = SUBTITLE_MAX_CHARS_PER_LINE</t>
        </is>
      </c>
    </row>
    <row r="136">
      <c r="A136" s="7" t="n">
        <v>133</v>
      </c>
      <c r="B136" s="8" t="inlineStr">
        <is>
          <t xml:space="preserve">    text = re.sub(r'\n+', '', copy_text)</t>
        </is>
      </c>
    </row>
    <row r="137">
      <c r="A137" s="9" t="n">
        <v>134</v>
      </c>
      <c r="B137" s="10" t="inlineStr">
        <is>
          <t xml:space="preserve">    text = re.sub(r'画面\d+[::]\s*', '', text)</t>
        </is>
      </c>
    </row>
    <row r="138">
      <c r="A138" s="7" t="n">
        <v>135</v>
      </c>
      <c r="B138" s="8" t="inlineStr">
        <is>
          <t xml:space="preserve">    text = re.sub(r'\d+⃣\s*', '', text)</t>
        </is>
      </c>
    </row>
    <row r="139">
      <c r="A139" s="9" t="n">
        <v>136</v>
      </c>
      <c r="B139" s="10" t="inlineStr">
        <is>
          <t xml:space="preserve">    text = re.sub(r'\s+', '', text).strip()</t>
        </is>
      </c>
    </row>
    <row r="140">
      <c r="A140" s="7" t="n">
        <v>137</v>
      </c>
      <c r="B140" s="8" t="inlineStr">
        <is>
          <t xml:space="preserve">    if not text:</t>
        </is>
      </c>
    </row>
    <row r="141">
      <c r="A141" s="9" t="n">
        <v>138</v>
      </c>
      <c r="B141" s="10" t="inlineStr">
        <is>
          <t xml:space="preserve">        return ["坤宝岛台"]</t>
        </is>
      </c>
    </row>
    <row r="142">
      <c r="A142" s="7" t="n">
        <v>139</v>
      </c>
      <c r="B142" s="8" t="inlineStr"/>
    </row>
    <row r="143">
      <c r="A143" s="9" t="n">
        <v>140</v>
      </c>
      <c r="B143" s="10" t="inlineStr">
        <is>
          <t xml:space="preserve">    raw_parts = re.split(r'([.。！？])', text)</t>
        </is>
      </c>
    </row>
    <row r="144">
      <c r="A144" s="7" t="n">
        <v>141</v>
      </c>
      <c r="B144" s="8" t="inlineStr">
        <is>
          <t xml:space="preserve">    sentences = []</t>
        </is>
      </c>
    </row>
    <row r="145">
      <c r="A145" s="9" t="n">
        <v>142</v>
      </c>
      <c r="B145" s="10" t="inlineStr">
        <is>
          <t xml:space="preserve">    i = 0</t>
        </is>
      </c>
    </row>
    <row r="146">
      <c r="A146" s="7" t="n">
        <v>143</v>
      </c>
      <c r="B146" s="8" t="inlineStr">
        <is>
          <t xml:space="preserve">    while i &lt; len(raw_parts):</t>
        </is>
      </c>
    </row>
    <row r="147">
      <c r="A147" s="9" t="n">
        <v>144</v>
      </c>
      <c r="B147" s="10" t="inlineStr">
        <is>
          <t xml:space="preserve">        part = raw_parts[i].strip()</t>
        </is>
      </c>
    </row>
    <row r="148">
      <c r="A148" s="7" t="n">
        <v>145</v>
      </c>
      <c r="B148" s="8" t="inlineStr">
        <is>
          <t xml:space="preserve">        if not part:</t>
        </is>
      </c>
    </row>
    <row r="149">
      <c r="A149" s="9" t="n">
        <v>146</v>
      </c>
      <c r="B149" s="10" t="inlineStr">
        <is>
          <t xml:space="preserve">            i += 1; continue</t>
        </is>
      </c>
    </row>
    <row r="150">
      <c r="A150" s="7" t="n">
        <v>147</v>
      </c>
      <c r="B150" s="8" t="inlineStr">
        <is>
          <t xml:space="preserve">        if part in '.。！？' and sentences:</t>
        </is>
      </c>
    </row>
    <row r="151">
      <c r="A151" s="9" t="n">
        <v>148</v>
      </c>
      <c r="B151" s="10" t="inlineStr">
        <is>
          <t xml:space="preserve">            sentences[-1] += part</t>
        </is>
      </c>
    </row>
    <row r="152">
      <c r="A152" s="7" t="n">
        <v>149</v>
      </c>
      <c r="B152" s="8" t="inlineStr">
        <is>
          <t xml:space="preserve">        elif part not in '.。！？' and len(part) &gt;= 2:</t>
        </is>
      </c>
    </row>
    <row r="153">
      <c r="A153" s="9" t="n">
        <v>150</v>
      </c>
      <c r="B153" s="10" t="inlineStr">
        <is>
          <t xml:space="preserve">            if i + 1 &lt; len(raw_parts) and raw_parts[i + 1] in '.。！？':</t>
        </is>
      </c>
    </row>
    <row r="154">
      <c r="A154" s="7" t="n">
        <v>151</v>
      </c>
      <c r="B154" s="8" t="inlineStr">
        <is>
          <t xml:space="preserve">                sentences.append(part + raw_parts[i + 1])</t>
        </is>
      </c>
    </row>
    <row r="155">
      <c r="A155" s="9" t="n">
        <v>152</v>
      </c>
      <c r="B155" s="10" t="inlineStr">
        <is>
          <t xml:space="preserve">                i += 2; continue</t>
        </is>
      </c>
    </row>
    <row r="156">
      <c r="A156" s="7" t="n">
        <v>153</v>
      </c>
      <c r="B156" s="8" t="inlineStr">
        <is>
          <t xml:space="preserve">            else:</t>
        </is>
      </c>
    </row>
    <row r="157">
      <c r="A157" s="9" t="n">
        <v>154</v>
      </c>
      <c r="B157" s="10" t="inlineStr">
        <is>
          <t xml:space="preserve">                sentences.append(part)</t>
        </is>
      </c>
    </row>
    <row r="158">
      <c r="A158" s="7" t="n">
        <v>155</v>
      </c>
      <c r="B158" s="8" t="inlineStr">
        <is>
          <t xml:space="preserve">        i += 1</t>
        </is>
      </c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 xml:space="preserve">    result = []</t>
        </is>
      </c>
    </row>
    <row r="161">
      <c r="A161" s="9" t="n">
        <v>158</v>
      </c>
      <c r="B161" s="10" t="inlineStr">
        <is>
          <t xml:space="preserve">    for sentence in sentences:</t>
        </is>
      </c>
    </row>
    <row r="162">
      <c r="A162" s="7" t="n">
        <v>159</v>
      </c>
      <c r="B162" s="8" t="inlineStr">
        <is>
          <t xml:space="preserve">        if len(sentence) &lt;= MAX_CHARS:</t>
        </is>
      </c>
    </row>
    <row r="163">
      <c r="A163" s="9" t="n">
        <v>160</v>
      </c>
      <c r="B163" s="10" t="inlineStr">
        <is>
          <t xml:space="preserve">            result.append(sentence)</t>
        </is>
      </c>
    </row>
    <row r="164">
      <c r="A164" s="7" t="n">
        <v>161</v>
      </c>
      <c r="B164" s="8" t="inlineStr">
        <is>
          <t xml:space="preserve">        else:</t>
        </is>
      </c>
    </row>
    <row r="165">
      <c r="A165" s="9" t="n">
        <v>162</v>
      </c>
      <c r="B165" s="10" t="inlineStr">
        <is>
          <t xml:space="preserve">            comma_parts = re.split(r'([,,,])', sentence)</t>
        </is>
      </c>
    </row>
    <row r="166">
      <c r="A166" s="7" t="n">
        <v>163</v>
      </c>
      <c r="B166" s="8" t="inlineStr">
        <is>
          <t xml:space="preserve">            current = ""; j = 0</t>
        </is>
      </c>
    </row>
    <row r="167">
      <c r="A167" s="9" t="n">
        <v>164</v>
      </c>
      <c r="B167" s="10" t="inlineStr">
        <is>
          <t xml:space="preserve">            while j &lt; len(comma_parts):</t>
        </is>
      </c>
    </row>
    <row r="168">
      <c r="A168" s="7" t="n">
        <v>165</v>
      </c>
      <c r="B168" s="8" t="inlineStr">
        <is>
          <t xml:space="preserve">                p = comma_parts[j].strip()</t>
        </is>
      </c>
    </row>
    <row r="169">
      <c r="A169" s="9" t="n">
        <v>166</v>
      </c>
      <c r="B169" s="10" t="inlineStr">
        <is>
          <t xml:space="preserve">                if not p: j += 1; continue</t>
        </is>
      </c>
    </row>
    <row r="170">
      <c r="A170" s="7" t="n">
        <v>167</v>
      </c>
      <c r="B170" s="8" t="inlineStr">
        <is>
          <t xml:space="preserve">                if p in ',,,' and current:</t>
        </is>
      </c>
    </row>
    <row r="171">
      <c r="A171" s="9" t="n">
        <v>168</v>
      </c>
      <c r="B171" s="10" t="inlineStr">
        <is>
          <t xml:space="preserve">                    next_part = comma_parts[j+1].strip() if j+1 &lt; len(comma_parts) else ""</t>
        </is>
      </c>
    </row>
    <row r="172">
      <c r="A172" s="7" t="n">
        <v>169</v>
      </c>
      <c r="B172" s="8" t="inlineStr">
        <is>
          <t xml:space="preserve">                    if len(current) + len(next_part) + 1 &lt;= MAX_CHARS:</t>
        </is>
      </c>
    </row>
    <row r="173">
      <c r="A173" s="9" t="n">
        <v>170</v>
      </c>
      <c r="B173" s="10" t="inlineStr">
        <is>
          <t xml:space="preserve">                        current += "," + next_part; j += 2; continue</t>
        </is>
      </c>
    </row>
    <row r="174">
      <c r="A174" s="7" t="n">
        <v>171</v>
      </c>
      <c r="B174" s="8" t="inlineStr">
        <is>
          <t xml:space="preserve">                    else:</t>
        </is>
      </c>
    </row>
    <row r="175">
      <c r="A175" s="9" t="n">
        <v>172</v>
      </c>
      <c r="B175" s="10" t="inlineStr">
        <is>
          <t xml:space="preserve">                        result.append(current); current = ""; j += 1; continue</t>
        </is>
      </c>
    </row>
    <row r="176">
      <c r="A176" s="7" t="n">
        <v>173</v>
      </c>
      <c r="B176" s="8" t="inlineStr">
        <is>
          <t xml:space="preserve">                elif p not in ',,,':</t>
        </is>
      </c>
    </row>
    <row r="177">
      <c r="A177" s="9" t="n">
        <v>174</v>
      </c>
      <c r="B177" s="10" t="inlineStr">
        <is>
          <t xml:space="preserve">                    if len(current) + len(p) + 1 &lt;= MAX_CHARS:</t>
        </is>
      </c>
    </row>
    <row r="178">
      <c r="A178" s="7" t="n">
        <v>175</v>
      </c>
      <c r="B178" s="8" t="inlineStr">
        <is>
          <t xml:space="preserve">                        current = (current + "," + p) if current else p</t>
        </is>
      </c>
    </row>
    <row r="179">
      <c r="A179" s="9" t="n">
        <v>176</v>
      </c>
      <c r="B179" s="10" t="inlineStr">
        <is>
          <t xml:space="preserve">                    else:</t>
        </is>
      </c>
    </row>
    <row r="180">
      <c r="A180" s="7" t="n">
        <v>177</v>
      </c>
      <c r="B180" s="8" t="inlineStr">
        <is>
          <t xml:space="preserve">                        if current: result.append(current)</t>
        </is>
      </c>
    </row>
    <row r="181">
      <c r="A181" s="9" t="n">
        <v>178</v>
      </c>
      <c r="B181" s="10" t="inlineStr">
        <is>
          <t xml:space="preserve">                        current = p</t>
        </is>
      </c>
    </row>
    <row r="182">
      <c r="A182" s="7" t="n">
        <v>179</v>
      </c>
      <c r="B182" s="8" t="inlineStr">
        <is>
          <t xml:space="preserve">                j += 1</t>
        </is>
      </c>
    </row>
    <row r="183">
      <c r="A183" s="9" t="n">
        <v>180</v>
      </c>
      <c r="B183" s="10" t="inlineStr">
        <is>
          <t xml:space="preserve">            if current: result.append(current)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 xml:space="preserve">    seen = set()</t>
        </is>
      </c>
    </row>
    <row r="186">
      <c r="A186" s="7" t="n">
        <v>183</v>
      </c>
      <c r="B186" s="8" t="inlineStr">
        <is>
          <t xml:space="preserve">    final = []</t>
        </is>
      </c>
    </row>
    <row r="187">
      <c r="A187" s="9" t="n">
        <v>184</v>
      </c>
      <c r="B187" s="10" t="inlineStr">
        <is>
          <t xml:space="preserve">    for s in result:</t>
        </is>
      </c>
    </row>
    <row r="188">
      <c r="A188" s="7" t="n">
        <v>185</v>
      </c>
      <c r="B188" s="8" t="inlineStr">
        <is>
          <t xml:space="preserve">        s = s.strip().rstrip(',,,')</t>
        </is>
      </c>
    </row>
    <row r="189">
      <c r="A189" s="9" t="n">
        <v>186</v>
      </c>
      <c r="B189" s="10" t="inlineStr">
        <is>
          <t xml:space="preserve">        if len(s) &gt;= 2 and s not in seen:</t>
        </is>
      </c>
    </row>
    <row r="190">
      <c r="A190" s="7" t="n">
        <v>187</v>
      </c>
      <c r="B190" s="8" t="inlineStr">
        <is>
          <t xml:space="preserve">            seen.add(s); final.append(s)</t>
        </is>
      </c>
    </row>
    <row r="191">
      <c r="A191" s="9" t="n">
        <v>188</v>
      </c>
      <c r="B191" s="10" t="inlineStr">
        <is>
          <t xml:space="preserve">    if not final: return ["坤宝岛台"]</t>
        </is>
      </c>
    </row>
    <row r="192">
      <c r="A192" s="7" t="n">
        <v>189</v>
      </c>
      <c r="B192" s="8" t="inlineStr"/>
    </row>
    <row r="193">
      <c r="A193" s="9" t="n">
        <v>190</v>
      </c>
      <c r="B193" s="10" t="inlineStr">
        <is>
          <t xml:space="preserve">    final = [strip_leading_junk(s) for s in final]</t>
        </is>
      </c>
    </row>
    <row r="194">
      <c r="A194" s="7" t="n">
        <v>191</v>
      </c>
      <c r="B194" s="8" t="inlineStr">
        <is>
          <t xml:space="preserve">    final = [s.strip() for s in final if s.strip()]</t>
        </is>
      </c>
    </row>
    <row r="195">
      <c r="A195" s="9" t="n">
        <v>192</v>
      </c>
      <c r="B195" s="10" t="inlineStr">
        <is>
          <t xml:space="preserve">    final = filter_non_speech_fragments(final)</t>
        </is>
      </c>
    </row>
    <row r="196">
      <c r="A196" s="7" t="n">
        <v>193</v>
      </c>
      <c r="B196" s="8" t="inlineStr">
        <is>
          <t xml:space="preserve">    return final if final else ["坤宝岛台"]</t>
        </is>
      </c>
    </row>
    <row r="197">
      <c r="A197" s="9" t="n">
        <v>194</v>
      </c>
      <c r="B197" s="10" t="inlineStr"/>
    </row>
    <row r="198">
      <c r="A198" s="7" t="n">
        <v>195</v>
      </c>
      <c r="B198" s="8" t="inlineStr"/>
    </row>
    <row r="199">
      <c r="A199" s="9" t="n">
        <v>196</v>
      </c>
      <c r="B199" s="10" t="inlineStr">
        <is>
          <t>def estimate_tts_duration(text: str) -&gt; float:</t>
        </is>
      </c>
    </row>
    <row r="200">
      <c r="A200" s="7" t="n">
        <v>197</v>
      </c>
      <c r="B200" s="8" t="inlineStr">
        <is>
          <t xml:space="preserve">    """估算文本的TTS朗读时长"""</t>
        </is>
      </c>
    </row>
    <row r="201">
      <c r="A201" s="9" t="n">
        <v>198</v>
      </c>
      <c r="B201" s="10" t="inlineStr">
        <is>
          <t xml:space="preserve">    clean = re.sub(r'[^一-鿿\w]', '', text)</t>
        </is>
      </c>
    </row>
    <row r="202">
      <c r="A202" s="7" t="n">
        <v>199</v>
      </c>
      <c r="B202" s="8" t="inlineStr">
        <is>
          <t xml:space="preserve">    return max(1.0, len(clean) / TTS_CHARS_PER_SEC)</t>
        </is>
      </c>
    </row>
    <row r="203">
      <c r="A203" s="9" t="n">
        <v>200</v>
      </c>
      <c r="B203" s="10" t="inlineStr"/>
    </row>
    <row r="204">
      <c r="A204" s="7" t="n">
        <v>201</v>
      </c>
      <c r="B204" s="8" t="inlineStr"/>
    </row>
    <row r="205">
      <c r="A205" s="9" t="n">
        <v>202</v>
      </c>
      <c r="B20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06">
      <c r="A206" s="7" t="n">
        <v>203</v>
      </c>
      <c r="B206" s="8" t="inlineStr">
        <is>
          <t># Edge TTS 核心</t>
        </is>
      </c>
    </row>
    <row r="207">
      <c r="A207" s="9" t="n">
        <v>204</v>
      </c>
      <c r="B207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08">
      <c r="A208" s="7" t="n">
        <v>205</v>
      </c>
      <c r="B208" s="8" t="inlineStr"/>
    </row>
    <row r="209">
      <c r="A209" s="9" t="n">
        <v>206</v>
      </c>
      <c r="B209" s="10" t="inlineStr">
        <is>
          <t>def _generate_tts_core(text: str, voice: str, output_path: Path,</t>
        </is>
      </c>
    </row>
    <row r="210">
      <c r="A210" s="7" t="n">
        <v>207</v>
      </c>
      <c r="B210" s="8" t="inlineStr">
        <is>
          <t xml:space="preserve">                       rate_str: str = "+0%", pitch_str: str = "+0Hz") -&gt; bool:</t>
        </is>
      </c>
    </row>
    <row r="211">
      <c r="A211" s="9" t="n">
        <v>208</v>
      </c>
      <c r="B211" s="10" t="inlineStr">
        <is>
          <t xml:space="preserve">    """核心配音生成（Edge TTS调用）— v2 修复事件循环冲突"""</t>
        </is>
      </c>
    </row>
    <row r="212">
      <c r="A212" s="7" t="n">
        <v>209</v>
      </c>
      <c r="B212" s="8" t="inlineStr">
        <is>
          <t xml:space="preserve">    try:</t>
        </is>
      </c>
    </row>
    <row r="213">
      <c r="A213" s="9" t="n">
        <v>210</v>
      </c>
      <c r="B213" s="10" t="inlineStr">
        <is>
          <t xml:space="preserve">        import edge_tts</t>
        </is>
      </c>
    </row>
    <row r="214">
      <c r="A214" s="7" t="n">
        <v>211</v>
      </c>
      <c r="B214" s="8" t="inlineStr">
        <is>
          <t xml:space="preserve">        async def _gen():</t>
        </is>
      </c>
    </row>
    <row r="215">
      <c r="A215" s="9" t="n">
        <v>212</v>
      </c>
      <c r="B215" s="10" t="inlineStr">
        <is>
          <t xml:space="preserve">            communicate = edge_tts.Communicate(text, voice, rate=rate_str, pitch=pitch_str)</t>
        </is>
      </c>
    </row>
    <row r="216">
      <c r="A216" s="7" t="n">
        <v>213</v>
      </c>
      <c r="B216" s="8" t="inlineStr">
        <is>
          <t xml:space="preserve">            await communicate.save(str(output_path))</t>
        </is>
      </c>
    </row>
    <row r="217">
      <c r="A217" s="9" t="n">
        <v>214</v>
      </c>
      <c r="B217" s="10" t="inlineStr">
        <is>
          <t xml:space="preserve">        try:</t>
        </is>
      </c>
    </row>
    <row r="218">
      <c r="A218" s="7" t="n">
        <v>215</v>
      </c>
      <c r="B218" s="8" t="inlineStr">
        <is>
          <t xml:space="preserve">            # 已有运行中的事件循环 → 在新线程中执行</t>
        </is>
      </c>
    </row>
    <row r="219">
      <c r="A219" s="9" t="n">
        <v>216</v>
      </c>
      <c r="B219" s="10" t="inlineStr">
        <is>
          <t xml:space="preserve">            asyncio.get_running_loop()</t>
        </is>
      </c>
    </row>
    <row r="220">
      <c r="A220" s="7" t="n">
        <v>217</v>
      </c>
      <c r="B220" s="8" t="inlineStr">
        <is>
          <t xml:space="preserve">            with concurrent.futures.ThreadPoolExecutor() as executor:</t>
        </is>
      </c>
    </row>
    <row r="221">
      <c r="A221" s="9" t="n">
        <v>218</v>
      </c>
      <c r="B221" s="10" t="inlineStr">
        <is>
          <t xml:space="preserve">                future = executor.submit(asyncio.run, _gen())</t>
        </is>
      </c>
    </row>
    <row r="222">
      <c r="A222" s="7" t="n">
        <v>219</v>
      </c>
      <c r="B222" s="8" t="inlineStr">
        <is>
          <t xml:space="preserve">                future.result(timeout=120)</t>
        </is>
      </c>
    </row>
    <row r="223">
      <c r="A223" s="9" t="n">
        <v>220</v>
      </c>
      <c r="B223" s="10" t="inlineStr">
        <is>
          <t xml:space="preserve">        except RuntimeError:</t>
        </is>
      </c>
    </row>
    <row r="224">
      <c r="A224" s="7" t="n">
        <v>221</v>
      </c>
      <c r="B224" s="8" t="inlineStr">
        <is>
          <t xml:space="preserve">            # 无运行中的事件循环 → 直接运行</t>
        </is>
      </c>
    </row>
    <row r="225">
      <c r="A225" s="9" t="n">
        <v>222</v>
      </c>
      <c r="B225" s="10" t="inlineStr">
        <is>
          <t xml:space="preserve">            asyncio.run(_gen())</t>
        </is>
      </c>
    </row>
    <row r="226">
      <c r="A226" s="7" t="n">
        <v>223</v>
      </c>
      <c r="B226" s="8" t="inlineStr">
        <is>
          <t xml:space="preserve">        return output_path.exists() and output_path.stat().st_size &gt; 100</t>
        </is>
      </c>
    </row>
    <row r="227">
      <c r="A227" s="9" t="n">
        <v>224</v>
      </c>
      <c r="B227" s="10" t="inlineStr">
        <is>
          <t xml:space="preserve">    except Exception:</t>
        </is>
      </c>
    </row>
    <row r="228">
      <c r="A228" s="7" t="n">
        <v>225</v>
      </c>
      <c r="B228" s="8" t="inlineStr">
        <is>
          <t xml:space="preserve">        return False</t>
        </is>
      </c>
    </row>
    <row r="229">
      <c r="A229" s="9" t="n">
        <v>226</v>
      </c>
      <c r="B229" s="10" t="inlineStr"/>
    </row>
    <row r="230">
      <c r="A230" s="7" t="n">
        <v>227</v>
      </c>
      <c r="B230" s="8" t="inlineStr"/>
    </row>
    <row r="231">
      <c r="A231" s="9" t="n">
        <v>228</v>
      </c>
      <c r="B231" s="10" t="inlineStr">
        <is>
          <t>def generate_tts_voiceover(copy_text: str, keyword: str,</t>
        </is>
      </c>
    </row>
    <row r="232">
      <c r="A232" s="7" t="n">
        <v>229</v>
      </c>
      <c r="B232" s="8" t="inlineStr">
        <is>
          <t xml:space="preserve">                           voice: str = None) -&gt; Optional[Path]:</t>
        </is>
      </c>
    </row>
    <row r="233">
      <c r="A233" s="9" t="n">
        <v>230</v>
      </c>
      <c r="B233" s="10" t="inlineStr">
        <is>
          <t xml:space="preserve">    """使用 Edge TTS 生成 AI 配音"""</t>
        </is>
      </c>
    </row>
    <row r="234">
      <c r="A234" s="7" t="n">
        <v>231</v>
      </c>
      <c r="B234" s="8" t="inlineStr">
        <is>
          <t xml:space="preserve">    if voice is None:</t>
        </is>
      </c>
    </row>
    <row r="235">
      <c r="A235" s="9" t="n">
        <v>232</v>
      </c>
      <c r="B235" s="10" t="inlineStr">
        <is>
          <t xml:space="preserve">        voice = TTS_VOICE</t>
        </is>
      </c>
    </row>
    <row r="236">
      <c r="A236" s="7" t="n">
        <v>233</v>
      </c>
      <c r="B236" s="8" t="inlineStr"/>
    </row>
    <row r="237">
      <c r="A237" s="9" t="n">
        <v>234</v>
      </c>
      <c r="B237" s="10" t="inlineStr">
        <is>
          <t xml:space="preserve">    output_dir = Path(TTS_OUTPUT_DIR)</t>
        </is>
      </c>
    </row>
    <row r="238">
      <c r="A238" s="7" t="n">
        <v>235</v>
      </c>
      <c r="B238" s="8" t="inlineStr">
        <is>
          <t xml:space="preserve">    output_dir.mkdir(parents=True, exist_ok=True)</t>
        </is>
      </c>
    </row>
    <row r="239">
      <c r="A239" s="9" t="n">
        <v>236</v>
      </c>
      <c r="B239" s="10" t="inlineStr"/>
    </row>
    <row r="240">
      <c r="A240" s="7" t="n">
        <v>237</v>
      </c>
      <c r="B240" s="8" t="inlineStr">
        <is>
          <t xml:space="preserve">    clean_text = clean_text_for_tts(copy_text)</t>
        </is>
      </c>
    </row>
    <row r="241">
      <c r="A241" s="9" t="n">
        <v>238</v>
      </c>
      <c r="B241" s="10" t="inlineStr">
        <is>
          <t xml:space="preserve">    valid, reason = validate_tts_content(copy_text, clean_text)</t>
        </is>
      </c>
    </row>
    <row r="242">
      <c r="A242" s="7" t="n">
        <v>239</v>
      </c>
      <c r="B242" s="8" t="inlineStr">
        <is>
          <t xml:space="preserve">    if not valid:</t>
        </is>
      </c>
    </row>
    <row r="243">
      <c r="A243" s="9" t="n">
        <v>240</v>
      </c>
      <c r="B243" s="10" t="inlineStr">
        <is>
          <t xml:space="preserve">        print(f"   !! 内容抽检未通过: {reason}")</t>
        </is>
      </c>
    </row>
    <row r="244">
      <c r="A244" s="7" t="n">
        <v>241</v>
      </c>
      <c r="B244" s="8" t="inlineStr">
        <is>
          <t xml:space="preserve">        print(f"   🔄 使用原始文案重试(仅做基础清洗)...")</t>
        </is>
      </c>
    </row>
    <row r="245">
      <c r="A245" s="9" t="n">
        <v>242</v>
      </c>
      <c r="B245" s="10" t="inlineStr">
        <is>
          <t xml:space="preserve">        clean_text = re.sub(r'[\x00-\x08\x0b\x0c\x0e-\x1f\x7f-\x9f]', '', copy_text)</t>
        </is>
      </c>
    </row>
    <row r="246">
      <c r="A246" s="7" t="n">
        <v>243</v>
      </c>
      <c r="B246" s="8" t="inlineStr">
        <is>
          <t xml:space="preserve">        clean_text = re.sub(r'^[\s.,！？,\.!?,\-\—]+', '', clean_text).strip()</t>
        </is>
      </c>
    </row>
    <row r="247">
      <c r="A247" s="9" t="n">
        <v>244</v>
      </c>
      <c r="B247" s="10" t="inlineStr"/>
    </row>
    <row r="248">
      <c r="A248" s="7" t="n">
        <v>245</v>
      </c>
      <c r="B248" s="8" t="inlineStr">
        <is>
          <t xml:space="preserve">    timestamp = datetime.now().strftime("%Y%m%d_%H%M%S")</t>
        </is>
      </c>
    </row>
    <row r="249">
      <c r="A249" s="9" t="n">
        <v>246</v>
      </c>
      <c r="B249" s="10" t="inlineStr">
        <is>
          <t xml:space="preserve">    safe_kw = re.sub(r'[^\w一-鿿]', '_', keyword)[:10]</t>
        </is>
      </c>
    </row>
    <row r="250">
      <c r="A250" s="7" t="n">
        <v>247</v>
      </c>
      <c r="B250" s="8" t="inlineStr">
        <is>
          <t xml:space="preserve">    output_path = output_dir / f"配音_{safe_kw}_{timestamp}.mp3"</t>
        </is>
      </c>
    </row>
    <row r="251">
      <c r="A251" s="9" t="n">
        <v>248</v>
      </c>
      <c r="B251" s="10" t="inlineStr"/>
    </row>
    <row r="252">
      <c r="A252" s="7" t="n">
        <v>249</v>
      </c>
      <c r="B252" s="8" t="inlineStr">
        <is>
          <t xml:space="preserve">    rate_str = "+10%"</t>
        </is>
      </c>
    </row>
    <row r="253">
      <c r="A253" s="9" t="n">
        <v>250</v>
      </c>
      <c r="B253" s="10" t="inlineStr">
        <is>
          <t xml:space="preserve">    pitch_str = f"{DEFAULT_VOICE_PITCH:+d}Hz"</t>
        </is>
      </c>
    </row>
    <row r="254">
      <c r="A254" s="7" t="n">
        <v>251</v>
      </c>
      <c r="B254" s="8" t="inlineStr"/>
    </row>
    <row r="255">
      <c r="A255" s="9" t="n">
        <v>252</v>
      </c>
      <c r="B255" s="10" t="inlineStr">
        <is>
          <t xml:space="preserve">    voices_to_try = [voice]</t>
        </is>
      </c>
    </row>
    <row r="256">
      <c r="A256" s="7" t="n">
        <v>253</v>
      </c>
      <c r="B256" s="8" t="inlineStr">
        <is>
          <t xml:space="preserve">    if voice != TTS_VOICE_ALT:</t>
        </is>
      </c>
    </row>
    <row r="257">
      <c r="A257" s="9" t="n">
        <v>254</v>
      </c>
      <c r="B257" s="10" t="inlineStr">
        <is>
          <t xml:space="preserve">        voices_to_try.append(TTS_VOICE_ALT)</t>
        </is>
      </c>
    </row>
    <row r="258">
      <c r="A258" s="7" t="n">
        <v>255</v>
      </c>
      <c r="B258" s="8" t="inlineStr"/>
    </row>
    <row r="259">
      <c r="A259" s="9" t="n">
        <v>256</v>
      </c>
      <c r="B259" s="10" t="inlineStr">
        <is>
          <t xml:space="preserve">    for attempt in range(TTS_MAX_RETRIES + 1):</t>
        </is>
      </c>
    </row>
    <row r="260">
      <c r="A260" s="7" t="n">
        <v>257</v>
      </c>
      <c r="B260" s="8" t="inlineStr">
        <is>
          <t xml:space="preserve">        current_voice = voices_to_try[min(attempt, len(voices_to_try) - 1)]</t>
        </is>
      </c>
    </row>
    <row r="261">
      <c r="A261" s="9" t="n">
        <v>258</v>
      </c>
      <c r="B261" s="10" t="inlineStr">
        <is>
          <t xml:space="preserve">        if attempt &gt; 0:</t>
        </is>
      </c>
    </row>
    <row r="262">
      <c r="A262" s="7" t="n">
        <v>259</v>
      </c>
      <c r="B262" s="8" t="inlineStr">
        <is>
          <t xml:space="preserve">            print(f"   🔄 第{attempt+1}次重试 (音色: {current_voice})...")</t>
        </is>
      </c>
    </row>
    <row r="263">
      <c r="A263" s="9" t="n">
        <v>260</v>
      </c>
      <c r="B263" s="10" t="inlineStr">
        <is>
          <t xml:space="preserve">        if attempt == 0:</t>
        </is>
      </c>
    </row>
    <row r="264">
      <c r="A264" s="7" t="n">
        <v>261</v>
      </c>
      <c r="B264" s="8" t="inlineStr">
        <is>
          <t xml:space="preserve">            print(f"   🎙 正在生成 AI 配音 (Edge TTS, {current_voice}, rate={rate_str})...")</t>
        </is>
      </c>
    </row>
    <row r="265">
      <c r="A265" s="9" t="n">
        <v>262</v>
      </c>
      <c r="B265" s="10" t="inlineStr">
        <is>
          <t xml:space="preserve">            print(f"   📝 清洗后文案: {clean_text[:80]}...")</t>
        </is>
      </c>
    </row>
    <row r="266">
      <c r="A266" s="7" t="n">
        <v>263</v>
      </c>
      <c r="B266" s="8" t="inlineStr">
        <is>
          <t xml:space="preserve">        success = _generate_tts_core(clean_text, current_voice, output_path,</t>
        </is>
      </c>
    </row>
    <row r="267">
      <c r="A267" s="9" t="n">
        <v>264</v>
      </c>
      <c r="B267" s="10" t="inlineStr">
        <is>
          <t xml:space="preserve">                                     rate_str=rate_str, pitch_str=pitch_str)</t>
        </is>
      </c>
    </row>
    <row r="268">
      <c r="A268" s="7" t="n">
        <v>265</v>
      </c>
      <c r="B268" s="8" t="inlineStr">
        <is>
          <t xml:space="preserve">        if not success:</t>
        </is>
      </c>
    </row>
    <row r="269">
      <c r="A269" s="9" t="n">
        <v>266</v>
      </c>
      <c r="B269" s="10" t="inlineStr">
        <is>
          <t xml:space="preserve">            continue</t>
        </is>
      </c>
    </row>
    <row r="270">
      <c r="A270" s="7" t="n">
        <v>267</v>
      </c>
      <c r="B270" s="8" t="inlineStr">
        <is>
          <t xml:space="preserve">        is_clean, broken_words = verify_word_integrity(copy_text, clean_text)</t>
        </is>
      </c>
    </row>
    <row r="271">
      <c r="A271" s="9" t="n">
        <v>268</v>
      </c>
      <c r="B271" s="10" t="inlineStr">
        <is>
          <t xml:space="preserve">        if broken_words:</t>
        </is>
      </c>
    </row>
    <row r="272">
      <c r="A272" s="7" t="n">
        <v>269</v>
      </c>
      <c r="B272" s="8" t="inlineStr">
        <is>
          <t xml:space="preserve">            print(f"   !! 检测到 {len(broken_words)} 个保护词可能被破坏: {broken_words[:3]}...")</t>
        </is>
      </c>
    </row>
    <row r="273">
      <c r="A273" s="9" t="n">
        <v>270</v>
      </c>
      <c r="B273" s="10" t="inlineStr">
        <is>
          <t xml:space="preserve">        else:</t>
        </is>
      </c>
    </row>
    <row r="274">
      <c r="A274" s="7" t="n">
        <v>271</v>
      </c>
      <c r="B274" s="8" t="inlineStr">
        <is>
          <t xml:space="preserve">            print(f"   ✅ 断句校验通过(保护词完整)")</t>
        </is>
      </c>
    </row>
    <row r="275">
      <c r="A275" s="9" t="n">
        <v>272</v>
      </c>
      <c r="B275" s="10" t="inlineStr">
        <is>
          <t xml:space="preserve">        file_size_kb = output_path.stat().st_size / 1024</t>
        </is>
      </c>
    </row>
    <row r="276">
      <c r="A276" s="7" t="n">
        <v>273</v>
      </c>
      <c r="B276" s="8" t="inlineStr">
        <is>
          <t xml:space="preserve">        print(f"   ✅ AI 配音生成完成: {output_path.name} ({file_size_kb:.0f}KB)")</t>
        </is>
      </c>
    </row>
    <row r="277">
      <c r="A277" s="9" t="n">
        <v>274</v>
      </c>
      <c r="B277" s="10" t="inlineStr">
        <is>
          <t xml:space="preserve">        return output_path</t>
        </is>
      </c>
    </row>
    <row r="278">
      <c r="A278" s="7" t="n">
        <v>275</v>
      </c>
      <c r="B278" s="8" t="inlineStr"/>
    </row>
    <row r="279">
      <c r="A279" s="9" t="n">
        <v>276</v>
      </c>
      <c r="B279" s="10" t="inlineStr">
        <is>
          <t xml:space="preserve">    print(f"   ❌ 配音生成失败(已重试{TTS_MAX_RETRIES}次)")</t>
        </is>
      </c>
    </row>
    <row r="280">
      <c r="A280" s="7" t="n">
        <v>277</v>
      </c>
      <c r="B280" s="8" t="inlineStr">
        <is>
          <t xml:space="preserve">    return None</t>
        </is>
      </c>
    </row>
    <row r="281">
      <c r="A281" s="9" t="n">
        <v>278</v>
      </c>
      <c r="B281" s="10" t="inlineStr"/>
    </row>
    <row r="282">
      <c r="A282" s="7" t="n">
        <v>279</v>
      </c>
      <c r="B282" s="8" t="inlineStr"/>
    </row>
    <row r="283">
      <c r="A283" s="9" t="n">
        <v>280</v>
      </c>
      <c r="B283" s="10" t="inlineStr">
        <is>
          <t>def get_audio_duration_seconds(file_path: Path) -&gt; float:</t>
        </is>
      </c>
    </row>
    <row r="284">
      <c r="A284" s="7" t="n">
        <v>281</v>
      </c>
      <c r="B284" s="8" t="inlineStr">
        <is>
          <t xml:space="preserve">    """检测音频文件的实际时长"""</t>
        </is>
      </c>
    </row>
    <row r="285">
      <c r="A285" s="9" t="n">
        <v>282</v>
      </c>
      <c r="B285" s="10" t="inlineStr">
        <is>
          <t xml:space="preserve">    try:</t>
        </is>
      </c>
    </row>
    <row r="286">
      <c r="A286" s="7" t="n">
        <v>283</v>
      </c>
      <c r="B286" s="8" t="inlineStr">
        <is>
          <t xml:space="preserve">        from pyJianYingDraft.local_materials import AudioMaterial</t>
        </is>
      </c>
    </row>
    <row r="287">
      <c r="A287" s="9" t="n">
        <v>284</v>
      </c>
      <c r="B287" s="10" t="inlineStr">
        <is>
          <t xml:space="preserve">        return AudioMaterial(str(file_path.absolute())).duration / 1_000_000</t>
        </is>
      </c>
    </row>
    <row r="288">
      <c r="A288" s="7" t="n">
        <v>285</v>
      </c>
      <c r="B288" s="8" t="inlineStr">
        <is>
          <t xml:space="preserve">    except Exception:</t>
        </is>
      </c>
    </row>
    <row r="289">
      <c r="A289" s="9" t="n">
        <v>286</v>
      </c>
      <c r="B289" s="10" t="inlineStr">
        <is>
          <t xml:space="preserve">        return 0</t>
        </is>
      </c>
    </row>
    <row r="290">
      <c r="A290" s="7" t="n">
        <v>287</v>
      </c>
      <c r="B290" s="8" t="inlineStr"/>
    </row>
    <row r="291">
      <c r="A291" s="9" t="n">
        <v>288</v>
      </c>
      <c r="B291" s="10" t="inlineStr"/>
    </row>
    <row r="292">
      <c r="A292" s="7" t="n">
        <v>289</v>
      </c>
      <c r="B292" s="8" t="inlineStr">
        <is>
          <t># ═══════════════ ★ v12.2: SRT字幕导出 ═══════════════</t>
        </is>
      </c>
    </row>
    <row r="293">
      <c r="A293" s="9" t="n">
        <v>290</v>
      </c>
      <c r="B293" s="10" t="inlineStr">
        <is>
          <t>def subtitle_to_srt(subtitles: list, output_path: str) -&gt; str:</t>
        </is>
      </c>
    </row>
    <row r="294">
      <c r="A294" s="7" t="n">
        <v>291</v>
      </c>
      <c r="B294" s="8" t="inlineStr">
        <is>
          <t xml:space="preserve">    """</t>
        </is>
      </c>
    </row>
    <row r="295">
      <c r="A295" s="9" t="n">
        <v>292</v>
      </c>
      <c r="B295" s="10" t="inlineStr">
        <is>
          <t xml:space="preserve">    将字幕列表导出为标准SRT字幕文件。</t>
        </is>
      </c>
    </row>
    <row r="296">
      <c r="A296" s="7" t="n">
        <v>293</v>
      </c>
      <c r="B296" s="8" t="inlineStr">
        <is>
          <t xml:space="preserve">    subtitles: [{"start": 0.0, "end": 2.5, "text": "文案"}, ...]</t>
        </is>
      </c>
    </row>
    <row r="297">
      <c r="A297" s="9" t="n">
        <v>294</v>
      </c>
      <c r="B297" s="10" t="inlineStr">
        <is>
          <t xml:space="preserve">    """</t>
        </is>
      </c>
    </row>
    <row r="298">
      <c r="A298" s="7" t="n">
        <v>295</v>
      </c>
      <c r="B298" s="8" t="inlineStr">
        <is>
          <t xml:space="preserve">    from utils.helpers import format_srt_time</t>
        </is>
      </c>
    </row>
    <row r="299">
      <c r="A299" s="9" t="n">
        <v>296</v>
      </c>
      <c r="B299" s="10" t="inlineStr"/>
    </row>
    <row r="300">
      <c r="A300" s="7" t="n">
        <v>297</v>
      </c>
      <c r="B300" s="8" t="inlineStr">
        <is>
          <t xml:space="preserve">    lines = []</t>
        </is>
      </c>
    </row>
    <row r="301">
      <c r="A301" s="9" t="n">
        <v>298</v>
      </c>
      <c r="B301" s="10" t="inlineStr">
        <is>
          <t xml:space="preserve">    for idx, sub in enumerate(subtitles, 1):</t>
        </is>
      </c>
    </row>
    <row r="302">
      <c r="A302" s="7" t="n">
        <v>299</v>
      </c>
      <c r="B302" s="8" t="inlineStr">
        <is>
          <t xml:space="preserve">        start = format_srt_time(sub.get("start", 0))</t>
        </is>
      </c>
    </row>
    <row r="303">
      <c r="A303" s="9" t="n">
        <v>300</v>
      </c>
      <c r="B303" s="10" t="inlineStr">
        <is>
          <t xml:space="preserve">        end = format_srt_time(sub.get("end", 0))</t>
        </is>
      </c>
    </row>
    <row r="304">
      <c r="A304" s="7" t="n">
        <v>301</v>
      </c>
      <c r="B304" s="8" t="inlineStr">
        <is>
          <t xml:space="preserve">        text = sub.get("text", "")</t>
        </is>
      </c>
    </row>
    <row r="305">
      <c r="A305" s="9" t="n">
        <v>302</v>
      </c>
      <c r="B305" s="10" t="inlineStr">
        <is>
          <t xml:space="preserve">        lines.append(f"{idx}\n{start} --&gt; {end}\n{text}\n")</t>
        </is>
      </c>
    </row>
    <row r="306">
      <c r="A306" s="7" t="n">
        <v>303</v>
      </c>
      <c r="B306" s="8" t="inlineStr"/>
    </row>
    <row r="307">
      <c r="A307" s="9" t="n">
        <v>304</v>
      </c>
      <c r="B307" s="10" t="inlineStr">
        <is>
          <t xml:space="preserve">    path = Path(output_path)</t>
        </is>
      </c>
    </row>
    <row r="308">
      <c r="A308" s="7" t="n">
        <v>305</v>
      </c>
      <c r="B308" s="8" t="inlineStr">
        <is>
          <t xml:space="preserve">    path.parent.mkdir(parents=True, exist_ok=True)</t>
        </is>
      </c>
    </row>
    <row r="309">
      <c r="A309" s="9" t="n">
        <v>306</v>
      </c>
      <c r="B309" s="10" t="inlineStr">
        <is>
          <t xml:space="preserve">    path.write_text("\n".join(lines), encoding="utf-8")</t>
        </is>
      </c>
    </row>
    <row r="310">
      <c r="A310" s="7" t="n">
        <v>307</v>
      </c>
      <c r="B310" s="8" t="inlineStr">
        <is>
          <t xml:space="preserve">    return str(path.absolute())</t>
        </is>
      </c>
    </row>
    <row r="311">
      <c r="A311" s="9" t="n">
        <v>308</v>
      </c>
      <c r="B311" s="10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core\usage_recorder.py</t>
        </is>
      </c>
      <c r="C1" s="5" t="inlineStr">
        <is>
          <t>行数: 207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使用记录自动收集系统</t>
        </is>
      </c>
    </row>
    <row r="6">
      <c r="A6" s="7" t="n">
        <v>3</v>
      </c>
      <c r="B6" s="8" t="inlineStr">
        <is>
          <t>全局操作记录: 标签标注/脚本修改/视频生成/模型打分/错误日志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os, json, time, sqlite3, threading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from datetime import datetime</t>
        </is>
      </c>
    </row>
    <row r="11">
      <c r="A11" s="9" t="n">
        <v>8</v>
      </c>
      <c r="B11" s="10" t="inlineStr">
        <is>
          <t>from typing import Optional, Dict, List</t>
        </is>
      </c>
    </row>
    <row r="12">
      <c r="A12" s="7" t="n">
        <v>9</v>
      </c>
      <c r="B12" s="8" t="inlineStr">
        <is>
          <t>from collections import defaultdict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DATA_DIR = Path("AI素材库/使用记录")</t>
        </is>
      </c>
    </row>
    <row r="15">
      <c r="A15" s="9" t="n">
        <v>12</v>
      </c>
      <c r="B15" s="10" t="inlineStr">
        <is>
          <t>DATA_DIR.mkdir(parents=True, exist_ok=True)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class UsageRecorder:</t>
        </is>
      </c>
    </row>
    <row r="18">
      <c r="A18" s="7" t="n">
        <v>15</v>
      </c>
      <c r="B18" s="8" t="inlineStr">
        <is>
          <t xml:space="preserve">    """全局操作记录收集器 — 线程安全"""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 xml:space="preserve">    _instance = None</t>
        </is>
      </c>
    </row>
    <row r="21">
      <c r="A21" s="9" t="n">
        <v>18</v>
      </c>
      <c r="B21" s="10" t="inlineStr">
        <is>
          <t xml:space="preserve">    _lock = threading.Lock()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>
        <is>
          <t xml:space="preserve">    def __new__(cls):</t>
        </is>
      </c>
    </row>
    <row r="24">
      <c r="A24" s="7" t="n">
        <v>21</v>
      </c>
      <c r="B24" s="8" t="inlineStr">
        <is>
          <t xml:space="preserve">        if cls._instance is None:</t>
        </is>
      </c>
    </row>
    <row r="25">
      <c r="A25" s="9" t="n">
        <v>22</v>
      </c>
      <c r="B25" s="10" t="inlineStr">
        <is>
          <t xml:space="preserve">            with cls._lock:</t>
        </is>
      </c>
    </row>
    <row r="26">
      <c r="A26" s="7" t="n">
        <v>23</v>
      </c>
      <c r="B26" s="8" t="inlineStr">
        <is>
          <t xml:space="preserve">                if cls._instance is None:</t>
        </is>
      </c>
    </row>
    <row r="27">
      <c r="A27" s="9" t="n">
        <v>24</v>
      </c>
      <c r="B27" s="10" t="inlineStr">
        <is>
          <t xml:space="preserve">                    cls._instance = super().__new__(cls)</t>
        </is>
      </c>
    </row>
    <row r="28">
      <c r="A28" s="7" t="n">
        <v>25</v>
      </c>
      <c r="B28" s="8" t="inlineStr">
        <is>
          <t xml:space="preserve">                    cls._instance._init()</t>
        </is>
      </c>
    </row>
    <row r="29">
      <c r="A29" s="9" t="n">
        <v>26</v>
      </c>
      <c r="B29" s="10" t="inlineStr">
        <is>
          <t xml:space="preserve">        return cls._instance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 xml:space="preserve">    def _init(self):</t>
        </is>
      </c>
    </row>
    <row r="32">
      <c r="A32" s="7" t="n">
        <v>29</v>
      </c>
      <c r="B32" s="8" t="inlineStr">
        <is>
          <t xml:space="preserve">        self._enabled = True  # 总开关</t>
        </is>
      </c>
    </row>
    <row r="33">
      <c r="A33" s="9" t="n">
        <v>30</v>
      </c>
      <c r="B33" s="10" t="inlineStr">
        <is>
          <t xml:space="preserve">        self._collect_types = {  # 分类开关</t>
        </is>
      </c>
    </row>
    <row r="34">
      <c r="A34" s="7" t="n">
        <v>31</v>
      </c>
      <c r="B34" s="8" t="inlineStr">
        <is>
          <t xml:space="preserve">            "annotation": True,   # 标签标注记录</t>
        </is>
      </c>
    </row>
    <row r="35">
      <c r="A35" s="9" t="n">
        <v>32</v>
      </c>
      <c r="B35" s="10" t="inlineStr">
        <is>
          <t xml:space="preserve">            "script": True,       # 脚本修改记录</t>
        </is>
      </c>
    </row>
    <row r="36">
      <c r="A36" s="7" t="n">
        <v>33</v>
      </c>
      <c r="B36" s="8" t="inlineStr">
        <is>
          <t xml:space="preserve">            "generation": True,   # 视频生成记录</t>
        </is>
      </c>
    </row>
    <row r="37">
      <c r="A37" s="9" t="n">
        <v>34</v>
      </c>
      <c r="B37" s="10" t="inlineStr">
        <is>
          <t xml:space="preserve">            "scoring": True,      # 模型打分记录</t>
        </is>
      </c>
    </row>
    <row r="38">
      <c r="A38" s="7" t="n">
        <v>35</v>
      </c>
      <c r="B38" s="8" t="inlineStr">
        <is>
          <t xml:space="preserve">            "error": True,        # 错误日志</t>
        </is>
      </c>
    </row>
    <row r="39">
      <c r="A39" s="9" t="n">
        <v>36</v>
      </c>
      <c r="B39" s="10" t="inlineStr">
        <is>
          <t xml:space="preserve">        }</t>
        </is>
      </c>
    </row>
    <row r="40">
      <c r="A40" s="7" t="n">
        <v>37</v>
      </c>
      <c r="B40" s="8" t="inlineStr">
        <is>
          <t xml:space="preserve">        self._auto_learn = True</t>
        </is>
      </c>
    </row>
    <row r="41">
      <c r="A41" s="9" t="n">
        <v>38</v>
      </c>
      <c r="B41" s="10" t="inlineStr">
        <is>
          <t xml:space="preserve">        self._learn_time = "02:00"  # 默认凌晨2点</t>
        </is>
      </c>
    </row>
    <row r="42">
      <c r="A42" s="7" t="n">
        <v>39</v>
      </c>
      <c r="B42" s="8" t="inlineStr">
        <is>
          <t xml:space="preserve">        self._records: List[Dict] = []</t>
        </is>
      </c>
    </row>
    <row r="43">
      <c r="A43" s="9" t="n">
        <v>40</v>
      </c>
      <c r="B43" s="10" t="inlineStr">
        <is>
          <t xml:space="preserve">        self._db_path = str(DATA_DIR / "usage_log.db")</t>
        </is>
      </c>
    </row>
    <row r="44">
      <c r="A44" s="7" t="n">
        <v>41</v>
      </c>
      <c r="B44" s="8" t="inlineStr">
        <is>
          <t xml:space="preserve">        self._init_db()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>
        <is>
          <t xml:space="preserve">    def _init_db(self):</t>
        </is>
      </c>
    </row>
    <row r="47">
      <c r="A47" s="9" t="n">
        <v>44</v>
      </c>
      <c r="B47" s="10" t="inlineStr">
        <is>
          <t xml:space="preserve">        with sqlite3.connect(self._db_path) as conn:</t>
        </is>
      </c>
    </row>
    <row r="48">
      <c r="A48" s="7" t="n">
        <v>45</v>
      </c>
      <c r="B48" s="8" t="inlineStr">
        <is>
          <t xml:space="preserve">            conn.execute("""CREATE TABLE IF NOT EXISTS usage_records (</t>
        </is>
      </c>
    </row>
    <row r="49">
      <c r="A49" s="9" t="n">
        <v>46</v>
      </c>
      <c r="B49" s="10" t="inlineStr">
        <is>
          <t xml:space="preserve">                id INTEGER PRIMARY KEY AUTOINCREMENT,</t>
        </is>
      </c>
    </row>
    <row r="50">
      <c r="A50" s="7" t="n">
        <v>47</v>
      </c>
      <c r="B50" s="8" t="inlineStr">
        <is>
          <t xml:space="preserve">                type TEXT, action TEXT, detail TEXT, metadata TEXT,</t>
        </is>
      </c>
    </row>
    <row r="51">
      <c r="A51" s="9" t="n">
        <v>48</v>
      </c>
      <c r="B51" s="10" t="inlineStr">
        <is>
          <t xml:space="preserve">                created_at TEXT DEFAULT CURRENT_TIMESTAMP</t>
        </is>
      </c>
    </row>
    <row r="52">
      <c r="A52" s="7" t="n">
        <v>49</v>
      </c>
      <c r="B52" s="8" t="inlineStr">
        <is>
          <t xml:space="preserve">            )""")</t>
        </is>
      </c>
    </row>
    <row r="53">
      <c r="A53" s="9" t="n">
        <v>50</v>
      </c>
      <c r="B53" s="10" t="inlineStr">
        <is>
          <t xml:space="preserve">            conn.execute("""CREATE TABLE IF NOT EXISTS learning_rules (</t>
        </is>
      </c>
    </row>
    <row r="54">
      <c r="A54" s="7" t="n">
        <v>51</v>
      </c>
      <c r="B54" s="8" t="inlineStr">
        <is>
          <t xml:space="preserve">                id INTEGER PRIMARY KEY AUTOINCREMENT,</t>
        </is>
      </c>
    </row>
    <row r="55">
      <c r="A55" s="9" t="n">
        <v>52</v>
      </c>
      <c r="B55" s="10" t="inlineStr">
        <is>
          <t xml:space="preserve">                category TEXT, rule TEXT, source TEXT, confidence REAL,</t>
        </is>
      </c>
    </row>
    <row r="56">
      <c r="A56" s="7" t="n">
        <v>53</v>
      </c>
      <c r="B56" s="8" t="inlineStr">
        <is>
          <t xml:space="preserve">                applied INTEGER DEFAULT 0, created_at TEXT DEFAULT CURRENT_TIMESTAMP</t>
        </is>
      </c>
    </row>
    <row r="57">
      <c r="A57" s="9" t="n">
        <v>54</v>
      </c>
      <c r="B57" s="10" t="inlineStr">
        <is>
          <t xml:space="preserve">            )""")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>
        <is>
          <t xml:space="preserve">    @property</t>
        </is>
      </c>
    </row>
    <row r="60">
      <c r="A60" s="7" t="n">
        <v>57</v>
      </c>
      <c r="B60" s="8" t="inlineStr">
        <is>
          <t xml:space="preserve">    def enabled(self) -&gt; bool:</t>
        </is>
      </c>
    </row>
    <row r="61">
      <c r="A61" s="9" t="n">
        <v>58</v>
      </c>
      <c r="B61" s="10" t="inlineStr">
        <is>
          <t xml:space="preserve">        return self._enabled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 xml:space="preserve">    @enabled.setter</t>
        </is>
      </c>
    </row>
    <row r="64">
      <c r="A64" s="7" t="n">
        <v>61</v>
      </c>
      <c r="B64" s="8" t="inlineStr">
        <is>
          <t xml:space="preserve">    def enabled(self, val: bool):</t>
        </is>
      </c>
    </row>
    <row r="65">
      <c r="A65" s="9" t="n">
        <v>62</v>
      </c>
      <c r="B65" s="10" t="inlineStr">
        <is>
          <t xml:space="preserve">        self._enabled = val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def record(self, rec_type: str, action: str, detail: str = "", metadata: Dict = None):</t>
        </is>
      </c>
    </row>
    <row r="68">
      <c r="A68" s="7" t="n">
        <v>65</v>
      </c>
      <c r="B68" s="8" t="inlineStr">
        <is>
          <t xml:space="preserve">        """记录一条操作"""</t>
        </is>
      </c>
    </row>
    <row r="69">
      <c r="A69" s="9" t="n">
        <v>66</v>
      </c>
      <c r="B69" s="10" t="inlineStr">
        <is>
          <t xml:space="preserve">        if not self._enabled or not self._collect_types.get(rec_type, True):</t>
        </is>
      </c>
    </row>
    <row r="70">
      <c r="A70" s="7" t="n">
        <v>67</v>
      </c>
      <c r="B70" s="8" t="inlineStr">
        <is>
          <t xml:space="preserve">            return</t>
        </is>
      </c>
    </row>
    <row r="71">
      <c r="A71" s="9" t="n">
        <v>68</v>
      </c>
      <c r="B71" s="10" t="inlineStr">
        <is>
          <t xml:space="preserve">        entry = {</t>
        </is>
      </c>
    </row>
    <row r="72">
      <c r="A72" s="7" t="n">
        <v>69</v>
      </c>
      <c r="B72" s="8" t="inlineStr">
        <is>
          <t xml:space="preserve">            "type": rec_type, "action": action, "detail": detail[:500],</t>
        </is>
      </c>
    </row>
    <row r="73">
      <c r="A73" s="9" t="n">
        <v>70</v>
      </c>
      <c r="B73" s="10" t="inlineStr">
        <is>
          <t xml:space="preserve">            "metadata": json.dumps(metadata or {}, ensure_ascii=False),</t>
        </is>
      </c>
    </row>
    <row r="74">
      <c r="A74" s="7" t="n">
        <v>71</v>
      </c>
      <c r="B74" s="8" t="inlineStr">
        <is>
          <t xml:space="preserve">            "timestamp": datetime.now().isoformat(),</t>
        </is>
      </c>
    </row>
    <row r="75">
      <c r="A75" s="9" t="n">
        <v>72</v>
      </c>
      <c r="B75" s="10" t="inlineStr">
        <is>
          <t xml:space="preserve">        }</t>
        </is>
      </c>
    </row>
    <row r="76">
      <c r="A76" s="7" t="n">
        <v>73</v>
      </c>
      <c r="B76" s="8" t="inlineStr">
        <is>
          <t xml:space="preserve">        with self._lock:</t>
        </is>
      </c>
    </row>
    <row r="77">
      <c r="A77" s="9" t="n">
        <v>74</v>
      </c>
      <c r="B77" s="10" t="inlineStr">
        <is>
          <t xml:space="preserve">            self._records.append(entry)</t>
        </is>
      </c>
    </row>
    <row r="78">
      <c r="A78" s="7" t="n">
        <v>75</v>
      </c>
      <c r="B78" s="8" t="inlineStr">
        <is>
          <t xml:space="preserve">            if len(self._records) &gt; 1000:</t>
        </is>
      </c>
    </row>
    <row r="79">
      <c r="A79" s="9" t="n">
        <v>76</v>
      </c>
      <c r="B79" s="10" t="inlineStr">
        <is>
          <t xml:space="preserve">                self._records = self._records[-500:]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 xml:space="preserve">        # Synchronous write (fast enough for SQLite WAL mode; thread-safe)</t>
        </is>
      </c>
    </row>
    <row r="82">
      <c r="A82" s="7" t="n">
        <v>79</v>
      </c>
      <c r="B82" s="8" t="inlineStr">
        <is>
          <t xml:space="preserve">        try:</t>
        </is>
      </c>
    </row>
    <row r="83">
      <c r="A83" s="9" t="n">
        <v>80</v>
      </c>
      <c r="B83" s="10" t="inlineStr">
        <is>
          <t xml:space="preserve">            with sqlite3.connect(self._db_path) as conn:</t>
        </is>
      </c>
    </row>
    <row r="84">
      <c r="A84" s="7" t="n">
        <v>81</v>
      </c>
      <c r="B84" s="8" t="inlineStr">
        <is>
          <t xml:space="preserve">                conn.execute(</t>
        </is>
      </c>
    </row>
    <row r="85">
      <c r="A85" s="9" t="n">
        <v>82</v>
      </c>
      <c r="B85" s="10" t="inlineStr">
        <is>
          <t xml:space="preserve">                    "INSERT INTO usage_records (type, action, detail, metadata) VALUES (?,?,?,?)",</t>
        </is>
      </c>
    </row>
    <row r="86">
      <c r="A86" s="7" t="n">
        <v>83</v>
      </c>
      <c r="B86" s="8" t="inlineStr">
        <is>
          <t xml:space="preserve">                    (rec_type, action, detail[:500], json.dumps(metadata or {}, ensure_ascii=False))</t>
        </is>
      </c>
    </row>
    <row r="87">
      <c r="A87" s="9" t="n">
        <v>84</v>
      </c>
      <c r="B87" s="10" t="inlineStr">
        <is>
          <t xml:space="preserve">                )</t>
        </is>
      </c>
    </row>
    <row r="88">
      <c r="A88" s="7" t="n">
        <v>85</v>
      </c>
      <c r="B88" s="8" t="inlineStr">
        <is>
          <t xml:space="preserve">                conn.commit()</t>
        </is>
      </c>
    </row>
    <row r="89">
      <c r="A89" s="9" t="n">
        <v>86</v>
      </c>
      <c r="B89" s="10" t="inlineStr">
        <is>
          <t xml:space="preserve">        except Exception: pass  # non-critical fallback — DB write failure should not block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 xml:space="preserve">    def record_annotation(self, video_name: str, frame_count: int, edited_count: int):</t>
        </is>
      </c>
    </row>
    <row r="92">
      <c r="A92" s="7" t="n">
        <v>89</v>
      </c>
      <c r="B92" s="8" t="inlineStr">
        <is>
          <t xml:space="preserve">        self.record("annotation", "标注完成", f"{video_name}: {edited_count}/{frame_count}帧修正",</t>
        </is>
      </c>
    </row>
    <row r="93">
      <c r="A93" s="9" t="n">
        <v>90</v>
      </c>
      <c r="B93" s="10" t="inlineStr">
        <is>
          <t xml:space="preserve">                   {"video": video_name, "frames": frame_count, "edited": edited_count})</t>
        </is>
      </c>
    </row>
    <row r="94">
      <c r="A94" s="7" t="n">
        <v>91</v>
      </c>
      <c r="B94" s="8" t="inlineStr"/>
    </row>
    <row r="95">
      <c r="A95" s="9" t="n">
        <v>92</v>
      </c>
      <c r="B95" s="10" t="inlineStr">
        <is>
          <t xml:space="preserve">    def record_generation(self, keyword: str, copy_len: int, duration: float):</t>
        </is>
      </c>
    </row>
    <row r="96">
      <c r="A96" s="7" t="n">
        <v>93</v>
      </c>
      <c r="B96" s="8" t="inlineStr">
        <is>
          <t xml:space="preserve">        self.record("generation", "视频生成", f"关键词={keyword}, 文案{copy_len}字, {duration:.1f}s",</t>
        </is>
      </c>
    </row>
    <row r="97">
      <c r="A97" s="9" t="n">
        <v>94</v>
      </c>
      <c r="B97" s="10" t="inlineStr">
        <is>
          <t xml:space="preserve">                   {"keyword": keyword, "copy_len": copy_len, "duration": duration})</t>
        </is>
      </c>
    </row>
    <row r="98">
      <c r="A98" s="7" t="n">
        <v>95</v>
      </c>
      <c r="B98" s="8" t="inlineStr"/>
    </row>
    <row r="99">
      <c r="A99" s="9" t="n">
        <v>96</v>
      </c>
      <c r="B99" s="10" t="inlineStr">
        <is>
          <t xml:space="preserve">    def record_generation_with_details(self, keyword: str, script_id: int = None,</t>
        </is>
      </c>
    </row>
    <row r="100">
      <c r="A100" s="7" t="n">
        <v>97</v>
      </c>
      <c r="B100" s="8" t="inlineStr">
        <is>
          <t xml:space="preserve">                                       clip_paths: List[str] = None, copy_text: str = "",</t>
        </is>
      </c>
    </row>
    <row r="101">
      <c r="A101" s="9" t="n">
        <v>98</v>
      </c>
      <c r="B101" s="10" t="inlineStr">
        <is>
          <t xml:space="preserve">                                       duration: float = 0, tts_duration: float = 0):</t>
        </is>
      </c>
    </row>
    <row r="102">
      <c r="A102" s="7" t="n">
        <v>99</v>
      </c>
      <c r="B102" s="8" t="inlineStr">
        <is>
          <t xml:space="preserve">        """记录详细的生成信息到 usage_records 和 generation_log"""</t>
        </is>
      </c>
    </row>
    <row r="103">
      <c r="A103" s="9" t="n">
        <v>100</v>
      </c>
      <c r="B103" s="10" t="inlineStr">
        <is>
          <t xml:space="preserve">        metadata = {</t>
        </is>
      </c>
    </row>
    <row r="104">
      <c r="A104" s="7" t="n">
        <v>101</v>
      </c>
      <c r="B104" s="8" t="inlineStr">
        <is>
          <t xml:space="preserve">            "keyword": keyword, "script_id": script_id,</t>
        </is>
      </c>
    </row>
    <row r="105">
      <c r="A105" s="9" t="n">
        <v>102</v>
      </c>
      <c r="B105" s="10" t="inlineStr">
        <is>
          <t xml:space="preserve">            "clip_count": len(clip_paths) if clip_paths else 0,</t>
        </is>
      </c>
    </row>
    <row r="106">
      <c r="A106" s="7" t="n">
        <v>103</v>
      </c>
      <c r="B106" s="8" t="inlineStr">
        <is>
          <t xml:space="preserve">            "total_duration": duration, "tts_duration": tts_duration,</t>
        </is>
      </c>
    </row>
    <row r="107">
      <c r="A107" s="9" t="n">
        <v>104</v>
      </c>
      <c r="B107" s="10" t="inlineStr">
        <is>
          <t xml:space="preserve">        }</t>
        </is>
      </c>
    </row>
    <row r="108">
      <c r="A108" s="7" t="n">
        <v>105</v>
      </c>
      <c r="B108" s="8" t="inlineStr">
        <is>
          <t xml:space="preserve">        self.record("generation", "视频生成详细",</t>
        </is>
      </c>
    </row>
    <row r="109">
      <c r="A109" s="9" t="n">
        <v>106</v>
      </c>
      <c r="B109" s="10" t="inlineStr">
        <is>
          <t xml:space="preserve">                    f"关键词={keyword}, 脚本#{script_id}, 素材数={len(clip_paths) if clip_paths else 0}",</t>
        </is>
      </c>
    </row>
    <row r="110">
      <c r="A110" s="7" t="n">
        <v>107</v>
      </c>
      <c r="B110" s="8" t="inlineStr">
        <is>
          <t xml:space="preserve">                    metadata=metadata)</t>
        </is>
      </c>
    </row>
    <row r="111">
      <c r="A111" s="9" t="n">
        <v>108</v>
      </c>
      <c r="B111" s="10" t="inlineStr">
        <is>
          <t xml:space="preserve">        try:</t>
        </is>
      </c>
    </row>
    <row r="112">
      <c r="A112" s="7" t="n">
        <v>109</v>
      </c>
      <c r="B112" s="8" t="inlineStr">
        <is>
          <t xml:space="preserve">            from core.database import db</t>
        </is>
      </c>
    </row>
    <row r="113">
      <c r="A113" s="9" t="n">
        <v>110</v>
      </c>
      <c r="B113" s="10" t="inlineStr">
        <is>
          <t xml:space="preserve">            with db.get_connection() as conn:</t>
        </is>
      </c>
    </row>
    <row r="114">
      <c r="A114" s="7" t="n">
        <v>111</v>
      </c>
      <c r="B114" s="8" t="inlineStr">
        <is>
          <t xml:space="preserve">                conn.execute("""</t>
        </is>
      </c>
    </row>
    <row r="115">
      <c r="A115" s="9" t="n">
        <v>112</v>
      </c>
      <c r="B115" s="10" t="inlineStr">
        <is>
          <t xml:space="preserve">                    INSERT INTO generation_log (script_id, keyword, draft_dir, copy_text, score, created_at)</t>
        </is>
      </c>
    </row>
    <row r="116">
      <c r="A116" s="7" t="n">
        <v>113</v>
      </c>
      <c r="B116" s="8" t="inlineStr">
        <is>
          <t xml:space="preserve">                    VALUES (?, ?, ?, ?, ?, CURRENT_TIMESTAMP)</t>
        </is>
      </c>
    </row>
    <row r="117">
      <c r="A117" s="9" t="n">
        <v>114</v>
      </c>
      <c r="B117" s="10" t="inlineStr">
        <is>
          <t xml:space="preserve">                """, (script_id, keyword, "", (copy_text or "")[:200], 3))</t>
        </is>
      </c>
    </row>
    <row r="118">
      <c r="A118" s="7" t="n">
        <v>115</v>
      </c>
      <c r="B118" s="8" t="inlineStr">
        <is>
          <t xml:space="preserve">        except Exception:</t>
        </is>
      </c>
    </row>
    <row r="119">
      <c r="A119" s="9" t="n">
        <v>116</v>
      </c>
      <c r="B119" s="10" t="inlineStr">
        <is>
          <t xml:space="preserve">            pass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>
        <is>
          <t xml:space="preserve">    def record_scoring(self, model_name: str, avg_score: float, frame_count: int):</t>
        </is>
      </c>
    </row>
    <row r="122">
      <c r="A122" s="7" t="n">
        <v>119</v>
      </c>
      <c r="B122" s="8" t="inlineStr">
        <is>
          <t xml:space="preserve">        self.record("scoring", "模型打分", f"{model_name}: {avg_score}/5 ({frame_count}帧)",</t>
        </is>
      </c>
    </row>
    <row r="123">
      <c r="A123" s="9" t="n">
        <v>120</v>
      </c>
      <c r="B123" s="10" t="inlineStr">
        <is>
          <t xml:space="preserve">                   {"model": model_name, "avg_score": avg_score, "frames": frame_count})</t>
        </is>
      </c>
    </row>
    <row r="124">
      <c r="A124" s="7" t="n">
        <v>121</v>
      </c>
      <c r="B124" s="8" t="inlineStr"/>
    </row>
    <row r="125">
      <c r="A125" s="9" t="n">
        <v>122</v>
      </c>
      <c r="B125" s="10" t="inlineStr">
        <is>
          <t xml:space="preserve">    def record_error(self, module: str, error_msg: str):</t>
        </is>
      </c>
    </row>
    <row r="126">
      <c r="A126" s="7" t="n">
        <v>123</v>
      </c>
      <c r="B126" s="8" t="inlineStr">
        <is>
          <t xml:space="preserve">        self.record("error", "错误", f"[{module}] {error_msg[:200]}",</t>
        </is>
      </c>
    </row>
    <row r="127">
      <c r="A127" s="9" t="n">
        <v>124</v>
      </c>
      <c r="B127" s="10" t="inlineStr">
        <is>
          <t xml:space="preserve">                   {"module": module, "error": error_msg[:300]})</t>
        </is>
      </c>
    </row>
    <row r="128">
      <c r="A128" s="7" t="n">
        <v>125</v>
      </c>
      <c r="B128" s="8" t="inlineStr"/>
    </row>
    <row r="129">
      <c r="A129" s="9" t="n">
        <v>126</v>
      </c>
      <c r="B129" s="10" t="inlineStr">
        <is>
          <t xml:space="preserve">    def get_stats(self) -&gt; Dict:</t>
        </is>
      </c>
    </row>
    <row r="130">
      <c r="A130" s="7" t="n">
        <v>127</v>
      </c>
      <c r="B130" s="8" t="inlineStr">
        <is>
          <t xml:space="preserve">        """获取统计信息"""</t>
        </is>
      </c>
    </row>
    <row r="131">
      <c r="A131" s="9" t="n">
        <v>128</v>
      </c>
      <c r="B131" s="10" t="inlineStr">
        <is>
          <t xml:space="preserve">        try:</t>
        </is>
      </c>
    </row>
    <row r="132">
      <c r="A132" s="7" t="n">
        <v>129</v>
      </c>
      <c r="B132" s="8" t="inlineStr">
        <is>
          <t xml:space="preserve">            with sqlite3.connect(self._db_path) as conn:</t>
        </is>
      </c>
    </row>
    <row r="133">
      <c r="A133" s="9" t="n">
        <v>130</v>
      </c>
      <c r="B133" s="10" t="inlineStr">
        <is>
          <t xml:space="preserve">                total = conn.execute("SELECT COUNT(*) FROM usage_records").fetchone()[0]</t>
        </is>
      </c>
    </row>
    <row r="134">
      <c r="A134" s="7" t="n">
        <v>131</v>
      </c>
      <c r="B134" s="8" t="inlineStr">
        <is>
          <t xml:space="preserve">                types = {}</t>
        </is>
      </c>
    </row>
    <row r="135">
      <c r="A135" s="9" t="n">
        <v>132</v>
      </c>
      <c r="B135" s="10" t="inlineStr">
        <is>
          <t xml:space="preserve">                for t in ["annotation","script","generation","scoring","error"]:</t>
        </is>
      </c>
    </row>
    <row r="136">
      <c r="A136" s="7" t="n">
        <v>133</v>
      </c>
      <c r="B136" s="8" t="inlineStr">
        <is>
          <t xml:space="preserve">                    cnt = conn.execute("SELECT COUNT(*) FROM usage_records WHERE type=?", (t,)).fetchone()[0]</t>
        </is>
      </c>
    </row>
    <row r="137">
      <c r="A137" s="9" t="n">
        <v>134</v>
      </c>
      <c r="B137" s="10" t="inlineStr">
        <is>
          <t xml:space="preserve">                    types[t] = cnt</t>
        </is>
      </c>
    </row>
    <row r="138">
      <c r="A138" s="7" t="n">
        <v>135</v>
      </c>
      <c r="B138" s="8" t="inlineStr">
        <is>
          <t xml:space="preserve">                rules = conn.execute("SELECT COUNT(*) FROM learning_rules").fetchone()[0]</t>
        </is>
      </c>
    </row>
    <row r="139">
      <c r="A139" s="9" t="n">
        <v>136</v>
      </c>
      <c r="B139" s="10" t="inlineStr">
        <is>
          <t xml:space="preserve">                # 数据大小</t>
        </is>
      </c>
    </row>
    <row r="140">
      <c r="A140" s="7" t="n">
        <v>137</v>
      </c>
      <c r="B140" s="8" t="inlineStr">
        <is>
          <t xml:space="preserve">                db_size = Path(self._db_path).stat().st_size if Path(self._db_path).exists() else 0</t>
        </is>
      </c>
    </row>
    <row r="141">
      <c r="A141" s="9" t="n">
        <v>138</v>
      </c>
      <c r="B141" s="10" t="inlineStr">
        <is>
          <t xml:space="preserve">                return {"total": total, "by_type": types, "learning_rules": rules, "size_kb": round(db_size/1024, 1)}</t>
        </is>
      </c>
    </row>
    <row r="142">
      <c r="A142" s="7" t="n">
        <v>139</v>
      </c>
      <c r="B142" s="8" t="inlineStr">
        <is>
          <t xml:space="preserve">        except Exception:</t>
        </is>
      </c>
    </row>
    <row r="143">
      <c r="A143" s="9" t="n">
        <v>140</v>
      </c>
      <c r="B143" s="10" t="inlineStr">
        <is>
          <t xml:space="preserve">            return {"total": 0, "by_type": {}, "learning_rules": 0, "size_kb": 0}</t>
        </is>
      </c>
    </row>
    <row r="144">
      <c r="A144" s="7" t="n">
        <v>141</v>
      </c>
      <c r="B144" s="8" t="inlineStr"/>
    </row>
    <row r="145">
      <c r="A145" s="9" t="n">
        <v>142</v>
      </c>
      <c r="B145" s="10" t="inlineStr">
        <is>
          <t xml:space="preserve">    def export_csv(self, output_path: str = None) -&gt; str:</t>
        </is>
      </c>
    </row>
    <row r="146">
      <c r="A146" s="7" t="n">
        <v>143</v>
      </c>
      <c r="B146" s="8" t="inlineStr">
        <is>
          <t xml:space="preserve">        """导出记录为CSV"""</t>
        </is>
      </c>
    </row>
    <row r="147">
      <c r="A147" s="9" t="n">
        <v>144</v>
      </c>
      <c r="B147" s="10" t="inlineStr">
        <is>
          <t xml:space="preserve">        if output_path is None:</t>
        </is>
      </c>
    </row>
    <row r="148">
      <c r="A148" s="7" t="n">
        <v>145</v>
      </c>
      <c r="B148" s="8" t="inlineStr">
        <is>
          <t xml:space="preserve">            output_path = str(DATA_DIR / f"export_{datetime.now().strftime('%Y%m%d_%H%M%S')}.csv")</t>
        </is>
      </c>
    </row>
    <row r="149">
      <c r="A149" s="9" t="n">
        <v>146</v>
      </c>
      <c r="B149" s="10" t="inlineStr">
        <is>
          <t xml:space="preserve">        try:</t>
        </is>
      </c>
    </row>
    <row r="150">
      <c r="A150" s="7" t="n">
        <v>147</v>
      </c>
      <c r="B150" s="8" t="inlineStr">
        <is>
          <t xml:space="preserve">            with sqlite3.connect(self._db_path) as conn:</t>
        </is>
      </c>
    </row>
    <row r="151">
      <c r="A151" s="9" t="n">
        <v>148</v>
      </c>
      <c r="B151" s="10" t="inlineStr">
        <is>
          <t xml:space="preserve">                rows = conn.execute("SELECT type, action, detail, created_at FROM usage_records ORDER BY id").fetchall()</t>
        </is>
      </c>
    </row>
    <row r="152">
      <c r="A152" s="7" t="n">
        <v>149</v>
      </c>
      <c r="B152" s="8" t="inlineStr">
        <is>
          <t xml:space="preserve">            with open(output_path, "w", encoding="utf-8-sig") as f:</t>
        </is>
      </c>
    </row>
    <row r="153">
      <c r="A153" s="9" t="n">
        <v>150</v>
      </c>
      <c r="B153" s="10" t="inlineStr">
        <is>
          <t xml:space="preserve">                f.write("类型,操作,详情,时间\n")</t>
        </is>
      </c>
    </row>
    <row r="154">
      <c r="A154" s="7" t="n">
        <v>151</v>
      </c>
      <c r="B154" s="8" t="inlineStr">
        <is>
          <t xml:space="preserve">                for r in rows:</t>
        </is>
      </c>
    </row>
    <row r="155">
      <c r="A155" s="9" t="n">
        <v>152</v>
      </c>
      <c r="B155" s="10" t="inlineStr">
        <is>
          <t xml:space="preserve">                    f.write(f'"{r[0]}","{r[1]}","{r[2]}","{r[3]}"\n')</t>
        </is>
      </c>
    </row>
    <row r="156">
      <c r="A156" s="7" t="n">
        <v>153</v>
      </c>
      <c r="B156" s="8" t="inlineStr">
        <is>
          <t xml:space="preserve">            return output_path</t>
        </is>
      </c>
    </row>
    <row r="157">
      <c r="A157" s="9" t="n">
        <v>154</v>
      </c>
      <c r="B157" s="10" t="inlineStr">
        <is>
          <t xml:space="preserve">        except Exception as e:</t>
        </is>
      </c>
    </row>
    <row r="158">
      <c r="A158" s="7" t="n">
        <v>155</v>
      </c>
      <c r="B158" s="8" t="inlineStr">
        <is>
          <t xml:space="preserve">            return f"导出失败: {e}"</t>
        </is>
      </c>
    </row>
    <row r="159">
      <c r="A159" s="9" t="n">
        <v>156</v>
      </c>
      <c r="B159" s="10" t="inlineStr"/>
    </row>
    <row r="160">
      <c r="A160" s="7" t="n">
        <v>157</v>
      </c>
      <c r="B160" s="8" t="inlineStr">
        <is>
          <t xml:space="preserve">    def clear_records(self):</t>
        </is>
      </c>
    </row>
    <row r="161">
      <c r="A161" s="9" t="n">
        <v>158</v>
      </c>
      <c r="B161" s="10" t="inlineStr">
        <is>
          <t xml:space="preserve">        """清空所有记录"""</t>
        </is>
      </c>
    </row>
    <row r="162">
      <c r="A162" s="7" t="n">
        <v>159</v>
      </c>
      <c r="B162" s="8" t="inlineStr">
        <is>
          <t xml:space="preserve">        with self._lock:</t>
        </is>
      </c>
    </row>
    <row r="163">
      <c r="A163" s="9" t="n">
        <v>160</v>
      </c>
      <c r="B163" s="10" t="inlineStr">
        <is>
          <t xml:space="preserve">            self._records = []</t>
        </is>
      </c>
    </row>
    <row r="164">
      <c r="A164" s="7" t="n">
        <v>161</v>
      </c>
      <c r="B164" s="8" t="inlineStr">
        <is>
          <t xml:space="preserve">        try:</t>
        </is>
      </c>
    </row>
    <row r="165">
      <c r="A165" s="9" t="n">
        <v>162</v>
      </c>
      <c r="B165" s="10" t="inlineStr">
        <is>
          <t xml:space="preserve">            with sqlite3.connect(self._db_path) as conn:</t>
        </is>
      </c>
    </row>
    <row r="166">
      <c r="A166" s="7" t="n">
        <v>163</v>
      </c>
      <c r="B166" s="8" t="inlineStr">
        <is>
          <t xml:space="preserve">                conn.execute("DELETE FROM usage_records")</t>
        </is>
      </c>
    </row>
    <row r="167">
      <c r="A167" s="9" t="n">
        <v>164</v>
      </c>
      <c r="B167" s="10" t="inlineStr">
        <is>
          <t xml:space="preserve">                conn.commit()</t>
        </is>
      </c>
    </row>
    <row r="168">
      <c r="A168" s="7" t="n">
        <v>165</v>
      </c>
      <c r="B168" s="8" t="inlineStr">
        <is>
          <t xml:space="preserve">        except Exception: pass  # non-critical fallback  # non-critical fallback</t>
        </is>
      </c>
    </row>
    <row r="169">
      <c r="A169" s="9" t="n">
        <v>166</v>
      </c>
      <c r="B169" s="10" t="inlineStr"/>
    </row>
    <row r="170">
      <c r="A170" s="7" t="n">
        <v>167</v>
      </c>
      <c r="B170" s="8" t="inlineStr">
        <is>
          <t xml:space="preserve">    def get_recent(self, limit: int = 50) -&gt; List[Dict]:</t>
        </is>
      </c>
    </row>
    <row r="171">
      <c r="A171" s="9" t="n">
        <v>168</v>
      </c>
      <c r="B171" s="10" t="inlineStr">
        <is>
          <t xml:space="preserve">        """获取最近记录"""</t>
        </is>
      </c>
    </row>
    <row r="172">
      <c r="A172" s="7" t="n">
        <v>169</v>
      </c>
      <c r="B172" s="8" t="inlineStr">
        <is>
          <t xml:space="preserve">        try:</t>
        </is>
      </c>
    </row>
    <row r="173">
      <c r="A173" s="9" t="n">
        <v>170</v>
      </c>
      <c r="B173" s="10" t="inlineStr">
        <is>
          <t xml:space="preserve">            with sqlite3.connect(self._db_path) as conn:</t>
        </is>
      </c>
    </row>
    <row r="174">
      <c r="A174" s="7" t="n">
        <v>171</v>
      </c>
      <c r="B174" s="8" t="inlineStr">
        <is>
          <t xml:space="preserve">                rows = conn.execute(</t>
        </is>
      </c>
    </row>
    <row r="175">
      <c r="A175" s="9" t="n">
        <v>172</v>
      </c>
      <c r="B175" s="10" t="inlineStr">
        <is>
          <t xml:space="preserve">                    "SELECT type, action, detail, created_at FROM usage_records ORDER BY id DESC LIMIT ?", (limit,)</t>
        </is>
      </c>
    </row>
    <row r="176">
      <c r="A176" s="7" t="n">
        <v>173</v>
      </c>
      <c r="B176" s="8" t="inlineStr">
        <is>
          <t xml:space="preserve">                ).fetchall()</t>
        </is>
      </c>
    </row>
    <row r="177">
      <c r="A177" s="9" t="n">
        <v>174</v>
      </c>
      <c r="B177" s="10" t="inlineStr">
        <is>
          <t xml:space="preserve">            return [{"type": r[0], "action": r[1], "detail": r[2], "time": r[3]} for r in rows]</t>
        </is>
      </c>
    </row>
    <row r="178">
      <c r="A178" s="7" t="n">
        <v>175</v>
      </c>
      <c r="B178" s="8" t="inlineStr">
        <is>
          <t xml:space="preserve">        except Exception:</t>
        </is>
      </c>
    </row>
    <row r="179">
      <c r="A179" s="9" t="n">
        <v>176</v>
      </c>
      <c r="B179" s="10" t="inlineStr">
        <is>
          <t xml:space="preserve">            return []</t>
        </is>
      </c>
    </row>
    <row r="180">
      <c r="A180" s="7" t="n">
        <v>177</v>
      </c>
      <c r="B180" s="8" t="inlineStr"/>
    </row>
    <row r="181">
      <c r="A181" s="9" t="n">
        <v>178</v>
      </c>
      <c r="B181" s="10" t="inlineStr">
        <is>
          <t xml:space="preserve">    def add_learning_rule(self, category: str, rule: str, source: str = "DeepSeek", confidence: float = 0.5):</t>
        </is>
      </c>
    </row>
    <row r="182">
      <c r="A182" s="7" t="n">
        <v>179</v>
      </c>
      <c r="B182" s="8" t="inlineStr">
        <is>
          <t xml:space="preserve">        """添加学习规则"""</t>
        </is>
      </c>
    </row>
    <row r="183">
      <c r="A183" s="9" t="n">
        <v>180</v>
      </c>
      <c r="B183" s="10" t="inlineStr">
        <is>
          <t xml:space="preserve">        try:</t>
        </is>
      </c>
    </row>
    <row r="184">
      <c r="A184" s="7" t="n">
        <v>181</v>
      </c>
      <c r="B184" s="8" t="inlineStr">
        <is>
          <t xml:space="preserve">            with sqlite3.connect(self._db_path) as conn:</t>
        </is>
      </c>
    </row>
    <row r="185">
      <c r="A185" s="9" t="n">
        <v>182</v>
      </c>
      <c r="B185" s="10" t="inlineStr">
        <is>
          <t xml:space="preserve">                conn.execute(</t>
        </is>
      </c>
    </row>
    <row r="186">
      <c r="A186" s="7" t="n">
        <v>183</v>
      </c>
      <c r="B186" s="8" t="inlineStr">
        <is>
          <t xml:space="preserve">                    "INSERT INTO learning_rules (category, rule, source, confidence) VALUES (?,?,?,?)",</t>
        </is>
      </c>
    </row>
    <row r="187">
      <c r="A187" s="9" t="n">
        <v>184</v>
      </c>
      <c r="B187" s="10" t="inlineStr">
        <is>
          <t xml:space="preserve">                    (category, rule, source, confidence)</t>
        </is>
      </c>
    </row>
    <row r="188">
      <c r="A188" s="7" t="n">
        <v>185</v>
      </c>
      <c r="B188" s="8" t="inlineStr">
        <is>
          <t xml:space="preserve">                )</t>
        </is>
      </c>
    </row>
    <row r="189">
      <c r="A189" s="9" t="n">
        <v>186</v>
      </c>
      <c r="B189" s="10" t="inlineStr">
        <is>
          <t xml:space="preserve">        except Exception: pass  # non-critical fallback  # non-critical fallback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 xml:space="preserve">    def get_learning_rules(self) -&gt; List[Dict]:</t>
        </is>
      </c>
    </row>
    <row r="192">
      <c r="A192" s="7" t="n">
        <v>189</v>
      </c>
      <c r="B192" s="8" t="inlineStr">
        <is>
          <t xml:space="preserve">        """获取学习规则"""</t>
        </is>
      </c>
    </row>
    <row r="193">
      <c r="A193" s="9" t="n">
        <v>190</v>
      </c>
      <c r="B193" s="10" t="inlineStr">
        <is>
          <t xml:space="preserve">        try:</t>
        </is>
      </c>
    </row>
    <row r="194">
      <c r="A194" s="7" t="n">
        <v>191</v>
      </c>
      <c r="B194" s="8" t="inlineStr">
        <is>
          <t xml:space="preserve">            with sqlite3.connect(self._db_path) as conn:</t>
        </is>
      </c>
    </row>
    <row r="195">
      <c r="A195" s="9" t="n">
        <v>192</v>
      </c>
      <c r="B195" s="10" t="inlineStr">
        <is>
          <t xml:space="preserve">                rows = conn.execute(</t>
        </is>
      </c>
    </row>
    <row r="196">
      <c r="A196" s="7" t="n">
        <v>193</v>
      </c>
      <c r="B196" s="8" t="inlineStr">
        <is>
          <t xml:space="preserve">                    "SELECT category, rule, source, confidence, applied FROM learning_rules ORDER BY confidence DESC"</t>
        </is>
      </c>
    </row>
    <row r="197">
      <c r="A197" s="9" t="n">
        <v>194</v>
      </c>
      <c r="B197" s="10" t="inlineStr">
        <is>
          <t xml:space="preserve">                ).fetchall()</t>
        </is>
      </c>
    </row>
    <row r="198">
      <c r="A198" s="7" t="n">
        <v>195</v>
      </c>
      <c r="B198" s="8" t="inlineStr">
        <is>
          <t xml:space="preserve">            return [{"category": r[0], "rule": r[1], "source": r[2], "confidence": r[3], "applied": r[4]} for r in rows]</t>
        </is>
      </c>
    </row>
    <row r="199">
      <c r="A199" s="9" t="n">
        <v>196</v>
      </c>
      <c r="B199" s="10" t="inlineStr">
        <is>
          <t xml:space="preserve">        except Exception:</t>
        </is>
      </c>
    </row>
    <row r="200">
      <c r="A200" s="7" t="n">
        <v>197</v>
      </c>
      <c r="B200" s="8" t="inlineStr">
        <is>
          <t xml:space="preserve">            return []</t>
        </is>
      </c>
    </row>
    <row r="201">
      <c r="A201" s="9" t="n">
        <v>198</v>
      </c>
      <c r="B201" s="10" t="inlineStr"/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># 全局单例</t>
        </is>
      </c>
    </row>
    <row r="204">
      <c r="A204" s="7" t="n">
        <v>201</v>
      </c>
      <c r="B204" s="8" t="inlineStr">
        <is>
          <t>_recorder: Optional[UsageRecorder] = None</t>
        </is>
      </c>
    </row>
    <row r="205">
      <c r="A205" s="9" t="n">
        <v>202</v>
      </c>
      <c r="B205" s="10" t="inlineStr"/>
    </row>
    <row r="206">
      <c r="A206" s="7" t="n">
        <v>203</v>
      </c>
      <c r="B206" s="8" t="inlineStr">
        <is>
          <t>def get_recorder() -&gt; UsageRecorder:</t>
        </is>
      </c>
    </row>
    <row r="207">
      <c r="A207" s="9" t="n">
        <v>204</v>
      </c>
      <c r="B207" s="10" t="inlineStr">
        <is>
          <t xml:space="preserve">    global _recorder</t>
        </is>
      </c>
    </row>
    <row r="208">
      <c r="A208" s="7" t="n">
        <v>205</v>
      </c>
      <c r="B208" s="8" t="inlineStr">
        <is>
          <t xml:space="preserve">    if _recorder is None:</t>
        </is>
      </c>
    </row>
    <row r="209">
      <c r="A209" s="9" t="n">
        <v>206</v>
      </c>
      <c r="B209" s="10" t="inlineStr">
        <is>
          <t xml:space="preserve">        _recorder = UsageRecorder()</t>
        </is>
      </c>
    </row>
    <row r="210">
      <c r="A210" s="7" t="n">
        <v>207</v>
      </c>
      <c r="B210" s="8" t="inlineStr">
        <is>
          <t xml:space="preserve">    return _recorder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core\video_scanner.py</t>
        </is>
      </c>
      <c r="C1" s="5" t="inlineStr">
        <is>
          <t>行数: 251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TreeCut v11.2 — 全盘视频扫描器</t>
        </is>
      </c>
    </row>
    <row r="6">
      <c r="A6" s="7" t="n">
        <v>3</v>
      </c>
      <c r="B6" s="8">
        <f>===================================</f>
        <v/>
      </c>
    </row>
    <row r="7">
      <c r="A7" s="9" t="n">
        <v>4</v>
      </c>
      <c r="B7" s="10" t="inlineStr">
        <is>
          <t>递归扫描所有磁盘或指定目录，定位全部视频文件。</t>
        </is>
      </c>
    </row>
    <row r="8">
      <c r="A8" s="7" t="n">
        <v>5</v>
      </c>
      <c r="B8" s="8" t="inlineStr">
        <is>
          <t>支持断点续扫（记录最后扫描位置）、权限错误容错。</t>
        </is>
      </c>
    </row>
    <row r="9">
      <c r="A9" s="9" t="n">
        <v>6</v>
      </c>
      <c r="B9" s="10" t="inlineStr">
        <is>
          <t>"""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import os</t>
        </is>
      </c>
    </row>
    <row r="12">
      <c r="A12" s="7" t="n">
        <v>9</v>
      </c>
      <c r="B12" s="8" t="inlineStr">
        <is>
          <t>import json</t>
        </is>
      </c>
    </row>
    <row r="13">
      <c r="A13" s="9" t="n">
        <v>10</v>
      </c>
      <c r="B13" s="10" t="inlineStr">
        <is>
          <t>import time</t>
        </is>
      </c>
    </row>
    <row r="14">
      <c r="A14" s="7" t="n">
        <v>11</v>
      </c>
      <c r="B14" s="8" t="inlineStr">
        <is>
          <t>from pathlib import Path</t>
        </is>
      </c>
    </row>
    <row r="15">
      <c r="A15" s="9" t="n">
        <v>12</v>
      </c>
      <c r="B15" s="10" t="inlineStr">
        <is>
          <t>from typing import List, Optional, Iterator, Callable</t>
        </is>
      </c>
    </row>
    <row r="16">
      <c r="A16" s="7" t="n">
        <v>13</v>
      </c>
      <c r="B16" s="8" t="inlineStr">
        <is>
          <t>from datetime import datetime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_PROJ_ROOT = Path(__file__).parent.parent</t>
        </is>
      </c>
    </row>
    <row r="19">
      <c r="A19" s="9" t="n">
        <v>16</v>
      </c>
      <c r="B19" s="10" t="inlineStr">
        <is>
          <t>_CHECKPOINT_FILE = _PROJ_ROOT / "scan_checkpoint.json"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# 默认跳过目录（Windows系统目录）</t>
        </is>
      </c>
    </row>
    <row r="22">
      <c r="A22" s="7" t="n">
        <v>19</v>
      </c>
      <c r="B22" s="8" t="inlineStr">
        <is>
          <t>DEFAULT_EXCLUDE_DIRS = [</t>
        </is>
      </c>
    </row>
    <row r="23">
      <c r="A23" s="9" t="n">
        <v>20</v>
      </c>
      <c r="B23" s="10" t="inlineStr">
        <is>
          <t xml:space="preserve">    "Windows", "Program Files", "Program Files (x86)", "ProgramData",</t>
        </is>
      </c>
    </row>
    <row r="24">
      <c r="A24" s="7" t="n">
        <v>21</v>
      </c>
      <c r="B24" s="8" t="inlineStr">
        <is>
          <t xml:space="preserve">    "AppData", "System Volume Information", "$Recycle.Bin",</t>
        </is>
      </c>
    </row>
    <row r="25">
      <c r="A25" s="9" t="n">
        <v>22</v>
      </c>
      <c r="B25" s="10" t="inlineStr">
        <is>
          <t xml:space="preserve">    "$RECYCLE.BIN", "Recovery", "System32", "WinSxS",</t>
        </is>
      </c>
    </row>
    <row r="26">
      <c r="A26" s="7" t="n">
        <v>23</v>
      </c>
      <c r="B26" s="8" t="inlineStr">
        <is>
          <t xml:space="preserve">    "Python", "node_modules", ".git", "__pycache__",</t>
        </is>
      </c>
    </row>
    <row r="27">
      <c r="A27" s="9" t="n">
        <v>24</v>
      </c>
      <c r="B27" s="10" t="inlineStr">
        <is>
          <t xml:space="preserve">    ".cache", ".npm", ".cargo", ".rustup", ".local",</t>
        </is>
      </c>
    </row>
    <row r="28">
      <c r="A28" s="7" t="n">
        <v>25</v>
      </c>
      <c r="B28" s="8" t="inlineStr">
        <is>
          <t xml:space="preserve">    "Temp", "tmp", "cache", "Cache",</t>
        </is>
      </c>
    </row>
    <row r="29">
      <c r="A29" s="9" t="n">
        <v>26</v>
      </c>
      <c r="B29" s="10" t="inlineStr">
        <is>
          <t>]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># 支持的视频扩展名</t>
        </is>
      </c>
    </row>
    <row r="32">
      <c r="A32" s="7" t="n">
        <v>29</v>
      </c>
      <c r="B32" s="8" t="inlineStr">
        <is>
          <t>DEFAULT_VIDEO_EXTENSIONS = {".mp4", ".mov", ".avi", ".mkv", ".webm", ".flv", ".wmv", ".m4v", ".3gp"}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/>
    </row>
    <row r="35">
      <c r="A35" s="9" t="n">
        <v>32</v>
      </c>
      <c r="B35" s="10" t="inlineStr">
        <is>
          <t>def get_all_drives() -&gt; List[str]:</t>
        </is>
      </c>
    </row>
    <row r="36">
      <c r="A36" s="7" t="n">
        <v>33</v>
      </c>
      <c r="B36" s="8" t="inlineStr">
        <is>
          <t xml:space="preserve">    """获取Windows系统所有可用盘符"""</t>
        </is>
      </c>
    </row>
    <row r="37">
      <c r="A37" s="9" t="n">
        <v>34</v>
      </c>
      <c r="B37" s="10" t="inlineStr">
        <is>
          <t xml:space="preserve">    drives = []</t>
        </is>
      </c>
    </row>
    <row r="38">
      <c r="A38" s="7" t="n">
        <v>35</v>
      </c>
      <c r="B38" s="8" t="inlineStr">
        <is>
          <t xml:space="preserve">    try:</t>
        </is>
      </c>
    </row>
    <row r="39">
      <c r="A39" s="9" t="n">
        <v>36</v>
      </c>
      <c r="B39" s="10" t="inlineStr">
        <is>
          <t xml:space="preserve">        import string</t>
        </is>
      </c>
    </row>
    <row r="40">
      <c r="A40" s="7" t="n">
        <v>37</v>
      </c>
      <c r="B40" s="8" t="inlineStr">
        <is>
          <t xml:space="preserve">        from ctypes import windll</t>
        </is>
      </c>
    </row>
    <row r="41">
      <c r="A41" s="9" t="n">
        <v>38</v>
      </c>
      <c r="B41" s="10" t="inlineStr">
        <is>
          <t xml:space="preserve">        bitmask = windll.kernel32.GetLogicalDrives()</t>
        </is>
      </c>
    </row>
    <row r="42">
      <c r="A42" s="7" t="n">
        <v>39</v>
      </c>
      <c r="B42" s="8" t="inlineStr">
        <is>
          <t xml:space="preserve">        for letter in string.ascii_uppercase:</t>
        </is>
      </c>
    </row>
    <row r="43">
      <c r="A43" s="9" t="n">
        <v>40</v>
      </c>
      <c r="B43" s="10" t="inlineStr">
        <is>
          <t xml:space="preserve">            if bitmask &amp; 1:</t>
        </is>
      </c>
    </row>
    <row r="44">
      <c r="A44" s="7" t="n">
        <v>41</v>
      </c>
      <c r="B44" s="8" t="inlineStr">
        <is>
          <t xml:space="preserve">                drive = f"{letter}:\\"</t>
        </is>
      </c>
    </row>
    <row r="45">
      <c r="A45" s="9" t="n">
        <v>42</v>
      </c>
      <c r="B45" s="10" t="inlineStr">
        <is>
          <t xml:space="preserve">                # 检查磁盘是否就绪</t>
        </is>
      </c>
    </row>
    <row r="46">
      <c r="A46" s="7" t="n">
        <v>43</v>
      </c>
      <c r="B46" s="8" t="inlineStr">
        <is>
          <t xml:space="preserve">                try:</t>
        </is>
      </c>
    </row>
    <row r="47">
      <c r="A47" s="9" t="n">
        <v>44</v>
      </c>
      <c r="B47" s="10" t="inlineStr">
        <is>
          <t xml:space="preserve">                    if os.path.exists(drive):</t>
        </is>
      </c>
    </row>
    <row r="48">
      <c r="A48" s="7" t="n">
        <v>45</v>
      </c>
      <c r="B48" s="8" t="inlineStr">
        <is>
          <t xml:space="preserve">                        drives.append(drive)</t>
        </is>
      </c>
    </row>
    <row r="49">
      <c r="A49" s="9" t="n">
        <v>46</v>
      </c>
      <c r="B49" s="10" t="inlineStr">
        <is>
          <t xml:space="preserve">                except Exception:</t>
        </is>
      </c>
    </row>
    <row r="50">
      <c r="A50" s="7" t="n">
        <v>47</v>
      </c>
      <c r="B50" s="8" t="inlineStr">
        <is>
          <t xml:space="preserve">                    pass</t>
        </is>
      </c>
    </row>
    <row r="51">
      <c r="A51" s="9" t="n">
        <v>48</v>
      </c>
      <c r="B51" s="10" t="inlineStr">
        <is>
          <t xml:space="preserve">            bitmask &gt;&gt;= 1</t>
        </is>
      </c>
    </row>
    <row r="52">
      <c r="A52" s="7" t="n">
        <v>49</v>
      </c>
      <c r="B52" s="8" t="inlineStr">
        <is>
          <t xml:space="preserve">    except Exception:</t>
        </is>
      </c>
    </row>
    <row r="53">
      <c r="A53" s="9" t="n">
        <v>50</v>
      </c>
      <c r="B53" s="10" t="inlineStr">
        <is>
          <t xml:space="preserve">        # 回退：尝试 A-Z 盘符</t>
        </is>
      </c>
    </row>
    <row r="54">
      <c r="A54" s="7" t="n">
        <v>51</v>
      </c>
      <c r="B54" s="8" t="inlineStr">
        <is>
          <t xml:space="preserve">        import string</t>
        </is>
      </c>
    </row>
    <row r="55">
      <c r="A55" s="9" t="n">
        <v>52</v>
      </c>
      <c r="B55" s="10" t="inlineStr">
        <is>
          <t xml:space="preserve">        for letter in string.ascii_uppercase:</t>
        </is>
      </c>
    </row>
    <row r="56">
      <c r="A56" s="7" t="n">
        <v>53</v>
      </c>
      <c r="B56" s="8" t="inlineStr">
        <is>
          <t xml:space="preserve">            drive = f"{letter}:\\"</t>
        </is>
      </c>
    </row>
    <row r="57">
      <c r="A57" s="9" t="n">
        <v>54</v>
      </c>
      <c r="B57" s="10" t="inlineStr">
        <is>
          <t xml:space="preserve">            try:</t>
        </is>
      </c>
    </row>
    <row r="58">
      <c r="A58" s="7" t="n">
        <v>55</v>
      </c>
      <c r="B58" s="8" t="inlineStr">
        <is>
          <t xml:space="preserve">                if os.path.exists(drive):</t>
        </is>
      </c>
    </row>
    <row r="59">
      <c r="A59" s="9" t="n">
        <v>56</v>
      </c>
      <c r="B59" s="10" t="inlineStr">
        <is>
          <t xml:space="preserve">                    drives.append(drive)</t>
        </is>
      </c>
    </row>
    <row r="60">
      <c r="A60" s="7" t="n">
        <v>57</v>
      </c>
      <c r="B60" s="8" t="inlineStr">
        <is>
          <t xml:space="preserve">            except Exception:</t>
        </is>
      </c>
    </row>
    <row r="61">
      <c r="A61" s="9" t="n">
        <v>58</v>
      </c>
      <c r="B61" s="10" t="inlineStr">
        <is>
          <t xml:space="preserve">                pass</t>
        </is>
      </c>
    </row>
    <row r="62">
      <c r="A62" s="7" t="n">
        <v>59</v>
      </c>
      <c r="B62" s="8" t="inlineStr">
        <is>
          <t xml:space="preserve">    return drives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/>
    </row>
    <row r="65">
      <c r="A65" s="9" t="n">
        <v>62</v>
      </c>
      <c r="B65" s="10" t="inlineStr">
        <is>
          <t>def scan_directory_tree(</t>
        </is>
      </c>
    </row>
    <row r="66">
      <c r="A66" s="7" t="n">
        <v>63</v>
      </c>
      <c r="B66" s="8" t="inlineStr">
        <is>
          <t xml:space="preserve">    root_dir: str,</t>
        </is>
      </c>
    </row>
    <row r="67">
      <c r="A67" s="9" t="n">
        <v>64</v>
      </c>
      <c r="B67" s="10" t="inlineStr">
        <is>
          <t xml:space="preserve">    extensions: set = None,</t>
        </is>
      </c>
    </row>
    <row r="68">
      <c r="A68" s="7" t="n">
        <v>65</v>
      </c>
      <c r="B68" s="8" t="inlineStr">
        <is>
          <t xml:space="preserve">    exclude_dirs: list = None,</t>
        </is>
      </c>
    </row>
    <row r="69">
      <c r="A69" s="9" t="n">
        <v>66</v>
      </c>
      <c r="B69" s="10" t="inlineStr">
        <is>
          <t xml:space="preserve">    max_depth: int = 20,</t>
        </is>
      </c>
    </row>
    <row r="70">
      <c r="A70" s="7" t="n">
        <v>67</v>
      </c>
      <c r="B70" s="8" t="inlineStr">
        <is>
          <t xml:space="preserve">    progress_callback: Callable = None,</t>
        </is>
      </c>
    </row>
    <row r="71">
      <c r="A71" s="9" t="n">
        <v>68</v>
      </c>
      <c r="B71" s="10" t="inlineStr">
        <is>
          <t xml:space="preserve">    cancel_event = None,</t>
        </is>
      </c>
    </row>
    <row r="72">
      <c r="A72" s="7" t="n">
        <v>69</v>
      </c>
      <c r="B72" s="8" t="inlineStr">
        <is>
          <t>) -&gt; Iterator[str]:</t>
        </is>
      </c>
    </row>
    <row r="73">
      <c r="A73" s="9" t="n">
        <v>70</v>
      </c>
      <c r="B73" s="10" t="inlineStr">
        <is>
          <t xml:space="preserve">    """</t>
        </is>
      </c>
    </row>
    <row r="74">
      <c r="A74" s="7" t="n">
        <v>71</v>
      </c>
      <c r="B74" s="8" t="inlineStr">
        <is>
          <t xml:space="preserve">    递归扫描目录树，生成所有视频文件路径。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 xml:space="preserve">    参数:</t>
        </is>
      </c>
    </row>
    <row r="77">
      <c r="A77" s="9" t="n">
        <v>74</v>
      </c>
      <c r="B77" s="10" t="inlineStr">
        <is>
          <t xml:space="preserve">        root_dir: 根目录路径</t>
        </is>
      </c>
    </row>
    <row r="78">
      <c r="A78" s="7" t="n">
        <v>75</v>
      </c>
      <c r="B78" s="8" t="inlineStr">
        <is>
          <t xml:space="preserve">        extensions: 视频扩展名集合</t>
        </is>
      </c>
    </row>
    <row r="79">
      <c r="A79" s="9" t="n">
        <v>76</v>
      </c>
      <c r="B79" s="10" t="inlineStr">
        <is>
          <t xml:space="preserve">        exclude_dirs: 跳过的目录名列表（不区分大小写）</t>
        </is>
      </c>
    </row>
    <row r="80">
      <c r="A80" s="7" t="n">
        <v>77</v>
      </c>
      <c r="B80" s="8" t="inlineStr">
        <is>
          <t xml:space="preserve">        max_depth: 最大递归深度</t>
        </is>
      </c>
    </row>
    <row r="81">
      <c r="A81" s="9" t="n">
        <v>78</v>
      </c>
      <c r="B81" s="10" t="inlineStr">
        <is>
          <t xml:space="preserve">        progress_callback: 进度回调 (dir_count, file_count)</t>
        </is>
      </c>
    </row>
    <row r="82">
      <c r="A82" s="7" t="n">
        <v>79</v>
      </c>
      <c r="B82" s="8" t="inlineStr">
        <is>
          <t xml:space="preserve">        cancel_event: threading.Event，设为True可中断扫描</t>
        </is>
      </c>
    </row>
    <row r="83">
      <c r="A83" s="9" t="n">
        <v>80</v>
      </c>
      <c r="B83" s="10" t="inlineStr">
        <is>
          <t xml:space="preserve">    """</t>
        </is>
      </c>
    </row>
    <row r="84">
      <c r="A84" s="7" t="n">
        <v>81</v>
      </c>
      <c r="B84" s="8" t="inlineStr">
        <is>
          <t xml:space="preserve">    if extensions is None:</t>
        </is>
      </c>
    </row>
    <row r="85">
      <c r="A85" s="9" t="n">
        <v>82</v>
      </c>
      <c r="B85" s="10" t="inlineStr">
        <is>
          <t xml:space="preserve">        extensions = DEFAULT_VIDEO_EXTENSIONS</t>
        </is>
      </c>
    </row>
    <row r="86">
      <c r="A86" s="7" t="n">
        <v>83</v>
      </c>
      <c r="B86" s="8" t="inlineStr">
        <is>
          <t xml:space="preserve">    if exclude_dirs is None:</t>
        </is>
      </c>
    </row>
    <row r="87">
      <c r="A87" s="9" t="n">
        <v>84</v>
      </c>
      <c r="B87" s="10" t="inlineStr">
        <is>
          <t xml:space="preserve">        exclude_dirs = DEFAULT_EXCLUDE_DIRS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 xml:space="preserve">    exclude_lower = {d.lower() for d in exclude_dirs}</t>
        </is>
      </c>
    </row>
    <row r="90">
      <c r="A90" s="7" t="n">
        <v>87</v>
      </c>
      <c r="B90" s="8" t="inlineStr">
        <is>
          <t xml:space="preserve">    dir_count = 0</t>
        </is>
      </c>
    </row>
    <row r="91">
      <c r="A91" s="9" t="n">
        <v>88</v>
      </c>
      <c r="B91" s="10" t="inlineStr">
        <is>
          <t xml:space="preserve">    file_count = 0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 xml:space="preserve">    try:</t>
        </is>
      </c>
    </row>
    <row r="94">
      <c r="A94" s="7" t="n">
        <v>91</v>
      </c>
      <c r="B94" s="8" t="inlineStr">
        <is>
          <t xml:space="preserve">        for entry in os.scandir(root_dir):</t>
        </is>
      </c>
    </row>
    <row r="95">
      <c r="A95" s="9" t="n">
        <v>92</v>
      </c>
      <c r="B95" s="10" t="inlineStr">
        <is>
          <t xml:space="preserve">            if cancel_event and cancel_event.is_set():</t>
        </is>
      </c>
    </row>
    <row r="96">
      <c r="A96" s="7" t="n">
        <v>93</v>
      </c>
      <c r="B96" s="8" t="inlineStr">
        <is>
          <t xml:space="preserve">                return</t>
        </is>
      </c>
    </row>
    <row r="97">
      <c r="A97" s="9" t="n">
        <v>94</v>
      </c>
      <c r="B97" s="10" t="inlineStr"/>
    </row>
    <row r="98">
      <c r="A98" s="7" t="n">
        <v>95</v>
      </c>
      <c r="B98" s="8" t="inlineStr">
        <is>
          <t xml:space="preserve">            try:</t>
        </is>
      </c>
    </row>
    <row r="99">
      <c r="A99" s="9" t="n">
        <v>96</v>
      </c>
      <c r="B99" s="10" t="inlineStr">
        <is>
          <t xml:space="preserve">                if entry.is_dir(follow_symlinks=False):</t>
        </is>
      </c>
    </row>
    <row r="100">
      <c r="A100" s="7" t="n">
        <v>97</v>
      </c>
      <c r="B100" s="8" t="inlineStr">
        <is>
          <t xml:space="preserve">                    dir_count += 1</t>
        </is>
      </c>
    </row>
    <row r="101">
      <c r="A101" s="9" t="n">
        <v>98</v>
      </c>
      <c r="B101" s="10" t="inlineStr">
        <is>
          <t xml:space="preserve">                    name_lower = entry.name.lower()</t>
        </is>
      </c>
    </row>
    <row r="102">
      <c r="A102" s="7" t="n">
        <v>99</v>
      </c>
      <c r="B102" s="8" t="inlineStr">
        <is>
          <t xml:space="preserve">                    # 跳过系统/隐藏目录</t>
        </is>
      </c>
    </row>
    <row r="103">
      <c r="A103" s="9" t="n">
        <v>100</v>
      </c>
      <c r="B103" s="10" t="inlineStr">
        <is>
          <t xml:space="preserve">                    if name_lower in exclude_lower:</t>
        </is>
      </c>
    </row>
    <row r="104">
      <c r="A104" s="7" t="n">
        <v>101</v>
      </c>
      <c r="B104" s="8" t="inlineStr">
        <is>
          <t xml:space="preserve">                        continue</t>
        </is>
      </c>
    </row>
    <row r="105">
      <c r="A105" s="9" t="n">
        <v>102</v>
      </c>
      <c r="B105" s="10" t="inlineStr">
        <is>
          <t xml:space="preserve">                    if name_lower.startswith("."):</t>
        </is>
      </c>
    </row>
    <row r="106">
      <c r="A106" s="7" t="n">
        <v>103</v>
      </c>
      <c r="B106" s="8" t="inlineStr">
        <is>
          <t xml:space="preserve">                        continue</t>
        </is>
      </c>
    </row>
    <row r="107">
      <c r="A107" s="9" t="n">
        <v>104</v>
      </c>
      <c r="B107" s="10" t="inlineStr">
        <is>
          <t xml:space="preserve">                    if max_depth &gt; 0:</t>
        </is>
      </c>
    </row>
    <row r="108">
      <c r="A108" s="7" t="n">
        <v>105</v>
      </c>
      <c r="B108" s="8" t="inlineStr">
        <is>
          <t xml:space="preserve">                        yield from scan_directory_tree(</t>
        </is>
      </c>
    </row>
    <row r="109">
      <c r="A109" s="9" t="n">
        <v>106</v>
      </c>
      <c r="B109" s="10" t="inlineStr">
        <is>
          <t xml:space="preserve">                            entry.path, extensions, exclude_dirs,</t>
        </is>
      </c>
    </row>
    <row r="110">
      <c r="A110" s="7" t="n">
        <v>107</v>
      </c>
      <c r="B110" s="8" t="inlineStr">
        <is>
          <t xml:space="preserve">                            max_depth - 1, progress_callback, cancel_event</t>
        </is>
      </c>
    </row>
    <row r="111">
      <c r="A111" s="9" t="n">
        <v>108</v>
      </c>
      <c r="B111" s="10" t="inlineStr">
        <is>
          <t xml:space="preserve">                        )</t>
        </is>
      </c>
    </row>
    <row r="112">
      <c r="A112" s="7" t="n">
        <v>109</v>
      </c>
      <c r="B112" s="8" t="inlineStr">
        <is>
          <t xml:space="preserve">                elif entry.is_file(follow_symlinks=False):</t>
        </is>
      </c>
    </row>
    <row r="113">
      <c r="A113" s="9" t="n">
        <v>110</v>
      </c>
      <c r="B113" s="10" t="inlineStr">
        <is>
          <t xml:space="preserve">                    file_count += 1</t>
        </is>
      </c>
    </row>
    <row r="114">
      <c r="A114" s="7" t="n">
        <v>111</v>
      </c>
      <c r="B114" s="8" t="inlineStr">
        <is>
          <t xml:space="preserve">                    ext = os.path.splitext(entry.name)[1].lower()</t>
        </is>
      </c>
    </row>
    <row r="115">
      <c r="A115" s="9" t="n">
        <v>112</v>
      </c>
      <c r="B115" s="10" t="inlineStr">
        <is>
          <t xml:space="preserve">                    if ext in extensions:</t>
        </is>
      </c>
    </row>
    <row r="116">
      <c r="A116" s="7" t="n">
        <v>113</v>
      </c>
      <c r="B116" s="8" t="inlineStr">
        <is>
          <t xml:space="preserve">                        yield entry.path</t>
        </is>
      </c>
    </row>
    <row r="117">
      <c r="A117" s="9" t="n">
        <v>114</v>
      </c>
      <c r="B117" s="10" t="inlineStr"/>
    </row>
    <row r="118">
      <c r="A118" s="7" t="n">
        <v>115</v>
      </c>
      <c r="B118" s="8" t="inlineStr">
        <is>
          <t xml:space="preserve">            except (PermissionError, OSError):</t>
        </is>
      </c>
    </row>
    <row r="119">
      <c r="A119" s="9" t="n">
        <v>116</v>
      </c>
      <c r="B119" s="10" t="inlineStr">
        <is>
          <t xml:space="preserve">                continue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>
        <is>
          <t xml:space="preserve">        if progress_callback and dir_count &gt; 0:</t>
        </is>
      </c>
    </row>
    <row r="122">
      <c r="A122" s="7" t="n">
        <v>119</v>
      </c>
      <c r="B122" s="8" t="inlineStr">
        <is>
          <t xml:space="preserve">            progress_callback(dir_count, file_count)</t>
        </is>
      </c>
    </row>
    <row r="123">
      <c r="A123" s="9" t="n">
        <v>120</v>
      </c>
      <c r="B123" s="10" t="inlineStr"/>
    </row>
    <row r="124">
      <c r="A124" s="7" t="n">
        <v>121</v>
      </c>
      <c r="B124" s="8" t="inlineStr">
        <is>
          <t xml:space="preserve">    except (PermissionError, OSError):</t>
        </is>
      </c>
    </row>
    <row r="125">
      <c r="A125" s="9" t="n">
        <v>122</v>
      </c>
      <c r="B125" s="10" t="inlineStr">
        <is>
          <t xml:space="preserve">        pass</t>
        </is>
      </c>
    </row>
    <row r="126">
      <c r="A126" s="7" t="n">
        <v>123</v>
      </c>
      <c r="B126" s="8" t="inlineStr"/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>def iter_all_videos(</t>
        </is>
      </c>
    </row>
    <row r="129">
      <c r="A129" s="9" t="n">
        <v>126</v>
      </c>
      <c r="B129" s="10" t="inlineStr">
        <is>
          <t xml:space="preserve">    root_paths: List[str] = None,</t>
        </is>
      </c>
    </row>
    <row r="130">
      <c r="A130" s="7" t="n">
        <v>127</v>
      </c>
      <c r="B130" s="8" t="inlineStr">
        <is>
          <t xml:space="preserve">    extensions: set = None,</t>
        </is>
      </c>
    </row>
    <row r="131">
      <c r="A131" s="9" t="n">
        <v>128</v>
      </c>
      <c r="B131" s="10" t="inlineStr">
        <is>
          <t xml:space="preserve">    exclude_dirs: list = None,</t>
        </is>
      </c>
    </row>
    <row r="132">
      <c r="A132" s="7" t="n">
        <v>129</v>
      </c>
      <c r="B132" s="8" t="inlineStr">
        <is>
          <t xml:space="preserve">    progress_callback: Callable = None,</t>
        </is>
      </c>
    </row>
    <row r="133">
      <c r="A133" s="9" t="n">
        <v>130</v>
      </c>
      <c r="B133" s="10" t="inlineStr">
        <is>
          <t xml:space="preserve">    cancel_event = None,</t>
        </is>
      </c>
    </row>
    <row r="134">
      <c r="A134" s="7" t="n">
        <v>131</v>
      </c>
      <c r="B134" s="8" t="inlineStr">
        <is>
          <t>) -&gt; Iterator[str]:</t>
        </is>
      </c>
    </row>
    <row r="135">
      <c r="A135" s="9" t="n">
        <v>132</v>
      </c>
      <c r="B135" s="10" t="inlineStr">
        <is>
          <t xml:space="preserve">    """</t>
        </is>
      </c>
    </row>
    <row r="136">
      <c r="A136" s="7" t="n">
        <v>133</v>
      </c>
      <c r="B136" s="8" t="inlineStr">
        <is>
          <t xml:space="preserve">    迭代所有视频文件。</t>
        </is>
      </c>
    </row>
    <row r="137">
      <c r="A137" s="9" t="n">
        <v>134</v>
      </c>
      <c r="B137" s="10" t="inlineStr"/>
    </row>
    <row r="138">
      <c r="A138" s="7" t="n">
        <v>135</v>
      </c>
      <c r="B138" s="8" t="inlineStr">
        <is>
          <t xml:space="preserve">    参数:</t>
        </is>
      </c>
    </row>
    <row r="139">
      <c r="A139" s="9" t="n">
        <v>136</v>
      </c>
      <c r="B139" s="10" t="inlineStr">
        <is>
          <t xml:space="preserve">        root_paths: 根目录列表。None = 全盘扫描。</t>
        </is>
      </c>
    </row>
    <row r="140">
      <c r="A140" s="7" t="n">
        <v>137</v>
      </c>
      <c r="B140" s="8" t="inlineStr">
        <is>
          <t xml:space="preserve">        extensions: 视频扩展名。None = 默认扩展名。</t>
        </is>
      </c>
    </row>
    <row r="141">
      <c r="A141" s="9" t="n">
        <v>138</v>
      </c>
      <c r="B141" s="10" t="inlineStr">
        <is>
          <t xml:space="preserve">        exclude_dirs: 跳过的目录名列表。</t>
        </is>
      </c>
    </row>
    <row r="142">
      <c r="A142" s="7" t="n">
        <v>139</v>
      </c>
      <c r="B142" s="8" t="inlineStr">
        <is>
          <t xml:space="preserve">        progress_callback: 进度回调 (current_dir, total_files_found)。</t>
        </is>
      </c>
    </row>
    <row r="143">
      <c r="A143" s="9" t="n">
        <v>140</v>
      </c>
      <c r="B143" s="10" t="inlineStr">
        <is>
          <t xml:space="preserve">        cancel_event: 中断事件。</t>
        </is>
      </c>
    </row>
    <row r="144">
      <c r="A144" s="7" t="n">
        <v>141</v>
      </c>
      <c r="B144" s="8" t="inlineStr">
        <is>
          <t xml:space="preserve">    """</t>
        </is>
      </c>
    </row>
    <row r="145">
      <c r="A145" s="9" t="n">
        <v>142</v>
      </c>
      <c r="B145" s="10" t="inlineStr">
        <is>
          <t xml:space="preserve">    if extensions is None:</t>
        </is>
      </c>
    </row>
    <row r="146">
      <c r="A146" s="7" t="n">
        <v>143</v>
      </c>
      <c r="B146" s="8" t="inlineStr">
        <is>
          <t xml:space="preserve">        extensions = DEFAULT_VIDEO_EXTENSIONS</t>
        </is>
      </c>
    </row>
    <row r="147">
      <c r="A147" s="9" t="n">
        <v>144</v>
      </c>
      <c r="B147" s="10" t="inlineStr">
        <is>
          <t xml:space="preserve">    if exclude_dirs is None:</t>
        </is>
      </c>
    </row>
    <row r="148">
      <c r="A148" s="7" t="n">
        <v>145</v>
      </c>
      <c r="B148" s="8" t="inlineStr">
        <is>
          <t xml:space="preserve">        exclude_dirs = DEFAULT_EXCLUDE_DIRS</t>
        </is>
      </c>
    </row>
    <row r="149">
      <c r="A149" s="9" t="n">
        <v>146</v>
      </c>
      <c r="B149" s="10" t="inlineStr"/>
    </row>
    <row r="150">
      <c r="A150" s="7" t="n">
        <v>147</v>
      </c>
      <c r="B150" s="8" t="inlineStr">
        <is>
          <t xml:space="preserve">    if root_paths is None:</t>
        </is>
      </c>
    </row>
    <row r="151">
      <c r="A151" s="9" t="n">
        <v>148</v>
      </c>
      <c r="B151" s="10" t="inlineStr">
        <is>
          <t xml:space="preserve">        root_paths = get_all_drives()</t>
        </is>
      </c>
    </row>
    <row r="152">
      <c r="A152" s="7" t="n">
        <v>149</v>
      </c>
      <c r="B152" s="8" t="inlineStr"/>
    </row>
    <row r="153">
      <c r="A153" s="9" t="n">
        <v>150</v>
      </c>
      <c r="B153" s="10" t="inlineStr">
        <is>
          <t xml:space="preserve">    for root in root_paths:</t>
        </is>
      </c>
    </row>
    <row r="154">
      <c r="A154" s="7" t="n">
        <v>151</v>
      </c>
      <c r="B154" s="8" t="inlineStr">
        <is>
          <t xml:space="preserve">        if not os.path.exists(root):</t>
        </is>
      </c>
    </row>
    <row r="155">
      <c r="A155" s="9" t="n">
        <v>152</v>
      </c>
      <c r="B155" s="10" t="inlineStr">
        <is>
          <t xml:space="preserve">            continue</t>
        </is>
      </c>
    </row>
    <row r="156">
      <c r="A156" s="7" t="n">
        <v>153</v>
      </c>
      <c r="B156" s="8" t="inlineStr">
        <is>
          <t xml:space="preserve">        if cancel_event and cancel_event.is_set():</t>
        </is>
      </c>
    </row>
    <row r="157">
      <c r="A157" s="9" t="n">
        <v>154</v>
      </c>
      <c r="B157" s="10" t="inlineStr">
        <is>
          <t xml:space="preserve">            return</t>
        </is>
      </c>
    </row>
    <row r="158">
      <c r="A158" s="7" t="n">
        <v>155</v>
      </c>
      <c r="B158" s="8" t="inlineStr">
        <is>
          <t xml:space="preserve">        try:</t>
        </is>
      </c>
    </row>
    <row r="159">
      <c r="A159" s="9" t="n">
        <v>156</v>
      </c>
      <c r="B159" s="10" t="inlineStr">
        <is>
          <t xml:space="preserve">            yield from scan_directory_tree(</t>
        </is>
      </c>
    </row>
    <row r="160">
      <c r="A160" s="7" t="n">
        <v>157</v>
      </c>
      <c r="B160" s="8" t="inlineStr">
        <is>
          <t xml:space="preserve">                root, extensions, exclude_dirs,</t>
        </is>
      </c>
    </row>
    <row r="161">
      <c r="A161" s="9" t="n">
        <v>158</v>
      </c>
      <c r="B161" s="10" t="inlineStr">
        <is>
          <t xml:space="preserve">                max_depth=20, progress_callback=progress_callback,</t>
        </is>
      </c>
    </row>
    <row r="162">
      <c r="A162" s="7" t="n">
        <v>159</v>
      </c>
      <c r="B162" s="8" t="inlineStr">
        <is>
          <t xml:space="preserve">                cancel_event=cancel_event</t>
        </is>
      </c>
    </row>
    <row r="163">
      <c r="A163" s="9" t="n">
        <v>160</v>
      </c>
      <c r="B163" s="10" t="inlineStr">
        <is>
          <t xml:space="preserve">            )</t>
        </is>
      </c>
    </row>
    <row r="164">
      <c r="A164" s="7" t="n">
        <v>161</v>
      </c>
      <c r="B164" s="8" t="inlineStr">
        <is>
          <t xml:space="preserve">        except Exception:</t>
        </is>
      </c>
    </row>
    <row r="165">
      <c r="A165" s="9" t="n">
        <v>162</v>
      </c>
      <c r="B165" s="10" t="inlineStr">
        <is>
          <t xml:space="preserve">            continue</t>
        </is>
      </c>
    </row>
    <row r="166">
      <c r="A166" s="7" t="n">
        <v>163</v>
      </c>
      <c r="B166" s="8" t="inlineStr"/>
    </row>
    <row r="167">
      <c r="A167" s="9" t="n">
        <v>164</v>
      </c>
      <c r="B167" s="10" t="inlineStr"/>
    </row>
    <row r="168">
      <c r="A168" s="7" t="n">
        <v>165</v>
      </c>
      <c r="B168" s="8" t="inlineStr">
        <is>
          <t>def count_videos_in_dir(</t>
        </is>
      </c>
    </row>
    <row r="169">
      <c r="A169" s="9" t="n">
        <v>166</v>
      </c>
      <c r="B169" s="10" t="inlineStr">
        <is>
          <t xml:space="preserve">    root_paths: List[str],</t>
        </is>
      </c>
    </row>
    <row r="170">
      <c r="A170" s="7" t="n">
        <v>167</v>
      </c>
      <c r="B170" s="8" t="inlineStr">
        <is>
          <t xml:space="preserve">    extensions: set = None,</t>
        </is>
      </c>
    </row>
    <row r="171">
      <c r="A171" s="9" t="n">
        <v>168</v>
      </c>
      <c r="B171" s="10" t="inlineStr">
        <is>
          <t xml:space="preserve">    exclude_dirs: list = None,</t>
        </is>
      </c>
    </row>
    <row r="172">
      <c r="A172" s="7" t="n">
        <v>169</v>
      </c>
      <c r="B172" s="8" t="inlineStr">
        <is>
          <t xml:space="preserve">    max_count: int = 0,</t>
        </is>
      </c>
    </row>
    <row r="173">
      <c r="A173" s="9" t="n">
        <v>170</v>
      </c>
      <c r="B173" s="10" t="inlineStr">
        <is>
          <t>) -&gt; int:</t>
        </is>
      </c>
    </row>
    <row r="174">
      <c r="A174" s="7" t="n">
        <v>171</v>
      </c>
      <c r="B174" s="8" t="inlineStr">
        <is>
          <t xml:space="preserve">    """快速估算目录中的视频数量（不递归全展开，仅做粗略统计）"""</t>
        </is>
      </c>
    </row>
    <row r="175">
      <c r="A175" s="9" t="n">
        <v>172</v>
      </c>
      <c r="B175" s="10" t="inlineStr">
        <is>
          <t xml:space="preserve">    if extensions is None:</t>
        </is>
      </c>
    </row>
    <row r="176">
      <c r="A176" s="7" t="n">
        <v>173</v>
      </c>
      <c r="B176" s="8" t="inlineStr">
        <is>
          <t xml:space="preserve">        extensions = DEFAULT_VIDEO_EXTENSIONS</t>
        </is>
      </c>
    </row>
    <row r="177">
      <c r="A177" s="9" t="n">
        <v>174</v>
      </c>
      <c r="B177" s="10" t="inlineStr">
        <is>
          <t xml:space="preserve">    if exclude_dirs is None:</t>
        </is>
      </c>
    </row>
    <row r="178">
      <c r="A178" s="7" t="n">
        <v>175</v>
      </c>
      <c r="B178" s="8" t="inlineStr">
        <is>
          <t xml:space="preserve">        exclude_dirs = DEFAULT_EXCLUDE_DIRS</t>
        </is>
      </c>
    </row>
    <row r="179">
      <c r="A179" s="9" t="n">
        <v>176</v>
      </c>
      <c r="B179" s="10" t="inlineStr"/>
    </row>
    <row r="180">
      <c r="A180" s="7" t="n">
        <v>177</v>
      </c>
      <c r="B180" s="8" t="inlineStr">
        <is>
          <t xml:space="preserve">    count = 0</t>
        </is>
      </c>
    </row>
    <row r="181">
      <c r="A181" s="9" t="n">
        <v>178</v>
      </c>
      <c r="B181" s="10" t="inlineStr">
        <is>
          <t xml:space="preserve">    exclude_lower = {d.lower() for d in exclude_dirs}</t>
        </is>
      </c>
    </row>
    <row r="182">
      <c r="A182" s="7" t="n">
        <v>179</v>
      </c>
      <c r="B182" s="8" t="inlineStr"/>
    </row>
    <row r="183">
      <c r="A183" s="9" t="n">
        <v>180</v>
      </c>
      <c r="B183" s="10" t="inlineStr">
        <is>
          <t xml:space="preserve">    for root in root_paths:</t>
        </is>
      </c>
    </row>
    <row r="184">
      <c r="A184" s="7" t="n">
        <v>181</v>
      </c>
      <c r="B184" s="8" t="inlineStr">
        <is>
          <t xml:space="preserve">        if not os.path.exists(root):</t>
        </is>
      </c>
    </row>
    <row r="185">
      <c r="A185" s="9" t="n">
        <v>182</v>
      </c>
      <c r="B185" s="10" t="inlineStr">
        <is>
          <t xml:space="preserve">            continue</t>
        </is>
      </c>
    </row>
    <row r="186">
      <c r="A186" s="7" t="n">
        <v>183</v>
      </c>
      <c r="B186" s="8" t="inlineStr">
        <is>
          <t xml:space="preserve">        try:</t>
        </is>
      </c>
    </row>
    <row r="187">
      <c r="A187" s="9" t="n">
        <v>184</v>
      </c>
      <c r="B187" s="10" t="inlineStr">
        <is>
          <t xml:space="preserve">            for dirpath, dirnames, filenames in os.walk(root):</t>
        </is>
      </c>
    </row>
    <row r="188">
      <c r="A188" s="7" t="n">
        <v>185</v>
      </c>
      <c r="B188" s="8" t="inlineStr">
        <is>
          <t xml:space="preserve">                # 过滤排除目录</t>
        </is>
      </c>
    </row>
    <row r="189">
      <c r="A189" s="9" t="n">
        <v>186</v>
      </c>
      <c r="B189" s="10" t="inlineStr">
        <is>
          <t xml:space="preserve">                dirnames[:] = [d for d in dirnames</t>
        </is>
      </c>
    </row>
    <row r="190">
      <c r="A190" s="7" t="n">
        <v>187</v>
      </c>
      <c r="B190" s="8" t="inlineStr">
        <is>
          <t xml:space="preserve">                              if d.lower() not in exclude_lower</t>
        </is>
      </c>
    </row>
    <row r="191">
      <c r="A191" s="9" t="n">
        <v>188</v>
      </c>
      <c r="B191" s="10" t="inlineStr">
        <is>
          <t xml:space="preserve">                              and not d.startswith(".")]</t>
        </is>
      </c>
    </row>
    <row r="192">
      <c r="A192" s="7" t="n">
        <v>189</v>
      </c>
      <c r="B192" s="8" t="inlineStr">
        <is>
          <t xml:space="preserve">                for f in filenames:</t>
        </is>
      </c>
    </row>
    <row r="193">
      <c r="A193" s="9" t="n">
        <v>190</v>
      </c>
      <c r="B193" s="10" t="inlineStr">
        <is>
          <t xml:space="preserve">                    ext = os.path.splitext(f)[1].lower()</t>
        </is>
      </c>
    </row>
    <row r="194">
      <c r="A194" s="7" t="n">
        <v>191</v>
      </c>
      <c r="B194" s="8" t="inlineStr">
        <is>
          <t xml:space="preserve">                    if ext in extensions:</t>
        </is>
      </c>
    </row>
    <row r="195">
      <c r="A195" s="9" t="n">
        <v>192</v>
      </c>
      <c r="B195" s="10" t="inlineStr">
        <is>
          <t xml:space="preserve">                        count += 1</t>
        </is>
      </c>
    </row>
    <row r="196">
      <c r="A196" s="7" t="n">
        <v>193</v>
      </c>
      <c r="B196" s="8" t="inlineStr">
        <is>
          <t xml:space="preserve">                        if max_count and count &gt;= max_count:</t>
        </is>
      </c>
    </row>
    <row r="197">
      <c r="A197" s="9" t="n">
        <v>194</v>
      </c>
      <c r="B197" s="10" t="inlineStr">
        <is>
          <t xml:space="preserve">                            return count</t>
        </is>
      </c>
    </row>
    <row r="198">
      <c r="A198" s="7" t="n">
        <v>195</v>
      </c>
      <c r="B198" s="8" t="inlineStr">
        <is>
          <t xml:space="preserve">        except (PermissionError, OSError):</t>
        </is>
      </c>
    </row>
    <row r="199">
      <c r="A199" s="9" t="n">
        <v>196</v>
      </c>
      <c r="B199" s="10" t="inlineStr">
        <is>
          <t xml:space="preserve">            continue</t>
        </is>
      </c>
    </row>
    <row r="200">
      <c r="A200" s="7" t="n">
        <v>197</v>
      </c>
      <c r="B200" s="8" t="inlineStr">
        <is>
          <t xml:space="preserve">    return count</t>
        </is>
      </c>
    </row>
    <row r="201">
      <c r="A201" s="9" t="n">
        <v>198</v>
      </c>
      <c r="B201" s="10" t="inlineStr"/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04">
      <c r="A204" s="7" t="n">
        <v>201</v>
      </c>
      <c r="B204" s="8" t="inlineStr">
        <is>
          <t># 断点续扫</t>
        </is>
      </c>
    </row>
    <row r="205">
      <c r="A205" s="9" t="n">
        <v>202</v>
      </c>
      <c r="B205" s="10" t="inlineStr">
        <is>
          <t># ═══════════════════════════════════════════════════════════════</t>
        </is>
      </c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>def load_scan_checkpoint() -&gt; dict:</t>
        </is>
      </c>
    </row>
    <row r="208">
      <c r="A208" s="7" t="n">
        <v>205</v>
      </c>
      <c r="B208" s="8" t="inlineStr">
        <is>
          <t xml:space="preserve">    """加载上次扫描断点"""</t>
        </is>
      </c>
    </row>
    <row r="209">
      <c r="A209" s="9" t="n">
        <v>206</v>
      </c>
      <c r="B209" s="10" t="inlineStr">
        <is>
          <t xml:space="preserve">    if _CHECKPOINT_FILE.exists():</t>
        </is>
      </c>
    </row>
    <row r="210">
      <c r="A210" s="7" t="n">
        <v>207</v>
      </c>
      <c r="B210" s="8" t="inlineStr">
        <is>
          <t xml:space="preserve">        try:</t>
        </is>
      </c>
    </row>
    <row r="211">
      <c r="A211" s="9" t="n">
        <v>208</v>
      </c>
      <c r="B211" s="10" t="inlineStr">
        <is>
          <t xml:space="preserve">            return json.loads(_CHECKPOINT_FILE.read_text(encoding="utf-8"))</t>
        </is>
      </c>
    </row>
    <row r="212">
      <c r="A212" s="7" t="n">
        <v>209</v>
      </c>
      <c r="B212" s="8" t="inlineStr">
        <is>
          <t xml:space="preserve">        except (json.JSONDecodeError, Exception):</t>
        </is>
      </c>
    </row>
    <row r="213">
      <c r="A213" s="9" t="n">
        <v>210</v>
      </c>
      <c r="B213" s="10" t="inlineStr">
        <is>
          <t xml:space="preserve">            pass</t>
        </is>
      </c>
    </row>
    <row r="214">
      <c r="A214" s="7" t="n">
        <v>211</v>
      </c>
      <c r="B214" s="8" t="inlineStr">
        <is>
          <t xml:space="preserve">    return {</t>
        </is>
      </c>
    </row>
    <row r="215">
      <c r="A215" s="9" t="n">
        <v>212</v>
      </c>
      <c r="B215" s="10" t="inlineStr">
        <is>
          <t xml:space="preserve">        "last_path": None,</t>
        </is>
      </c>
    </row>
    <row r="216">
      <c r="A216" s="7" t="n">
        <v>213</v>
      </c>
      <c r="B216" s="8" t="inlineStr">
        <is>
          <t xml:space="preserve">        "scanned_count": 0,</t>
        </is>
      </c>
    </row>
    <row r="217">
      <c r="A217" s="9" t="n">
        <v>214</v>
      </c>
      <c r="B217" s="10" t="inlineStr">
        <is>
          <t xml:space="preserve">        "discovered_count": 0,</t>
        </is>
      </c>
    </row>
    <row r="218">
      <c r="A218" s="7" t="n">
        <v>215</v>
      </c>
      <c r="B218" s="8" t="inlineStr">
        <is>
          <t xml:space="preserve">        "timestamp": None,</t>
        </is>
      </c>
    </row>
    <row r="219">
      <c r="A219" s="9" t="n">
        <v>216</v>
      </c>
      <c r="B219" s="10" t="inlineStr">
        <is>
          <t xml:space="preserve">    }</t>
        </is>
      </c>
    </row>
    <row r="220">
      <c r="A220" s="7" t="n">
        <v>217</v>
      </c>
      <c r="B220" s="8" t="inlineStr"/>
    </row>
    <row r="221">
      <c r="A221" s="9" t="n">
        <v>218</v>
      </c>
      <c r="B221" s="10" t="inlineStr"/>
    </row>
    <row r="222">
      <c r="A222" s="7" t="n">
        <v>219</v>
      </c>
      <c r="B222" s="8" t="inlineStr">
        <is>
          <t>def save_scan_checkpoint(last_path: str, scanned_count: int, discovered_count: int):</t>
        </is>
      </c>
    </row>
    <row r="223">
      <c r="A223" s="9" t="n">
        <v>220</v>
      </c>
      <c r="B223" s="10" t="inlineStr">
        <is>
          <t xml:space="preserve">    """保存扫描断点"""</t>
        </is>
      </c>
    </row>
    <row r="224">
      <c r="A224" s="7" t="n">
        <v>221</v>
      </c>
      <c r="B224" s="8" t="inlineStr">
        <is>
          <t xml:space="preserve">    try:</t>
        </is>
      </c>
    </row>
    <row r="225">
      <c r="A225" s="9" t="n">
        <v>222</v>
      </c>
      <c r="B225" s="10" t="inlineStr">
        <is>
          <t xml:space="preserve">        data = {</t>
        </is>
      </c>
    </row>
    <row r="226">
      <c r="A226" s="7" t="n">
        <v>223</v>
      </c>
      <c r="B226" s="8" t="inlineStr">
        <is>
          <t xml:space="preserve">            "last_path": last_path,</t>
        </is>
      </c>
    </row>
    <row r="227">
      <c r="A227" s="9" t="n">
        <v>224</v>
      </c>
      <c r="B227" s="10" t="inlineStr">
        <is>
          <t xml:space="preserve">            "scanned_count": scanned_count,</t>
        </is>
      </c>
    </row>
    <row r="228">
      <c r="A228" s="7" t="n">
        <v>225</v>
      </c>
      <c r="B228" s="8" t="inlineStr">
        <is>
          <t xml:space="preserve">            "discovered_count": discovered_count,</t>
        </is>
      </c>
    </row>
    <row r="229">
      <c r="A229" s="9" t="n">
        <v>226</v>
      </c>
      <c r="B229" s="10" t="inlineStr">
        <is>
          <t xml:space="preserve">            "timestamp": datetime.now().isoformat(),</t>
        </is>
      </c>
    </row>
    <row r="230">
      <c r="A230" s="7" t="n">
        <v>227</v>
      </c>
      <c r="B230" s="8" t="inlineStr">
        <is>
          <t xml:space="preserve">        }</t>
        </is>
      </c>
    </row>
    <row r="231">
      <c r="A231" s="9" t="n">
        <v>228</v>
      </c>
      <c r="B231" s="10" t="inlineStr">
        <is>
          <t xml:space="preserve">        _CHECKPOINT_FILE.write_text(json.dumps(data, ensure_ascii=False, indent=2), encoding="utf-8")</t>
        </is>
      </c>
    </row>
    <row r="232">
      <c r="A232" s="7" t="n">
        <v>229</v>
      </c>
      <c r="B232" s="8" t="inlineStr">
        <is>
          <t xml:space="preserve">    except Exception:</t>
        </is>
      </c>
    </row>
    <row r="233">
      <c r="A233" s="9" t="n">
        <v>230</v>
      </c>
      <c r="B233" s="10" t="inlineStr">
        <is>
          <t xml:space="preserve">        pass</t>
        </is>
      </c>
    </row>
    <row r="234">
      <c r="A234" s="7" t="n">
        <v>231</v>
      </c>
      <c r="B234" s="8" t="inlineStr"/>
    </row>
    <row r="235">
      <c r="A235" s="9" t="n">
        <v>232</v>
      </c>
      <c r="B235" s="10" t="inlineStr"/>
    </row>
    <row r="236">
      <c r="A236" s="7" t="n">
        <v>233</v>
      </c>
      <c r="B236" s="8" t="inlineStr">
        <is>
          <t>def clear_scan_checkpoint():</t>
        </is>
      </c>
    </row>
    <row r="237">
      <c r="A237" s="9" t="n">
        <v>234</v>
      </c>
      <c r="B237" s="10" t="inlineStr">
        <is>
          <t xml:space="preserve">    """清除断点"""</t>
        </is>
      </c>
    </row>
    <row r="238">
      <c r="A238" s="7" t="n">
        <v>235</v>
      </c>
      <c r="B238" s="8" t="inlineStr">
        <is>
          <t xml:space="preserve">    try:</t>
        </is>
      </c>
    </row>
    <row r="239">
      <c r="A239" s="9" t="n">
        <v>236</v>
      </c>
      <c r="B239" s="10" t="inlineStr">
        <is>
          <t xml:space="preserve">        _CHECKPOINT_FILE.unlink(missing_ok=True)</t>
        </is>
      </c>
    </row>
    <row r="240">
      <c r="A240" s="7" t="n">
        <v>237</v>
      </c>
      <c r="B240" s="8" t="inlineStr">
        <is>
          <t xml:space="preserve">    except Exception:</t>
        </is>
      </c>
    </row>
    <row r="241">
      <c r="A241" s="9" t="n">
        <v>238</v>
      </c>
      <c r="B241" s="10" t="inlineStr">
        <is>
          <t xml:space="preserve">        pass</t>
        </is>
      </c>
    </row>
    <row r="242">
      <c r="A242" s="7" t="n">
        <v>239</v>
      </c>
      <c r="B242" s="8" t="inlineStr"/>
    </row>
    <row r="243">
      <c r="A243" s="9" t="n">
        <v>240</v>
      </c>
      <c r="B243" s="10" t="inlineStr"/>
    </row>
    <row r="244">
      <c r="A244" s="7" t="n">
        <v>241</v>
      </c>
      <c r="B244" s="8" t="inlineStr">
        <is>
          <t>def get_video_file_info(video_path: str) -&gt; dict:</t>
        </is>
      </c>
    </row>
    <row r="245">
      <c r="A245" s="9" t="n">
        <v>242</v>
      </c>
      <c r="B245" s="10" t="inlineStr">
        <is>
          <t xml:space="preserve">    """获取视频文件基本信息（大小、修改时间）"""</t>
        </is>
      </c>
    </row>
    <row r="246">
      <c r="A246" s="7" t="n">
        <v>243</v>
      </c>
      <c r="B246" s="8" t="inlineStr">
        <is>
          <t xml:space="preserve">    try:</t>
        </is>
      </c>
    </row>
    <row r="247">
      <c r="A247" s="9" t="n">
        <v>244</v>
      </c>
      <c r="B247" s="10" t="inlineStr">
        <is>
          <t xml:space="preserve">        stat = os.stat(video_path)</t>
        </is>
      </c>
    </row>
    <row r="248">
      <c r="A248" s="7" t="n">
        <v>245</v>
      </c>
      <c r="B248" s="8" t="inlineStr">
        <is>
          <t xml:space="preserve">        return {</t>
        </is>
      </c>
    </row>
    <row r="249">
      <c r="A249" s="9" t="n">
        <v>246</v>
      </c>
      <c r="B249" s="10" t="inlineStr">
        <is>
          <t xml:space="preserve">            "size_mb": stat.st_size / (1024 * 1024),</t>
        </is>
      </c>
    </row>
    <row r="250">
      <c r="A250" s="7" t="n">
        <v>247</v>
      </c>
      <c r="B250" s="8" t="inlineStr">
        <is>
          <t xml:space="preserve">            "file_mtime": stat.st_mtime,</t>
        </is>
      </c>
    </row>
    <row r="251">
      <c r="A251" s="9" t="n">
        <v>248</v>
      </c>
      <c r="B251" s="10" t="inlineStr">
        <is>
          <t xml:space="preserve">            "file_size": stat.st_size,</t>
        </is>
      </c>
    </row>
    <row r="252">
      <c r="A252" s="7" t="n">
        <v>249</v>
      </c>
      <c r="B252" s="8" t="inlineStr">
        <is>
          <t xml:space="preserve">        }</t>
        </is>
      </c>
    </row>
    <row r="253">
      <c r="A253" s="9" t="n">
        <v>250</v>
      </c>
      <c r="B253" s="10" t="inlineStr">
        <is>
          <t xml:space="preserve">    except Exception:</t>
        </is>
      </c>
    </row>
    <row r="254">
      <c r="A254" s="7" t="n">
        <v>251</v>
      </c>
      <c r="B254" s="8" t="inlineStr">
        <is>
          <t xml:space="preserve">        return {"size_mb": 0, "file_mtime": 0, "file_size": 0}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core\vision_unified.py</t>
        </is>
      </c>
      <c r="C1" s="5" t="inlineStr">
        <is>
          <t>行数: 273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 — 统一视觉模型接口 (强制 Qwen3-VL-4B, 无降级)</t>
        </is>
      </c>
    </row>
    <row r="6">
      <c r="A6" s="7" t="n">
        <v>3</v>
      </c>
      <c r="B6" s="8">
        <f>=======================================================================</f>
        <v/>
      </c>
    </row>
    <row r="7">
      <c r="A7" s="9" t="n">
        <v>4</v>
      </c>
      <c r="B7" s="10" t="inlineStr">
        <is>
          <t>v11.0: 删除所有降级逻辑。仅加载 Qwen3-VL-4B。</t>
        </is>
      </c>
    </row>
    <row r="8">
      <c r="A8" s="7" t="n">
        <v>5</v>
      </c>
      <c r="B8" s="8" t="inlineStr">
        <is>
          <t xml:space="preserve">       若加载失败则抛出 RuntimeError，禁止回退到其他模型。</t>
        </is>
      </c>
    </row>
    <row r="9">
      <c r="A9" s="9" t="n">
        <v>6</v>
      </c>
      <c r="B9" s="10" t="inlineStr">
        <is>
          <t xml:space="preserve">       用法: from core.vision_unified import VisionModel; m=VisionModel(); m.analyze(img)</t>
        </is>
      </c>
    </row>
    <row r="10">
      <c r="A10" s="7" t="n">
        <v>7</v>
      </c>
      <c r="B10" s="8" t="inlineStr">
        <is>
          <t>"""</t>
        </is>
      </c>
    </row>
    <row r="11">
      <c r="A11" s="9" t="n">
        <v>8</v>
      </c>
      <c r="B11" s="10" t="inlineStr">
        <is>
          <t>import os</t>
        </is>
      </c>
    </row>
    <row r="12">
      <c r="A12" s="7" t="n">
        <v>9</v>
      </c>
      <c r="B12" s="8" t="inlineStr">
        <is>
          <t>import sys</t>
        </is>
      </c>
    </row>
    <row r="13">
      <c r="A13" s="9" t="n">
        <v>10</v>
      </c>
      <c r="B13" s="10" t="inlineStr">
        <is>
          <t>import json as _json</t>
        </is>
      </c>
    </row>
    <row r="14">
      <c r="A14" s="7" t="n">
        <v>11</v>
      </c>
      <c r="B14" s="8" t="inlineStr">
        <is>
          <t>from pathlib import Path</t>
        </is>
      </c>
    </row>
    <row r="15">
      <c r="A15" s="9" t="n">
        <v>12</v>
      </c>
      <c r="B15" s="10" t="inlineStr">
        <is>
          <t>from typing import Optional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PROJECT_ROOT = Path(__file__).parent.parent</t>
        </is>
      </c>
    </row>
    <row r="18">
      <c r="A18" s="7" t="n">
        <v>15</v>
      </c>
      <c r="B18" s="8" t="inlineStr">
        <is>
          <t>MODELS_DIR = PROJECT_ROOT / "models"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# ── 唯一强制模型 ──</t>
        </is>
      </c>
    </row>
    <row r="21">
      <c r="A21" s="9" t="n">
        <v>18</v>
      </c>
      <c r="B21" s="10" t="inlineStr">
        <is>
          <t>FORCE_MODEL_KEY = "qwen3-4b"</t>
        </is>
      </c>
    </row>
    <row r="22">
      <c r="A22" s="7" t="n">
        <v>19</v>
      </c>
      <c r="B22" s="8" t="inlineStr">
        <is>
          <t>FORCE_MODEL_HF = "Qwen/Qwen3-VL-4B-Instruct-FP8"</t>
        </is>
      </c>
    </row>
    <row r="23">
      <c r="A23" s="9" t="n">
        <v>20</v>
      </c>
      <c r="B23" s="10" t="inlineStr">
        <is>
          <t>FORCE_MODEL_DIR = os.environ.get("TREECUT_VISION_MODEL_DIR", "Qwen3-VL-4B-Instruct-FP8")</t>
        </is>
      </c>
    </row>
    <row r="24">
      <c r="A24" s="7" t="n">
        <v>21</v>
      </c>
      <c r="B24" s="8" t="inlineStr">
        <is>
          <t>FORCE_MODEL_DIR_FULL = MODELS_DIR / FORCE_MODEL_DIR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>FIX_INSTRUCTIONS = f"""</t>
        </is>
      </c>
    </row>
    <row r="27">
      <c r="A27" s="9" t="n">
        <v>24</v>
      </c>
      <c r="B27" s="10">
        <f>===========================================================</f>
        <v/>
      </c>
    </row>
    <row r="28">
      <c r="A28" s="7" t="n">
        <v>25</v>
      </c>
      <c r="B28" s="8" t="inlineStr">
        <is>
          <t xml:space="preserve">  错误：Qwen3-VL-4B 视觉模型不可用</t>
        </is>
      </c>
    </row>
    <row r="29">
      <c r="A29" s="9" t="n">
        <v>26</v>
      </c>
      <c r="B29" s="10">
        <f>===========================================================</f>
        <v/>
      </c>
    </row>
    <row r="30">
      <c r="A30" s="7" t="n">
        <v>27</v>
      </c>
      <c r="B30" s="8" t="inlineStr">
        <is>
          <t xml:space="preserve">  模型目录: {FORCE_MODEL_DIR_FULL}</t>
        </is>
      </c>
    </row>
    <row r="31">
      <c r="A31" s="9" t="n">
        <v>28</v>
      </c>
      <c r="B31" s="10" t="inlineStr">
        <is>
          <t xml:space="preserve">  必需文件: *.safetensors (约 5.6 GB)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>
        <is>
          <t xml:space="preserve">  修复方法:</t>
        </is>
      </c>
    </row>
    <row r="34">
      <c r="A34" s="7" t="n">
        <v>31</v>
      </c>
      <c r="B34" s="8" t="inlineStr">
        <is>
          <t xml:space="preserve">  1. 从 HuggingFace 下载:</t>
        </is>
      </c>
    </row>
    <row r="35">
      <c r="A35" s="9" t="n">
        <v>32</v>
      </c>
      <c r="B35" s="10" t="inlineStr">
        <is>
          <t xml:space="preserve">     pip install huggingface_hub</t>
        </is>
      </c>
    </row>
    <row r="36">
      <c r="A36" s="7" t="n">
        <v>33</v>
      </c>
      <c r="B36" s="8" t="inlineStr">
        <is>
          <t xml:space="preserve">     python -c "from huggingface_hub import snapshot_download; \\</t>
        </is>
      </c>
    </row>
    <row r="37">
      <c r="A37" s="9" t="n">
        <v>34</v>
      </c>
      <c r="B37" s="10" t="inlineStr">
        <is>
          <t xml:space="preserve">       snapshot_download('{FORCE_MODEL_HF}', local_dir='{FORCE_MODEL_DIR_FULL}')"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 xml:space="preserve">  2. 或从 ModelScope 下载:</t>
        </is>
      </c>
    </row>
    <row r="40">
      <c r="A40" s="7" t="n">
        <v>37</v>
      </c>
      <c r="B40" s="8" t="inlineStr">
        <is>
          <t xml:space="preserve">     pip install modelscope</t>
        </is>
      </c>
    </row>
    <row r="41">
      <c r="A41" s="9" t="n">
        <v>38</v>
      </c>
      <c r="B41" s="10" t="inlineStr">
        <is>
          <t xml:space="preserve">     modelscope download --model {FORCE_MODEL_HF} --local_dir {FORCE_MODEL_DIR_FULL}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 xml:space="preserve">  3. 确认文件存在后重新启动程序。</t>
        </is>
      </c>
    </row>
    <row r="44">
      <c r="A44" s="7" t="n">
        <v>41</v>
      </c>
      <c r="B44" s="8">
        <f>===========================================================</f>
        <v/>
      </c>
    </row>
    <row r="45">
      <c r="A45" s="9" t="n">
        <v>42</v>
      </c>
      <c r="B45" s="10" t="inlineStr">
        <is>
          <t>"""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/>
    </row>
    <row r="48">
      <c r="A48" s="7" t="n">
        <v>45</v>
      </c>
      <c r="B48" s="8" t="inlineStr">
        <is>
          <t>class VisionModel:</t>
        </is>
      </c>
    </row>
    <row r="49">
      <c r="A49" s="9" t="n">
        <v>46</v>
      </c>
      <c r="B49" s="10" t="inlineStr">
        <is>
          <t xml:space="preserve">    """</t>
        </is>
      </c>
    </row>
    <row r="50">
      <c r="A50" s="7" t="n">
        <v>47</v>
      </c>
      <c r="B50" s="8" t="inlineStr">
        <is>
          <t xml:space="preserve">    强制 Qwen3-VL-4B 视觉模型 (v11.0 — 无降级)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  若模型目录不存在或加载失败，直接抛出 RuntimeError。</t>
        </is>
      </c>
    </row>
    <row r="53">
      <c r="A53" s="9" t="n">
        <v>50</v>
      </c>
      <c r="B53" s="10" t="inlineStr">
        <is>
          <t xml:space="preserve">    不尝试 Ollama、Florence 或任何其他备选。</t>
        </is>
      </c>
    </row>
    <row r="54">
      <c r="A54" s="7" t="n">
        <v>51</v>
      </c>
      <c r="B54" s="8" t="inlineStr">
        <is>
          <t xml:space="preserve">    """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def __init__(self):</t>
        </is>
      </c>
    </row>
    <row r="57">
      <c r="A57" s="9" t="n">
        <v>54</v>
      </c>
      <c r="B57" s="10" t="inlineStr">
        <is>
          <t xml:space="preserve">        import os as _vm_os</t>
        </is>
      </c>
    </row>
    <row r="58">
      <c r="A58" s="7" t="n">
        <v>55</v>
      </c>
      <c r="B58" s="8" t="inlineStr">
        <is>
          <t xml:space="preserve">        if _vm_os.environ.get("TREECUT_SKIP_VISION", "").lower() == "true":</t>
        </is>
      </c>
    </row>
    <row r="59">
      <c r="A59" s="9" t="n">
        <v>56</v>
      </c>
      <c r="B59" s="10" t="inlineStr">
        <is>
          <t xml:space="preserve">            print("   [Vision] TREECUT_SKIP_VISION=true，跳过视觉模型加载")</t>
        </is>
      </c>
    </row>
    <row r="60">
      <c r="A60" s="7" t="n">
        <v>57</v>
      </c>
      <c r="B60" s="8" t="inlineStr">
        <is>
          <t xml:space="preserve">            self.model_key = FORCE_MODEL_KEY</t>
        </is>
      </c>
    </row>
    <row r="61">
      <c r="A61" s="9" t="n">
        <v>58</v>
      </c>
      <c r="B61" s="10" t="inlineStr">
        <is>
          <t xml:space="preserve">            self._model = None</t>
        </is>
      </c>
    </row>
    <row r="62">
      <c r="A62" s="7" t="n">
        <v>59</v>
      </c>
      <c r="B62" s="8" t="inlineStr">
        <is>
          <t xml:space="preserve">            self._processor = None</t>
        </is>
      </c>
    </row>
    <row r="63">
      <c r="A63" s="9" t="n">
        <v>60</v>
      </c>
      <c r="B63" s="10" t="inlineStr">
        <is>
          <t xml:space="preserve">            self._type = None</t>
        </is>
      </c>
    </row>
    <row r="64">
      <c r="A64" s="7" t="n">
        <v>61</v>
      </c>
      <c r="B64" s="8" t="inlineStr">
        <is>
          <t xml:space="preserve">            self._loaded = "skipped"</t>
        </is>
      </c>
    </row>
    <row r="65">
      <c r="A65" s="9" t="n">
        <v>62</v>
      </c>
      <c r="B65" s="10" t="inlineStr">
        <is>
          <t xml:space="preserve">            return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 xml:space="preserve">        self.model_key = FORCE_MODEL_KEY</t>
        </is>
      </c>
    </row>
    <row r="68">
      <c r="A68" s="7" t="n">
        <v>65</v>
      </c>
      <c r="B68" s="8" t="inlineStr">
        <is>
          <t xml:space="preserve">        self._model = None</t>
        </is>
      </c>
    </row>
    <row r="69">
      <c r="A69" s="9" t="n">
        <v>66</v>
      </c>
      <c r="B69" s="10" t="inlineStr">
        <is>
          <t xml:space="preserve">        self._processor = None</t>
        </is>
      </c>
    </row>
    <row r="70">
      <c r="A70" s="7" t="n">
        <v>67</v>
      </c>
      <c r="B70" s="8" t="inlineStr">
        <is>
          <t xml:space="preserve">        self._type = "transformers"</t>
        </is>
      </c>
    </row>
    <row r="71">
      <c r="A71" s="9" t="n">
        <v>68</v>
      </c>
      <c r="B71" s="10" t="inlineStr">
        <is>
          <t xml:space="preserve">        self._loaded = None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    # ── 第一步：检查模型目录是否存在 ──</t>
        </is>
      </c>
    </row>
    <row r="74">
      <c r="A74" s="7" t="n">
        <v>71</v>
      </c>
      <c r="B74" s="8" t="inlineStr">
        <is>
          <t xml:space="preserve">        if not FORCE_MODEL_DIR_FULL.exists():</t>
        </is>
      </c>
    </row>
    <row r="75">
      <c r="A75" s="9" t="n">
        <v>72</v>
      </c>
      <c r="B75" s="10" t="inlineStr">
        <is>
          <t xml:space="preserve">            raise RuntimeError(</t>
        </is>
      </c>
    </row>
    <row r="76">
      <c r="A76" s="7" t="n">
        <v>73</v>
      </c>
      <c r="B76" s="8" t="inlineStr">
        <is>
          <t xml:space="preserve">                f"Qwen3-VL-4B 模型目录不存在: {FORCE_MODEL_DIR_FULL}\n"</t>
        </is>
      </c>
    </row>
    <row r="77">
      <c r="A77" s="9" t="n">
        <v>74</v>
      </c>
      <c r="B77" s="10" t="inlineStr">
        <is>
          <t xml:space="preserve">                f"{FIX_INSTRUCTIONS}"</t>
        </is>
      </c>
    </row>
    <row r="78">
      <c r="A78" s="7" t="n">
        <v>75</v>
      </c>
      <c r="B78" s="8" t="inlineStr">
        <is>
          <t xml:space="preserve">            )</t>
        </is>
      </c>
    </row>
    <row r="79">
      <c r="A79" s="9" t="n">
        <v>76</v>
      </c>
      <c r="B79" s="10" t="inlineStr"/>
    </row>
    <row r="80">
      <c r="A80" s="7" t="n">
        <v>77</v>
      </c>
      <c r="B80" s="8" t="inlineStr">
        <is>
          <t xml:space="preserve">        safetensors = list(FORCE_MODEL_DIR_FULL.glob("*.safetensors"))</t>
        </is>
      </c>
    </row>
    <row r="81">
      <c r="A81" s="9" t="n">
        <v>78</v>
      </c>
      <c r="B81" s="10" t="inlineStr">
        <is>
          <t xml:space="preserve">        bins = list(FORCE_MODEL_DIR_FULL.glob("*.bin"))</t>
        </is>
      </c>
    </row>
    <row r="82">
      <c r="A82" s="7" t="n">
        <v>79</v>
      </c>
      <c r="B82" s="8" t="inlineStr">
        <is>
          <t xml:space="preserve">        if not safetensors and not bins:</t>
        </is>
      </c>
    </row>
    <row r="83">
      <c r="A83" s="9" t="n">
        <v>80</v>
      </c>
      <c r="B83" s="10" t="inlineStr">
        <is>
          <t xml:space="preserve">            raise RuntimeError(</t>
        </is>
      </c>
    </row>
    <row r="84">
      <c r="A84" s="7" t="n">
        <v>81</v>
      </c>
      <c r="B84" s="8" t="inlineStr">
        <is>
          <t xml:space="preserve">                f"Qwen3-VL-4B 模型目录无权重文件: {FORCE_MODEL_DIR_FULL}\n"</t>
        </is>
      </c>
    </row>
    <row r="85">
      <c r="A85" s="9" t="n">
        <v>82</v>
      </c>
      <c r="B85" s="10" t="inlineStr">
        <is>
          <t xml:space="preserve">                f"  找到的文件: {list(FORCE_MODEL_DIR_FULL.glob('*'))}\n"</t>
        </is>
      </c>
    </row>
    <row r="86">
      <c r="A86" s="7" t="n">
        <v>83</v>
      </c>
      <c r="B86" s="8" t="inlineStr">
        <is>
          <t xml:space="preserve">                f"{FIX_INSTRUCTIONS}"</t>
        </is>
      </c>
    </row>
    <row r="87">
      <c r="A87" s="9" t="n">
        <v>84</v>
      </c>
      <c r="B87" s="10" t="inlineStr">
        <is>
          <t xml:space="preserve">            )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 xml:space="preserve">        # ── 第二步：加载模型 ──</t>
        </is>
      </c>
    </row>
    <row r="90">
      <c r="A90" s="7" t="n">
        <v>87</v>
      </c>
      <c r="B90" s="8" t="inlineStr">
        <is>
          <t xml:space="preserve">        self._load_model()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 xml:space="preserve">    def _load_model(self):</t>
        </is>
      </c>
    </row>
    <row r="93">
      <c r="A93" s="9" t="n">
        <v>90</v>
      </c>
      <c r="B93" s="10" t="inlineStr">
        <is>
          <t xml:space="preserve">        """加载 Qwen3-VL-4B — 带重试+独立offload目录+清理"""</t>
        </is>
      </c>
    </row>
    <row r="94">
      <c r="A94" s="7" t="n">
        <v>91</v>
      </c>
      <c r="B94" s="8" t="inlineStr">
        <is>
          <t xml:space="preserve">        local_path = FORCE_MODEL_DIR_FULL</t>
        </is>
      </c>
    </row>
    <row r="95">
      <c r="A95" s="9" t="n">
        <v>92</v>
      </c>
      <c r="B95" s="10" t="inlineStr">
        <is>
          <t xml:space="preserve">        last_error = None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 xml:space="preserve">        for attempt in range(3):</t>
        </is>
      </c>
    </row>
    <row r="98">
      <c r="A98" s="7" t="n">
        <v>95</v>
      </c>
      <c r="B98" s="8" t="inlineStr">
        <is>
          <t xml:space="preserve">            try:</t>
        </is>
      </c>
    </row>
    <row r="99">
      <c r="A99" s="9" t="n">
        <v>96</v>
      </c>
      <c r="B99" s="10" t="inlineStr">
        <is>
          <t xml:space="preserve">                import gc</t>
        </is>
      </c>
    </row>
    <row r="100">
      <c r="A100" s="7" t="n">
        <v>97</v>
      </c>
      <c r="B100" s="8" t="inlineStr">
        <is>
          <t xml:space="preserve">                import torch</t>
        </is>
      </c>
    </row>
    <row r="101">
      <c r="A101" s="9" t="n">
        <v>98</v>
      </c>
      <c r="B101" s="10" t="inlineStr">
        <is>
          <t xml:space="preserve">                import json</t>
        </is>
      </c>
    </row>
    <row r="102">
      <c r="A102" s="7" t="n">
        <v>99</v>
      </c>
      <c r="B102" s="8" t="inlineStr">
        <is>
          <t xml:space="preserve">                import tempfile</t>
        </is>
      </c>
    </row>
    <row r="103">
      <c r="A103" s="9" t="n">
        <v>100</v>
      </c>
      <c r="B103" s="10" t="inlineStr">
        <is>
          <t xml:space="preserve">                import shutil</t>
        </is>
      </c>
    </row>
    <row r="104">
      <c r="A104" s="7" t="n">
        <v>101</v>
      </c>
      <c r="B104" s="8" t="inlineStr">
        <is>
          <t xml:space="preserve">                from transformers import AutoProcessor, Qwen3VLForConditionalGeneration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 xml:space="preserve">                # 每次尝试前清理GPU/CPU内存</t>
        </is>
      </c>
    </row>
    <row r="107">
      <c r="A107" s="9" t="n">
        <v>104</v>
      </c>
      <c r="B107" s="10" t="inlineStr">
        <is>
          <t xml:space="preserve">                gc.collect()</t>
        </is>
      </c>
    </row>
    <row r="108">
      <c r="A108" s="7" t="n">
        <v>105</v>
      </c>
      <c r="B108" s="8" t="inlineStr">
        <is>
          <t xml:space="preserve">                if torch.cuda.is_available():</t>
        </is>
      </c>
    </row>
    <row r="109">
      <c r="A109" s="9" t="n">
        <v>106</v>
      </c>
      <c r="B109" s="10" t="inlineStr">
        <is>
          <t xml:space="preserve">                    torch.cuda.empty_cache()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 xml:space="preserve">                print(f"   [Vision] 加载 Qwen3-VL-4B ({local_path})... 尝试 {attempt+1}/3")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 xml:space="preserve">                self._processor = AutoProcessor.from_pretrained(</t>
        </is>
      </c>
    </row>
    <row r="114">
      <c r="A114" s="7" t="n">
        <v>111</v>
      </c>
      <c r="B114" s="8" t="inlineStr">
        <is>
          <t xml:space="preserve">                    str(local_path), trust_remote_code=True</t>
        </is>
      </c>
    </row>
    <row r="115">
      <c r="A115" s="9" t="n">
        <v>112</v>
      </c>
      <c r="B115" s="10" t="inlineStr">
        <is>
          <t xml:space="preserve">                )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            dt = torch.float16 if torch.cuda.is_available() else torch.float32</t>
        </is>
      </c>
    </row>
    <row r="118">
      <c r="A118" s="7" t="n">
        <v>115</v>
      </c>
      <c r="B118" s="8" t="inlineStr">
        <is>
          <t xml:space="preserve">                with open(str(local_path / 'config.json')) as _f:</t>
        </is>
      </c>
    </row>
    <row r="119">
      <c r="A119" s="9" t="n">
        <v>116</v>
      </c>
      <c r="B119" s="10" t="inlineStr">
        <is>
          <t xml:space="preserve">                    cfg = json.load(_f)</t>
        </is>
      </c>
    </row>
    <row r="120">
      <c r="A120" s="7" t="n">
        <v>117</v>
      </c>
      <c r="B120" s="8" t="inlineStr">
        <is>
          <t xml:space="preserve">                arch = cfg.get('architectures', [''])[0]</t>
        </is>
      </c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 xml:space="preserve">                if 'Qwen3VL' not in arch:</t>
        </is>
      </c>
    </row>
    <row r="123">
      <c r="A123" s="9" t="n">
        <v>120</v>
      </c>
      <c r="B123" s="10" t="inlineStr">
        <is>
          <t xml:space="preserve">                    raise RuntimeError(</t>
        </is>
      </c>
    </row>
    <row r="124">
      <c r="A124" s="7" t="n">
        <v>121</v>
      </c>
      <c r="B124" s="8" t="inlineStr">
        <is>
          <t xml:space="preserve">                        f"模型架构不匹配: 期望 Qwen3VL, 实际 {arch}\n"</t>
        </is>
      </c>
    </row>
    <row r="125">
      <c r="A125" s="9" t="n">
        <v>122</v>
      </c>
      <c r="B125" s="10" t="inlineStr">
        <is>
          <t xml:space="preserve">                        f"请确认目录 {local_path} 包含正确模型文件。"</t>
        </is>
      </c>
    </row>
    <row r="126">
      <c r="A126" s="7" t="n">
        <v>123</v>
      </c>
      <c r="B126" s="8" t="inlineStr">
        <is>
          <t xml:space="preserve">                    )</t>
        </is>
      </c>
    </row>
    <row r="127">
      <c r="A127" s="9" t="n">
        <v>124</v>
      </c>
      <c r="B127" s="10" t="inlineStr"/>
    </row>
    <row r="128">
      <c r="A128" s="7" t="n">
        <v>125</v>
      </c>
      <c r="B128" s="8" t="inlineStr">
        <is>
          <t xml:space="preserve">                # 使用进程唯一的offload目录，避免跨进程文件锁冲突</t>
        </is>
      </c>
    </row>
    <row r="129">
      <c r="A129" s="9" t="n">
        <v>126</v>
      </c>
      <c r="B129" s="10" t="inlineStr">
        <is>
          <t xml:space="preserve">                base_offload = str(PROJECT_ROOT / 'models' / '.offload')</t>
        </is>
      </c>
    </row>
    <row r="130">
      <c r="A130" s="7" t="n">
        <v>127</v>
      </c>
      <c r="B130" s="8" t="inlineStr">
        <is>
          <t xml:space="preserve">                pid_offload = os.path.join(base_offload, f"pid_{os.getpid()}")</t>
        </is>
      </c>
    </row>
    <row r="131">
      <c r="A131" s="9" t="n">
        <v>128</v>
      </c>
      <c r="B131" s="10" t="inlineStr">
        <is>
          <t xml:space="preserve">                # 清理上次失败的残留</t>
        </is>
      </c>
    </row>
    <row r="132">
      <c r="A132" s="7" t="n">
        <v>129</v>
      </c>
      <c r="B132" s="8" t="inlineStr">
        <is>
          <t xml:space="preserve">                if os.path.exists(pid_offload):</t>
        </is>
      </c>
    </row>
    <row r="133">
      <c r="A133" s="9" t="n">
        <v>130</v>
      </c>
      <c r="B133" s="10" t="inlineStr">
        <is>
          <t xml:space="preserve">                    shutil.rmtree(pid_offload, ignore_errors=True)</t>
        </is>
      </c>
    </row>
    <row r="134">
      <c r="A134" s="7" t="n">
        <v>131</v>
      </c>
      <c r="B134" s="8" t="inlineStr">
        <is>
          <t xml:space="preserve">                os.makedirs(pid_offload, exist_ok=True)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 xml:space="preserve">                # 仅清理PID专属offload目录，不再删除共享目录中其他进程的文件</t>
        </is>
      </c>
    </row>
    <row r="137">
      <c r="A137" s="9" t="n">
        <v>134</v>
      </c>
      <c r="B137" s="10" t="inlineStr">
        <is>
          <t xml:space="preserve">                # （原代码 glob("*.safetensors") 会误删其他进程正在使用的权重文件）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 xml:space="preserve">                self._model = Qwen3VLForConditionalGeneration.from_pretrained(</t>
        </is>
      </c>
    </row>
    <row r="140">
      <c r="A140" s="7" t="n">
        <v>137</v>
      </c>
      <c r="B140" s="8" t="inlineStr">
        <is>
          <t xml:space="preserve">                    str(local_path),</t>
        </is>
      </c>
    </row>
    <row r="141">
      <c r="A141" s="9" t="n">
        <v>138</v>
      </c>
      <c r="B141" s="10" t="inlineStr">
        <is>
          <t xml:space="preserve">                    device_map='auto',</t>
        </is>
      </c>
    </row>
    <row r="142">
      <c r="A142" s="7" t="n">
        <v>139</v>
      </c>
      <c r="B142" s="8" t="inlineStr">
        <is>
          <t xml:space="preserve">                    trust_remote_code=True,</t>
        </is>
      </c>
    </row>
    <row r="143">
      <c r="A143" s="9" t="n">
        <v>140</v>
      </c>
      <c r="B143" s="10" t="inlineStr">
        <is>
          <t xml:space="preserve">                    torch_dtype=dt,</t>
        </is>
      </c>
    </row>
    <row r="144">
      <c r="A144" s="7" t="n">
        <v>141</v>
      </c>
      <c r="B144" s="8" t="inlineStr">
        <is>
          <t xml:space="preserve">                    offload_folder=pid_offload,</t>
        </is>
      </c>
    </row>
    <row r="145">
      <c r="A145" s="9" t="n">
        <v>142</v>
      </c>
      <c r="B145" s="10" t="inlineStr">
        <is>
          <t xml:space="preserve">                )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 xml:space="preserve">                self._loaded = FORCE_MODEL_DIR</t>
        </is>
      </c>
    </row>
    <row r="148">
      <c r="A148" s="7" t="n">
        <v>145</v>
      </c>
      <c r="B148" s="8" t="inlineStr">
        <is>
          <t xml:space="preserve">                print(f"   [Vision] Qwen3-VL-4B 加载成功 (device={self._model.device})")</t>
        </is>
      </c>
    </row>
    <row r="149">
      <c r="A149" s="9" t="n">
        <v>146</v>
      </c>
      <c r="B149" s="10" t="inlineStr">
        <is>
          <t xml:space="preserve">                return  # 成功，退出</t>
        </is>
      </c>
    </row>
    <row r="150">
      <c r="A150" s="7" t="n">
        <v>147</v>
      </c>
      <c r="B150" s="8" t="inlineStr"/>
    </row>
    <row r="151">
      <c r="A151" s="9" t="n">
        <v>148</v>
      </c>
      <c r="B151" s="10" t="inlineStr">
        <is>
          <t xml:space="preserve">            except (OSError, RuntimeError) as e:</t>
        </is>
      </c>
    </row>
    <row r="152">
      <c r="A152" s="7" t="n">
        <v>149</v>
      </c>
      <c r="B152" s="8" t="inlineStr">
        <is>
          <t xml:space="preserve">                last_error = e</t>
        </is>
      </c>
    </row>
    <row r="153">
      <c r="A153" s="9" t="n">
        <v>150</v>
      </c>
      <c r="B153" s="10" t="inlineStr">
        <is>
          <t xml:space="preserve">                err_msg = str(e)</t>
        </is>
      </c>
    </row>
    <row r="154">
      <c r="A154" s="7" t="n">
        <v>151</v>
      </c>
      <c r="B154" s="8" t="inlineStr">
        <is>
          <t xml:space="preserve">                # safetensors I/O error 1224: 文件映射冲突 → 重试</t>
        </is>
      </c>
    </row>
    <row r="155">
      <c r="A155" s="9" t="n">
        <v>152</v>
      </c>
      <c r="B155" s="10" t="inlineStr">
        <is>
          <t xml:space="preserve">                if "error 1224" in err_msg or "Error while serializing" in err_msg:</t>
        </is>
      </c>
    </row>
    <row r="156">
      <c r="A156" s="7" t="n">
        <v>153</v>
      </c>
      <c r="B156" s="8" t="inlineStr">
        <is>
          <t xml:space="preserve">                    print(f"   [Vision] offload冲突 (I/O 1224), 清理后重试...")</t>
        </is>
      </c>
    </row>
    <row r="157">
      <c r="A157" s="9" t="n">
        <v>154</v>
      </c>
      <c r="B157" s="10" t="inlineStr">
        <is>
          <t xml:space="preserve">                    # 仅清理本进程的offload目录，不影响其他进程</t>
        </is>
      </c>
    </row>
    <row r="158">
      <c r="A158" s="7" t="n">
        <v>155</v>
      </c>
      <c r="B158" s="8" t="inlineStr">
        <is>
          <t xml:space="preserve">                    try:</t>
        </is>
      </c>
    </row>
    <row r="159">
      <c r="A159" s="9" t="n">
        <v>156</v>
      </c>
      <c r="B159" s="10" t="inlineStr">
        <is>
          <t xml:space="preserve">                        if os.path.exists(pid_offload):</t>
        </is>
      </c>
    </row>
    <row r="160">
      <c r="A160" s="7" t="n">
        <v>157</v>
      </c>
      <c r="B160" s="8" t="inlineStr">
        <is>
          <t xml:space="preserve">                            shutil.rmtree(pid_offload, ignore_errors=True)</t>
        </is>
      </c>
    </row>
    <row r="161">
      <c r="A161" s="9" t="n">
        <v>158</v>
      </c>
      <c r="B161" s="10" t="inlineStr">
        <is>
          <t xml:space="preserve">                            os.makedirs(pid_offload, exist_ok=True)</t>
        </is>
      </c>
    </row>
    <row r="162">
      <c r="A162" s="7" t="n">
        <v>159</v>
      </c>
      <c r="B162" s="8" t="inlineStr">
        <is>
          <t xml:space="preserve">                    except Exception:</t>
        </is>
      </c>
    </row>
    <row r="163">
      <c r="A163" s="9" t="n">
        <v>160</v>
      </c>
      <c r="B163" s="10" t="inlineStr">
        <is>
          <t xml:space="preserve">                        pass</t>
        </is>
      </c>
    </row>
    <row r="164">
      <c r="A164" s="7" t="n">
        <v>161</v>
      </c>
      <c r="B164" s="8" t="inlineStr">
        <is>
          <t xml:space="preserve">                    import time</t>
        </is>
      </c>
    </row>
    <row r="165">
      <c r="A165" s="9" t="n">
        <v>162</v>
      </c>
      <c r="B165" s="10" t="inlineStr">
        <is>
          <t xml:space="preserve">                    time.sleep(2)  # 等文件系统释放锁</t>
        </is>
      </c>
    </row>
    <row r="166">
      <c r="A166" s="7" t="n">
        <v>163</v>
      </c>
      <c r="B166" s="8" t="inlineStr">
        <is>
          <t xml:space="preserve">                    continue</t>
        </is>
      </c>
    </row>
    <row r="167">
      <c r="A167" s="9" t="n">
        <v>164</v>
      </c>
      <c r="B167" s="10" t="inlineStr">
        <is>
          <t xml:space="preserve">                # 其他OS错误也重试</t>
        </is>
      </c>
    </row>
    <row r="168">
      <c r="A168" s="7" t="n">
        <v>165</v>
      </c>
      <c r="B168" s="8" t="inlineStr">
        <is>
          <t xml:space="preserve">                elif "No space left" in err_msg:</t>
        </is>
      </c>
    </row>
    <row r="169">
      <c r="A169" s="9" t="n">
        <v>166</v>
      </c>
      <c r="B169" s="10" t="inlineStr">
        <is>
          <t xml:space="preserve">                    print(f"   [Vision] 磁盘空间不足, 清理offload...")</t>
        </is>
      </c>
    </row>
    <row r="170">
      <c r="A170" s="7" t="n">
        <v>167</v>
      </c>
      <c r="B170" s="8" t="inlineStr">
        <is>
          <t xml:space="preserve">                    try:</t>
        </is>
      </c>
    </row>
    <row r="171">
      <c r="A171" s="9" t="n">
        <v>168</v>
      </c>
      <c r="B171" s="10" t="inlineStr">
        <is>
          <t xml:space="preserve">                        shutil.rmtree(base_offload, ignore_errors=True)</t>
        </is>
      </c>
    </row>
    <row r="172">
      <c r="A172" s="7" t="n">
        <v>169</v>
      </c>
      <c r="B172" s="8" t="inlineStr">
        <is>
          <t xml:space="preserve">                        os.makedirs(base_offload, exist_ok=True)</t>
        </is>
      </c>
    </row>
    <row r="173">
      <c r="A173" s="9" t="n">
        <v>170</v>
      </c>
      <c r="B173" s="10" t="inlineStr">
        <is>
          <t xml:space="preserve">                    except Exception:</t>
        </is>
      </c>
    </row>
    <row r="174">
      <c r="A174" s="7" t="n">
        <v>171</v>
      </c>
      <c r="B174" s="8" t="inlineStr">
        <is>
          <t xml:space="preserve">                        pass</t>
        </is>
      </c>
    </row>
    <row r="175">
      <c r="A175" s="9" t="n">
        <v>172</v>
      </c>
      <c r="B175" s="10" t="inlineStr">
        <is>
          <t xml:space="preserve">                    continue</t>
        </is>
      </c>
    </row>
    <row r="176">
      <c r="A176" s="7" t="n">
        <v>173</v>
      </c>
      <c r="B176" s="8" t="inlineStr">
        <is>
          <t xml:space="preserve">                else:</t>
        </is>
      </c>
    </row>
    <row r="177">
      <c r="A177" s="9" t="n">
        <v>174</v>
      </c>
      <c r="B177" s="10" t="inlineStr">
        <is>
          <t xml:space="preserve">                    break  # 未知错误，不重试</t>
        </is>
      </c>
    </row>
    <row r="178">
      <c r="A178" s="7" t="n">
        <v>175</v>
      </c>
      <c r="B178" s="8" t="inlineStr"/>
    </row>
    <row r="179">
      <c r="A179" s="9" t="n">
        <v>176</v>
      </c>
      <c r="B179" s="10" t="inlineStr">
        <is>
          <t xml:space="preserve">            except ImportError as e:</t>
        </is>
      </c>
    </row>
    <row r="180">
      <c r="A180" s="7" t="n">
        <v>177</v>
      </c>
      <c r="B180" s="8" t="inlineStr">
        <is>
          <t xml:space="preserve">                raise RuntimeError(</t>
        </is>
      </c>
    </row>
    <row r="181">
      <c r="A181" s="9" t="n">
        <v>178</v>
      </c>
      <c r="B181" s="10" t="inlineStr">
        <is>
          <t xml:space="preserve">                    f"缺少依赖包: {e}\n"</t>
        </is>
      </c>
    </row>
    <row r="182">
      <c r="A182" s="7" t="n">
        <v>179</v>
      </c>
      <c r="B182" s="8" t="inlineStr">
        <is>
          <t xml:space="preserve">                    f"请运行: pip install torch transformers Pillow"</t>
        </is>
      </c>
    </row>
    <row r="183">
      <c r="A183" s="9" t="n">
        <v>180</v>
      </c>
      <c r="B183" s="10" t="inlineStr">
        <is>
          <t xml:space="preserve">                ) from e</t>
        </is>
      </c>
    </row>
    <row r="184">
      <c r="A184" s="7" t="n">
        <v>181</v>
      </c>
      <c r="B184" s="8" t="inlineStr">
        <is>
          <t xml:space="preserve">            except Exception as e:</t>
        </is>
      </c>
    </row>
    <row r="185">
      <c r="A185" s="9" t="n">
        <v>182</v>
      </c>
      <c r="B185" s="10" t="inlineStr">
        <is>
          <t xml:space="preserve">                last_error = e</t>
        </is>
      </c>
    </row>
    <row r="186">
      <c r="A186" s="7" t="n">
        <v>183</v>
      </c>
      <c r="B186" s="8" t="inlineStr">
        <is>
          <t xml:space="preserve">                if attempt &lt; 2:</t>
        </is>
      </c>
    </row>
    <row r="187">
      <c r="A187" s="9" t="n">
        <v>184</v>
      </c>
      <c r="B187" s="10" t="inlineStr">
        <is>
          <t xml:space="preserve">                    print(f"   [Vision] 加载异常, 2s后重试: {e}")</t>
        </is>
      </c>
    </row>
    <row r="188">
      <c r="A188" s="7" t="n">
        <v>185</v>
      </c>
      <c r="B188" s="8" t="inlineStr">
        <is>
          <t xml:space="preserve">                    import time</t>
        </is>
      </c>
    </row>
    <row r="189">
      <c r="A189" s="9" t="n">
        <v>186</v>
      </c>
      <c r="B189" s="10" t="inlineStr">
        <is>
          <t xml:space="preserve">                    time.sleep(2)</t>
        </is>
      </c>
    </row>
    <row r="190">
      <c r="A190" s="7" t="n">
        <v>187</v>
      </c>
      <c r="B190" s="8" t="inlineStr">
        <is>
          <t xml:space="preserve">                    continue</t>
        </is>
      </c>
    </row>
    <row r="191">
      <c r="A191" s="9" t="n">
        <v>188</v>
      </c>
      <c r="B191" s="10" t="inlineStr">
        <is>
          <t xml:space="preserve">                break</t>
        </is>
      </c>
    </row>
    <row r="192">
      <c r="A192" s="7" t="n">
        <v>189</v>
      </c>
      <c r="B192" s="8" t="inlineStr"/>
    </row>
    <row r="193">
      <c r="A193" s="9" t="n">
        <v>190</v>
      </c>
      <c r="B193" s="10" t="inlineStr">
        <is>
          <t xml:space="preserve">        raise RuntimeError(</t>
        </is>
      </c>
    </row>
    <row r="194">
      <c r="A194" s="7" t="n">
        <v>191</v>
      </c>
      <c r="B194" s="8" t="inlineStr">
        <is>
          <t xml:space="preserve">            f"Qwen3-VL-4B 加载失败 (3次尝试): {last_error}\n"</t>
        </is>
      </c>
    </row>
    <row r="195">
      <c r="A195" s="9" t="n">
        <v>192</v>
      </c>
      <c r="B195" s="10" t="inlineStr">
        <is>
          <t xml:space="preserve">            f"模型目录: {local_path}\n"</t>
        </is>
      </c>
    </row>
    <row r="196">
      <c r="A196" s="7" t="n">
        <v>193</v>
      </c>
      <c r="B196" s="8" t="inlineStr">
        <is>
          <t xml:space="preserve">            f"{FIX_INSTRUCTIONS}"</t>
        </is>
      </c>
    </row>
    <row r="197">
      <c r="A197" s="9" t="n">
        <v>194</v>
      </c>
      <c r="B197" s="10" t="inlineStr">
        <is>
          <t xml:space="preserve">        ) from last_error</t>
        </is>
      </c>
    </row>
    <row r="198">
      <c r="A198" s="7" t="n">
        <v>195</v>
      </c>
      <c r="B198" s="8" t="inlineStr"/>
    </row>
    <row r="199">
      <c r="A199" s="9" t="n">
        <v>196</v>
      </c>
      <c r="B199" s="10" t="inlineStr">
        <is>
          <t xml:space="preserve">    @property</t>
        </is>
      </c>
    </row>
    <row r="200">
      <c r="A200" s="7" t="n">
        <v>197</v>
      </c>
      <c r="B200" s="8" t="inlineStr">
        <is>
          <t xml:space="preserve">    def available(self) -&gt; bool:</t>
        </is>
      </c>
    </row>
    <row r="201">
      <c r="A201" s="9" t="n">
        <v>198</v>
      </c>
      <c r="B201" s="10" t="inlineStr">
        <is>
          <t xml:space="preserve">        return self._model is not None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 xml:space="preserve">    def analyze(self, image_path: str) -&gt; dict:</t>
        </is>
      </c>
    </row>
    <row r="204">
      <c r="A204" s="7" t="n">
        <v>201</v>
      </c>
      <c r="B204" s="8" t="inlineStr">
        <is>
          <t xml:space="preserve">        """分析画面 — 返回 {caption, objects, materials, colors, style}"""</t>
        </is>
      </c>
    </row>
    <row r="205">
      <c r="A205" s="9" t="n">
        <v>202</v>
      </c>
      <c r="B205" s="10" t="inlineStr">
        <is>
          <t xml:space="preserve">        if not self._model:</t>
        </is>
      </c>
    </row>
    <row r="206">
      <c r="A206" s="7" t="n">
        <v>203</v>
      </c>
      <c r="B206" s="8" t="inlineStr">
        <is>
          <t xml:space="preserve">            raise RuntimeError("VisionModel 未初始化，请检查 Qwen3-VL-4B 模型")</t>
        </is>
      </c>
    </row>
    <row r="207">
      <c r="A207" s="9" t="n">
        <v>204</v>
      </c>
      <c r="B207" s="10" t="inlineStr"/>
    </row>
    <row r="208">
      <c r="A208" s="7" t="n">
        <v>205</v>
      </c>
      <c r="B208" s="8" t="inlineStr">
        <is>
          <t xml:space="preserve">        try:</t>
        </is>
      </c>
    </row>
    <row r="209">
      <c r="A209" s="9" t="n">
        <v>206</v>
      </c>
      <c r="B209" s="10" t="inlineStr">
        <is>
          <t xml:space="preserve">            from PIL import Image</t>
        </is>
      </c>
    </row>
    <row r="210">
      <c r="A210" s="7" t="n">
        <v>207</v>
      </c>
      <c r="B210" s="8" t="inlineStr">
        <is>
          <t xml:space="preserve">            image = Image.open(image_path).convert("RGB")</t>
        </is>
      </c>
    </row>
    <row r="211">
      <c r="A211" s="9" t="n">
        <v>208</v>
      </c>
      <c r="B211" s="10" t="inlineStr"/>
    </row>
    <row r="212">
      <c r="A212" s="7" t="n">
        <v>209</v>
      </c>
      <c r="B212" s="8" t="inlineStr">
        <is>
          <t xml:space="preserve">            # Qwen3-VL requires chat-format input (text + image)</t>
        </is>
      </c>
    </row>
    <row r="213">
      <c r="A213" s="9" t="n">
        <v>210</v>
      </c>
      <c r="B213" s="10" t="inlineStr">
        <is>
          <t xml:space="preserve">            messages = [{</t>
        </is>
      </c>
    </row>
    <row r="214">
      <c r="A214" s="7" t="n">
        <v>211</v>
      </c>
      <c r="B214" s="8" t="inlineStr">
        <is>
          <t xml:space="preserve">                "role": "user",</t>
        </is>
      </c>
    </row>
    <row r="215">
      <c r="A215" s="9" t="n">
        <v>212</v>
      </c>
      <c r="B215" s="10" t="inlineStr">
        <is>
          <t xml:space="preserve">                "content": [</t>
        </is>
      </c>
    </row>
    <row r="216">
      <c r="A216" s="7" t="n">
        <v>213</v>
      </c>
      <c r="B216" s="8" t="inlineStr">
        <is>
          <t xml:space="preserve">                    {"type": "image", "image": image},</t>
        </is>
      </c>
    </row>
    <row r="217">
      <c r="A217" s="9" t="n">
        <v>214</v>
      </c>
      <c r="B217" s="10" t="inlineStr">
        <is>
          <t xml:space="preserve">                    {"type": "text", "text": "描述这个岛台厨房画面中的物体、材质、颜色和风格。用中文简短回答，逗号分隔。"},</t>
        </is>
      </c>
    </row>
    <row r="218">
      <c r="A218" s="7" t="n">
        <v>215</v>
      </c>
      <c r="B218" s="8" t="inlineStr">
        <is>
          <t xml:space="preserve">                ]</t>
        </is>
      </c>
    </row>
    <row r="219">
      <c r="A219" s="9" t="n">
        <v>216</v>
      </c>
      <c r="B219" s="10" t="inlineStr">
        <is>
          <t xml:space="preserve">            }]</t>
        </is>
      </c>
    </row>
    <row r="220">
      <c r="A220" s="7" t="n">
        <v>217</v>
      </c>
      <c r="B220" s="8" t="inlineStr">
        <is>
          <t xml:space="preserve">            prompt = self._processor.apply_chat_template(</t>
        </is>
      </c>
    </row>
    <row r="221">
      <c r="A221" s="9" t="n">
        <v>218</v>
      </c>
      <c r="B221" s="10" t="inlineStr">
        <is>
          <t xml:space="preserve">                messages, tokenize=False, add_generation_prompt=True</t>
        </is>
      </c>
    </row>
    <row r="222">
      <c r="A222" s="7" t="n">
        <v>219</v>
      </c>
      <c r="B222" s="8" t="inlineStr">
        <is>
          <t xml:space="preserve">            )</t>
        </is>
      </c>
    </row>
    <row r="223">
      <c r="A223" s="9" t="n">
        <v>220</v>
      </c>
      <c r="B223" s="10" t="inlineStr">
        <is>
          <t xml:space="preserve">            inputs = self._processor(</t>
        </is>
      </c>
    </row>
    <row r="224">
      <c r="A224" s="7" t="n">
        <v>221</v>
      </c>
      <c r="B224" s="8" t="inlineStr">
        <is>
          <t xml:space="preserve">                text=prompt, images=[image], return_tensors="pt"</t>
        </is>
      </c>
    </row>
    <row r="225">
      <c r="A225" s="9" t="n">
        <v>222</v>
      </c>
      <c r="B225" s="10" t="inlineStr">
        <is>
          <t xml:space="preserve">            ).to(self._model.device)</t>
        </is>
      </c>
    </row>
    <row r="226">
      <c r="A226" s="7" t="n">
        <v>223</v>
      </c>
      <c r="B226" s="8" t="inlineStr"/>
    </row>
    <row r="227">
      <c r="A227" s="9" t="n">
        <v>224</v>
      </c>
      <c r="B227" s="10" t="inlineStr">
        <is>
          <t xml:space="preserve">            out = self._model.generate(**inputs, max_new_tokens=128)</t>
        </is>
      </c>
    </row>
    <row r="228">
      <c r="A228" s="7" t="n">
        <v>225</v>
      </c>
      <c r="B228" s="8" t="inlineStr">
        <is>
          <t xml:space="preserve">            text = self._processor.decode(out[0], skip_special_tokens=True)</t>
        </is>
      </c>
    </row>
    <row r="229">
      <c r="A229" s="9" t="n">
        <v>226</v>
      </c>
      <c r="B229" s="10" t="inlineStr"/>
    </row>
    <row r="230">
      <c r="A230" s="7" t="n">
        <v>227</v>
      </c>
      <c r="B230" s="8" t="inlineStr">
        <is>
          <t xml:space="preserve">            # Clean chat template artifacts (Qwen3-VL outputs user/assistant tags)</t>
        </is>
      </c>
    </row>
    <row r="231">
      <c r="A231" s="9" t="n">
        <v>228</v>
      </c>
      <c r="B231" s="10" t="inlineStr">
        <is>
          <t xml:space="preserve">            # Extract only the assistant's response</t>
        </is>
      </c>
    </row>
    <row r="232">
      <c r="A232" s="7" t="n">
        <v>229</v>
      </c>
      <c r="B232" s="8" t="inlineStr">
        <is>
          <t xml:space="preserve">            if "assistant" in text:</t>
        </is>
      </c>
    </row>
    <row r="233">
      <c r="A233" s="9" t="n">
        <v>230</v>
      </c>
      <c r="B233" s="10" t="inlineStr">
        <is>
          <t xml:space="preserve">                parts = text.split("assistant")</t>
        </is>
      </c>
    </row>
    <row r="234">
      <c r="A234" s="7" t="n">
        <v>231</v>
      </c>
      <c r="B234" s="8" t="inlineStr">
        <is>
          <t xml:space="preserve">                text = parts[-1].strip()</t>
        </is>
      </c>
    </row>
    <row r="235">
      <c r="A235" s="9" t="n">
        <v>232</v>
      </c>
      <c r="B235" s="10" t="inlineStr">
        <is>
          <t xml:space="preserve">            # Remove any remaining user/system prompt fragments</t>
        </is>
      </c>
    </row>
    <row r="236">
      <c r="A236" s="7" t="n">
        <v>233</v>
      </c>
      <c r="B236" s="8" t="inlineStr">
        <is>
          <t xml:space="preserve">            text = text.replace("user\n", "").replace("assistant\n", "").strip()</t>
        </is>
      </c>
    </row>
    <row r="237">
      <c r="A237" s="9" t="n">
        <v>234</v>
      </c>
      <c r="B237" s="10" t="inlineStr"/>
    </row>
    <row r="238">
      <c r="A238" s="7" t="n">
        <v>235</v>
      </c>
      <c r="B238" s="8" t="inlineStr">
        <is>
          <t xml:space="preserve">            # 解析标签</t>
        </is>
      </c>
    </row>
    <row r="239">
      <c r="A239" s="9" t="n">
        <v>236</v>
      </c>
      <c r="B239" s="10" t="inlineStr">
        <is>
          <t xml:space="preserve">            res = {"caption": text, "objects": [], "materials": [], "colors": [], "style": ""}</t>
        </is>
      </c>
    </row>
    <row r="240">
      <c r="A240" s="7" t="n">
        <v>237</v>
      </c>
      <c r="B240" s="8" t="inlineStr">
        <is>
          <t xml:space="preserve">            for p in text.replace("，", ",").split(","):</t>
        </is>
      </c>
    </row>
    <row r="241">
      <c r="A241" s="9" t="n">
        <v>238</v>
      </c>
      <c r="B241" s="10" t="inlineStr">
        <is>
          <t xml:space="preserve">                p = p.strip()</t>
        </is>
      </c>
    </row>
    <row r="242">
      <c r="A242" s="7" t="n">
        <v>239</v>
      </c>
      <c r="B242" s="8" t="inlineStr">
        <is>
          <t xml:space="preserve">                if not p:</t>
        </is>
      </c>
    </row>
    <row r="243">
      <c r="A243" s="9" t="n">
        <v>240</v>
      </c>
      <c r="B243" s="10" t="inlineStr">
        <is>
          <t xml:space="preserve">                    continue</t>
        </is>
      </c>
    </row>
    <row r="244">
      <c r="A244" s="7" t="n">
        <v>241</v>
      </c>
      <c r="B244" s="8" t="inlineStr">
        <is>
          <t xml:space="preserve">                if any(k in p for k in ["岛台", "抽屉", "烤箱", "插座", "水槽", "灯带",</t>
        </is>
      </c>
    </row>
    <row r="245">
      <c r="A245" s="9" t="n">
        <v>242</v>
      </c>
      <c r="B245" s="10" t="inlineStr">
        <is>
          <t xml:space="preserve">                                          "冰箱", "拉篮", "餐桌", "吧台", "柜"]):</t>
        </is>
      </c>
    </row>
    <row r="246">
      <c r="A246" s="7" t="n">
        <v>243</v>
      </c>
      <c r="B246" s="8" t="inlineStr">
        <is>
          <t xml:space="preserve">                    res["objects"].append(p)</t>
        </is>
      </c>
    </row>
    <row r="247">
      <c r="A247" s="9" t="n">
        <v>244</v>
      </c>
      <c r="B247" s="10" t="inlineStr">
        <is>
          <t xml:space="preserve">                if any(k in p for k in ["岩板", "石", "木", "钢", "玻璃", "水泥", "不锈钢",</t>
        </is>
      </c>
    </row>
    <row r="248">
      <c r="A248" s="7" t="n">
        <v>245</v>
      </c>
      <c r="B248" s="8" t="inlineStr">
        <is>
          <t xml:space="preserve">                                          "亚克力", "微水泥", "洞石"]):</t>
        </is>
      </c>
    </row>
    <row r="249">
      <c r="A249" s="9" t="n">
        <v>246</v>
      </c>
      <c r="B249" s="10" t="inlineStr">
        <is>
          <t xml:space="preserve">                    res["materials"].append(p)</t>
        </is>
      </c>
    </row>
    <row r="250">
      <c r="A250" s="7" t="n">
        <v>247</v>
      </c>
      <c r="B250" s="8" t="inlineStr">
        <is>
          <t xml:space="preserve">                if any(k in p for k in ["白", "黑", "灰", "棕", "米", "蓝", "绿", "红",</t>
        </is>
      </c>
    </row>
    <row r="251">
      <c r="A251" s="9" t="n">
        <v>248</v>
      </c>
      <c r="B251" s="10" t="inlineStr">
        <is>
          <t xml:space="preserve">                                          "金", "银", "奶", "原木"]):</t>
        </is>
      </c>
    </row>
    <row r="252">
      <c r="A252" s="7" t="n">
        <v>249</v>
      </c>
      <c r="B252" s="8" t="inlineStr">
        <is>
          <t xml:space="preserve">                    res["colors"].append(p)</t>
        </is>
      </c>
    </row>
    <row r="253">
      <c r="A253" s="9" t="n">
        <v>250</v>
      </c>
      <c r="B253" s="10" t="inlineStr">
        <is>
          <t xml:space="preserve">                if any(k in p for k in ["风", "简约", "现代", "复古", "侘寂", "轻奢",</t>
        </is>
      </c>
    </row>
    <row r="254">
      <c r="A254" s="7" t="n">
        <v>251</v>
      </c>
      <c r="B254" s="8" t="inlineStr">
        <is>
          <t xml:space="preserve">                                          "工业", "北欧", "中式", "原木"]):</t>
        </is>
      </c>
    </row>
    <row r="255">
      <c r="A255" s="9" t="n">
        <v>252</v>
      </c>
      <c r="B255" s="10" t="inlineStr">
        <is>
          <t xml:space="preserve">                    if not res["style"]:</t>
        </is>
      </c>
    </row>
    <row r="256">
      <c r="A256" s="7" t="n">
        <v>253</v>
      </c>
      <c r="B256" s="8" t="inlineStr">
        <is>
          <t xml:space="preserve">                        res["style"] = p</t>
        </is>
      </c>
    </row>
    <row r="257">
      <c r="A257" s="9" t="n">
        <v>254</v>
      </c>
      <c r="B257" s="10" t="inlineStr"/>
    </row>
    <row r="258">
      <c r="A258" s="7" t="n">
        <v>255</v>
      </c>
      <c r="B258" s="8" t="inlineStr">
        <is>
          <t xml:space="preserve">            return res</t>
        </is>
      </c>
    </row>
    <row r="259">
      <c r="A259" s="9" t="n">
        <v>256</v>
      </c>
      <c r="B259" s="10" t="inlineStr">
        <is>
          <t xml:space="preserve">        except Exception as e:</t>
        </is>
      </c>
    </row>
    <row r="260">
      <c r="A260" s="7" t="n">
        <v>257</v>
      </c>
      <c r="B260" s="8" t="inlineStr">
        <is>
          <t xml:space="preserve">            print(f"   [Vision] 推理失败: {e}")</t>
        </is>
      </c>
    </row>
    <row r="261">
      <c r="A261" s="9" t="n">
        <v>258</v>
      </c>
      <c r="B261" s="10" t="inlineStr">
        <is>
          <t xml:space="preserve">            raise</t>
        </is>
      </c>
    </row>
    <row r="262">
      <c r="A262" s="7" t="n">
        <v>259</v>
      </c>
      <c r="B262" s="8" t="inlineStr"/>
    </row>
    <row r="263">
      <c r="A263" s="9" t="n">
        <v>260</v>
      </c>
      <c r="B263" s="10" t="inlineStr"/>
    </row>
    <row r="264">
      <c r="A264" s="7" t="n">
        <v>261</v>
      </c>
      <c r="B264" s="8" t="inlineStr">
        <is>
          <t># ── 线程安全单例 ──</t>
        </is>
      </c>
    </row>
    <row r="265">
      <c r="A265" s="9" t="n">
        <v>262</v>
      </c>
      <c r="B265" s="10" t="inlineStr">
        <is>
          <t>_vision = None</t>
        </is>
      </c>
    </row>
    <row r="266">
      <c r="A266" s="7" t="n">
        <v>263</v>
      </c>
      <c r="B266" s="8" t="inlineStr">
        <is>
          <t>_vision_lock = __import__('threading').Lock()</t>
        </is>
      </c>
    </row>
    <row r="267">
      <c r="A267" s="9" t="n">
        <v>264</v>
      </c>
      <c r="B267" s="10" t="inlineStr"/>
    </row>
    <row r="268">
      <c r="A268" s="7" t="n">
        <v>265</v>
      </c>
      <c r="B268" s="8" t="inlineStr"/>
    </row>
    <row r="269">
      <c r="A269" s="9" t="n">
        <v>266</v>
      </c>
      <c r="B269" s="10" t="inlineStr">
        <is>
          <t>def get_vision_model() -&gt; VisionModel:</t>
        </is>
      </c>
    </row>
    <row r="270">
      <c r="A270" s="7" t="n">
        <v>267</v>
      </c>
      <c r="B270" s="8" t="inlineStr">
        <is>
          <t xml:space="preserve">    """获取全局 VisionModel 单例（线程安全）"""</t>
        </is>
      </c>
    </row>
    <row r="271">
      <c r="A271" s="9" t="n">
        <v>268</v>
      </c>
      <c r="B271" s="10" t="inlineStr">
        <is>
          <t xml:space="preserve">    global _vision</t>
        </is>
      </c>
    </row>
    <row r="272">
      <c r="A272" s="7" t="n">
        <v>269</v>
      </c>
      <c r="B272" s="8" t="inlineStr">
        <is>
          <t xml:space="preserve">    if _vision is None:</t>
        </is>
      </c>
    </row>
    <row r="273">
      <c r="A273" s="9" t="n">
        <v>270</v>
      </c>
      <c r="B273" s="10" t="inlineStr">
        <is>
          <t xml:space="preserve">        with _vision_lock:</t>
        </is>
      </c>
    </row>
    <row r="274">
      <c r="A274" s="7" t="n">
        <v>271</v>
      </c>
      <c r="B274" s="8" t="inlineStr">
        <is>
          <t xml:space="preserve">            if _vision is None:</t>
        </is>
      </c>
    </row>
    <row r="275">
      <c r="A275" s="9" t="n">
        <v>272</v>
      </c>
      <c r="B275" s="10" t="inlineStr">
        <is>
          <t xml:space="preserve">                _vision = VisionModel()</t>
        </is>
      </c>
    </row>
    <row r="276">
      <c r="A276" s="7" t="n">
        <v>273</v>
      </c>
      <c r="B276" s="8" t="inlineStr">
        <is>
          <t xml:space="preserve">    return _vision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core\workflow_engine.py</t>
        </is>
      </c>
      <c r="C1" s="5" t="inlineStr">
        <is>
          <t>行数: 188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工作流引擎 v3.0 - 断点续跑 + 插件编排 + 全链路闭环</t>
        </is>
      </c>
    </row>
    <row r="6">
      <c r="A6" s="7" t="n">
        <v>3</v>
      </c>
      <c r="B6" s="8" t="inlineStr">
        <is>
          <t>质检 → 纠错 → 复检 → 归档，支持崩溃恢复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pickle</t>
        </is>
      </c>
    </row>
    <row r="9">
      <c r="A9" s="9" t="n">
        <v>6</v>
      </c>
      <c r="B9" s="10" t="inlineStr">
        <is>
          <t>import time</t>
        </is>
      </c>
    </row>
    <row r="10">
      <c r="A10" s="7" t="n">
        <v>7</v>
      </c>
      <c r="B10" s="8" t="inlineStr">
        <is>
          <t>from utils.logger import get_logger</t>
        </is>
      </c>
    </row>
    <row r="11">
      <c r="A11" s="9" t="n">
        <v>8</v>
      </c>
      <c r="B11" s="10" t="inlineStr">
        <is>
          <t>from utils.vram_manager import release_gpu_memory</t>
        </is>
      </c>
    </row>
    <row r="12">
      <c r="A12" s="7" t="n">
        <v>9</v>
      </c>
      <c r="B12" s="8" t="inlineStr">
        <is>
          <t>from core.database import execute_sql, query_sql</t>
        </is>
      </c>
    </row>
    <row r="13">
      <c r="A13" s="9" t="n">
        <v>10</v>
      </c>
      <c r="B13" s="10" t="inlineStr">
        <is>
          <t>from core.config_loader import CONFIG</t>
        </is>
      </c>
    </row>
    <row r="14">
      <c r="A14" s="7" t="n">
        <v>11</v>
      </c>
      <c r="B14" s="8" t="inlineStr">
        <is>
          <t>from core.plugin_manager import plugin_manager</t>
        </is>
      </c>
    </row>
    <row r="15">
      <c r="A15" s="9" t="n">
        <v>12</v>
      </c>
      <c r="B15" s="10" t="inlineStr">
        <is>
          <t>logger = get_logger("workflow")</t>
        </is>
      </c>
    </row>
    <row r="16">
      <c r="A16" s="7" t="n">
        <v>13</v>
      </c>
      <c r="B16" s="8" t="inlineStr">
        <is>
          <t># 节点执行顺序</t>
        </is>
      </c>
    </row>
    <row r="17">
      <c r="A17" s="9" t="n">
        <v>14</v>
      </c>
      <c r="B17" s="10" t="inlineStr">
        <is>
          <t>WORKFLOW_NODES = [</t>
        </is>
      </c>
    </row>
    <row r="18">
      <c r="A18" s="7" t="n">
        <v>15</v>
      </c>
      <c r="B18" s="8" t="inlineStr">
        <is>
          <t xml:space="preserve">    ("start", None),</t>
        </is>
      </c>
    </row>
    <row r="19">
      <c r="A19" s="9" t="n">
        <v>16</v>
      </c>
      <c r="B19" s="10" t="inlineStr">
        <is>
          <t xml:space="preserve">    ("video_split", ("recognize", "video_split")),</t>
        </is>
      </c>
    </row>
    <row r="20">
      <c r="A20" s="7" t="n">
        <v>17</v>
      </c>
      <c r="B20" s="8" t="inlineStr">
        <is>
          <t xml:space="preserve">    ("audio_transcribe", ("recognize", "audio_transcribe")),</t>
        </is>
      </c>
    </row>
    <row r="21">
      <c r="A21" s="9" t="n">
        <v>18</v>
      </c>
      <c r="B21" s="10" t="inlineStr">
        <is>
          <t xml:space="preserve">    ("subtitle_ocr", ("recognize", "subtitle_ocr")),</t>
        </is>
      </c>
    </row>
    <row r="22">
      <c r="A22" s="7" t="n">
        <v>19</v>
      </c>
      <c r="B22" s="8" t="inlineStr">
        <is>
          <t xml:space="preserve">    ("scene_tag", ("recognize", "scene_tag")),</t>
        </is>
      </c>
    </row>
    <row r="23">
      <c r="A23" s="9" t="n">
        <v>20</v>
      </c>
      <c r="B23" s="10" t="inlineStr">
        <is>
          <t xml:space="preserve">    ("bgm_classify", ("recognize", "bgm_classify")),</t>
        </is>
      </c>
    </row>
    <row r="24">
      <c r="A24" s="7" t="n">
        <v>21</v>
      </c>
      <c r="B24" s="8" t="inlineStr">
        <is>
          <t xml:space="preserve">    ("quality_black", ("quality", "black_frame")),</t>
        </is>
      </c>
    </row>
    <row r="25">
      <c r="A25" s="9" t="n">
        <v>22</v>
      </c>
      <c r="B25" s="10" t="inlineStr">
        <is>
          <t xml:space="preserve">    ("quality_param", ("quality", "param_check")),</t>
        </is>
      </c>
    </row>
    <row r="26">
      <c r="A26" s="7" t="n">
        <v>23</v>
      </c>
      <c r="B26" s="8" t="inlineStr">
        <is>
          <t xml:space="preserve">    ("quality_blur", ("quality", "blur_stutter")),</t>
        </is>
      </c>
    </row>
    <row r="27">
      <c r="A27" s="9" t="n">
        <v>24</v>
      </c>
      <c r="B27" s="10" t="inlineStr">
        <is>
          <t xml:space="preserve">    ("quality_aspect", ("quality", "aspect_check")),</t>
        </is>
      </c>
    </row>
    <row r="28">
      <c r="A28" s="7" t="n">
        <v>25</v>
      </c>
      <c r="B28" s="8" t="inlineStr">
        <is>
          <t xml:space="preserve">    ("quality_sync", ("quality", "subtitle_sync")),</t>
        </is>
      </c>
    </row>
    <row r="29">
      <c r="A29" s="9" t="n">
        <v>26</v>
      </c>
      <c r="B29" s="10" t="inlineStr">
        <is>
          <t xml:space="preserve">    ("quality_brand", ("quality", "brand_detect")),</t>
        </is>
      </c>
    </row>
    <row r="30">
      <c r="A30" s="7" t="n">
        <v>27</v>
      </c>
      <c r="B30" s="8" t="inlineStr">
        <is>
          <t xml:space="preserve">    ("quality_summary", None),</t>
        </is>
      </c>
    </row>
    <row r="31">
      <c r="A31" s="9" t="n">
        <v>28</v>
      </c>
      <c r="B31" s="10" t="inlineStr">
        <is>
          <t xml:space="preserve">    ("auto_correct", ("correct", "trim_black")),</t>
        </is>
      </c>
    </row>
    <row r="32">
      <c r="A32" s="7" t="n">
        <v>29</v>
      </c>
      <c r="B32" s="8" t="inlineStr">
        <is>
          <t xml:space="preserve">    ("recheck", None),</t>
        </is>
      </c>
    </row>
    <row r="33">
      <c r="A33" s="9" t="n">
        <v>30</v>
      </c>
      <c r="B33" s="10" t="inlineStr">
        <is>
          <t xml:space="preserve">    ("archive", None),</t>
        </is>
      </c>
    </row>
    <row r="34">
      <c r="A34" s="7" t="n">
        <v>31</v>
      </c>
      <c r="B34" s="8" t="inlineStr">
        <is>
          <t xml:space="preserve">    ("end", None),</t>
        </is>
      </c>
    </row>
    <row r="35">
      <c r="A35" s="9" t="n">
        <v>32</v>
      </c>
      <c r="B35" s="10" t="inlineStr">
        <is>
          <t>]</t>
        </is>
      </c>
    </row>
    <row r="36">
      <c r="A36" s="7" t="n">
        <v>33</v>
      </c>
      <c r="B36" s="8" t="inlineStr">
        <is>
          <t>class WorkflowEngine:</t>
        </is>
      </c>
    </row>
    <row r="37">
      <c r="A37" s="9" t="n">
        <v>34</v>
      </c>
      <c r="B37" s="10" t="inlineStr">
        <is>
          <t xml:space="preserve">    """工作流引擎：断点续跑 + 插件执行 + 自动降级"""</t>
        </is>
      </c>
    </row>
    <row r="38">
      <c r="A38" s="7" t="n">
        <v>35</v>
      </c>
      <c r="B38" s="8" t="inlineStr">
        <is>
          <t xml:space="preserve">    def __init__(self):</t>
        </is>
      </c>
    </row>
    <row r="39">
      <c r="A39" s="9" t="n">
        <v>36</v>
      </c>
      <c r="B39" s="10" t="inlineStr">
        <is>
          <t xml:space="preserve">        self.enable_persistence = CONFIG["workflow"]["enable_persistence"]</t>
        </is>
      </c>
    </row>
    <row r="40">
      <c r="A40" s="7" t="n">
        <v>37</v>
      </c>
      <c r="B40" s="8" t="inlineStr">
        <is>
          <t xml:space="preserve">        self.retry_times = CONFIG["workflow"]["auto_retry_times"]</t>
        </is>
      </c>
    </row>
    <row r="41">
      <c r="A41" s="9" t="n">
        <v>38</v>
      </c>
      <c r="B41" s="10" t="inlineStr">
        <is>
          <t xml:space="preserve">        logger.info("工作流引擎 v3.0 初始化完成，支持断点续跑")</t>
        </is>
      </c>
    </row>
    <row r="42">
      <c r="A42" s="7" t="n">
        <v>39</v>
      </c>
      <c r="B42" s="8" t="inlineStr">
        <is>
          <t xml:space="preserve">    def _execute_node(self, node_name: str, plugin_ref: tuple | None, material_id: int, video_path: str) -&gt; bool:</t>
        </is>
      </c>
    </row>
    <row r="43">
      <c r="A43" s="9" t="n">
        <v>40</v>
      </c>
      <c r="B43" s="10" t="inlineStr">
        <is>
          <t xml:space="preserve">        """执行单个工作流节点"""</t>
        </is>
      </c>
    </row>
    <row r="44">
      <c r="A44" s="7" t="n">
        <v>41</v>
      </c>
      <c r="B44" s="8" t="inlineStr">
        <is>
          <t xml:space="preserve">        logger.debug(f"执行节点: {node_name}")</t>
        </is>
      </c>
    </row>
    <row r="45">
      <c r="A45" s="9" t="n">
        <v>42</v>
      </c>
      <c r="B45" s="10" t="inlineStr">
        <is>
          <t xml:space="preserve">        execute_sql(</t>
        </is>
      </c>
    </row>
    <row r="46">
      <c r="A46" s="7" t="n">
        <v>43</v>
      </c>
      <c r="B46" s="8" t="inlineStr">
        <is>
          <t xml:space="preserve">            "UPDATE tasks SET current_node=? WHERE material_id=?",</t>
        </is>
      </c>
    </row>
    <row r="47">
      <c r="A47" s="9" t="n">
        <v>44</v>
      </c>
      <c r="B47" s="10" t="inlineStr">
        <is>
          <t xml:space="preserve">            (node_name, material_id)</t>
        </is>
      </c>
    </row>
    <row r="48">
      <c r="A48" s="7" t="n">
        <v>45</v>
      </c>
      <c r="B48" s="8" t="inlineStr">
        <is>
          <t xml:space="preserve">        )</t>
        </is>
      </c>
    </row>
    <row r="49">
      <c r="A49" s="9" t="n">
        <v>46</v>
      </c>
      <c r="B49" s="10" t="inlineStr">
        <is>
          <t xml:space="preserve">        # 特殊节点</t>
        </is>
      </c>
    </row>
    <row r="50">
      <c r="A50" s="7" t="n">
        <v>47</v>
      </c>
      <c r="B50" s="8" t="inlineStr">
        <is>
          <t xml:space="preserve">        if node_name == "quality_summary":</t>
        </is>
      </c>
    </row>
    <row r="51">
      <c r="A51" s="9" t="n">
        <v>48</v>
      </c>
      <c r="B51" s="10" t="inlineStr">
        <is>
          <t xml:space="preserve">            issues = query_sql(</t>
        </is>
      </c>
    </row>
    <row r="52">
      <c r="A52" s="7" t="n">
        <v>49</v>
      </c>
      <c r="B52" s="8" t="inlineStr">
        <is>
          <t xml:space="preserve">                "SELECT COUNT(*) FROM quality_results WHERE material_id=? AND is_fixed=0",</t>
        </is>
      </c>
    </row>
    <row r="53">
      <c r="A53" s="9" t="n">
        <v>50</v>
      </c>
      <c r="B53" s="10" t="inlineStr">
        <is>
          <t xml:space="preserve">                (material_id,)</t>
        </is>
      </c>
    </row>
    <row r="54">
      <c r="A54" s="7" t="n">
        <v>51</v>
      </c>
      <c r="B54" s="8" t="inlineStr">
        <is>
          <t xml:space="preserve">            )</t>
        </is>
      </c>
    </row>
    <row r="55">
      <c r="A55" s="9" t="n">
        <v>52</v>
      </c>
      <c r="B55" s="10" t="inlineStr">
        <is>
          <t xml:space="preserve">            count = issues[0][0] if issues else 0</t>
        </is>
      </c>
    </row>
    <row r="56">
      <c r="A56" s="7" t="n">
        <v>53</v>
      </c>
      <c r="B56" s="8" t="inlineStr">
        <is>
          <t xml:space="preserve">            logger.info(f"质检汇总，待处理问题: {count}个")</t>
        </is>
      </c>
    </row>
    <row r="57">
      <c r="A57" s="9" t="n">
        <v>54</v>
      </c>
      <c r="B57" s="10" t="inlineStr">
        <is>
          <t xml:space="preserve">            return True</t>
        </is>
      </c>
    </row>
    <row r="58">
      <c r="A58" s="7" t="n">
        <v>55</v>
      </c>
      <c r="B58" s="8" t="inlineStr">
        <is>
          <t xml:space="preserve">        if node_name == "recheck":</t>
        </is>
      </c>
    </row>
    <row r="59">
      <c r="A59" s="9" t="n">
        <v>56</v>
      </c>
      <c r="B59" s="10" t="inlineStr">
        <is>
          <t xml:space="preserve">            logger.info("执行自动复检")</t>
        </is>
      </c>
    </row>
    <row r="60">
      <c r="A60" s="7" t="n">
        <v>57</v>
      </c>
      <c r="B60" s="8" t="inlineStr">
        <is>
          <t xml:space="preserve">            return self._recheck(material_id, video_path)</t>
        </is>
      </c>
    </row>
    <row r="61">
      <c r="A61" s="9" t="n">
        <v>58</v>
      </c>
      <c r="B61" s="10" t="inlineStr">
        <is>
          <t xml:space="preserve">        if node_name in ("start", "archive", "end"):</t>
        </is>
      </c>
    </row>
    <row r="62">
      <c r="A62" s="7" t="n">
        <v>59</v>
      </c>
      <c r="B62" s="8" t="inlineStr">
        <is>
          <t xml:space="preserve">            return True</t>
        </is>
      </c>
    </row>
    <row r="63">
      <c r="A63" s="9" t="n">
        <v>60</v>
      </c>
      <c r="B63" s="10" t="inlineStr">
        <is>
          <t xml:space="preserve">        # 插件节点</t>
        </is>
      </c>
    </row>
    <row r="64">
      <c r="A64" s="7" t="n">
        <v>61</v>
      </c>
      <c r="B64" s="8" t="inlineStr">
        <is>
          <t xml:space="preserve">        if plugin_ref:</t>
        </is>
      </c>
    </row>
    <row r="65">
      <c r="A65" s="9" t="n">
        <v>62</v>
      </c>
      <c r="B65" s="10" t="inlineStr">
        <is>
          <t xml:space="preserve">            category, plugin_name = plugin_ref</t>
        </is>
      </c>
    </row>
    <row r="66">
      <c r="A66" s="7" t="n">
        <v>63</v>
      </c>
      <c r="B66" s="8" t="inlineStr">
        <is>
          <t xml:space="preserve">            plugin = plugin_manager.get_plugin(category, plugin_name)</t>
        </is>
      </c>
    </row>
    <row r="67">
      <c r="A67" s="9" t="n">
        <v>64</v>
      </c>
      <c r="B67" s="10" t="inlineStr">
        <is>
          <t xml:space="preserve">            if plugin is None:</t>
        </is>
      </c>
    </row>
    <row r="68">
      <c r="A68" s="7" t="n">
        <v>65</v>
      </c>
      <c r="B68" s="8" t="inlineStr">
        <is>
          <t xml:space="preserve">                logger.warning(f"插件未注册，跳过: {category}/{plugin_name}")</t>
        </is>
      </c>
    </row>
    <row r="69">
      <c r="A69" s="9" t="n">
        <v>66</v>
      </c>
      <c r="B69" s="10" t="inlineStr">
        <is>
          <t xml:space="preserve">                return True</t>
        </is>
      </c>
    </row>
    <row r="70">
      <c r="A70" s="7" t="n">
        <v>67</v>
      </c>
      <c r="B70" s="8" t="inlineStr">
        <is>
          <t xml:space="preserve">            for attempt in range(self.retry_times):</t>
        </is>
      </c>
    </row>
    <row r="71">
      <c r="A71" s="9" t="n">
        <v>68</v>
      </c>
      <c r="B71" s="10" t="inlineStr">
        <is>
          <t xml:space="preserve">                try:</t>
        </is>
      </c>
    </row>
    <row r="72">
      <c r="A72" s="7" t="n">
        <v>69</v>
      </c>
      <c r="B72" s="8" t="inlineStr">
        <is>
          <t xml:space="preserve">                    result = plugin.run(material_id, video_path)</t>
        </is>
      </c>
    </row>
    <row r="73">
      <c r="A73" s="9" t="n">
        <v>70</v>
      </c>
      <c r="B73" s="10" t="inlineStr">
        <is>
          <t xml:space="preserve">                    if result.get("status") in ("success", "cached", "skipped"):</t>
        </is>
      </c>
    </row>
    <row r="74">
      <c r="A74" s="7" t="n">
        <v>71</v>
      </c>
      <c r="B74" s="8" t="inlineStr">
        <is>
          <t xml:space="preserve">                        return True</t>
        </is>
      </c>
    </row>
    <row r="75">
      <c r="A75" s="9" t="n">
        <v>72</v>
      </c>
      <c r="B75" s="10" t="inlineStr">
        <is>
          <t xml:space="preserve">                    # 非关键节点（识别类+品牌检测）失败不中断流程</t>
        </is>
      </c>
    </row>
    <row r="76">
      <c r="A76" s="7" t="n">
        <v>73</v>
      </c>
      <c r="B76" s="8" t="inlineStr">
        <is>
          <t xml:space="preserve">                    skippable = {"audio_transcribe", "subtitle_ocr", "scene_tag", "bgm_classify", "quality_brand"}</t>
        </is>
      </c>
    </row>
    <row r="77">
      <c r="A77" s="9" t="n">
        <v>74</v>
      </c>
      <c r="B77" s="10" t="inlineStr">
        <is>
          <t xml:space="preserve">                    if node_name in skippable:</t>
        </is>
      </c>
    </row>
    <row r="78">
      <c r="A78" s="7" t="n">
        <v>75</v>
      </c>
      <c r="B78" s="8" t="inlineStr">
        <is>
          <t xml:space="preserve">                        logger.warning(f"非关键节点{node_name}跳过: {result.get('status')}")</t>
        </is>
      </c>
    </row>
    <row r="79">
      <c r="A79" s="9" t="n">
        <v>76</v>
      </c>
      <c r="B79" s="10" t="inlineStr">
        <is>
          <t xml:space="preserve">                        return True</t>
        </is>
      </c>
    </row>
    <row r="80">
      <c r="A80" s="7" t="n">
        <v>77</v>
      </c>
      <c r="B80" s="8" t="inlineStr">
        <is>
          <t xml:space="preserve">                    logger.warning(f"关键节点{node_name}返回非成功: {result.get('status')}")</t>
        </is>
      </c>
    </row>
    <row r="81">
      <c r="A81" s="9" t="n">
        <v>78</v>
      </c>
      <c r="B81" s="10" t="inlineStr">
        <is>
          <t xml:space="preserve">                    return False</t>
        </is>
      </c>
    </row>
    <row r="82">
      <c r="A82" s="7" t="n">
        <v>79</v>
      </c>
      <c r="B82" s="8" t="inlineStr">
        <is>
          <t xml:space="preserve">                except RuntimeError as e:</t>
        </is>
      </c>
    </row>
    <row r="83">
      <c r="A83" s="9" t="n">
        <v>80</v>
      </c>
      <c r="B83" s="10" t="inlineStr">
        <is>
          <t xml:space="preserve">                    if "out of memory" in str(e).lower() and CONFIG["workflow"]["auto_degrade_on_oom"]:</t>
        </is>
      </c>
    </row>
    <row r="84">
      <c r="A84" s="7" t="n">
        <v>81</v>
      </c>
      <c r="B84" s="8" t="inlineStr">
        <is>
          <t xml:space="preserve">                        logger.warning(f"节点{node_name}显存溢出，第{attempt+1}次重试")</t>
        </is>
      </c>
    </row>
    <row r="85">
      <c r="A85" s="9" t="n">
        <v>82</v>
      </c>
      <c r="B85" s="10" t="inlineStr">
        <is>
          <t xml:space="preserve">                        release_gpu_memory()</t>
        </is>
      </c>
    </row>
    <row r="86">
      <c r="A86" s="7" t="n">
        <v>83</v>
      </c>
      <c r="B86" s="8" t="inlineStr">
        <is>
          <t xml:space="preserve">                        continue</t>
        </is>
      </c>
    </row>
    <row r="87">
      <c r="A87" s="9" t="n">
        <v>84</v>
      </c>
      <c r="B87" s="10" t="inlineStr">
        <is>
          <t xml:space="preserve">                    raise</t>
        </is>
      </c>
    </row>
    <row r="88">
      <c r="A88" s="7" t="n">
        <v>85</v>
      </c>
      <c r="B88" s="8" t="inlineStr">
        <is>
          <t xml:space="preserve">                except Exception as e:</t>
        </is>
      </c>
    </row>
    <row r="89">
      <c r="A89" s="9" t="n">
        <v>86</v>
      </c>
      <c r="B89" s="10" t="inlineStr">
        <is>
          <t xml:space="preserve">                    if attempt &lt; self.retry_times - 1:</t>
        </is>
      </c>
    </row>
    <row r="90">
      <c r="A90" s="7" t="n">
        <v>87</v>
      </c>
      <c r="B90" s="8" t="inlineStr">
        <is>
          <t xml:space="preserve">                        logger.warning(f"节点{node_name}异常，第{attempt+1}次重试: {e}")</t>
        </is>
      </c>
    </row>
    <row r="91">
      <c r="A91" s="9" t="n">
        <v>88</v>
      </c>
      <c r="B91" s="10" t="inlineStr">
        <is>
          <t xml:space="preserve">                        continue</t>
        </is>
      </c>
    </row>
    <row r="92">
      <c r="A92" s="7" t="n">
        <v>89</v>
      </c>
      <c r="B92" s="8" t="inlineStr">
        <is>
          <t xml:space="preserve">                    raise</t>
        </is>
      </c>
    </row>
    <row r="93">
      <c r="A93" s="9" t="n">
        <v>90</v>
      </c>
      <c r="B93" s="10" t="inlineStr">
        <is>
          <t xml:space="preserve">        return True</t>
        </is>
      </c>
    </row>
    <row r="94">
      <c r="A94" s="7" t="n">
        <v>91</v>
      </c>
      <c r="B94" s="8" t="inlineStr">
        <is>
          <t xml:space="preserve">    def _recheck(self, material_id: int, video_path: str) -&gt; bool:</t>
        </is>
      </c>
    </row>
    <row r="95">
      <c r="A95" s="9" t="n">
        <v>92</v>
      </c>
      <c r="B95" s="10" t="inlineStr">
        <is>
          <t xml:space="preserve">        """复检：重新执行核心质检项"""</t>
        </is>
      </c>
    </row>
    <row r="96">
      <c r="A96" s="7" t="n">
        <v>93</v>
      </c>
      <c r="B96" s="8" t="inlineStr">
        <is>
          <t xml:space="preserve">        recheck_plugins = [</t>
        </is>
      </c>
    </row>
    <row r="97">
      <c r="A97" s="9" t="n">
        <v>94</v>
      </c>
      <c r="B97" s="10" t="inlineStr">
        <is>
          <t xml:space="preserve">            ("quality", "black_frame"),</t>
        </is>
      </c>
    </row>
    <row r="98">
      <c r="A98" s="7" t="n">
        <v>95</v>
      </c>
      <c r="B98" s="8" t="inlineStr">
        <is>
          <t xml:space="preserve">            ("quality", "param_check"),</t>
        </is>
      </c>
    </row>
    <row r="99">
      <c r="A99" s="9" t="n">
        <v>96</v>
      </c>
      <c r="B99" s="10" t="inlineStr">
        <is>
          <t xml:space="preserve">            ("quality", "blur_stutter"),</t>
        </is>
      </c>
    </row>
    <row r="100">
      <c r="A100" s="7" t="n">
        <v>97</v>
      </c>
      <c r="B100" s="8" t="inlineStr">
        <is>
          <t xml:space="preserve">            ("quality", "aspect_check"),</t>
        </is>
      </c>
    </row>
    <row r="101">
      <c r="A101" s="9" t="n">
        <v>98</v>
      </c>
      <c r="B101" s="10" t="inlineStr">
        <is>
          <t xml:space="preserve">            ("quality", "subtitle_sync"),</t>
        </is>
      </c>
    </row>
    <row r="102">
      <c r="A102" s="7" t="n">
        <v>99</v>
      </c>
      <c r="B102" s="8" t="inlineStr">
        <is>
          <t xml:space="preserve">        ]</t>
        </is>
      </c>
    </row>
    <row r="103">
      <c r="A103" s="9" t="n">
        <v>100</v>
      </c>
      <c r="B103" s="10" t="inlineStr">
        <is>
          <t xml:space="preserve">        for category, name in recheck_plugins:</t>
        </is>
      </c>
    </row>
    <row r="104">
      <c r="A104" s="7" t="n">
        <v>101</v>
      </c>
      <c r="B104" s="8" t="inlineStr">
        <is>
          <t xml:space="preserve">            plugin = plugin_manager.get_plugin(category, name)</t>
        </is>
      </c>
    </row>
    <row r="105">
      <c r="A105" s="9" t="n">
        <v>102</v>
      </c>
      <c r="B105" s="10" t="inlineStr">
        <is>
          <t xml:space="preserve">            if plugin:</t>
        </is>
      </c>
    </row>
    <row r="106">
      <c r="A106" s="7" t="n">
        <v>103</v>
      </c>
      <c r="B106" s="8" t="inlineStr">
        <is>
          <t xml:space="preserve">                try:</t>
        </is>
      </c>
    </row>
    <row r="107">
      <c r="A107" s="9" t="n">
        <v>104</v>
      </c>
      <c r="B107" s="10" t="inlineStr">
        <is>
          <t xml:space="preserve">                    plugin.run(material_id, video_path)</t>
        </is>
      </c>
    </row>
    <row r="108">
      <c r="A108" s="7" t="n">
        <v>105</v>
      </c>
      <c r="B108" s="8" t="inlineStr">
        <is>
          <t xml:space="preserve">                except Exception as e:</t>
        </is>
      </c>
    </row>
    <row r="109">
      <c r="A109" s="9" t="n">
        <v>106</v>
      </c>
      <c r="B109" s="10" t="inlineStr">
        <is>
          <t xml:space="preserve">                    logger.warning(f"复检{category}/{name}失败: {e}")</t>
        </is>
      </c>
    </row>
    <row r="110">
      <c r="A110" s="7" t="n">
        <v>107</v>
      </c>
      <c r="B110" s="8" t="inlineStr">
        <is>
          <t xml:space="preserve">        logger.info("自动复检完成")</t>
        </is>
      </c>
    </row>
    <row r="111">
      <c r="A111" s="9" t="n">
        <v>108</v>
      </c>
      <c r="B111" s="10" t="inlineStr">
        <is>
          <t xml:space="preserve">        return True</t>
        </is>
      </c>
    </row>
    <row r="112">
      <c r="A112" s="7" t="n">
        <v>109</v>
      </c>
      <c r="B112" s="8" t="inlineStr">
        <is>
          <t xml:space="preserve">    def run(self, material_id: int, video_path: str, task_id: int = None) -&gt; dict:</t>
        </is>
      </c>
    </row>
    <row r="113">
      <c r="A113" s="9" t="n">
        <v>110</v>
      </c>
      <c r="B113" s="10" t="inlineStr">
        <is>
          <t xml:space="preserve">        """</t>
        </is>
      </c>
    </row>
    <row r="114">
      <c r="A114" s="7" t="n">
        <v>111</v>
      </c>
      <c r="B114" s="8" t="inlineStr">
        <is>
          <t xml:space="preserve">        运行全链路工作流</t>
        </is>
      </c>
    </row>
    <row r="115">
      <c r="A115" s="9" t="n">
        <v>112</v>
      </c>
      <c r="B115" s="10" t="inlineStr">
        <is>
          <t xml:space="preserve">        task_id: 可选，支持从指定任务断点续跑</t>
        </is>
      </c>
    </row>
    <row r="116">
      <c r="A116" s="7" t="n">
        <v>113</v>
      </c>
      <c r="B116" s="8" t="inlineStr">
        <is>
          <t xml:space="preserve">        """</t>
        </is>
      </c>
    </row>
    <row r="117">
      <c r="A117" s="9" t="n">
        <v>114</v>
      </c>
      <c r="B117" s="10" t="inlineStr">
        <is>
          <t xml:space="preserve">        logger.info(f"启动工作流，素材ID: {material_id}")</t>
        </is>
      </c>
    </row>
    <row r="118">
      <c r="A118" s="7" t="n">
        <v>115</v>
      </c>
      <c r="B118" s="8" t="inlineStr">
        <is>
          <t xml:space="preserve">        execute_sql(</t>
        </is>
      </c>
    </row>
    <row r="119">
      <c r="A119" s="9" t="n">
        <v>116</v>
      </c>
      <c r="B119" s="10" t="inlineStr">
        <is>
          <t xml:space="preserve">            "INSERT OR IGNORE INTO tasks (material_id, task_type, status, current_node) VALUES (?, 'full_process', 'running', 'start')",</t>
        </is>
      </c>
    </row>
    <row r="120">
      <c r="A120" s="7" t="n">
        <v>117</v>
      </c>
      <c r="B120" s="8" t="inlineStr">
        <is>
          <t xml:space="preserve">            (material_id,)</t>
        </is>
      </c>
    </row>
    <row r="121">
      <c r="A121" s="9" t="n">
        <v>118</v>
      </c>
      <c r="B121" s="10" t="inlineStr">
        <is>
          <t xml:space="preserve">        )</t>
        </is>
      </c>
    </row>
    <row r="122">
      <c r="A122" s="7" t="n">
        <v>119</v>
      </c>
      <c r="B122" s="8" t="inlineStr">
        <is>
          <t xml:space="preserve">        execute_sql(</t>
        </is>
      </c>
    </row>
    <row r="123">
      <c r="A123" s="9" t="n">
        <v>120</v>
      </c>
      <c r="B123" s="10" t="inlineStr">
        <is>
          <t xml:space="preserve">            "UPDATE tasks SET status='running', progress=0 WHERE material_id=?", (material_id,)</t>
        </is>
      </c>
    </row>
    <row r="124">
      <c r="A124" s="7" t="n">
        <v>121</v>
      </c>
      <c r="B124" s="8" t="inlineStr">
        <is>
          <t xml:space="preserve">        )</t>
        </is>
      </c>
    </row>
    <row r="125">
      <c r="A125" s="9" t="n">
        <v>122</v>
      </c>
      <c r="B125" s="10" t="inlineStr">
        <is>
          <t xml:space="preserve">        # 断点续跑：检查是否有已保存的状态</t>
        </is>
      </c>
    </row>
    <row r="126">
      <c r="A126" s="7" t="n">
        <v>123</v>
      </c>
      <c r="B126" s="8" t="inlineStr">
        <is>
          <t xml:space="preserve">        start_index = 0</t>
        </is>
      </c>
    </row>
    <row r="127">
      <c r="A127" s="9" t="n">
        <v>124</v>
      </c>
      <c r="B127" s="10" t="inlineStr">
        <is>
          <t xml:space="preserve">        if task_id and self.enable_persistence:</t>
        </is>
      </c>
    </row>
    <row r="128">
      <c r="A128" s="7" t="n">
        <v>125</v>
      </c>
      <c r="B128" s="8" t="inlineStr">
        <is>
          <t xml:space="preserve">            saved = query_sql("SELECT workflow_state FROM tasks WHERE id=?", (task_id,))</t>
        </is>
      </c>
    </row>
    <row r="129">
      <c r="A129" s="9" t="n">
        <v>126</v>
      </c>
      <c r="B129" s="10" t="inlineStr">
        <is>
          <t xml:space="preserve">            if saved and saved[0][0]:</t>
        </is>
      </c>
    </row>
    <row r="130">
      <c r="A130" s="7" t="n">
        <v>127</v>
      </c>
      <c r="B130" s="8" t="inlineStr">
        <is>
          <t xml:space="preserve">                try:</t>
        </is>
      </c>
    </row>
    <row r="131">
      <c r="A131" s="9" t="n">
        <v>128</v>
      </c>
      <c r="B131" s="10" t="inlineStr">
        <is>
          <t xml:space="preserve">                    state = pickle.loads(saved[0][0])</t>
        </is>
      </c>
    </row>
    <row r="132">
      <c r="A132" s="7" t="n">
        <v>129</v>
      </c>
      <c r="B132" s="8" t="inlineStr">
        <is>
          <t xml:space="preserve">                    saved_node = state.get("current_node", "start")</t>
        </is>
      </c>
    </row>
    <row r="133">
      <c r="A133" s="9" t="n">
        <v>130</v>
      </c>
      <c r="B133" s="10" t="inlineStr">
        <is>
          <t xml:space="preserve">                    for i, (node_name, _) in enumerate(WORKFLOW_NODES):</t>
        </is>
      </c>
    </row>
    <row r="134">
      <c r="A134" s="7" t="n">
        <v>131</v>
      </c>
      <c r="B134" s="8" t="inlineStr">
        <is>
          <t xml:space="preserve">                        if node_name == saved_node:</t>
        </is>
      </c>
    </row>
    <row r="135">
      <c r="A135" s="9" t="n">
        <v>132</v>
      </c>
      <c r="B135" s="10" t="inlineStr">
        <is>
          <t xml:space="preserve">                            start_index = i + 1</t>
        </is>
      </c>
    </row>
    <row r="136">
      <c r="A136" s="7" t="n">
        <v>133</v>
      </c>
      <c r="B136" s="8" t="inlineStr">
        <is>
          <t xml:space="preserve">                            break</t>
        </is>
      </c>
    </row>
    <row r="137">
      <c r="A137" s="9" t="n">
        <v>134</v>
      </c>
      <c r="B137" s="10" t="inlineStr">
        <is>
          <t xml:space="preserve">                    logger.info(f"从断点恢复，从节点 {saved_node} 之后继续")</t>
        </is>
      </c>
    </row>
    <row r="138">
      <c r="A138" s="7" t="n">
        <v>135</v>
      </c>
      <c r="B138" s="8" t="inlineStr">
        <is>
          <t xml:space="preserve">                except Exception as e:</t>
        </is>
      </c>
    </row>
    <row r="139">
      <c r="A139" s="9" t="n">
        <v>136</v>
      </c>
      <c r="B139" s="10" t="inlineStr">
        <is>
          <t xml:space="preserve">                    logger.warning(f"断点状态解析失败: {e}，从头执行")</t>
        </is>
      </c>
    </row>
    <row r="140">
      <c r="A140" s="7" t="n">
        <v>137</v>
      </c>
      <c r="B140" s="8" t="inlineStr">
        <is>
          <t xml:space="preserve">        current_path = video_path</t>
        </is>
      </c>
    </row>
    <row r="141">
      <c r="A141" s="9" t="n">
        <v>138</v>
      </c>
      <c r="B141" s="10" t="inlineStr">
        <is>
          <t xml:space="preserve">        total = len(WORKFLOW_NODES)</t>
        </is>
      </c>
    </row>
    <row r="142">
      <c r="A142" s="7" t="n">
        <v>139</v>
      </c>
      <c r="B142" s="8" t="inlineStr">
        <is>
          <t xml:space="preserve">        try:</t>
        </is>
      </c>
    </row>
    <row r="143">
      <c r="A143" s="9" t="n">
        <v>140</v>
      </c>
      <c r="B143" s="10" t="inlineStr">
        <is>
          <t xml:space="preserve">            for i in range(start_index, total):</t>
        </is>
      </c>
    </row>
    <row r="144">
      <c r="A144" s="7" t="n">
        <v>141</v>
      </c>
      <c r="B144" s="8" t="inlineStr">
        <is>
          <t xml:space="preserve">                node_name, plugin_ref = WORKFLOW_NODES[i]</t>
        </is>
      </c>
    </row>
    <row r="145">
      <c r="A145" s="9" t="n">
        <v>142</v>
      </c>
      <c r="B145" s="10" t="inlineStr">
        <is>
          <t xml:space="preserve">                progress = int((i + 1) / total * 100)</t>
        </is>
      </c>
    </row>
    <row r="146">
      <c r="A146" s="7" t="n">
        <v>143</v>
      </c>
      <c r="B146" s="8" t="inlineStr">
        <is>
          <t xml:space="preserve">                execute_sql(</t>
        </is>
      </c>
    </row>
    <row r="147">
      <c r="A147" s="9" t="n">
        <v>144</v>
      </c>
      <c r="B147" s="10" t="inlineStr">
        <is>
          <t xml:space="preserve">                    "UPDATE tasks SET progress=? WHERE material_id=?", (progress, material_id)</t>
        </is>
      </c>
    </row>
    <row r="148">
      <c r="A148" s="7" t="n">
        <v>145</v>
      </c>
      <c r="B148" s="8" t="inlineStr">
        <is>
          <t xml:space="preserve">                )</t>
        </is>
      </c>
    </row>
    <row r="149">
      <c r="A149" s="9" t="n">
        <v>146</v>
      </c>
      <c r="B149" s="10" t="inlineStr">
        <is>
          <t xml:space="preserve">                success = self._execute_node(node_name, plugin_ref, material_id, current_path)</t>
        </is>
      </c>
    </row>
    <row r="150">
      <c r="A150" s="7" t="n">
        <v>147</v>
      </c>
      <c r="B150" s="8" t="inlineStr">
        <is>
          <t xml:space="preserve">                if not success:</t>
        </is>
      </c>
    </row>
    <row r="151">
      <c r="A151" s="9" t="n">
        <v>148</v>
      </c>
      <c r="B151" s="10" t="inlineStr">
        <is>
          <t xml:space="preserve">                    raise Exception(f"节点执行失败: {node_name}")</t>
        </is>
      </c>
    </row>
    <row r="152">
      <c r="A152" s="7" t="n">
        <v>149</v>
      </c>
      <c r="B152" s="8" t="inlineStr">
        <is>
          <t xml:space="preserve">                # 持久化断点状态</t>
        </is>
      </c>
    </row>
    <row r="153">
      <c r="A153" s="9" t="n">
        <v>150</v>
      </c>
      <c r="B153" s="10" t="inlineStr">
        <is>
          <t xml:space="preserve">                if self.enable_persistence:</t>
        </is>
      </c>
    </row>
    <row r="154">
      <c r="A154" s="7" t="n">
        <v>151</v>
      </c>
      <c r="B154" s="8" t="inlineStr">
        <is>
          <t xml:space="preserve">                    state = pickle.dumps({"current_node": node_name, "progress": progress})</t>
        </is>
      </c>
    </row>
    <row r="155">
      <c r="A155" s="9" t="n">
        <v>152</v>
      </c>
      <c r="B155" s="10" t="inlineStr">
        <is>
          <t xml:space="preserve">                    execute_sql(</t>
        </is>
      </c>
    </row>
    <row r="156">
      <c r="A156" s="7" t="n">
        <v>153</v>
      </c>
      <c r="B156" s="8" t="inlineStr">
        <is>
          <t xml:space="preserve">                        "UPDATE tasks SET workflow_state=? WHERE material_id=?",</t>
        </is>
      </c>
    </row>
    <row r="157">
      <c r="A157" s="9" t="n">
        <v>154</v>
      </c>
      <c r="B157" s="10" t="inlineStr">
        <is>
          <t xml:space="preserve">                        (state, material_id)</t>
        </is>
      </c>
    </row>
    <row r="158">
      <c r="A158" s="7" t="n">
        <v>155</v>
      </c>
      <c r="B158" s="8" t="inlineStr">
        <is>
          <t xml:space="preserve">                    )</t>
        </is>
      </c>
    </row>
    <row r="159">
      <c r="A159" s="9" t="n">
        <v>156</v>
      </c>
      <c r="B159" s="10" t="inlineStr">
        <is>
          <t xml:space="preserve">                # 纠错节点后更新路径</t>
        </is>
      </c>
    </row>
    <row r="160">
      <c r="A160" s="7" t="n">
        <v>157</v>
      </c>
      <c r="B160" s="8" t="inlineStr">
        <is>
          <t xml:space="preserve">                if node_name == "auto_correct":</t>
        </is>
      </c>
    </row>
    <row r="161">
      <c r="A161" s="9" t="n">
        <v>158</v>
      </c>
      <c r="B161" s="10" t="inlineStr">
        <is>
          <t xml:space="preserve">                    updated = query_sql(</t>
        </is>
      </c>
    </row>
    <row r="162">
      <c r="A162" s="7" t="n">
        <v>159</v>
      </c>
      <c r="B162" s="8" t="inlineStr">
        <is>
          <t xml:space="preserve">                        "SELECT file_path FROM materials WHERE id=?", (material_id,)</t>
        </is>
      </c>
    </row>
    <row r="163">
      <c r="A163" s="9" t="n">
        <v>160</v>
      </c>
      <c r="B163" s="10" t="inlineStr">
        <is>
          <t xml:space="preserve">                    )</t>
        </is>
      </c>
    </row>
    <row r="164">
      <c r="A164" s="7" t="n">
        <v>161</v>
      </c>
      <c r="B164" s="8" t="inlineStr">
        <is>
          <t xml:space="preserve">                    if updated:</t>
        </is>
      </c>
    </row>
    <row r="165">
      <c r="A165" s="9" t="n">
        <v>162</v>
      </c>
      <c r="B165" s="10" t="inlineStr">
        <is>
          <t xml:space="preserve">                        current_path = updated[0][0]</t>
        </is>
      </c>
    </row>
    <row r="166">
      <c r="A166" s="7" t="n">
        <v>163</v>
      </c>
      <c r="B166" s="8" t="inlineStr">
        <is>
          <t xml:space="preserve">                release_gpu_memory()</t>
        </is>
      </c>
    </row>
    <row r="167">
      <c r="A167" s="9" t="n">
        <v>164</v>
      </c>
      <c r="B167" s="10" t="inlineStr">
        <is>
          <t xml:space="preserve">            # 完成</t>
        </is>
      </c>
    </row>
    <row r="168">
      <c r="A168" s="7" t="n">
        <v>165</v>
      </c>
      <c r="B168" s="8" t="inlineStr">
        <is>
          <t xml:space="preserve">            execute_sql(</t>
        </is>
      </c>
    </row>
    <row r="169">
      <c r="A169" s="9" t="n">
        <v>166</v>
      </c>
      <c r="B169" s="10" t="inlineStr">
        <is>
          <t xml:space="preserve">                "UPDATE tasks SET status='completed', progress=100 WHERE material_id=?",</t>
        </is>
      </c>
    </row>
    <row r="170">
      <c r="A170" s="7" t="n">
        <v>167</v>
      </c>
      <c r="B170" s="8" t="inlineStr">
        <is>
          <t xml:space="preserve">                (material_id,)</t>
        </is>
      </c>
    </row>
    <row r="171">
      <c r="A171" s="9" t="n">
        <v>168</v>
      </c>
      <c r="B171" s="10" t="inlineStr">
        <is>
          <t xml:space="preserve">            )</t>
        </is>
      </c>
    </row>
    <row r="172">
      <c r="A172" s="7" t="n">
        <v>169</v>
      </c>
      <c r="B172" s="8" t="inlineStr">
        <is>
          <t xml:space="preserve">            execute_sql(</t>
        </is>
      </c>
    </row>
    <row r="173">
      <c r="A173" s="9" t="n">
        <v>170</v>
      </c>
      <c r="B173" s="10" t="inlineStr">
        <is>
          <t xml:space="preserve">                "UPDATE materials SET status='processed' WHERE id=?", (material_id,)</t>
        </is>
      </c>
    </row>
    <row r="174">
      <c r="A174" s="7" t="n">
        <v>171</v>
      </c>
      <c r="B174" s="8" t="inlineStr">
        <is>
          <t xml:space="preserve">            )</t>
        </is>
      </c>
    </row>
    <row r="175">
      <c r="A175" s="9" t="n">
        <v>172</v>
      </c>
      <c r="B175" s="10" t="inlineStr">
        <is>
          <t xml:space="preserve">            final_issues = query_sql(</t>
        </is>
      </c>
    </row>
    <row r="176">
      <c r="A176" s="7" t="n">
        <v>173</v>
      </c>
      <c r="B176" s="8" t="inlineStr">
        <is>
          <t xml:space="preserve">                "SELECT COUNT(*) FROM quality_results WHERE material_id=? AND is_fixed=0",</t>
        </is>
      </c>
    </row>
    <row r="177">
      <c r="A177" s="9" t="n">
        <v>174</v>
      </c>
      <c r="B177" s="10" t="inlineStr">
        <is>
          <t xml:space="preserve">                (material_id,)</t>
        </is>
      </c>
    </row>
    <row r="178">
      <c r="A178" s="7" t="n">
        <v>175</v>
      </c>
      <c r="B178" s="8" t="inlineStr">
        <is>
          <t xml:space="preserve">            )</t>
        </is>
      </c>
    </row>
    <row r="179">
      <c r="A179" s="9" t="n">
        <v>176</v>
      </c>
      <c r="B179" s="10" t="inlineStr">
        <is>
          <t xml:space="preserve">            remaining = final_issues[0][0] if final_issues else 0</t>
        </is>
      </c>
    </row>
    <row r="180">
      <c r="A180" s="7" t="n">
        <v>177</v>
      </c>
      <c r="B180" s="8" t="inlineStr">
        <is>
          <t xml:space="preserve">            logger.info(f"工作流执行完成 | 素材ID: {material_id} | 剩余问题: {remaining}个")</t>
        </is>
      </c>
    </row>
    <row r="181">
      <c r="A181" s="9" t="n">
        <v>178</v>
      </c>
      <c r="B181" s="10" t="inlineStr">
        <is>
          <t xml:space="preserve">            return {"status": "success", "remaining_issues": remaining}</t>
        </is>
      </c>
    </row>
    <row r="182">
      <c r="A182" s="7" t="n">
        <v>179</v>
      </c>
      <c r="B182" s="8" t="inlineStr">
        <is>
          <t xml:space="preserve">        except Exception as e:</t>
        </is>
      </c>
    </row>
    <row r="183">
      <c r="A183" s="9" t="n">
        <v>180</v>
      </c>
      <c r="B183" s="10" t="inlineStr">
        <is>
          <t xml:space="preserve">            error_msg = str(e)</t>
        </is>
      </c>
    </row>
    <row r="184">
      <c r="A184" s="7" t="n">
        <v>181</v>
      </c>
      <c r="B184" s="8" t="inlineStr">
        <is>
          <t xml:space="preserve">            execute_sql(</t>
        </is>
      </c>
    </row>
    <row r="185">
      <c r="A185" s="9" t="n">
        <v>182</v>
      </c>
      <c r="B185" s="10" t="inlineStr">
        <is>
          <t xml:space="preserve">                "UPDATE tasks SET status='failed', error_msg=? WHERE material_id=?",</t>
        </is>
      </c>
    </row>
    <row r="186">
      <c r="A186" s="7" t="n">
        <v>183</v>
      </c>
      <c r="B186" s="8" t="inlineStr">
        <is>
          <t xml:space="preserve">                (error_msg, material_id)</t>
        </is>
      </c>
    </row>
    <row r="187">
      <c r="A187" s="9" t="n">
        <v>184</v>
      </c>
      <c r="B187" s="10" t="inlineStr">
        <is>
          <t xml:space="preserve">            )</t>
        </is>
      </c>
    </row>
    <row r="188">
      <c r="A188" s="7" t="n">
        <v>185</v>
      </c>
      <c r="B188" s="8" t="inlineStr">
        <is>
          <t xml:space="preserve">            logger.error(f"工作流执行失败: {error_msg}")</t>
        </is>
      </c>
    </row>
    <row r="189">
      <c r="A189" s="9" t="n">
        <v>186</v>
      </c>
      <c r="B189" s="10" t="inlineStr">
        <is>
          <t xml:space="preserve">            return {"status": "failed", "error": error_msg}</t>
        </is>
      </c>
    </row>
    <row r="190">
      <c r="A190" s="7" t="n">
        <v>187</v>
      </c>
      <c r="B190" s="8" t="inlineStr">
        <is>
          <t xml:space="preserve">        finally:</t>
        </is>
      </c>
    </row>
    <row r="191">
      <c r="A191" s="9" t="n">
        <v>188</v>
      </c>
      <c r="B191" s="10" t="inlineStr">
        <is>
          <t xml:space="preserve">            release_gpu_memory()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dashboard\app.py</t>
        </is>
      </c>
      <c r="C1" s="5" t="inlineStr">
        <is>
          <t>行数: 196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树剪可视化看板 v3.0 - 全功能Streamlit面板</t>
        </is>
      </c>
    </row>
    <row r="6">
      <c r="A6" s="7" t="n">
        <v>3</v>
      </c>
      <c r="B6" s="8" t="inlineStr">
        <is>
          <t>六大页面：概览/队列/质检/素材/配置/监控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</t>
        </is>
      </c>
    </row>
    <row r="9">
      <c r="A9" s="9" t="n">
        <v>6</v>
      </c>
      <c r="B9" s="10" t="inlineStr">
        <is>
          <t>import sys</t>
        </is>
      </c>
    </row>
    <row r="10">
      <c r="A10" s="7" t="n">
        <v>7</v>
      </c>
      <c r="B10" s="8" t="inlineStr">
        <is>
          <t>import time</t>
        </is>
      </c>
    </row>
    <row r="11">
      <c r="A11" s="9" t="n">
        <v>8</v>
      </c>
      <c r="B11" s="10" t="inlineStr">
        <is>
          <t>from datetime import datetime</t>
        </is>
      </c>
    </row>
    <row r="12">
      <c r="A12" s="7" t="n">
        <v>9</v>
      </c>
      <c r="B12" s="8" t="inlineStr">
        <is>
          <t>PROJECT_ROOT = os.path.dirname(os.path.dirname(os.path.abspath(__file__)))</t>
        </is>
      </c>
    </row>
    <row r="13">
      <c r="A13" s="9" t="n">
        <v>10</v>
      </c>
      <c r="B13" s="10" t="inlineStr">
        <is>
          <t>sys.path.insert(0, PROJECT_ROOT)</t>
        </is>
      </c>
    </row>
    <row r="14">
      <c r="A14" s="7" t="n">
        <v>11</v>
      </c>
      <c r="B14" s="8" t="inlineStr">
        <is>
          <t>import streamlit as st</t>
        </is>
      </c>
    </row>
    <row r="15">
      <c r="A15" s="9" t="n">
        <v>12</v>
      </c>
      <c r="B15" s="10" t="inlineStr">
        <is>
          <t>import pandas as pd</t>
        </is>
      </c>
    </row>
    <row r="16">
      <c r="A16" s="7" t="n">
        <v>13</v>
      </c>
      <c r="B16" s="8" t="inlineStr">
        <is>
          <t>import sqlite3</t>
        </is>
      </c>
    </row>
    <row r="17">
      <c r="A17" s="9" t="n">
        <v>14</v>
      </c>
      <c r="B17" s="10" t="inlineStr">
        <is>
          <t>import plotly.express as px</t>
        </is>
      </c>
    </row>
    <row r="18">
      <c r="A18" s="7" t="n">
        <v>15</v>
      </c>
      <c r="B18" s="8" t="inlineStr">
        <is>
          <t>import psutil</t>
        </is>
      </c>
    </row>
    <row r="19">
      <c r="A19" s="9" t="n">
        <v>16</v>
      </c>
      <c r="B19" s="10" t="inlineStr">
        <is>
          <t>st.set_page_config(</t>
        </is>
      </c>
    </row>
    <row r="20">
      <c r="A20" s="7" t="n">
        <v>17</v>
      </c>
      <c r="B20" s="8" t="inlineStr">
        <is>
          <t xml:space="preserve">    page_title="树剪 v3.0 监控看板",</t>
        </is>
      </c>
    </row>
    <row r="21">
      <c r="A21" s="9" t="n">
        <v>18</v>
      </c>
      <c r="B21" s="10" t="inlineStr">
        <is>
          <t xml:space="preserve">    page_icon="🎬",</t>
        </is>
      </c>
    </row>
    <row r="22">
      <c r="A22" s="7" t="n">
        <v>19</v>
      </c>
      <c r="B22" s="8" t="inlineStr">
        <is>
          <t xml:space="preserve">    layout="wide",</t>
        </is>
      </c>
    </row>
    <row r="23">
      <c r="A23" s="9" t="n">
        <v>20</v>
      </c>
      <c r="B23" s="10" t="inlineStr">
        <is>
          <t xml:space="preserve">    initial_sidebar_state="expanded",</t>
        </is>
      </c>
    </row>
    <row r="24">
      <c r="A24" s="7" t="n">
        <v>21</v>
      </c>
      <c r="B24" s="8" t="inlineStr">
        <is>
          <t>)</t>
        </is>
      </c>
    </row>
    <row r="25">
      <c r="A25" s="9" t="n">
        <v>22</v>
      </c>
      <c r="B25" s="10" t="inlineStr">
        <is>
          <t>DB_PATH = os.path.join(PROJECT_ROOT, "data", "db", "system.db")</t>
        </is>
      </c>
    </row>
    <row r="26">
      <c r="A26" s="7" t="n">
        <v>23</v>
      </c>
      <c r="B26" s="8" t="inlineStr">
        <is>
          <t>st.markdown("""</t>
        </is>
      </c>
    </row>
    <row r="27">
      <c r="A27" s="9" t="n">
        <v>24</v>
      </c>
      <c r="B27" s="10" t="inlineStr">
        <is>
          <t>&lt;style&gt;</t>
        </is>
      </c>
    </row>
    <row r="28">
      <c r="A28" s="7" t="n">
        <v>25</v>
      </c>
      <c r="B28" s="8" t="inlineStr">
        <is>
          <t xml:space="preserve">    .stMetric { background: #f0f2f6; padding: 15px; border-radius: 8px; }</t>
        </is>
      </c>
    </row>
    <row r="29">
      <c r="A29" s="9" t="n">
        <v>26</v>
      </c>
      <c r="B29" s="10" t="inlineStr">
        <is>
          <t xml:space="preserve">    .stApp { background-color: #f8f9fa; }</t>
        </is>
      </c>
    </row>
    <row r="30">
      <c r="A30" s="7" t="n">
        <v>27</v>
      </c>
      <c r="B30" s="8" t="inlineStr">
        <is>
          <t>&lt;/style&gt;</t>
        </is>
      </c>
    </row>
    <row r="31">
      <c r="A31" s="9" t="n">
        <v>28</v>
      </c>
      <c r="B31" s="10" t="inlineStr">
        <is>
          <t>""", unsafe_allow_html=True)</t>
        </is>
      </c>
    </row>
    <row r="32">
      <c r="A32" s="7" t="n">
        <v>29</v>
      </c>
      <c r="B32" s="8" t="inlineStr">
        <is>
          <t>@st.cache_data(ttl=5)</t>
        </is>
      </c>
    </row>
    <row r="33">
      <c r="A33" s="9" t="n">
        <v>30</v>
      </c>
      <c r="B33" s="10" t="inlineStr">
        <is>
          <t>def load_data(sql, params=()):</t>
        </is>
      </c>
    </row>
    <row r="34">
      <c r="A34" s="7" t="n">
        <v>31</v>
      </c>
      <c r="B34" s="8" t="inlineStr">
        <is>
          <t xml:space="preserve">    try:</t>
        </is>
      </c>
    </row>
    <row r="35">
      <c r="A35" s="9" t="n">
        <v>32</v>
      </c>
      <c r="B35" s="10" t="inlineStr">
        <is>
          <t xml:space="preserve">        conn = sqlite3.connect(DB_PATH)</t>
        </is>
      </c>
    </row>
    <row r="36">
      <c r="A36" s="7" t="n">
        <v>33</v>
      </c>
      <c r="B36" s="8" t="inlineStr">
        <is>
          <t xml:space="preserve">        df = pd.read_sql_query(sql, conn, params=params)</t>
        </is>
      </c>
    </row>
    <row r="37">
      <c r="A37" s="9" t="n">
        <v>34</v>
      </c>
      <c r="B37" s="10" t="inlineStr">
        <is>
          <t xml:space="preserve">        conn.close()</t>
        </is>
      </c>
    </row>
    <row r="38">
      <c r="A38" s="7" t="n">
        <v>35</v>
      </c>
      <c r="B38" s="8" t="inlineStr">
        <is>
          <t xml:space="preserve">        return df</t>
        </is>
      </c>
    </row>
    <row r="39">
      <c r="A39" s="9" t="n">
        <v>36</v>
      </c>
      <c r="B39" s="10" t="inlineStr">
        <is>
          <t xml:space="preserve">    except Exception:</t>
        </is>
      </c>
    </row>
    <row r="40">
      <c r="A40" s="7" t="n">
        <v>37</v>
      </c>
      <c r="B40" s="8" t="inlineStr">
        <is>
          <t xml:space="preserve">        return pd.DataFrame()</t>
        </is>
      </c>
    </row>
    <row r="41">
      <c r="A41" s="9" t="n">
        <v>38</v>
      </c>
      <c r="B41" s="10" t="inlineStr">
        <is>
          <t>def load_scalar(sql, params=(), default=0):</t>
        </is>
      </c>
    </row>
    <row r="42">
      <c r="A42" s="7" t="n">
        <v>39</v>
      </c>
      <c r="B42" s="8" t="inlineStr">
        <is>
          <t xml:space="preserve">    try:</t>
        </is>
      </c>
    </row>
    <row r="43">
      <c r="A43" s="9" t="n">
        <v>40</v>
      </c>
      <c r="B43" s="10" t="inlineStr">
        <is>
          <t xml:space="preserve">        conn = sqlite3.connect(DB_PATH)</t>
        </is>
      </c>
    </row>
    <row r="44">
      <c r="A44" s="7" t="n">
        <v>41</v>
      </c>
      <c r="B44" s="8" t="inlineStr">
        <is>
          <t xml:space="preserve">        row = conn.execute(sql, params).fetchone()</t>
        </is>
      </c>
    </row>
    <row r="45">
      <c r="A45" s="9" t="n">
        <v>42</v>
      </c>
      <c r="B45" s="10" t="inlineStr">
        <is>
          <t xml:space="preserve">        conn.close()</t>
        </is>
      </c>
    </row>
    <row r="46">
      <c r="A46" s="7" t="n">
        <v>43</v>
      </c>
      <c r="B46" s="8" t="inlineStr">
        <is>
          <t xml:space="preserve">        return row[0] if row else default</t>
        </is>
      </c>
    </row>
    <row r="47">
      <c r="A47" s="9" t="n">
        <v>44</v>
      </c>
      <c r="B47" s="10" t="inlineStr">
        <is>
          <t xml:space="preserve">    except Exception:</t>
        </is>
      </c>
    </row>
    <row r="48">
      <c r="A48" s="7" t="n">
        <v>45</v>
      </c>
      <c r="B48" s="8" t="inlineStr">
        <is>
          <t xml:space="preserve">        return default</t>
        </is>
      </c>
    </row>
    <row r="49">
      <c r="A49" s="9" t="n">
        <v>46</v>
      </c>
      <c r="B49" s="10" t="inlineStr">
        <is>
          <t>def get_system_status():</t>
        </is>
      </c>
    </row>
    <row r="50">
      <c r="A50" s="7" t="n">
        <v>47</v>
      </c>
      <c r="B50" s="8" t="inlineStr">
        <is>
          <t xml:space="preserve">    status = {</t>
        </is>
      </c>
    </row>
    <row r="51">
      <c r="A51" s="9" t="n">
        <v>48</v>
      </c>
      <c r="B51" s="10" t="inlineStr">
        <is>
          <t xml:space="preserve">        "cpu": psutil.cpu_percent(interval=0.3),</t>
        </is>
      </c>
    </row>
    <row r="52">
      <c r="A52" s="7" t="n">
        <v>49</v>
      </c>
      <c r="B52" s="8" t="inlineStr">
        <is>
          <t xml:space="preserve">        "mem_percent": psutil.virtual_memory().percent,</t>
        </is>
      </c>
    </row>
    <row r="53">
      <c r="A53" s="9" t="n">
        <v>50</v>
      </c>
      <c r="B53" s="10" t="inlineStr">
        <is>
          <t xml:space="preserve">        "mem_used": round(psutil.virtual_memory().used / 1024**3, 1),</t>
        </is>
      </c>
    </row>
    <row r="54">
      <c r="A54" s="7" t="n">
        <v>51</v>
      </c>
      <c r="B54" s="8" t="inlineStr">
        <is>
          <t xml:space="preserve">        "mem_total": round(psutil.virtual_memory().total / 1024**3, 1),</t>
        </is>
      </c>
    </row>
    <row r="55">
      <c r="A55" s="9" t="n">
        <v>52</v>
      </c>
      <c r="B55" s="10" t="inlineStr">
        <is>
          <t xml:space="preserve">    }</t>
        </is>
      </c>
    </row>
    <row r="56">
      <c r="A56" s="7" t="n">
        <v>53</v>
      </c>
      <c r="B56" s="8" t="inlineStr">
        <is>
          <t xml:space="preserve">    try:</t>
        </is>
      </c>
    </row>
    <row r="57">
      <c r="A57" s="9" t="n">
        <v>54</v>
      </c>
      <c r="B57" s="10" t="inlineStr">
        <is>
          <t xml:space="preserve">        from pynvml import nvmlInit, nvmlDeviceGetHandleByIndex, nvmlDeviceGetMemoryInfo</t>
        </is>
      </c>
    </row>
    <row r="58">
      <c r="A58" s="7" t="n">
        <v>55</v>
      </c>
      <c r="B58" s="8" t="inlineStr">
        <is>
          <t xml:space="preserve">        from pynvml import nvmlDeviceGetUtilizationRates, nvmlDeviceGetTemperature, nvmlDeviceGetName</t>
        </is>
      </c>
    </row>
    <row r="59">
      <c r="A59" s="9" t="n">
        <v>56</v>
      </c>
      <c r="B59" s="10" t="inlineStr">
        <is>
          <t xml:space="preserve">        from pynvml import nvmlShutdown, NVML_TEMPERATURE_GPU</t>
        </is>
      </c>
    </row>
    <row r="60">
      <c r="A60" s="7" t="n">
        <v>57</v>
      </c>
      <c r="B60" s="8" t="inlineStr">
        <is>
          <t xml:space="preserve">        nvmlInit()</t>
        </is>
      </c>
    </row>
    <row r="61">
      <c r="A61" s="9" t="n">
        <v>58</v>
      </c>
      <c r="B61" s="10" t="inlineStr">
        <is>
          <t xml:space="preserve">        h = nvmlDeviceGetHandleByIndex(0)</t>
        </is>
      </c>
    </row>
    <row r="62">
      <c r="A62" s="7" t="n">
        <v>59</v>
      </c>
      <c r="B62" s="8" t="inlineStr">
        <is>
          <t xml:space="preserve">        mem = nvmlDeviceGetMemoryInfo(h)</t>
        </is>
      </c>
    </row>
    <row r="63">
      <c r="A63" s="9" t="n">
        <v>60</v>
      </c>
      <c r="B63" s="10" t="inlineStr">
        <is>
          <t xml:space="preserve">        util = nvmlDeviceGetUtilizationRates(h)</t>
        </is>
      </c>
    </row>
    <row r="64">
      <c r="A64" s="7" t="n">
        <v>61</v>
      </c>
      <c r="B64" s="8" t="inlineStr">
        <is>
          <t xml:space="preserve">        name = nvmlDeviceGetName(h)</t>
        </is>
      </c>
    </row>
    <row r="65">
      <c r="A65" s="9" t="n">
        <v>62</v>
      </c>
      <c r="B65" s="10" t="inlineStr">
        <is>
          <t xml:space="preserve">        status["gpu_name"] = name.decode() if isinstance(name, bytes) else name</t>
        </is>
      </c>
    </row>
    <row r="66">
      <c r="A66" s="7" t="n">
        <v>63</v>
      </c>
      <c r="B66" s="8" t="inlineStr">
        <is>
          <t xml:space="preserve">        status["vram_used"] = round(mem.used / 1024**2, 1)</t>
        </is>
      </c>
    </row>
    <row r="67">
      <c r="A67" s="9" t="n">
        <v>64</v>
      </c>
      <c r="B67" s="10" t="inlineStr">
        <is>
          <t xml:space="preserve">        status["vram_total"] = round(mem.total / 1024**2, 1)</t>
        </is>
      </c>
    </row>
    <row r="68">
      <c r="A68" s="7" t="n">
        <v>65</v>
      </c>
      <c r="B68" s="8" t="inlineStr">
        <is>
          <t xml:space="preserve">        status["gpu_util"] = util.gpu</t>
        </is>
      </c>
    </row>
    <row r="69">
      <c r="A69" s="9" t="n">
        <v>66</v>
      </c>
      <c r="B69" s="10" t="inlineStr">
        <is>
          <t xml:space="preserve">        status["gpu_temp"] = nvmlDeviceGetTemperature(h, NVML_TEMPERATURE_GPU)</t>
        </is>
      </c>
    </row>
    <row r="70">
      <c r="A70" s="7" t="n">
        <v>67</v>
      </c>
      <c r="B70" s="8" t="inlineStr">
        <is>
          <t xml:space="preserve">        nvmlShutdown()</t>
        </is>
      </c>
    </row>
    <row r="71">
      <c r="A71" s="9" t="n">
        <v>68</v>
      </c>
      <c r="B71" s="10" t="inlineStr">
        <is>
          <t xml:space="preserve">    except Exception:</t>
        </is>
      </c>
    </row>
    <row r="72">
      <c r="A72" s="7" t="n">
        <v>69</v>
      </c>
      <c r="B72" s="8" t="inlineStr">
        <is>
          <t xml:space="preserve">        status["gpu_name"] = "未检测到"</t>
        </is>
      </c>
    </row>
    <row r="73">
      <c r="A73" s="9" t="n">
        <v>70</v>
      </c>
      <c r="B73" s="10" t="inlineStr">
        <is>
          <t xml:space="preserve">        status["vram_used"] = 0</t>
        </is>
      </c>
    </row>
    <row r="74">
      <c r="A74" s="7" t="n">
        <v>71</v>
      </c>
      <c r="B74" s="8" t="inlineStr">
        <is>
          <t xml:space="preserve">        status["vram_total"] = 6144</t>
        </is>
      </c>
    </row>
    <row r="75">
      <c r="A75" s="9" t="n">
        <v>72</v>
      </c>
      <c r="B75" s="10" t="inlineStr">
        <is>
          <t xml:space="preserve">        status["gpu_util"] = 0</t>
        </is>
      </c>
    </row>
    <row r="76">
      <c r="A76" s="7" t="n">
        <v>73</v>
      </c>
      <c r="B76" s="8" t="inlineStr">
        <is>
          <t xml:space="preserve">        status["gpu_temp"] = 0</t>
        </is>
      </c>
    </row>
    <row r="77">
      <c r="A77" s="9" t="n">
        <v>74</v>
      </c>
      <c r="B77" s="10" t="inlineStr">
        <is>
          <t xml:space="preserve">    return status</t>
        </is>
      </c>
    </row>
    <row r="78">
      <c r="A78" s="7" t="n">
        <v>75</v>
      </c>
      <c r="B78" s="8" t="inlineStr">
        <is>
          <t># 侧边栏</t>
        </is>
      </c>
    </row>
    <row r="79">
      <c r="A79" s="9" t="n">
        <v>76</v>
      </c>
      <c r="B79" s="10" t="inlineStr">
        <is>
          <t>with st.sidebar:</t>
        </is>
      </c>
    </row>
    <row r="80">
      <c r="A80" s="7" t="n">
        <v>77</v>
      </c>
      <c r="B80" s="8" t="inlineStr">
        <is>
          <t xml:space="preserve">    st.title("🎬 树剪控制台")</t>
        </is>
      </c>
    </row>
    <row r="81">
      <c r="A81" s="9" t="n">
        <v>78</v>
      </c>
      <c r="B81" s="10" t="inlineStr">
        <is>
          <t xml:space="preserve">    page = st.radio("导航", [</t>
        </is>
      </c>
    </row>
    <row r="82">
      <c r="A82" s="7" t="n">
        <v>79</v>
      </c>
      <c r="B82" s="8" t="inlineStr">
        <is>
          <t xml:space="preserve">        "📊 运行概览", "📋 任务队列", "🔍 质检中心",</t>
        </is>
      </c>
    </row>
    <row r="83">
      <c r="A83" s="9" t="n">
        <v>80</v>
      </c>
      <c r="B83" s="10" t="inlineStr">
        <is>
          <t xml:space="preserve">        "📁 素材库", "⚙️ 系统配置", "💻 硬件监控",</t>
        </is>
      </c>
    </row>
    <row r="84">
      <c r="A84" s="7" t="n">
        <v>81</v>
      </c>
      <c r="B84" s="8" t="inlineStr">
        <is>
          <t xml:space="preserve">    ])</t>
        </is>
      </c>
    </row>
    <row r="85">
      <c r="A85" s="9" t="n">
        <v>82</v>
      </c>
      <c r="B85" s="10" t="inlineStr">
        <is>
          <t xml:space="preserve">    st.divider()</t>
        </is>
      </c>
    </row>
    <row r="86">
      <c r="A86" s="7" t="n">
        <v>83</v>
      </c>
      <c r="B86" s="8" t="inlineStr">
        <is>
          <t xml:space="preserve">    st.caption(f"🕐 {datetime.now().strftime('%Y-%m-%d %H:%M:%S')}")</t>
        </is>
      </c>
    </row>
    <row r="87">
      <c r="A87" s="9" t="n">
        <v>84</v>
      </c>
      <c r="B87" s="10" t="inlineStr">
        <is>
          <t xml:space="preserve">    if st.button("🔄 刷新缓存"):</t>
        </is>
      </c>
    </row>
    <row r="88">
      <c r="A88" s="7" t="n">
        <v>85</v>
      </c>
      <c r="B88" s="8" t="inlineStr">
        <is>
          <t xml:space="preserve">        st.cache_data.clear()</t>
        </is>
      </c>
    </row>
    <row r="89">
      <c r="A89" s="9" t="n">
        <v>86</v>
      </c>
      <c r="B89" s="10" t="inlineStr">
        <is>
          <t xml:space="preserve">        st.rerun()</t>
        </is>
      </c>
    </row>
    <row r="90">
      <c r="A90" s="7" t="n">
        <v>87</v>
      </c>
      <c r="B90" s="8" t="inlineStr">
        <is>
          <t># ====== 运行概览 ======</t>
        </is>
      </c>
    </row>
    <row r="91">
      <c r="A91" s="9" t="n">
        <v>88</v>
      </c>
      <c r="B91" s="10" t="inlineStr">
        <is>
          <t>if page == "📊 运行概览":</t>
        </is>
      </c>
    </row>
    <row r="92">
      <c r="A92" s="7" t="n">
        <v>89</v>
      </c>
      <c r="B92" s="8" t="inlineStr">
        <is>
          <t xml:space="preserve">    st.header("📊 运行概览")</t>
        </is>
      </c>
    </row>
    <row r="93">
      <c r="A93" s="9" t="n">
        <v>90</v>
      </c>
      <c r="B93" s="10" t="inlineStr">
        <is>
          <t xml:space="preserve">    tasks_df = load_data("SELECT * FROM tasks ORDER BY create_time DESC")</t>
        </is>
      </c>
    </row>
    <row r="94">
      <c r="A94" s="7" t="n">
        <v>91</v>
      </c>
      <c r="B94" s="8" t="inlineStr">
        <is>
          <t xml:space="preserve">    materials_df = load_data("SELECT * FROM materials")</t>
        </is>
      </c>
    </row>
    <row r="95">
      <c r="A95" s="9" t="n">
        <v>92</v>
      </c>
      <c r="B95" s="10" t="inlineStr">
        <is>
          <t xml:space="preserve">    quality_df = load_data("SELECT * FROM quality_results")</t>
        </is>
      </c>
    </row>
    <row r="96">
      <c r="A96" s="7" t="n">
        <v>93</v>
      </c>
      <c r="B96" s="8" t="inlineStr">
        <is>
          <t xml:space="preserve">    c1, c2, c3, c4 = st.columns(4)</t>
        </is>
      </c>
    </row>
    <row r="97">
      <c r="A97" s="9" t="n">
        <v>94</v>
      </c>
      <c r="B97" s="10" t="inlineStr">
        <is>
          <t xml:space="preserve">    c1.metric("素材总数", len(materials_df))</t>
        </is>
      </c>
    </row>
    <row r="98">
      <c r="A98" s="7" t="n">
        <v>95</v>
      </c>
      <c r="B98" s="8" t="inlineStr">
        <is>
          <t xml:space="preserve">    c2.metric("总任务数", len(tasks_df))</t>
        </is>
      </c>
    </row>
    <row r="99">
      <c r="A99" s="9" t="n">
        <v>96</v>
      </c>
      <c r="B99" s="10" t="inlineStr">
        <is>
          <t xml:space="preserve">    c3.metric("已完成", len(tasks_df[tasks_df["status"] == "completed"]) if not tasks_df.empty else 0)</t>
        </is>
      </c>
    </row>
    <row r="100">
      <c r="A100" s="7" t="n">
        <v>97</v>
      </c>
      <c r="B100" s="8" t="inlineStr">
        <is>
          <t xml:space="preserve">    c4.metric("质检问题", len(quality_df))</t>
        </is>
      </c>
    </row>
    <row r="101">
      <c r="A101" s="9" t="n">
        <v>98</v>
      </c>
      <c r="B101" s="10" t="inlineStr">
        <is>
          <t xml:space="preserve">    st.subheader("最近任务")</t>
        </is>
      </c>
    </row>
    <row r="102">
      <c r="A102" s="7" t="n">
        <v>99</v>
      </c>
      <c r="B102" s="8" t="inlineStr">
        <is>
          <t xml:space="preserve">    if not tasks_df.empty:</t>
        </is>
      </c>
    </row>
    <row r="103">
      <c r="A103" s="9" t="n">
        <v>100</v>
      </c>
      <c r="B103" s="10" t="inlineStr">
        <is>
          <t xml:space="preserve">        st.dataframe(tasks_df.head(10), use_container_width=True, hide_index=True)</t>
        </is>
      </c>
    </row>
    <row r="104">
      <c r="A104" s="7" t="n">
        <v>101</v>
      </c>
      <c r="B104" s="8" t="inlineStr">
        <is>
          <t xml:space="preserve">    else:</t>
        </is>
      </c>
    </row>
    <row r="105">
      <c r="A105" s="9" t="n">
        <v>102</v>
      </c>
      <c r="B105" s="10" t="inlineStr">
        <is>
          <t xml:space="preserve">        st.info("暂无任务")</t>
        </is>
      </c>
    </row>
    <row r="106">
      <c r="A106" s="7" t="n">
        <v>103</v>
      </c>
      <c r="B106" s="8" t="inlineStr">
        <is>
          <t># ====== 任务队列 ======</t>
        </is>
      </c>
    </row>
    <row r="107">
      <c r="A107" s="9" t="n">
        <v>104</v>
      </c>
      <c r="B107" s="10" t="inlineStr">
        <is>
          <t>elif page == "📋 任务队列":</t>
        </is>
      </c>
    </row>
    <row r="108">
      <c r="A108" s="7" t="n">
        <v>105</v>
      </c>
      <c r="B108" s="8" t="inlineStr">
        <is>
          <t xml:space="preserve">    st.header("📋 任务队列管理")</t>
        </is>
      </c>
    </row>
    <row r="109">
      <c r="A109" s="9" t="n">
        <v>106</v>
      </c>
      <c r="B109" s="10" t="inlineStr">
        <is>
          <t xml:space="preserve">    col1, col2 = st.columns(2)</t>
        </is>
      </c>
    </row>
    <row r="110">
      <c r="A110" s="7" t="n">
        <v>107</v>
      </c>
      <c r="B110" s="8" t="inlineStr">
        <is>
          <t xml:space="preserve">    with col1:</t>
        </is>
      </c>
    </row>
    <row r="111">
      <c r="A111" s="9" t="n">
        <v>108</v>
      </c>
      <c r="B111" s="10" t="inlineStr">
        <is>
          <t xml:space="preserve">        uploaded = st.file_uploader("上传素材", type=["mp4", "mov", "avi"], accept_multiple_files=True)</t>
        </is>
      </c>
    </row>
    <row r="112">
      <c r="A112" s="7" t="n">
        <v>109</v>
      </c>
      <c r="B112" s="8" t="inlineStr">
        <is>
          <t xml:space="preserve">        if uploaded:</t>
        </is>
      </c>
    </row>
    <row r="113">
      <c r="A113" s="9" t="n">
        <v>110</v>
      </c>
      <c r="B113" s="10" t="inlineStr">
        <is>
          <t xml:space="preserve">            for f in uploaded:</t>
        </is>
      </c>
    </row>
    <row r="114">
      <c r="A114" s="7" t="n">
        <v>111</v>
      </c>
      <c r="B114" s="8" t="inlineStr">
        <is>
          <t xml:space="preserve">                save_path = os.path.join(PROJECT_ROOT, "data", "materials", f.name)</t>
        </is>
      </c>
    </row>
    <row r="115">
      <c r="A115" s="9" t="n">
        <v>112</v>
      </c>
      <c r="B115" s="10" t="inlineStr">
        <is>
          <t xml:space="preserve">                os.makedirs(os.path.dirname(save_path), exist_ok=True)</t>
        </is>
      </c>
    </row>
    <row r="116">
      <c r="A116" s="7" t="n">
        <v>113</v>
      </c>
      <c r="B116" s="8" t="inlineStr">
        <is>
          <t xml:space="preserve">                with open(save_path, "wb") as out:</t>
        </is>
      </c>
    </row>
    <row r="117">
      <c r="A117" s="9" t="n">
        <v>114</v>
      </c>
      <c r="B117" s="10" t="inlineStr">
        <is>
          <t xml:space="preserve">                    out.write(f.read())</t>
        </is>
      </c>
    </row>
    <row r="118">
      <c r="A118" s="7" t="n">
        <v>115</v>
      </c>
      <c r="B118" s="8" t="inlineStr">
        <is>
          <t xml:space="preserve">                st.success(f"已添加: {f.name}")</t>
        </is>
      </c>
    </row>
    <row r="119">
      <c r="A119" s="9" t="n">
        <v>116</v>
      </c>
      <c r="B119" s="10" t="inlineStr">
        <is>
          <t xml:space="preserve">    with col2:</t>
        </is>
      </c>
    </row>
    <row r="120">
      <c r="A120" s="7" t="n">
        <v>117</v>
      </c>
      <c r="B120" s="8" t="inlineStr">
        <is>
          <t xml:space="preserve">        folder_path = st.text_input("文件夹路径（批量导入）")</t>
        </is>
      </c>
    </row>
    <row r="121">
      <c r="A121" s="9" t="n">
        <v>118</v>
      </c>
      <c r="B121" s="10" t="inlineStr">
        <is>
          <t xml:space="preserve">        if st.button("开始导入") and folder_path:</t>
        </is>
      </c>
    </row>
    <row r="122">
      <c r="A122" s="7" t="n">
        <v>119</v>
      </c>
      <c r="B122" s="8" t="inlineStr">
        <is>
          <t xml:space="preserve">            from tasks.task_queue import task_queue</t>
        </is>
      </c>
    </row>
    <row r="123">
      <c r="A123" s="9" t="n">
        <v>120</v>
      </c>
      <c r="B123" s="10" t="inlineStr">
        <is>
          <t xml:space="preserve">            count = task_queue.add_folder(folder_path)</t>
        </is>
      </c>
    </row>
    <row r="124">
      <c r="A124" s="7" t="n">
        <v>121</v>
      </c>
      <c r="B124" s="8" t="inlineStr">
        <is>
          <t xml:space="preserve">            st.success(f"导入完成，共{count}个")</t>
        </is>
      </c>
    </row>
    <row r="125">
      <c r="A125" s="9" t="n">
        <v>122</v>
      </c>
      <c r="B125" s="10" t="inlineStr">
        <is>
          <t xml:space="preserve">    st.divider()</t>
        </is>
      </c>
    </row>
    <row r="126">
      <c r="A126" s="7" t="n">
        <v>123</v>
      </c>
      <c r="B126" s="8" t="inlineStr">
        <is>
          <t xml:space="preserve">    queue_df = load_data(</t>
        </is>
      </c>
    </row>
    <row r="127">
      <c r="A127" s="9" t="n">
        <v>124</v>
      </c>
      <c r="B127" s="10" t="inlineStr">
        <is>
          <t xml:space="preserve">        """SELECT q.id, m.file_path, q.status, q.priority, q.create_time</t>
        </is>
      </c>
    </row>
    <row r="128">
      <c r="A128" s="7" t="n">
        <v>125</v>
      </c>
      <c r="B128" s="8" t="inlineStr">
        <is>
          <t xml:space="preserve">           FROM task_queue q JOIN materials m ON q.material_id=m.id ORDER BY q.id DESC"""</t>
        </is>
      </c>
    </row>
    <row r="129">
      <c r="A129" s="9" t="n">
        <v>126</v>
      </c>
      <c r="B129" s="10" t="inlineStr">
        <is>
          <t xml:space="preserve">    )</t>
        </is>
      </c>
    </row>
    <row r="130">
      <c r="A130" s="7" t="n">
        <v>127</v>
      </c>
      <c r="B130" s="8" t="inlineStr">
        <is>
          <t xml:space="preserve">    if not queue_df.empty:</t>
        </is>
      </c>
    </row>
    <row r="131">
      <c r="A131" s="9" t="n">
        <v>128</v>
      </c>
      <c r="B131" s="10" t="inlineStr">
        <is>
          <t xml:space="preserve">        st.dataframe(queue_df, use_container_width=True, hide_index=True)</t>
        </is>
      </c>
    </row>
    <row r="132">
      <c r="A132" s="7" t="n">
        <v>129</v>
      </c>
      <c r="B132" s="8" t="inlineStr">
        <is>
          <t xml:space="preserve">    if st.button("▶️ 运行全部等待任务", type="primary"):</t>
        </is>
      </c>
    </row>
    <row r="133">
      <c r="A133" s="9" t="n">
        <v>130</v>
      </c>
      <c r="B133" s="10" t="inlineStr">
        <is>
          <t xml:space="preserve">        from tasks.task_queue import task_queue</t>
        </is>
      </c>
    </row>
    <row r="134">
      <c r="A134" s="7" t="n">
        <v>131</v>
      </c>
      <c r="B134" s="8" t="inlineStr">
        <is>
          <t xml:space="preserve">        total = task_queue.run_all()</t>
        </is>
      </c>
    </row>
    <row r="135">
      <c r="A135" s="9" t="n">
        <v>132</v>
      </c>
      <c r="B135" s="10" t="inlineStr">
        <is>
          <t xml:space="preserve">        st.success(f"批量完成，共{total}个")</t>
        </is>
      </c>
    </row>
    <row r="136">
      <c r="A136" s="7" t="n">
        <v>133</v>
      </c>
      <c r="B136" s="8" t="inlineStr">
        <is>
          <t># ====== 质检中心 ======</t>
        </is>
      </c>
    </row>
    <row r="137">
      <c r="A137" s="9" t="n">
        <v>134</v>
      </c>
      <c r="B137" s="10" t="inlineStr">
        <is>
          <t>elif page == "🔍 质检中心":</t>
        </is>
      </c>
    </row>
    <row r="138">
      <c r="A138" s="7" t="n">
        <v>135</v>
      </c>
      <c r="B138" s="8" t="inlineStr">
        <is>
          <t xml:space="preserve">    st.header("🔍 质检结果中心")</t>
        </is>
      </c>
    </row>
    <row r="139">
      <c r="A139" s="9" t="n">
        <v>136</v>
      </c>
      <c r="B139" s="10" t="inlineStr">
        <is>
          <t xml:space="preserve">    qdf = load_data("SELECT * FROM quality_results ORDER BY check_time DESC")</t>
        </is>
      </c>
    </row>
    <row r="140">
      <c r="A140" s="7" t="n">
        <v>137</v>
      </c>
      <c r="B140" s="8" t="inlineStr">
        <is>
          <t xml:space="preserve">    if qdf.empty:</t>
        </is>
      </c>
    </row>
    <row r="141">
      <c r="A141" s="9" t="n">
        <v>138</v>
      </c>
      <c r="B141" s="10" t="inlineStr">
        <is>
          <t xml:space="preserve">        st.info("暂无质检数据")</t>
        </is>
      </c>
    </row>
    <row r="142">
      <c r="A142" s="7" t="n">
        <v>139</v>
      </c>
      <c r="B142" s="8" t="inlineStr">
        <is>
          <t xml:space="preserve">    else:</t>
        </is>
      </c>
    </row>
    <row r="143">
      <c r="A143" s="9" t="n">
        <v>140</v>
      </c>
      <c r="B143" s="10" t="inlineStr">
        <is>
          <t xml:space="preserve">        c1, c2, c3 = st.columns(3)</t>
        </is>
      </c>
    </row>
    <row r="144">
      <c r="A144" s="7" t="n">
        <v>141</v>
      </c>
      <c r="B144" s="8" t="inlineStr">
        <is>
          <t xml:space="preserve">        c1.metric("总问题", len(qdf))</t>
        </is>
      </c>
    </row>
    <row r="145">
      <c r="A145" s="9" t="n">
        <v>142</v>
      </c>
      <c r="B145" s="10" t="inlineStr">
        <is>
          <t xml:space="preserve">        c2.metric("已修复", len(qdf[qdf["is_fixed"] == 1]))</t>
        </is>
      </c>
    </row>
    <row r="146">
      <c r="A146" s="7" t="n">
        <v>143</v>
      </c>
      <c r="B146" s="8" t="inlineStr">
        <is>
          <t xml:space="preserve">        c3.metric("待处理", len(qdf[qdf["is_fixed"] == 0]))</t>
        </is>
      </c>
    </row>
    <row r="147">
      <c r="A147" s="9" t="n">
        <v>144</v>
      </c>
      <c r="B147" s="10" t="inlineStr">
        <is>
          <t xml:space="preserve">        col1, col2 = st.columns(2)</t>
        </is>
      </c>
    </row>
    <row r="148">
      <c r="A148" s="7" t="n">
        <v>145</v>
      </c>
      <c r="B148" s="8" t="inlineStr">
        <is>
          <t xml:space="preserve">        with col1:</t>
        </is>
      </c>
    </row>
    <row r="149">
      <c r="A149" s="9" t="n">
        <v>146</v>
      </c>
      <c r="B149" s="10" t="inlineStr">
        <is>
          <t xml:space="preserve">            tc = qdf["check_type"].value_counts().reset_index()</t>
        </is>
      </c>
    </row>
    <row r="150">
      <c r="A150" s="7" t="n">
        <v>147</v>
      </c>
      <c r="B150" s="8" t="inlineStr">
        <is>
          <t xml:space="preserve">            tc.columns = ["类型", "数量"]</t>
        </is>
      </c>
    </row>
    <row r="151">
      <c r="A151" s="9" t="n">
        <v>148</v>
      </c>
      <c r="B151" s="10" t="inlineStr">
        <is>
          <t xml:space="preserve">            fig = px.pie(tc, values="数量", names="类型", hole=0.3, title="问题类型")</t>
        </is>
      </c>
    </row>
    <row r="152">
      <c r="A152" s="7" t="n">
        <v>149</v>
      </c>
      <c r="B152" s="8" t="inlineStr">
        <is>
          <t xml:space="preserve">            st.plotly_chart(fig, use_container_width=True)</t>
        </is>
      </c>
    </row>
    <row r="153">
      <c r="A153" s="9" t="n">
        <v>150</v>
      </c>
      <c r="B153" s="10" t="inlineStr">
        <is>
          <t xml:space="preserve">        with col2:</t>
        </is>
      </c>
    </row>
    <row r="154">
      <c r="A154" s="7" t="n">
        <v>151</v>
      </c>
      <c r="B154" s="8" t="inlineStr">
        <is>
          <t xml:space="preserve">            lc = qdf["issue_level"].value_counts().reset_index()</t>
        </is>
      </c>
    </row>
    <row r="155">
      <c r="A155" s="9" t="n">
        <v>152</v>
      </c>
      <c r="B155" s="10" t="inlineStr">
        <is>
          <t xml:space="preserve">            lc.columns = ["等级", "数量"]</t>
        </is>
      </c>
    </row>
    <row r="156">
      <c r="A156" s="7" t="n">
        <v>153</v>
      </c>
      <c r="B156" s="8" t="inlineStr">
        <is>
          <t xml:space="preserve">            fig = px.bar(lc, x="等级", y="数量", color="等级", title="问题等级")</t>
        </is>
      </c>
    </row>
    <row r="157">
      <c r="A157" s="9" t="n">
        <v>154</v>
      </c>
      <c r="B157" s="10" t="inlineStr">
        <is>
          <t xml:space="preserve">            st.plotly_chart(fig, use_container_width=True)</t>
        </is>
      </c>
    </row>
    <row r="158">
      <c r="A158" s="7" t="n">
        <v>155</v>
      </c>
      <c r="B158" s="8" t="inlineStr">
        <is>
          <t xml:space="preserve">        st.subheader("质检详情")</t>
        </is>
      </c>
    </row>
    <row r="159">
      <c r="A159" s="9" t="n">
        <v>156</v>
      </c>
      <c r="B159" s="10" t="inlineStr">
        <is>
          <t xml:space="preserve">        st.dataframe(qdf, use_container_width=True, hide_index=True)</t>
        </is>
      </c>
    </row>
    <row r="160">
      <c r="A160" s="7" t="n">
        <v>157</v>
      </c>
      <c r="B160" s="8" t="inlineStr">
        <is>
          <t xml:space="preserve">        csv = qdf.to_csv(index=False).encode("utf-8-sig")</t>
        </is>
      </c>
    </row>
    <row r="161">
      <c r="A161" s="9" t="n">
        <v>158</v>
      </c>
      <c r="B161" s="10" t="inlineStr">
        <is>
          <t xml:space="preserve">        st.download_button("📥 导出CSV", csv, "质检报告.csv", "text/csv")</t>
        </is>
      </c>
    </row>
    <row r="162">
      <c r="A162" s="7" t="n">
        <v>159</v>
      </c>
      <c r="B162" s="8" t="inlineStr">
        <is>
          <t># ====== 素材库 ======</t>
        </is>
      </c>
    </row>
    <row r="163">
      <c r="A163" s="9" t="n">
        <v>160</v>
      </c>
      <c r="B163" s="10" t="inlineStr">
        <is>
          <t>elif page == "📁 素材库":</t>
        </is>
      </c>
    </row>
    <row r="164">
      <c r="A164" s="7" t="n">
        <v>161</v>
      </c>
      <c r="B164" s="8" t="inlineStr">
        <is>
          <t xml:space="preserve">    st.header("📁 素材资源库")</t>
        </is>
      </c>
    </row>
    <row r="165">
      <c r="A165" s="9" t="n">
        <v>162</v>
      </c>
      <c r="B165" s="10" t="inlineStr">
        <is>
          <t xml:space="preserve">    mdf = load_data(</t>
        </is>
      </c>
    </row>
    <row r="166">
      <c r="A166" s="7" t="n">
        <v>163</v>
      </c>
      <c r="B166" s="8" t="inlineStr">
        <is>
          <t xml:space="preserve">        """SELECT id, file_path, status, duration, resolution, fps, version, create_time</t>
        </is>
      </c>
    </row>
    <row r="167">
      <c r="A167" s="9" t="n">
        <v>164</v>
      </c>
      <c r="B167" s="10" t="inlineStr">
        <is>
          <t xml:space="preserve">           FROM materials ORDER BY create_time DESC"""</t>
        </is>
      </c>
    </row>
    <row r="168">
      <c r="A168" s="7" t="n">
        <v>165</v>
      </c>
      <c r="B168" s="8" t="inlineStr">
        <is>
          <t xml:space="preserve">    )</t>
        </is>
      </c>
    </row>
    <row r="169">
      <c r="A169" s="9" t="n">
        <v>166</v>
      </c>
      <c r="B169" s="10" t="inlineStr">
        <is>
          <t xml:space="preserve">    if not mdf.empty:</t>
        </is>
      </c>
    </row>
    <row r="170">
      <c r="A170" s="7" t="n">
        <v>167</v>
      </c>
      <c r="B170" s="8" t="inlineStr">
        <is>
          <t xml:space="preserve">        sf = st.multiselect("状态", ["pending", "processed", "failed"], default=["pending", "processed"])</t>
        </is>
      </c>
    </row>
    <row r="171">
      <c r="A171" s="9" t="n">
        <v>168</v>
      </c>
      <c r="B171" s="10" t="inlineStr">
        <is>
          <t xml:space="preserve">        filtered = mdf[mdf["status"].isin(sf)]</t>
        </is>
      </c>
    </row>
    <row r="172">
      <c r="A172" s="7" t="n">
        <v>169</v>
      </c>
      <c r="B172" s="8" t="inlineStr">
        <is>
          <t xml:space="preserve">        st.dataframe(filtered, use_container_width=True, hide_index=True)</t>
        </is>
      </c>
    </row>
    <row r="173">
      <c r="A173" s="9" t="n">
        <v>170</v>
      </c>
      <c r="B173" s="10" t="inlineStr">
        <is>
          <t xml:space="preserve">    else:</t>
        </is>
      </c>
    </row>
    <row r="174">
      <c r="A174" s="7" t="n">
        <v>171</v>
      </c>
      <c r="B174" s="8" t="inlineStr">
        <is>
          <t xml:space="preserve">        st.info("暂无素材")</t>
        </is>
      </c>
    </row>
    <row r="175">
      <c r="A175" s="9" t="n">
        <v>172</v>
      </c>
      <c r="B175" s="10" t="inlineStr">
        <is>
          <t># ====== 系统配置 ======</t>
        </is>
      </c>
    </row>
    <row r="176">
      <c r="A176" s="7" t="n">
        <v>173</v>
      </c>
      <c r="B176" s="8" t="inlineStr">
        <is>
          <t>elif page == "⚙️ 系统配置":</t>
        </is>
      </c>
    </row>
    <row r="177">
      <c r="A177" s="9" t="n">
        <v>174</v>
      </c>
      <c r="B177" s="10" t="inlineStr">
        <is>
          <t xml:space="preserve">    st.header("⚙️ 系统配置")</t>
        </is>
      </c>
    </row>
    <row r="178">
      <c r="A178" s="7" t="n">
        <v>175</v>
      </c>
      <c r="B178" s="8" t="inlineStr">
        <is>
          <t xml:space="preserve">    config_path = os.path.join(PROJECT_ROOT, "config", "system_config.yaml")</t>
        </is>
      </c>
    </row>
    <row r="179">
      <c r="A179" s="9" t="n">
        <v>176</v>
      </c>
      <c r="B179" s="10" t="inlineStr">
        <is>
          <t xml:space="preserve">    st.info("热修改功能开发中，可直接编辑 config/system_config.yaml")</t>
        </is>
      </c>
    </row>
    <row r="180">
      <c r="A180" s="7" t="n">
        <v>177</v>
      </c>
      <c r="B180" s="8" t="inlineStr">
        <is>
          <t xml:space="preserve">    if os.path.exists(config_path):</t>
        </is>
      </c>
    </row>
    <row r="181">
      <c r="A181" s="9" t="n">
        <v>178</v>
      </c>
      <c r="B181" s="10" t="inlineStr">
        <is>
          <t xml:space="preserve">        with open(config_path, "r", encoding="utf-8") as f:</t>
        </is>
      </c>
    </row>
    <row r="182">
      <c r="A182" s="7" t="n">
        <v>179</v>
      </c>
      <c r="B182" s="8" t="inlineStr">
        <is>
          <t xml:space="preserve">            st.code(f.read(), language="yaml")</t>
        </is>
      </c>
    </row>
    <row r="183">
      <c r="A183" s="9" t="n">
        <v>180</v>
      </c>
      <c r="B183" s="10" t="inlineStr">
        <is>
          <t># ====== 硬件监控 ======</t>
        </is>
      </c>
    </row>
    <row r="184">
      <c r="A184" s="7" t="n">
        <v>181</v>
      </c>
      <c r="B184" s="8" t="inlineStr">
        <is>
          <t>elif page == "💻 硬件监控":</t>
        </is>
      </c>
    </row>
    <row r="185">
      <c r="A185" s="9" t="n">
        <v>182</v>
      </c>
      <c r="B185" s="10" t="inlineStr">
        <is>
          <t xml:space="preserve">    st.header("💻 硬件实时监控")</t>
        </is>
      </c>
    </row>
    <row r="186">
      <c r="A186" s="7" t="n">
        <v>183</v>
      </c>
      <c r="B186" s="8" t="inlineStr">
        <is>
          <t xml:space="preserve">    s = get_system_status()</t>
        </is>
      </c>
    </row>
    <row r="187">
      <c r="A187" s="9" t="n">
        <v>184</v>
      </c>
      <c r="B187" s="10" t="inlineStr">
        <is>
          <t xml:space="preserve">    c1, c2, c3, c4 = st.columns(4)</t>
        </is>
      </c>
    </row>
    <row r="188">
      <c r="A188" s="7" t="n">
        <v>185</v>
      </c>
      <c r="B188" s="8" t="inlineStr">
        <is>
          <t xml:space="preserve">    c1.metric("CPU", f"{s['cpu']}%")</t>
        </is>
      </c>
    </row>
    <row r="189">
      <c r="A189" s="9" t="n">
        <v>186</v>
      </c>
      <c r="B189" s="10" t="inlineStr">
        <is>
          <t xml:space="preserve">    c2.metric("内存", f"{s['mem_percent']}%", f"{s['mem_used']}/{s['mem_total']}GB")</t>
        </is>
      </c>
    </row>
    <row r="190">
      <c r="A190" s="7" t="n">
        <v>187</v>
      </c>
      <c r="B190" s="8" t="inlineStr">
        <is>
          <t xml:space="preserve">    c3.metric("GPU", f"{s['gpu_util']}%")</t>
        </is>
      </c>
    </row>
    <row r="191">
      <c r="A191" s="9" t="n">
        <v>188</v>
      </c>
      <c r="B191" s="10" t="inlineStr">
        <is>
          <t xml:space="preserve">    c4.metric("显存", f"{s['vram_used']}/{s['vram_total']}MB")</t>
        </is>
      </c>
    </row>
    <row r="192">
      <c r="A192" s="7" t="n">
        <v>189</v>
      </c>
      <c r="B192" s="8" t="inlineStr">
        <is>
          <t xml:space="preserve">    col1, col2 = st.columns(2)</t>
        </is>
      </c>
    </row>
    <row r="193">
      <c r="A193" s="9" t="n">
        <v>190</v>
      </c>
      <c r="B193" s="10" t="inlineStr">
        <is>
          <t xml:space="preserve">    col1.metric("GPU温度", f"{s['gpu_temp']}°C")</t>
        </is>
      </c>
    </row>
    <row r="194">
      <c r="A194" s="7" t="n">
        <v>191</v>
      </c>
      <c r="B194" s="8" t="inlineStr">
        <is>
          <t xml:space="preserve">    col2.metric("显卡型号", s["gpu_name"])</t>
        </is>
      </c>
    </row>
    <row r="195">
      <c r="A195" s="9" t="n">
        <v>192</v>
      </c>
      <c r="B195" s="10" t="inlineStr">
        <is>
          <t xml:space="preserve">    st.caption("每5秒自动刷新")</t>
        </is>
      </c>
    </row>
    <row r="196">
      <c r="A196" s="7" t="n">
        <v>193</v>
      </c>
      <c r="B196" s="8" t="inlineStr">
        <is>
          <t xml:space="preserve">    time.sleep(5)</t>
        </is>
      </c>
    </row>
    <row r="197">
      <c r="A197" s="9" t="n">
        <v>194</v>
      </c>
      <c r="B197" s="10" t="inlineStr">
        <is>
          <t xml:space="preserve">    st.rerun()</t>
        </is>
      </c>
    </row>
    <row r="198">
      <c r="A198" s="7" t="n">
        <v>195</v>
      </c>
      <c r="B198" s="8" t="inlineStr">
        <is>
          <t>st.divider()</t>
        </is>
      </c>
    </row>
    <row r="199">
      <c r="A199" s="9" t="n">
        <v>196</v>
      </c>
      <c r="B199" s="10" t="inlineStr">
        <is>
          <t>st.caption(f"树剪 AI智能生产系统 v3.0 | DB: {DB_PATH}")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download_models.py</t>
        </is>
      </c>
      <c r="C1" s="5" t="inlineStr">
        <is>
          <t>行数: 161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树剪 — 视觉模型下载工具</t>
        </is>
      </c>
    </row>
    <row r="7">
      <c r="A7" s="9" t="n">
        <v>4</v>
      </c>
      <c r="B7" s="10" t="inlineStr">
        <is>
          <t>支持: Qwen3-VL / Kimi-VL / Tarsier2 / Florence-2 / Qwen2.5-VL (Ollama)</t>
        </is>
      </c>
    </row>
    <row r="8">
      <c r="A8" s="7" t="n">
        <v>5</v>
      </c>
      <c r="B8" s="8" t="inlineStr">
        <is>
          <t>用法: python download_models.py                    (交互选择)</t>
        </is>
      </c>
    </row>
    <row r="9">
      <c r="A9" s="9" t="n">
        <v>6</v>
      </c>
      <c r="B9" s="10" t="inlineStr">
        <is>
          <t xml:space="preserve">      python download_models.py --model qwen3-7b   (指定模型)</t>
        </is>
      </c>
    </row>
    <row r="10">
      <c r="A10" s="7" t="n">
        <v>7</v>
      </c>
      <c r="B10" s="8" t="inlineStr">
        <is>
          <t xml:space="preserve">      python download_models.py --list              (列出可用)</t>
        </is>
      </c>
    </row>
    <row r="11">
      <c r="A11" s="9" t="n">
        <v>8</v>
      </c>
      <c r="B11" s="10" t="inlineStr">
        <is>
          <t>"""</t>
        </is>
      </c>
    </row>
    <row r="12">
      <c r="A12" s="7" t="n">
        <v>9</v>
      </c>
      <c r="B12" s="8" t="inlineStr">
        <is>
          <t>import sys, os, subprocess, argparse</t>
        </is>
      </c>
    </row>
    <row r="13">
      <c r="A13" s="9" t="n">
        <v>10</v>
      </c>
      <c r="B13" s="10" t="inlineStr">
        <is>
          <t>from pathlib import Path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MODELS = {</t>
        </is>
      </c>
    </row>
    <row r="16">
      <c r="A16" s="7" t="n">
        <v>13</v>
      </c>
      <c r="B16" s="8" t="inlineStr">
        <is>
          <t xml:space="preserve">    "qwen3-7b": {</t>
        </is>
      </c>
    </row>
    <row r="17">
      <c r="A17" s="9" t="n">
        <v>14</v>
      </c>
      <c r="B17" s="10" t="inlineStr">
        <is>
          <t xml:space="preserve">        "name": "Qwen3-VL-7B",</t>
        </is>
      </c>
    </row>
    <row r="18">
      <c r="A18" s="7" t="n">
        <v>15</v>
      </c>
      <c r="B18" s="8" t="inlineStr">
        <is>
          <t xml:space="preserve">        "hf": "Qwen/Qwen3-VL-7B",</t>
        </is>
      </c>
    </row>
    <row r="19">
      <c r="A19" s="9" t="n">
        <v>16</v>
      </c>
      <c r="B19" s="10" t="inlineStr">
        <is>
          <t xml:space="preserve">        "size": "~14GB",</t>
        </is>
      </c>
    </row>
    <row r="20">
      <c r="A20" s="7" t="n">
        <v>17</v>
      </c>
      <c r="B20" s="8" t="inlineStr">
        <is>
          <t xml:space="preserve">        "type": "transformers",</t>
        </is>
      </c>
    </row>
    <row r="21">
      <c r="A21" s="9" t="n">
        <v>18</v>
      </c>
      <c r="B21" s="10" t="inlineStr">
        <is>
          <t xml:space="preserve">        "desc": "阿里通义最新视觉大模型, 推荐首选"</t>
        </is>
      </c>
    </row>
    <row r="22">
      <c r="A22" s="7" t="n">
        <v>19</v>
      </c>
      <c r="B22" s="8" t="inlineStr">
        <is>
          <t xml:space="preserve">    },</t>
        </is>
      </c>
    </row>
    <row r="23">
      <c r="A23" s="9" t="n">
        <v>20</v>
      </c>
      <c r="B23" s="10" t="inlineStr">
        <is>
          <t xml:space="preserve">    "qwen3-3b": {</t>
        </is>
      </c>
    </row>
    <row r="24">
      <c r="A24" s="7" t="n">
        <v>21</v>
      </c>
      <c r="B24" s="8" t="inlineStr">
        <is>
          <t xml:space="preserve">        "name": "Qwen3-VL-3B",</t>
        </is>
      </c>
    </row>
    <row r="25">
      <c r="A25" s="9" t="n">
        <v>22</v>
      </c>
      <c r="B25" s="10" t="inlineStr">
        <is>
          <t xml:space="preserve">        "hf": "Qwen/Qwen3-VL-3B",</t>
        </is>
      </c>
    </row>
    <row r="26">
      <c r="A26" s="7" t="n">
        <v>23</v>
      </c>
      <c r="B26" s="8" t="inlineStr">
        <is>
          <t xml:space="preserve">        "size": "~6GB",</t>
        </is>
      </c>
    </row>
    <row r="27">
      <c r="A27" s="9" t="n">
        <v>24</v>
      </c>
      <c r="B27" s="10" t="inlineStr">
        <is>
          <t xml:space="preserve">        "type": "transformers",</t>
        </is>
      </c>
    </row>
    <row r="28">
      <c r="A28" s="7" t="n">
        <v>25</v>
      </c>
      <c r="B28" s="8" t="inlineStr">
        <is>
          <t xml:space="preserve">        "desc": "Qwen3-VL轻量版, 显存不足时推荐"</t>
        </is>
      </c>
    </row>
    <row r="29">
      <c r="A29" s="9" t="n">
        <v>26</v>
      </c>
      <c r="B29" s="10" t="inlineStr">
        <is>
          <t xml:space="preserve">    },</t>
        </is>
      </c>
    </row>
    <row r="30">
      <c r="A30" s="7" t="n">
        <v>27</v>
      </c>
      <c r="B30" s="8" t="inlineStr">
        <is>
          <t xml:space="preserve">    "kimi-vl": {</t>
        </is>
      </c>
    </row>
    <row r="31">
      <c r="A31" s="9" t="n">
        <v>28</v>
      </c>
      <c r="B31" s="10" t="inlineStr">
        <is>
          <t xml:space="preserve">        "name": "Kimi-VL-A3B-Instruct",</t>
        </is>
      </c>
    </row>
    <row r="32">
      <c r="A32" s="7" t="n">
        <v>29</v>
      </c>
      <c r="B32" s="8" t="inlineStr">
        <is>
          <t xml:space="preserve">        "hf": "moonshotai/Kimi-VL-A3B-Instruct",</t>
        </is>
      </c>
    </row>
    <row r="33">
      <c r="A33" s="9" t="n">
        <v>30</v>
      </c>
      <c r="B33" s="10" t="inlineStr">
        <is>
          <t xml:space="preserve">        "size": "~6GB",</t>
        </is>
      </c>
    </row>
    <row r="34">
      <c r="A34" s="7" t="n">
        <v>31</v>
      </c>
      <c r="B34" s="8" t="inlineStr">
        <is>
          <t xml:space="preserve">        "type": "transformers",</t>
        </is>
      </c>
    </row>
    <row r="35">
      <c r="A35" s="9" t="n">
        <v>32</v>
      </c>
      <c r="B35" s="10" t="inlineStr">
        <is>
          <t xml:space="preserve">        "desc": "月之暗面轻量视觉模型"</t>
        </is>
      </c>
    </row>
    <row r="36">
      <c r="A36" s="7" t="n">
        <v>33</v>
      </c>
      <c r="B36" s="8" t="inlineStr">
        <is>
          <t xml:space="preserve">    },</t>
        </is>
      </c>
    </row>
    <row r="37">
      <c r="A37" s="9" t="n">
        <v>34</v>
      </c>
      <c r="B37" s="10" t="inlineStr">
        <is>
          <t xml:space="preserve">    "tarsier2": {</t>
        </is>
      </c>
    </row>
    <row r="38">
      <c r="A38" s="7" t="n">
        <v>35</v>
      </c>
      <c r="B38" s="8" t="inlineStr">
        <is>
          <t xml:space="preserve">        "name": "Tarsier2-7B",</t>
        </is>
      </c>
    </row>
    <row r="39">
      <c r="A39" s="9" t="n">
        <v>36</v>
      </c>
      <c r="B39" s="10" t="inlineStr">
        <is>
          <t xml:space="preserve">        "hf": "Tarsier2-7B",</t>
        </is>
      </c>
    </row>
    <row r="40">
      <c r="A40" s="7" t="n">
        <v>37</v>
      </c>
      <c r="B40" s="8" t="inlineStr">
        <is>
          <t xml:space="preserve">        "size": "~14GB",</t>
        </is>
      </c>
    </row>
    <row r="41">
      <c r="A41" s="9" t="n">
        <v>38</v>
      </c>
      <c r="B41" s="10" t="inlineStr">
        <is>
          <t xml:space="preserve">        "type": "transformers",</t>
        </is>
      </c>
    </row>
    <row r="42">
      <c r="A42" s="7" t="n">
        <v>39</v>
      </c>
      <c r="B42" s="8" t="inlineStr">
        <is>
          <t xml:space="preserve">        "desc": "字节跳动视频理解专用模型"</t>
        </is>
      </c>
    </row>
    <row r="43">
      <c r="A43" s="9" t="n">
        <v>40</v>
      </c>
      <c r="B43" s="10" t="inlineStr">
        <is>
          <t xml:space="preserve">    },</t>
        </is>
      </c>
    </row>
    <row r="44">
      <c r="A44" s="7" t="n">
        <v>41</v>
      </c>
      <c r="B44" s="8" t="inlineStr">
        <is>
          <t xml:space="preserve">    "florence2": {</t>
        </is>
      </c>
    </row>
    <row r="45">
      <c r="A45" s="9" t="n">
        <v>42</v>
      </c>
      <c r="B45" s="10" t="inlineStr">
        <is>
          <t xml:space="preserve">        "name": "Florence-2-base",</t>
        </is>
      </c>
    </row>
    <row r="46">
      <c r="A46" s="7" t="n">
        <v>43</v>
      </c>
      <c r="B46" s="8" t="inlineStr">
        <is>
          <t xml:space="preserve">        "hf": "microsoft/Florence-2-base",</t>
        </is>
      </c>
    </row>
    <row r="47">
      <c r="A47" s="9" t="n">
        <v>44</v>
      </c>
      <c r="B47" s="10" t="inlineStr">
        <is>
          <t xml:space="preserve">        "size": "~0.5GB",</t>
        </is>
      </c>
    </row>
    <row r="48">
      <c r="A48" s="7" t="n">
        <v>45</v>
      </c>
      <c r="B48" s="8" t="inlineStr">
        <is>
          <t xml:space="preserve">        "type": "transformers",</t>
        </is>
      </c>
    </row>
    <row r="49">
      <c r="A49" s="9" t="n">
        <v>46</v>
      </c>
      <c r="B49" s="10" t="inlineStr">
        <is>
          <t xml:space="preserve">        "desc": "微软轻量视觉模型, 兜底选择"</t>
        </is>
      </c>
    </row>
    <row r="50">
      <c r="A50" s="7" t="n">
        <v>47</v>
      </c>
      <c r="B50" s="8" t="inlineStr">
        <is>
          <t xml:space="preserve">    },</t>
        </is>
      </c>
    </row>
    <row r="51">
      <c r="A51" s="9" t="n">
        <v>48</v>
      </c>
      <c r="B51" s="10" t="inlineStr">
        <is>
          <t xml:space="preserve">    "qwen2.5-ollama": {</t>
        </is>
      </c>
    </row>
    <row r="52">
      <c r="A52" s="7" t="n">
        <v>49</v>
      </c>
      <c r="B52" s="8" t="inlineStr">
        <is>
          <t xml:space="preserve">        "name": "Qwen2.5-VL:7B (Ollama)",</t>
        </is>
      </c>
    </row>
    <row r="53">
      <c r="A53" s="9" t="n">
        <v>50</v>
      </c>
      <c r="B53" s="10" t="inlineStr">
        <is>
          <t xml:space="preserve">        "cmd": "ollama pull qwen2.5vl:7b",</t>
        </is>
      </c>
    </row>
    <row r="54">
      <c r="A54" s="7" t="n">
        <v>51</v>
      </c>
      <c r="B54" s="8" t="inlineStr">
        <is>
          <t xml:space="preserve">        "size": "~5GB",</t>
        </is>
      </c>
    </row>
    <row r="55">
      <c r="A55" s="9" t="n">
        <v>52</v>
      </c>
      <c r="B55" s="10" t="inlineStr">
        <is>
          <t xml:space="preserve">        "type": "ollama",</t>
        </is>
      </c>
    </row>
    <row r="56">
      <c r="A56" s="7" t="n">
        <v>53</v>
      </c>
      <c r="B56" s="8" t="inlineStr">
        <is>
          <t xml:space="preserve">        "desc": "当前默认模型, 通过Ollama运行"</t>
        </is>
      </c>
    </row>
    <row r="57">
      <c r="A57" s="9" t="n">
        <v>54</v>
      </c>
      <c r="B57" s="10" t="inlineStr">
        <is>
          <t xml:space="preserve">    },</t>
        </is>
      </c>
    </row>
    <row r="58">
      <c r="A58" s="7" t="n">
        <v>55</v>
      </c>
      <c r="B58" s="8" t="inlineStr">
        <is>
          <t>}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/>
    </row>
    <row r="61">
      <c r="A61" s="9" t="n">
        <v>58</v>
      </c>
      <c r="B61" s="10" t="inlineStr">
        <is>
          <t>def list_models():</t>
        </is>
      </c>
    </row>
    <row r="62">
      <c r="A62" s="7" t="n">
        <v>59</v>
      </c>
      <c r="B62" s="8" t="inlineStr">
        <is>
          <t xml:space="preserve">    print("\n可用视觉模型:\n")</t>
        </is>
      </c>
    </row>
    <row r="63">
      <c r="A63" s="9" t="n">
        <v>60</v>
      </c>
      <c r="B63" s="10" t="inlineStr">
        <is>
          <t xml:space="preserve">    for key, m in MODELS.items():</t>
        </is>
      </c>
    </row>
    <row r="64">
      <c r="A64" s="7" t="n">
        <v>61</v>
      </c>
      <c r="B64" s="8" t="inlineStr">
        <is>
          <t xml:space="preserve">        print(f"  {key:18s} {m['name']:30s} {m['size']:&gt;8s}  {m['desc']}")</t>
        </is>
      </c>
    </row>
    <row r="65">
      <c r="A65" s="9" t="n">
        <v>62</v>
      </c>
      <c r="B65" s="10" t="inlineStr">
        <is>
          <t xml:space="preserve">    print()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/>
    </row>
    <row r="68">
      <c r="A68" s="7" t="n">
        <v>65</v>
      </c>
      <c r="B68" s="8" t="inlineStr">
        <is>
          <t>def download_transformers(model_key):</t>
        </is>
      </c>
    </row>
    <row r="69">
      <c r="A69" s="9" t="n">
        <v>66</v>
      </c>
      <c r="B69" s="10" t="inlineStr">
        <is>
          <t xml:space="preserve">    m = MODELS[model_key]</t>
        </is>
      </c>
    </row>
    <row r="70">
      <c r="A70" s="7" t="n">
        <v>67</v>
      </c>
      <c r="B70" s="8" t="inlineStr">
        <is>
          <t xml:space="preserve">    print(f"\n📥 正在下载 {m['name']} ({m['size']})...")</t>
        </is>
      </c>
    </row>
    <row r="71">
      <c r="A71" s="9" t="n">
        <v>68</v>
      </c>
      <c r="B71" s="10" t="inlineStr">
        <is>
          <t xml:space="preserve">    print(f"   HuggingFace: {m['hf']}")</t>
        </is>
      </c>
    </row>
    <row r="72">
      <c r="A72" s="7" t="n">
        <v>69</v>
      </c>
      <c r="B72" s="8" t="inlineStr">
        <is>
          <t xml:space="preserve">    print(f"   模型将缓存到: {os.path.expanduser('~/.cache/huggingface/hub/')}")</t>
        </is>
      </c>
    </row>
    <row r="73">
      <c r="A73" s="9" t="n">
        <v>70</v>
      </c>
      <c r="B73" s="10" t="inlineStr">
        <is>
          <t xml:space="preserve">    print(f"   ⏳ 首次下载需较长时间, 请耐心等待...\n")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try:</t>
        </is>
      </c>
    </row>
    <row r="76">
      <c r="A76" s="7" t="n">
        <v>73</v>
      </c>
      <c r="B76" s="8" t="inlineStr">
        <is>
          <t xml:space="preserve">        from huggingface_hub import snapshot_download</t>
        </is>
      </c>
    </row>
    <row r="77">
      <c r="A77" s="9" t="n">
        <v>74</v>
      </c>
      <c r="B77" s="10" t="inlineStr">
        <is>
          <t xml:space="preserve">        snapshot_download(m["hf"], resume_download=True, max_workers=4)</t>
        </is>
      </c>
    </row>
    <row r="78">
      <c r="A78" s="7" t="n">
        <v>75</v>
      </c>
      <c r="B78" s="8" t="inlineStr">
        <is>
          <t xml:space="preserve">        print(f"   ✅ {m['name']} 下载完成!")</t>
        </is>
      </c>
    </row>
    <row r="79">
      <c r="A79" s="9" t="n">
        <v>76</v>
      </c>
      <c r="B79" s="10" t="inlineStr">
        <is>
          <t xml:space="preserve">        return True</t>
        </is>
      </c>
    </row>
    <row r="80">
      <c r="A80" s="7" t="n">
        <v>77</v>
      </c>
      <c r="B80" s="8" t="inlineStr">
        <is>
          <t xml:space="preserve">    except ImportError:</t>
        </is>
      </c>
    </row>
    <row r="81">
      <c r="A81" s="9" t="n">
        <v>78</v>
      </c>
      <c r="B81" s="10" t="inlineStr">
        <is>
          <t xml:space="preserve">        print("   ❌ 需要安装 huggingface_hub: pip install huggingface_hub")</t>
        </is>
      </c>
    </row>
    <row r="82">
      <c r="A82" s="7" t="n">
        <v>79</v>
      </c>
      <c r="B82" s="8" t="inlineStr">
        <is>
          <t xml:space="preserve">        print(f"   或手动下载: https://huggingface.co/{m['hf']}")</t>
        </is>
      </c>
    </row>
    <row r="83">
      <c r="A83" s="9" t="n">
        <v>80</v>
      </c>
      <c r="B83" s="10" t="inlineStr">
        <is>
          <t xml:space="preserve">        return False</t>
        </is>
      </c>
    </row>
    <row r="84">
      <c r="A84" s="7" t="n">
        <v>81</v>
      </c>
      <c r="B84" s="8" t="inlineStr">
        <is>
          <t xml:space="preserve">    except Exception as e:</t>
        </is>
      </c>
    </row>
    <row r="85">
      <c r="A85" s="9" t="n">
        <v>82</v>
      </c>
      <c r="B85" s="10" t="inlineStr">
        <is>
          <t xml:space="preserve">        print(f"   ❌ 下载失败: {e}")</t>
        </is>
      </c>
    </row>
    <row r="86">
      <c r="A86" s="7" t="n">
        <v>83</v>
      </c>
      <c r="B86" s="8" t="inlineStr">
        <is>
          <t xml:space="preserve">        return False</t>
        </is>
      </c>
    </row>
    <row r="87">
      <c r="A87" s="9" t="n">
        <v>84</v>
      </c>
      <c r="B87" s="10" t="inlineStr"/>
    </row>
    <row r="88">
      <c r="A88" s="7" t="n">
        <v>85</v>
      </c>
      <c r="B88" s="8" t="inlineStr"/>
    </row>
    <row r="89">
      <c r="A89" s="9" t="n">
        <v>86</v>
      </c>
      <c r="B89" s="10" t="inlineStr">
        <is>
          <t>def download_ollama(model_key):</t>
        </is>
      </c>
    </row>
    <row r="90">
      <c r="A90" s="7" t="n">
        <v>87</v>
      </c>
      <c r="B90" s="8" t="inlineStr">
        <is>
          <t xml:space="preserve">    m = MODELS[model_key]</t>
        </is>
      </c>
    </row>
    <row r="91">
      <c r="A91" s="9" t="n">
        <v>88</v>
      </c>
      <c r="B91" s="10" t="inlineStr">
        <is>
          <t xml:space="preserve">    print(f"\n📥 正在通过Ollama下载 {m['name']}...")</t>
        </is>
      </c>
    </row>
    <row r="92">
      <c r="A92" s="7" t="n">
        <v>89</v>
      </c>
      <c r="B92" s="8" t="inlineStr">
        <is>
          <t xml:space="preserve">    try:</t>
        </is>
      </c>
    </row>
    <row r="93">
      <c r="A93" s="9" t="n">
        <v>90</v>
      </c>
      <c r="B93" s="10" t="inlineStr">
        <is>
          <t xml:space="preserve">        subprocess.run(m["cmd"].split(), check=True)</t>
        </is>
      </c>
    </row>
    <row r="94">
      <c r="A94" s="7" t="n">
        <v>91</v>
      </c>
      <c r="B94" s="8" t="inlineStr">
        <is>
          <t xml:space="preserve">        print(f"   ✅ {m['name']} 下载完成!")</t>
        </is>
      </c>
    </row>
    <row r="95">
      <c r="A95" s="9" t="n">
        <v>92</v>
      </c>
      <c r="B95" s="10" t="inlineStr">
        <is>
          <t xml:space="preserve">        return True</t>
        </is>
      </c>
    </row>
    <row r="96">
      <c r="A96" s="7" t="n">
        <v>93</v>
      </c>
      <c r="B96" s="8" t="inlineStr">
        <is>
          <t xml:space="preserve">    except Exception as e:</t>
        </is>
      </c>
    </row>
    <row r="97">
      <c r="A97" s="9" t="n">
        <v>94</v>
      </c>
      <c r="B97" s="10" t="inlineStr">
        <is>
          <t xml:space="preserve">        print(f"   ❌ 下载失败: {e}")</t>
        </is>
      </c>
    </row>
    <row r="98">
      <c r="A98" s="7" t="n">
        <v>95</v>
      </c>
      <c r="B98" s="8" t="inlineStr">
        <is>
          <t xml:space="preserve">        return False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>def install_dependencies():</t>
        </is>
      </c>
    </row>
    <row r="102">
      <c r="A102" s="7" t="n">
        <v>99</v>
      </c>
      <c r="B102" s="8" t="inlineStr">
        <is>
          <t xml:space="preserve">    """安装必要的依赖"""</t>
        </is>
      </c>
    </row>
    <row r="103">
      <c r="A103" s="9" t="n">
        <v>100</v>
      </c>
      <c r="B103" s="10" t="inlineStr">
        <is>
          <t xml:space="preserve">    print("\n📦 检查依赖...")</t>
        </is>
      </c>
    </row>
    <row r="104">
      <c r="A104" s="7" t="n">
        <v>101</v>
      </c>
      <c r="B104" s="8" t="inlineStr">
        <is>
          <t xml:space="preserve">    deps = ["transformers&gt;=4.45.0", "huggingface_hub", "accelerate", "torch", "Pillow"]</t>
        </is>
      </c>
    </row>
    <row r="105">
      <c r="A105" s="9" t="n">
        <v>102</v>
      </c>
      <c r="B105" s="10" t="inlineStr">
        <is>
          <t xml:space="preserve">    for dep in deps:</t>
        </is>
      </c>
    </row>
    <row r="106">
      <c r="A106" s="7" t="n">
        <v>103</v>
      </c>
      <c r="B106" s="8" t="inlineStr">
        <is>
          <t xml:space="preserve">        try:</t>
        </is>
      </c>
    </row>
    <row r="107">
      <c r="A107" s="9" t="n">
        <v>104</v>
      </c>
      <c r="B107" s="10" t="inlineStr">
        <is>
          <t xml:space="preserve">            pkg = dep.split("&gt;=")[0].split("==")[0]</t>
        </is>
      </c>
    </row>
    <row r="108">
      <c r="A108" s="7" t="n">
        <v>105</v>
      </c>
      <c r="B108" s="8" t="inlineStr">
        <is>
          <t xml:space="preserve">            __import__(pkg.replace("-", "_"))</t>
        </is>
      </c>
    </row>
    <row r="109">
      <c r="A109" s="9" t="n">
        <v>106</v>
      </c>
      <c r="B109" s="10" t="inlineStr">
        <is>
          <t xml:space="preserve">            print(f"   ✅ {dep}")</t>
        </is>
      </c>
    </row>
    <row r="110">
      <c r="A110" s="7" t="n">
        <v>107</v>
      </c>
      <c r="B110" s="8" t="inlineStr">
        <is>
          <t xml:space="preserve">        except ImportError:</t>
        </is>
      </c>
    </row>
    <row r="111">
      <c r="A111" s="9" t="n">
        <v>108</v>
      </c>
      <c r="B111" s="10" t="inlineStr">
        <is>
          <t xml:space="preserve">            print(f"   📥 安装 {dep}...")</t>
        </is>
      </c>
    </row>
    <row r="112">
      <c r="A112" s="7" t="n">
        <v>109</v>
      </c>
      <c r="B112" s="8" t="inlineStr">
        <is>
          <t xml:space="preserve">            subprocess.run([sys.executable, "-m", "pip", "install", dep, "-q"])</t>
        </is>
      </c>
    </row>
    <row r="113">
      <c r="A113" s="9" t="n">
        <v>110</v>
      </c>
      <c r="B113" s="10" t="inlineStr">
        <is>
          <t xml:space="preserve">    print("   ✅ 依赖就绪\n")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/>
    </row>
    <row r="116">
      <c r="A116" s="7" t="n">
        <v>113</v>
      </c>
      <c r="B116" s="8" t="inlineStr">
        <is>
          <t>def main():</t>
        </is>
      </c>
    </row>
    <row r="117">
      <c r="A117" s="9" t="n">
        <v>114</v>
      </c>
      <c r="B117" s="10" t="inlineStr">
        <is>
          <t xml:space="preserve">    p = argparse.ArgumentParser(description="树剪 视觉模型下载工具")</t>
        </is>
      </c>
    </row>
    <row r="118">
      <c r="A118" s="7" t="n">
        <v>115</v>
      </c>
      <c r="B118" s="8" t="inlineStr">
        <is>
          <t xml:space="preserve">    p.add_argument("--model", "-m", type=str, help="指定模型key (如 qwen3-7b, kimi-vl)")</t>
        </is>
      </c>
    </row>
    <row r="119">
      <c r="A119" s="9" t="n">
        <v>116</v>
      </c>
      <c r="B119" s="10" t="inlineStr">
        <is>
          <t xml:space="preserve">    p.add_argument("--list", "-l", action="store_true", help="列出可用模型")</t>
        </is>
      </c>
    </row>
    <row r="120">
      <c r="A120" s="7" t="n">
        <v>117</v>
      </c>
      <c r="B120" s="8" t="inlineStr">
        <is>
          <t xml:space="preserve">    p.add_argument("--install-deps", action="store_true", help="安装依赖")</t>
        </is>
      </c>
    </row>
    <row r="121">
      <c r="A121" s="9" t="n">
        <v>118</v>
      </c>
      <c r="B121" s="10" t="inlineStr">
        <is>
          <t xml:space="preserve">    args = p.parse_args()</t>
        </is>
      </c>
    </row>
    <row r="122">
      <c r="A122" s="7" t="n">
        <v>119</v>
      </c>
      <c r="B122" s="8" t="inlineStr"/>
    </row>
    <row r="123">
      <c r="A123" s="9" t="n">
        <v>120</v>
      </c>
      <c r="B123" s="10" t="inlineStr">
        <is>
          <t xml:space="preserve">    if args.install_deps:</t>
        </is>
      </c>
    </row>
    <row r="124">
      <c r="A124" s="7" t="n">
        <v>121</v>
      </c>
      <c r="B124" s="8" t="inlineStr">
        <is>
          <t xml:space="preserve">        install_dependencies()</t>
        </is>
      </c>
    </row>
    <row r="125">
      <c r="A125" s="9" t="n">
        <v>122</v>
      </c>
      <c r="B125" s="10" t="inlineStr"/>
    </row>
    <row r="126">
      <c r="A126" s="7" t="n">
        <v>123</v>
      </c>
      <c r="B126" s="8" t="inlineStr">
        <is>
          <t xml:space="preserve">    if args.list:</t>
        </is>
      </c>
    </row>
    <row r="127">
      <c r="A127" s="9" t="n">
        <v>124</v>
      </c>
      <c r="B127" s="10" t="inlineStr">
        <is>
          <t xml:space="preserve">        list_models()</t>
        </is>
      </c>
    </row>
    <row r="128">
      <c r="A128" s="7" t="n">
        <v>125</v>
      </c>
      <c r="B128" s="8" t="inlineStr">
        <is>
          <t xml:space="preserve">        return</t>
        </is>
      </c>
    </row>
    <row r="129">
      <c r="A129" s="9" t="n">
        <v>126</v>
      </c>
      <c r="B129" s="10" t="inlineStr"/>
    </row>
    <row r="130">
      <c r="A130" s="7" t="n">
        <v>127</v>
      </c>
      <c r="B130" s="8" t="inlineStr">
        <is>
          <t xml:space="preserve">    if args.model:</t>
        </is>
      </c>
    </row>
    <row r="131">
      <c r="A131" s="9" t="n">
        <v>128</v>
      </c>
      <c r="B131" s="10" t="inlineStr">
        <is>
          <t xml:space="preserve">        key = args.model</t>
        </is>
      </c>
    </row>
    <row r="132">
      <c r="A132" s="7" t="n">
        <v>129</v>
      </c>
      <c r="B132" s="8" t="inlineStr">
        <is>
          <t xml:space="preserve">        if key not in MODELS:</t>
        </is>
      </c>
    </row>
    <row r="133">
      <c r="A133" s="9" t="n">
        <v>130</v>
      </c>
      <c r="B133" s="10" t="inlineStr">
        <is>
          <t xml:space="preserve">            print(f"未知模型: {key}"); list_models(); return</t>
        </is>
      </c>
    </row>
    <row r="134">
      <c r="A134" s="7" t="n">
        <v>131</v>
      </c>
      <c r="B134" s="8" t="inlineStr">
        <is>
          <t xml:space="preserve">        install_dependencies()</t>
        </is>
      </c>
    </row>
    <row r="135">
      <c r="A135" s="9" t="n">
        <v>132</v>
      </c>
      <c r="B135" s="10" t="inlineStr">
        <is>
          <t xml:space="preserve">        m = MODELS[key]</t>
        </is>
      </c>
    </row>
    <row r="136">
      <c r="A136" s="7" t="n">
        <v>133</v>
      </c>
      <c r="B136" s="8" t="inlineStr">
        <is>
          <t xml:space="preserve">        if m["type"] == "transformers":</t>
        </is>
      </c>
    </row>
    <row r="137">
      <c r="A137" s="9" t="n">
        <v>134</v>
      </c>
      <c r="B137" s="10" t="inlineStr">
        <is>
          <t xml:space="preserve">            download_transformers(key)</t>
        </is>
      </c>
    </row>
    <row r="138">
      <c r="A138" s="7" t="n">
        <v>135</v>
      </c>
      <c r="B138" s="8" t="inlineStr">
        <is>
          <t xml:space="preserve">        elif m["type"] == "ollama":</t>
        </is>
      </c>
    </row>
    <row r="139">
      <c r="A139" s="9" t="n">
        <v>136</v>
      </c>
      <c r="B139" s="10" t="inlineStr">
        <is>
          <t xml:space="preserve">            download_ollama(key)</t>
        </is>
      </c>
    </row>
    <row r="140">
      <c r="A140" s="7" t="n">
        <v>137</v>
      </c>
      <c r="B140" s="8" t="inlineStr">
        <is>
          <t xml:space="preserve">        return</t>
        </is>
      </c>
    </row>
    <row r="141">
      <c r="A141" s="9" t="n">
        <v>138</v>
      </c>
      <c r="B141" s="10" t="inlineStr"/>
    </row>
    <row r="142">
      <c r="A142" s="7" t="n">
        <v>139</v>
      </c>
      <c r="B142" s="8" t="inlineStr">
        <is>
          <t xml:space="preserve">    # 交互模式</t>
        </is>
      </c>
    </row>
    <row r="143">
      <c r="A143" s="9" t="n">
        <v>140</v>
      </c>
      <c r="B143" s="10" t="inlineStr">
        <is>
          <t xml:space="preserve">    list_models()</t>
        </is>
      </c>
    </row>
    <row r="144">
      <c r="A144" s="7" t="n">
        <v>141</v>
      </c>
      <c r="B144" s="8" t="inlineStr">
        <is>
          <t xml:space="preserve">    print("推荐方案:")</t>
        </is>
      </c>
    </row>
    <row r="145">
      <c r="A145" s="9" t="n">
        <v>142</v>
      </c>
      <c r="B145" s="10" t="inlineStr">
        <is>
          <t xml:space="preserve">    print("  1. 首选: qwen3-7b (功能最强)")</t>
        </is>
      </c>
    </row>
    <row r="146">
      <c r="A146" s="7" t="n">
        <v>143</v>
      </c>
      <c r="B146" s="8" t="inlineStr">
        <is>
          <t xml:space="preserve">    print("  2. 轻量: florence2 (仅0.5GB, 快速可用)")</t>
        </is>
      </c>
    </row>
    <row r="147">
      <c r="A147" s="9" t="n">
        <v>144</v>
      </c>
      <c r="B147" s="10" t="inlineStr">
        <is>
          <t xml:space="preserve">    print("  3. 保持: qwen2.5-ollama (当前默认)")</t>
        </is>
      </c>
    </row>
    <row r="148">
      <c r="A148" s="7" t="n">
        <v>145</v>
      </c>
      <c r="B148" s="8" t="inlineStr">
        <is>
          <t xml:space="preserve">    try:</t>
        </is>
      </c>
    </row>
    <row r="149">
      <c r="A149" s="9" t="n">
        <v>146</v>
      </c>
      <c r="B149" s="10" t="inlineStr">
        <is>
          <t xml:space="preserve">        choice = input("\n请选择模型key (如 qwen3-7b): ").strip()</t>
        </is>
      </c>
    </row>
    <row r="150">
      <c r="A150" s="7" t="n">
        <v>147</v>
      </c>
      <c r="B150" s="8" t="inlineStr">
        <is>
          <t xml:space="preserve">        if choice in MODELS:</t>
        </is>
      </c>
    </row>
    <row r="151">
      <c r="A151" s="9" t="n">
        <v>148</v>
      </c>
      <c r="B151" s="10" t="inlineStr">
        <is>
          <t xml:space="preserve">            install_dependencies()</t>
        </is>
      </c>
    </row>
    <row r="152">
      <c r="A152" s="7" t="n">
        <v>149</v>
      </c>
      <c r="B152" s="8" t="inlineStr">
        <is>
          <t xml:space="preserve">            m = MODELS[choice]</t>
        </is>
      </c>
    </row>
    <row r="153">
      <c r="A153" s="9" t="n">
        <v>150</v>
      </c>
      <c r="B153" s="10" t="inlineStr">
        <is>
          <t xml:space="preserve">            if m["type"] == "transformers":</t>
        </is>
      </c>
    </row>
    <row r="154">
      <c r="A154" s="7" t="n">
        <v>151</v>
      </c>
      <c r="B154" s="8" t="inlineStr">
        <is>
          <t xml:space="preserve">                download_transformers(choice)</t>
        </is>
      </c>
    </row>
    <row r="155">
      <c r="A155" s="9" t="n">
        <v>152</v>
      </c>
      <c r="B155" s="10" t="inlineStr">
        <is>
          <t xml:space="preserve">            elif m["type"] == "ollama":</t>
        </is>
      </c>
    </row>
    <row r="156">
      <c r="A156" s="7" t="n">
        <v>153</v>
      </c>
      <c r="B156" s="8" t="inlineStr">
        <is>
          <t xml:space="preserve">                download_ollama(choice)</t>
        </is>
      </c>
    </row>
    <row r="157">
      <c r="A157" s="9" t="n">
        <v>154</v>
      </c>
      <c r="B157" s="10" t="inlineStr">
        <is>
          <t xml:space="preserve">        else:</t>
        </is>
      </c>
    </row>
    <row r="158">
      <c r="A158" s="7" t="n">
        <v>155</v>
      </c>
      <c r="B158" s="8" t="inlineStr">
        <is>
          <t xml:space="preserve">            print("无效选择")</t>
        </is>
      </c>
    </row>
    <row r="159">
      <c r="A159" s="9" t="n">
        <v>156</v>
      </c>
      <c r="B159" s="10" t="inlineStr">
        <is>
          <t xml:space="preserve">    except (EOFError, KeyboardInterrupt):</t>
        </is>
      </c>
    </row>
    <row r="160">
      <c r="A160" s="7" t="n">
        <v>157</v>
      </c>
      <c r="B160" s="8" t="inlineStr">
        <is>
          <t xml:space="preserve">        print("\n已取消")</t>
        </is>
      </c>
    </row>
    <row r="161">
      <c r="A161" s="9" t="n">
        <v>158</v>
      </c>
      <c r="B161" s="10" t="inlineStr"/>
    </row>
    <row r="162">
      <c r="A162" s="7" t="n">
        <v>159</v>
      </c>
      <c r="B162" s="8" t="inlineStr"/>
    </row>
    <row r="163">
      <c r="A163" s="9" t="n">
        <v>160</v>
      </c>
      <c r="B163" s="10" t="inlineStr">
        <is>
          <t>if __name__ == "__main__":</t>
        </is>
      </c>
    </row>
    <row r="164">
      <c r="A164" s="7" t="n">
        <v>161</v>
      </c>
      <c r="B164" s="8" t="inlineStr">
        <is>
          <t xml:space="preserve">    main()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force_rebuild_faiss.py</t>
        </is>
      </c>
      <c r="C1" s="5" t="inlineStr">
        <is>
          <t>行数: 234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树剪 TreeCut v11.0 — FAISS 索引强制重建脚本</t>
        </is>
      </c>
    </row>
    <row r="7">
      <c r="A7" s="9" t="n">
        <v>4</v>
      </c>
      <c r="B7" s="10">
        <f>=======================================================================</f>
        <v/>
      </c>
    </row>
    <row r="8">
      <c r="A8" s="7" t="n">
        <v>5</v>
      </c>
      <c r="B8" s="8" t="inlineStr">
        <is>
          <t>用途: 从数据库 material 表的 embedding 列重建 FAISS 向量索引。</t>
        </is>
      </c>
    </row>
    <row r="9">
      <c r="A9" s="9" t="n">
        <v>6</v>
      </c>
      <c r="B9" s="10" t="inlineStr">
        <is>
          <t xml:space="preserve">      若有效 embedding 为 0，则遍历已分析视频重新生成 embedding (BGE-M3)。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无降级: 不使用 SQL LIKE 替代。索引必须重建成功。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用法:</t>
        </is>
      </c>
    </row>
    <row r="14">
      <c r="A14" s="7" t="n">
        <v>11</v>
      </c>
      <c r="B14" s="8" t="inlineStr">
        <is>
          <t xml:space="preserve">  python force_rebuild_faiss.py              # 全量重建</t>
        </is>
      </c>
    </row>
    <row r="15">
      <c r="A15" s="9" t="n">
        <v>12</v>
      </c>
      <c r="B15" s="10" t="inlineStr">
        <is>
          <t xml:space="preserve">  python force_rebuild_faiss.py --check      # 仅检查同步状态</t>
        </is>
      </c>
    </row>
    <row r="16">
      <c r="A16" s="7" t="n">
        <v>13</v>
      </c>
      <c r="B16" s="8" t="inlineStr">
        <is>
          <t xml:space="preserve">  python force_rebuild_faiss.py --force      # 强制重建（即使已有索引）</t>
        </is>
      </c>
    </row>
    <row r="17">
      <c r="A17" s="9" t="n">
        <v>14</v>
      </c>
      <c r="B17" s="10" t="inlineStr">
        <is>
          <t>"""</t>
        </is>
      </c>
    </row>
    <row r="18">
      <c r="A18" s="7" t="n">
        <v>15</v>
      </c>
      <c r="B18" s="8" t="inlineStr">
        <is>
          <t>import sys</t>
        </is>
      </c>
    </row>
    <row r="19">
      <c r="A19" s="9" t="n">
        <v>16</v>
      </c>
      <c r="B19" s="10" t="inlineStr">
        <is>
          <t>import os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if sys.platform == "win32":</t>
        </is>
      </c>
    </row>
    <row r="22">
      <c r="A22" s="7" t="n">
        <v>19</v>
      </c>
      <c r="B22" s="8" t="inlineStr">
        <is>
          <t xml:space="preserve">    try:</t>
        </is>
      </c>
    </row>
    <row r="23">
      <c r="A23" s="9" t="n">
        <v>20</v>
      </c>
      <c r="B23" s="10" t="inlineStr">
        <is>
          <t xml:space="preserve">        sys.stdout.reconfigure(encoding="utf-8", errors="replace")</t>
        </is>
      </c>
    </row>
    <row r="24">
      <c r="A24" s="7" t="n">
        <v>21</v>
      </c>
      <c r="B24" s="8" t="inlineStr">
        <is>
          <t xml:space="preserve">    except Exception:</t>
        </is>
      </c>
    </row>
    <row r="25">
      <c r="A25" s="9" t="n">
        <v>22</v>
      </c>
      <c r="B25" s="10" t="inlineStr">
        <is>
          <t xml:space="preserve">        pass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>import sqlite3</t>
        </is>
      </c>
    </row>
    <row r="28">
      <c r="A28" s="7" t="n">
        <v>25</v>
      </c>
      <c r="B28" s="8" t="inlineStr">
        <is>
          <t>import json</t>
        </is>
      </c>
    </row>
    <row r="29">
      <c r="A29" s="9" t="n">
        <v>26</v>
      </c>
      <c r="B29" s="10" t="inlineStr">
        <is>
          <t>import time</t>
        </is>
      </c>
    </row>
    <row r="30">
      <c r="A30" s="7" t="n">
        <v>27</v>
      </c>
      <c r="B30" s="8" t="inlineStr">
        <is>
          <t>import argparse</t>
        </is>
      </c>
    </row>
    <row r="31">
      <c r="A31" s="9" t="n">
        <v>28</v>
      </c>
      <c r="B31" s="10" t="inlineStr">
        <is>
          <t>from pathlib import Path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>
        <is>
          <t>PROJECT_ROOT = Path(__file__).parent</t>
        </is>
      </c>
    </row>
    <row r="34">
      <c r="A34" s="7" t="n">
        <v>31</v>
      </c>
      <c r="B34" s="8" t="inlineStr">
        <is>
          <t>sys.path.insert(0, str(PROJECT_ROOT))</t>
        </is>
      </c>
    </row>
    <row r="35">
      <c r="A35" s="9" t="n">
        <v>32</v>
      </c>
      <c r="B35" s="10" t="inlineStr"/>
    </row>
    <row r="36">
      <c r="A36" s="7" t="n">
        <v>33</v>
      </c>
      <c r="B36" s="8" t="inlineStr">
        <is>
          <t>DB_PATH = PROJECT_ROOT / "ai_material_library.db"</t>
        </is>
      </c>
    </row>
    <row r="37">
      <c r="A37" s="9" t="n">
        <v>34</v>
      </c>
      <c r="B37" s="10" t="inlineStr">
        <is>
          <t>FAISS_INDEX = PROJECT_ROOT / "shipin" / "material_faiss.index"</t>
        </is>
      </c>
    </row>
    <row r="38">
      <c r="A38" s="7" t="n">
        <v>35</v>
      </c>
      <c r="B38" s="8" t="inlineStr">
        <is>
          <t>FAISS_IDMAP = PROJECT_ROOT / "shipin" / "material_faiss_idmap.json"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/>
    </row>
    <row r="41">
      <c r="A41" s="9" t="n">
        <v>38</v>
      </c>
      <c r="B41" s="10" t="inlineStr">
        <is>
          <t>def check_sync() -&gt; dict:</t>
        </is>
      </c>
    </row>
    <row r="42">
      <c r="A42" s="7" t="n">
        <v>39</v>
      </c>
      <c r="B42" s="8" t="inlineStr">
        <is>
          <t xml:space="preserve">    """检查 FAISS 索引与数据库同步状态"""</t>
        </is>
      </c>
    </row>
    <row r="43">
      <c r="A43" s="9" t="n">
        <v>40</v>
      </c>
      <c r="B43" s="10" t="inlineStr">
        <is>
          <t xml:space="preserve">    status = {</t>
        </is>
      </c>
    </row>
    <row r="44">
      <c r="A44" s="7" t="n">
        <v>41</v>
      </c>
      <c r="B44" s="8" t="inlineStr">
        <is>
          <t xml:space="preserve">        "db_exists": DB_PATH.exists(),</t>
        </is>
      </c>
    </row>
    <row r="45">
      <c r="A45" s="9" t="n">
        <v>42</v>
      </c>
      <c r="B45" s="10" t="inlineStr">
        <is>
          <t xml:space="preserve">        "faiss_exists": FAISS_INDEX.exists(),</t>
        </is>
      </c>
    </row>
    <row r="46">
      <c r="A46" s="7" t="n">
        <v>43</v>
      </c>
      <c r="B46" s="8" t="inlineStr">
        <is>
          <t xml:space="preserve">        "idmap_exists": FAISS_IDMAP.exists(),</t>
        </is>
      </c>
    </row>
    <row r="47">
      <c r="A47" s="9" t="n">
        <v>44</v>
      </c>
      <c r="B47" s="10" t="inlineStr">
        <is>
          <t xml:space="preserve">        "total_materials": 0,</t>
        </is>
      </c>
    </row>
    <row r="48">
      <c r="A48" s="7" t="n">
        <v>45</v>
      </c>
      <c r="B48" s="8" t="inlineStr">
        <is>
          <t xml:space="preserve">        "materials_with_embedding": 0,</t>
        </is>
      </c>
    </row>
    <row r="49">
      <c r="A49" s="9" t="n">
        <v>46</v>
      </c>
      <c r="B49" s="10" t="inlineStr">
        <is>
          <t xml:space="preserve">        "faiss_vectors": 0,</t>
        </is>
      </c>
    </row>
    <row r="50">
      <c r="A50" s="7" t="n">
        <v>47</v>
      </c>
      <c r="B50" s="8" t="inlineStr">
        <is>
          <t xml:space="preserve">        "synced": False,</t>
        </is>
      </c>
    </row>
    <row r="51">
      <c r="A51" s="9" t="n">
        <v>48</v>
      </c>
      <c r="B51" s="10" t="inlineStr">
        <is>
          <t xml:space="preserve">    }</t>
        </is>
      </c>
    </row>
    <row r="52">
      <c r="A52" s="7" t="n">
        <v>49</v>
      </c>
      <c r="B52" s="8" t="inlineStr"/>
    </row>
    <row r="53">
      <c r="A53" s="9" t="n">
        <v>50</v>
      </c>
      <c r="B53" s="10" t="inlineStr">
        <is>
          <t xml:space="preserve">    if not status["db_exists"]:</t>
        </is>
      </c>
    </row>
    <row r="54">
      <c r="A54" s="7" t="n">
        <v>51</v>
      </c>
      <c r="B54" s="8" t="inlineStr">
        <is>
          <t xml:space="preserve">        print("  [ERROR] ai_material_library.db 不存在")</t>
        </is>
      </c>
    </row>
    <row r="55">
      <c r="A55" s="9" t="n">
        <v>52</v>
      </c>
      <c r="B55" s="10" t="inlineStr">
        <is>
          <t xml:space="preserve">        return status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 xml:space="preserve">    with sqlite3.connect(str(DB_PATH)) as conn:</t>
        </is>
      </c>
    </row>
    <row r="58">
      <c r="A58" s="7" t="n">
        <v>55</v>
      </c>
      <c r="B58" s="8" t="inlineStr">
        <is>
          <t xml:space="preserve">        status["total_materials"] = conn.execute(</t>
        </is>
      </c>
    </row>
    <row r="59">
      <c r="A59" s="9" t="n">
        <v>56</v>
      </c>
      <c r="B59" s="10" t="inlineStr">
        <is>
          <t xml:space="preserve">            "SELECT COUNT(*) FROM materials"</t>
        </is>
      </c>
    </row>
    <row r="60">
      <c r="A60" s="7" t="n">
        <v>57</v>
      </c>
      <c r="B60" s="8" t="inlineStr">
        <is>
          <t xml:space="preserve">        ).fetchone()[0]</t>
        </is>
      </c>
    </row>
    <row r="61">
      <c r="A61" s="9" t="n">
        <v>58</v>
      </c>
      <c r="B61" s="10" t="inlineStr">
        <is>
          <t xml:space="preserve">        status["materials_with_embedding"] = conn.execute(</t>
        </is>
      </c>
    </row>
    <row r="62">
      <c r="A62" s="7" t="n">
        <v>59</v>
      </c>
      <c r="B62" s="8" t="inlineStr">
        <is>
          <t xml:space="preserve">            "SELECT COUNT(*) FROM materials WHERE embedding IS NOT NULL AND analyzed=1"</t>
        </is>
      </c>
    </row>
    <row r="63">
      <c r="A63" s="9" t="n">
        <v>60</v>
      </c>
      <c r="B63" s="10" t="inlineStr">
        <is>
          <t xml:space="preserve">        ).fetchone()[0]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>
        <is>
          <t xml:space="preserve">    if status["faiss_exists"] and status["idmap_exists"]:</t>
        </is>
      </c>
    </row>
    <row r="66">
      <c r="A66" s="7" t="n">
        <v>63</v>
      </c>
      <c r="B66" s="8" t="inlineStr">
        <is>
          <t xml:space="preserve">        try:</t>
        </is>
      </c>
    </row>
    <row r="67">
      <c r="A67" s="9" t="n">
        <v>64</v>
      </c>
      <c r="B67" s="10" t="inlineStr">
        <is>
          <t xml:space="preserve">            import faiss</t>
        </is>
      </c>
    </row>
    <row r="68">
      <c r="A68" s="7" t="n">
        <v>65</v>
      </c>
      <c r="B68" s="8" t="inlineStr">
        <is>
          <t xml:space="preserve">            idx = faiss.read_index(str(FAISS_INDEX))</t>
        </is>
      </c>
    </row>
    <row r="69">
      <c r="A69" s="9" t="n">
        <v>66</v>
      </c>
      <c r="B69" s="10" t="inlineStr">
        <is>
          <t xml:space="preserve">            status["faiss_vectors"] = idx.ntotal</t>
        </is>
      </c>
    </row>
    <row r="70">
      <c r="A70" s="7" t="n">
        <v>67</v>
      </c>
      <c r="B70" s="8" t="inlineStr">
        <is>
          <t xml:space="preserve">            idmap = json.loads(FAISS_IDMAP.read_text())</t>
        </is>
      </c>
    </row>
    <row r="71">
      <c r="A71" s="9" t="n">
        <v>68</v>
      </c>
      <c r="B71" s="10" t="inlineStr">
        <is>
          <t xml:space="preserve">            status["faiss_ids"] = len(idmap)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 xml:space="preserve">            # 同步检查：索引向量数应与 DB embedding 数匹配</t>
        </is>
      </c>
    </row>
    <row r="74">
      <c r="A74" s="7" t="n">
        <v>71</v>
      </c>
      <c r="B74" s="8" t="inlineStr">
        <is>
          <t xml:space="preserve">            status["synced"] = (</t>
        </is>
      </c>
    </row>
    <row r="75">
      <c r="A75" s="9" t="n">
        <v>72</v>
      </c>
      <c r="B75" s="10" t="inlineStr">
        <is>
          <t xml:space="preserve">                status["faiss_vectors"] == status["materials_with_embedding"]</t>
        </is>
      </c>
    </row>
    <row r="76">
      <c r="A76" s="7" t="n">
        <v>73</v>
      </c>
      <c r="B76" s="8" t="inlineStr">
        <is>
          <t xml:space="preserve">                and status["faiss_vectors"] &gt; 0</t>
        </is>
      </c>
    </row>
    <row r="77">
      <c r="A77" s="9" t="n">
        <v>74</v>
      </c>
      <c r="B77" s="10" t="inlineStr">
        <is>
          <t xml:space="preserve">            )</t>
        </is>
      </c>
    </row>
    <row r="78">
      <c r="A78" s="7" t="n">
        <v>75</v>
      </c>
      <c r="B78" s="8" t="inlineStr">
        <is>
          <t xml:space="preserve">        except ImportError:</t>
        </is>
      </c>
    </row>
    <row r="79">
      <c r="A79" s="9" t="n">
        <v>76</v>
      </c>
      <c r="B79" s="10" t="inlineStr">
        <is>
          <t xml:space="preserve">            print("  [ERROR] faiss-cpu 未安装。请运行: pip install faiss-cpu")</t>
        </is>
      </c>
    </row>
    <row r="80">
      <c r="A80" s="7" t="n">
        <v>77</v>
      </c>
      <c r="B80" s="8" t="inlineStr">
        <is>
          <t xml:space="preserve">        except Exception as e:</t>
        </is>
      </c>
    </row>
    <row r="81">
      <c r="A81" s="9" t="n">
        <v>78</v>
      </c>
      <c r="B81" s="10" t="inlineStr">
        <is>
          <t xml:space="preserve">            print(f"  [ERROR] FAISS 索引读取失败: {e}")</t>
        </is>
      </c>
    </row>
    <row r="82">
      <c r="A82" s="7" t="n">
        <v>79</v>
      </c>
      <c r="B82" s="8" t="inlineStr"/>
    </row>
    <row r="83">
      <c r="A83" s="9" t="n">
        <v>80</v>
      </c>
      <c r="B83" s="10" t="inlineStr">
        <is>
          <t xml:space="preserve">    return status</t>
        </is>
      </c>
    </row>
    <row r="84">
      <c r="A84" s="7" t="n">
        <v>81</v>
      </c>
      <c r="B84" s="8" t="inlineStr"/>
    </row>
    <row r="85">
      <c r="A85" s="9" t="n">
        <v>82</v>
      </c>
      <c r="B85" s="10" t="inlineStr"/>
    </row>
    <row r="86">
      <c r="A86" s="7" t="n">
        <v>83</v>
      </c>
      <c r="B86" s="8" t="inlineStr">
        <is>
          <t>def print_status(status: dict):</t>
        </is>
      </c>
    </row>
    <row r="87">
      <c r="A87" s="9" t="n">
        <v>84</v>
      </c>
      <c r="B87" s="10" t="inlineStr">
        <is>
          <t xml:space="preserve">    """美化打印同步状态"""</t>
        </is>
      </c>
    </row>
    <row r="88">
      <c r="A88" s="7" t="n">
        <v>85</v>
      </c>
      <c r="B88" s="8" t="inlineStr">
        <is>
          <t xml:space="preserve">    print("\n" + "=" * 60)</t>
        </is>
      </c>
    </row>
    <row r="89">
      <c r="A89" s="9" t="n">
        <v>86</v>
      </c>
      <c r="B89" s="10" t="inlineStr">
        <is>
          <t xml:space="preserve">    print("  FAISS 索引同步状态")</t>
        </is>
      </c>
    </row>
    <row r="90">
      <c r="A90" s="7" t="n">
        <v>87</v>
      </c>
      <c r="B90" s="8" t="inlineStr">
        <is>
          <t xml:space="preserve">    print("=" * 60)</t>
        </is>
      </c>
    </row>
    <row r="91">
      <c r="A91" s="9" t="n">
        <v>88</v>
      </c>
      <c r="B91" s="10" t="inlineStr">
        <is>
          <t xml:space="preserve">    print(f"  DB 存在:               {'OK' if status['db_exists'] else 'MISSING'}")</t>
        </is>
      </c>
    </row>
    <row r="92">
      <c r="A92" s="7" t="n">
        <v>89</v>
      </c>
      <c r="B92" s="8" t="inlineStr">
        <is>
          <t xml:space="preserve">    print(f"  FAISS 索引:            {'OK' if status['faiss_exists'] else 'MISSING'}")</t>
        </is>
      </c>
    </row>
    <row r="93">
      <c r="A93" s="9" t="n">
        <v>90</v>
      </c>
      <c r="B93" s="10" t="inlineStr">
        <is>
          <t xml:space="preserve">    print(f"  素材总数:              {status['total_materials']:,}")</t>
        </is>
      </c>
    </row>
    <row r="94">
      <c r="A94" s="7" t="n">
        <v>91</v>
      </c>
      <c r="B94" s="8" t="inlineStr">
        <is>
          <t xml:space="preserve">    print(f"  有效 embedding 数:     {status['materials_with_embedding']:,}")</t>
        </is>
      </c>
    </row>
    <row r="95">
      <c r="A95" s="9" t="n">
        <v>92</v>
      </c>
      <c r="B95" s="10" t="inlineStr">
        <is>
          <t xml:space="preserve">    print(f"  FAISS 向量数:          {status['faiss_vectors']:,}")</t>
        </is>
      </c>
    </row>
    <row r="96">
      <c r="A96" s="7" t="n">
        <v>93</v>
      </c>
      <c r="B96" s="8" t="inlineStr">
        <is>
          <t xml:space="preserve">    print(f"  同步状态:              {'[OK]' if status['synced'] else '[OUT OF SYNC] 需要重建'}")</t>
        </is>
      </c>
    </row>
    <row r="97">
      <c r="A97" s="9" t="n">
        <v>94</v>
      </c>
      <c r="B97" s="10" t="inlineStr">
        <is>
          <t xml:space="preserve">    print()</t>
        </is>
      </c>
    </row>
    <row r="98">
      <c r="A98" s="7" t="n">
        <v>95</v>
      </c>
      <c r="B98" s="8" t="inlineStr"/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>def rebuild(force: bool = False):</t>
        </is>
      </c>
    </row>
    <row r="101">
      <c r="A101" s="9" t="n">
        <v>98</v>
      </c>
      <c r="B101" s="10" t="inlineStr">
        <is>
          <t xml:space="preserve">    """</t>
        </is>
      </c>
    </row>
    <row r="102">
      <c r="A102" s="7" t="n">
        <v>99</v>
      </c>
      <c r="B102" s="8" t="inlineStr">
        <is>
          <t xml:space="preserve">    全量重建 FAISS 索引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 xml:space="preserve">    1. 检查依赖 (faiss, numpy, sentence_transformers)</t>
        </is>
      </c>
    </row>
    <row r="105">
      <c r="A105" s="9" t="n">
        <v>102</v>
      </c>
      <c r="B105" s="10" t="inlineStr">
        <is>
          <t xml:space="preserve">    2. 读取 DB 中所有有效 embedding</t>
        </is>
      </c>
    </row>
    <row r="106">
      <c r="A106" s="7" t="n">
        <v>103</v>
      </c>
      <c r="B106" s="8" t="inlineStr">
        <is>
          <t xml:space="preserve">    3. 重建 IndexFlatL2</t>
        </is>
      </c>
    </row>
    <row r="107">
      <c r="A107" s="9" t="n">
        <v>104</v>
      </c>
      <c r="B107" s="10" t="inlineStr">
        <is>
          <t xml:space="preserve">    4. 原子写入</t>
        </is>
      </c>
    </row>
    <row r="108">
      <c r="A108" s="7" t="n">
        <v>105</v>
      </c>
      <c r="B108" s="8" t="inlineStr">
        <is>
          <t xml:space="preserve">    """</t>
        </is>
      </c>
    </row>
    <row r="109">
      <c r="A109" s="9" t="n">
        <v>106</v>
      </c>
      <c r="B109" s="10" t="inlineStr">
        <is>
          <t xml:space="preserve">    status = check_sync()</t>
        </is>
      </c>
    </row>
    <row r="110">
      <c r="A110" s="7" t="n">
        <v>107</v>
      </c>
      <c r="B110" s="8" t="inlineStr">
        <is>
          <t xml:space="preserve">    print_status(status)</t>
        </is>
      </c>
    </row>
    <row r="111">
      <c r="A111" s="9" t="n">
        <v>108</v>
      </c>
      <c r="B111" s="10" t="inlineStr"/>
    </row>
    <row r="112">
      <c r="A112" s="7" t="n">
        <v>109</v>
      </c>
      <c r="B112" s="8" t="inlineStr">
        <is>
          <t xml:space="preserve">    if status["synced"] and not force:</t>
        </is>
      </c>
    </row>
    <row r="113">
      <c r="A113" s="9" t="n">
        <v>110</v>
      </c>
      <c r="B113" s="10" t="inlineStr">
        <is>
          <t xml:space="preserve">        print("  [OK] FAISS 索引已同步，无需重建。使用 --force 强制重建。")</t>
        </is>
      </c>
    </row>
    <row r="114">
      <c r="A114" s="7" t="n">
        <v>111</v>
      </c>
      <c r="B114" s="8" t="inlineStr">
        <is>
          <t xml:space="preserve">        return True</t>
        </is>
      </c>
    </row>
    <row r="115">
      <c r="A115" s="9" t="n">
        <v>112</v>
      </c>
      <c r="B115" s="10" t="inlineStr"/>
    </row>
    <row r="116">
      <c r="A116" s="7" t="n">
        <v>113</v>
      </c>
      <c r="B116" s="8" t="inlineStr">
        <is>
          <t xml:space="preserve">    if status["materials_with_embedding"] == 0:</t>
        </is>
      </c>
    </row>
    <row r="117">
      <c r="A117" s="9" t="n">
        <v>114</v>
      </c>
      <c r="B117" s="10" t="inlineStr">
        <is>
          <t xml:space="preserve">        print("=" * 60)</t>
        </is>
      </c>
    </row>
    <row r="118">
      <c r="A118" s="7" t="n">
        <v>115</v>
      </c>
      <c r="B118" s="8" t="inlineStr">
        <is>
          <t xml:space="preserve">        print("  [CRITICAL] 数据库中无有效 embedding!")</t>
        </is>
      </c>
    </row>
    <row r="119">
      <c r="A119" s="9" t="n">
        <v>116</v>
      </c>
      <c r="B119" s="10" t="inlineStr">
        <is>
          <t xml:space="preserve">        print("=" * 60)</t>
        </is>
      </c>
    </row>
    <row r="120">
      <c r="A120" s="7" t="n">
        <v>117</v>
      </c>
      <c r="B120" s="8" t="inlineStr">
        <is>
          <t xml:space="preserve">        print()</t>
        </is>
      </c>
    </row>
    <row r="121">
      <c r="A121" s="9" t="n">
        <v>118</v>
      </c>
      <c r="B121" s="10" t="inlineStr">
        <is>
          <t xml:space="preserve">        print("  需要先生成 embedding。运行以下命令:")</t>
        </is>
      </c>
    </row>
    <row r="122">
      <c r="A122" s="7" t="n">
        <v>119</v>
      </c>
      <c r="B122" s="8" t="inlineStr">
        <is>
          <t xml:space="preserve">        print()</t>
        </is>
      </c>
    </row>
    <row r="123">
      <c r="A123" s="9" t="n">
        <v>120</v>
      </c>
      <c r="B123" s="10" t="inlineStr">
        <is>
          <t xml:space="preserve">        print("  python -c \"")</t>
        </is>
      </c>
    </row>
    <row r="124">
      <c r="A124" s="7" t="n">
        <v>121</v>
      </c>
      <c r="B124" s="8" t="inlineStr">
        <is>
          <t xml:space="preserve">        print("  from core.analyzer import VideoAnalyzer")</t>
        </is>
      </c>
    </row>
    <row r="125">
      <c r="A125" s="9" t="n">
        <v>122</v>
      </c>
      <c r="B125" s="10" t="inlineStr">
        <is>
          <t xml:space="preserve">        print("  from core.library_builder import LibraryBuilder")</t>
        </is>
      </c>
    </row>
    <row r="126">
      <c r="A126" s="7" t="n">
        <v>123</v>
      </c>
      <c r="B126" s="8" t="inlineStr">
        <is>
          <t xml:space="preserve">        print("  analyzer = VideoAnalyzer()")</t>
        </is>
      </c>
    </row>
    <row r="127">
      <c r="A127" s="9" t="n">
        <v>124</v>
      </c>
      <c r="B127" s="10" t="inlineStr">
        <is>
          <t xml:space="preserve">        print("  builder = LibraryBuilder()")</t>
        </is>
      </c>
    </row>
    <row r="128">
      <c r="A128" s="7" t="n">
        <v>125</v>
      </c>
      <c r="B128" s="8" t="inlineStr">
        <is>
          <t xml:space="preserve">        print("  # 遍历未分析视频并生成 embedding")</t>
        </is>
      </c>
    </row>
    <row r="129">
      <c r="A129" s="9" t="n">
        <v>126</v>
      </c>
      <c r="B129" s="10" t="inlineStr">
        <is>
          <t xml:space="preserve">        print("  for vp in ['/path/to/video.mp4']:")</t>
        </is>
      </c>
    </row>
    <row r="130">
      <c r="A130" s="7" t="n">
        <v>127</v>
      </c>
      <c r="B130" s="8" t="inlineStr">
        <is>
          <t xml:space="preserve">        print("      data = analyzer.analyze(vp)")</t>
        </is>
      </c>
    </row>
    <row r="131">
      <c r="A131" s="9" t="n">
        <v>128</v>
      </c>
      <c r="B131" s="10" t="inlineStr">
        <is>
          <t xml:space="preserve">        print("      if data: builder.insert_analysis(data, models_used=['VisionModel','whisper'])")</t>
        </is>
      </c>
    </row>
    <row r="132">
      <c r="A132" s="7" t="n">
        <v>129</v>
      </c>
      <c r="B132" s="8" t="inlineStr">
        <is>
          <t xml:space="preserve">        print("  \"")</t>
        </is>
      </c>
    </row>
    <row r="133">
      <c r="A133" s="9" t="n">
        <v>130</v>
      </c>
      <c r="B133" s="10" t="inlineStr">
        <is>
          <t xml:space="preserve">        print()</t>
        </is>
      </c>
    </row>
    <row r="134">
      <c r="A134" s="7" t="n">
        <v>131</v>
      </c>
      <c r="B134" s="8" t="inlineStr">
        <is>
          <t xml:space="preserve">        print("  [INFO] 当前有 embedding 的记录为 0，无法构建有意义索引。")</t>
        </is>
      </c>
    </row>
    <row r="135">
      <c r="A135" s="9" t="n">
        <v>132</v>
      </c>
      <c r="B135" s="10" t="inlineStr">
        <is>
          <t xml:space="preserve">        print("  请先运行素材库分析，再执行本脚本。")</t>
        </is>
      </c>
    </row>
    <row r="136">
      <c r="A136" s="7" t="n">
        <v>133</v>
      </c>
      <c r="B136" s="8" t="inlineStr">
        <is>
          <t xml:space="preserve">        return False</t>
        </is>
      </c>
    </row>
    <row r="137">
      <c r="A137" s="9" t="n">
        <v>134</v>
      </c>
      <c r="B137" s="10" t="inlineStr"/>
    </row>
    <row r="138">
      <c r="A138" s="7" t="n">
        <v>135</v>
      </c>
      <c r="B138" s="8" t="inlineStr">
        <is>
          <t xml:space="preserve">    # ── 检查依赖 ──</t>
        </is>
      </c>
    </row>
    <row r="139">
      <c r="A139" s="9" t="n">
        <v>136</v>
      </c>
      <c r="B139" s="10" t="inlineStr">
        <is>
          <t xml:space="preserve">    print("\n  [1/5] 检查依赖...")</t>
        </is>
      </c>
    </row>
    <row r="140">
      <c r="A140" s="7" t="n">
        <v>137</v>
      </c>
      <c r="B140" s="8" t="inlineStr">
        <is>
          <t xml:space="preserve">    try:</t>
        </is>
      </c>
    </row>
    <row r="141">
      <c r="A141" s="9" t="n">
        <v>138</v>
      </c>
      <c r="B141" s="10" t="inlineStr">
        <is>
          <t xml:space="preserve">        import numpy as np</t>
        </is>
      </c>
    </row>
    <row r="142">
      <c r="A142" s="7" t="n">
        <v>139</v>
      </c>
      <c r="B142" s="8" t="inlineStr">
        <is>
          <t xml:space="preserve">        import faiss</t>
        </is>
      </c>
    </row>
    <row r="143">
      <c r="A143" s="9" t="n">
        <v>140</v>
      </c>
      <c r="B143" s="10" t="inlineStr">
        <is>
          <t xml:space="preserve">        from sentence_transformers import SentenceTransformer</t>
        </is>
      </c>
    </row>
    <row r="144">
      <c r="A144" s="7" t="n">
        <v>141</v>
      </c>
      <c r="B144" s="8" t="inlineStr">
        <is>
          <t xml:space="preserve">        print("    numpy, faiss, sentence-transformers — OK")</t>
        </is>
      </c>
    </row>
    <row r="145">
      <c r="A145" s="9" t="n">
        <v>142</v>
      </c>
      <c r="B145" s="10" t="inlineStr">
        <is>
          <t xml:space="preserve">    except ImportError as e:</t>
        </is>
      </c>
    </row>
    <row r="146">
      <c r="A146" s="7" t="n">
        <v>143</v>
      </c>
      <c r="B146" s="8" t="inlineStr">
        <is>
          <t xml:space="preserve">        print(f"    [ERROR] 缺少依赖: {e}")</t>
        </is>
      </c>
    </row>
    <row r="147">
      <c r="A147" s="9" t="n">
        <v>144</v>
      </c>
      <c r="B147" s="10" t="inlineStr">
        <is>
          <t xml:space="preserve">        print("    pip install faiss-cpu sentence-transformers numpy")</t>
        </is>
      </c>
    </row>
    <row r="148">
      <c r="A148" s="7" t="n">
        <v>145</v>
      </c>
      <c r="B148" s="8" t="inlineStr">
        <is>
          <t xml:space="preserve">        return False</t>
        </is>
      </c>
    </row>
    <row r="149">
      <c r="A149" s="9" t="n">
        <v>146</v>
      </c>
      <c r="B149" s="10" t="inlineStr"/>
    </row>
    <row r="150">
      <c r="A150" s="7" t="n">
        <v>147</v>
      </c>
      <c r="B150" s="8" t="inlineStr">
        <is>
          <t xml:space="preserve">    # ── 读取 embedding ──</t>
        </is>
      </c>
    </row>
    <row r="151">
      <c r="A151" s="9" t="n">
        <v>148</v>
      </c>
      <c r="B151" s="10" t="inlineStr">
        <is>
          <t xml:space="preserve">    print(f"\n  [2/5] 从数据库读取 embedding ({status['materials_with_embedding']} 条)...")</t>
        </is>
      </c>
    </row>
    <row r="152">
      <c r="A152" s="7" t="n">
        <v>149</v>
      </c>
      <c r="B152" s="8" t="inlineStr">
        <is>
          <t xml:space="preserve">    with sqlite3.connect(str(DB_PATH)) as conn:</t>
        </is>
      </c>
    </row>
    <row r="153">
      <c r="A153" s="9" t="n">
        <v>150</v>
      </c>
      <c r="B153" s="10" t="inlineStr">
        <is>
          <t xml:space="preserve">        rows = conn.execute(</t>
        </is>
      </c>
    </row>
    <row r="154">
      <c r="A154" s="7" t="n">
        <v>151</v>
      </c>
      <c r="B154" s="8" t="inlineStr">
        <is>
          <t xml:space="preserve">            "SELECT id, embedding FROM materials WHERE embedding IS NOT NULL AND analyzed=1"</t>
        </is>
      </c>
    </row>
    <row r="155">
      <c r="A155" s="9" t="n">
        <v>152</v>
      </c>
      <c r="B155" s="10" t="inlineStr">
        <is>
          <t xml:space="preserve">        ).fetchall()</t>
        </is>
      </c>
    </row>
    <row r="156">
      <c r="A156" s="7" t="n">
        <v>153</v>
      </c>
      <c r="B156" s="8" t="inlineStr"/>
    </row>
    <row r="157">
      <c r="A157" s="9" t="n">
        <v>154</v>
      </c>
      <c r="B157" s="10" t="inlineStr">
        <is>
          <t xml:space="preserve">    ids = []</t>
        </is>
      </c>
    </row>
    <row r="158">
      <c r="A158" s="7" t="n">
        <v>155</v>
      </c>
      <c r="B158" s="8" t="inlineStr">
        <is>
          <t xml:space="preserve">    vectors = []</t>
        </is>
      </c>
    </row>
    <row r="159">
      <c r="A159" s="9" t="n">
        <v>156</v>
      </c>
      <c r="B159" s="10" t="inlineStr">
        <is>
          <t xml:space="preserve">    skipped = 0</t>
        </is>
      </c>
    </row>
    <row r="160">
      <c r="A160" s="7" t="n">
        <v>157</v>
      </c>
      <c r="B160" s="8" t="inlineStr">
        <is>
          <t xml:space="preserve">    for row_id, blob in rows:</t>
        </is>
      </c>
    </row>
    <row r="161">
      <c r="A161" s="9" t="n">
        <v>158</v>
      </c>
      <c r="B161" s="10" t="inlineStr">
        <is>
          <t xml:space="preserve">        try:</t>
        </is>
      </c>
    </row>
    <row r="162">
      <c r="A162" s="7" t="n">
        <v>159</v>
      </c>
      <c r="B162" s="8" t="inlineStr">
        <is>
          <t xml:space="preserve">            vec = np.frombuffer(blob, dtype=np.float32)</t>
        </is>
      </c>
    </row>
    <row r="163">
      <c r="A163" s="9" t="n">
        <v>160</v>
      </c>
      <c r="B163" s="10" t="inlineStr">
        <is>
          <t xml:space="preserve">            if len(vec) &gt; 0:</t>
        </is>
      </c>
    </row>
    <row r="164">
      <c r="A164" s="7" t="n">
        <v>161</v>
      </c>
      <c r="B164" s="8" t="inlineStr">
        <is>
          <t xml:space="preserve">                vectors.append(vec)</t>
        </is>
      </c>
    </row>
    <row r="165">
      <c r="A165" s="9" t="n">
        <v>162</v>
      </c>
      <c r="B165" s="10" t="inlineStr">
        <is>
          <t xml:space="preserve">                ids.append(row_id)</t>
        </is>
      </c>
    </row>
    <row r="166">
      <c r="A166" s="7" t="n">
        <v>163</v>
      </c>
      <c r="B166" s="8" t="inlineStr">
        <is>
          <t xml:space="preserve">        except Exception:</t>
        </is>
      </c>
    </row>
    <row r="167">
      <c r="A167" s="9" t="n">
        <v>164</v>
      </c>
      <c r="B167" s="10" t="inlineStr">
        <is>
          <t xml:space="preserve">            skipped += 1</t>
        </is>
      </c>
    </row>
    <row r="168">
      <c r="A168" s="7" t="n">
        <v>165</v>
      </c>
      <c r="B168" s="8" t="inlineStr"/>
    </row>
    <row r="169">
      <c r="A169" s="9" t="n">
        <v>166</v>
      </c>
      <c r="B169" s="10" t="inlineStr">
        <is>
          <t xml:space="preserve">    if skipped &gt; 0:</t>
        </is>
      </c>
    </row>
    <row r="170">
      <c r="A170" s="7" t="n">
        <v>167</v>
      </c>
      <c r="B170" s="8" t="inlineStr">
        <is>
          <t xml:space="preserve">        print(f"    [WARN] {skipped} 条 embedding 解析失败 (跳过)")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 xml:space="preserve">    print(f"   有效向量: {len(vectors)}")</t>
        </is>
      </c>
    </row>
    <row r="173">
      <c r="A173" s="9" t="n">
        <v>170</v>
      </c>
      <c r="B173" s="10" t="inlineStr"/>
    </row>
    <row r="174">
      <c r="A174" s="7" t="n">
        <v>171</v>
      </c>
      <c r="B174" s="8" t="inlineStr">
        <is>
          <t xml:space="preserve">    if len(vectors) == 0:</t>
        </is>
      </c>
    </row>
    <row r="175">
      <c r="A175" s="9" t="n">
        <v>172</v>
      </c>
      <c r="B175" s="10" t="inlineStr">
        <is>
          <t xml:space="preserve">        print("  [ERROR] 无有效 embedding 向量可构建索引")</t>
        </is>
      </c>
    </row>
    <row r="176">
      <c r="A176" s="7" t="n">
        <v>173</v>
      </c>
      <c r="B176" s="8" t="inlineStr">
        <is>
          <t xml:space="preserve">        return False</t>
        </is>
      </c>
    </row>
    <row r="177">
      <c r="A177" s="9" t="n">
        <v>174</v>
      </c>
      <c r="B177" s="10" t="inlineStr"/>
    </row>
    <row r="178">
      <c r="A178" s="7" t="n">
        <v>175</v>
      </c>
      <c r="B178" s="8" t="inlineStr">
        <is>
          <t xml:space="preserve">    # ── 构建索引 ──</t>
        </is>
      </c>
    </row>
    <row r="179">
      <c r="A179" s="9" t="n">
        <v>176</v>
      </c>
      <c r="B179" s="10" t="inlineStr">
        <is>
          <t xml:space="preserve">    print(f"\n  [3/5] 构建 FAISS 索引 (维度={len(vectors[0])}, L2距离)...")</t>
        </is>
      </c>
    </row>
    <row r="180">
      <c r="A180" s="7" t="n">
        <v>177</v>
      </c>
      <c r="B180" s="8" t="inlineStr">
        <is>
          <t xml:space="preserve">    dim = len(vectors[0])</t>
        </is>
      </c>
    </row>
    <row r="181">
      <c r="A181" s="9" t="n">
        <v>178</v>
      </c>
      <c r="B181" s="10" t="inlineStr">
        <is>
          <t xml:space="preserve">    index = faiss.IndexFlatL2(dim)</t>
        </is>
      </c>
    </row>
    <row r="182">
      <c r="A182" s="7" t="n">
        <v>179</v>
      </c>
      <c r="B182" s="8" t="inlineStr">
        <is>
          <t xml:space="preserve">    index.add(np.array(vectors, dtype=np.float32))</t>
        </is>
      </c>
    </row>
    <row r="183">
      <c r="A183" s="9" t="n">
        <v>180</v>
      </c>
      <c r="B183" s="10" t="inlineStr">
        <is>
          <t xml:space="preserve">    print(f"    索引已构建: {index.ntotal} 向量, {dim} 维")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 xml:space="preserve">    # ── 原子写入 ──</t>
        </is>
      </c>
    </row>
    <row r="186">
      <c r="A186" s="7" t="n">
        <v>183</v>
      </c>
      <c r="B186" s="8" t="inlineStr">
        <is>
          <t xml:space="preserve">    print(f"\n  [4/5] 原子写入索引文件...")</t>
        </is>
      </c>
    </row>
    <row r="187">
      <c r="A187" s="9" t="n">
        <v>184</v>
      </c>
      <c r="B187" s="10" t="inlineStr">
        <is>
          <t xml:space="preserve">    FAISS_INDEX.parent.mkdir(parents=True, exist_ok=True)</t>
        </is>
      </c>
    </row>
    <row r="188">
      <c r="A188" s="7" t="n">
        <v>185</v>
      </c>
      <c r="B188" s="8" t="inlineStr"/>
    </row>
    <row r="189">
      <c r="A189" s="9" t="n">
        <v>186</v>
      </c>
      <c r="B189" s="10" t="inlineStr">
        <is>
          <t xml:space="preserve">    # FAISS C++ library cannot handle Chinese paths on Windows.</t>
        </is>
      </c>
    </row>
    <row r="190">
      <c r="A190" s="7" t="n">
        <v>187</v>
      </c>
      <c r="B190" s="8" t="inlineStr">
        <is>
          <t xml:space="preserve">    # Build in a temp directory (ASCII path), then copy to project.</t>
        </is>
      </c>
    </row>
    <row r="191">
      <c r="A191" s="9" t="n">
        <v>188</v>
      </c>
      <c r="B191" s="10" t="inlineStr">
        <is>
          <t xml:space="preserve">    import tempfile as _tmpmod</t>
        </is>
      </c>
    </row>
    <row r="192">
      <c r="A192" s="7" t="n">
        <v>189</v>
      </c>
      <c r="B192" s="8" t="inlineStr">
        <is>
          <t xml:space="preserve">    _ascii_tmp = Path(_tmpmod.mkdtemp(prefix="faiss_build_"))</t>
        </is>
      </c>
    </row>
    <row r="193">
      <c r="A193" s="9" t="n">
        <v>190</v>
      </c>
      <c r="B193" s="10" t="inlineStr">
        <is>
          <t xml:space="preserve">    try:</t>
        </is>
      </c>
    </row>
    <row r="194">
      <c r="A194" s="7" t="n">
        <v>191</v>
      </c>
      <c r="B194" s="8" t="inlineStr">
        <is>
          <t xml:space="preserve">        _tmp_idx = str(_ascii_tmp / "material_faiss.index")</t>
        </is>
      </c>
    </row>
    <row r="195">
      <c r="A195" s="9" t="n">
        <v>192</v>
      </c>
      <c r="B195" s="10" t="inlineStr">
        <is>
          <t xml:space="preserve">        _tmp_map = str(_ascii_tmp / "material_faiss_idmap.json")</t>
        </is>
      </c>
    </row>
    <row r="196">
      <c r="A196" s="7" t="n">
        <v>193</v>
      </c>
      <c r="B196" s="8" t="inlineStr"/>
    </row>
    <row r="197">
      <c r="A197" s="9" t="n">
        <v>194</v>
      </c>
      <c r="B197" s="10" t="inlineStr">
        <is>
          <t xml:space="preserve">        faiss.write_index(index, _tmp_idx)</t>
        </is>
      </c>
    </row>
    <row r="198">
      <c r="A198" s="7" t="n">
        <v>195</v>
      </c>
      <c r="B198" s="8" t="inlineStr">
        <is>
          <t xml:space="preserve">        with open(_tmp_map, "w", encoding="utf-8") as f:</t>
        </is>
      </c>
    </row>
    <row r="199">
      <c r="A199" s="9" t="n">
        <v>196</v>
      </c>
      <c r="B199" s="10" t="inlineStr">
        <is>
          <t xml:space="preserve">            json.dump(ids, f)</t>
        </is>
      </c>
    </row>
    <row r="200">
      <c r="A200" s="7" t="n">
        <v>197</v>
      </c>
      <c r="B200" s="8" t="inlineStr"/>
    </row>
    <row r="201">
      <c r="A201" s="9" t="n">
        <v>198</v>
      </c>
      <c r="B201" s="10" t="inlineStr">
        <is>
          <t xml:space="preserve">        # Copy from ASCII-temp to project (Python's shutil handles Chinese paths)</t>
        </is>
      </c>
    </row>
    <row r="202">
      <c r="A202" s="7" t="n">
        <v>199</v>
      </c>
      <c r="B202" s="8" t="inlineStr">
        <is>
          <t xml:space="preserve">        import shutil as _shutil</t>
        </is>
      </c>
    </row>
    <row r="203">
      <c r="A203" s="9" t="n">
        <v>200</v>
      </c>
      <c r="B203" s="10" t="inlineStr">
        <is>
          <t xml:space="preserve">        _shutil.copy2(_tmp_idx, str(FAISS_INDEX))</t>
        </is>
      </c>
    </row>
    <row r="204">
      <c r="A204" s="7" t="n">
        <v>201</v>
      </c>
      <c r="B204" s="8" t="inlineStr">
        <is>
          <t xml:space="preserve">        _shutil.copy2(_tmp_map, str(FAISS_IDMAP))</t>
        </is>
      </c>
    </row>
    <row r="205">
      <c r="A205" s="9" t="n">
        <v>202</v>
      </c>
      <c r="B205" s="10" t="inlineStr">
        <is>
          <t xml:space="preserve">    finally:</t>
        </is>
      </c>
    </row>
    <row r="206">
      <c r="A206" s="7" t="n">
        <v>203</v>
      </c>
      <c r="B206" s="8" t="inlineStr">
        <is>
          <t xml:space="preserve">        _shutil.rmtree(str(_ascii_tmp), ignore_errors=True)</t>
        </is>
      </c>
    </row>
    <row r="207">
      <c r="A207" s="9" t="n">
        <v>204</v>
      </c>
      <c r="B207" s="10" t="inlineStr"/>
    </row>
    <row r="208">
      <c r="A208" s="7" t="n">
        <v>205</v>
      </c>
      <c r="B208" s="8" t="inlineStr">
        <is>
          <t xml:space="preserve">    print(f"    索引: {FAISS_INDEX} ({FAISS_INDEX.stat().st_size/1e6:.1f} MB)")</t>
        </is>
      </c>
    </row>
    <row r="209">
      <c r="A209" s="9" t="n">
        <v>206</v>
      </c>
      <c r="B209" s="10" t="inlineStr">
        <is>
          <t xml:space="preserve">    print(f"    ID映射: {FAISS_IDMAP}")</t>
        </is>
      </c>
    </row>
    <row r="210">
      <c r="A210" s="7" t="n">
        <v>207</v>
      </c>
      <c r="B210" s="8" t="inlineStr"/>
    </row>
    <row r="211">
      <c r="A211" s="9" t="n">
        <v>208</v>
      </c>
      <c r="B211" s="10" t="inlineStr">
        <is>
          <t xml:space="preserve">    # ── 验证 ──</t>
        </is>
      </c>
    </row>
    <row r="212">
      <c r="A212" s="7" t="n">
        <v>209</v>
      </c>
      <c r="B212" s="8" t="inlineStr">
        <is>
          <t xml:space="preserve">    print(f"\n  [5/5] 验证...")</t>
        </is>
      </c>
    </row>
    <row r="213">
      <c r="A213" s="9" t="n">
        <v>210</v>
      </c>
      <c r="B213" s="10" t="inlineStr">
        <is>
          <t xml:space="preserve">    idx2 = faiss.read_index(str(FAISS_INDEX))</t>
        </is>
      </c>
    </row>
    <row r="214">
      <c r="A214" s="7" t="n">
        <v>211</v>
      </c>
      <c r="B214" s="8" t="inlineStr">
        <is>
          <t xml:space="preserve">    idmap2 = json.loads(FAISS_IDMAP.read_text())</t>
        </is>
      </c>
    </row>
    <row r="215">
      <c r="A215" s="9" t="n">
        <v>212</v>
      </c>
      <c r="B215" s="10" t="inlineStr"/>
    </row>
    <row r="216">
      <c r="A216" s="7" t="n">
        <v>213</v>
      </c>
      <c r="B216" s="8" t="inlineStr">
        <is>
          <t xml:space="preserve">    if idx2.ntotal == len(vectors) and len(idmap2) == len(ids):</t>
        </is>
      </c>
    </row>
    <row r="217">
      <c r="A217" s="9" t="n">
        <v>214</v>
      </c>
      <c r="B217" s="10" t="inlineStr">
        <is>
          <t xml:space="preserve">        print(f"    [OK] 重建成功! {idx2.ntotal} 向量, {dim} 维 L2 索引")</t>
        </is>
      </c>
    </row>
    <row r="218">
      <c r="A218" s="7" t="n">
        <v>215</v>
      </c>
      <c r="B218" s="8" t="inlineStr">
        <is>
          <t xml:space="preserve">        return True</t>
        </is>
      </c>
    </row>
    <row r="219">
      <c r="A219" s="9" t="n">
        <v>216</v>
      </c>
      <c r="B219" s="10" t="inlineStr">
        <is>
          <t xml:space="preserve">    else:</t>
        </is>
      </c>
    </row>
    <row r="220">
      <c r="A220" s="7" t="n">
        <v>217</v>
      </c>
      <c r="B220" s="8" t="inlineStr">
        <is>
          <t xml:space="preserve">        print(f"    [ERROR] 验证失败: index={idx2.ntotal}(期望{len(vectors)}), idmap={len(idmap2)}(期望{len(ids)})")</t>
        </is>
      </c>
    </row>
    <row r="221">
      <c r="A221" s="9" t="n">
        <v>218</v>
      </c>
      <c r="B221" s="10" t="inlineStr">
        <is>
          <t xml:space="preserve">        return False</t>
        </is>
      </c>
    </row>
    <row r="222">
      <c r="A222" s="7" t="n">
        <v>219</v>
      </c>
      <c r="B222" s="8" t="inlineStr"/>
    </row>
    <row r="223">
      <c r="A223" s="9" t="n">
        <v>220</v>
      </c>
      <c r="B223" s="10" t="inlineStr"/>
    </row>
    <row r="224">
      <c r="A224" s="7" t="n">
        <v>221</v>
      </c>
      <c r="B224" s="8" t="inlineStr">
        <is>
          <t>if __name__ == "__main__":</t>
        </is>
      </c>
    </row>
    <row r="225">
      <c r="A225" s="9" t="n">
        <v>222</v>
      </c>
      <c r="B225" s="10" t="inlineStr">
        <is>
          <t xml:space="preserve">    parser = argparse.ArgumentParser(description="TreeCut FAISS Index Rebuilder")</t>
        </is>
      </c>
    </row>
    <row r="226">
      <c r="A226" s="7" t="n">
        <v>223</v>
      </c>
      <c r="B226" s="8" t="inlineStr">
        <is>
          <t xml:space="preserve">    parser.add_argument("--check", action="store_true", help="仅检查同步状态")</t>
        </is>
      </c>
    </row>
    <row r="227">
      <c r="A227" s="9" t="n">
        <v>224</v>
      </c>
      <c r="B227" s="10" t="inlineStr">
        <is>
          <t xml:space="preserve">    parser.add_argument("--force", action="store_true", help="强制重建（即使索引已同步）")</t>
        </is>
      </c>
    </row>
    <row r="228">
      <c r="A228" s="7" t="n">
        <v>225</v>
      </c>
      <c r="B228" s="8" t="inlineStr"/>
    </row>
    <row r="229">
      <c r="A229" s="9" t="n">
        <v>226</v>
      </c>
      <c r="B229" s="10" t="inlineStr">
        <is>
          <t xml:space="preserve">    args = parser.parse_args()</t>
        </is>
      </c>
    </row>
    <row r="230">
      <c r="A230" s="7" t="n">
        <v>227</v>
      </c>
      <c r="B230" s="8" t="inlineStr"/>
    </row>
    <row r="231">
      <c r="A231" s="9" t="n">
        <v>228</v>
      </c>
      <c r="B231" s="10" t="inlineStr">
        <is>
          <t xml:space="preserve">    if args.check:</t>
        </is>
      </c>
    </row>
    <row r="232">
      <c r="A232" s="7" t="n">
        <v>229</v>
      </c>
      <c r="B232" s="8" t="inlineStr">
        <is>
          <t xml:space="preserve">        s = check_sync()</t>
        </is>
      </c>
    </row>
    <row r="233">
      <c r="A233" s="9" t="n">
        <v>230</v>
      </c>
      <c r="B233" s="10" t="inlineStr">
        <is>
          <t xml:space="preserve">        print_status(s)</t>
        </is>
      </c>
    </row>
    <row r="234">
      <c r="A234" s="7" t="n">
        <v>231</v>
      </c>
      <c r="B234" s="8" t="inlineStr">
        <is>
          <t xml:space="preserve">    else:</t>
        </is>
      </c>
    </row>
    <row r="235">
      <c r="A235" s="9" t="n">
        <v>232</v>
      </c>
      <c r="B235" s="10" t="inlineStr">
        <is>
          <t xml:space="preserve">        success = rebuild(force=args.force)</t>
        </is>
      </c>
    </row>
    <row r="236">
      <c r="A236" s="7" t="n">
        <v>233</v>
      </c>
      <c r="B236" s="8" t="inlineStr">
        <is>
          <t xml:space="preserve">        if not success:</t>
        </is>
      </c>
    </row>
    <row r="237">
      <c r="A237" s="9" t="n">
        <v>234</v>
      </c>
      <c r="B237" s="10" t="inlineStr">
        <is>
          <t xml:space="preserve">            sys.exit(1)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main.py</t>
        </is>
      </c>
      <c r="C1" s="5" t="inlineStr">
        <is>
          <t>行数: 189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 -*- coding: utf-8 -*-</t>
        </is>
      </c>
    </row>
    <row r="5">
      <c r="A5" s="9" t="n">
        <v>2</v>
      </c>
      <c r="B5" s="10" t="inlineStr">
        <is>
          <t>"""树剪 v3.0"""</t>
        </is>
      </c>
    </row>
    <row r="6">
      <c r="A6" s="7" t="n">
        <v>3</v>
      </c>
      <c r="B6" s="8" t="inlineStr">
        <is>
          <t>import os as _os, sys as _sys, traceback as _tb, datetime as _dt</t>
        </is>
      </c>
    </row>
    <row r="7">
      <c r="A7" s="9" t="n">
        <v>4</v>
      </c>
      <c r="B7" s="10" t="inlineStr">
        <is>
          <t># ====== 崩溃追踪：第1行就写日志 ======</t>
        </is>
      </c>
    </row>
    <row r="8">
      <c r="A8" s="7" t="n">
        <v>5</v>
      </c>
      <c r="B8" s="8" t="inlineStr">
        <is>
          <t>_LOG = _os.path.join(_os.path.dirname(_os.path.abspath(__file__)), "data", "logs")</t>
        </is>
      </c>
    </row>
    <row r="9">
      <c r="A9" s="9" t="n">
        <v>6</v>
      </c>
      <c r="B9" s="10" t="inlineStr">
        <is>
          <t>_os.makedirs(_LOG, exist_ok=True)</t>
        </is>
      </c>
    </row>
    <row r="10">
      <c r="A10" s="7" t="n">
        <v>7</v>
      </c>
      <c r="B10" s="8" t="inlineStr">
        <is>
          <t>_LOG_FILE = _os.path.join(_LOG, f"startup_{_dt.datetime.now().strftime('%H%M%S')}.log")</t>
        </is>
      </c>
    </row>
    <row r="11">
      <c r="A11" s="9" t="n">
        <v>8</v>
      </c>
      <c r="B11" s="10" t="inlineStr">
        <is>
          <t>def _log(msg):</t>
        </is>
      </c>
    </row>
    <row r="12">
      <c r="A12" s="7" t="n">
        <v>9</v>
      </c>
      <c r="B12" s="8" t="inlineStr">
        <is>
          <t xml:space="preserve">    try:</t>
        </is>
      </c>
    </row>
    <row r="13">
      <c r="A13" s="9" t="n">
        <v>10</v>
      </c>
      <c r="B13" s="10" t="inlineStr">
        <is>
          <t xml:space="preserve">        with open(_LOG_FILE, "a", encoding="utf-8") as f:</t>
        </is>
      </c>
    </row>
    <row r="14">
      <c r="A14" s="7" t="n">
        <v>11</v>
      </c>
      <c r="B14" s="8" t="inlineStr">
        <is>
          <t xml:space="preserve">            f.write(f"[{_dt.datetime.now().strftime('%H:%M:%S.%f')}] {msg}\n")</t>
        </is>
      </c>
    </row>
    <row r="15">
      <c r="A15" s="9" t="n">
        <v>12</v>
      </c>
      <c r="B15" s="10" t="inlineStr">
        <is>
          <t xml:space="preserve">    except:</t>
        </is>
      </c>
    </row>
    <row r="16">
      <c r="A16" s="7" t="n">
        <v>13</v>
      </c>
      <c r="B16" s="8" t="inlineStr">
        <is>
          <t xml:space="preserve">        pass</t>
        </is>
      </c>
    </row>
    <row r="17">
      <c r="A17" s="9" t="n">
        <v>14</v>
      </c>
      <c r="B17" s="10" t="inlineStr">
        <is>
          <t>_log(f"PID={_os.getpid()} Python={_sys.version[:30]} CWD={_os.getcwd()}")</t>
        </is>
      </c>
    </row>
    <row r="18">
      <c r="A18" s="7" t="n">
        <v>15</v>
      </c>
      <c r="B18" s="8" t="inlineStr">
        <is>
          <t>_log(f"Args={_sys.argv}")</t>
        </is>
      </c>
    </row>
    <row r="19">
      <c r="A19" s="9" t="n">
        <v>16</v>
      </c>
      <c r="B19" s="10" t="inlineStr">
        <is>
          <t># ====== 防护 ======</t>
        </is>
      </c>
    </row>
    <row r="20">
      <c r="A20" s="7" t="n">
        <v>17</v>
      </c>
      <c r="B20" s="8" t="inlineStr">
        <is>
          <t>for _k, _v in {"MPLBACKEND":"Agg","MATPLOTLIBRC":"Agg","QT_QPA_PLATFORM":"offscreen","SDL_VIDEODRIVER":"dummy","PYTHONDONTWRITEBYTECODE":"1","PYTHONIOENCODING":"utf-8"}.items():</t>
        </is>
      </c>
    </row>
    <row r="21">
      <c r="A21" s="9" t="n">
        <v>18</v>
      </c>
      <c r="B21" s="10" t="inlineStr">
        <is>
          <t xml:space="preserve">    _os.environ[_k] = _v</t>
        </is>
      </c>
    </row>
    <row r="22">
      <c r="A22" s="7" t="n">
        <v>19</v>
      </c>
      <c r="B22" s="8" t="inlineStr">
        <is>
          <t>_sys.dont_write_bytecode = True</t>
        </is>
      </c>
    </row>
    <row r="23">
      <c r="A23" s="9" t="n">
        <v>20</v>
      </c>
      <c r="B23" s="10" t="inlineStr">
        <is>
          <t>_log("Env+bytecode set")</t>
        </is>
      </c>
    </row>
    <row r="24">
      <c r="A24" s="7" t="n">
        <v>21</v>
      </c>
      <c r="B24" s="8" t="inlineStr">
        <is>
          <t># 清理缓存</t>
        </is>
      </c>
    </row>
    <row r="25">
      <c r="A25" s="9" t="n">
        <v>22</v>
      </c>
      <c r="B25" s="10" t="inlineStr">
        <is>
          <t>import shutil as _su</t>
        </is>
      </c>
    </row>
    <row r="26">
      <c r="A26" s="7" t="n">
        <v>23</v>
      </c>
      <c r="B26" s="8" t="inlineStr">
        <is>
          <t>_rd = _os.path.dirname(_os.path.abspath(__file__))</t>
        </is>
      </c>
    </row>
    <row r="27">
      <c r="A27" s="9" t="n">
        <v>24</v>
      </c>
      <c r="B27" s="10" t="inlineStr">
        <is>
          <t>for _r, _ds, _fs in _os.walk(_rd):</t>
        </is>
      </c>
    </row>
    <row r="28">
      <c r="A28" s="7" t="n">
        <v>25</v>
      </c>
      <c r="B28" s="8" t="inlineStr">
        <is>
          <t xml:space="preserve">    if "__pycache__" in _ds:</t>
        </is>
      </c>
    </row>
    <row r="29">
      <c r="A29" s="9" t="n">
        <v>26</v>
      </c>
      <c r="B29" s="10" t="inlineStr">
        <is>
          <t xml:space="preserve">        _su.rmtree(_os.path.join(_r, "__pycache__"), ignore_errors=True)</t>
        </is>
      </c>
    </row>
    <row r="30">
      <c r="A30" s="7" t="n">
        <v>27</v>
      </c>
      <c r="B30" s="8" t="inlineStr">
        <is>
          <t>_log("Cache cleaned")</t>
        </is>
      </c>
    </row>
    <row r="31">
      <c r="A31" s="9" t="n">
        <v>28</v>
      </c>
      <c r="B31" s="10" t="inlineStr">
        <is>
          <t># matplotlib</t>
        </is>
      </c>
    </row>
    <row r="32">
      <c r="A32" s="7" t="n">
        <v>29</v>
      </c>
      <c r="B32" s="8" t="inlineStr">
        <is>
          <t>try:</t>
        </is>
      </c>
    </row>
    <row r="33">
      <c r="A33" s="9" t="n">
        <v>30</v>
      </c>
      <c r="B33" s="10" t="inlineStr">
        <is>
          <t xml:space="preserve">    import matplotlib as _mpl; _mpl.use("Agg", force=True)</t>
        </is>
      </c>
    </row>
    <row r="34">
      <c r="A34" s="7" t="n">
        <v>31</v>
      </c>
      <c r="B34" s="8" t="inlineStr">
        <is>
          <t xml:space="preserve">    _log(f"matplotlib backend={_mpl.get_backend()}")</t>
        </is>
      </c>
    </row>
    <row r="35">
      <c r="A35" s="9" t="n">
        <v>32</v>
      </c>
      <c r="B35" s="10" t="inlineStr">
        <is>
          <t>except Exception as _e:</t>
        </is>
      </c>
    </row>
    <row r="36">
      <c r="A36" s="7" t="n">
        <v>33</v>
      </c>
      <c r="B36" s="8" t="inlineStr">
        <is>
          <t xml:space="preserve">    _log(f"matplotlib skip: {_e}")</t>
        </is>
      </c>
    </row>
    <row r="37">
      <c r="A37" s="9" t="n">
        <v>34</v>
      </c>
      <c r="B37" s="10" t="inlineStr">
        <is>
          <t># ====== 正式导入（每步都写日志） ======</t>
        </is>
      </c>
    </row>
    <row r="38">
      <c r="A38" s="7" t="n">
        <v>35</v>
      </c>
      <c r="B38" s="8" t="inlineStr">
        <is>
          <t>import argparse</t>
        </is>
      </c>
    </row>
    <row r="39">
      <c r="A39" s="9" t="n">
        <v>36</v>
      </c>
      <c r="B39" s="10" t="inlineStr">
        <is>
          <t>if _sys.platform == "win32":</t>
        </is>
      </c>
    </row>
    <row r="40">
      <c r="A40" s="7" t="n">
        <v>37</v>
      </c>
      <c r="B40" s="8" t="inlineStr">
        <is>
          <t xml:space="preserve">    try:</t>
        </is>
      </c>
    </row>
    <row r="41">
      <c r="A41" s="9" t="n">
        <v>38</v>
      </c>
      <c r="B41" s="10" t="inlineStr">
        <is>
          <t xml:space="preserve">        import io</t>
        </is>
      </c>
    </row>
    <row r="42">
      <c r="A42" s="7" t="n">
        <v>39</v>
      </c>
      <c r="B42" s="8" t="inlineStr">
        <is>
          <t xml:space="preserve">        _sys.stdout = io.TextIOWrapper(_sys.stdout.buffer, encoding="utf-8", errors="replace")</t>
        </is>
      </c>
    </row>
    <row r="43">
      <c r="A43" s="9" t="n">
        <v>40</v>
      </c>
      <c r="B43" s="10" t="inlineStr">
        <is>
          <t xml:space="preserve">        _sys.stderr = io.TextIOWrapper(_sys.stderr.buffer, encoding="utf-8", errors="replace")</t>
        </is>
      </c>
    </row>
    <row r="44">
      <c r="A44" s="7" t="n">
        <v>41</v>
      </c>
      <c r="B44" s="8" t="inlineStr">
        <is>
          <t xml:space="preserve">    except: pass</t>
        </is>
      </c>
    </row>
    <row r="45">
      <c r="A45" s="9" t="n">
        <v>42</v>
      </c>
      <c r="B45" s="10" t="inlineStr">
        <is>
          <t>try:</t>
        </is>
      </c>
    </row>
    <row r="46">
      <c r="A46" s="7" t="n">
        <v>43</v>
      </c>
      <c r="B46" s="8" t="inlineStr">
        <is>
          <t xml:space="preserve">    _log("import config_loader...")</t>
        </is>
      </c>
    </row>
    <row r="47">
      <c r="A47" s="9" t="n">
        <v>44</v>
      </c>
      <c r="B47" s="10" t="inlineStr">
        <is>
          <t xml:space="preserve">    from core.config_loader import CONFIG</t>
        </is>
      </c>
    </row>
    <row r="48">
      <c r="A48" s="7" t="n">
        <v>45</v>
      </c>
      <c r="B48" s="8" t="inlineStr">
        <is>
          <t xml:space="preserve">    _log("config_loader OK")</t>
        </is>
      </c>
    </row>
    <row r="49">
      <c r="A49" s="9" t="n">
        <v>46</v>
      </c>
      <c r="B49" s="10" t="inlineStr">
        <is>
          <t xml:space="preserve">    _log("import database...")</t>
        </is>
      </c>
    </row>
    <row r="50">
      <c r="A50" s="7" t="n">
        <v>47</v>
      </c>
      <c r="B50" s="8" t="inlineStr">
        <is>
          <t xml:space="preserve">    from core.database import init_db, query_sql, execute_sql</t>
        </is>
      </c>
    </row>
    <row r="51">
      <c r="A51" s="9" t="n">
        <v>48</v>
      </c>
      <c r="B51" s="10" t="inlineStr">
        <is>
          <t xml:space="preserve">    _log("database OK")</t>
        </is>
      </c>
    </row>
    <row r="52">
      <c r="A52" s="7" t="n">
        <v>49</v>
      </c>
      <c r="B52" s="8" t="inlineStr">
        <is>
          <t xml:space="preserve">    _log("import logger...")</t>
        </is>
      </c>
    </row>
    <row r="53">
      <c r="A53" s="9" t="n">
        <v>50</v>
      </c>
      <c r="B53" s="10" t="inlineStr">
        <is>
          <t xml:space="preserve">    from utils.logger import get_logger</t>
        </is>
      </c>
    </row>
    <row r="54">
      <c r="A54" s="7" t="n">
        <v>51</v>
      </c>
      <c r="B54" s="8" t="inlineStr">
        <is>
          <t xml:space="preserve">    _log("logger OK")</t>
        </is>
      </c>
    </row>
    <row r="55">
      <c r="A55" s="9" t="n">
        <v>52</v>
      </c>
      <c r="B55" s="10" t="inlineStr">
        <is>
          <t xml:space="preserve">    _log("import system_optimizer...")</t>
        </is>
      </c>
    </row>
    <row r="56">
      <c r="A56" s="7" t="n">
        <v>53</v>
      </c>
      <c r="B56" s="8" t="inlineStr">
        <is>
          <t xml:space="preserve">    from utils.system_optimizer import optimize_for_hardware</t>
        </is>
      </c>
    </row>
    <row r="57">
      <c r="A57" s="9" t="n">
        <v>54</v>
      </c>
      <c r="B57" s="10" t="inlineStr">
        <is>
          <t xml:space="preserve">    _log("system_optimizer OK")</t>
        </is>
      </c>
    </row>
    <row r="58">
      <c r="A58" s="7" t="n">
        <v>55</v>
      </c>
      <c r="B58" s="8" t="inlineStr">
        <is>
          <t xml:space="preserve">    _log("import vram_manager...")</t>
        </is>
      </c>
    </row>
    <row r="59">
      <c r="A59" s="9" t="n">
        <v>56</v>
      </c>
      <c r="B59" s="10" t="inlineStr">
        <is>
          <t xml:space="preserve">    from utils.vram_manager import init_cuda_environment</t>
        </is>
      </c>
    </row>
    <row r="60">
      <c r="A60" s="7" t="n">
        <v>57</v>
      </c>
      <c r="B60" s="8" t="inlineStr">
        <is>
          <t xml:space="preserve">    _log("vram_manager OK")</t>
        </is>
      </c>
    </row>
    <row r="61">
      <c r="A61" s="9" t="n">
        <v>58</v>
      </c>
      <c r="B61" s="10" t="inlineStr">
        <is>
          <t xml:space="preserve">    logger = get_logger("main")</t>
        </is>
      </c>
    </row>
    <row r="62">
      <c r="A62" s="7" t="n">
        <v>59</v>
      </c>
      <c r="B62" s="8" t="inlineStr">
        <is>
          <t xml:space="preserve">    _log("All core imports done ✓")</t>
        </is>
      </c>
    </row>
    <row r="63">
      <c r="A63" s="9" t="n">
        <v>60</v>
      </c>
      <c r="B63" s="10" t="inlineStr">
        <is>
          <t>except Exception as _e:</t>
        </is>
      </c>
    </row>
    <row r="64">
      <c r="A64" s="7" t="n">
        <v>61</v>
      </c>
      <c r="B64" s="8" t="inlineStr">
        <is>
          <t xml:space="preserve">    _log(f"CORE IMPORT FAILED: {_e}\n{_tb.format_exc()}")</t>
        </is>
      </c>
    </row>
    <row r="65">
      <c r="A65" s="9" t="n">
        <v>62</v>
      </c>
      <c r="B65" s="10" t="inlineStr">
        <is>
          <t xml:space="preserve">    raise</t>
        </is>
      </c>
    </row>
    <row r="66">
      <c r="A66" s="7" t="n">
        <v>63</v>
      </c>
      <c r="B66" s="8" t="inlineStr">
        <is>
          <t>def cmd_init(args):</t>
        </is>
      </c>
    </row>
    <row r="67">
      <c r="A67" s="9" t="n">
        <v>64</v>
      </c>
      <c r="B67" s="10" t="inlineStr">
        <is>
          <t xml:space="preserve">    _log("cmd_init start")</t>
        </is>
      </c>
    </row>
    <row r="68">
      <c r="A68" s="7" t="n">
        <v>65</v>
      </c>
      <c r="B68" s="8" t="inlineStr">
        <is>
          <t xml:space="preserve">    logger.info("=" * 50)</t>
        </is>
      </c>
    </row>
    <row r="69">
      <c r="A69" s="9" t="n">
        <v>66</v>
      </c>
      <c r="B69" s="10" t="inlineStr">
        <is>
          <t xml:space="preserve">    logger.info(f"树剪 v{CONFIG['system']['version']} 环境初始化")</t>
        </is>
      </c>
    </row>
    <row r="70">
      <c r="A70" s="7" t="n">
        <v>67</v>
      </c>
      <c r="B70" s="8" t="inlineStr">
        <is>
          <t xml:space="preserve">    logger.info("=" * 50)</t>
        </is>
      </c>
    </row>
    <row r="71">
      <c r="A71" s="9" t="n">
        <v>68</v>
      </c>
      <c r="B71" s="10" t="inlineStr">
        <is>
          <t xml:space="preserve">    for d in ["data","data/db","data/models","data/materials","data/features","data/output/corrected","data/logs","data/brand_logos","config"]:</t>
        </is>
      </c>
    </row>
    <row r="72">
      <c r="A72" s="7" t="n">
        <v>69</v>
      </c>
      <c r="B72" s="8" t="inlineStr">
        <is>
          <t xml:space="preserve">        _os.makedirs(d, exist_ok=True)</t>
        </is>
      </c>
    </row>
    <row r="73">
      <c r="A73" s="9" t="n">
        <v>70</v>
      </c>
      <c r="B73" s="10" t="inlineStr">
        <is>
          <t xml:space="preserve">        logger.info(f"  [OK] {d}")</t>
        </is>
      </c>
    </row>
    <row r="74">
      <c r="A74" s="7" t="n">
        <v>71</v>
      </c>
      <c r="B74" s="8" t="inlineStr">
        <is>
          <t xml:space="preserve">    if init_db():</t>
        </is>
      </c>
    </row>
    <row r="75">
      <c r="A75" s="9" t="n">
        <v>72</v>
      </c>
      <c r="B75" s="10" t="inlineStr">
        <is>
          <t xml:space="preserve">        logger.info("  [OK] 数据库初始化完成")</t>
        </is>
      </c>
    </row>
    <row r="76">
      <c r="A76" s="7" t="n">
        <v>73</v>
      </c>
      <c r="B76" s="8" t="inlineStr">
        <is>
          <t xml:space="preserve">    try:</t>
        </is>
      </c>
    </row>
    <row r="77">
      <c r="A77" s="9" t="n">
        <v>74</v>
      </c>
      <c r="B77" s="10" t="inlineStr">
        <is>
          <t xml:space="preserve">        import psutil</t>
        </is>
      </c>
    </row>
    <row r="78">
      <c r="A78" s="7" t="n">
        <v>75</v>
      </c>
      <c r="B78" s="8" t="inlineStr">
        <is>
          <t xml:space="preserve">        logger.info(f"  CPU: {psutil.cpu_percent()}% | 内存: {psutil.virtual_memory().available//(1024**3)}GB可用")</t>
        </is>
      </c>
    </row>
    <row r="79">
      <c r="A79" s="9" t="n">
        <v>76</v>
      </c>
      <c r="B79" s="10" t="inlineStr">
        <is>
          <t xml:space="preserve">    except: pass</t>
        </is>
      </c>
    </row>
    <row r="80">
      <c r="A80" s="7" t="n">
        <v>77</v>
      </c>
      <c r="B80" s="8" t="inlineStr">
        <is>
          <t xml:space="preserve">    init_cuda_environment(CONFIG["performance"]["enable_cudnn_benchmark"])</t>
        </is>
      </c>
    </row>
    <row r="81">
      <c r="A81" s="9" t="n">
        <v>78</v>
      </c>
      <c r="B81" s="10" t="inlineStr">
        <is>
          <t xml:space="preserve">    logger.info("初始化完成！")</t>
        </is>
      </c>
    </row>
    <row r="82">
      <c r="A82" s="7" t="n">
        <v>79</v>
      </c>
      <c r="B82" s="8" t="inlineStr">
        <is>
          <t xml:space="preserve">    _log("cmd_init done")</t>
        </is>
      </c>
    </row>
    <row r="83">
      <c r="A83" s="9" t="n">
        <v>80</v>
      </c>
      <c r="B83" s="10" t="inlineStr">
        <is>
          <t xml:space="preserve">    return True</t>
        </is>
      </c>
    </row>
    <row r="84">
      <c r="A84" s="7" t="n">
        <v>81</v>
      </c>
      <c r="B84" s="8" t="inlineStr">
        <is>
          <t>def cmd_process(args):</t>
        </is>
      </c>
    </row>
    <row r="85">
      <c r="A85" s="9" t="n">
        <v>82</v>
      </c>
      <c r="B85" s="10" t="inlineStr">
        <is>
          <t xml:space="preserve">    video_path = args.input</t>
        </is>
      </c>
    </row>
    <row r="86">
      <c r="A86" s="7" t="n">
        <v>83</v>
      </c>
      <c r="B86" s="8" t="inlineStr">
        <is>
          <t xml:space="preserve">    if not _os.path.exists(video_path):</t>
        </is>
      </c>
    </row>
    <row r="87">
      <c r="A87" s="9" t="n">
        <v>84</v>
      </c>
      <c r="B87" s="10" t="inlineStr">
        <is>
          <t xml:space="preserve">        logger.error(f"文件不存在: {video_path}")</t>
        </is>
      </c>
    </row>
    <row r="88">
      <c r="A88" s="7" t="n">
        <v>85</v>
      </c>
      <c r="B88" s="8" t="inlineStr">
        <is>
          <t xml:space="preserve">        return False</t>
        </is>
      </c>
    </row>
    <row r="89">
      <c r="A89" s="9" t="n">
        <v>86</v>
      </c>
      <c r="B89" s="10" t="inlineStr">
        <is>
          <t xml:space="preserve">    init_db()</t>
        </is>
      </c>
    </row>
    <row r="90">
      <c r="A90" s="7" t="n">
        <v>87</v>
      </c>
      <c r="B90" s="8" t="inlineStr">
        <is>
          <t xml:space="preserve">    abs_path = _os.path.abspath(video_path)</t>
        </is>
      </c>
    </row>
    <row r="91">
      <c r="A91" s="9" t="n">
        <v>88</v>
      </c>
      <c r="B91" s="10" t="inlineStr">
        <is>
          <t xml:space="preserve">    existing = query_sql("SELECT id FROM materials WHERE file_path=?", (abs_path,))</t>
        </is>
      </c>
    </row>
    <row r="92">
      <c r="A92" s="7" t="n">
        <v>89</v>
      </c>
      <c r="B92" s="8" t="inlineStr">
        <is>
          <t xml:space="preserve">    if existing:</t>
        </is>
      </c>
    </row>
    <row r="93">
      <c r="A93" s="9" t="n">
        <v>90</v>
      </c>
      <c r="B93" s="10" t="inlineStr">
        <is>
          <t xml:space="preserve">        mid = existing[0][0]</t>
        </is>
      </c>
    </row>
    <row r="94">
      <c r="A94" s="7" t="n">
        <v>91</v>
      </c>
      <c r="B94" s="8" t="inlineStr">
        <is>
          <t xml:space="preserve">        execute_sql("UPDATE materials SET status='pending' WHERE id=?", (mid,))</t>
        </is>
      </c>
    </row>
    <row r="95">
      <c r="A95" s="9" t="n">
        <v>92</v>
      </c>
      <c r="B95" s="10" t="inlineStr">
        <is>
          <t xml:space="preserve">    else:</t>
        </is>
      </c>
    </row>
    <row r="96">
      <c r="A96" s="7" t="n">
        <v>93</v>
      </c>
      <c r="B96" s="8" t="inlineStr">
        <is>
          <t xml:space="preserve">        from utils.ffmpeg_utils import get_video_info</t>
        </is>
      </c>
    </row>
    <row r="97">
      <c r="A97" s="9" t="n">
        <v>94</v>
      </c>
      <c r="B97" s="10" t="inlineStr">
        <is>
          <t xml:space="preserve">        info = get_video_info(abs_path)</t>
        </is>
      </c>
    </row>
    <row r="98">
      <c r="A98" s="7" t="n">
        <v>95</v>
      </c>
      <c r="B98" s="8" t="inlineStr">
        <is>
          <t xml:space="preserve">        mid = execute_sql(</t>
        </is>
      </c>
    </row>
    <row r="99">
      <c r="A99" s="9" t="n">
        <v>96</v>
      </c>
      <c r="B99" s="10" t="inlineStr">
        <is>
          <t xml:space="preserve">            "INSERT INTO materials (file_path,file_type,duration,resolution,fps,bitrate,status) VALUES (?,?,?,?,?,?,'pending')",</t>
        </is>
      </c>
    </row>
    <row r="100">
      <c r="A100" s="7" t="n">
        <v>97</v>
      </c>
      <c r="B100" s="8" t="inlineStr">
        <is>
          <t xml:space="preserve">            (abs_path,"video",info.get("duration",0),info.get("resolution",""),info.get("fps",0),info.get("bitrate",0)))</t>
        </is>
      </c>
    </row>
    <row r="101">
      <c r="A101" s="9" t="n">
        <v>98</v>
      </c>
      <c r="B101" s="10" t="inlineStr">
        <is>
          <t xml:space="preserve">    logger.info(f"处理: {_os.path.basename(video_path)} | ID: {mid}")</t>
        </is>
      </c>
    </row>
    <row r="102">
      <c r="A102" s="7" t="n">
        <v>99</v>
      </c>
      <c r="B102" s="8" t="inlineStr">
        <is>
          <t xml:space="preserve">    _log(f"cmd_process: {abs_path} id={mid}")</t>
        </is>
      </c>
    </row>
    <row r="103">
      <c r="A103" s="9" t="n">
        <v>100</v>
      </c>
      <c r="B103" s="10" t="inlineStr">
        <is>
          <t xml:space="preserve">    from core.workflow_engine import WorkflowEngine</t>
        </is>
      </c>
    </row>
    <row r="104">
      <c r="A104" s="7" t="n">
        <v>101</v>
      </c>
      <c r="B104" s="8" t="inlineStr">
        <is>
          <t xml:space="preserve">    engine = WorkflowEngine()</t>
        </is>
      </c>
    </row>
    <row r="105">
      <c r="A105" s="9" t="n">
        <v>102</v>
      </c>
      <c r="B105" s="10" t="inlineStr">
        <is>
          <t xml:space="preserve">    import time; t0 = time.time()</t>
        </is>
      </c>
    </row>
    <row r="106">
      <c r="A106" s="7" t="n">
        <v>103</v>
      </c>
      <c r="B106" s="8" t="inlineStr">
        <is>
          <t xml:space="preserve">    try:</t>
        </is>
      </c>
    </row>
    <row r="107">
      <c r="A107" s="9" t="n">
        <v>104</v>
      </c>
      <c r="B107" s="10" t="inlineStr">
        <is>
          <t xml:space="preserve">        result = engine.run(mid, abs_path)</t>
        </is>
      </c>
    </row>
    <row r="108">
      <c r="A108" s="7" t="n">
        <v>105</v>
      </c>
      <c r="B108" s="8" t="inlineStr">
        <is>
          <t xml:space="preserve">        elapsed = time.time() - t0</t>
        </is>
      </c>
    </row>
    <row r="109">
      <c r="A109" s="9" t="n">
        <v>106</v>
      </c>
      <c r="B109" s="10" t="inlineStr">
        <is>
          <t xml:space="preserve">        if result["status"] == "success":</t>
        </is>
      </c>
    </row>
    <row r="110">
      <c r="A110" s="7" t="n">
        <v>107</v>
      </c>
      <c r="B110" s="8" t="inlineStr">
        <is>
          <t xml:space="preserve">            logger.info(f"完成! {elapsed:.1f}s | 剩余问题: {result.get('remaining_issues',0)}个")</t>
        </is>
      </c>
    </row>
    <row r="111">
      <c r="A111" s="9" t="n">
        <v>108</v>
      </c>
      <c r="B111" s="10" t="inlineStr">
        <is>
          <t xml:space="preserve">            return True</t>
        </is>
      </c>
    </row>
    <row r="112">
      <c r="A112" s="7" t="n">
        <v>109</v>
      </c>
      <c r="B112" s="8" t="inlineStr">
        <is>
          <t xml:space="preserve">        else:</t>
        </is>
      </c>
    </row>
    <row r="113">
      <c r="A113" s="9" t="n">
        <v>110</v>
      </c>
      <c r="B113" s="10" t="inlineStr">
        <is>
          <t xml:space="preserve">            logger.error(f"失败: {result.get('error','unknown')}")</t>
        </is>
      </c>
    </row>
    <row r="114">
      <c r="A114" s="7" t="n">
        <v>111</v>
      </c>
      <c r="B114" s="8" t="inlineStr">
        <is>
          <t xml:space="preserve">            return False</t>
        </is>
      </c>
    </row>
    <row r="115">
      <c r="A115" s="9" t="n">
        <v>112</v>
      </c>
      <c r="B115" s="10" t="inlineStr">
        <is>
          <t xml:space="preserve">    finally: pass</t>
        </is>
      </c>
    </row>
    <row r="116">
      <c r="A116" s="7" t="n">
        <v>113</v>
      </c>
      <c r="B116" s="8" t="inlineStr">
        <is>
          <t>def cmd_batch(args):</t>
        </is>
      </c>
    </row>
    <row r="117">
      <c r="A117" s="9" t="n">
        <v>114</v>
      </c>
      <c r="B117" s="10" t="inlineStr">
        <is>
          <t xml:space="preserve">    from tasks.task_queue import task_queue</t>
        </is>
      </c>
    </row>
    <row r="118">
      <c r="A118" s="7" t="n">
        <v>115</v>
      </c>
      <c r="B118" s="8" t="inlineStr">
        <is>
          <t xml:space="preserve">    count = task_queue.add_folder(args.batch)</t>
        </is>
      </c>
    </row>
    <row r="119">
      <c r="A119" s="9" t="n">
        <v>116</v>
      </c>
      <c r="B119" s="10" t="inlineStr">
        <is>
          <t xml:space="preserve">    logger.info(f"导入{count}个素材")</t>
        </is>
      </c>
    </row>
    <row r="120">
      <c r="A120" s="7" t="n">
        <v>117</v>
      </c>
      <c r="B120" s="8" t="inlineStr">
        <is>
          <t xml:space="preserve">    total = task_queue.run_all()</t>
        </is>
      </c>
    </row>
    <row r="121">
      <c r="A121" s="9" t="n">
        <v>118</v>
      </c>
      <c r="B121" s="10" t="inlineStr">
        <is>
          <t xml:space="preserve">    logger.info(f"批量完成: {total}个")</t>
        </is>
      </c>
    </row>
    <row r="122">
      <c r="A122" s="7" t="n">
        <v>119</v>
      </c>
      <c r="B122" s="8" t="inlineStr">
        <is>
          <t xml:space="preserve">    return total &gt; 0</t>
        </is>
      </c>
    </row>
    <row r="123">
      <c r="A123" s="9" t="n">
        <v>120</v>
      </c>
      <c r="B123" s="10" t="inlineStr">
        <is>
          <t>def cmd_status(args):</t>
        </is>
      </c>
    </row>
    <row r="124">
      <c r="A124" s="7" t="n">
        <v>121</v>
      </c>
      <c r="B124" s="8" t="inlineStr">
        <is>
          <t xml:space="preserve">    init_db()</t>
        </is>
      </c>
    </row>
    <row r="125">
      <c r="A125" s="9" t="n">
        <v>122</v>
      </c>
      <c r="B125" s="10" t="inlineStr">
        <is>
          <t xml:space="preserve">    materials = query_sql("SELECT id,file_path,status,duration,resolution FROM materials ORDER BY id DESC LIMIT 20")</t>
        </is>
      </c>
    </row>
    <row r="126">
      <c r="A126" s="7" t="n">
        <v>123</v>
      </c>
      <c r="B126" s="8" t="inlineStr">
        <is>
          <t xml:space="preserve">    if not materials:</t>
        </is>
      </c>
    </row>
    <row r="127">
      <c r="A127" s="9" t="n">
        <v>124</v>
      </c>
      <c r="B127" s="10" t="inlineStr">
        <is>
          <t xml:space="preserve">        logger.info("暂无记录")</t>
        </is>
      </c>
    </row>
    <row r="128">
      <c r="A128" s="7" t="n">
        <v>125</v>
      </c>
      <c r="B128" s="8" t="inlineStr">
        <is>
          <t xml:space="preserve">        return True</t>
        </is>
      </c>
    </row>
    <row r="129">
      <c r="A129" s="9" t="n">
        <v>126</v>
      </c>
      <c r="B129" s="10" t="inlineStr">
        <is>
          <t xml:space="preserve">    logger.info("=" * 70)</t>
        </is>
      </c>
    </row>
    <row r="130">
      <c r="A130" s="7" t="n">
        <v>127</v>
      </c>
      <c r="B130" s="8" t="inlineStr">
        <is>
          <t xml:space="preserve">    logger.info(f"{'ID':&lt;6} {'状态':&lt;12} {'时长':&lt;10} {'分辨率':&lt;15} {'文件'}")</t>
        </is>
      </c>
    </row>
    <row r="131">
      <c r="A131" s="9" t="n">
        <v>128</v>
      </c>
      <c r="B131" s="10" t="inlineStr">
        <is>
          <t xml:space="preserve">    logger.info("-" * 70)</t>
        </is>
      </c>
    </row>
    <row r="132">
      <c r="A132" s="7" t="n">
        <v>129</v>
      </c>
      <c r="B132" s="8" t="inlineStr">
        <is>
          <t xml:space="preserve">    for m in materials:</t>
        </is>
      </c>
    </row>
    <row r="133">
      <c r="A133" s="9" t="n">
        <v>130</v>
      </c>
      <c r="B133" s="10" t="inlineStr">
        <is>
          <t xml:space="preserve">        logger.info(f"{m[0]:&lt;6} {m[2]:&lt;12} {m[3] or 0:&lt;10.1f} {m[4] or '未知':&lt;15} {_os.path.basename(m[1])}")</t>
        </is>
      </c>
    </row>
    <row r="134">
      <c r="A134" s="7" t="n">
        <v>131</v>
      </c>
      <c r="B134" s="8" t="inlineStr">
        <is>
          <t xml:space="preserve">    issues = query_sql("SELECT check_type,issue_level,COUNT(*) as cnt FROM quality_results GROUP BY check_type,issue_level")</t>
        </is>
      </c>
    </row>
    <row r="135">
      <c r="A135" s="9" t="n">
        <v>132</v>
      </c>
      <c r="B135" s="10" t="inlineStr">
        <is>
          <t xml:space="preserve">    if issues:</t>
        </is>
      </c>
    </row>
    <row r="136">
      <c r="A136" s="7" t="n">
        <v>133</v>
      </c>
      <c r="B136" s="8" t="inlineStr">
        <is>
          <t xml:space="preserve">        logger.info("-" * 70)</t>
        </is>
      </c>
    </row>
    <row r="137">
      <c r="A137" s="9" t="n">
        <v>134</v>
      </c>
      <c r="B137" s="10" t="inlineStr">
        <is>
          <t xml:space="preserve">        for row in issues:</t>
        </is>
      </c>
    </row>
    <row r="138">
      <c r="A138" s="7" t="n">
        <v>135</v>
      </c>
      <c r="B138" s="8" t="inlineStr">
        <is>
          <t xml:space="preserve">            logger.info(f"  {row[0]} [{row[1]}]: {row[2]}个")</t>
        </is>
      </c>
    </row>
    <row r="139">
      <c r="A139" s="9" t="n">
        <v>136</v>
      </c>
      <c r="B139" s="10" t="inlineStr">
        <is>
          <t xml:space="preserve">    return True</t>
        </is>
      </c>
    </row>
    <row r="140">
      <c r="A140" s="7" t="n">
        <v>137</v>
      </c>
      <c r="B140" s="8" t="inlineStr">
        <is>
          <t>def main():</t>
        </is>
      </c>
    </row>
    <row r="141">
      <c r="A141" s="9" t="n">
        <v>138</v>
      </c>
      <c r="B141" s="10" t="inlineStr">
        <is>
          <t xml:space="preserve">    _log("main() start")</t>
        </is>
      </c>
    </row>
    <row r="142">
      <c r="A142" s="7" t="n">
        <v>139</v>
      </c>
      <c r="B142" s="8" t="inlineStr">
        <is>
          <t xml:space="preserve">    parser = argparse.ArgumentParser(description="树剪 v3.0")</t>
        </is>
      </c>
    </row>
    <row r="143">
      <c r="A143" s="9" t="n">
        <v>140</v>
      </c>
      <c r="B143" s="10" t="inlineStr">
        <is>
          <t xml:space="preserve">    parser.add_argument("--init", action="store_true")</t>
        </is>
      </c>
    </row>
    <row r="144">
      <c r="A144" s="7" t="n">
        <v>141</v>
      </c>
      <c r="B144" s="8" t="inlineStr">
        <is>
          <t xml:space="preserve">    parser.add_argument("--input","-i",type=str)</t>
        </is>
      </c>
    </row>
    <row r="145">
      <c r="A145" s="9" t="n">
        <v>142</v>
      </c>
      <c r="B145" s="10" t="inlineStr">
        <is>
          <t xml:space="preserve">    parser.add_argument("--batch","-b",type=str)</t>
        </is>
      </c>
    </row>
    <row r="146">
      <c r="A146" s="7" t="n">
        <v>143</v>
      </c>
      <c r="B146" s="8" t="inlineStr">
        <is>
          <t xml:space="preserve">    parser.add_argument("--run",type=int)</t>
        </is>
      </c>
    </row>
    <row r="147">
      <c r="A147" s="9" t="n">
        <v>144</v>
      </c>
      <c r="B147" s="10" t="inlineStr">
        <is>
          <t xml:space="preserve">    parser.add_argument("--run-all",action="store_true")</t>
        </is>
      </c>
    </row>
    <row r="148">
      <c r="A148" s="7" t="n">
        <v>145</v>
      </c>
      <c r="B148" s="8" t="inlineStr">
        <is>
          <t xml:space="preserve">    parser.add_argument("--status","-s",action="store_true")</t>
        </is>
      </c>
    </row>
    <row r="149">
      <c r="A149" s="9" t="n">
        <v>146</v>
      </c>
      <c r="B149" s="10" t="inlineStr">
        <is>
          <t xml:space="preserve">    parser.add_argument("--list",action="store_true")</t>
        </is>
      </c>
    </row>
    <row r="150">
      <c r="A150" s="7" t="n">
        <v>147</v>
      </c>
      <c r="B150" s="8" t="inlineStr">
        <is>
          <t xml:space="preserve">    parser.add_argument("--dashboard",action="store_true")</t>
        </is>
      </c>
    </row>
    <row r="151">
      <c r="A151" s="9" t="n">
        <v>148</v>
      </c>
      <c r="B151" s="10" t="inlineStr">
        <is>
          <t xml:space="preserve">    parser.add_argument("--verbose","-v",action="store_true")</t>
        </is>
      </c>
    </row>
    <row r="152">
      <c r="A152" s="7" t="n">
        <v>149</v>
      </c>
      <c r="B152" s="8" t="inlineStr">
        <is>
          <t xml:space="preserve">    args = parser.parse_args()</t>
        </is>
      </c>
    </row>
    <row r="153">
      <c r="A153" s="9" t="n">
        <v>150</v>
      </c>
      <c r="B153" s="10" t="inlineStr">
        <is>
          <t xml:space="preserve">    _log(f"Parsed args: {args}")</t>
        </is>
      </c>
    </row>
    <row r="154">
      <c r="A154" s="7" t="n">
        <v>151</v>
      </c>
      <c r="B154" s="8" t="inlineStr">
        <is>
          <t xml:space="preserve">    _log("optimize_for_hardware...")</t>
        </is>
      </c>
    </row>
    <row r="155">
      <c r="A155" s="9" t="n">
        <v>152</v>
      </c>
      <c r="B155" s="10" t="inlineStr">
        <is>
          <t xml:space="preserve">    optimize_for_hardware(CONFIG)</t>
        </is>
      </c>
    </row>
    <row r="156">
      <c r="A156" s="7" t="n">
        <v>153</v>
      </c>
      <c r="B156" s="8" t="inlineStr">
        <is>
          <t xml:space="preserve">    _log("init_cuda_environment...")</t>
        </is>
      </c>
    </row>
    <row r="157">
      <c r="A157" s="9" t="n">
        <v>154</v>
      </c>
      <c r="B157" s="10" t="inlineStr">
        <is>
          <t xml:space="preserve">    init_cuda_environment(CONFIG["performance"]["enable_cudnn_benchmark"])</t>
        </is>
      </c>
    </row>
    <row r="158">
      <c r="A158" s="7" t="n">
        <v>155</v>
      </c>
      <c r="B158" s="8" t="inlineStr">
        <is>
          <t xml:space="preserve">    _log("Both OK")</t>
        </is>
      </c>
    </row>
    <row r="159">
      <c r="A159" s="9" t="n">
        <v>156</v>
      </c>
      <c r="B159" s="10" t="inlineStr">
        <is>
          <t xml:space="preserve">    if args.init:           return cmd_init(args)</t>
        </is>
      </c>
    </row>
    <row r="160">
      <c r="A160" s="7" t="n">
        <v>157</v>
      </c>
      <c r="B160" s="8" t="inlineStr">
        <is>
          <t xml:space="preserve">    elif args.input:        return cmd_process(args)</t>
        </is>
      </c>
    </row>
    <row r="161">
      <c r="A161" s="9" t="n">
        <v>158</v>
      </c>
      <c r="B161" s="10" t="inlineStr">
        <is>
          <t xml:space="preserve">    elif args.batch:        return cmd_batch(args)</t>
        </is>
      </c>
    </row>
    <row r="162">
      <c r="A162" s="7" t="n">
        <v>159</v>
      </c>
      <c r="B162" s="8" t="inlineStr">
        <is>
          <t xml:space="preserve">    elif args.run_all:</t>
        </is>
      </c>
    </row>
    <row r="163">
      <c r="A163" s="9" t="n">
        <v>160</v>
      </c>
      <c r="B163" s="10" t="inlineStr">
        <is>
          <t xml:space="preserve">        from tasks.task_queue import task_queue; return task_queue.run_all() &gt; 0</t>
        </is>
      </c>
    </row>
    <row r="164">
      <c r="A164" s="7" t="n">
        <v>161</v>
      </c>
      <c r="B164" s="8" t="inlineStr">
        <is>
          <t xml:space="preserve">    elif args.run:</t>
        </is>
      </c>
    </row>
    <row r="165">
      <c r="A165" s="9" t="n">
        <v>162</v>
      </c>
      <c r="B165" s="10" t="inlineStr">
        <is>
          <t xml:space="preserve">        from core.workflow_engine import WorkflowEngine</t>
        </is>
      </c>
    </row>
    <row r="166">
      <c r="A166" s="7" t="n">
        <v>163</v>
      </c>
      <c r="B166" s="8" t="inlineStr">
        <is>
          <t xml:space="preserve">        init_db()</t>
        </is>
      </c>
    </row>
    <row r="167">
      <c r="A167" s="9" t="n">
        <v>164</v>
      </c>
      <c r="B167" s="10" t="inlineStr">
        <is>
          <t xml:space="preserve">        row = query_sql("SELECT file_path FROM materials WHERE id=?",(args.run,))</t>
        </is>
      </c>
    </row>
    <row r="168">
      <c r="A168" s="7" t="n">
        <v>165</v>
      </c>
      <c r="B168" s="8" t="inlineStr">
        <is>
          <t xml:space="preserve">        if row:</t>
        </is>
      </c>
    </row>
    <row r="169">
      <c r="A169" s="9" t="n">
        <v>166</v>
      </c>
      <c r="B169" s="10" t="inlineStr">
        <is>
          <t xml:space="preserve">            engine = WorkflowEngine()</t>
        </is>
      </c>
    </row>
    <row r="170">
      <c r="A170" s="7" t="n">
        <v>167</v>
      </c>
      <c r="B170" s="8" t="inlineStr">
        <is>
          <t xml:space="preserve">            result = engine.run(args.run, row[0][0])</t>
        </is>
      </c>
    </row>
    <row r="171">
      <c r="A171" s="9" t="n">
        <v>168</v>
      </c>
      <c r="B171" s="10" t="inlineStr">
        <is>
          <t xml:space="preserve">            return result["status"] == "success"</t>
        </is>
      </c>
    </row>
    <row r="172">
      <c r="A172" s="7" t="n">
        <v>169</v>
      </c>
      <c r="B172" s="8" t="inlineStr">
        <is>
          <t xml:space="preserve">        return False</t>
        </is>
      </c>
    </row>
    <row r="173">
      <c r="A173" s="9" t="n">
        <v>170</v>
      </c>
      <c r="B173" s="10" t="inlineStr">
        <is>
          <t xml:space="preserve">    elif args.status or args.list:</t>
        </is>
      </c>
    </row>
    <row r="174">
      <c r="A174" s="7" t="n">
        <v>171</v>
      </c>
      <c r="B174" s="8" t="inlineStr">
        <is>
          <t xml:space="preserve">        return cmd_status(args)</t>
        </is>
      </c>
    </row>
    <row r="175">
      <c r="A175" s="9" t="n">
        <v>172</v>
      </c>
      <c r="B175" s="10" t="inlineStr">
        <is>
          <t xml:space="preserve">    elif args.dashboard:</t>
        </is>
      </c>
    </row>
    <row r="176">
      <c r="A176" s="7" t="n">
        <v>173</v>
      </c>
      <c r="B176" s="8" t="inlineStr">
        <is>
          <t xml:space="preserve">        import subprocess</t>
        </is>
      </c>
    </row>
    <row r="177">
      <c r="A177" s="9" t="n">
        <v>174</v>
      </c>
      <c r="B177" s="10" t="inlineStr">
        <is>
          <t xml:space="preserve">        subprocess.run([sys.executable,"-m","streamlit","run","dashboard/app.py"])</t>
        </is>
      </c>
    </row>
    <row r="178">
      <c r="A178" s="7" t="n">
        <v>175</v>
      </c>
      <c r="B178" s="8" t="inlineStr">
        <is>
          <t xml:space="preserve">        return True</t>
        </is>
      </c>
    </row>
    <row r="179">
      <c r="A179" s="9" t="n">
        <v>176</v>
      </c>
      <c r="B179" s="10" t="inlineStr">
        <is>
          <t xml:space="preserve">    else:</t>
        </is>
      </c>
    </row>
    <row r="180">
      <c r="A180" s="7" t="n">
        <v>177</v>
      </c>
      <c r="B180" s="8" t="inlineStr">
        <is>
          <t xml:space="preserve">        parser.print_help()</t>
        </is>
      </c>
    </row>
    <row r="181">
      <c r="A181" s="9" t="n">
        <v>178</v>
      </c>
      <c r="B181" s="10" t="inlineStr">
        <is>
          <t xml:space="preserve">        return True</t>
        </is>
      </c>
    </row>
    <row r="182">
      <c r="A182" s="7" t="n">
        <v>179</v>
      </c>
      <c r="B182" s="8" t="inlineStr">
        <is>
          <t>if __name__ == "__main__":</t>
        </is>
      </c>
    </row>
    <row r="183">
      <c r="A183" s="9" t="n">
        <v>180</v>
      </c>
      <c r="B183" s="10" t="inlineStr">
        <is>
          <t xml:space="preserve">    try:</t>
        </is>
      </c>
    </row>
    <row r="184">
      <c r="A184" s="7" t="n">
        <v>181</v>
      </c>
      <c r="B184" s="8" t="inlineStr">
        <is>
          <t xml:space="preserve">        _log("Entering main()")</t>
        </is>
      </c>
    </row>
    <row r="185">
      <c r="A185" s="9" t="n">
        <v>182</v>
      </c>
      <c r="B185" s="10" t="inlineStr">
        <is>
          <t xml:space="preserve">        ok = main()</t>
        </is>
      </c>
    </row>
    <row r="186">
      <c r="A186" s="7" t="n">
        <v>183</v>
      </c>
      <c r="B186" s="8" t="inlineStr">
        <is>
          <t xml:space="preserve">        _log(f"Exit: {'OK' if ok else 'FAIL'}")</t>
        </is>
      </c>
    </row>
    <row r="187">
      <c r="A187" s="9" t="n">
        <v>184</v>
      </c>
      <c r="B187" s="10" t="inlineStr">
        <is>
          <t xml:space="preserve">        _sys.exit(0 if ok else 1)</t>
        </is>
      </c>
    </row>
    <row r="188">
      <c r="A188" s="7" t="n">
        <v>185</v>
      </c>
      <c r="B188" s="8" t="inlineStr">
        <is>
          <t xml:space="preserve">    except Exception as e:</t>
        </is>
      </c>
    </row>
    <row r="189">
      <c r="A189" s="9" t="n">
        <v>186</v>
      </c>
      <c r="B189" s="10" t="inlineStr">
        <is>
          <t xml:space="preserve">        _log(f"CRASH: {type(e).__name__}: {e}\n{_tb.format_exc()}")</t>
        </is>
      </c>
    </row>
    <row r="190">
      <c r="A190" s="7" t="n">
        <v>187</v>
      </c>
      <c r="B190" s="8" t="inlineStr">
        <is>
          <t xml:space="preserve">        print(f"\n[错误] {type(e).__name__}: {e}")</t>
        </is>
      </c>
    </row>
    <row r="191">
      <c r="A191" s="9" t="n">
        <v>188</v>
      </c>
      <c r="B191" s="10" t="inlineStr">
        <is>
          <t xml:space="preserve">        _tb.print_exc()</t>
        </is>
      </c>
    </row>
    <row r="192">
      <c r="A192" s="7" t="n">
        <v>189</v>
      </c>
      <c r="B192" s="8" t="inlineStr">
        <is>
          <t xml:space="preserve">        _sys.exit(1)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material_engine_v3\__init__.py</t>
        </is>
      </c>
      <c r="C1" s="5" t="inlineStr">
        <is>
          <t>行数: 4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 AI Content Factory Platform V3.0</t>
        </is>
      </c>
    </row>
    <row r="5">
      <c r="A5" s="9" t="n">
        <v>2</v>
      </c>
      <c r="B5" s="10" t="inlineStr">
        <is>
          <t># Material Understanding Engine - Multimodal - Knowledge Base - Auto Learning</t>
        </is>
      </c>
    </row>
    <row r="6">
      <c r="A6" s="7" t="n">
        <v>3</v>
      </c>
      <c r="B6" s="8" t="inlineStr">
        <is>
          <t># Target: 100K-1M material scale</t>
        </is>
      </c>
    </row>
    <row r="7">
      <c r="A7" s="9" t="n">
        <v>4</v>
      </c>
      <c r="B7" s="10" t="inlineStr">
        <is>
          <t>__version__ = "3.0.0"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material_engine_v3\batch_process.py</t>
        </is>
      </c>
      <c r="C1" s="5" t="inlineStr">
        <is>
          <t>行数: 92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 xml:space="preserve"> """</t>
        </is>
      </c>
    </row>
    <row r="5">
      <c r="A5" s="9" t="n">
        <v>2</v>
      </c>
      <c r="B5" s="10" t="inlineStr">
        <is>
          <t>V3.1 Batch Processor: Populate embeddings + Run scene detection + Score materials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sys, sqlite3, json, faiss, numpy as np</t>
        </is>
      </c>
    </row>
    <row r="8">
      <c r="A8" s="7" t="n">
        <v>5</v>
      </c>
      <c r="B8" s="8" t="inlineStr">
        <is>
          <t>from pathlib import Path</t>
        </is>
      </c>
    </row>
    <row r="9">
      <c r="A9" s="9" t="n">
        <v>6</v>
      </c>
      <c r="B9" s="10" t="inlineStr">
        <is>
          <t>sys.path.insert(0, str(Path(__file__).parent.parent))</t>
        </is>
      </c>
    </row>
    <row r="10">
      <c r="A10" s="7" t="n">
        <v>7</v>
      </c>
      <c r="B10" s="8" t="inlineStr">
        <is>
          <t>from material_engine_v3.database.schema import init_db</t>
        </is>
      </c>
    </row>
    <row r="11">
      <c r="A11" s="9" t="n">
        <v>8</v>
      </c>
      <c r="B11" s="10" t="inlineStr">
        <is>
          <t>from material_engine_v3.config import V3_DB_PATH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BASE_DIR = Path(__file__).parent.parent</t>
        </is>
      </c>
    </row>
    <row r="14">
      <c r="A14" s="7" t="n">
        <v>11</v>
      </c>
      <c r="B14" s="8" t="inlineStr">
        <is>
          <t>FAISS_BGE = BASE_DIR / "shipin" / "material_bge_m3.index"</t>
        </is>
      </c>
    </row>
    <row r="15">
      <c r="A15" s="9" t="n">
        <v>12</v>
      </c>
      <c r="B15" s="10" t="inlineStr">
        <is>
          <t>FAISS_IDMAP = BASE_DIR / "shipin" / "material_bge_m3_idmap.json"</t>
        </is>
      </c>
    </row>
    <row r="16">
      <c r="A16" s="7" t="n">
        <v>13</v>
      </c>
      <c r="B16" s="8" t="inlineStr">
        <is>
          <t>V2_DB = BASE_DIR / "ai_material_library.db"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def step1_populate_embeddings():</t>
        </is>
      </c>
    </row>
    <row r="19">
      <c r="A19" s="9" t="n">
        <v>16</v>
      </c>
      <c r="B19" s="10" t="inlineStr">
        <is>
          <t xml:space="preserve">    """Read BGE-M3 FAISS index, populate V3 video_embeddings table"""</t>
        </is>
      </c>
    </row>
    <row r="20">
      <c r="A20" s="7" t="n">
        <v>17</v>
      </c>
      <c r="B20" s="8" t="inlineStr">
        <is>
          <t xml:space="preserve">    print("[Step 1] Populating embeddings from BGE-M3 index...")</t>
        </is>
      </c>
    </row>
    <row r="21">
      <c r="A21" s="9" t="n">
        <v>18</v>
      </c>
      <c r="B21" s="10" t="inlineStr">
        <is>
          <t xml:space="preserve">    if not FAISS_BGE.exists():</t>
        </is>
      </c>
    </row>
    <row r="22">
      <c r="A22" s="7" t="n">
        <v>19</v>
      </c>
      <c r="B22" s="8" t="inlineStr">
        <is>
          <t xml:space="preserve">        print(f"  FAISS index not found: {FAISS_BGE}"); return</t>
        </is>
      </c>
    </row>
    <row r="23">
      <c r="A23" s="9" t="n">
        <v>20</v>
      </c>
      <c r="B23" s="10" t="inlineStr">
        <is>
          <t xml:space="preserve">    index = faiss.read_index(str(FAISS_BGE))</t>
        </is>
      </c>
    </row>
    <row r="24">
      <c r="A24" s="7" t="n">
        <v>21</v>
      </c>
      <c r="B24" s="8" t="inlineStr">
        <is>
          <t xml:space="preserve">    ids = json.loads(FAISS_IDMAP.read_text())</t>
        </is>
      </c>
    </row>
    <row r="25">
      <c r="A25" s="9" t="n">
        <v>22</v>
      </c>
      <c r="B25" s="10" t="inlineStr">
        <is>
          <t xml:space="preserve">    print(f"  Index: {index.ntotal} vectors, dim={index.d}")</t>
        </is>
      </c>
    </row>
    <row r="26">
      <c r="A26" s="7" t="n">
        <v>23</v>
      </c>
      <c r="B26" s="8" t="inlineStr">
        <is>
          <t xml:space="preserve">    # Reconstruct all embeddings</t>
        </is>
      </c>
    </row>
    <row r="27">
      <c r="A27" s="9" t="n">
        <v>24</v>
      </c>
      <c r="B27" s="10" t="inlineStr">
        <is>
          <t xml:space="preserve">    embeddings = np.zeros((index.ntotal, index.d), dtype=np.float32)</t>
        </is>
      </c>
    </row>
    <row r="28">
      <c r="A28" s="7" t="n">
        <v>25</v>
      </c>
      <c r="B28" s="8" t="inlineStr">
        <is>
          <t xml:space="preserve">    faiss.extract_index_ivf(index) if hasattr(index, 'invlists') else None</t>
        </is>
      </c>
    </row>
    <row r="29">
      <c r="A29" s="9" t="n">
        <v>26</v>
      </c>
      <c r="B29" s="10" t="inlineStr">
        <is>
          <t xml:space="preserve">    # For FlatL2, we can just read directly... but FAISS doesn't expose raw vectors easily</t>
        </is>
      </c>
    </row>
    <row r="30">
      <c r="A30" s="7" t="n">
        <v>27</v>
      </c>
      <c r="B30" s="8" t="inlineStr">
        <is>
          <t xml:space="preserve">    # Alternative: populate from V2 materials table mapping</t>
        </is>
      </c>
    </row>
    <row r="31">
      <c r="A31" s="9" t="n">
        <v>28</v>
      </c>
      <c r="B31" s="10" t="inlineStr">
        <is>
          <t xml:space="preserve">    if V2_DB.exists():</t>
        </is>
      </c>
    </row>
    <row r="32">
      <c r="A32" s="7" t="n">
        <v>29</v>
      </c>
      <c r="B32" s="8" t="inlineStr">
        <is>
          <t xml:space="preserve">        with sqlite3.connect(V2_DB) as v2, sqlite3.connect(V3_DB_PATH) as v3:</t>
        </is>
      </c>
    </row>
    <row r="33">
      <c r="A33" s="9" t="n">
        <v>30</v>
      </c>
      <c r="B33" s="10" t="inlineStr">
        <is>
          <t xml:space="preserve">            v2_rows = v2.execute("SELECT id FROM materials WHERE analyzed=1").fetchall()</t>
        </is>
      </c>
    </row>
    <row r="34">
      <c r="A34" s="7" t="n">
        <v>31</v>
      </c>
      <c r="B34" s="8" t="inlineStr">
        <is>
          <t xml:space="preserve">            for v2_id, in v2_rows:</t>
        </is>
      </c>
    </row>
    <row r="35">
      <c r="A35" s="9" t="n">
        <v>32</v>
      </c>
      <c r="B35" s="10" t="inlineStr">
        <is>
          <t xml:space="preserve">                v2_id = int(v2_id)</t>
        </is>
      </c>
    </row>
    <row r="36">
      <c r="A36" s="7" t="n">
        <v>33</v>
      </c>
      <c r="B36" s="8" t="inlineStr">
        <is>
          <t xml:space="preserve">                if v2_id in ids:</t>
        </is>
      </c>
    </row>
    <row r="37">
      <c r="A37" s="9" t="n">
        <v>34</v>
      </c>
      <c r="B37" s="10" t="inlineStr">
        <is>
          <t xml:space="preserve">                    idx_pos = ids.index(v2_id)</t>
        </is>
      </c>
    </row>
    <row r="38">
      <c r="A38" s="7" t="n">
        <v>35</v>
      </c>
      <c r="B38" s="8" t="inlineStr">
        <is>
          <t xml:space="preserve">                    try:</t>
        </is>
      </c>
    </row>
    <row r="39">
      <c r="A39" s="9" t="n">
        <v>36</v>
      </c>
      <c r="B39" s="10" t="inlineStr">
        <is>
          <t xml:space="preserve">                        vec = index.reconstruct(idx_pos)</t>
        </is>
      </c>
    </row>
    <row r="40">
      <c r="A40" s="7" t="n">
        <v>37</v>
      </c>
      <c r="B40" s="8" t="inlineStr">
        <is>
          <t xml:space="preserve">                        vec_blob = vec.tobytes()</t>
        </is>
      </c>
    </row>
    <row r="41">
      <c r="A41" s="9" t="n">
        <v>38</v>
      </c>
      <c r="B41" s="10" t="inlineStr">
        <is>
          <t xml:space="preserve">                        # Find corresponding V3 video</t>
        </is>
      </c>
    </row>
    <row r="42">
      <c r="A42" s="7" t="n">
        <v>39</v>
      </c>
      <c r="B42" s="8" t="inlineStr">
        <is>
          <t xml:space="preserve">                        v2_path = v2.execute("SELECT video_path FROM materials WHERE id=?", (v2_id,)).fetchone()</t>
        </is>
      </c>
    </row>
    <row r="43">
      <c r="A43" s="9" t="n">
        <v>40</v>
      </c>
      <c r="B43" s="10" t="inlineStr">
        <is>
          <t xml:space="preserve">                        if v2_path:</t>
        </is>
      </c>
    </row>
    <row r="44">
      <c r="A44" s="7" t="n">
        <v>41</v>
      </c>
      <c r="B44" s="8" t="inlineStr">
        <is>
          <t xml:space="preserve">                            v3_vid = v3.execute("SELECT id FROM videos WHERE path=?", (v2_path[0],)).fetchone()</t>
        </is>
      </c>
    </row>
    <row r="45">
      <c r="A45" s="9" t="n">
        <v>42</v>
      </c>
      <c r="B45" s="10" t="inlineStr">
        <is>
          <t xml:space="preserve">                            if v3_vid:</t>
        </is>
      </c>
    </row>
    <row r="46">
      <c r="A46" s="7" t="n">
        <v>43</v>
      </c>
      <c r="B46" s="8" t="inlineStr">
        <is>
          <t xml:space="preserve">                                v3.execute("INSERT OR IGNORE INTO video_embeddings (video_id, embedding, model_name, dimension) VALUES (?,?,?,?)",</t>
        </is>
      </c>
    </row>
    <row r="47">
      <c r="A47" s="9" t="n">
        <v>44</v>
      </c>
      <c r="B47" s="10" t="inlineStr">
        <is>
          <t xml:space="preserve">                                           (v3_vid[0], vec_blob, "BAAI/bge-m3", index.d))</t>
        </is>
      </c>
    </row>
    <row r="48">
      <c r="A48" s="7" t="n">
        <v>45</v>
      </c>
      <c r="B48" s="8" t="inlineStr">
        <is>
          <t xml:space="preserve">                    except Exception: pass  # non-critical fallback  # non-critical fallback</t>
        </is>
      </c>
    </row>
    <row r="49">
      <c r="A49" s="9" t="n">
        <v>46</v>
      </c>
      <c r="B49" s="10" t="inlineStr">
        <is>
          <t xml:space="preserve">            v3.commit()</t>
        </is>
      </c>
    </row>
    <row r="50">
      <c r="A50" s="7" t="n">
        <v>47</v>
      </c>
      <c r="B50" s="8" t="inlineStr">
        <is>
          <t xml:space="preserve">    with sqlite3.connect(V3_DB_PATH) as conn:</t>
        </is>
      </c>
    </row>
    <row r="51">
      <c r="A51" s="9" t="n">
        <v>48</v>
      </c>
      <c r="B51" s="10" t="inlineStr">
        <is>
          <t xml:space="preserve">        cnt = conn.execute("SELECT COUNT(*) FROM video_embeddings").fetchone()[0]</t>
        </is>
      </c>
    </row>
    <row r="52">
      <c r="A52" s="7" t="n">
        <v>49</v>
      </c>
      <c r="B52" s="8" t="inlineStr">
        <is>
          <t xml:space="preserve">    print(f"  Embeddings populated: {cnt}")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>
        <is>
          <t>def step2_sample_scenes(limit=20):</t>
        </is>
      </c>
    </row>
    <row r="55">
      <c r="A55" s="9" t="n">
        <v>52</v>
      </c>
      <c r="B55" s="10" t="inlineStr">
        <is>
          <t xml:space="preserve">    """Run scene detection on a sample batch"""</t>
        </is>
      </c>
    </row>
    <row r="56">
      <c r="A56" s="7" t="n">
        <v>53</v>
      </c>
      <c r="B56" s="8" t="inlineStr">
        <is>
          <t xml:space="preserve">    print(f"[Step 2] Scene detection on {limit} sample videos...")</t>
        </is>
      </c>
    </row>
    <row r="57">
      <c r="A57" s="9" t="n">
        <v>54</v>
      </c>
      <c r="B57" s="10" t="inlineStr">
        <is>
          <t xml:space="preserve">    try:</t>
        </is>
      </c>
    </row>
    <row r="58">
      <c r="A58" s="7" t="n">
        <v>55</v>
      </c>
      <c r="B58" s="8" t="inlineStr">
        <is>
          <t xml:space="preserve">        from material_engine_v3.core.scene_engine import SceneEngine</t>
        </is>
      </c>
    </row>
    <row r="59">
      <c r="A59" s="9" t="n">
        <v>56</v>
      </c>
      <c r="B59" s="10" t="inlineStr">
        <is>
          <t xml:space="preserve">        engine = SceneEngine()</t>
        </is>
      </c>
    </row>
    <row r="60">
      <c r="A60" s="7" t="n">
        <v>57</v>
      </c>
      <c r="B60" s="8" t="inlineStr">
        <is>
          <t xml:space="preserve">        cnt = 0</t>
        </is>
      </c>
    </row>
    <row r="61">
      <c r="A61" s="9" t="n">
        <v>58</v>
      </c>
      <c r="B61" s="10" t="inlineStr">
        <is>
          <t xml:space="preserve">        with sqlite3.connect(V3_DB_PATH) as conn:</t>
        </is>
      </c>
    </row>
    <row r="62">
      <c r="A62" s="7" t="n">
        <v>59</v>
      </c>
      <c r="B62" s="8" t="inlineStr">
        <is>
          <t xml:space="preserve">            vids = conn.execute("SELECT id, path, duration FROM videos WHERE duration &gt; 0 LIMIT ?", (limit,)).fetchall()</t>
        </is>
      </c>
    </row>
    <row r="63">
      <c r="A63" s="9" t="n">
        <v>60</v>
      </c>
      <c r="B63" s="10" t="inlineStr">
        <is>
          <t xml:space="preserve">            for vid, path, dur in vids:</t>
        </is>
      </c>
    </row>
    <row r="64">
      <c r="A64" s="7" t="n">
        <v>61</v>
      </c>
      <c r="B64" s="8" t="inlineStr">
        <is>
          <t xml:space="preserve">                if not Path(path).exists(): continue</t>
        </is>
      </c>
    </row>
    <row r="65">
      <c r="A65" s="9" t="n">
        <v>62</v>
      </c>
      <c r="B65" s="10" t="inlineStr">
        <is>
          <t xml:space="preserve">                scenes = engine.detect_scenes(path)</t>
        </is>
      </c>
    </row>
    <row r="66">
      <c r="A66" s="7" t="n">
        <v>63</v>
      </c>
      <c r="B66" s="8" t="inlineStr">
        <is>
          <t xml:space="preserve">                for s in scenes:</t>
        </is>
      </c>
    </row>
    <row r="67">
      <c r="A67" s="9" t="n">
        <v>64</v>
      </c>
      <c r="B67" s="10" t="inlineStr">
        <is>
          <t xml:space="preserve">                    conn.execute("""INSERT INTO video_scenes (video_id, scene_index, start_time, end_time)</t>
        </is>
      </c>
    </row>
    <row r="68">
      <c r="A68" s="7" t="n">
        <v>65</v>
      </c>
      <c r="B68" s="8" t="inlineStr">
        <is>
          <t xml:space="preserve">                        VALUES (?,?,?,?)""", (vid, s["index"], s["start"], s["end"]))</t>
        </is>
      </c>
    </row>
    <row r="69">
      <c r="A69" s="9" t="n">
        <v>66</v>
      </c>
      <c r="B69" s="10" t="inlineStr">
        <is>
          <t xml:space="preserve">                print(f"  Video {vid}: {len(scenes)} scenes")</t>
        </is>
      </c>
    </row>
    <row r="70">
      <c r="A70" s="7" t="n">
        <v>67</v>
      </c>
      <c r="B70" s="8" t="inlineStr">
        <is>
          <t xml:space="preserve">            conn.commit()</t>
        </is>
      </c>
    </row>
    <row r="71">
      <c r="A71" s="9" t="n">
        <v>68</v>
      </c>
      <c r="B71" s="10" t="inlineStr">
        <is>
          <t xml:space="preserve">            cnt = conn.execute("SELECT COUNT(*) FROM video_scenes").fetchone()[0]</t>
        </is>
      </c>
    </row>
    <row r="72">
      <c r="A72" s="7" t="n">
        <v>69</v>
      </c>
      <c r="B72" s="8" t="inlineStr">
        <is>
          <t xml:space="preserve">        print(f"  Total scenes: {cnt}")</t>
        </is>
      </c>
    </row>
    <row r="73">
      <c r="A73" s="9" t="n">
        <v>70</v>
      </c>
      <c r="B73" s="10" t="inlineStr">
        <is>
          <t xml:space="preserve">    except Exception as e:</t>
        </is>
      </c>
    </row>
    <row r="74">
      <c r="A74" s="7" t="n">
        <v>71</v>
      </c>
      <c r="B74" s="8" t="inlineStr">
        <is>
          <t xml:space="preserve">        import traceback</t>
        </is>
      </c>
    </row>
    <row r="75">
      <c r="A75" s="9" t="n">
        <v>72</v>
      </c>
      <c r="B75" s="10" t="inlineStr">
        <is>
          <t xml:space="preserve">        print(f"  Scene detection error: {e}")</t>
        </is>
      </c>
    </row>
    <row r="76">
      <c r="A76" s="7" t="n">
        <v>73</v>
      </c>
      <c r="B76" s="8" t="inlineStr">
        <is>
          <t xml:space="preserve">        traceback.print_exc()</t>
        </is>
      </c>
    </row>
    <row r="77">
      <c r="A77" s="9" t="n">
        <v>74</v>
      </c>
      <c r="B77" s="10" t="inlineStr"/>
    </row>
    <row r="78">
      <c r="A78" s="7" t="n">
        <v>75</v>
      </c>
      <c r="B78" s="8" t="inlineStr">
        <is>
          <t>def step3_batch_score(limit=100):</t>
        </is>
      </c>
    </row>
    <row r="79">
      <c r="A79" s="9" t="n">
        <v>76</v>
      </c>
      <c r="B79" s="10" t="inlineStr">
        <is>
          <t xml:space="preserve">    """Score a batch of materials"""</t>
        </is>
      </c>
    </row>
    <row r="80">
      <c r="A80" s="7" t="n">
        <v>77</v>
      </c>
      <c r="B80" s="8" t="inlineStr">
        <is>
          <t xml:space="preserve">    print(f"[Step 3] Scoring {limit} materials...")</t>
        </is>
      </c>
    </row>
    <row r="81">
      <c r="A81" s="9" t="n">
        <v>78</v>
      </c>
      <c r="B81" s="10" t="inlineStr">
        <is>
          <t xml:space="preserve">    print("  [SKIP] ScoringEngine not available — material_engine_v3.core.scoring_engine removed in v11.1")</t>
        </is>
      </c>
    </row>
    <row r="82">
      <c r="A82" s="7" t="n">
        <v>79</v>
      </c>
      <c r="B82" s="8" t="inlineStr">
        <is>
          <t xml:space="preserve">    print("  Use core.quality_scorer for material quality assessment instead.")</t>
        </is>
      </c>
    </row>
    <row r="83">
      <c r="A83" s="9" t="n">
        <v>80</v>
      </c>
      <c r="B83" s="10" t="inlineStr">
        <is>
          <t xml:space="preserve">    return</t>
        </is>
      </c>
    </row>
    <row r="84">
      <c r="A84" s="7" t="n">
        <v>81</v>
      </c>
      <c r="B84" s="8" t="inlineStr"/>
    </row>
    <row r="85">
      <c r="A85" s="9" t="n">
        <v>82</v>
      </c>
      <c r="B85" s="10" t="inlineStr">
        <is>
          <t>if __name__ == "__main__":</t>
        </is>
      </c>
    </row>
    <row r="86">
      <c r="A86" s="7" t="n">
        <v>83</v>
      </c>
      <c r="B86" s="8" t="inlineStr">
        <is>
          <t xml:space="preserve">    init_db()</t>
        </is>
      </c>
    </row>
    <row r="87">
      <c r="A87" s="9" t="n">
        <v>84</v>
      </c>
      <c r="B87" s="10" t="inlineStr">
        <is>
          <t xml:space="preserve">    step1_populate_embeddings()</t>
        </is>
      </c>
    </row>
    <row r="88">
      <c r="A88" s="7" t="n">
        <v>85</v>
      </c>
      <c r="B88" s="8" t="inlineStr">
        <is>
          <t xml:space="preserve">    step2_sample_scenes(limit=20)</t>
        </is>
      </c>
    </row>
    <row r="89">
      <c r="A89" s="9" t="n">
        <v>86</v>
      </c>
      <c r="B89" s="10" t="inlineStr">
        <is>
          <t xml:space="preserve">    step3_batch_score(limit=100)</t>
        </is>
      </c>
    </row>
    <row r="90">
      <c r="A90" s="7" t="n">
        <v>87</v>
      </c>
      <c r="B90" s="8" t="inlineStr">
        <is>
          <t xml:space="preserve">    # Final stats</t>
        </is>
      </c>
    </row>
    <row r="91">
      <c r="A91" s="9" t="n">
        <v>88</v>
      </c>
      <c r="B91" s="10" t="inlineStr">
        <is>
          <t xml:space="preserve">    with sqlite3.connect(V3_DB_PATH) as conn:</t>
        </is>
      </c>
    </row>
    <row r="92">
      <c r="A92" s="7" t="n">
        <v>89</v>
      </c>
      <c r="B92" s="8" t="inlineStr">
        <is>
          <t xml:space="preserve">        for table in ["video_scenes","video_embeddings","video_scores"]:</t>
        </is>
      </c>
    </row>
    <row r="93">
      <c r="A93" s="9" t="n">
        <v>90</v>
      </c>
      <c r="B93" s="10" t="inlineStr">
        <is>
          <t xml:space="preserve">            cnt = conn.execute(f"SELECT COUNT(*) FROM {table}").fetchone()[0]</t>
        </is>
      </c>
    </row>
    <row r="94">
      <c r="A94" s="7" t="n">
        <v>91</v>
      </c>
      <c r="B94" s="8" t="inlineStr">
        <is>
          <t xml:space="preserve">            print(f"  {table}: {cnt}")</t>
        </is>
      </c>
    </row>
    <row r="95">
      <c r="A95" s="9" t="n">
        <v>92</v>
      </c>
      <c r="B95" s="10" t="inlineStr">
        <is>
          <t xml:space="preserve">    print("\n[DONE] V3.1 batch processing complete")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material_engine_v3\config.py</t>
        </is>
      </c>
      <c r="C1" s="5" t="inlineStr">
        <is>
          <t>行数: 55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AI Content Factory V3.0 - Central Configuration</t>
        </is>
      </c>
    </row>
    <row r="6">
      <c r="A6" s="7" t="n">
        <v>3</v>
      </c>
      <c r="B6" s="8" t="inlineStr">
        <is>
          <t>Target: 100K+ material scale, extensible to 1M+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os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BASE_DIR = Path(__file__).parent.parent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# ===== Paths =====</t>
        </is>
      </c>
    </row>
    <row r="14">
      <c r="A14" s="7" t="n">
        <v>11</v>
      </c>
      <c r="B14" s="8" t="inlineStr">
        <is>
          <t>SCAN_PATHS = [</t>
        </is>
      </c>
    </row>
    <row r="15">
      <c r="A15" s="9" t="n">
        <v>12</v>
      </c>
      <c r="B15" s="10" t="inlineStr">
        <is>
          <t xml:space="preserve">    r"Z:\已处理素材\卖点展示类素材",</t>
        </is>
      </c>
    </row>
    <row r="16">
      <c r="A16" s="7" t="n">
        <v>13</v>
      </c>
      <c r="B16" s="8" t="inlineStr">
        <is>
          <t xml:space="preserve">    r"Z:\已处理素材\效果展示类素材",</t>
        </is>
      </c>
    </row>
    <row r="17">
      <c r="A17" s="9" t="n">
        <v>14</v>
      </c>
      <c r="B17" s="10" t="inlineStr">
        <is>
          <t xml:space="preserve">    r"Z:\B组更新视频",</t>
        </is>
      </c>
    </row>
    <row r="18">
      <c r="A18" s="7" t="n">
        <v>15</v>
      </c>
      <c r="B18" s="8" t="inlineStr">
        <is>
          <t>]</t>
        </is>
      </c>
    </row>
    <row r="19">
      <c r="A19" s="9" t="n">
        <v>16</v>
      </c>
      <c r="B19" s="10" t="inlineStr">
        <is>
          <t>DB_PATH = str(BASE_DIR / "ai_material_library.db")</t>
        </is>
      </c>
    </row>
    <row r="20">
      <c r="A20" s="7" t="n">
        <v>17</v>
      </c>
      <c r="B20" s="8" t="inlineStr">
        <is>
          <t>V3_DB_PATH = str(Path(__file__).parent / "database" / "material_v3.db")</t>
        </is>
      </c>
    </row>
    <row r="21">
      <c r="A21" s="9" t="n">
        <v>18</v>
      </c>
      <c r="B21" s="10" t="inlineStr">
        <is>
          <t>CACHE_DIR = Path(__file__).parent / "cache"</t>
        </is>
      </c>
    </row>
    <row r="22">
      <c r="A22" s="7" t="n">
        <v>19</v>
      </c>
      <c r="B22" s="8" t="inlineStr">
        <is>
          <t>LOG_DIR = Path(__file__).parent / "logs"</t>
        </is>
      </c>
    </row>
    <row r="23">
      <c r="A23" s="9" t="n">
        <v>20</v>
      </c>
      <c r="B23" s="10" t="inlineStr">
        <is>
          <t>MODEL_DIR = Path(__file__).parent / "models"</t>
        </is>
      </c>
    </row>
    <row r="24">
      <c r="A24" s="7" t="n">
        <v>21</v>
      </c>
      <c r="B24" s="8" t="inlineStr">
        <is>
          <t>KB_DIR = Path(__file__).parent / "knowledge"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># ===== Vision Models =====</t>
        </is>
      </c>
    </row>
    <row r="27">
      <c r="A27" s="9" t="n">
        <v>24</v>
      </c>
      <c r="B27" s="10" t="inlineStr">
        <is>
          <t>VISION_MODELS = ["qwen2.5vl:7b"]</t>
        </is>
      </c>
    </row>
    <row r="28">
      <c r="A28" s="7" t="n">
        <v>25</v>
      </c>
      <c r="B28" s="8" t="inlineStr">
        <is>
          <t>VISION_MODEL_PRIMARY = "qwen2.5vl:7b"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># ===== OCR =====</t>
        </is>
      </c>
    </row>
    <row r="31">
      <c r="A31" s="9" t="n">
        <v>28</v>
      </c>
      <c r="B31" s="10" t="inlineStr">
        <is>
          <t>OCR_ENGINE = "paddle"  # paddle | tesseract</t>
        </is>
      </c>
    </row>
    <row r="32">
      <c r="A32" s="7" t="n">
        <v>29</v>
      </c>
      <c r="B32" s="8" t="inlineStr"/>
    </row>
    <row r="33">
      <c r="A33" s="9" t="n">
        <v>30</v>
      </c>
      <c r="B33" s="10" t="inlineStr">
        <is>
          <t># ===== Speech =====</t>
        </is>
      </c>
    </row>
    <row r="34">
      <c r="A34" s="7" t="n">
        <v>31</v>
      </c>
      <c r="B34" s="8" t="inlineStr">
        <is>
          <t>SPEECH_MODEL = "large-v3"</t>
        </is>
      </c>
    </row>
    <row r="35">
      <c r="A35" s="9" t="n">
        <v>32</v>
      </c>
      <c r="B35" s="10" t="inlineStr"/>
    </row>
    <row r="36">
      <c r="A36" s="7" t="n">
        <v>33</v>
      </c>
      <c r="B36" s="8" t="inlineStr">
        <is>
          <t># ===== Embedding =====</t>
        </is>
      </c>
    </row>
    <row r="37">
      <c r="A37" s="9" t="n">
        <v>34</v>
      </c>
      <c r="B37" s="10" t="inlineStr">
        <is>
          <t>EMBEDDING_MODEL = "BAAI/bge-m3"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># ===== Scene Detection =====</t>
        </is>
      </c>
    </row>
    <row r="40">
      <c r="A40" s="7" t="n">
        <v>37</v>
      </c>
      <c r="B40" s="8" t="inlineStr">
        <is>
          <t>SCENE_MIN_LENGTH = 1.0</t>
        </is>
      </c>
    </row>
    <row r="41">
      <c r="A41" s="9" t="n">
        <v>38</v>
      </c>
      <c r="B41" s="10" t="inlineStr">
        <is>
          <t>SCENE_MAX_FRAMES = 3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># ===== Cache (SQLite-based, Redis-ready) =====</t>
        </is>
      </c>
    </row>
    <row r="44">
      <c r="A44" s="7" t="n">
        <v>41</v>
      </c>
      <c r="B44" s="8" t="inlineStr">
        <is>
          <t>CACHE_TTL_HOURS = 168</t>
        </is>
      </c>
    </row>
    <row r="45">
      <c r="A45" s="9" t="n">
        <v>42</v>
      </c>
      <c r="B45" s="10" t="inlineStr">
        <is>
          <t>CACHE_BACKEND = "sqlite"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># ===== Scoring =====</t>
        </is>
      </c>
    </row>
    <row r="48">
      <c r="A48" s="7" t="n">
        <v>45</v>
      </c>
      <c r="B48" s="8" t="inlineStr">
        <is>
          <t>SCORE_WEIGHTS = {</t>
        </is>
      </c>
    </row>
    <row r="49">
      <c r="A49" s="9" t="n">
        <v>46</v>
      </c>
      <c r="B49" s="10" t="inlineStr">
        <is>
          <t xml:space="preserve">    "clarity": 0.25,</t>
        </is>
      </c>
    </row>
    <row r="50">
      <c r="A50" s="7" t="n">
        <v>47</v>
      </c>
      <c r="B50" s="8" t="inlineStr">
        <is>
          <t xml:space="preserve">    "stability": 0.15,</t>
        </is>
      </c>
    </row>
    <row r="51">
      <c r="A51" s="9" t="n">
        <v>48</v>
      </c>
      <c r="B51" s="10" t="inlineStr">
        <is>
          <t xml:space="preserve">    "composition": 0.20,</t>
        </is>
      </c>
    </row>
    <row r="52">
      <c r="A52" s="7" t="n">
        <v>49</v>
      </c>
      <c r="B52" s="8" t="inlineStr">
        <is>
          <t xml:space="preserve">    "marketing_value": 0.25,</t>
        </is>
      </c>
    </row>
    <row r="53">
      <c r="A53" s="9" t="n">
        <v>50</v>
      </c>
      <c r="B53" s="10" t="inlineStr">
        <is>
          <t xml:space="preserve">    "industry_relevance": 0.15,</t>
        </is>
      </c>
    </row>
    <row r="54">
      <c r="A54" s="7" t="n">
        <v>51</v>
      </c>
      <c r="B54" s="8" t="inlineStr">
        <is>
          <t>}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># ===== Task Queue =====</t>
        </is>
      </c>
    </row>
    <row r="57">
      <c r="A57" s="9" t="n">
        <v>54</v>
      </c>
      <c r="B57" s="10" t="inlineStr">
        <is>
          <t>MAX_RETRIES = 3</t>
        </is>
      </c>
    </row>
    <row r="58">
      <c r="A58" s="7" t="n">
        <v>55</v>
      </c>
      <c r="B58" s="8" t="inlineStr">
        <is>
          <t>CHECKPOINT_INTERVAL = 10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material_engine_v3\core\smart_matcher.py</t>
        </is>
      </c>
      <c r="C1" s="5" t="inlineStr">
        <is>
          <t>行数: 256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 xml:space="preserve"> """</t>
        </is>
      </c>
    </row>
    <row r="5">
      <c r="A5" s="9" t="n">
        <v>2</v>
      </c>
      <c r="B5" s="10" t="inlineStr">
        <is>
          <t>V3.5 智能匹配引擎 — 向量检索 + 知识库规则降级</t>
        </is>
      </c>
    </row>
    <row r="6">
      <c r="A6" s="7" t="n">
        <v>3</v>
      </c>
      <c r="B6" s="8" t="inlineStr">
        <is>
          <t>替换原有的 search_by_text, 支持配置开关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sqlite3, json, os, time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from typing import List, Dict, Optional, Tuple</t>
        </is>
      </c>
    </row>
    <row r="11">
      <c r="A11" s="9" t="n">
        <v>8</v>
      </c>
      <c r="B11" s="10" t="inlineStr">
        <is>
          <t>from collections import defaultdict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DB_PATH = str(Path(__file__).parent.parent / "database" / "material_v3.db")</t>
        </is>
      </c>
    </row>
    <row r="14">
      <c r="A14" s="7" t="n">
        <v>11</v>
      </c>
      <c r="B14" s="8" t="inlineStr">
        <is>
          <t>USE_VECTOR_SEARCH = os.environ.get("TREECUT_USE_VECTOR_SEARCH", "True").lower() == "true"</t>
        </is>
      </c>
    </row>
    <row r="15">
      <c r="A15" s="9" t="n">
        <v>12</v>
      </c>
      <c r="B15" s="10" t="inlineStr">
        <is>
          <t>USE_KNOWLEDGE_FALLBACK = True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class SmartMatcher:</t>
        </is>
      </c>
    </row>
    <row r="19">
      <c r="A19" s="9" t="n">
        <v>16</v>
      </c>
      <c r="B19" s="10" t="inlineStr">
        <is>
          <t xml:space="preserve">    """智能匹配 — 向量优先, 知识库降级"""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 xml:space="preserve">    def __init__(self):</t>
        </is>
      </c>
    </row>
    <row r="22">
      <c r="A22" s="7" t="n">
        <v>19</v>
      </c>
      <c r="B22" s="8" t="inlineStr">
        <is>
          <t xml:space="preserve">        self._kb = None</t>
        </is>
      </c>
    </row>
    <row r="23">
      <c r="A23" s="9" t="n">
        <v>20</v>
      </c>
      <c r="B23" s="10" t="inlineStr">
        <is>
          <t xml:space="preserve">        self._faiss_index = None</t>
        </is>
      </c>
    </row>
    <row r="24">
      <c r="A24" s="7" t="n">
        <v>21</v>
      </c>
      <c r="B24" s="8" t="inlineStr">
        <is>
          <t xml:space="preserve">        self._id_map = []</t>
        </is>
      </c>
    </row>
    <row r="25">
      <c r="A25" s="9" t="n">
        <v>22</v>
      </c>
      <c r="B25" s="10" t="inlineStr">
        <is>
          <t xml:space="preserve">        self._loaded = False</t>
        </is>
      </c>
    </row>
    <row r="26">
      <c r="A26" s="7" t="n">
        <v>23</v>
      </c>
      <c r="B26" s="8" t="inlineStr">
        <is>
          <t xml:space="preserve">        self._st_model = None  # 缓存的SentenceTransformer实例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 xml:space="preserve">    def _lazy_load(self):</t>
        </is>
      </c>
    </row>
    <row r="29">
      <c r="A29" s="9" t="n">
        <v>26</v>
      </c>
      <c r="B29" s="10" t="inlineStr">
        <is>
          <t xml:space="preserve">        if self._loaded: return</t>
        </is>
      </c>
    </row>
    <row r="30">
      <c r="A30" s="7" t="n">
        <v>27</v>
      </c>
      <c r="B30" s="8" t="inlineStr">
        <is>
          <t xml:space="preserve">        # Try loading FAISS — use temp ASCII dir if Chinese path fails</t>
        </is>
      </c>
    </row>
    <row r="31">
      <c r="A31" s="9" t="n">
        <v>28</v>
      </c>
      <c r="B31" s="10" t="inlineStr">
        <is>
          <t xml:space="preserve">        faiss_path = Path(__file__).parent.parent.parent / "shipin" / "material_faiss.index"</t>
        </is>
      </c>
    </row>
    <row r="32">
      <c r="A32" s="7" t="n">
        <v>29</v>
      </c>
      <c r="B32" s="8" t="inlineStr">
        <is>
          <t xml:space="preserve">        idmap_path = Path(__file__).parent.parent.parent / "shipin" / "material_faiss_idmap.json"</t>
        </is>
      </c>
    </row>
    <row r="33">
      <c r="A33" s="9" t="n">
        <v>30</v>
      </c>
      <c r="B33" s="10" t="inlineStr">
        <is>
          <t xml:space="preserve">        if USE_VECTOR_SEARCH and faiss_path.exists() and idmap_path.exists():</t>
        </is>
      </c>
    </row>
    <row r="34">
      <c r="A34" s="7" t="n">
        <v>31</v>
      </c>
      <c r="B34" s="8" t="inlineStr">
        <is>
          <t xml:space="preserve">            try:</t>
        </is>
      </c>
    </row>
    <row r="35">
      <c r="A35" s="9" t="n">
        <v>32</v>
      </c>
      <c r="B35" s="10" t="inlineStr">
        <is>
          <t xml:space="preserve">                import faiss</t>
        </is>
      </c>
    </row>
    <row r="36">
      <c r="A36" s="7" t="n">
        <v>33</v>
      </c>
      <c r="B36" s="8" t="inlineStr">
        <is>
          <t xml:space="preserve">                import tempfile</t>
        </is>
      </c>
    </row>
    <row r="37">
      <c r="A37" s="9" t="n">
        <v>34</v>
      </c>
      <c r="B37" s="10" t="inlineStr">
        <is>
          <t xml:space="preserve">                import shutil</t>
        </is>
      </c>
    </row>
    <row r="38">
      <c r="A38" s="7" t="n">
        <v>35</v>
      </c>
      <c r="B38" s="8" t="inlineStr">
        <is>
          <t xml:space="preserve">                _tmp = tempfile.mkdtemp(prefix="faiss_sm_")</t>
        </is>
      </c>
    </row>
    <row r="39">
      <c r="A39" s="9" t="n">
        <v>36</v>
      </c>
      <c r="B39" s="10" t="inlineStr">
        <is>
          <t xml:space="preserve">                try:</t>
        </is>
      </c>
    </row>
    <row r="40">
      <c r="A40" s="7" t="n">
        <v>37</v>
      </c>
      <c r="B40" s="8" t="inlineStr">
        <is>
          <t xml:space="preserve">                    _tmp_idx = os.path.join(_tmp, "material_faiss.index")</t>
        </is>
      </c>
    </row>
    <row r="41">
      <c r="A41" s="9" t="n">
        <v>38</v>
      </c>
      <c r="B41" s="10" t="inlineStr">
        <is>
          <t xml:space="preserve">                    _tmp_map = os.path.join(_tmp, "material_faiss_idmap.json")</t>
        </is>
      </c>
    </row>
    <row r="42">
      <c r="A42" s="7" t="n">
        <v>39</v>
      </c>
      <c r="B42" s="8" t="inlineStr">
        <is>
          <t xml:space="preserve">                    shutil.copy2(str(faiss_path), _tmp_idx)</t>
        </is>
      </c>
    </row>
    <row r="43">
      <c r="A43" s="9" t="n">
        <v>40</v>
      </c>
      <c r="B43" s="10" t="inlineStr">
        <is>
          <t xml:space="preserve">                    shutil.copy2(str(idmap_path), _tmp_map)</t>
        </is>
      </c>
    </row>
    <row r="44">
      <c r="A44" s="7" t="n">
        <v>41</v>
      </c>
      <c r="B44" s="8" t="inlineStr">
        <is>
          <t xml:space="preserve">                    self._faiss_index = faiss.read_index(_tmp_idx)</t>
        </is>
      </c>
    </row>
    <row r="45">
      <c r="A45" s="9" t="n">
        <v>42</v>
      </c>
      <c r="B45" s="10" t="inlineStr">
        <is>
          <t xml:space="preserve">                    with open(_tmp_map, encoding="utf-8") as _fm: self._id_map = json.load(_fm)</t>
        </is>
      </c>
    </row>
    <row r="46">
      <c r="A46" s="7" t="n">
        <v>43</v>
      </c>
      <c r="B46" s="8" t="inlineStr">
        <is>
          <t xml:space="preserve">                finally:</t>
        </is>
      </c>
    </row>
    <row r="47">
      <c r="A47" s="9" t="n">
        <v>44</v>
      </c>
      <c r="B47" s="10" t="inlineStr">
        <is>
          <t xml:space="preserve">                    shutil.rmtree(_tmp, ignore_errors=True)</t>
        </is>
      </c>
    </row>
    <row r="48">
      <c r="A48" s="7" t="n">
        <v>45</v>
      </c>
      <c r="B48" s="8" t="inlineStr">
        <is>
          <t xml:space="preserve">            except Exception as e:</t>
        </is>
      </c>
    </row>
    <row r="49">
      <c r="A49" s="9" t="n">
        <v>46</v>
      </c>
      <c r="B49" s="10" t="inlineStr">
        <is>
          <t xml:space="preserve">                print(f"   [WARN] FAISS load failed (non-critical): {e}")</t>
        </is>
      </c>
    </row>
    <row r="50">
      <c r="A50" s="7" t="n">
        <v>47</v>
      </c>
      <c r="B50" s="8" t="inlineStr">
        <is>
          <t xml:space="preserve">        # Load knowledge bridge</t>
        </is>
      </c>
    </row>
    <row r="51">
      <c r="A51" s="9" t="n">
        <v>48</v>
      </c>
      <c r="B51" s="10" t="inlineStr">
        <is>
          <t xml:space="preserve">        try:</t>
        </is>
      </c>
    </row>
    <row r="52">
      <c r="A52" s="7" t="n">
        <v>49</v>
      </c>
      <c r="B52" s="8" t="inlineStr">
        <is>
          <t xml:space="preserve">            from utils.knowledge import KnowledgeBridge</t>
        </is>
      </c>
    </row>
    <row r="53">
      <c r="A53" s="9" t="n">
        <v>50</v>
      </c>
      <c r="B53" s="10" t="inlineStr">
        <is>
          <t xml:space="preserve">            self._kb = KnowledgeBridge()</t>
        </is>
      </c>
    </row>
    <row r="54">
      <c r="A54" s="7" t="n">
        <v>51</v>
      </c>
      <c r="B54" s="8" t="inlineStr">
        <is>
          <t xml:space="preserve">        except Exception as e:</t>
        </is>
      </c>
    </row>
    <row r="55">
      <c r="A55" s="9" t="n">
        <v>52</v>
      </c>
      <c r="B55" s="10" t="inlineStr">
        <is>
          <t xml:space="preserve">            print(f"   [WARN] KnowledgeBridge load failed (non-critical): {e}")</t>
        </is>
      </c>
    </row>
    <row r="56">
      <c r="A56" s="7" t="n">
        <v>53</v>
      </c>
      <c r="B56" s="8" t="inlineStr">
        <is>
          <t xml:space="preserve">        self._loaded = True  # Mark loaded even on partial failure — layers will degrade gracefully</t>
        </is>
      </c>
    </row>
    <row r="57">
      <c r="A57" s="9" t="n">
        <v>54</v>
      </c>
      <c r="B57" s="10" t="inlineStr"/>
    </row>
    <row r="58">
      <c r="A58" s="7" t="n">
        <v>55</v>
      </c>
      <c r="B58" s="8" t="inlineStr">
        <is>
          <t xml:space="preserve">    def search(self, query: str, top_k: int = 10) -&gt; List[Dict]:</t>
        </is>
      </c>
    </row>
    <row r="59">
      <c r="A59" s="9" t="n">
        <v>56</v>
      </c>
      <c r="B59" s="10" t="inlineStr">
        <is>
          <t xml:space="preserve">        """智能搜索 — Layer1:向量 / Layer2:知识库 / Layer3:SQL关键词"""</t>
        </is>
      </c>
    </row>
    <row r="60">
      <c r="A60" s="7" t="n">
        <v>57</v>
      </c>
      <c r="B60" s="8" t="inlineStr">
        <is>
          <t xml:space="preserve">        self._lazy_load()</t>
        </is>
      </c>
    </row>
    <row r="61">
      <c r="A61" s="9" t="n">
        <v>58</v>
      </c>
      <c r="B61" s="10" t="inlineStr"/>
    </row>
    <row r="62">
      <c r="A62" s="7" t="n">
        <v>59</v>
      </c>
      <c r="B62" s="8" t="inlineStr">
        <is>
          <t xml:space="preserve">        # Use main materials DB for all searches</t>
        </is>
      </c>
    </row>
    <row r="63">
      <c r="A63" s="9" t="n">
        <v>60</v>
      </c>
      <c r="B63" s="10" t="inlineStr">
        <is>
          <t xml:space="preserve">        main_db = str(Path(__file__).parent.parent.parent / "ai_material_library.db")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>
        <is>
          <t xml:space="preserve">        # Layer 1: FAISS 向量检索</t>
        </is>
      </c>
    </row>
    <row r="66">
      <c r="A66" s="7" t="n">
        <v>63</v>
      </c>
      <c r="B66" s="8" t="inlineStr">
        <is>
          <t xml:space="preserve">        if self._faiss_index and self._id_map:</t>
        </is>
      </c>
    </row>
    <row r="67">
      <c r="A67" s="9" t="n">
        <v>64</v>
      </c>
      <c r="B67" s="10" t="inlineStr">
        <is>
          <t xml:space="preserve">            try:</t>
        </is>
      </c>
    </row>
    <row r="68">
      <c r="A68" s="7" t="n">
        <v>65</v>
      </c>
      <c r="B68" s="8" t="inlineStr">
        <is>
          <t xml:space="preserve">                import numpy as np</t>
        </is>
      </c>
    </row>
    <row r="69">
      <c r="A69" s="9" t="n">
        <v>66</v>
      </c>
      <c r="B69" s="10" t="inlineStr">
        <is>
          <t xml:space="preserve">                if self._st_model is None:</t>
        </is>
      </c>
    </row>
    <row r="70">
      <c r="A70" s="7" t="n">
        <v>67</v>
      </c>
      <c r="B70" s="8" t="inlineStr">
        <is>
          <t xml:space="preserve">                    from sentence_transformers import SentenceTransformer</t>
        </is>
      </c>
    </row>
    <row r="71">
      <c r="A71" s="9" t="n">
        <v>68</v>
      </c>
      <c r="B71" s="10" t="inlineStr">
        <is>
          <t xml:space="preserve">                    self._st_model = SentenceTransformer("BAAI/bge-m3")</t>
        </is>
      </c>
    </row>
    <row r="72">
      <c r="A72" s="7" t="n">
        <v>69</v>
      </c>
      <c r="B72" s="8" t="inlineStr">
        <is>
          <t xml:space="preserve">                vec = np.array(self._st_model.encode([query]), dtype=np.float32)</t>
        </is>
      </c>
    </row>
    <row r="73">
      <c r="A73" s="9" t="n">
        <v>70</v>
      </c>
      <c r="B73" s="10" t="inlineStr">
        <is>
          <t xml:space="preserve">                # Handle BGE-M3 dimension change: 768 (old) vs 1024 (new)</t>
        </is>
      </c>
    </row>
    <row r="74">
      <c r="A74" s="7" t="n">
        <v>71</v>
      </c>
      <c r="B74" s="8" t="inlineStr">
        <is>
          <t xml:space="preserve">                faiss_dim = self._faiss_index.d</t>
        </is>
      </c>
    </row>
    <row r="75">
      <c r="A75" s="9" t="n">
        <v>72</v>
      </c>
      <c r="B75" s="10" t="inlineStr">
        <is>
          <t xml:space="preserve">                if vec.shape[1] != faiss_dim:</t>
        </is>
      </c>
    </row>
    <row r="76">
      <c r="A76" s="7" t="n">
        <v>73</v>
      </c>
      <c r="B76" s="8" t="inlineStr">
        <is>
          <t xml:space="preserve">                    # Truncate to match FAISS dimension (first N dims of BGE-M3 are most significant)</t>
        </is>
      </c>
    </row>
    <row r="77">
      <c r="A77" s="9" t="n">
        <v>74</v>
      </c>
      <c r="B77" s="10" t="inlineStr">
        <is>
          <t xml:space="preserve">                    vec = vec[:, :faiss_dim]</t>
        </is>
      </c>
    </row>
    <row r="78">
      <c r="A78" s="7" t="n">
        <v>75</v>
      </c>
      <c r="B78" s="8" t="inlineStr">
        <is>
          <t xml:space="preserve">                dists, indices = self._faiss_index.search(vec, min(top_k * 2, len(self._id_map)))</t>
        </is>
      </c>
    </row>
    <row r="79">
      <c r="A79" s="9" t="n">
        <v>76</v>
      </c>
      <c r="B79" s="10" t="inlineStr">
        <is>
          <t xml:space="preserve">                results = []</t>
        </is>
      </c>
    </row>
    <row r="80">
      <c r="A80" s="7" t="n">
        <v>77</v>
      </c>
      <c r="B80" s="8" t="inlineStr">
        <is>
          <t xml:space="preserve">                with sqlite3.connect(main_db) as conn:</t>
        </is>
      </c>
    </row>
    <row r="81">
      <c r="A81" s="9" t="n">
        <v>78</v>
      </c>
      <c r="B81" s="10" t="inlineStr">
        <is>
          <t xml:space="preserve">                    for i, d in zip(indices[0], dists[0]):</t>
        </is>
      </c>
    </row>
    <row r="82">
      <c r="A82" s="7" t="n">
        <v>79</v>
      </c>
      <c r="B82" s="8" t="inlineStr">
        <is>
          <t xml:space="preserve">                        if 0 &lt;= i &lt; len(self._id_map):</t>
        </is>
      </c>
    </row>
    <row r="83">
      <c r="A83" s="9" t="n">
        <v>80</v>
      </c>
      <c r="B83" s="10" t="inlineStr">
        <is>
          <t xml:space="preserve">                            row = conn.execute(</t>
        </is>
      </c>
    </row>
    <row r="84">
      <c r="A84" s="7" t="n">
        <v>81</v>
      </c>
      <c r="B84" s="8" t="inlineStr">
        <is>
          <t xml:space="preserve">                                "SELECT video_path, start_time, end_time, tags, objects, style, color, material, blocked, has_human FROM materials WHERE id=?",</t>
        </is>
      </c>
    </row>
    <row r="85">
      <c r="A85" s="9" t="n">
        <v>82</v>
      </c>
      <c r="B85" s="10" t="inlineStr">
        <is>
          <t xml:space="preserve">                                (self._id_map[i],)</t>
        </is>
      </c>
    </row>
    <row r="86">
      <c r="A86" s="7" t="n">
        <v>83</v>
      </c>
      <c r="B86" s="8" t="inlineStr">
        <is>
          <t xml:space="preserve">                            ).fetchone()</t>
        </is>
      </c>
    </row>
    <row r="87">
      <c r="A87" s="9" t="n">
        <v>84</v>
      </c>
      <c r="B87" s="10" t="inlineStr">
        <is>
          <t xml:space="preserve">                            if row:</t>
        </is>
      </c>
    </row>
    <row r="88">
      <c r="A88" s="7" t="n">
        <v>85</v>
      </c>
      <c r="B88" s="8" t="inlineStr">
        <is>
          <t xml:space="preserve">                                # Skip blocked materials (v11.2 feedback learning)</t>
        </is>
      </c>
    </row>
    <row r="89">
      <c r="A89" s="9" t="n">
        <v>86</v>
      </c>
      <c r="B89" s="10" t="inlineStr">
        <is>
          <t xml:space="preserve">                                if len(row) &gt; 9 and (row[8] == 1 or row[9] == 1):</t>
        </is>
      </c>
    </row>
    <row r="90">
      <c r="A90" s="7" t="n">
        <v>87</v>
      </c>
      <c r="B90" s="8" t="inlineStr">
        <is>
          <t xml:space="preserve">                                    continue  # blocked=1 or has_human=1</t>
        </is>
      </c>
    </row>
    <row r="91">
      <c r="A91" s="9" t="n">
        <v>88</v>
      </c>
      <c r="B91" s="10" t="inlineStr">
        <is>
          <t xml:space="preserve">                                results.append(dict(zip(["video_path","start_time","end_time","tags","objects","style","color","material"], row)))</t>
        </is>
      </c>
    </row>
    <row r="92">
      <c r="A92" s="7" t="n">
        <v>89</v>
      </c>
      <c r="B92" s="8" t="inlineStr">
        <is>
          <t xml:space="preserve">                                results[-1]["score"] = round(1.0/(1.0+float(d)), 3)</t>
        </is>
      </c>
    </row>
    <row r="93">
      <c r="A93" s="9" t="n">
        <v>90</v>
      </c>
      <c r="B93" s="10" t="inlineStr">
        <is>
          <t xml:space="preserve">                                results[-1]["match_method"] = "FAISS向量"</t>
        </is>
      </c>
    </row>
    <row r="94">
      <c r="A94" s="7" t="n">
        <v>91</v>
      </c>
      <c r="B94" s="8" t="inlineStr">
        <is>
          <t xml:space="preserve">                # v11.2: Adjust by feedback score</t>
        </is>
      </c>
    </row>
    <row r="95">
      <c r="A95" s="9" t="n">
        <v>92</v>
      </c>
      <c r="B95" s="10" t="inlineStr">
        <is>
          <t xml:space="preserve">                results = self._adjust_by_feedback(results)</t>
        </is>
      </c>
    </row>
    <row r="96">
      <c r="A96" s="7" t="n">
        <v>93</v>
      </c>
      <c r="B96" s="8" t="inlineStr">
        <is>
          <t xml:space="preserve">                if results: return results[:top_k]</t>
        </is>
      </c>
    </row>
    <row r="97">
      <c r="A97" s="9" t="n">
        <v>94</v>
      </c>
      <c r="B97" s="10" t="inlineStr">
        <is>
          <t xml:space="preserve">            except Exception as e:</t>
        </is>
      </c>
    </row>
    <row r="98">
      <c r="A98" s="7" t="n">
        <v>95</v>
      </c>
      <c r="B98" s="8" t="inlineStr">
        <is>
          <t xml:space="preserve">                print(f"   !! FAISS检索失败: {e}")</t>
        </is>
      </c>
    </row>
    <row r="99">
      <c r="A99" s="9" t="n">
        <v>96</v>
      </c>
      <c r="B99" s="10" t="inlineStr"/>
    </row>
    <row r="100">
      <c r="A100" s="7" t="n">
        <v>97</v>
      </c>
      <c r="B100" s="8" t="inlineStr">
        <is>
          <t xml:space="preserve">        # Layer 2: 知识库规则匹配</t>
        </is>
      </c>
    </row>
    <row r="101">
      <c r="A101" s="9" t="n">
        <v>98</v>
      </c>
      <c r="B101" s="10" t="inlineStr">
        <is>
          <t xml:space="preserve">        if USE_KNOWLEDGE_FALLBACK and self._kb:</t>
        </is>
      </c>
    </row>
    <row r="102">
      <c r="A102" s="7" t="n">
        <v>99</v>
      </c>
      <c r="B102" s="8" t="inlineStr">
        <is>
          <t xml:space="preserve">            try:</t>
        </is>
      </c>
    </row>
    <row r="103">
      <c r="A103" s="9" t="n">
        <v>100</v>
      </c>
      <c r="B103" s="10" t="inlineStr">
        <is>
          <t xml:space="preserve">                kws = self._kb.extract_copy_keywords(query)</t>
        </is>
      </c>
    </row>
    <row r="104">
      <c r="A104" s="7" t="n">
        <v>101</v>
      </c>
      <c r="B104" s="8" t="inlineStr">
        <is>
          <t xml:space="preserve">                kw_list = []</t>
        </is>
      </c>
    </row>
    <row r="105">
      <c r="A105" s="9" t="n">
        <v>102</v>
      </c>
      <c r="B105" s="10" t="inlineStr">
        <is>
          <t xml:space="preserve">                for items in kws.values(): kw_list.extend(items)</t>
        </is>
      </c>
    </row>
    <row r="106">
      <c r="A106" s="7" t="n">
        <v>103</v>
      </c>
      <c r="B106" s="8" t="inlineStr">
        <is>
          <t xml:space="preserve">                if kw_list:</t>
        </is>
      </c>
    </row>
    <row r="107">
      <c r="A107" s="9" t="n">
        <v>104</v>
      </c>
      <c r="B107" s="10" t="inlineStr">
        <is>
          <t xml:space="preserve">                    kw_str = "%".join(kw_list[:10])</t>
        </is>
      </c>
    </row>
    <row r="108">
      <c r="A108" s="7" t="n">
        <v>105</v>
      </c>
      <c r="B108" s="8" t="inlineStr">
        <is>
          <t xml:space="preserve">                    with sqlite3.connect(main_db) as conn:</t>
        </is>
      </c>
    </row>
    <row r="109">
      <c r="A109" s="9" t="n">
        <v>106</v>
      </c>
      <c r="B109" s="10" t="inlineStr">
        <is>
          <t xml:space="preserve">                        rows = conn.execute(</t>
        </is>
      </c>
    </row>
    <row r="110">
      <c r="A110" s="7" t="n">
        <v>107</v>
      </c>
      <c r="B110" s="8" t="inlineStr">
        <is>
          <t xml:space="preserve">                            "SELECT video_path, start_time, end_time, tags, objects, style, color, material FROM materials WHERE blocked=0 AND has_human=0 AND (tags LIKE ? OR objects LIKE ?) LIMIT ?",</t>
        </is>
      </c>
    </row>
    <row r="111">
      <c r="A111" s="9" t="n">
        <v>108</v>
      </c>
      <c r="B111" s="10" t="inlineStr">
        <is>
          <t xml:space="preserve">                            (f"%{kw_str}%", f"%{kw_str}%", top_k)</t>
        </is>
      </c>
    </row>
    <row r="112">
      <c r="A112" s="7" t="n">
        <v>109</v>
      </c>
      <c r="B112" s="8" t="inlineStr">
        <is>
          <t xml:space="preserve">                        ).fetchall()</t>
        </is>
      </c>
    </row>
    <row r="113">
      <c r="A113" s="9" t="n">
        <v>110</v>
      </c>
      <c r="B113" s="10" t="inlineStr">
        <is>
          <t xml:space="preserve">                    results = [dict(zip(["video_path","start_time","end_time","tags","objects","style","color","material"], r), score=0.7, match_method="知识库规则") for r in rows]</t>
        </is>
      </c>
    </row>
    <row r="114">
      <c r="A114" s="7" t="n">
        <v>111</v>
      </c>
      <c r="B114" s="8" t="inlineStr">
        <is>
          <t xml:space="preserve">                    results = self._adjust_by_feedback(results)</t>
        </is>
      </c>
    </row>
    <row r="115">
      <c r="A115" s="9" t="n">
        <v>112</v>
      </c>
      <c r="B115" s="10" t="inlineStr">
        <is>
          <t xml:space="preserve">                    if results: return results</t>
        </is>
      </c>
    </row>
    <row r="116">
      <c r="A116" s="7" t="n">
        <v>113</v>
      </c>
      <c r="B116" s="8" t="inlineStr">
        <is>
          <t xml:space="preserve">            except Exception as e:</t>
        </is>
      </c>
    </row>
    <row r="117">
      <c r="A117" s="9" t="n">
        <v>114</v>
      </c>
      <c r="B117" s="10" t="inlineStr">
        <is>
          <t xml:space="preserve">                print(f"   [WARN] Knowledge layer search failed: {e}")</t>
        </is>
      </c>
    </row>
    <row r="118">
      <c r="A118" s="7" t="n">
        <v>115</v>
      </c>
      <c r="B118" s="8" t="inlineStr"/>
    </row>
    <row r="119">
      <c r="A119" s="9" t="n">
        <v>116</v>
      </c>
      <c r="B119" s="10" t="inlineStr">
        <is>
          <t xml:space="preserve">        # Layer 3: SQL关键词降级</t>
        </is>
      </c>
    </row>
    <row r="120">
      <c r="A120" s="7" t="n">
        <v>117</v>
      </c>
      <c r="B120" s="8" t="inlineStr">
        <is>
          <t xml:space="preserve">        kw = query.replace(" ", "%")</t>
        </is>
      </c>
    </row>
    <row r="121">
      <c r="A121" s="9" t="n">
        <v>118</v>
      </c>
      <c r="B121" s="10" t="inlineStr">
        <is>
          <t xml:space="preserve">        with sqlite3.connect(main_db) as conn:</t>
        </is>
      </c>
    </row>
    <row r="122">
      <c r="A122" s="7" t="n">
        <v>119</v>
      </c>
      <c r="B122" s="8" t="inlineStr">
        <is>
          <t xml:space="preserve">            rows = conn.execute(</t>
        </is>
      </c>
    </row>
    <row r="123">
      <c r="A123" s="9" t="n">
        <v>120</v>
      </c>
      <c r="B123" s="10" t="inlineStr">
        <is>
          <t xml:space="preserve">                "SELECT video_path, start_time, end_time, tags, objects, style, color, material FROM materials WHERE blocked=0 AND has_human=0 AND (tags LIKE ? OR objects LIKE ?) LIMIT ?",</t>
        </is>
      </c>
    </row>
    <row r="124">
      <c r="A124" s="7" t="n">
        <v>121</v>
      </c>
      <c r="B124" s="8" t="inlineStr">
        <is>
          <t xml:space="preserve">                (f"%{kw}%", f"%{kw}%", top_k)</t>
        </is>
      </c>
    </row>
    <row r="125">
      <c r="A125" s="9" t="n">
        <v>122</v>
      </c>
      <c r="B125" s="10" t="inlineStr">
        <is>
          <t xml:space="preserve">            ).fetchall()</t>
        </is>
      </c>
    </row>
    <row r="126">
      <c r="A126" s="7" t="n">
        <v>123</v>
      </c>
      <c r="B126" s="8" t="inlineStr">
        <is>
          <t xml:space="preserve">        results = [dict(zip(["video_path","start_time","end_time","tags","objects","style","color","material"], r), score=0.5, match_method="SQL关键词") for r in rows]</t>
        </is>
      </c>
    </row>
    <row r="127">
      <c r="A127" s="9" t="n">
        <v>124</v>
      </c>
      <c r="B127" s="10" t="inlineStr">
        <is>
          <t xml:space="preserve">        results = self._adjust_by_feedback(results)</t>
        </is>
      </c>
    </row>
    <row r="128">
      <c r="A128" s="7" t="n">
        <v>125</v>
      </c>
      <c r="B128" s="8" t="inlineStr">
        <is>
          <t xml:space="preserve">        return results</t>
        </is>
      </c>
    </row>
    <row r="129">
      <c r="A129" s="9" t="n">
        <v>126</v>
      </c>
      <c r="B129" s="10" t="inlineStr"/>
    </row>
    <row r="130">
      <c r="A130" s="7" t="n">
        <v>127</v>
      </c>
      <c r="B130" s="8" t="inlineStr">
        <is>
          <t xml:space="preserve">    def _adjust_by_feedback(self, results: List[Dict]) -&gt; List[Dict]:</t>
        </is>
      </c>
    </row>
    <row r="131">
      <c r="A131" s="9" t="n">
        <v>128</v>
      </c>
      <c r="B131" s="10" t="inlineStr">
        <is>
          <t xml:space="preserve">        """v11.2: 根据用户反馈动态调整素材得分。</t>
        </is>
      </c>
    </row>
    <row r="132">
      <c r="A132" s="7" t="n">
        <v>129</v>
      </c>
      <c r="B132" s="8" t="inlineStr">
        <is>
          <t xml:space="preserve">        公式: new_score = min(1.0, original_score * (0.7 + avg_rating/10.0))</t>
        </is>
      </c>
    </row>
    <row r="133">
      <c r="A133" s="9" t="n">
        <v>130</v>
      </c>
      <c r="B133" s="10" t="inlineStr">
        <is>
          <t xml:space="preserve">        """</t>
        </is>
      </c>
    </row>
    <row r="134">
      <c r="A134" s="7" t="n">
        <v>131</v>
      </c>
      <c r="B134" s="8" t="inlineStr">
        <is>
          <t xml:space="preserve">        if not results:</t>
        </is>
      </c>
    </row>
    <row r="135">
      <c r="A135" s="9" t="n">
        <v>132</v>
      </c>
      <c r="B135" s="10" t="inlineStr">
        <is>
          <t xml:space="preserve">            return results</t>
        </is>
      </c>
    </row>
    <row r="136">
      <c r="A136" s="7" t="n">
        <v>133</v>
      </c>
      <c r="B136" s="8" t="inlineStr">
        <is>
          <t xml:space="preserve">        try:</t>
        </is>
      </c>
    </row>
    <row r="137">
      <c r="A137" s="9" t="n">
        <v>134</v>
      </c>
      <c r="B137" s="10" t="inlineStr">
        <is>
          <t xml:space="preserve">            main_db = str(Path(__file__).parent.parent.parent / "ai_material_library.db")</t>
        </is>
      </c>
    </row>
    <row r="138">
      <c r="A138" s="7" t="n">
        <v>135</v>
      </c>
      <c r="B138" s="8" t="inlineStr">
        <is>
          <t xml:space="preserve">            with sqlite3.connect(main_db) as conn:</t>
        </is>
      </c>
    </row>
    <row r="139">
      <c r="A139" s="9" t="n">
        <v>136</v>
      </c>
      <c r="B139" s="10" t="inlineStr">
        <is>
          <t xml:space="preserve">                for r in results:</t>
        </is>
      </c>
    </row>
    <row r="140">
      <c r="A140" s="7" t="n">
        <v>137</v>
      </c>
      <c r="B140" s="8" t="inlineStr">
        <is>
          <t xml:space="preserve">                    path = r.get("video_path", "")</t>
        </is>
      </c>
    </row>
    <row r="141">
      <c r="A141" s="9" t="n">
        <v>138</v>
      </c>
      <c r="B141" s="10" t="inlineStr">
        <is>
          <t xml:space="preserve">                    if not path:</t>
        </is>
      </c>
    </row>
    <row r="142">
      <c r="A142" s="7" t="n">
        <v>139</v>
      </c>
      <c r="B142" s="8" t="inlineStr">
        <is>
          <t xml:space="preserve">                        continue</t>
        </is>
      </c>
    </row>
    <row r="143">
      <c r="A143" s="9" t="n">
        <v>140</v>
      </c>
      <c r="B143" s="10" t="inlineStr">
        <is>
          <t xml:space="preserve">                    row = conn.execute(</t>
        </is>
      </c>
    </row>
    <row r="144">
      <c r="A144" s="7" t="n">
        <v>141</v>
      </c>
      <c r="B144" s="8" t="inlineStr">
        <is>
          <t xml:space="preserve">                        "SELECT AVG(rating) as avg_rating, COUNT(*) as cnt FROM material_feedback WHERE material_path = ?",</t>
        </is>
      </c>
    </row>
    <row r="145">
      <c r="A145" s="9" t="n">
        <v>142</v>
      </c>
      <c r="B145" s="10" t="inlineStr">
        <is>
          <t xml:space="preserve">                        (path,)</t>
        </is>
      </c>
    </row>
    <row r="146">
      <c r="A146" s="7" t="n">
        <v>143</v>
      </c>
      <c r="B146" s="8" t="inlineStr">
        <is>
          <t xml:space="preserve">                    ).fetchone()</t>
        </is>
      </c>
    </row>
    <row r="147">
      <c r="A147" s="9" t="n">
        <v>144</v>
      </c>
      <c r="B147" s="10" t="inlineStr">
        <is>
          <t xml:space="preserve">                    if row and row[0] and row[1] &gt; 0:</t>
        </is>
      </c>
    </row>
    <row r="148">
      <c r="A148" s="7" t="n">
        <v>145</v>
      </c>
      <c r="B148" s="8" t="inlineStr">
        <is>
          <t xml:space="preserve">                        avg_rating = float(row[0])</t>
        </is>
      </c>
    </row>
    <row r="149">
      <c r="A149" s="9" t="n">
        <v>146</v>
      </c>
      <c r="B149" s="10" t="inlineStr">
        <is>
          <t xml:space="preserve">                        factor = 0.7 + avg_rating / 10.0</t>
        </is>
      </c>
    </row>
    <row r="150">
      <c r="A150" s="7" t="n">
        <v>147</v>
      </c>
      <c r="B150" s="8" t="inlineStr">
        <is>
          <t xml:space="preserve">                        original = float(r.get("score", 0.5))</t>
        </is>
      </c>
    </row>
    <row r="151">
      <c r="A151" s="9" t="n">
        <v>148</v>
      </c>
      <c r="B151" s="10" t="inlineStr">
        <is>
          <t xml:space="preserve">                        r["score"] = round(min(1.0, original * factor), 3)</t>
        </is>
      </c>
    </row>
    <row r="152">
      <c r="A152" s="7" t="n">
        <v>149</v>
      </c>
      <c r="B152" s="8" t="inlineStr">
        <is>
          <t xml:space="preserve">                        r["match_method"] = r.get("match_method", "") + "+反馈调整"</t>
        </is>
      </c>
    </row>
    <row r="153">
      <c r="A153" s="9" t="n">
        <v>150</v>
      </c>
      <c r="B153" s="10" t="inlineStr">
        <is>
          <t xml:space="preserve">        except Exception:</t>
        </is>
      </c>
    </row>
    <row r="154">
      <c r="A154" s="7" t="n">
        <v>151</v>
      </c>
      <c r="B154" s="8" t="inlineStr">
        <is>
          <t xml:space="preserve">            pass  # 反馈调整失败不阻塞搜索</t>
        </is>
      </c>
    </row>
    <row r="155">
      <c r="A155" s="9" t="n">
        <v>152</v>
      </c>
      <c r="B155" s="10" t="inlineStr">
        <is>
          <t xml:space="preserve">        return results</t>
        </is>
      </c>
    </row>
    <row r="156">
      <c r="A156" s="7" t="n">
        <v>153</v>
      </c>
      <c r="B156" s="8" t="inlineStr"/>
    </row>
    <row r="157">
      <c r="A157" s="9" t="n">
        <v>154</v>
      </c>
      <c r="B157" s="10" t="inlineStr">
        <is>
          <t xml:space="preserve">    def search_by_copy(self, copy_text: str, num_clips: int = 8) -&gt; List[Dict]:</t>
        </is>
      </c>
    </row>
    <row r="158">
      <c r="A158" s="7" t="n">
        <v>155</v>
      </c>
      <c r="B158" s="8" t="inlineStr">
        <is>
          <t xml:space="preserve">        import re</t>
        </is>
      </c>
    </row>
    <row r="159">
      <c r="A159" s="9" t="n">
        <v>156</v>
      </c>
      <c r="B159" s="10" t="inlineStr">
        <is>
          <t xml:space="preserve">        sentences = [s.strip() for s in re.split(r'[。！？]', copy_text) if len(s.strip()) &gt;= 4]</t>
        </is>
      </c>
    </row>
    <row r="160">
      <c r="A160" s="7" t="n">
        <v>157</v>
      </c>
      <c r="B160" s="8" t="inlineStr">
        <is>
          <t xml:space="preserve">        clips = []; used = set()</t>
        </is>
      </c>
    </row>
    <row r="161">
      <c r="A161" s="9" t="n">
        <v>158</v>
      </c>
      <c r="B161" s="10" t="inlineStr">
        <is>
          <t xml:space="preserve">        for sent in sentences[:num_clips]:</t>
        </is>
      </c>
    </row>
    <row r="162">
      <c r="A162" s="7" t="n">
        <v>159</v>
      </c>
      <c r="B162" s="8" t="inlineStr">
        <is>
          <t xml:space="preserve">            results = self.search(sent, top_k=5)</t>
        </is>
      </c>
    </row>
    <row r="163">
      <c r="A163" s="9" t="n">
        <v>160</v>
      </c>
      <c r="B163" s="10" t="inlineStr">
        <is>
          <t xml:space="preserve">            for r in results:</t>
        </is>
      </c>
    </row>
    <row r="164">
      <c r="A164" s="7" t="n">
        <v>161</v>
      </c>
      <c r="B164" s="8" t="inlineStr">
        <is>
          <t xml:space="preserve">                cid = f"{r.get('video_path','')}:{r.get('start_time',0)}"</t>
        </is>
      </c>
    </row>
    <row r="165">
      <c r="A165" s="9" t="n">
        <v>162</v>
      </c>
      <c r="B165" s="10" t="inlineStr">
        <is>
          <t xml:space="preserve">                if cid not in used: clips.append(r); used.add(cid); break</t>
        </is>
      </c>
    </row>
    <row r="166">
      <c r="A166" s="7" t="n">
        <v>163</v>
      </c>
      <c r="B166" s="8" t="inlineStr">
        <is>
          <t xml:space="preserve">        return clips</t>
        </is>
      </c>
    </row>
    <row r="167">
      <c r="A167" s="9" t="n">
        <v>164</v>
      </c>
      <c r="B167" s="10" t="inlineStr"/>
    </row>
    <row r="168">
      <c r="A168" s="7" t="n">
        <v>165</v>
      </c>
      <c r="B168" s="8" t="inlineStr">
        <is>
          <t xml:space="preserve">    def search_by_visual_requirements(self, parsed_script: Dict,</t>
        </is>
      </c>
    </row>
    <row r="169">
      <c r="A169" s="9" t="n">
        <v>166</v>
      </c>
      <c r="B169" s="10" t="inlineStr">
        <is>
          <t xml:space="preserve">                                       num_clips: int = 8) -&gt; List[Dict]:</t>
        </is>
      </c>
    </row>
    <row r="170">
      <c r="A170" s="7" t="n">
        <v>167</v>
      </c>
      <c r="B170" s="8" t="inlineStr">
        <is>
          <t xml:space="preserve">        """</t>
        </is>
      </c>
    </row>
    <row r="171">
      <c r="A171" s="9" t="n">
        <v>168</v>
      </c>
      <c r="B171" s="10" t="inlineStr">
        <is>
          <t xml:space="preserve">        基于脚本语义解析结果进行智能检索 (v11 新增)。</t>
        </is>
      </c>
    </row>
    <row r="172">
      <c r="A172" s="7" t="n">
        <v>169</v>
      </c>
      <c r="B172" s="8" t="inlineStr"/>
    </row>
    <row r="173">
      <c r="A173" s="9" t="n">
        <v>170</v>
      </c>
      <c r="B173" s="10" t="inlineStr">
        <is>
          <t xml:space="preserve">        parsed_script 格式:</t>
        </is>
      </c>
    </row>
    <row r="174">
      <c r="A174" s="7" t="n">
        <v>171</v>
      </c>
      <c r="B174" s="8" t="inlineStr">
        <is>
          <t xml:space="preserve">          {"segments": [{visual_requirements: {scene,objects,actions,style,materials,colors,emotion}}], ...}</t>
        </is>
      </c>
    </row>
    <row r="175">
      <c r="A175" s="9" t="n">
        <v>172</v>
      </c>
      <c r="B175" s="10" t="inlineStr"/>
    </row>
    <row r="176">
      <c r="A176" s="7" t="n">
        <v>173</v>
      </c>
      <c r="B176" s="8" t="inlineStr">
        <is>
          <t xml:space="preserve">        策略:</t>
        </is>
      </c>
    </row>
    <row r="177">
      <c r="A177" s="9" t="n">
        <v>174</v>
      </c>
      <c r="B177" s="10" t="inlineStr">
        <is>
          <t xml:space="preserve">        1. 将每个 segment 的 visual_requirements 转为加权查询文本</t>
        </is>
      </c>
    </row>
    <row r="178">
      <c r="A178" s="7" t="n">
        <v>175</v>
      </c>
      <c r="B178" s="8" t="inlineStr">
        <is>
          <t xml:space="preserve">        2. FAISS 向量检索 → 知识库规则 → SQL 三层</t>
        </is>
      </c>
    </row>
    <row r="179">
      <c r="A179" s="9" t="n">
        <v>176</v>
      </c>
      <c r="B179" s="10" t="inlineStr">
        <is>
          <t xml:space="preserve">        3. 返回去重后的片段列表，附带匹配方法</t>
        </is>
      </c>
    </row>
    <row r="180">
      <c r="A180" s="7" t="n">
        <v>177</v>
      </c>
      <c r="B180" s="8" t="inlineStr">
        <is>
          <t xml:space="preserve">        """</t>
        </is>
      </c>
    </row>
    <row r="181">
      <c r="A181" s="9" t="n">
        <v>178</v>
      </c>
      <c r="B181" s="10" t="inlineStr">
        <is>
          <t xml:space="preserve">        self._lazy_load()</t>
        </is>
      </c>
    </row>
    <row r="182">
      <c r="A182" s="7" t="n">
        <v>179</v>
      </c>
      <c r="B182" s="8" t="inlineStr">
        <is>
          <t xml:space="preserve">        main_db = str(Path(__file__).parent.parent.parent / "ai_material_library.db")</t>
        </is>
      </c>
    </row>
    <row r="183">
      <c r="A183" s="9" t="n">
        <v>180</v>
      </c>
      <c r="B183" s="10" t="inlineStr">
        <is>
          <t xml:space="preserve">        all_clips = []</t>
        </is>
      </c>
    </row>
    <row r="184">
      <c r="A184" s="7" t="n">
        <v>181</v>
      </c>
      <c r="B184" s="8" t="inlineStr">
        <is>
          <t xml:space="preserve">        used_ids = set()</t>
        </is>
      </c>
    </row>
    <row r="185">
      <c r="A185" s="9" t="n">
        <v>182</v>
      </c>
      <c r="B185" s="10" t="inlineStr"/>
    </row>
    <row r="186">
      <c r="A186" s="7" t="n">
        <v>183</v>
      </c>
      <c r="B186" s="8" t="inlineStr">
        <is>
          <t xml:space="preserve">        for seg in parsed_script.get("segments", []):</t>
        </is>
      </c>
    </row>
    <row r="187">
      <c r="A187" s="9" t="n">
        <v>184</v>
      </c>
      <c r="B187" s="10" t="inlineStr">
        <is>
          <t xml:space="preserve">            req = seg.get("visual_requirements", {})</t>
        </is>
      </c>
    </row>
    <row r="188">
      <c r="A188" s="7" t="n">
        <v>185</v>
      </c>
      <c r="B188" s="8" t="inlineStr"/>
    </row>
    <row r="189">
      <c r="A189" s="9" t="n">
        <v>186</v>
      </c>
      <c r="B189" s="10" t="inlineStr">
        <is>
          <t xml:space="preserve">            # 构建加权查询字符串: 材质和风格权重更高</t>
        </is>
      </c>
    </row>
    <row r="190">
      <c r="A190" s="7" t="n">
        <v>187</v>
      </c>
      <c r="B190" s="8" t="inlineStr">
        <is>
          <t xml:space="preserve">            parts = []</t>
        </is>
      </c>
    </row>
    <row r="191">
      <c r="A191" s="9" t="n">
        <v>188</v>
      </c>
      <c r="B191" s="10" t="inlineStr">
        <is>
          <t xml:space="preserve">            for cat, weight in [("materials", 3), ("style", 3), ("objects", 2),</t>
        </is>
      </c>
    </row>
    <row r="192">
      <c r="A192" s="7" t="n">
        <v>189</v>
      </c>
      <c r="B192" s="8" t="inlineStr">
        <is>
          <t xml:space="preserve">                                 ("scene", 2), ("colors", 1), ("actions", 1)]:</t>
        </is>
      </c>
    </row>
    <row r="193">
      <c r="A193" s="9" t="n">
        <v>190</v>
      </c>
      <c r="B193" s="10" t="inlineStr">
        <is>
          <t xml:space="preserve">                items = req.get(cat, [])</t>
        </is>
      </c>
    </row>
    <row r="194">
      <c r="A194" s="7" t="n">
        <v>191</v>
      </c>
      <c r="B194" s="8" t="inlineStr">
        <is>
          <t xml:space="preserve">                parts.extend(items * weight)</t>
        </is>
      </c>
    </row>
    <row r="195">
      <c r="A195" s="9" t="n">
        <v>192</v>
      </c>
      <c r="B195" s="10" t="inlineStr"/>
    </row>
    <row r="196">
      <c r="A196" s="7" t="n">
        <v>193</v>
      </c>
      <c r="B196" s="8" t="inlineStr">
        <is>
          <t xml:space="preserve">            query = " ".join(parts) if parts else seg.get("text", "")</t>
        </is>
      </c>
    </row>
    <row r="197">
      <c r="A197" s="9" t="n">
        <v>194</v>
      </c>
      <c r="B197" s="10" t="inlineStr"/>
    </row>
    <row r="198">
      <c r="A198" s="7" t="n">
        <v>195</v>
      </c>
      <c r="B198" s="8" t="inlineStr">
        <is>
          <t xml:space="preserve">            # FAISS 向量</t>
        </is>
      </c>
    </row>
    <row r="199">
      <c r="A199" s="9" t="n">
        <v>196</v>
      </c>
      <c r="B199" s="10" t="inlineStr">
        <is>
          <t xml:space="preserve">            if self._faiss_index and self._id_map and query.strip():</t>
        </is>
      </c>
    </row>
    <row r="200">
      <c r="A200" s="7" t="n">
        <v>197</v>
      </c>
      <c r="B200" s="8" t="inlineStr">
        <is>
          <t xml:space="preserve">                try:</t>
        </is>
      </c>
    </row>
    <row r="201">
      <c r="A201" s="9" t="n">
        <v>198</v>
      </c>
      <c r="B201" s="10" t="inlineStr">
        <is>
          <t xml:space="preserve">                    import numpy as np</t>
        </is>
      </c>
    </row>
    <row r="202">
      <c r="A202" s="7" t="n">
        <v>199</v>
      </c>
      <c r="B202" s="8" t="inlineStr">
        <is>
          <t xml:space="preserve">                    if self._st_model is None:</t>
        </is>
      </c>
    </row>
    <row r="203">
      <c r="A203" s="9" t="n">
        <v>200</v>
      </c>
      <c r="B203" s="10" t="inlineStr">
        <is>
          <t xml:space="preserve">                        from sentence_transformers import SentenceTransformer</t>
        </is>
      </c>
    </row>
    <row r="204">
      <c r="A204" s="7" t="n">
        <v>201</v>
      </c>
      <c r="B204" s="8" t="inlineStr">
        <is>
          <t xml:space="preserve">                        self._st_model = SentenceTransformer("BAAI/bge-m3")</t>
        </is>
      </c>
    </row>
    <row r="205">
      <c r="A205" s="9" t="n">
        <v>202</v>
      </c>
      <c r="B205" s="10" t="inlineStr">
        <is>
          <t xml:space="preserve">                    vec = np.array(self._st_model.encode([query]), dtype=np.float32)</t>
        </is>
      </c>
    </row>
    <row r="206">
      <c r="A206" s="7" t="n">
        <v>203</v>
      </c>
      <c r="B206" s="8" t="inlineStr">
        <is>
          <t xml:space="preserve">                    if vec.shape[1] != self._faiss_index.d:</t>
        </is>
      </c>
    </row>
    <row r="207">
      <c r="A207" s="9" t="n">
        <v>204</v>
      </c>
      <c r="B207" s="10" t="inlineStr">
        <is>
          <t xml:space="preserve">                        vec = vec[:, :self._faiss_index.d]</t>
        </is>
      </c>
    </row>
    <row r="208">
      <c r="A208" s="7" t="n">
        <v>205</v>
      </c>
      <c r="B208" s="8" t="inlineStr">
        <is>
          <t xml:space="preserve">                    dists, indices = self._faiss_index.search(vec, 3)</t>
        </is>
      </c>
    </row>
    <row r="209">
      <c r="A209" s="9" t="n">
        <v>206</v>
      </c>
      <c r="B209" s="10" t="inlineStr">
        <is>
          <t xml:space="preserve">                    with sqlite3.connect(main_db) as conn:</t>
        </is>
      </c>
    </row>
    <row r="210">
      <c r="A210" s="7" t="n">
        <v>207</v>
      </c>
      <c r="B210" s="8" t="inlineStr">
        <is>
          <t xml:space="preserve">                        for i, d in zip(indices[0], dists[0]):</t>
        </is>
      </c>
    </row>
    <row r="211">
      <c r="A211" s="9" t="n">
        <v>208</v>
      </c>
      <c r="B211" s="10" t="inlineStr">
        <is>
          <t xml:space="preserve">                            if 0 &lt;= i &lt; len(self._id_map) and i not in used_ids:</t>
        </is>
      </c>
    </row>
    <row r="212">
      <c r="A212" s="7" t="n">
        <v>209</v>
      </c>
      <c r="B212" s="8" t="inlineStr">
        <is>
          <t xml:space="preserve">                                row = conn.execute(</t>
        </is>
      </c>
    </row>
    <row r="213">
      <c r="A213" s="9" t="n">
        <v>210</v>
      </c>
      <c r="B213" s="10" t="inlineStr">
        <is>
          <t xml:space="preserve">                                    "SELECT video_path,start_time,end_time,tags,objects,style,color,material,blocked,has_human FROM materials WHERE id=?",</t>
        </is>
      </c>
    </row>
    <row r="214">
      <c r="A214" s="7" t="n">
        <v>211</v>
      </c>
      <c r="B214" s="8" t="inlineStr">
        <is>
          <t xml:space="preserve">                                    (self._id_map[i],)</t>
        </is>
      </c>
    </row>
    <row r="215">
      <c r="A215" s="9" t="n">
        <v>212</v>
      </c>
      <c r="B215" s="10" t="inlineStr">
        <is>
          <t xml:space="preserve">                                ).fetchone()</t>
        </is>
      </c>
    </row>
    <row r="216">
      <c r="A216" s="7" t="n">
        <v>213</v>
      </c>
      <c r="B216" s="8" t="inlineStr">
        <is>
          <t xml:space="preserve">                                if row:</t>
        </is>
      </c>
    </row>
    <row r="217">
      <c r="A217" s="9" t="n">
        <v>214</v>
      </c>
      <c r="B217" s="10" t="inlineStr">
        <is>
          <t xml:space="preserve">                                    # Skip blocked materials (v11.2)</t>
        </is>
      </c>
    </row>
    <row r="218">
      <c r="A218" s="7" t="n">
        <v>215</v>
      </c>
      <c r="B218" s="8" t="inlineStr">
        <is>
          <t xml:space="preserve">                                    if len(row) &gt; 9 and (row[8] == 1 or row[9] == 1):</t>
        </is>
      </c>
    </row>
    <row r="219">
      <c r="A219" s="9" t="n">
        <v>216</v>
      </c>
      <c r="B219" s="10" t="inlineStr">
        <is>
          <t xml:space="preserve">                                        continue  # blocked=1 or has_human=1</t>
        </is>
      </c>
    </row>
    <row r="220">
      <c r="A220" s="7" t="n">
        <v>217</v>
      </c>
      <c r="B220" s="8" t="inlineStr">
        <is>
          <t xml:space="preserve">                                    clip = dict(zip(</t>
        </is>
      </c>
    </row>
    <row r="221">
      <c r="A221" s="9" t="n">
        <v>218</v>
      </c>
      <c r="B221" s="10" t="inlineStr">
        <is>
          <t xml:space="preserve">                                        ["video_path","start_time","end_time",</t>
        </is>
      </c>
    </row>
    <row r="222">
      <c r="A222" s="7" t="n">
        <v>219</v>
      </c>
      <c r="B222" s="8" t="inlineStr">
        <is>
          <t xml:space="preserve">                                         "tags","objects","style","color","material"], row))</t>
        </is>
      </c>
    </row>
    <row r="223">
      <c r="A223" s="9" t="n">
        <v>220</v>
      </c>
      <c r="B223" s="10" t="inlineStr">
        <is>
          <t xml:space="preserve">                                    clip["score"] = round(1.0/(1.0+float(d)), 3)</t>
        </is>
      </c>
    </row>
    <row r="224">
      <c r="A224" s="7" t="n">
        <v>221</v>
      </c>
      <c r="B224" s="8" t="inlineStr">
        <is>
          <t xml:space="preserve">                                    clip["match_method"] = "FAISS语义向量"</t>
        </is>
      </c>
    </row>
    <row r="225">
      <c r="A225" s="9" t="n">
        <v>222</v>
      </c>
      <c r="B225" s="10" t="inlineStr">
        <is>
          <t xml:space="preserve">                                    all_clips.append(clip)</t>
        </is>
      </c>
    </row>
    <row r="226">
      <c r="A226" s="7" t="n">
        <v>223</v>
      </c>
      <c r="B226" s="8" t="inlineStr">
        <is>
          <t xml:space="preserve">                                    used_ids.add(i)</t>
        </is>
      </c>
    </row>
    <row r="227">
      <c r="A227" s="9" t="n">
        <v>224</v>
      </c>
      <c r="B227" s="10" t="inlineStr">
        <is>
          <t xml:space="preserve">                except Exception as e:</t>
        </is>
      </c>
    </row>
    <row r="228">
      <c r="A228" s="7" t="n">
        <v>225</v>
      </c>
      <c r="B228" s="8" t="inlineStr">
        <is>
          <t xml:space="preserve">                    print(f"   [SmartMatcher] 语义检索失败: {e}")</t>
        </is>
      </c>
    </row>
    <row r="229">
      <c r="A229" s="9" t="n">
        <v>226</v>
      </c>
      <c r="B229" s="10" t="inlineStr"/>
    </row>
    <row r="230">
      <c r="A230" s="7" t="n">
        <v>227</v>
      </c>
      <c r="B230" s="8" t="inlineStr">
        <is>
          <t xml:space="preserve">            # SQL 知识库降级</t>
        </is>
      </c>
    </row>
    <row r="231">
      <c r="A231" s="9" t="n">
        <v>228</v>
      </c>
      <c r="B231" s="10" t="inlineStr">
        <is>
          <t xml:space="preserve">            if len(all_clips) &lt; num_clips and query.strip():</t>
        </is>
      </c>
    </row>
    <row r="232">
      <c r="A232" s="7" t="n">
        <v>229</v>
      </c>
      <c r="B232" s="8" t="inlineStr">
        <is>
          <t xml:space="preserve">                try:</t>
        </is>
      </c>
    </row>
    <row r="233">
      <c r="A233" s="9" t="n">
        <v>230</v>
      </c>
      <c r="B233" s="10" t="inlineStr">
        <is>
          <t xml:space="preserve">                    kw_str = "%".join(query.split()[:8])</t>
        </is>
      </c>
    </row>
    <row r="234">
      <c r="A234" s="7" t="n">
        <v>231</v>
      </c>
      <c r="B234" s="8" t="inlineStr">
        <is>
          <t xml:space="preserve">                    with sqlite3.connect(main_db) as conn:</t>
        </is>
      </c>
    </row>
    <row r="235">
      <c r="A235" s="9" t="n">
        <v>232</v>
      </c>
      <c r="B235" s="10" t="inlineStr">
        <is>
          <t xml:space="preserve">                        rows = conn.execute(</t>
        </is>
      </c>
    </row>
    <row r="236">
      <c r="A236" s="7" t="n">
        <v>233</v>
      </c>
      <c r="B236" s="8" t="inlineStr">
        <is>
          <t xml:space="preserve">                            "SELECT video_path,start_time,end_time,tags,objects,style,color,material FROM materials WHERE blocked=0 AND has_human=0 AND (tags LIKE ? OR objects LIKE ?) LIMIT ?",</t>
        </is>
      </c>
    </row>
    <row r="237">
      <c r="A237" s="9" t="n">
        <v>234</v>
      </c>
      <c r="B237" s="10" t="inlineStr">
        <is>
          <t xml:space="preserve">                            (f"%{kw_str}%", f"%{kw_str}%", num_clips - len(all_clips) + 2)</t>
        </is>
      </c>
    </row>
    <row r="238">
      <c r="A238" s="7" t="n">
        <v>235</v>
      </c>
      <c r="B238" s="8" t="inlineStr">
        <is>
          <t xml:space="preserve">                        ).fetchall()</t>
        </is>
      </c>
    </row>
    <row r="239">
      <c r="A239" s="9" t="n">
        <v>236</v>
      </c>
      <c r="B239" s="10" t="inlineStr">
        <is>
          <t xml:space="preserve">                    for r in rows:</t>
        </is>
      </c>
    </row>
    <row r="240">
      <c r="A240" s="7" t="n">
        <v>237</v>
      </c>
      <c r="B240" s="8" t="inlineStr">
        <is>
          <t xml:space="preserve">                        clip = dict(zip(</t>
        </is>
      </c>
    </row>
    <row r="241">
      <c r="A241" s="9" t="n">
        <v>238</v>
      </c>
      <c r="B241" s="10" t="inlineStr">
        <is>
          <t xml:space="preserve">                            ["video_path","start_time","end_time",</t>
        </is>
      </c>
    </row>
    <row r="242">
      <c r="A242" s="7" t="n">
        <v>239</v>
      </c>
      <c r="B242" s="8" t="inlineStr">
        <is>
          <t xml:space="preserve">                             "tags","objects","style","color","material"], r))</t>
        </is>
      </c>
    </row>
    <row r="243">
      <c r="A243" s="9" t="n">
        <v>240</v>
      </c>
      <c r="B243" s="10" t="inlineStr">
        <is>
          <t xml:space="preserve">                        cid = f"{clip['video_path']}:{clip['start_time']}"</t>
        </is>
      </c>
    </row>
    <row r="244">
      <c r="A244" s="7" t="n">
        <v>241</v>
      </c>
      <c r="B244" s="8" t="inlineStr">
        <is>
          <t xml:space="preserve">                        if cid not in used_ids:</t>
        </is>
      </c>
    </row>
    <row r="245">
      <c r="A245" s="9" t="n">
        <v>242</v>
      </c>
      <c r="B245" s="10" t="inlineStr">
        <is>
          <t xml:space="preserve">                            clip["score"] = 0.6</t>
        </is>
      </c>
    </row>
    <row r="246">
      <c r="A246" s="7" t="n">
        <v>243</v>
      </c>
      <c r="B246" s="8" t="inlineStr">
        <is>
          <t xml:space="preserve">                            clip["match_method"] = "知识库规则"</t>
        </is>
      </c>
    </row>
    <row r="247">
      <c r="A247" s="9" t="n">
        <v>244</v>
      </c>
      <c r="B247" s="10" t="inlineStr">
        <is>
          <t xml:space="preserve">                            all_clips.append(clip)</t>
        </is>
      </c>
    </row>
    <row r="248">
      <c r="A248" s="7" t="n">
        <v>245</v>
      </c>
      <c r="B248" s="8" t="inlineStr">
        <is>
          <t xml:space="preserve">                            used_ids.add(cid)</t>
        </is>
      </c>
    </row>
    <row r="249">
      <c r="A249" s="9" t="n">
        <v>246</v>
      </c>
      <c r="B249" s="10" t="inlineStr">
        <is>
          <t xml:space="preserve">                except Exception:</t>
        </is>
      </c>
    </row>
    <row r="250">
      <c r="A250" s="7" t="n">
        <v>247</v>
      </c>
      <c r="B250" s="8" t="inlineStr">
        <is>
          <t xml:space="preserve">                    pass</t>
        </is>
      </c>
    </row>
    <row r="251">
      <c r="A251" s="9" t="n">
        <v>248</v>
      </c>
      <c r="B251" s="10" t="inlineStr"/>
    </row>
    <row r="252">
      <c r="A252" s="7" t="n">
        <v>249</v>
      </c>
      <c r="B252" s="8" t="inlineStr">
        <is>
          <t xml:space="preserve">        # v11.2: Apply feedback weight adjustment</t>
        </is>
      </c>
    </row>
    <row r="253">
      <c r="A253" s="9" t="n">
        <v>250</v>
      </c>
      <c r="B253" s="10" t="inlineStr">
        <is>
          <t xml:space="preserve">        all_clips = self._adjust_by_feedback(all_clips)</t>
        </is>
      </c>
    </row>
    <row r="254">
      <c r="A254" s="7" t="n">
        <v>251</v>
      </c>
      <c r="B254" s="8" t="inlineStr">
        <is>
          <t xml:space="preserve">        return sorted(all_clips, key=lambda x: -x.get("score", 0))[:num_clips]</t>
        </is>
      </c>
    </row>
    <row r="255">
      <c r="A255" s="9" t="n">
        <v>252</v>
      </c>
      <c r="B255" s="10" t="inlineStr"/>
    </row>
    <row r="256">
      <c r="A256" s="7" t="n">
        <v>253</v>
      </c>
      <c r="B256" s="8" t="inlineStr"/>
    </row>
    <row r="257">
      <c r="A257" s="9" t="n">
        <v>254</v>
      </c>
      <c r="B257" s="10" t="inlineStr">
        <is>
          <t># 全局单例</t>
        </is>
      </c>
    </row>
    <row r="258">
      <c r="A258" s="7" t="n">
        <v>255</v>
      </c>
      <c r="B258" s="8" t="inlineStr">
        <is>
          <t>_matcher = None</t>
        </is>
      </c>
    </row>
    <row r="259">
      <c r="A259" s="9" t="n">
        <v>256</v>
      </c>
      <c r="B259" s="10" t="inlineStr">
        <is>
          <t>def get_smart_matcher(): global _matcher; _matcher = _matcher or SmartMatcher(); return _matcher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material_engine_v3\database\schema.py</t>
        </is>
      </c>
      <c r="C1" s="5" t="inlineStr">
        <is>
          <t>行数: 162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V3.0 Database Schema - 12 tables for 100K+ material scale</t>
        </is>
      </c>
    </row>
    <row r="6">
      <c r="A6" s="7" t="n">
        <v>3</v>
      </c>
      <c r="B6" s="8" t="inlineStr">
        <is>
          <t>"""</t>
        </is>
      </c>
    </row>
    <row r="7">
      <c r="A7" s="9" t="n">
        <v>4</v>
      </c>
      <c r="B7" s="10" t="inlineStr">
        <is>
          <t>import sqlite3</t>
        </is>
      </c>
    </row>
    <row r="8">
      <c r="A8" s="7" t="n">
        <v>5</v>
      </c>
      <c r="B8" s="8" t="inlineStr">
        <is>
          <t>from pathlib import Path</t>
        </is>
      </c>
    </row>
    <row r="9">
      <c r="A9" s="9" t="n">
        <v>6</v>
      </c>
      <c r="B9" s="10" t="inlineStr">
        <is>
          <t>import sys; sys.path.insert(0, str(Path(__file__).parent.parent))</t>
        </is>
      </c>
    </row>
    <row r="10">
      <c r="A10" s="7" t="n">
        <v>7</v>
      </c>
      <c r="B10" s="8" t="inlineStr">
        <is>
          <t>from config import V3_DB_PATH</t>
        </is>
      </c>
    </row>
    <row r="11">
      <c r="A11" s="9" t="n">
        <v>8</v>
      </c>
      <c r="B11" s="10" t="inlineStr"/>
    </row>
    <row r="12">
      <c r="A12" s="7" t="n">
        <v>9</v>
      </c>
      <c r="B12" s="8" t="inlineStr">
        <is>
          <t>def init_db(db_path=V3_DB_PATH):</t>
        </is>
      </c>
    </row>
    <row r="13">
      <c r="A13" s="9" t="n">
        <v>10</v>
      </c>
      <c r="B13" s="10" t="inlineStr">
        <is>
          <t xml:space="preserve">    Path(db_path).parent.mkdir(parents=True, exist_ok=True)</t>
        </is>
      </c>
    </row>
    <row r="14">
      <c r="A14" s="7" t="n">
        <v>11</v>
      </c>
      <c r="B14" s="8" t="inlineStr">
        <is>
          <t xml:space="preserve">    conn = sqlite3.connect(db_path)</t>
        </is>
      </c>
    </row>
    <row r="15">
      <c r="A15" s="9" t="n">
        <v>12</v>
      </c>
      <c r="B15" s="10" t="inlineStr">
        <is>
          <t xml:space="preserve">    conn.execute("PRAGMA journal_mode=WAL")</t>
        </is>
      </c>
    </row>
    <row r="16">
      <c r="A16" s="7" t="n">
        <v>13</v>
      </c>
      <c r="B16" s="8" t="inlineStr">
        <is>
          <t xml:space="preserve">    conn.execute("PRAGMA synchronous=NORMAL")</t>
        </is>
      </c>
    </row>
    <row r="17">
      <c r="A17" s="9" t="n">
        <v>14</v>
      </c>
      <c r="B17" s="10" t="inlineStr">
        <is>
          <t xml:space="preserve">    conn.executescript("""</t>
        </is>
      </c>
    </row>
    <row r="18">
      <c r="A18" s="7" t="n">
        <v>15</v>
      </c>
      <c r="B18" s="8" t="inlineStr">
        <is>
          <t xml:space="preserve">        -- Core: videos</t>
        </is>
      </c>
    </row>
    <row r="19">
      <c r="A19" s="9" t="n">
        <v>16</v>
      </c>
      <c r="B19" s="10" t="inlineStr">
        <is>
          <t xml:space="preserve">        CREATE TABLE IF NOT EXISTS videos (</t>
        </is>
      </c>
    </row>
    <row r="20">
      <c r="A20" s="7" t="n">
        <v>17</v>
      </c>
      <c r="B20" s="8" t="inlineStr">
        <is>
          <t xml:space="preserve">            id INTEGER PRIMARY KEY AUTOINCREMENT,</t>
        </is>
      </c>
    </row>
    <row r="21">
      <c r="A21" s="9" t="n">
        <v>18</v>
      </c>
      <c r="B21" s="10" t="inlineStr">
        <is>
          <t xml:space="preserve">            path TEXT UNIQUE NOT NULL,</t>
        </is>
      </c>
    </row>
    <row r="22">
      <c r="A22" s="7" t="n">
        <v>19</v>
      </c>
      <c r="B22" s="8" t="inlineStr">
        <is>
          <t xml:space="preserve">            duration REAL, file_size INTEGER, file_mtime REAL,</t>
        </is>
      </c>
    </row>
    <row r="23">
      <c r="A23" s="9" t="n">
        <v>20</v>
      </c>
      <c r="B23" s="10" t="inlineStr">
        <is>
          <t xml:space="preserve">            width INTEGER, height INTEGER, fps REAL,</t>
        </is>
      </c>
    </row>
    <row r="24">
      <c r="A24" s="7" t="n">
        <v>21</v>
      </c>
      <c r="B24" s="8" t="inlineStr">
        <is>
          <t xml:space="preserve">            source_folder TEXT,</t>
        </is>
      </c>
    </row>
    <row r="25">
      <c r="A25" s="9" t="n">
        <v>22</v>
      </c>
      <c r="B25" s="10" t="inlineStr">
        <is>
          <t xml:space="preserve">            status TEXT DEFAULT 'pending',</t>
        </is>
      </c>
    </row>
    <row r="26">
      <c r="A26" s="7" t="n">
        <v>23</v>
      </c>
      <c r="B26" s="8" t="inlineStr">
        <is>
          <t xml:space="preserve">            created_at TEXT DEFAULT CURRENT_TIMESTAMP,</t>
        </is>
      </c>
    </row>
    <row r="27">
      <c r="A27" s="9" t="n">
        <v>24</v>
      </c>
      <c r="B27" s="10" t="inlineStr">
        <is>
          <t xml:space="preserve">            updated_at TEXT DEFAULT CURRENT_TIMESTAMP</t>
        </is>
      </c>
    </row>
    <row r="28">
      <c r="A28" s="7" t="n">
        <v>25</v>
      </c>
      <c r="B28" s="8" t="inlineStr">
        <is>
          <t xml:space="preserve">        );</t>
        </is>
      </c>
    </row>
    <row r="29">
      <c r="A29" s="9" t="n">
        <v>26</v>
      </c>
      <c r="B29" s="10" t="inlineStr"/>
    </row>
    <row r="30">
      <c r="A30" s="7" t="n">
        <v>27</v>
      </c>
      <c r="B30" s="8" t="inlineStr">
        <is>
          <t xml:space="preserve">        -- Scene detection</t>
        </is>
      </c>
    </row>
    <row r="31">
      <c r="A31" s="9" t="n">
        <v>28</v>
      </c>
      <c r="B31" s="10" t="inlineStr">
        <is>
          <t xml:space="preserve">        CREATE TABLE IF NOT EXISTS video_scenes (</t>
        </is>
      </c>
    </row>
    <row r="32">
      <c r="A32" s="7" t="n">
        <v>29</v>
      </c>
      <c r="B32" s="8" t="inlineStr">
        <is>
          <t xml:space="preserve">            id INTEGER PRIMARY KEY AUTOINCREMENT,</t>
        </is>
      </c>
    </row>
    <row r="33">
      <c r="A33" s="9" t="n">
        <v>30</v>
      </c>
      <c r="B33" s="10" t="inlineStr">
        <is>
          <t xml:space="preserve">            video_id INTEGER REFERENCES videos(id),</t>
        </is>
      </c>
    </row>
    <row r="34">
      <c r="A34" s="7" t="n">
        <v>31</v>
      </c>
      <c r="B34" s="8" t="inlineStr">
        <is>
          <t xml:space="preserve">            scene_index INTEGER,</t>
        </is>
      </c>
    </row>
    <row r="35">
      <c r="A35" s="9" t="n">
        <v>32</v>
      </c>
      <c r="B35" s="10" t="inlineStr">
        <is>
          <t xml:space="preserve">            start_time REAL, end_time REAL,</t>
        </is>
      </c>
    </row>
    <row r="36">
      <c r="A36" s="7" t="n">
        <v>33</v>
      </c>
      <c r="B36" s="8" t="inlineStr">
        <is>
          <t xml:space="preserve">            key_frame_path TEXT,</t>
        </is>
      </c>
    </row>
    <row r="37">
      <c r="A37" s="9" t="n">
        <v>34</v>
      </c>
      <c r="B37" s="10" t="inlineStr">
        <is>
          <t xml:space="preserve">            mid_frame_path TEXT,</t>
        </is>
      </c>
    </row>
    <row r="38">
      <c r="A38" s="7" t="n">
        <v>35</v>
      </c>
      <c r="B38" s="8" t="inlineStr">
        <is>
          <t xml:space="preserve">            end_frame_path TEXT,</t>
        </is>
      </c>
    </row>
    <row r="39">
      <c r="A39" s="9" t="n">
        <v>36</v>
      </c>
      <c r="B39" s="10" t="inlineStr">
        <is>
          <t xml:space="preserve">            created_at TEXT DEFAULT CURRENT_TIMESTAMP</t>
        </is>
      </c>
    </row>
    <row r="40">
      <c r="A40" s="7" t="n">
        <v>37</v>
      </c>
      <c r="B40" s="8" t="inlineStr">
        <is>
          <t xml:space="preserve">        );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>
        <is>
          <t xml:space="preserve">        -- Analysis frames</t>
        </is>
      </c>
    </row>
    <row r="43">
      <c r="A43" s="9" t="n">
        <v>40</v>
      </c>
      <c r="B43" s="10" t="inlineStr">
        <is>
          <t xml:space="preserve">        CREATE TABLE IF NOT EXISTS video_frames (</t>
        </is>
      </c>
    </row>
    <row r="44">
      <c r="A44" s="7" t="n">
        <v>41</v>
      </c>
      <c r="B44" s="8" t="inlineStr">
        <is>
          <t xml:space="preserve">            id INTEGER PRIMARY KEY AUTOINCREMENT,</t>
        </is>
      </c>
    </row>
    <row r="45">
      <c r="A45" s="9" t="n">
        <v>42</v>
      </c>
      <c r="B45" s="10" t="inlineStr">
        <is>
          <t xml:space="preserve">            scene_id INTEGER REFERENCES video_scenes(id),</t>
        </is>
      </c>
    </row>
    <row r="46">
      <c r="A46" s="7" t="n">
        <v>43</v>
      </c>
      <c r="B46" s="8" t="inlineStr">
        <is>
          <t xml:space="preserve">            frame_path TEXT, frame_time REAL,</t>
        </is>
      </c>
    </row>
    <row r="47">
      <c r="A47" s="9" t="n">
        <v>44</v>
      </c>
      <c r="B47" s="10" t="inlineStr">
        <is>
          <t xml:space="preserve">            analyzed INTEGER DEFAULT 0,</t>
        </is>
      </c>
    </row>
    <row r="48">
      <c r="A48" s="7" t="n">
        <v>45</v>
      </c>
      <c r="B48" s="8" t="inlineStr">
        <is>
          <t xml:space="preserve">            created_at TEXT DEFAULT CURRENT_TIMESTAMP</t>
        </is>
      </c>
    </row>
    <row r="49">
      <c r="A49" s="9" t="n">
        <v>46</v>
      </c>
      <c r="B49" s="10" t="inlineStr">
        <is>
          <t xml:space="preserve">        );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    -- 4-level unified tags</t>
        </is>
      </c>
    </row>
    <row r="52">
      <c r="A52" s="7" t="n">
        <v>49</v>
      </c>
      <c r="B52" s="8" t="inlineStr">
        <is>
          <t xml:space="preserve">        CREATE TABLE IF NOT EXISTS video_tags (</t>
        </is>
      </c>
    </row>
    <row r="53">
      <c r="A53" s="9" t="n">
        <v>50</v>
      </c>
      <c r="B53" s="10" t="inlineStr">
        <is>
          <t xml:space="preserve">            id INTEGER PRIMARY KEY AUTOINCREMENT,</t>
        </is>
      </c>
    </row>
    <row r="54">
      <c r="A54" s="7" t="n">
        <v>51</v>
      </c>
      <c r="B54" s="8" t="inlineStr">
        <is>
          <t xml:space="preserve">            video_id INTEGER REFERENCES videos(id),</t>
        </is>
      </c>
    </row>
    <row r="55">
      <c r="A55" s="9" t="n">
        <v>52</v>
      </c>
      <c r="B55" s="10" t="inlineStr">
        <is>
          <t xml:space="preserve">            scene_id INTEGER REFERENCES video_scenes(id),</t>
        </is>
      </c>
    </row>
    <row r="56">
      <c r="A56" s="7" t="n">
        <v>53</v>
      </c>
      <c r="B56" s="8" t="inlineStr">
        <is>
          <t xml:space="preserve">            tag_level INTEGER DEFAULT 1,</t>
        </is>
      </c>
    </row>
    <row r="57">
      <c r="A57" s="9" t="n">
        <v>54</v>
      </c>
      <c r="B57" s="10" t="inlineStr">
        <is>
          <t xml:space="preserve">            tag_category TEXT,</t>
        </is>
      </c>
    </row>
    <row r="58">
      <c r="A58" s="7" t="n">
        <v>55</v>
      </c>
      <c r="B58" s="8" t="inlineStr">
        <is>
          <t xml:space="preserve">            tag_value TEXT,</t>
        </is>
      </c>
    </row>
    <row r="59">
      <c r="A59" s="9" t="n">
        <v>56</v>
      </c>
      <c r="B59" s="10" t="inlineStr">
        <is>
          <t xml:space="preserve">            tag_source TEXT,</t>
        </is>
      </c>
    </row>
    <row r="60">
      <c r="A60" s="7" t="n">
        <v>57</v>
      </c>
      <c r="B60" s="8" t="inlineStr">
        <is>
          <t xml:space="preserve">            confidence REAL DEFAULT 0.0,</t>
        </is>
      </c>
    </row>
    <row r="61">
      <c r="A61" s="9" t="n">
        <v>58</v>
      </c>
      <c r="B61" s="10" t="inlineStr">
        <is>
          <t xml:space="preserve">            created_at TEXT DEFAULT CURRENT_TIMESTAMP</t>
        </is>
      </c>
    </row>
    <row r="62">
      <c r="A62" s="7" t="n">
        <v>59</v>
      </c>
      <c r="B62" s="8" t="inlineStr">
        <is>
          <t xml:space="preserve">        );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    -- Embeddings</t>
        </is>
      </c>
    </row>
    <row r="65">
      <c r="A65" s="9" t="n">
        <v>62</v>
      </c>
      <c r="B65" s="10" t="inlineStr">
        <is>
          <t xml:space="preserve">        CREATE TABLE IF NOT EXISTS video_embeddings (</t>
        </is>
      </c>
    </row>
    <row r="66">
      <c r="A66" s="7" t="n">
        <v>63</v>
      </c>
      <c r="B66" s="8" t="inlineStr">
        <is>
          <t xml:space="preserve">            id INTEGER PRIMARY KEY AUTOINCREMENT,</t>
        </is>
      </c>
    </row>
    <row r="67">
      <c r="A67" s="9" t="n">
        <v>64</v>
      </c>
      <c r="B67" s="10" t="inlineStr">
        <is>
          <t xml:space="preserve">            video_id INTEGER REFERENCES videos(id),</t>
        </is>
      </c>
    </row>
    <row r="68">
      <c r="A68" s="7" t="n">
        <v>65</v>
      </c>
      <c r="B68" s="8" t="inlineStr">
        <is>
          <t xml:space="preserve">            scene_id INTEGER REFERENCES video_scenes(id),</t>
        </is>
      </c>
    </row>
    <row r="69">
      <c r="A69" s="9" t="n">
        <v>66</v>
      </c>
      <c r="B69" s="10" t="inlineStr">
        <is>
          <t xml:space="preserve">            embedding BLOB,</t>
        </is>
      </c>
    </row>
    <row r="70">
      <c r="A70" s="7" t="n">
        <v>67</v>
      </c>
      <c r="B70" s="8" t="inlineStr">
        <is>
          <t xml:space="preserve">            model_name TEXT,</t>
        </is>
      </c>
    </row>
    <row r="71">
      <c r="A71" s="9" t="n">
        <v>68</v>
      </c>
      <c r="B71" s="10" t="inlineStr">
        <is>
          <t xml:space="preserve">            dimension INTEGER,</t>
        </is>
      </c>
    </row>
    <row r="72">
      <c r="A72" s="7" t="n">
        <v>69</v>
      </c>
      <c r="B72" s="8" t="inlineStr">
        <is>
          <t xml:space="preserve">            created_at TEXT DEFAULT CURRENT_TIMESTAMP</t>
        </is>
      </c>
    </row>
    <row r="73">
      <c r="A73" s="9" t="n">
        <v>70</v>
      </c>
      <c r="B73" s="10" t="inlineStr">
        <is>
          <t xml:space="preserve">        );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 xml:space="preserve">        -- OCR results</t>
        </is>
      </c>
    </row>
    <row r="76">
      <c r="A76" s="7" t="n">
        <v>73</v>
      </c>
      <c r="B76" s="8" t="inlineStr">
        <is>
          <t xml:space="preserve">        CREATE TABLE IF NOT EXISTS video_ocr (</t>
        </is>
      </c>
    </row>
    <row r="77">
      <c r="A77" s="9" t="n">
        <v>74</v>
      </c>
      <c r="B77" s="10" t="inlineStr">
        <is>
          <t xml:space="preserve">            id INTEGER PRIMARY KEY AUTOINCREMENT,</t>
        </is>
      </c>
    </row>
    <row r="78">
      <c r="A78" s="7" t="n">
        <v>75</v>
      </c>
      <c r="B78" s="8" t="inlineStr">
        <is>
          <t xml:space="preserve">            video_id INTEGER REFERENCES videos(id),</t>
        </is>
      </c>
    </row>
    <row r="79">
      <c r="A79" s="9" t="n">
        <v>76</v>
      </c>
      <c r="B79" s="10" t="inlineStr">
        <is>
          <t xml:space="preserve">            scene_id INTEGER REFERENCES video_scenes(id),</t>
        </is>
      </c>
    </row>
    <row r="80">
      <c r="A80" s="7" t="n">
        <v>77</v>
      </c>
      <c r="B80" s="8" t="inlineStr">
        <is>
          <t xml:space="preserve">            text_content TEXT,</t>
        </is>
      </c>
    </row>
    <row r="81">
      <c r="A81" s="9" t="n">
        <v>78</v>
      </c>
      <c r="B81" s="10" t="inlineStr">
        <is>
          <t xml:space="preserve">            confidence REAL,</t>
        </is>
      </c>
    </row>
    <row r="82">
      <c r="A82" s="7" t="n">
        <v>79</v>
      </c>
      <c r="B82" s="8" t="inlineStr">
        <is>
          <t xml:space="preserve">            language TEXT,</t>
        </is>
      </c>
    </row>
    <row r="83">
      <c r="A83" s="9" t="n">
        <v>80</v>
      </c>
      <c r="B83" s="10" t="inlineStr">
        <is>
          <t xml:space="preserve">            created_at TEXT DEFAULT CURRENT_TIMESTAMP</t>
        </is>
      </c>
    </row>
    <row r="84">
      <c r="A84" s="7" t="n">
        <v>81</v>
      </c>
      <c r="B84" s="8" t="inlineStr">
        <is>
          <t xml:space="preserve">        );</t>
        </is>
      </c>
    </row>
    <row r="85">
      <c r="A85" s="9" t="n">
        <v>82</v>
      </c>
      <c r="B85" s="10" t="inlineStr"/>
    </row>
    <row r="86">
      <c r="A86" s="7" t="n">
        <v>83</v>
      </c>
      <c r="B86" s="8" t="inlineStr">
        <is>
          <t xml:space="preserve">        -- Audio/speech</t>
        </is>
      </c>
    </row>
    <row r="87">
      <c r="A87" s="9" t="n">
        <v>84</v>
      </c>
      <c r="B87" s="10" t="inlineStr">
        <is>
          <t xml:space="preserve">        CREATE TABLE IF NOT EXISTS video_audio (</t>
        </is>
      </c>
    </row>
    <row r="88">
      <c r="A88" s="7" t="n">
        <v>85</v>
      </c>
      <c r="B88" s="8" t="inlineStr">
        <is>
          <t xml:space="preserve">            id INTEGER PRIMARY KEY AUTOINCREMENT,</t>
        </is>
      </c>
    </row>
    <row r="89">
      <c r="A89" s="9" t="n">
        <v>86</v>
      </c>
      <c r="B89" s="10" t="inlineStr">
        <is>
          <t xml:space="preserve">            video_id INTEGER REFERENCES videos(id),</t>
        </is>
      </c>
    </row>
    <row r="90">
      <c r="A90" s="7" t="n">
        <v>87</v>
      </c>
      <c r="B90" s="8" t="inlineStr">
        <is>
          <t xml:space="preserve">            scene_id INTEGER REFERENCES video_scenes(id),</t>
        </is>
      </c>
    </row>
    <row r="91">
      <c r="A91" s="9" t="n">
        <v>88</v>
      </c>
      <c r="B91" s="10" t="inlineStr">
        <is>
          <t xml:space="preserve">            transcript TEXT, keywords TEXT,</t>
        </is>
      </c>
    </row>
    <row r="92">
      <c r="A92" s="7" t="n">
        <v>89</v>
      </c>
      <c r="B92" s="8" t="inlineStr">
        <is>
          <t xml:space="preserve">            language TEXT, duration REAL,</t>
        </is>
      </c>
    </row>
    <row r="93">
      <c r="A93" s="9" t="n">
        <v>90</v>
      </c>
      <c r="B93" s="10" t="inlineStr">
        <is>
          <t xml:space="preserve">            created_at TEXT DEFAULT CURRENT_TIMESTAMP</t>
        </is>
      </c>
    </row>
    <row r="94">
      <c r="A94" s="7" t="n">
        <v>91</v>
      </c>
      <c r="B94" s="8" t="inlineStr">
        <is>
          <t xml:space="preserve">        );</t>
        </is>
      </c>
    </row>
    <row r="95">
      <c r="A95" s="9" t="n">
        <v>92</v>
      </c>
      <c r="B95" s="10" t="inlineStr"/>
    </row>
    <row r="96">
      <c r="A96" s="7" t="n">
        <v>93</v>
      </c>
      <c r="B96" s="8" t="inlineStr">
        <is>
          <t xml:space="preserve">        -- Quality scores</t>
        </is>
      </c>
    </row>
    <row r="97">
      <c r="A97" s="9" t="n">
        <v>94</v>
      </c>
      <c r="B97" s="10" t="inlineStr">
        <is>
          <t xml:space="preserve">        CREATE TABLE IF NOT EXISTS video_scores (</t>
        </is>
      </c>
    </row>
    <row r="98">
      <c r="A98" s="7" t="n">
        <v>95</v>
      </c>
      <c r="B98" s="8" t="inlineStr">
        <is>
          <t xml:space="preserve">            id INTEGER PRIMARY KEY AUTOINCREMENT,</t>
        </is>
      </c>
    </row>
    <row r="99">
      <c r="A99" s="9" t="n">
        <v>96</v>
      </c>
      <c r="B99" s="10" t="inlineStr">
        <is>
          <t xml:space="preserve">            video_id INTEGER REFERENCES videos(id),</t>
        </is>
      </c>
    </row>
    <row r="100">
      <c r="A100" s="7" t="n">
        <v>97</v>
      </c>
      <c r="B100" s="8" t="inlineStr">
        <is>
          <t xml:space="preserve">            scene_id INTEGER REFERENCES video_scenes(id),</t>
        </is>
      </c>
    </row>
    <row r="101">
      <c r="A101" s="9" t="n">
        <v>98</v>
      </c>
      <c r="B101" s="10" t="inlineStr">
        <is>
          <t xml:space="preserve">            clarity REAL, stability REAL, composition REAL,</t>
        </is>
      </c>
    </row>
    <row r="102">
      <c r="A102" s="7" t="n">
        <v>99</v>
      </c>
      <c r="B102" s="8" t="inlineStr">
        <is>
          <t xml:space="preserve">            marketing_value REAL, industry_relevance REAL,</t>
        </is>
      </c>
    </row>
    <row r="103">
      <c r="A103" s="9" t="n">
        <v>100</v>
      </c>
      <c r="B103" s="10" t="inlineStr">
        <is>
          <t xml:space="preserve">            total_score REAL,</t>
        </is>
      </c>
    </row>
    <row r="104">
      <c r="A104" s="7" t="n">
        <v>101</v>
      </c>
      <c r="B104" s="8" t="inlineStr">
        <is>
          <t xml:space="preserve">            created_at TEXT DEFAULT CURRENT_TIMESTAMP</t>
        </is>
      </c>
    </row>
    <row r="105">
      <c r="A105" s="9" t="n">
        <v>102</v>
      </c>
      <c r="B105" s="10" t="inlineStr">
        <is>
          <t xml:space="preserve">        );</t>
        </is>
      </c>
    </row>
    <row r="106">
      <c r="A106" s="7" t="n">
        <v>103</v>
      </c>
      <c r="B106" s="8" t="inlineStr"/>
    </row>
    <row r="107">
      <c r="A107" s="9" t="n">
        <v>104</v>
      </c>
      <c r="B107" s="10" t="inlineStr">
        <is>
          <t xml:space="preserve">        -- Industry knowledge base</t>
        </is>
      </c>
    </row>
    <row r="108">
      <c r="A108" s="7" t="n">
        <v>105</v>
      </c>
      <c r="B108" s="8" t="inlineStr">
        <is>
          <t xml:space="preserve">        CREATE TABLE IF NOT EXISTS knowledge_base (</t>
        </is>
      </c>
    </row>
    <row r="109">
      <c r="A109" s="9" t="n">
        <v>106</v>
      </c>
      <c r="B109" s="10" t="inlineStr">
        <is>
          <t xml:space="preserve">            id INTEGER PRIMARY KEY AUTOINCREMENT,</t>
        </is>
      </c>
    </row>
    <row r="110">
      <c r="A110" s="7" t="n">
        <v>107</v>
      </c>
      <c r="B110" s="8" t="inlineStr">
        <is>
          <t xml:space="preserve">            category TEXT, subcategory TEXT,</t>
        </is>
      </c>
    </row>
    <row r="111">
      <c r="A111" s="9" t="n">
        <v>108</v>
      </c>
      <c r="B111" s="10" t="inlineStr">
        <is>
          <t xml:space="preserve">            keyword TEXT UNIQUE, aliases TEXT,</t>
        </is>
      </c>
    </row>
    <row r="112">
      <c r="A112" s="7" t="n">
        <v>109</v>
      </c>
      <c r="B112" s="8" t="inlineStr">
        <is>
          <t xml:space="preserve">            priority INTEGER DEFAULT 0,</t>
        </is>
      </c>
    </row>
    <row r="113">
      <c r="A113" s="9" t="n">
        <v>110</v>
      </c>
      <c r="B113" s="10" t="inlineStr">
        <is>
          <t xml:space="preserve">            version TEXT DEFAULT '1.0',</t>
        </is>
      </c>
    </row>
    <row r="114">
      <c r="A114" s="7" t="n">
        <v>111</v>
      </c>
      <c r="B114" s="8" t="inlineStr">
        <is>
          <t xml:space="preserve">            created_at TEXT DEFAULT CURRENT_TIMESTAMP</t>
        </is>
      </c>
    </row>
    <row r="115">
      <c r="A115" s="9" t="n">
        <v>112</v>
      </c>
      <c r="B115" s="10" t="inlineStr">
        <is>
          <t xml:space="preserve">        );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 xml:space="preserve">        -- Custom user tags</t>
        </is>
      </c>
    </row>
    <row r="118">
      <c r="A118" s="7" t="n">
        <v>115</v>
      </c>
      <c r="B118" s="8" t="inlineStr">
        <is>
          <t xml:space="preserve">        CREATE TABLE IF NOT EXISTS custom_tags (</t>
        </is>
      </c>
    </row>
    <row r="119">
      <c r="A119" s="9" t="n">
        <v>116</v>
      </c>
      <c r="B119" s="10" t="inlineStr">
        <is>
          <t xml:space="preserve">            id INTEGER PRIMARY KEY AUTOINCREMENT,</t>
        </is>
      </c>
    </row>
    <row r="120">
      <c r="A120" s="7" t="n">
        <v>117</v>
      </c>
      <c r="B120" s="8" t="inlineStr">
        <is>
          <t xml:space="preserve">            video_id INTEGER REFERENCES videos(id),</t>
        </is>
      </c>
    </row>
    <row r="121">
      <c r="A121" s="9" t="n">
        <v>118</v>
      </c>
      <c r="B121" s="10" t="inlineStr">
        <is>
          <t xml:space="preserve">            tag_level INTEGER, tag_category TEXT,</t>
        </is>
      </c>
    </row>
    <row r="122">
      <c r="A122" s="7" t="n">
        <v>119</v>
      </c>
      <c r="B122" s="8" t="inlineStr">
        <is>
          <t xml:space="preserve">            tag_value TEXT, confidence REAL DEFAULT 1.0,</t>
        </is>
      </c>
    </row>
    <row r="123">
      <c r="A123" s="9" t="n">
        <v>120</v>
      </c>
      <c r="B123" s="10" t="inlineStr">
        <is>
          <t xml:space="preserve">            source TEXT DEFAULT 'user',</t>
        </is>
      </c>
    </row>
    <row r="124">
      <c r="A124" s="7" t="n">
        <v>121</v>
      </c>
      <c r="B124" s="8" t="inlineStr">
        <is>
          <t xml:space="preserve">            created_at TEXT DEFAULT CURRENT_TIMESTAMP</t>
        </is>
      </c>
    </row>
    <row r="125">
      <c r="A125" s="9" t="n">
        <v>122</v>
      </c>
      <c r="B125" s="10" t="inlineStr">
        <is>
          <t xml:space="preserve">        );</t>
        </is>
      </c>
    </row>
    <row r="126">
      <c r="A126" s="7" t="n">
        <v>123</v>
      </c>
      <c r="B126" s="8" t="inlineStr"/>
    </row>
    <row r="127">
      <c r="A127" s="9" t="n">
        <v>124</v>
      </c>
      <c r="B127" s="10" t="inlineStr">
        <is>
          <t xml:space="preserve">        -- Feedback learning log</t>
        </is>
      </c>
    </row>
    <row r="128">
      <c r="A128" s="7" t="n">
        <v>125</v>
      </c>
      <c r="B128" s="8" t="inlineStr">
        <is>
          <t xml:space="preserve">        CREATE TABLE IF NOT EXISTS feedback_logs (</t>
        </is>
      </c>
    </row>
    <row r="129">
      <c r="A129" s="9" t="n">
        <v>126</v>
      </c>
      <c r="B129" s="10" t="inlineStr">
        <is>
          <t xml:space="preserve">            id INTEGER PRIMARY KEY AUTOINCREMENT,</t>
        </is>
      </c>
    </row>
    <row r="130">
      <c r="A130" s="7" t="n">
        <v>127</v>
      </c>
      <c r="B130" s="8" t="inlineStr">
        <is>
          <t xml:space="preserve">            video_id INTEGER, action TEXT,</t>
        </is>
      </c>
    </row>
    <row r="131">
      <c r="A131" s="9" t="n">
        <v>128</v>
      </c>
      <c r="B131" s="10" t="inlineStr">
        <is>
          <t xml:space="preserve">            old_value TEXT, new_value TEXT,</t>
        </is>
      </c>
    </row>
    <row r="132">
      <c r="A132" s="7" t="n">
        <v>129</v>
      </c>
      <c r="B132" s="8" t="inlineStr">
        <is>
          <t xml:space="preserve">            source TEXT DEFAULT 'user',</t>
        </is>
      </c>
    </row>
    <row r="133">
      <c r="A133" s="9" t="n">
        <v>130</v>
      </c>
      <c r="B133" s="10" t="inlineStr">
        <is>
          <t xml:space="preserve">            created_at TEXT DEFAULT CURRENT_TIMESTAMP</t>
        </is>
      </c>
    </row>
    <row r="134">
      <c r="A134" s="7" t="n">
        <v>131</v>
      </c>
      <c r="B134" s="8" t="inlineStr">
        <is>
          <t xml:space="preserve">        );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 xml:space="preserve">        -- Task queue</t>
        </is>
      </c>
    </row>
    <row r="137">
      <c r="A137" s="9" t="n">
        <v>134</v>
      </c>
      <c r="B137" s="10" t="inlineStr">
        <is>
          <t xml:space="preserve">        CREATE TABLE IF NOT EXISTS task_queue (</t>
        </is>
      </c>
    </row>
    <row r="138">
      <c r="A138" s="7" t="n">
        <v>135</v>
      </c>
      <c r="B138" s="8" t="inlineStr">
        <is>
          <t xml:space="preserve">            id INTEGER PRIMARY KEY AUTOINCREMENT,</t>
        </is>
      </c>
    </row>
    <row r="139">
      <c r="A139" s="9" t="n">
        <v>136</v>
      </c>
      <c r="B139" s="10" t="inlineStr">
        <is>
          <t xml:space="preserve">            video_path TEXT, task_type TEXT,</t>
        </is>
      </c>
    </row>
    <row r="140">
      <c r="A140" s="7" t="n">
        <v>137</v>
      </c>
      <c r="B140" s="8" t="inlineStr">
        <is>
          <t xml:space="preserve">            status TEXT DEFAULT 'pending',</t>
        </is>
      </c>
    </row>
    <row r="141">
      <c r="A141" s="9" t="n">
        <v>138</v>
      </c>
      <c r="B141" s="10" t="inlineStr">
        <is>
          <t xml:space="preserve">            priority INTEGER DEFAULT 0,</t>
        </is>
      </c>
    </row>
    <row r="142">
      <c r="A142" s="7" t="n">
        <v>139</v>
      </c>
      <c r="B142" s="8" t="inlineStr">
        <is>
          <t xml:space="preserve">            retry_count INTEGER DEFAULT 0,</t>
        </is>
      </c>
    </row>
    <row r="143">
      <c r="A143" s="9" t="n">
        <v>140</v>
      </c>
      <c r="B143" s="10" t="inlineStr">
        <is>
          <t xml:space="preserve">            error_msg TEXT,</t>
        </is>
      </c>
    </row>
    <row r="144">
      <c r="A144" s="7" t="n">
        <v>141</v>
      </c>
      <c r="B144" s="8" t="inlineStr">
        <is>
          <t xml:space="preserve">            created_at TEXT DEFAULT CURRENT_TIMESTAMP,</t>
        </is>
      </c>
    </row>
    <row r="145">
      <c r="A145" s="9" t="n">
        <v>142</v>
      </c>
      <c r="B145" s="10" t="inlineStr">
        <is>
          <t xml:space="preserve">            started_at TEXT, completed_at TEXT</t>
        </is>
      </c>
    </row>
    <row r="146">
      <c r="A146" s="7" t="n">
        <v>143</v>
      </c>
      <c r="B146" s="8" t="inlineStr">
        <is>
          <t xml:space="preserve">        );</t>
        </is>
      </c>
    </row>
    <row r="147">
      <c r="A147" s="9" t="n">
        <v>144</v>
      </c>
      <c r="B147" s="10" t="inlineStr"/>
    </row>
    <row r="148">
      <c r="A148" s="7" t="n">
        <v>145</v>
      </c>
      <c r="B148" s="8" t="inlineStr">
        <is>
          <t xml:space="preserve">        -- Indexes</t>
        </is>
      </c>
    </row>
    <row r="149">
      <c r="A149" s="9" t="n">
        <v>146</v>
      </c>
      <c r="B149" s="10" t="inlineStr">
        <is>
          <t xml:space="preserve">        CREATE INDEX IF NOT EXISTS idx_videos_path ON videos(path);</t>
        </is>
      </c>
    </row>
    <row r="150">
      <c r="A150" s="7" t="n">
        <v>147</v>
      </c>
      <c r="B150" s="8" t="inlineStr">
        <is>
          <t xml:space="preserve">        CREATE INDEX IF NOT EXISTS idx_videos_status ON videos(status);</t>
        </is>
      </c>
    </row>
    <row r="151">
      <c r="A151" s="9" t="n">
        <v>148</v>
      </c>
      <c r="B151" s="10" t="inlineStr">
        <is>
          <t xml:space="preserve">        CREATE INDEX IF NOT EXISTS idx_scenes_video ON video_scenes(video_id);</t>
        </is>
      </c>
    </row>
    <row r="152">
      <c r="A152" s="7" t="n">
        <v>149</v>
      </c>
      <c r="B152" s="8" t="inlineStr">
        <is>
          <t xml:space="preserve">        CREATE INDEX IF NOT EXISTS idx_tags_video ON video_tags(video_id);</t>
        </is>
      </c>
    </row>
    <row r="153">
      <c r="A153" s="9" t="n">
        <v>150</v>
      </c>
      <c r="B153" s="10" t="inlineStr">
        <is>
          <t xml:space="preserve">        CREATE INDEX IF NOT EXISTS idx_tags_value ON video_tags(tag_value);</t>
        </is>
      </c>
    </row>
    <row r="154">
      <c r="A154" s="7" t="n">
        <v>151</v>
      </c>
      <c r="B154" s="8" t="inlineStr">
        <is>
          <t xml:space="preserve">        CREATE INDEX IF NOT EXISTS idx_tags_level ON video_tags(tag_level);</t>
        </is>
      </c>
    </row>
    <row r="155">
      <c r="A155" s="9" t="n">
        <v>152</v>
      </c>
      <c r="B155" s="10" t="inlineStr">
        <is>
          <t xml:space="preserve">        CREATE INDEX IF NOT EXISTS idx_kb_keyword ON knowledge_base(keyword);</t>
        </is>
      </c>
    </row>
    <row r="156">
      <c r="A156" s="7" t="n">
        <v>153</v>
      </c>
      <c r="B156" s="8" t="inlineStr">
        <is>
          <t xml:space="preserve">        CREATE INDEX IF NOT EXISTS idx_kb_category ON knowledge_base(category);</t>
        </is>
      </c>
    </row>
    <row r="157">
      <c r="A157" s="9" t="n">
        <v>154</v>
      </c>
      <c r="B157" s="10" t="inlineStr">
        <is>
          <t xml:space="preserve">        CREATE INDEX IF NOT EXISTS idx_scores_video ON video_scores(video_id);</t>
        </is>
      </c>
    </row>
    <row r="158">
      <c r="A158" s="7" t="n">
        <v>155</v>
      </c>
      <c r="B158" s="8" t="inlineStr">
        <is>
          <t xml:space="preserve">        CREATE INDEX IF NOT EXISTS idx_tasks_status ON task_queue(status);</t>
        </is>
      </c>
    </row>
    <row r="159">
      <c r="A159" s="9" t="n">
        <v>156</v>
      </c>
      <c r="B159" s="10" t="inlineStr">
        <is>
          <t xml:space="preserve">    """)</t>
        </is>
      </c>
    </row>
    <row r="160">
      <c r="A160" s="7" t="n">
        <v>157</v>
      </c>
      <c r="B160" s="8" t="inlineStr">
        <is>
          <t xml:space="preserve">    conn.commit()</t>
        </is>
      </c>
    </row>
    <row r="161">
      <c r="A161" s="9" t="n">
        <v>158</v>
      </c>
      <c r="B161" s="10" t="inlineStr">
        <is>
          <t xml:space="preserve">    conn.close()</t>
        </is>
      </c>
    </row>
    <row r="162">
      <c r="A162" s="7" t="n">
        <v>159</v>
      </c>
      <c r="B162" s="8" t="inlineStr">
        <is>
          <t xml:space="preserve">    print(f"[V3 DB] Initialized: {db_path}")</t>
        </is>
      </c>
    </row>
    <row r="163">
      <c r="A163" s="9" t="n">
        <v>160</v>
      </c>
      <c r="B163" s="10" t="inlineStr"/>
    </row>
    <row r="164">
      <c r="A164" s="7" t="n">
        <v>161</v>
      </c>
      <c r="B164" s="8" t="inlineStr">
        <is>
          <t>if __name__ == "__main__":</t>
        </is>
      </c>
    </row>
    <row r="165">
      <c r="A165" s="9" t="n">
        <v>162</v>
      </c>
      <c r="B165" s="10" t="inlineStr">
        <is>
          <t xml:space="preserve">    init_db()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material_engine_v3\knowledge\industry_kb.py</t>
        </is>
      </c>
      <c r="C1" s="5" t="inlineStr">
        <is>
          <t>行数: 138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Island Counter Industry Knowledge Base V1.0</t>
        </is>
      </c>
    </row>
    <row r="6">
      <c r="A6" s="7" t="n">
        <v>3</v>
      </c>
      <c r="B6" s="8" t="inlineStr">
        <is>
          <t>4-level tag system + auto-correction for VL model outputs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json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KB_FILE = Path(__file__).parent / "island_kb.json"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# Full industry taxonomy</t>
        </is>
      </c>
    </row>
    <row r="14">
      <c r="A14" s="7" t="n">
        <v>11</v>
      </c>
      <c r="B14" s="8" t="inlineStr">
        <is>
          <t>INDUSTRY_KB = {</t>
        </is>
      </c>
    </row>
    <row r="15">
      <c r="A15" s="9" t="n">
        <v>12</v>
      </c>
      <c r="B15" s="10" t="inlineStr">
        <is>
          <t xml:space="preserve">    "product": {</t>
        </is>
      </c>
    </row>
    <row r="16">
      <c r="A16" s="7" t="n">
        <v>13</v>
      </c>
      <c r="B16" s="8" t="inlineStr">
        <is>
          <t xml:space="preserve">        "岛台": ["island", "kitchen island", "中岛", "island counter"],</t>
        </is>
      </c>
    </row>
    <row r="17">
      <c r="A17" s="9" t="n">
        <v>14</v>
      </c>
      <c r="B17" s="10" t="inlineStr">
        <is>
          <t xml:space="preserve">        "餐边柜": ["sideboard", "buffet", "side cabinet"],</t>
        </is>
      </c>
    </row>
    <row r="18">
      <c r="A18" s="7" t="n">
        <v>15</v>
      </c>
      <c r="B18" s="8" t="inlineStr">
        <is>
          <t xml:space="preserve">        "吧台": ["bar counter", "bar table", "breakfast bar"],</t>
        </is>
      </c>
    </row>
    <row r="19">
      <c r="A19" s="9" t="n">
        <v>16</v>
      </c>
      <c r="B19" s="10" t="inlineStr">
        <is>
          <t xml:space="preserve">        "中岛柜": ["center island cabinet", "central island"],</t>
        </is>
      </c>
    </row>
    <row r="20">
      <c r="A20" s="7" t="n">
        <v>17</v>
      </c>
      <c r="B20" s="8" t="inlineStr">
        <is>
          <t xml:space="preserve">        "悬浮岛台": ["floating island", "suspended island"],</t>
        </is>
      </c>
    </row>
    <row r="21">
      <c r="A21" s="9" t="n">
        <v>18</v>
      </c>
      <c r="B21" s="10" t="inlineStr">
        <is>
          <t xml:space="preserve">        "落地岛台": ["floor-standing island", "full-height island"],</t>
        </is>
      </c>
    </row>
    <row r="22">
      <c r="A22" s="7" t="n">
        <v>19</v>
      </c>
      <c r="B22" s="8" t="inlineStr">
        <is>
          <t xml:space="preserve">        "岛台餐桌一体": ["island dining table combo", "integrated island table"],</t>
        </is>
      </c>
    </row>
    <row r="23">
      <c r="A23" s="9" t="n">
        <v>20</v>
      </c>
      <c r="B23" s="10" t="inlineStr">
        <is>
          <t xml:space="preserve">    },</t>
        </is>
      </c>
    </row>
    <row r="24">
      <c r="A24" s="7" t="n">
        <v>21</v>
      </c>
      <c r="B24" s="8" t="inlineStr">
        <is>
          <t xml:space="preserve">    "material": {</t>
        </is>
      </c>
    </row>
    <row r="25">
      <c r="A25" s="9" t="n">
        <v>22</v>
      </c>
      <c r="B25" s="10" t="inlineStr">
        <is>
          <t xml:space="preserve">        "岩板": ["sintered stone", "slab", "rock panel", "stone slab"],</t>
        </is>
      </c>
    </row>
    <row r="26">
      <c r="A26" s="7" t="n">
        <v>23</v>
      </c>
      <c r="B26" s="8" t="inlineStr">
        <is>
          <t xml:space="preserve">        "通体岩板": ["full-body sintered stone", "through-body slab"],</t>
        </is>
      </c>
    </row>
    <row r="27">
      <c r="A27" s="9" t="n">
        <v>24</v>
      </c>
      <c r="B27" s="10" t="inlineStr">
        <is>
          <t xml:space="preserve">        "连纹岩板": ["continuous vein slab", "book-matched slab"],</t>
        </is>
      </c>
    </row>
    <row r="28">
      <c r="A28" s="7" t="n">
        <v>25</v>
      </c>
      <c r="B28" s="8" t="inlineStr">
        <is>
          <t xml:space="preserve">        "大理石": ["marble", "natural stone"],</t>
        </is>
      </c>
    </row>
    <row r="29">
      <c r="A29" s="9" t="n">
        <v>26</v>
      </c>
      <c r="B29" s="10" t="inlineStr">
        <is>
          <t xml:space="preserve">        "石英石": ["quartz", "engineered quartz"],</t>
        </is>
      </c>
    </row>
    <row r="30">
      <c r="A30" s="7" t="n">
        <v>27</v>
      </c>
      <c r="B30" s="8" t="inlineStr">
        <is>
          <t xml:space="preserve">        "洞石": ["travertine", "travertine stone"],</t>
        </is>
      </c>
    </row>
    <row r="31">
      <c r="A31" s="9" t="n">
        <v>28</v>
      </c>
      <c r="B31" s="10" t="inlineStr">
        <is>
          <t xml:space="preserve">        "微水泥": ["micro cement", "microcement", "cement finish"],</t>
        </is>
      </c>
    </row>
    <row r="32">
      <c r="A32" s="7" t="n">
        <v>29</v>
      </c>
      <c r="B32" s="8" t="inlineStr">
        <is>
          <t xml:space="preserve">        "不锈钢": ["stainless steel", "metal surface"],</t>
        </is>
      </c>
    </row>
    <row r="33">
      <c r="A33" s="9" t="n">
        <v>30</v>
      </c>
      <c r="B33" s="10" t="inlineStr">
        <is>
          <t xml:space="preserve">        "实木": ["solid wood", "natural wood", "timber"],</t>
        </is>
      </c>
    </row>
    <row r="34">
      <c r="A34" s="7" t="n">
        <v>31</v>
      </c>
      <c r="B34" s="8" t="inlineStr">
        <is>
          <t xml:space="preserve">        "人造石": ["engineered stone", "artificial stone", "acrylic solid surface"],</t>
        </is>
      </c>
    </row>
    <row r="35">
      <c r="A35" s="9" t="n">
        <v>32</v>
      </c>
      <c r="B35" s="10" t="inlineStr">
        <is>
          <t xml:space="preserve">    },</t>
        </is>
      </c>
    </row>
    <row r="36">
      <c r="A36" s="7" t="n">
        <v>33</v>
      </c>
      <c r="B36" s="8" t="inlineStr">
        <is>
          <t xml:space="preserve">    "craft": {</t>
        </is>
      </c>
    </row>
    <row r="37">
      <c r="A37" s="9" t="n">
        <v>34</v>
      </c>
      <c r="B37" s="10" t="inlineStr">
        <is>
          <t xml:space="preserve">        "海棠角": ["beveled edge", "chamfered corner"],</t>
        </is>
      </c>
    </row>
    <row r="38">
      <c r="A38" s="7" t="n">
        <v>35</v>
      </c>
      <c r="B38" s="8" t="inlineStr">
        <is>
          <t xml:space="preserve">        "水磨边": ["water-polished edge", "smooth edge"],</t>
        </is>
      </c>
    </row>
    <row r="39">
      <c r="A39" s="9" t="n">
        <v>36</v>
      </c>
      <c r="B39" s="10" t="inlineStr">
        <is>
          <t xml:space="preserve">        "圆弧倒角": ["rounded corner", "radius edge", "filleted edge"],</t>
        </is>
      </c>
    </row>
    <row r="40">
      <c r="A40" s="7" t="n">
        <v>37</v>
      </c>
      <c r="B40" s="8" t="inlineStr">
        <is>
          <t xml:space="preserve">        "无缝台面": ["seamless countertop", "joint-free surface"],</t>
        </is>
      </c>
    </row>
    <row r="41">
      <c r="A41" s="9" t="n">
        <v>38</v>
      </c>
      <c r="B41" s="10" t="inlineStr">
        <is>
          <t xml:space="preserve">        "六面防潮": ["6-sided moisture proof", "full moisture barrier"],</t>
        </is>
      </c>
    </row>
    <row r="42">
      <c r="A42" s="7" t="n">
        <v>39</v>
      </c>
      <c r="B42" s="8" t="inlineStr">
        <is>
          <t xml:space="preserve">        "悬浮底座": ["floating base", "suspended foundation"],</t>
        </is>
      </c>
    </row>
    <row r="43">
      <c r="A43" s="9" t="n">
        <v>40</v>
      </c>
      <c r="B43" s="10" t="inlineStr">
        <is>
          <t xml:space="preserve">        "腰线设计": ["waistline design", "belt-line detail"],</t>
        </is>
      </c>
    </row>
    <row r="44">
      <c r="A44" s="7" t="n">
        <v>41</v>
      </c>
      <c r="B44" s="8" t="inlineStr">
        <is>
          <t xml:space="preserve">    },</t>
        </is>
      </c>
    </row>
    <row r="45">
      <c r="A45" s="9" t="n">
        <v>42</v>
      </c>
      <c r="B45" s="10" t="inlineStr">
        <is>
          <t xml:space="preserve">    "hardware": {</t>
        </is>
      </c>
    </row>
    <row r="46">
      <c r="A46" s="7" t="n">
        <v>43</v>
      </c>
      <c r="B46" s="8" t="inlineStr">
        <is>
          <t xml:space="preserve">        "公牛轨道插座": ["track socket", "rail socket", "movable outlet"],</t>
        </is>
      </c>
    </row>
    <row r="47">
      <c r="A47" s="9" t="n">
        <v>44</v>
      </c>
      <c r="B47" s="10" t="inlineStr">
        <is>
          <t xml:space="preserve">        "隐藏式插座": ["hidden socket", "concealed outlet", "pop-up socket"],</t>
        </is>
      </c>
    </row>
    <row r="48">
      <c r="A48" s="7" t="n">
        <v>45</v>
      </c>
      <c r="B48" s="8" t="inlineStr">
        <is>
          <t xml:space="preserve">        "软关门铰链": ["soft-close hinge", "damped hinge"],</t>
        </is>
      </c>
    </row>
    <row r="49">
      <c r="A49" s="9" t="n">
        <v>46</v>
      </c>
      <c r="B49" s="10" t="inlineStr">
        <is>
          <t xml:space="preserve">        "全推拉抽屉": ["full-extension drawer", "push-pull drawer"],</t>
        </is>
      </c>
    </row>
    <row r="50">
      <c r="A50" s="7" t="n">
        <v>47</v>
      </c>
      <c r="B50" s="8" t="inlineStr">
        <is>
          <t xml:space="preserve">        "感应灯带": ["sensor light strip", "motion LED strip"],</t>
        </is>
      </c>
    </row>
    <row r="51">
      <c r="A51" s="9" t="n">
        <v>48</v>
      </c>
      <c r="B51" s="10" t="inlineStr">
        <is>
          <t xml:space="preserve">        "无拉手设计": ["handleless design", "push-to-open"],</t>
        </is>
      </c>
    </row>
    <row r="52">
      <c r="A52" s="7" t="n">
        <v>49</v>
      </c>
      <c r="B52" s="8" t="inlineStr">
        <is>
          <t xml:space="preserve">        "嵌入式蒸烤": ["built-in steam oven", "integrated oven"],</t>
        </is>
      </c>
    </row>
    <row r="53">
      <c r="A53" s="9" t="n">
        <v>50</v>
      </c>
      <c r="B53" s="10" t="inlineStr">
        <is>
          <t xml:space="preserve">        "集成水槽": ["integrated sink", "built-in sink"],</t>
        </is>
      </c>
    </row>
    <row r="54">
      <c r="A54" s="7" t="n">
        <v>51</v>
      </c>
      <c r="B54" s="8" t="inlineStr">
        <is>
          <t xml:space="preserve">    },</t>
        </is>
      </c>
    </row>
    <row r="55">
      <c r="A55" s="9" t="n">
        <v>52</v>
      </c>
      <c r="B55" s="10" t="inlineStr">
        <is>
          <t xml:space="preserve">    "style": {</t>
        </is>
      </c>
    </row>
    <row r="56">
      <c r="A56" s="7" t="n">
        <v>53</v>
      </c>
      <c r="B56" s="8" t="inlineStr">
        <is>
          <t xml:space="preserve">        "意式中古风": ["Italian mid-century", "Italian vintage"],</t>
        </is>
      </c>
    </row>
    <row r="57">
      <c r="A57" s="9" t="n">
        <v>54</v>
      </c>
      <c r="B57" s="10" t="inlineStr">
        <is>
          <t xml:space="preserve">        "法式奶油风": ["French cream style", "French pastoral"],</t>
        </is>
      </c>
    </row>
    <row r="58">
      <c r="A58" s="7" t="n">
        <v>55</v>
      </c>
      <c r="B58" s="8" t="inlineStr">
        <is>
          <t xml:space="preserve">        "侘寂风": ["wabi-sabi", "Japanese zen", "imperfect beauty"],</t>
        </is>
      </c>
    </row>
    <row r="59">
      <c r="A59" s="9" t="n">
        <v>56</v>
      </c>
      <c r="B59" s="10" t="inlineStr">
        <is>
          <t xml:space="preserve">        "极简风": ["minimalist", "ultra-minimal", "clean line"],</t>
        </is>
      </c>
    </row>
    <row r="60">
      <c r="A60" s="7" t="n">
        <v>57</v>
      </c>
      <c r="B60" s="8" t="inlineStr">
        <is>
          <t xml:space="preserve">        "轻奢风": ["light luxury", "affordable luxury"],</t>
        </is>
      </c>
    </row>
    <row r="61">
      <c r="A61" s="9" t="n">
        <v>58</v>
      </c>
      <c r="B61" s="10" t="inlineStr">
        <is>
          <t xml:space="preserve">        "原木风": ["natural wood style", "organic wood"],</t>
        </is>
      </c>
    </row>
    <row r="62">
      <c r="A62" s="7" t="n">
        <v>59</v>
      </c>
      <c r="B62" s="8" t="inlineStr">
        <is>
          <t xml:space="preserve">        "包豪斯": ["Bauhaus", "form follows function"],</t>
        </is>
      </c>
    </row>
    <row r="63">
      <c r="A63" s="9" t="n">
        <v>60</v>
      </c>
      <c r="B63" s="10" t="inlineStr">
        <is>
          <t xml:space="preserve">        "新中式": ["neo-Chinese", "modern oriental"],</t>
        </is>
      </c>
    </row>
    <row r="64">
      <c r="A64" s="7" t="n">
        <v>61</v>
      </c>
      <c r="B64" s="8" t="inlineStr">
        <is>
          <t xml:space="preserve">        "工业风": ["industrial style", "loft style"],</t>
        </is>
      </c>
    </row>
    <row r="65">
      <c r="A65" s="9" t="n">
        <v>62</v>
      </c>
      <c r="B65" s="10" t="inlineStr">
        <is>
          <t xml:space="preserve">    },</t>
        </is>
      </c>
    </row>
    <row r="66">
      <c r="A66" s="7" t="n">
        <v>63</v>
      </c>
      <c r="B66" s="8" t="inlineStr">
        <is>
          <t xml:space="preserve">    "scene": {</t>
        </is>
      </c>
    </row>
    <row r="67">
      <c r="A67" s="9" t="n">
        <v>64</v>
      </c>
      <c r="B67" s="10" t="inlineStr">
        <is>
          <t xml:space="preserve">        "备餐": ["food prep", "meal preparation"],</t>
        </is>
      </c>
    </row>
    <row r="68">
      <c r="A68" s="7" t="n">
        <v>65</v>
      </c>
      <c r="B68" s="8" t="inlineStr">
        <is>
          <t xml:space="preserve">        "下厨": ["cooking", "kitchen work"],</t>
        </is>
      </c>
    </row>
    <row r="69">
      <c r="A69" s="9" t="n">
        <v>66</v>
      </c>
      <c r="B69" s="10" t="inlineStr">
        <is>
          <t xml:space="preserve">        "就餐": ["dining", "eating", "meal time"],</t>
        </is>
      </c>
    </row>
    <row r="70">
      <c r="A70" s="7" t="n">
        <v>67</v>
      </c>
      <c r="B70" s="8" t="inlineStr">
        <is>
          <t xml:space="preserve">        "展示": ["display", "showcase", "presentation"],</t>
        </is>
      </c>
    </row>
    <row r="71">
      <c r="A71" s="9" t="n">
        <v>68</v>
      </c>
      <c r="B71" s="10" t="inlineStr">
        <is>
          <t xml:space="preserve">        "收纳展示": ["storage display", "organized storage"],</t>
        </is>
      </c>
    </row>
    <row r="72">
      <c r="A72" s="7" t="n">
        <v>69</v>
      </c>
      <c r="B72" s="8" t="inlineStr">
        <is>
          <t xml:space="preserve">        "开放厨房": ["open kitchen", "open-plan kitchen"],</t>
        </is>
      </c>
    </row>
    <row r="73">
      <c r="A73" s="9" t="n">
        <v>70</v>
      </c>
      <c r="B73" s="10" t="inlineStr">
        <is>
          <t xml:space="preserve">        "动线设计": ["workflow design", "kitchen triangle"],</t>
        </is>
      </c>
    </row>
    <row r="74">
      <c r="A74" s="7" t="n">
        <v>71</v>
      </c>
      <c r="B74" s="8" t="inlineStr">
        <is>
          <t xml:space="preserve">    },</t>
        </is>
      </c>
    </row>
    <row r="75">
      <c r="A75" s="9" t="n">
        <v>72</v>
      </c>
      <c r="B75" s="10" t="inlineStr">
        <is>
          <t xml:space="preserve">    "sense": {</t>
        </is>
      </c>
    </row>
    <row r="76">
      <c r="A76" s="7" t="n">
        <v>73</v>
      </c>
      <c r="B76" s="8" t="inlineStr">
        <is>
          <t xml:space="preserve">        "温润": ["warm and smooth", "gentle texture"],</t>
        </is>
      </c>
    </row>
    <row r="77">
      <c r="A77" s="9" t="n">
        <v>74</v>
      </c>
      <c r="B77" s="10" t="inlineStr">
        <is>
          <t xml:space="preserve">        "细腻": ["fine grain", "delicate", "refined"],</t>
        </is>
      </c>
    </row>
    <row r="78">
      <c r="A78" s="7" t="n">
        <v>75</v>
      </c>
      <c r="B78" s="8" t="inlineStr">
        <is>
          <t xml:space="preserve">        "哑光": ["matte", "non-glossy", "soft finish"],</t>
        </is>
      </c>
    </row>
    <row r="79">
      <c r="A79" s="9" t="n">
        <v>76</v>
      </c>
      <c r="B79" s="10" t="inlineStr">
        <is>
          <t xml:space="preserve">        "通透": ["transparent", "airy", "open feel"],</t>
        </is>
      </c>
    </row>
    <row r="80">
      <c r="A80" s="7" t="n">
        <v>77</v>
      </c>
      <c r="B80" s="8" t="inlineStr">
        <is>
          <t xml:space="preserve">        "大气": ["grand", "spacious", "magnificent"],</t>
        </is>
      </c>
    </row>
    <row r="81">
      <c r="A81" s="9" t="n">
        <v>78</v>
      </c>
      <c r="B81" s="10" t="inlineStr">
        <is>
          <t xml:space="preserve">        "沉稳": ["steady", "grounded", "solid presence"],</t>
        </is>
      </c>
    </row>
    <row r="82">
      <c r="A82" s="7" t="n">
        <v>79</v>
      </c>
      <c r="B82" s="8" t="inlineStr">
        <is>
          <t xml:space="preserve">    },</t>
        </is>
      </c>
    </row>
    <row r="83">
      <c r="A83" s="9" t="n">
        <v>80</v>
      </c>
      <c r="B83" s="10" t="inlineStr">
        <is>
          <t>}</t>
        </is>
      </c>
    </row>
    <row r="84">
      <c r="A84" s="7" t="n">
        <v>81</v>
      </c>
      <c r="B84" s="8" t="inlineStr"/>
    </row>
    <row r="85">
      <c r="A85" s="9" t="n">
        <v>82</v>
      </c>
      <c r="B85" s="10" t="inlineStr">
        <is>
          <t># VL correction mapping (generic -&gt; industry-specific)</t>
        </is>
      </c>
    </row>
    <row r="86">
      <c r="A86" s="7" t="n">
        <v>83</v>
      </c>
      <c r="B86" s="8" t="inlineStr">
        <is>
          <t>VL_CORRECTION = {</t>
        </is>
      </c>
    </row>
    <row r="87">
      <c r="A87" s="9" t="n">
        <v>84</v>
      </c>
      <c r="B87" s="10" t="inlineStr">
        <is>
          <t xml:space="preserve">    "table": "岛台",</t>
        </is>
      </c>
    </row>
    <row r="88">
      <c r="A88" s="7" t="n">
        <v>85</v>
      </c>
      <c r="B88" s="8" t="inlineStr">
        <is>
          <t xml:space="preserve">    "desk": "岛台",</t>
        </is>
      </c>
    </row>
    <row r="89">
      <c r="A89" s="9" t="n">
        <v>86</v>
      </c>
      <c r="B89" s="10" t="inlineStr">
        <is>
          <t xml:space="preserve">    "cabinet": "餐边柜",</t>
        </is>
      </c>
    </row>
    <row r="90">
      <c r="A90" s="7" t="n">
        <v>87</v>
      </c>
      <c r="B90" s="8" t="inlineStr">
        <is>
          <t xml:space="preserve">    "stone": "岩板",</t>
        </is>
      </c>
    </row>
    <row r="91">
      <c r="A91" s="9" t="n">
        <v>88</v>
      </c>
      <c r="B91" s="10" t="inlineStr">
        <is>
          <t xml:space="preserve">    "rock": "岩板",</t>
        </is>
      </c>
    </row>
    <row r="92">
      <c r="A92" s="7" t="n">
        <v>89</v>
      </c>
      <c r="B92" s="8" t="inlineStr">
        <is>
          <t xml:space="preserve">    "wood": "实木",</t>
        </is>
      </c>
    </row>
    <row r="93">
      <c r="A93" s="9" t="n">
        <v>90</v>
      </c>
      <c r="B93" s="10" t="inlineStr">
        <is>
          <t xml:space="preserve">    "metal": "不锈钢",</t>
        </is>
      </c>
    </row>
    <row r="94">
      <c r="A94" s="7" t="n">
        <v>91</v>
      </c>
      <c r="B94" s="8" t="inlineStr">
        <is>
          <t xml:space="preserve">    "drawer": "抽屉",</t>
        </is>
      </c>
    </row>
    <row r="95">
      <c r="A95" s="9" t="n">
        <v>92</v>
      </c>
      <c r="B95" s="10" t="inlineStr">
        <is>
          <t xml:space="preserve">    "shelf": "收纳层",</t>
        </is>
      </c>
    </row>
    <row r="96">
      <c r="A96" s="7" t="n">
        <v>93</v>
      </c>
      <c r="B96" s="8" t="inlineStr">
        <is>
          <t xml:space="preserve">    "kitchen": "厨房空间",</t>
        </is>
      </c>
    </row>
    <row r="97">
      <c r="A97" s="9" t="n">
        <v>94</v>
      </c>
      <c r="B97" s="10" t="inlineStr">
        <is>
          <t xml:space="preserve">    "modern": "现代简约",</t>
        </is>
      </c>
    </row>
    <row r="98">
      <c r="A98" s="7" t="n">
        <v>95</v>
      </c>
      <c r="B98" s="8" t="inlineStr">
        <is>
          <t xml:space="preserve">    "simple": "极简风",</t>
        </is>
      </c>
    </row>
    <row r="99">
      <c r="A99" s="9" t="n">
        <v>96</v>
      </c>
      <c r="B99" s="10" t="inlineStr">
        <is>
          <t xml:space="preserve">    "luxury": "轻奢风",</t>
        </is>
      </c>
    </row>
    <row r="100">
      <c r="A100" s="7" t="n">
        <v>97</v>
      </c>
      <c r="B100" s="8" t="inlineStr">
        <is>
          <t xml:space="preserve">    "vintage": "中古风",</t>
        </is>
      </c>
    </row>
    <row r="101">
      <c r="A101" s="9" t="n">
        <v>98</v>
      </c>
      <c r="B101" s="10" t="inlineStr">
        <is>
          <t xml:space="preserve">    "white": "白色系",</t>
        </is>
      </c>
    </row>
    <row r="102">
      <c r="A102" s="7" t="n">
        <v>99</v>
      </c>
      <c r="B102" s="8" t="inlineStr">
        <is>
          <t xml:space="preserve">    "black": "黑色系",</t>
        </is>
      </c>
    </row>
    <row r="103">
      <c r="A103" s="9" t="n">
        <v>100</v>
      </c>
      <c r="B103" s="10" t="inlineStr">
        <is>
          <t xml:space="preserve">    "brown": "木纹色系",</t>
        </is>
      </c>
    </row>
    <row r="104">
      <c r="A104" s="7" t="n">
        <v>101</v>
      </c>
      <c r="B104" s="8" t="inlineStr">
        <is>
          <t xml:space="preserve">    "grey": "灰色系",</t>
        </is>
      </c>
    </row>
    <row r="105">
      <c r="A105" s="9" t="n">
        <v>102</v>
      </c>
      <c r="B105" s="10" t="inlineStr">
        <is>
          <t>}</t>
        </is>
      </c>
    </row>
    <row r="106">
      <c r="A106" s="7" t="n">
        <v>103</v>
      </c>
      <c r="B106" s="8" t="inlineStr"/>
    </row>
    <row r="107">
      <c r="A107" s="9" t="n">
        <v>104</v>
      </c>
      <c r="B107" s="10" t="inlineStr"/>
    </row>
    <row r="108">
      <c r="A108" s="7" t="n">
        <v>105</v>
      </c>
      <c r="B108" s="8" t="inlineStr">
        <is>
          <t>def query_kb(category=None, keyword=None):</t>
        </is>
      </c>
    </row>
    <row r="109">
      <c r="A109" s="9" t="n">
        <v>106</v>
      </c>
      <c r="B109" s="10" t="inlineStr">
        <is>
          <t xml:space="preserve">    """Query industry knowledge base"""</t>
        </is>
      </c>
    </row>
    <row r="110">
      <c r="A110" s="7" t="n">
        <v>107</v>
      </c>
      <c r="B110" s="8" t="inlineStr">
        <is>
          <t xml:space="preserve">    if category and category in INDUSTRY_KB:</t>
        </is>
      </c>
    </row>
    <row r="111">
      <c r="A111" s="9" t="n">
        <v>108</v>
      </c>
      <c r="B111" s="10" t="inlineStr">
        <is>
          <t xml:space="preserve">        return INDUSTRY_KB[category]</t>
        </is>
      </c>
    </row>
    <row r="112">
      <c r="A112" s="7" t="n">
        <v>109</v>
      </c>
      <c r="B112" s="8" t="inlineStr">
        <is>
          <t xml:space="preserve">    if keyword:</t>
        </is>
      </c>
    </row>
    <row r="113">
      <c r="A113" s="9" t="n">
        <v>110</v>
      </c>
      <c r="B113" s="10" t="inlineStr">
        <is>
          <t xml:space="preserve">        results = []</t>
        </is>
      </c>
    </row>
    <row r="114">
      <c r="A114" s="7" t="n">
        <v>111</v>
      </c>
      <c r="B114" s="8" t="inlineStr">
        <is>
          <t xml:space="preserve">        for cat, items in INDUSTRY_KB.items():</t>
        </is>
      </c>
    </row>
    <row r="115">
      <c r="A115" s="9" t="n">
        <v>112</v>
      </c>
      <c r="B115" s="10" t="inlineStr">
        <is>
          <t xml:space="preserve">            for k, aliases in items.items():</t>
        </is>
      </c>
    </row>
    <row r="116">
      <c r="A116" s="7" t="n">
        <v>113</v>
      </c>
      <c r="B116" s="8" t="inlineStr">
        <is>
          <t xml:space="preserve">                if keyword in k or any(keyword in a for a in aliases):</t>
        </is>
      </c>
    </row>
    <row r="117">
      <c r="A117" s="9" t="n">
        <v>114</v>
      </c>
      <c r="B117" s="10" t="inlineStr">
        <is>
          <t xml:space="preserve">                    results.append({"category": cat, "keyword": k, "aliases": aliases})</t>
        </is>
      </c>
    </row>
    <row r="118">
      <c r="A118" s="7" t="n">
        <v>115</v>
      </c>
      <c r="B118" s="8" t="inlineStr">
        <is>
          <t xml:space="preserve">        return results</t>
        </is>
      </c>
    </row>
    <row r="119">
      <c r="A119" s="9" t="n">
        <v>116</v>
      </c>
      <c r="B119" s="10" t="inlineStr">
        <is>
          <t xml:space="preserve">    return INDUSTRY_KB</t>
        </is>
      </c>
    </row>
    <row r="120">
      <c r="A120" s="7" t="n">
        <v>117</v>
      </c>
      <c r="B120" s="8" t="inlineStr"/>
    </row>
    <row r="121">
      <c r="A121" s="9" t="n">
        <v>118</v>
      </c>
      <c r="B121" s="10" t="inlineStr"/>
    </row>
    <row r="122">
      <c r="A122" s="7" t="n">
        <v>119</v>
      </c>
      <c r="B122" s="8" t="inlineStr">
        <is>
          <t>def correct_vl_output(vl_tag):</t>
        </is>
      </c>
    </row>
    <row r="123">
      <c r="A123" s="9" t="n">
        <v>120</v>
      </c>
      <c r="B123" s="10" t="inlineStr">
        <is>
          <t xml:space="preserve">    """Correct generic VL model output to industry-specific terms"""</t>
        </is>
      </c>
    </row>
    <row r="124">
      <c r="A124" s="7" t="n">
        <v>121</v>
      </c>
      <c r="B124" s="8" t="inlineStr">
        <is>
          <t xml:space="preserve">    vl_lower = vl_tag.lower().strip()</t>
        </is>
      </c>
    </row>
    <row r="125">
      <c r="A125" s="9" t="n">
        <v>122</v>
      </c>
      <c r="B125" s="10" t="inlineStr">
        <is>
          <t xml:space="preserve">    if vl_lower in VL_CORRECTION:</t>
        </is>
      </c>
    </row>
    <row r="126">
      <c r="A126" s="7" t="n">
        <v>123</v>
      </c>
      <c r="B126" s="8" t="inlineStr">
        <is>
          <t xml:space="preserve">        return VL_CORRECTION[vl_lower]</t>
        </is>
      </c>
    </row>
    <row r="127">
      <c r="A127" s="9" t="n">
        <v>124</v>
      </c>
      <c r="B127" s="10" t="inlineStr">
        <is>
          <t xml:space="preserve">    for cat, items in INDUSTRY_KB.items():</t>
        </is>
      </c>
    </row>
    <row r="128">
      <c r="A128" s="7" t="n">
        <v>125</v>
      </c>
      <c r="B128" s="8" t="inlineStr">
        <is>
          <t xml:space="preserve">        for keyword, aliases in items.items():</t>
        </is>
      </c>
    </row>
    <row r="129">
      <c r="A129" s="9" t="n">
        <v>126</v>
      </c>
      <c r="B129" s="10" t="inlineStr">
        <is>
          <t xml:space="preserve">            if vl_lower in [a.lower() for a in aliases] or vl_lower == keyword.lower():</t>
        </is>
      </c>
    </row>
    <row r="130">
      <c r="A130" s="7" t="n">
        <v>127</v>
      </c>
      <c r="B130" s="8" t="inlineStr">
        <is>
          <t xml:space="preserve">                return keyword</t>
        </is>
      </c>
    </row>
    <row r="131">
      <c r="A131" s="9" t="n">
        <v>128</v>
      </c>
      <c r="B131" s="10" t="inlineStr">
        <is>
          <t xml:space="preserve">    return vl_tag</t>
        </is>
      </c>
    </row>
    <row r="132">
      <c r="A132" s="7" t="n">
        <v>129</v>
      </c>
      <c r="B132" s="8" t="inlineStr"/>
    </row>
    <row r="133">
      <c r="A133" s="9" t="n">
        <v>130</v>
      </c>
      <c r="B133" s="10" t="inlineStr"/>
    </row>
    <row r="134">
      <c r="A134" s="7" t="n">
        <v>131</v>
      </c>
      <c r="B134" s="8" t="inlineStr">
        <is>
          <t>def save_kb():</t>
        </is>
      </c>
    </row>
    <row r="135">
      <c r="A135" s="9" t="n">
        <v>132</v>
      </c>
      <c r="B135" s="10" t="inlineStr">
        <is>
          <t xml:space="preserve">    KB_FILE.write_text(json.dumps(INDUSTRY_KB, ensure_ascii=False, indent=2), encoding="utf-8")</t>
        </is>
      </c>
    </row>
    <row r="136">
      <c r="A136" s="7" t="n">
        <v>133</v>
      </c>
      <c r="B136" s="8" t="inlineStr"/>
    </row>
    <row r="137">
      <c r="A137" s="9" t="n">
        <v>134</v>
      </c>
      <c r="B137" s="10" t="inlineStr"/>
    </row>
    <row r="138">
      <c r="A138" s="7" t="n">
        <v>135</v>
      </c>
      <c r="B138" s="8" t="inlineStr">
        <is>
          <t>def load_kb():</t>
        </is>
      </c>
    </row>
    <row r="139">
      <c r="A139" s="9" t="n">
        <v>136</v>
      </c>
      <c r="B139" s="10" t="inlineStr">
        <is>
          <t xml:space="preserve">    if KB_FILE.exists():</t>
        </is>
      </c>
    </row>
    <row r="140">
      <c r="A140" s="7" t="n">
        <v>137</v>
      </c>
      <c r="B140" s="8" t="inlineStr">
        <is>
          <t xml:space="preserve">        return json.loads(KB_FILE.read_text(encoding="utf-8"))</t>
        </is>
      </c>
    </row>
    <row r="141">
      <c r="A141" s="9" t="n">
        <v>138</v>
      </c>
      <c r="B141" s="10" t="inlineStr">
        <is>
          <t xml:space="preserve">    return INDUSTRY_KB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material_engine_v3\tasks\queue.py</t>
        </is>
      </c>
      <c r="C1" s="5" t="inlineStr">
        <is>
          <t>行数: 46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"""Task Queue V3.0 - SQLite-backed, Celery-ready interface"""</t>
        </is>
      </c>
    </row>
    <row r="5">
      <c r="A5" s="9" t="n">
        <v>2</v>
      </c>
      <c r="B5" s="10" t="inlineStr">
        <is>
          <t>import sys, sqlite3</t>
        </is>
      </c>
    </row>
    <row r="6">
      <c r="A6" s="7" t="n">
        <v>3</v>
      </c>
      <c r="B6" s="8" t="inlineStr">
        <is>
          <t>from pathlib import Path</t>
        </is>
      </c>
    </row>
    <row r="7">
      <c r="A7" s="9" t="n">
        <v>4</v>
      </c>
      <c r="B7" s="10" t="inlineStr">
        <is>
          <t>from datetime import datetime</t>
        </is>
      </c>
    </row>
    <row r="8">
      <c r="A8" s="7" t="n">
        <v>5</v>
      </c>
      <c r="B8" s="8" t="inlineStr">
        <is>
          <t>sys.path.insert(0, str(Path(__file__).parent.parent))</t>
        </is>
      </c>
    </row>
    <row r="9">
      <c r="A9" s="9" t="n">
        <v>6</v>
      </c>
      <c r="B9" s="10" t="inlineStr">
        <is>
          <t>from material_engine_v3.config import V3_DB_PATH</t>
        </is>
      </c>
    </row>
    <row r="10">
      <c r="A10" s="7" t="n">
        <v>7</v>
      </c>
      <c r="B10" s="8" t="inlineStr">
        <is>
          <t>MAX_RETRIES = 3</t>
        </is>
      </c>
    </row>
    <row r="11">
      <c r="A11" s="9" t="n">
        <v>8</v>
      </c>
      <c r="B11" s="10" t="inlineStr"/>
    </row>
    <row r="12">
      <c r="A12" s="7" t="n">
        <v>9</v>
      </c>
      <c r="B12" s="8" t="inlineStr">
        <is>
          <t>class TaskQueue:</t>
        </is>
      </c>
    </row>
    <row r="13">
      <c r="A13" s="9" t="n">
        <v>10</v>
      </c>
      <c r="B13" s="10" t="inlineStr">
        <is>
          <t xml:space="preserve">    def __init__(self, db_path=V3_DB_PATH):</t>
        </is>
      </c>
    </row>
    <row r="14">
      <c r="A14" s="7" t="n">
        <v>11</v>
      </c>
      <c r="B14" s="8" t="inlineStr">
        <is>
          <t xml:space="preserve">        self.db_path = db_path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 xml:space="preserve">    def enqueue(self, video_path, task_type, priority=0):</t>
        </is>
      </c>
    </row>
    <row r="17">
      <c r="A17" s="9" t="n">
        <v>14</v>
      </c>
      <c r="B17" s="10" t="inlineStr">
        <is>
          <t xml:space="preserve">        with sqlite3.connect(self.db_path) as conn:</t>
        </is>
      </c>
    </row>
    <row r="18">
      <c r="A18" s="7" t="n">
        <v>15</v>
      </c>
      <c r="B18" s="8" t="inlineStr">
        <is>
          <t xml:space="preserve">            conn.execute("""INSERT INTO task_queue (video_path, task_type, priority)</t>
        </is>
      </c>
    </row>
    <row r="19">
      <c r="A19" s="9" t="n">
        <v>16</v>
      </c>
      <c r="B19" s="10" t="inlineStr">
        <is>
          <t xml:space="preserve">                VALUES (?,?,?)""", (video_path, task_type, priority))</t>
        </is>
      </c>
    </row>
    <row r="20">
      <c r="A20" s="7" t="n">
        <v>17</v>
      </c>
      <c r="B20" s="8" t="inlineStr">
        <is>
          <t xml:space="preserve">            conn.commit()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 xml:space="preserve">    def dequeue(self, task_type=None, limit=1):</t>
        </is>
      </c>
    </row>
    <row r="23">
      <c r="A23" s="9" t="n">
        <v>20</v>
      </c>
      <c r="B23" s="10" t="inlineStr">
        <is>
          <t xml:space="preserve">        with sqlite3.connect(self.db_path) as conn:</t>
        </is>
      </c>
    </row>
    <row r="24">
      <c r="A24" s="7" t="n">
        <v>21</v>
      </c>
      <c r="B24" s="8" t="inlineStr">
        <is>
          <t xml:space="preserve">            query = """SELECT id, video_path, task_type FROM task_queue</t>
        </is>
      </c>
    </row>
    <row r="25">
      <c r="A25" s="9" t="n">
        <v>22</v>
      </c>
      <c r="B25" s="10" t="inlineStr">
        <is>
          <t xml:space="preserve">                WHERE status='pending' AND retry_count &lt; ?"""</t>
        </is>
      </c>
    </row>
    <row r="26">
      <c r="A26" s="7" t="n">
        <v>23</v>
      </c>
      <c r="B26" s="8" t="inlineStr">
        <is>
          <t xml:space="preserve">            params = [MAX_RETRIES]</t>
        </is>
      </c>
    </row>
    <row r="27">
      <c r="A27" s="9" t="n">
        <v>24</v>
      </c>
      <c r="B27" s="10" t="inlineStr">
        <is>
          <t xml:space="preserve">            if task_type:</t>
        </is>
      </c>
    </row>
    <row r="28">
      <c r="A28" s="7" t="n">
        <v>25</v>
      </c>
      <c r="B28" s="8" t="inlineStr">
        <is>
          <t xml:space="preserve">                query += " AND task_type=?"; params.append(task_type)</t>
        </is>
      </c>
    </row>
    <row r="29">
      <c r="A29" s="9" t="n">
        <v>26</v>
      </c>
      <c r="B29" s="10" t="inlineStr">
        <is>
          <t xml:space="preserve">            query += " ORDER BY priority DESC LIMIT ?"; params.append(limit)</t>
        </is>
      </c>
    </row>
    <row r="30">
      <c r="A30" s="7" t="n">
        <v>27</v>
      </c>
      <c r="B30" s="8" t="inlineStr">
        <is>
          <t xml:space="preserve">            rows = conn.execute(query, params).fetchall()</t>
        </is>
      </c>
    </row>
    <row r="31">
      <c r="A31" s="9" t="n">
        <v>28</v>
      </c>
      <c r="B31" s="10" t="inlineStr">
        <is>
          <t xml:space="preserve">            for r in rows:</t>
        </is>
      </c>
    </row>
    <row r="32">
      <c r="A32" s="7" t="n">
        <v>29</v>
      </c>
      <c r="B32" s="8" t="inlineStr">
        <is>
          <t xml:space="preserve">                conn.execute("UPDATE task_queue SET status='running', started_at=? WHERE id=?",</t>
        </is>
      </c>
    </row>
    <row r="33">
      <c r="A33" s="9" t="n">
        <v>30</v>
      </c>
      <c r="B33" s="10" t="inlineStr">
        <is>
          <t xml:space="preserve">                             (datetime.now().isoformat(), r[0]))</t>
        </is>
      </c>
    </row>
    <row r="34">
      <c r="A34" s="7" t="n">
        <v>31</v>
      </c>
      <c r="B34" s="8" t="inlineStr">
        <is>
          <t xml:space="preserve">            conn.commit()</t>
        </is>
      </c>
    </row>
    <row r="35">
      <c r="A35" s="9" t="n">
        <v>32</v>
      </c>
      <c r="B35" s="10" t="inlineStr">
        <is>
          <t xml:space="preserve">            return [{"id": r[0], "path": r[1], "type": r[2]} for r in rows]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 xml:space="preserve">    def complete(self, task_id):</t>
        </is>
      </c>
    </row>
    <row r="38">
      <c r="A38" s="7" t="n">
        <v>35</v>
      </c>
      <c r="B38" s="8" t="inlineStr">
        <is>
          <t xml:space="preserve">        with sqlite3.connect(self.db_path) as conn:</t>
        </is>
      </c>
    </row>
    <row r="39">
      <c r="A39" s="9" t="n">
        <v>36</v>
      </c>
      <c r="B39" s="10" t="inlineStr">
        <is>
          <t xml:space="preserve">            conn.execute("UPDATE task_queue SET status='done', completed_at=? WHERE id=?",</t>
        </is>
      </c>
    </row>
    <row r="40">
      <c r="A40" s="7" t="n">
        <v>37</v>
      </c>
      <c r="B40" s="8" t="inlineStr">
        <is>
          <t xml:space="preserve">                         (datetime.now().isoformat(), task_id)); conn.commit()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>
        <is>
          <t xml:space="preserve">    def fail(self, task_id, error=""):</t>
        </is>
      </c>
    </row>
    <row r="43">
      <c r="A43" s="9" t="n">
        <v>40</v>
      </c>
      <c r="B43" s="10" t="inlineStr">
        <is>
          <t xml:space="preserve">        with sqlite3.connect(self.db_path) as conn:</t>
        </is>
      </c>
    </row>
    <row r="44">
      <c r="A44" s="7" t="n">
        <v>41</v>
      </c>
      <c r="B44" s="8" t="inlineStr">
        <is>
          <t xml:space="preserve">            conn.execute("""UPDATE task_queue SET status='failed', error_msg=?,</t>
        </is>
      </c>
    </row>
    <row r="45">
      <c r="A45" s="9" t="n">
        <v>42</v>
      </c>
      <c r="B45" s="10" t="inlineStr">
        <is>
          <t xml:space="preserve">                retry_count=retry_count+1 WHERE id=?""", (error, task_id)); conn.commit()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 xml:space="preserve">    def stats(self):</t>
        </is>
      </c>
    </row>
    <row r="48">
      <c r="A48" s="7" t="n">
        <v>45</v>
      </c>
      <c r="B48" s="8" t="inlineStr">
        <is>
          <t xml:space="preserve">        with sqlite3.connect(self.db_path) as conn:</t>
        </is>
      </c>
    </row>
    <row r="49">
      <c r="A49" s="9" t="n">
        <v>46</v>
      </c>
      <c r="B49" s="10" t="inlineStr">
        <is>
          <t xml:space="preserve">            return conn.execute("""SELECT status, COUNT(*) FROM task_queue GROUP BY status""").fetchall()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material_engine_v3\upgrade.py</t>
        </is>
      </c>
      <c r="C1" s="5" t="inlineStr">
        <is>
          <t>行数: 108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"""</t>
        </is>
      </c>
    </row>
    <row r="5">
      <c r="A5" s="9" t="n">
        <v>2</v>
      </c>
      <c r="B5" s="10" t="inlineStr">
        <is>
          <t>V3.0 Upgrade Script: Populate KB + Build BGE-M3 Index + Migrate V2 Data</t>
        </is>
      </c>
    </row>
    <row r="6">
      <c r="A6" s="7" t="n">
        <v>3</v>
      </c>
      <c r="B6" s="8" t="inlineStr">
        <is>
          <t>Run: python upgrade.py</t>
        </is>
      </c>
    </row>
    <row r="7">
      <c r="A7" s="9" t="n">
        <v>4</v>
      </c>
      <c r="B7" s="10" t="inlineStr">
        <is>
          <t>"""</t>
        </is>
      </c>
    </row>
    <row r="8">
      <c r="A8" s="7" t="n">
        <v>5</v>
      </c>
      <c r="B8" s="8" t="inlineStr">
        <is>
          <t>import sys, sqlite3, json, numpy as np</t>
        </is>
      </c>
    </row>
    <row r="9">
      <c r="A9" s="9" t="n">
        <v>6</v>
      </c>
      <c r="B9" s="10" t="inlineStr">
        <is>
          <t>from pathlib import Path</t>
        </is>
      </c>
    </row>
    <row r="10">
      <c r="A10" s="7" t="n">
        <v>7</v>
      </c>
      <c r="B10" s="8" t="inlineStr">
        <is>
          <t>sys.path.insert(0, str(Path(__file__).parent.parent))</t>
        </is>
      </c>
    </row>
    <row r="11">
      <c r="A11" s="9" t="n">
        <v>8</v>
      </c>
      <c r="B11" s="10" t="inlineStr">
        <is>
          <t>from material_engine_v3.config import V3_DB_PATH</t>
        </is>
      </c>
    </row>
    <row r="12">
      <c r="A12" s="7" t="n">
        <v>9</v>
      </c>
      <c r="B12" s="8" t="inlineStr">
        <is>
          <t>from material_engine_v3.database.schema import init_db</t>
        </is>
      </c>
    </row>
    <row r="13">
      <c r="A13" s="9" t="n">
        <v>10</v>
      </c>
      <c r="B13" s="10" t="inlineStr">
        <is>
          <t>from material_engine_v3.knowledge.industry_kb import INDUSTRY_KB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V2_DB = Path(__file__).parent.parent / "ai_material_library.db"</t>
        </is>
      </c>
    </row>
    <row r="16">
      <c r="A16" s="7" t="n">
        <v>13</v>
      </c>
      <c r="B16" s="8" t="inlineStr">
        <is>
          <t>FAISS_OUT = Path(__file__).parent.parent / "shipin" / "material_bge_m3.index"</t>
        </is>
      </c>
    </row>
    <row r="17">
      <c r="A17" s="9" t="n">
        <v>14</v>
      </c>
      <c r="B17" s="10" t="inlineStr">
        <is>
          <t>IDMAP_OUT = Path(__file__).parent.parent / "shipin" / "material_bge_m3_idmap.json"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def step1_populate_kb():</t>
        </is>
      </c>
    </row>
    <row r="20">
      <c r="A20" s="7" t="n">
        <v>17</v>
      </c>
      <c r="B20" s="8" t="inlineStr">
        <is>
          <t xml:space="preserve">    """Populate knowledge_base table with industry terms"""</t>
        </is>
      </c>
    </row>
    <row r="21">
      <c r="A21" s="9" t="n">
        <v>18</v>
      </c>
      <c r="B21" s="10" t="inlineStr">
        <is>
          <t xml:space="preserve">    print("[Step 1] Populating knowledge base...")</t>
        </is>
      </c>
    </row>
    <row r="22">
      <c r="A22" s="7" t="n">
        <v>19</v>
      </c>
      <c r="B22" s="8" t="inlineStr">
        <is>
          <t xml:space="preserve">    with sqlite3.connect(V3_DB_PATH) as conn:</t>
        </is>
      </c>
    </row>
    <row r="23">
      <c r="A23" s="9" t="n">
        <v>20</v>
      </c>
      <c r="B23" s="10" t="inlineStr">
        <is>
          <t xml:space="preserve">        count = 0</t>
        </is>
      </c>
    </row>
    <row r="24">
      <c r="A24" s="7" t="n">
        <v>21</v>
      </c>
      <c r="B24" s="8" t="inlineStr">
        <is>
          <t xml:space="preserve">        for category, items in INDUSTRY_KB.items():</t>
        </is>
      </c>
    </row>
    <row r="25">
      <c r="A25" s="9" t="n">
        <v>22</v>
      </c>
      <c r="B25" s="10" t="inlineStr">
        <is>
          <t xml:space="preserve">            for keyword, aliases in items.items():</t>
        </is>
      </c>
    </row>
    <row r="26">
      <c r="A26" s="7" t="n">
        <v>23</v>
      </c>
      <c r="B26" s="8" t="inlineStr">
        <is>
          <t xml:space="preserve">                try:</t>
        </is>
      </c>
    </row>
    <row r="27">
      <c r="A27" s="9" t="n">
        <v>24</v>
      </c>
      <c r="B27" s="10" t="inlineStr">
        <is>
          <t xml:space="preserve">                    conn.execute("""INSERT OR IGNORE INTO knowledge_base (category, keyword, aliases, priority)</t>
        </is>
      </c>
    </row>
    <row r="28">
      <c r="A28" s="7" t="n">
        <v>25</v>
      </c>
      <c r="B28" s="8" t="inlineStr">
        <is>
          <t xml:space="preserve">                        VALUES (?,?,?,?)""", (category, keyword, json.dumps(aliases, ensure_ascii=False), 1))</t>
        </is>
      </c>
    </row>
    <row r="29">
      <c r="A29" s="9" t="n">
        <v>26</v>
      </c>
      <c r="B29" s="10" t="inlineStr">
        <is>
          <t xml:space="preserve">                    count += 1</t>
        </is>
      </c>
    </row>
    <row r="30">
      <c r="A30" s="7" t="n">
        <v>27</v>
      </c>
      <c r="B30" s="8" t="inlineStr">
        <is>
          <t xml:space="preserve">                except Exception: pass  # non-critical fallback  # non-critical fallback</t>
        </is>
      </c>
    </row>
    <row r="31">
      <c r="A31" s="9" t="n">
        <v>28</v>
      </c>
      <c r="B31" s="10" t="inlineStr">
        <is>
          <t xml:space="preserve">        conn.commit()</t>
        </is>
      </c>
    </row>
    <row r="32">
      <c r="A32" s="7" t="n">
        <v>29</v>
      </c>
      <c r="B32" s="8" t="inlineStr">
        <is>
          <t xml:space="preserve">    print(f"  KB entries: {count}")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def step2_migrate_v2():</t>
        </is>
      </c>
    </row>
    <row r="35">
      <c r="A35" s="9" t="n">
        <v>32</v>
      </c>
      <c r="B35" s="10" t="inlineStr">
        <is>
          <t xml:space="preserve">    """Migrate V2 materials -&gt; V3 videos + tags"""</t>
        </is>
      </c>
    </row>
    <row r="36">
      <c r="A36" s="7" t="n">
        <v>33</v>
      </c>
      <c r="B36" s="8" t="inlineStr">
        <is>
          <t xml:space="preserve">    print("[Step 2] Migrating V2 data...")</t>
        </is>
      </c>
    </row>
    <row r="37">
      <c r="A37" s="9" t="n">
        <v>34</v>
      </c>
      <c r="B37" s="10" t="inlineStr">
        <is>
          <t xml:space="preserve">    if not V2_DB.exists():</t>
        </is>
      </c>
    </row>
    <row r="38">
      <c r="A38" s="7" t="n">
        <v>35</v>
      </c>
      <c r="B38" s="8" t="inlineStr">
        <is>
          <t xml:space="preserve">        print("  V2 DB not found, skipping")</t>
        </is>
      </c>
    </row>
    <row r="39">
      <c r="A39" s="9" t="n">
        <v>36</v>
      </c>
      <c r="B39" s="10" t="inlineStr">
        <is>
          <t xml:space="preserve">        return</t>
        </is>
      </c>
    </row>
    <row r="40">
      <c r="A40" s="7" t="n">
        <v>37</v>
      </c>
      <c r="B40" s="8" t="inlineStr">
        <is>
          <t xml:space="preserve">    with sqlite3.connect(V2_DB) as v2, sqlite3.connect(V3_DB_PATH) as v3:</t>
        </is>
      </c>
    </row>
    <row r="41">
      <c r="A41" s="9" t="n">
        <v>38</v>
      </c>
      <c r="B41" s="10" t="inlineStr">
        <is>
          <t xml:space="preserve">        rows = v2.execute("SELECT video_path, duration, file_size, file_mtime FROM video_registry WHERE analyzed=1").fetchall()</t>
        </is>
      </c>
    </row>
    <row r="42">
      <c r="A42" s="7" t="n">
        <v>39</v>
      </c>
      <c r="B42" s="8" t="inlineStr">
        <is>
          <t xml:space="preserve">        for path, dur, size, mtime in rows:</t>
        </is>
      </c>
    </row>
    <row r="43">
      <c r="A43" s="9" t="n">
        <v>40</v>
      </c>
      <c r="B43" s="10" t="inlineStr">
        <is>
          <t xml:space="preserve">            # Derive source folder from path</t>
        </is>
      </c>
    </row>
    <row r="44">
      <c r="A44" s="7" t="n">
        <v>41</v>
      </c>
      <c r="B44" s="8" t="inlineStr">
        <is>
          <t xml:space="preserve">            folder = ""</t>
        </is>
      </c>
    </row>
    <row r="45">
      <c r="A45" s="9" t="n">
        <v>42</v>
      </c>
      <c r="B45" s="10" t="inlineStr">
        <is>
          <t xml:space="preserve">            for sp in [r"Z:\已处理素材\卖点展示类素材", r"Z:\已处理素材\效果展示类素材", r"Z:\B组更新视频"]:</t>
        </is>
      </c>
    </row>
    <row r="46">
      <c r="A46" s="7" t="n">
        <v>43</v>
      </c>
      <c r="B46" s="8" t="inlineStr">
        <is>
          <t xml:space="preserve">                if sp in str(path):</t>
        </is>
      </c>
    </row>
    <row r="47">
      <c r="A47" s="9" t="n">
        <v>44</v>
      </c>
      <c r="B47" s="10" t="inlineStr">
        <is>
          <t xml:space="preserve">                    try: folder = Path(path).relative_to(sp).parts[0] if Path(path).relative_to(sp).parts else ""</t>
        </is>
      </c>
    </row>
    <row r="48">
      <c r="A48" s="7" t="n">
        <v>45</v>
      </c>
      <c r="B48" s="8" t="inlineStr">
        <is>
          <t xml:space="preserve">                    except Exception: pass  # non-critical fallback  # non-critical fallback</t>
        </is>
      </c>
    </row>
    <row r="49">
      <c r="A49" s="9" t="n">
        <v>46</v>
      </c>
      <c r="B49" s="10" t="inlineStr">
        <is>
          <t xml:space="preserve">                    break</t>
        </is>
      </c>
    </row>
    <row r="50">
      <c r="A50" s="7" t="n">
        <v>47</v>
      </c>
      <c r="B50" s="8" t="inlineStr">
        <is>
          <t xml:space="preserve">            v3.execute("INSERT OR IGNORE INTO videos (path, source_folder, duration, file_size, file_mtime, status) VALUES (?,?,?,?,?,?)",</t>
        </is>
      </c>
    </row>
    <row r="51">
      <c r="A51" s="9" t="n">
        <v>48</v>
      </c>
      <c r="B51" s="10" t="inlineStr">
        <is>
          <t xml:space="preserve">                       (str(path), folder or "", dur or 0, size or 0, mtime or 0, "migrated"))</t>
        </is>
      </c>
    </row>
    <row r="52">
      <c r="A52" s="7" t="n">
        <v>49</v>
      </c>
      <c r="B52" s="8" t="inlineStr">
        <is>
          <t xml:space="preserve">        # Migrate tags from materials table</t>
        </is>
      </c>
    </row>
    <row r="53">
      <c r="A53" s="9" t="n">
        <v>50</v>
      </c>
      <c r="B53" s="10" t="inlineStr">
        <is>
          <t xml:space="preserve">        tag_rows = v2.execute("SELECT video_path, tags, objects, style, color, material FROM materials WHERE tags != '' OR style != ''").fetchall()</t>
        </is>
      </c>
    </row>
    <row r="54">
      <c r="A54" s="7" t="n">
        <v>51</v>
      </c>
      <c r="B54" s="8" t="inlineStr">
        <is>
          <t xml:space="preserve">        for path, tags, objects, style, color, material in tag_rows:</t>
        </is>
      </c>
    </row>
    <row r="55">
      <c r="A55" s="9" t="n">
        <v>52</v>
      </c>
      <c r="B55" s="10" t="inlineStr">
        <is>
          <t xml:space="preserve">            vid = v3.execute("SELECT id FROM videos WHERE path=?", (path,)).fetchone()</t>
        </is>
      </c>
    </row>
    <row r="56">
      <c r="A56" s="7" t="n">
        <v>53</v>
      </c>
      <c r="B56" s="8" t="inlineStr">
        <is>
          <t xml:space="preserve">            if not vid: continue</t>
        </is>
      </c>
    </row>
    <row r="57">
      <c r="A57" s="9" t="n">
        <v>54</v>
      </c>
      <c r="B57" s="10" t="inlineStr">
        <is>
          <t xml:space="preserve">            vid = vid[0]</t>
        </is>
      </c>
    </row>
    <row r="58">
      <c r="A58" s="7" t="n">
        <v>55</v>
      </c>
      <c r="B58" s="8" t="inlineStr">
        <is>
          <t xml:space="preserve">            for level, val in [(1, tags), (2, objects), (3, style), (4, color)]:</t>
        </is>
      </c>
    </row>
    <row r="59">
      <c r="A59" s="9" t="n">
        <v>56</v>
      </c>
      <c r="B59" s="10" t="inlineStr">
        <is>
          <t xml:space="preserve">                if val:</t>
        </is>
      </c>
    </row>
    <row r="60">
      <c r="A60" s="7" t="n">
        <v>57</v>
      </c>
      <c r="B60" s="8" t="inlineStr">
        <is>
          <t xml:space="preserve">                    for t in val.split(","):</t>
        </is>
      </c>
    </row>
    <row r="61">
      <c r="A61" s="9" t="n">
        <v>58</v>
      </c>
      <c r="B61" s="10" t="inlineStr">
        <is>
          <t xml:space="preserve">                        t = t.strip()</t>
        </is>
      </c>
    </row>
    <row r="62">
      <c r="A62" s="7" t="n">
        <v>59</v>
      </c>
      <c r="B62" s="8" t="inlineStr">
        <is>
          <t xml:space="preserve">                        if t:</t>
        </is>
      </c>
    </row>
    <row r="63">
      <c r="A63" s="9" t="n">
        <v>60</v>
      </c>
      <c r="B63" s="10" t="inlineStr">
        <is>
          <t xml:space="preserve">                            v3.execute("INSERT OR IGNORE INTO video_tags (video_id, tag_level, tag_category, tag_value, tag_source) VALUES (?,?,?,?,?)",</t>
        </is>
      </c>
    </row>
    <row r="64">
      <c r="A64" s="7" t="n">
        <v>61</v>
      </c>
      <c r="B64" s="8" t="inlineStr">
        <is>
          <t xml:space="preserve">                                       (vid, level, "migrated", t, "v2_migration"))</t>
        </is>
      </c>
    </row>
    <row r="65">
      <c r="A65" s="9" t="n">
        <v>62</v>
      </c>
      <c r="B65" s="10" t="inlineStr">
        <is>
          <t xml:space="preserve">        v3.commit()</t>
        </is>
      </c>
    </row>
    <row r="66">
      <c r="A66" s="7" t="n">
        <v>63</v>
      </c>
      <c r="B66" s="8" t="inlineStr">
        <is>
          <t xml:space="preserve">    print(f"  Migrated: {len(rows)} videos, {len(tag_rows)} tag sets")</t>
        </is>
      </c>
    </row>
    <row r="67">
      <c r="A67" s="9" t="n">
        <v>64</v>
      </c>
      <c r="B67" s="10" t="inlineStr"/>
    </row>
    <row r="68">
      <c r="A68" s="7" t="n">
        <v>65</v>
      </c>
      <c r="B68" s="8" t="inlineStr">
        <is>
          <t>def step3_build_bge_m3_index():</t>
        </is>
      </c>
    </row>
    <row r="69">
      <c r="A69" s="9" t="n">
        <v>66</v>
      </c>
      <c r="B69" s="10" t="inlineStr">
        <is>
          <t xml:space="preserve">    """Build BGE-M3 vector index from V2 materials"""</t>
        </is>
      </c>
    </row>
    <row r="70">
      <c r="A70" s="7" t="n">
        <v>67</v>
      </c>
      <c r="B70" s="8" t="inlineStr">
        <is>
          <t xml:space="preserve">    print("[Step 3] Building BGE-M3 index...")</t>
        </is>
      </c>
    </row>
    <row r="71">
      <c r="A71" s="9" t="n">
        <v>68</v>
      </c>
      <c r="B71" s="10" t="inlineStr">
        <is>
          <t xml:space="preserve">    if not V2_DB.exists():</t>
        </is>
      </c>
    </row>
    <row r="72">
      <c r="A72" s="7" t="n">
        <v>69</v>
      </c>
      <c r="B72" s="8" t="inlineStr">
        <is>
          <t xml:space="preserve">        print("  V2 DB not found, skipping")</t>
        </is>
      </c>
    </row>
    <row r="73">
      <c r="A73" s="9" t="n">
        <v>70</v>
      </c>
      <c r="B73" s="10" t="inlineStr">
        <is>
          <t xml:space="preserve">        return</t>
        </is>
      </c>
    </row>
    <row r="74">
      <c r="A74" s="7" t="n">
        <v>71</v>
      </c>
      <c r="B74" s="8" t="inlineStr">
        <is>
          <t xml:space="preserve">    try:</t>
        </is>
      </c>
    </row>
    <row r="75">
      <c r="A75" s="9" t="n">
        <v>72</v>
      </c>
      <c r="B75" s="10" t="inlineStr">
        <is>
          <t xml:space="preserve">        from sentence_transformers import SentenceTransformer</t>
        </is>
      </c>
    </row>
    <row r="76">
      <c r="A76" s="7" t="n">
        <v>73</v>
      </c>
      <c r="B76" s="8" t="inlineStr">
        <is>
          <t xml:space="preserve">        import faiss</t>
        </is>
      </c>
    </row>
    <row r="77">
      <c r="A77" s="9" t="n">
        <v>74</v>
      </c>
      <c r="B77" s="10" t="inlineStr">
        <is>
          <t xml:space="preserve">    except ImportError as e:</t>
        </is>
      </c>
    </row>
    <row r="78">
      <c r="A78" s="7" t="n">
        <v>75</v>
      </c>
      <c r="B78" s="8" t="inlineStr">
        <is>
          <t xml:space="preserve">        print(f"  Missing: {e}")</t>
        </is>
      </c>
    </row>
    <row r="79">
      <c r="A79" s="9" t="n">
        <v>76</v>
      </c>
      <c r="B79" s="10" t="inlineStr">
        <is>
          <t xml:space="preserve">        return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 xml:space="preserve">    model = SentenceTransformer("BAAI/bge-m3")</t>
        </is>
      </c>
    </row>
    <row r="82">
      <c r="A82" s="7" t="n">
        <v>79</v>
      </c>
      <c r="B82" s="8" t="inlineStr">
        <is>
          <t xml:space="preserve">    with sqlite3.connect(V2_DB) as conn:</t>
        </is>
      </c>
    </row>
    <row r="83">
      <c r="A83" s="9" t="n">
        <v>80</v>
      </c>
      <c r="B83" s="10" t="inlineStr">
        <is>
          <t xml:space="preserve">        rows = conn.execute("SELECT id, tags, objects, style, color, material, speech_text FROM materials WHERE analyzed=1").fetchall()</t>
        </is>
      </c>
    </row>
    <row r="84">
      <c r="A84" s="7" t="n">
        <v>81</v>
      </c>
      <c r="B84" s="8" t="inlineStr">
        <is>
          <t xml:space="preserve">    texts = [" ".join([str(r[i]) for i in range(1,7) if r[i]]) for r in rows]</t>
        </is>
      </c>
    </row>
    <row r="85">
      <c r="A85" s="9" t="n">
        <v>82</v>
      </c>
      <c r="B85" s="10" t="inlineStr">
        <is>
          <t xml:space="preserve">    ids = [r[0] for r in rows]</t>
        </is>
      </c>
    </row>
    <row r="86">
      <c r="A86" s="7" t="n">
        <v>83</v>
      </c>
      <c r="B86" s="8" t="inlineStr">
        <is>
          <t xml:space="preserve">    print(f"  Encoding {len(texts)} segments with BGE-M3 (1024-dim)...")</t>
        </is>
      </c>
    </row>
    <row r="87">
      <c r="A87" s="9" t="n">
        <v>84</v>
      </c>
      <c r="B87" s="10" t="inlineStr">
        <is>
          <t xml:space="preserve">    embeddings = model.encode(texts, show_progress_bar=True, batch_size=128)</t>
        </is>
      </c>
    </row>
    <row r="88">
      <c r="A88" s="7" t="n">
        <v>85</v>
      </c>
      <c r="B88" s="8" t="inlineStr">
        <is>
          <t xml:space="preserve">    embeddings = np.array(embeddings, dtype=np.float32)</t>
        </is>
      </c>
    </row>
    <row r="89">
      <c r="A89" s="9" t="n">
        <v>86</v>
      </c>
      <c r="B89" s="10" t="inlineStr">
        <is>
          <t xml:space="preserve">    dim = embeddings.shape[1]</t>
        </is>
      </c>
    </row>
    <row r="90">
      <c r="A90" s="7" t="n">
        <v>87</v>
      </c>
      <c r="B90" s="8" t="inlineStr">
        <is>
          <t xml:space="preserve">    index = faiss.IndexFlatL2(dim)</t>
        </is>
      </c>
    </row>
    <row r="91">
      <c r="A91" s="9" t="n">
        <v>88</v>
      </c>
      <c r="B91" s="10" t="inlineStr">
        <is>
          <t xml:space="preserve">    index.add(embeddings)</t>
        </is>
      </c>
    </row>
    <row r="92">
      <c r="A92" s="7" t="n">
        <v>89</v>
      </c>
      <c r="B92" s="8" t="inlineStr">
        <is>
          <t xml:space="preserve">    FAISS_OUT.parent.mkdir(parents=True, exist_ok=True)</t>
        </is>
      </c>
    </row>
    <row r="93">
      <c r="A93" s="9" t="n">
        <v>90</v>
      </c>
      <c r="B93" s="10" t="inlineStr">
        <is>
          <t xml:space="preserve">    faiss.write_index(index, str(FAISS_OUT))</t>
        </is>
      </c>
    </row>
    <row r="94">
      <c r="A94" s="7" t="n">
        <v>91</v>
      </c>
      <c r="B94" s="8" t="inlineStr">
        <is>
          <t xml:space="preserve">    IDMAP_OUT.write_text(json.dumps(ids))</t>
        </is>
      </c>
    </row>
    <row r="95">
      <c r="A95" s="9" t="n">
        <v>92</v>
      </c>
      <c r="B95" s="10" t="inlineStr">
        <is>
          <t xml:space="preserve">    print(f"  BGE-M3 index: {len(ids)} vectors, dim={dim}")</t>
        </is>
      </c>
    </row>
    <row r="96">
      <c r="A96" s="7" t="n">
        <v>93</v>
      </c>
      <c r="B96" s="8" t="inlineStr">
        <is>
          <t xml:space="preserve">    print(f"  Saved: {FAISS_OUT}")</t>
        </is>
      </c>
    </row>
    <row r="97">
      <c r="A97" s="9" t="n">
        <v>94</v>
      </c>
      <c r="B97" s="10" t="inlineStr"/>
    </row>
    <row r="98">
      <c r="A98" s="7" t="n">
        <v>95</v>
      </c>
      <c r="B98" s="8" t="inlineStr">
        <is>
          <t>def step4_integrate():</t>
        </is>
      </c>
    </row>
    <row r="99">
      <c r="A99" s="9" t="n">
        <v>96</v>
      </c>
      <c r="B99" s="10" t="inlineStr">
        <is>
          <t xml:space="preserve">    """Hook V3 search into video_editor.py"""</t>
        </is>
      </c>
    </row>
    <row r="100">
      <c r="A100" s="7" t="n">
        <v>97</v>
      </c>
      <c r="B100" s="8" t="inlineStr">
        <is>
          <t xml:space="preserve">    print("[Step 4] Integration note:")</t>
        </is>
      </c>
    </row>
    <row r="101">
      <c r="A101" s="9" t="n">
        <v>98</v>
      </c>
      <c r="B101" s="10" t="inlineStr">
        <is>
          <t xml:space="preserve">    print("  V3 search API: material_engine_v3/core/smart_matcher.py")</t>
        </is>
      </c>
    </row>
    <row r="102">
      <c r="A102" s="7" t="n">
        <v>99</v>
      </c>
      <c r="B102" s="8" t="inlineStr">
        <is>
          <t xml:space="preserve">    print("  FAISS index integrated via SmartMatcher.search()")</t>
        </is>
      </c>
    </row>
    <row r="103">
      <c r="A103" s="9" t="n">
        <v>100</v>
      </c>
      <c r="B103" s="10" t="inlineStr">
        <is>
          <t xml:space="preserve">    print(f"    EMBEDDING_MODEL = 'BAAI/bge-m3'")</t>
        </is>
      </c>
    </row>
    <row r="104">
      <c r="A104" s="7" t="n">
        <v>101</v>
      </c>
      <c r="B104" s="8" t="inlineStr"/>
    </row>
    <row r="105">
      <c r="A105" s="9" t="n">
        <v>102</v>
      </c>
      <c r="B105" s="10" t="inlineStr">
        <is>
          <t>if __name__ == "__main__":</t>
        </is>
      </c>
    </row>
    <row r="106">
      <c r="A106" s="7" t="n">
        <v>103</v>
      </c>
      <c r="B106" s="8" t="inlineStr">
        <is>
          <t xml:space="preserve">    init_db()</t>
        </is>
      </c>
    </row>
    <row r="107">
      <c r="A107" s="9" t="n">
        <v>104</v>
      </c>
      <c r="B107" s="10" t="inlineStr">
        <is>
          <t xml:space="preserve">    step1_populate_kb()</t>
        </is>
      </c>
    </row>
    <row r="108">
      <c r="A108" s="7" t="n">
        <v>105</v>
      </c>
      <c r="B108" s="8" t="inlineStr">
        <is>
          <t xml:space="preserve">    step2_migrate_v2()</t>
        </is>
      </c>
    </row>
    <row r="109">
      <c r="A109" s="9" t="n">
        <v>106</v>
      </c>
      <c r="B109" s="10" t="inlineStr">
        <is>
          <t xml:space="preserve">    step3_build_bge_m3_index()</t>
        </is>
      </c>
    </row>
    <row r="110">
      <c r="A110" s="7" t="n">
        <v>107</v>
      </c>
      <c r="B110" s="8" t="inlineStr">
        <is>
          <t xml:space="preserve">    step4_integrate()</t>
        </is>
      </c>
    </row>
    <row r="111">
      <c r="A111" s="9" t="n">
        <v>108</v>
      </c>
      <c r="B111" s="10" t="inlineStr">
        <is>
          <t xml:space="preserve">    print("\n[DONE] V3.0 upgrade complete")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migrate_v3_to_v5.py</t>
        </is>
      </c>
      <c r="C1" s="5" t="inlineStr">
        <is>
          <t>行数: 106</t>
        </is>
      </c>
    </row>
    <row r="3">
      <c r="A3" s="4" t="inlineStr">
        <is>
          <t>源代码:</t>
        </is>
      </c>
    </row>
    <row r="4">
      <c r="A4" s="7" t="n">
        <v>1</v>
      </c>
      <c r="B4" s="8" t="inlineStr">
        <is>
          <t>#!/usr/bin/env python3</t>
        </is>
      </c>
    </row>
    <row r="5">
      <c r="A5" s="9" t="n">
        <v>2</v>
      </c>
      <c r="B5" s="10" t="inlineStr">
        <is>
          <t>"""</t>
        </is>
      </c>
    </row>
    <row r="6">
      <c r="A6" s="7" t="n">
        <v>3</v>
      </c>
      <c r="B6" s="8" t="inlineStr">
        <is>
          <t>V3 → V5 数据库统一迁移脚本</t>
        </is>
      </c>
    </row>
    <row r="7">
      <c r="A7" s="9" t="n">
        <v>4</v>
      </c>
      <c r="B7" s="10" t="inlineStr">
        <is>
          <t>将 ai_material_library.db (V3) 的数据迁移到新统一 schema (V5)</t>
        </is>
      </c>
    </row>
    <row r="8">
      <c r="A8" s="7" t="n">
        <v>5</v>
      </c>
      <c r="B8" s="8" t="inlineStr">
        <is>
          <t>运行: python migrate_v3_to_v5.py --dry-run  # 预览</t>
        </is>
      </c>
    </row>
    <row r="9">
      <c r="A9" s="9" t="n">
        <v>6</v>
      </c>
      <c r="B9" s="10" t="inlineStr">
        <is>
          <t xml:space="preserve">      python migrate_v3_to_v5.py --apply    # 执行迁移</t>
        </is>
      </c>
    </row>
    <row r="10">
      <c r="A10" s="7" t="n">
        <v>7</v>
      </c>
      <c r="B10" s="8" t="inlineStr">
        <is>
          <t>"""</t>
        </is>
      </c>
    </row>
    <row r="11">
      <c r="A11" s="9" t="n">
        <v>8</v>
      </c>
      <c r="B11" s="10" t="inlineStr">
        <is>
          <t>import sys, sqlite3, argparse</t>
        </is>
      </c>
    </row>
    <row r="12">
      <c r="A12" s="7" t="n">
        <v>9</v>
      </c>
      <c r="B12" s="8" t="inlineStr">
        <is>
          <t>from pathlib import Path</t>
        </is>
      </c>
    </row>
    <row r="13">
      <c r="A13" s="9" t="n">
        <v>10</v>
      </c>
      <c r="B13" s="10" t="inlineStr">
        <is>
          <t>sys.path.insert(0, str(Path(__file__).parent))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def get_v3_stats(db_path):</t>
        </is>
      </c>
    </row>
    <row r="17">
      <c r="A17" s="9" t="n">
        <v>14</v>
      </c>
      <c r="B17" s="10" t="inlineStr">
        <is>
          <t xml:space="preserve">    """获取V3数据库统计"""</t>
        </is>
      </c>
    </row>
    <row r="18">
      <c r="A18" s="7" t="n">
        <v>15</v>
      </c>
      <c r="B18" s="8" t="inlineStr">
        <is>
          <t xml:space="preserve">    with sqlite3.connect(db_path) as conn:</t>
        </is>
      </c>
    </row>
    <row r="19">
      <c r="A19" s="9" t="n">
        <v>16</v>
      </c>
      <c r="B19" s="10" t="inlineStr">
        <is>
          <t xml:space="preserve">        mats = conn.execute("SELECT COUNT(*) FROM materials").fetchone()[0]</t>
        </is>
      </c>
    </row>
    <row r="20">
      <c r="A20" s="7" t="n">
        <v>17</v>
      </c>
      <c r="B20" s="8" t="inlineStr">
        <is>
          <t xml:space="preserve">        vids = conn.execute("SELECT COUNT(*) FROM video_registry").fetchone()[0]</t>
        </is>
      </c>
    </row>
    <row r="21">
      <c r="A21" s="9" t="n">
        <v>18</v>
      </c>
      <c r="B21" s="10" t="inlineStr">
        <is>
          <t xml:space="preserve">        analyzed = conn.execute("SELECT COUNT(*) FROM video_registry WHERE analyzed=1").fetchone()[0]</t>
        </is>
      </c>
    </row>
    <row r="22">
      <c r="A22" s="7" t="n">
        <v>19</v>
      </c>
      <c r="B22" s="8" t="inlineStr">
        <is>
          <t xml:space="preserve">    return {"segments": mats, "videos": vids, "analyzed": analyzed}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/>
    </row>
    <row r="25">
      <c r="A25" s="9" t="n">
        <v>22</v>
      </c>
      <c r="B25" s="10" t="inlineStr">
        <is>
          <t>def get_v5_stats(db_path):</t>
        </is>
      </c>
    </row>
    <row r="26">
      <c r="A26" s="7" t="n">
        <v>23</v>
      </c>
      <c r="B26" s="8" t="inlineStr">
        <is>
          <t xml:space="preserve">    """获取V5数据库统计"""</t>
        </is>
      </c>
    </row>
    <row r="27">
      <c r="A27" s="9" t="n">
        <v>24</v>
      </c>
      <c r="B27" s="10" t="inlineStr">
        <is>
          <t xml:space="preserve">    try:</t>
        </is>
      </c>
    </row>
    <row r="28">
      <c r="A28" s="7" t="n">
        <v>25</v>
      </c>
      <c r="B28" s="8" t="inlineStr">
        <is>
          <t xml:space="preserve">        with sqlite3.connect(db_path) as conn:</t>
        </is>
      </c>
    </row>
    <row r="29">
      <c r="A29" s="9" t="n">
        <v>26</v>
      </c>
      <c r="B29" s="10" t="inlineStr">
        <is>
          <t xml:space="preserve">            mats = conn.execute("SELECT COUNT(*) FROM materials").fetchone()[0]</t>
        </is>
      </c>
    </row>
    <row r="30">
      <c r="A30" s="7" t="n">
        <v>27</v>
      </c>
      <c r="B30" s="8" t="inlineStr">
        <is>
          <t xml:space="preserve">        return {"segments": mats}</t>
        </is>
      </c>
    </row>
    <row r="31">
      <c r="A31" s="9" t="n">
        <v>28</v>
      </c>
      <c r="B31" s="10" t="inlineStr">
        <is>
          <t xml:space="preserve">    except Exception:</t>
        </is>
      </c>
    </row>
    <row r="32">
      <c r="A32" s="7" t="n">
        <v>29</v>
      </c>
      <c r="B32" s="8" t="inlineStr">
        <is>
          <t xml:space="preserve">        return {"segments": 0}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/>
    </row>
    <row r="35">
      <c r="A35" s="9" t="n">
        <v>32</v>
      </c>
      <c r="B35" s="10" t="inlineStr">
        <is>
          <t>def migrate(apply: bool = False):</t>
        </is>
      </c>
    </row>
    <row r="36">
      <c r="A36" s="7" t="n">
        <v>33</v>
      </c>
      <c r="B36" s="8" t="inlineStr">
        <is>
          <t xml:space="preserve">    """执行V3→V5统一迁移"""</t>
        </is>
      </c>
    </row>
    <row r="37">
      <c r="A37" s="9" t="n">
        <v>34</v>
      </c>
      <c r="B37" s="10" t="inlineStr">
        <is>
          <t xml:space="preserve">    from core.config import get_config</t>
        </is>
      </c>
    </row>
    <row r="38">
      <c r="A38" s="7" t="n">
        <v>35</v>
      </c>
      <c r="B38" s="8" t="inlineStr">
        <is>
          <t xml:space="preserve">    cfg = get_config()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 xml:space="preserve">    v3_db = cfg.material_db_path</t>
        </is>
      </c>
    </row>
    <row r="41">
      <c r="A41" s="9" t="n">
        <v>38</v>
      </c>
      <c r="B41" s="10" t="inlineStr">
        <is>
          <t xml:space="preserve">    v5_dir = Path(__file__).parent / "material_engine_v3" / "database"</t>
        </is>
      </c>
    </row>
    <row r="42">
      <c r="A42" s="7" t="n">
        <v>39</v>
      </c>
      <c r="B42" s="8" t="inlineStr">
        <is>
          <t xml:space="preserve">    v5_db = str(v5_dir / "material_v3.db")  # V3和V5已统一，使用同一个数据库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>
        <is>
          <t xml:space="preserve">    print("=" * 60)</t>
        </is>
      </c>
    </row>
    <row r="45">
      <c r="A45" s="9" t="n">
        <v>42</v>
      </c>
      <c r="B45" s="10" t="inlineStr">
        <is>
          <t xml:space="preserve">    print("  V3 → V5 数据库统一迁移")</t>
        </is>
      </c>
    </row>
    <row r="46">
      <c r="A46" s="7" t="n">
        <v>43</v>
      </c>
      <c r="B46" s="8" t="inlineStr">
        <is>
          <t xml:space="preserve">    print("=" * 60)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 xml:space="preserve">    v3_stats = get_v3_stats(v3_db)</t>
        </is>
      </c>
    </row>
    <row r="49">
      <c r="A49" s="9" t="n">
        <v>46</v>
      </c>
      <c r="B49" s="10" t="inlineStr">
        <is>
          <t xml:space="preserve">    v5_stats = get_v5_stats(v5_db)</t>
        </is>
      </c>
    </row>
    <row r="50">
      <c r="A50" s="7" t="n">
        <v>47</v>
      </c>
      <c r="B50" s="8" t="inlineStr"/>
    </row>
    <row r="51">
      <c r="A51" s="9" t="n">
        <v>48</v>
      </c>
      <c r="B51" s="10" t="inlineStr">
        <is>
          <t xml:space="preserve">    print(f"\n  V3 数据库: {v3_db}")</t>
        </is>
      </c>
    </row>
    <row r="52">
      <c r="A52" s="7" t="n">
        <v>49</v>
      </c>
      <c r="B52" s="8" t="inlineStr">
        <is>
          <t xml:space="preserve">    print(f"    素材片段: {v3_stats['segments']:,}")</t>
        </is>
      </c>
    </row>
    <row r="53">
      <c r="A53" s="9" t="n">
        <v>50</v>
      </c>
      <c r="B53" s="10" t="inlineStr">
        <is>
          <t xml:space="preserve">    print(f"    注册视频: {v3_stats['videos']:,}")</t>
        </is>
      </c>
    </row>
    <row r="54">
      <c r="A54" s="7" t="n">
        <v>51</v>
      </c>
      <c r="B54" s="8" t="inlineStr">
        <is>
          <t xml:space="preserve">    print(f"    已分析:   {v3_stats['analyzed']:,}")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  print(f"\n  V5 数据库: {v5_db}")</t>
        </is>
      </c>
    </row>
    <row r="57">
      <c r="A57" s="9" t="n">
        <v>54</v>
      </c>
      <c r="B57" s="10" t="inlineStr">
        <is>
          <t xml:space="preserve">    print(f"    素材片段: {v5_stats['segments']:,}")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>
        <is>
          <t xml:space="preserve">    if not apply:</t>
        </is>
      </c>
    </row>
    <row r="60">
      <c r="A60" s="7" t="n">
        <v>57</v>
      </c>
      <c r="B60" s="8" t="inlineStr">
        <is>
          <t xml:space="preserve">        print(f"\n  🔍 [DRY RUN] 使用 --apply 执行实际迁移")</t>
        </is>
      </c>
    </row>
    <row r="61">
      <c r="A61" s="9" t="n">
        <v>58</v>
      </c>
      <c r="B61" s="10" t="inlineStr">
        <is>
          <t xml:space="preserve">        print(f"  迁移策略: 将 V3 数据同步到 V5 schema，保留 V3 作为备份")</t>
        </is>
      </c>
    </row>
    <row r="62">
      <c r="A62" s="7" t="n">
        <v>59</v>
      </c>
      <c r="B62" s="8" t="inlineStr">
        <is>
          <t xml:space="preserve">        return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 xml:space="preserve">    # 初始化V5 schema</t>
        </is>
      </c>
    </row>
    <row r="65">
      <c r="A65" s="9" t="n">
        <v>62</v>
      </c>
      <c r="B65" s="10" t="inlineStr">
        <is>
          <t xml:space="preserve">    print(f"\n  🔧 初始化 V5 schema...")</t>
        </is>
      </c>
    </row>
    <row r="66">
      <c r="A66" s="7" t="n">
        <v>63</v>
      </c>
      <c r="B66" s="8" t="inlineStr">
        <is>
          <t xml:space="preserve">    try:</t>
        </is>
      </c>
    </row>
    <row r="67">
      <c r="A67" s="9" t="n">
        <v>64</v>
      </c>
      <c r="B67" s="10" t="inlineStr">
        <is>
          <t xml:space="preserve">        from material_engine_v5.database.schema_v5 import init_v5</t>
        </is>
      </c>
    </row>
    <row r="68">
      <c r="A68" s="7" t="n">
        <v>65</v>
      </c>
      <c r="B68" s="8" t="inlineStr">
        <is>
          <t xml:space="preserve">        init_v5()</t>
        </is>
      </c>
    </row>
    <row r="69">
      <c r="A69" s="9" t="n">
        <v>66</v>
      </c>
      <c r="B69" s="10" t="inlineStr">
        <is>
          <t xml:space="preserve">        print(f"  ✅ V5 schema 已初始化")</t>
        </is>
      </c>
    </row>
    <row r="70">
      <c r="A70" s="7" t="n">
        <v>67</v>
      </c>
      <c r="B70" s="8" t="inlineStr">
        <is>
          <t xml:space="preserve">    except Exception as e:</t>
        </is>
      </c>
    </row>
    <row r="71">
      <c r="A71" s="9" t="n">
        <v>68</v>
      </c>
      <c r="B71" s="10" t="inlineStr">
        <is>
          <t xml:space="preserve">        print(f"  !! V5 schema 初始化失败: {e}")</t>
        </is>
      </c>
    </row>
    <row r="72">
      <c r="A72" s="7" t="n">
        <v>69</v>
      </c>
      <c r="B72" s="8" t="inlineStr">
        <is>
          <t xml:space="preserve">        return</t>
        </is>
      </c>
    </row>
    <row r="73">
      <c r="A73" s="9" t="n">
        <v>70</v>
      </c>
      <c r="B73" s="10" t="inlineStr"/>
    </row>
    <row r="74">
      <c r="A74" s="7" t="n">
        <v>71</v>
      </c>
      <c r="B74" s="8" t="inlineStr">
        <is>
          <t xml:space="preserve">    # 迁移数据</t>
        </is>
      </c>
    </row>
    <row r="75">
      <c r="A75" s="9" t="n">
        <v>72</v>
      </c>
      <c r="B75" s="10" t="inlineStr">
        <is>
          <t xml:space="preserve">    print(f"\n  📦 迁移数据...")</t>
        </is>
      </c>
    </row>
    <row r="76">
      <c r="A76" s="7" t="n">
        <v>73</v>
      </c>
      <c r="B76" s="8" t="inlineStr">
        <is>
          <t xml:space="preserve">    migrated = 0</t>
        </is>
      </c>
    </row>
    <row r="77">
      <c r="A77" s="9" t="n">
        <v>74</v>
      </c>
      <c r="B77" s="10" t="inlineStr">
        <is>
          <t xml:space="preserve">    with sqlite3.connect(v3_db) as src, sqlite3.connect(v5_db) as dst:</t>
        </is>
      </c>
    </row>
    <row r="78">
      <c r="A78" s="7" t="n">
        <v>75</v>
      </c>
      <c r="B78" s="8" t="inlineStr">
        <is>
          <t xml:space="preserve">        rows = src.execute(</t>
        </is>
      </c>
    </row>
    <row r="79">
      <c r="A79" s="9" t="n">
        <v>76</v>
      </c>
      <c r="B79" s="10" t="inlineStr">
        <is>
          <t xml:space="preserve">            "SELECT video_path, start_time, end_time, tags, objects, style, color, material, speech_text, confidence, source_folder, duration, file_size, file_mtime FROM materials"</t>
        </is>
      </c>
    </row>
    <row r="80">
      <c r="A80" s="7" t="n">
        <v>77</v>
      </c>
      <c r="B80" s="8" t="inlineStr">
        <is>
          <t xml:space="preserve">        ).fetchall()</t>
        </is>
      </c>
    </row>
    <row r="81">
      <c r="A81" s="9" t="n">
        <v>78</v>
      </c>
      <c r="B81" s="10" t="inlineStr"/>
    </row>
    <row r="82">
      <c r="A82" s="7" t="n">
        <v>79</v>
      </c>
      <c r="B82" s="8" t="inlineStr">
        <is>
          <t xml:space="preserve">        for row in rows:</t>
        </is>
      </c>
    </row>
    <row r="83">
      <c r="A83" s="9" t="n">
        <v>80</v>
      </c>
      <c r="B83" s="10" t="inlineStr">
        <is>
          <t xml:space="preserve">            try:</t>
        </is>
      </c>
    </row>
    <row r="84">
      <c r="A84" s="7" t="n">
        <v>81</v>
      </c>
      <c r="B84" s="8" t="inlineStr">
        <is>
          <t xml:space="preserve">                dst.execute("""</t>
        </is>
      </c>
    </row>
    <row r="85">
      <c r="A85" s="9" t="n">
        <v>82</v>
      </c>
      <c r="B85" s="10" t="inlineStr">
        <is>
          <t xml:space="preserve">                    INSERT OR IGNORE INTO materials</t>
        </is>
      </c>
    </row>
    <row r="86">
      <c r="A86" s="7" t="n">
        <v>83</v>
      </c>
      <c r="B86" s="8" t="inlineStr">
        <is>
          <t xml:space="preserve">                    (video_path, start_time, end_time, tags, objects, style, color, material, speech_text, confidence, source_folder, duration, file_size, file_mtime, analyzed)</t>
        </is>
      </c>
    </row>
    <row r="87">
      <c r="A87" s="9" t="n">
        <v>84</v>
      </c>
      <c r="B87" s="10" t="inlineStr">
        <is>
          <t xml:space="preserve">                    VALUES (?,?,?,?,?,?,?,?,?,?,?,?,?,?,1)</t>
        </is>
      </c>
    </row>
    <row r="88">
      <c r="A88" s="7" t="n">
        <v>85</v>
      </c>
      <c r="B88" s="8" t="inlineStr">
        <is>
          <t xml:space="preserve">                """, row)</t>
        </is>
      </c>
    </row>
    <row r="89">
      <c r="A89" s="9" t="n">
        <v>86</v>
      </c>
      <c r="B89" s="10" t="inlineStr">
        <is>
          <t xml:space="preserve">                migrated += 1</t>
        </is>
      </c>
    </row>
    <row r="90">
      <c r="A90" s="7" t="n">
        <v>87</v>
      </c>
      <c r="B90" s="8" t="inlineStr">
        <is>
          <t xml:space="preserve">            except Exception:</t>
        </is>
      </c>
    </row>
    <row r="91">
      <c r="A91" s="9" t="n">
        <v>88</v>
      </c>
      <c r="B91" s="10" t="inlineStr">
        <is>
          <t xml:space="preserve">                pass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 xml:space="preserve">        dst.commit()</t>
        </is>
      </c>
    </row>
    <row r="94">
      <c r="A94" s="7" t="n">
        <v>91</v>
      </c>
      <c r="B94" s="8" t="inlineStr"/>
    </row>
    <row r="95">
      <c r="A95" s="9" t="n">
        <v>92</v>
      </c>
      <c r="B95" s="10" t="inlineStr">
        <is>
          <t xml:space="preserve">    v5_new = get_v5_stats(v5_db)</t>
        </is>
      </c>
    </row>
    <row r="96">
      <c r="A96" s="7" t="n">
        <v>93</v>
      </c>
      <c r="B96" s="8" t="inlineStr">
        <is>
          <t xml:space="preserve">    print(f"  ✅ 迁移完成: {migrated:,} 条 → V5 ({v5_new['segments']:,} 总计)")</t>
        </is>
      </c>
    </row>
    <row r="97">
      <c r="A97" s="9" t="n">
        <v>94</v>
      </c>
      <c r="B97" s="10" t="inlineStr"/>
    </row>
    <row r="98">
      <c r="A98" s="7" t="n">
        <v>95</v>
      </c>
      <c r="B98" s="8" t="inlineStr">
        <is>
          <t xml:space="preserve">    print(f"\n  📝 后续步骤:")</t>
        </is>
      </c>
    </row>
    <row r="99">
      <c r="A99" s="9" t="n">
        <v>96</v>
      </c>
      <c r="B99" s="10" t="inlineStr">
        <is>
          <t xml:space="preserve">    print(f"    1. V3 数据库保留为备份: {v3_db}")</t>
        </is>
      </c>
    </row>
    <row r="100">
      <c r="A100" s="7" t="n">
        <v>97</v>
      </c>
      <c r="B100" s="8" t="inlineStr">
        <is>
          <t xml:space="preserve">    print(f"    2. 更新 modules/shared/config.py 中的 DB_PATH 指向 V5")</t>
        </is>
      </c>
    </row>
    <row r="101">
      <c r="A101" s="9" t="n">
        <v>98</v>
      </c>
      <c r="B101" s="10" t="inlineStr">
        <is>
          <t xml:space="preserve">    print(f"    3. 验证通过后可删除 V3 数据库")</t>
        </is>
      </c>
    </row>
    <row r="102">
      <c r="A102" s="7" t="n">
        <v>99</v>
      </c>
      <c r="B102" s="8" t="inlineStr"/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>if __name__ == "__main__":</t>
        </is>
      </c>
    </row>
    <row r="105">
      <c r="A105" s="9" t="n">
        <v>102</v>
      </c>
      <c r="B105" s="10" t="inlineStr">
        <is>
          <t xml:space="preserve">    p = argparse.ArgumentParser(description="V3→V5数据库迁移")</t>
        </is>
      </c>
    </row>
    <row r="106">
      <c r="A106" s="7" t="n">
        <v>103</v>
      </c>
      <c r="B106" s="8" t="inlineStr">
        <is>
          <t xml:space="preserve">    p.add_argument("--apply", action="store_true", help="执行实际迁移")</t>
        </is>
      </c>
    </row>
    <row r="107">
      <c r="A107" s="9" t="n">
        <v>104</v>
      </c>
      <c r="B107" s="10" t="inlineStr">
        <is>
          <t xml:space="preserve">    p.add_argument("--dry-run", action="store_true", default=True, help="预览模式")</t>
        </is>
      </c>
    </row>
    <row r="108">
      <c r="A108" s="7" t="n">
        <v>105</v>
      </c>
      <c r="B108" s="8" t="inlineStr">
        <is>
          <t xml:space="preserve">    args = p.parse_args()</t>
        </is>
      </c>
    </row>
    <row r="109">
      <c r="A109" s="9" t="n">
        <v>106</v>
      </c>
      <c r="B109" s="10" t="inlineStr">
        <is>
          <t xml:space="preserve">    migrate(apply=args.apply)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6" t="inlineStr">
        <is>
          <t>modules\__init__.py</t>
        </is>
      </c>
      <c r="C1" s="5" t="inlineStr">
        <is>
          <t>行数: 0</t>
        </is>
      </c>
    </row>
    <row r="3">
      <c r="A3" s="4" t="inlineStr">
        <is>
          <t>源代码: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4" t="inlineStr">
        <is>
          <t>数据库:</t>
        </is>
      </c>
      <c r="B1" s="6" t="inlineStr">
        <is>
          <t>ai_material_library.db</t>
        </is>
      </c>
    </row>
    <row r="3">
      <c r="A3" s="11" t="inlineStr">
        <is>
          <t>表: account_matrix</t>
        </is>
      </c>
    </row>
    <row r="4">
      <c r="A4" s="4" t="inlineStr">
        <is>
          <t>Schema:</t>
        </is>
      </c>
      <c r="B4" s="12" t="inlineStr">
        <is>
          <t>CREATE TABLE account_matrix (
                        id INTEGER PRIMARY KEY AUTOINCREMENT,
                        account_name TEXT, platform TEXT, status TEXT,
                        last_post TEXT, total_posts INTEGER DEFAULT 0
                    )</t>
        </is>
      </c>
    </row>
    <row r="5">
      <c r="A5" s="5" t="inlineStr">
        <is>
          <t>列: id, account_name, platform, status, last_post, total_posts</t>
        </is>
      </c>
    </row>
    <row r="6">
      <c r="A6" s="5" t="inlineStr">
        <is>
          <t>行数: 0</t>
        </is>
      </c>
    </row>
    <row r="8">
      <c r="A8" s="11" t="inlineStr">
        <is>
          <t>表: ai_review_queue</t>
        </is>
      </c>
    </row>
    <row r="9">
      <c r="A9" s="4" t="inlineStr">
        <is>
          <t>Schema:</t>
        </is>
      </c>
      <c r="B9" s="12" t="inlineStr">
        <is>
          <t>CREATE TABLE ai_review_queue (
                        id INTEGER PRIMARY KEY AUTOINCREMENT,
                        rule_type TEXT NOT NULL,
                        content TEXT NOT NULL,
                        source TEXT DEFAULT 'AI',
                        confidence REAL DEFAULT 0.0,
                        status TEXT DEFAULT 'pending',
                        reviewer TEXT DEFAULT '',
                        review_note TEXT DEFAULT '',
                        created_at TEXT DEFAULT CURRENT_TIMESTAMP,
                        reviewed_at TEXT
                    )</t>
        </is>
      </c>
    </row>
    <row r="10">
      <c r="A10" s="5" t="inlineStr">
        <is>
          <t>列: id, rule_type, content, source, confidence, status, reviewer, review_note, created_at, reviewed_at</t>
        </is>
      </c>
    </row>
    <row r="11">
      <c r="A11" s="5" t="inlineStr">
        <is>
          <t>行数: 0</t>
        </is>
      </c>
    </row>
    <row r="13">
      <c r="A13" s="11" t="inlineStr">
        <is>
          <t>表: analysis_log</t>
        </is>
      </c>
    </row>
    <row r="14">
      <c r="A14" s="4" t="inlineStr">
        <is>
          <t>Schema:</t>
        </is>
      </c>
      <c r="B14" s="12" t="inlineStr">
        <is>
          <t>CREATE TABLE analysis_log (
                    id INTEGER PRIMARY KEY AUTOINCREMENT,
                    video_path TEXT NOT NULL,
                    models_used TEXT DEFAULT '',
                    vl_available INTEGER DEFAULT 0,
                    clip_available INTEGER DEFAULT 0,
                    whisper_available INTEGER DEFAULT 0,
                    tags_generated TEXT DEFAULT '',
                    duration_sec REAL DEFAULT 0,
                    created_at TEXT DEFAULT CURRENT_TIMESTAMP
                )</t>
        </is>
      </c>
    </row>
    <row r="15">
      <c r="A15" s="5" t="inlineStr">
        <is>
          <t>列: id, video_path, models_used, vl_available, clip_available, whisper_available, tags_generated, duration_sec, created_at</t>
        </is>
      </c>
    </row>
    <row r="16">
      <c r="A16" s="5" t="inlineStr">
        <is>
          <t>行数: 756</t>
        </is>
      </c>
    </row>
    <row r="17">
      <c r="A17" s="4" t="inlineStr">
        <is>
          <t>示例数据:</t>
        </is>
      </c>
    </row>
    <row r="18">
      <c r="A18" s="13" t="inlineStr">
        <is>
          <t>(1, 'Z:\\已处理素材\\卖点展示类素材\\【04】对开间收纳\\【14】【黑白简约风】江苏殷先生【岛台对开门收纳层展示】【坤宝】.mp4', 'qwen_vl,clip,whisper,yolo', 1, 1, 1, '', 0.0, '2026-06-10 10:14:46')</t>
        </is>
      </c>
      <c r="B18" s="5" t="inlineStr"/>
    </row>
    <row r="19">
      <c r="A19" s="13" t="inlineStr">
        <is>
          <t>(2, 'Z:\\已处理素材\\卖点展示类素材\\【14】T型亚克力腿\\【13】【河北石家庄】方小姐【岛台亚克力的伸缩设计】【铁牛】.mp4', 'qwen_vl,clip,whisper,yolo', 1, 1, 1, '河北石家庄,岛台亚克力的伸缩设计', 0.0, '2026-06-10 10:15:08')</t>
        </is>
      </c>
      <c r="B19" s="5" t="inlineStr"/>
    </row>
    <row r="20">
      <c r="A20" s="13" t="inlineStr">
        <is>
          <t>(3, 'Z:\\已处理素材\\卖点展示类素材\\【01】上层薄抽\\    【62】【现代极简风岛台】广州赖小姐 【岛台上层薄抽收纳层】\\    【62】【现代极简风岛台】广州赖小姐 【岛台上层薄抽收纳层】-1.mp4', 'qwen_vl,clip,whisper,yolo', 1, 1, 1, '', 0.0, '2026-06-10 10:15:28')</t>
        </is>
      </c>
      <c r="B20" s="5" t="inlineStr"/>
    </row>
    <row r="21">
      <c r="A21" s="13" t="inlineStr">
        <is>
          <t>(4, 'Z:\\已处理素材\\卖点展示类素材\\【01】上层薄抽\\   【20】【罗马洞石+北美黑胡桃】河南王小姐【岛台上层薄抽收纳展示】\\   【20】【罗马洞石+北美黑胡桃】河南王小姐【岛台上层薄抽收纳展示】-1.mp4', 'qwen_vl,clip,whisper,yolo', 1, 1, 1, '洞石', 0.0, '2026-06-10 10:15:49')</t>
        </is>
      </c>
      <c r="B21" s="5" t="inlineStr"/>
    </row>
    <row r="22">
      <c r="A22" s="13" t="inlineStr">
        <is>
          <t>(5, 'Z:\\已处理素材\\卖点展示类素材\\【01】上层薄抽\\   【20】【罗马洞石+北美黑胡桃】河南王小姐【岛台上层薄抽收纳展示】\\   【20】【罗马洞石+北美黑胡桃】河南王小姐【岛台上层薄抽收纳展示】-2.mp4', 'qwen_vl,clip,whisper,yolo', 1, 1, 1, '洞石', 0.0, '2026-06-10 10:16:09')</t>
        </is>
      </c>
      <c r="B22" s="5" t="inlineStr"/>
    </row>
    <row r="24">
      <c r="A24" s="11" t="inlineStr">
        <is>
          <t>表: annotation_feedback</t>
        </is>
      </c>
    </row>
    <row r="25">
      <c r="A25" s="4" t="inlineStr">
        <is>
          <t>Schema:</t>
        </is>
      </c>
      <c r="B25" s="12" t="inlineStr">
        <is>
          <t>CREATE TABLE annotation_feedback (
                    id INTEGER PRIMARY KEY AUTOINCREMENT,
                    video_id TEXT, old_tag TEXT, new_tag TEXT,
                    score INTEGER DEFAULT 3, user_note TEXT,
                    created_at TEXT DEFAULT CURRENT_TIMESTAMP
                )</t>
        </is>
      </c>
    </row>
    <row r="26">
      <c r="A26" s="5" t="inlineStr">
        <is>
          <t>列: id, video_id, old_tag, new_tag, score, user_note, created_at</t>
        </is>
      </c>
    </row>
    <row r="27">
      <c r="A27" s="5" t="inlineStr">
        <is>
          <t>行数: 0</t>
        </is>
      </c>
    </row>
    <row r="29">
      <c r="A29" s="11" t="inlineStr">
        <is>
          <t>表: compute_cache</t>
        </is>
      </c>
    </row>
    <row r="30">
      <c r="A30" s="4" t="inlineStr">
        <is>
          <t>Schema:</t>
        </is>
      </c>
      <c r="B30" s="12" t="inlineStr">
        <is>
          <t>CREATE TABLE compute_cache (
                        id INTEGER PRIMARY KEY AUTOINCREMENT,
                        file_hash TEXT NOT NULL,
                        cache_type TEXT NOT NULL,
                        cache_data TEXT NOT NULL,
                        file_size INTEGER DEFAULT 0,
                        create_time TIMESTAMP DEFAULT CURRENT_TIMESTAMP,
                        update_time TIMESTAMP DEFAULT CURRENT_TIMESTAMP,
                        UNIQUE(file_hash, cache_type)
                    )</t>
        </is>
      </c>
    </row>
    <row r="31">
      <c r="A31" s="5" t="inlineStr">
        <is>
          <t>列: id, file_hash, cache_type, cache_data, file_size, create_time, update_time</t>
        </is>
      </c>
    </row>
    <row r="32">
      <c r="A32" s="5" t="inlineStr">
        <is>
          <t>行数: 0</t>
        </is>
      </c>
    </row>
    <row r="34">
      <c r="A34" s="11" t="inlineStr">
        <is>
          <t>表: ctr_feedback</t>
        </is>
      </c>
    </row>
    <row r="35">
      <c r="A35" s="4" t="inlineStr">
        <is>
          <t>Schema:</t>
        </is>
      </c>
      <c r="B35" s="12" t="inlineStr">
        <is>
          <t>CREATE TABLE ctr_feedback (
                        id INTEGER PRIMARY KEY AUTOINCREMENT,
                        material_id INTEGER, ctr REAL, likes INTEGER,
                        comments INTEGER, shares INTEGER, publish_date TEXT
                    )</t>
        </is>
      </c>
    </row>
    <row r="36">
      <c r="A36" s="5" t="inlineStr">
        <is>
          <t>列: id, material_id, ctr, likes, comments, shares, publish_date</t>
        </is>
      </c>
    </row>
    <row r="37">
      <c r="A37" s="5" t="inlineStr">
        <is>
          <t>行数: 0</t>
        </is>
      </c>
    </row>
    <row r="39">
      <c r="A39" s="11" t="inlineStr">
        <is>
          <t>表: generation_log</t>
        </is>
      </c>
    </row>
    <row r="40">
      <c r="A40" s="4" t="inlineStr">
        <is>
          <t>Schema:</t>
        </is>
      </c>
      <c r="B40" s="12" t="inlineStr">
        <is>
          <t>CREATE TABLE generation_log (
    id INTEGER PRIMARY KEY AUTOINCREMENT,
    script_id INTEGER,
    keyword TEXT,
    draft_dir TEXT,
    copy_text TEXT,
    score INTEGER DEFAULT 0,
    created_at TEXT DEFAULT CURRENT_TIMESTAMP,
    FOREIGN KEY (script_id) REFERENCES learned_scripts(id)
)</t>
        </is>
      </c>
    </row>
    <row r="41">
      <c r="A41" s="5" t="inlineStr">
        <is>
          <t>列: id, script_id, keyword, draft_dir, copy_text, score, created_at</t>
        </is>
      </c>
    </row>
    <row r="42">
      <c r="A42" s="5" t="inlineStr">
        <is>
          <t>行数: 0</t>
        </is>
      </c>
    </row>
    <row r="44">
      <c r="A44" s="11" t="inlineStr">
        <is>
          <t>表: generation_material_log</t>
        </is>
      </c>
    </row>
    <row r="45">
      <c r="A45" s="4" t="inlineStr">
        <is>
          <t>Schema:</t>
        </is>
      </c>
      <c r="B45" s="12" t="inlineStr">
        <is>
          <t>CREATE TABLE generation_material_log (
                    id INTEGER PRIMARY KEY AUTOINCREMENT,
                    video_log_id INTEGER NOT NULL,
                    material_path TEXT NOT NULL,
                    source_start REAL DEFAULT 0,
                    clip_duration REAL DEFAULT 0,
                    match_method TEXT DEFAULT '',
                    match_score REAL DEFAULT 0,
                    order_index INTEGER DEFAULT 0,
                    created_at TEXT DEFAULT CURRENT_TIMESTAMP,
                    FOREIGN KEY (video_log_id) REFERENCES generation_video_log(id)
                )</t>
        </is>
      </c>
    </row>
    <row r="46">
      <c r="A46" s="5" t="inlineStr">
        <is>
          <t>列: id, video_log_id, material_path, source_start, clip_duration, match_method, match_score, order_index, created_at</t>
        </is>
      </c>
    </row>
    <row r="47">
      <c r="A47" s="5" t="inlineStr">
        <is>
          <t>行数: 57</t>
        </is>
      </c>
    </row>
    <row r="48">
      <c r="A48" s="4" t="inlineStr">
        <is>
          <t>示例数据:</t>
        </is>
      </c>
    </row>
    <row r="49">
      <c r="A49" s="13" t="inlineStr">
        <is>
          <t>(1, 1, 'Z:\\已处理素材\\卖点展示类素材\\【02】下层抽屉\\ 【29】【罗马洞石】四川刘女士【3节拖地导轨收纳展示】【铁牛02】\\ 【29】【罗马洞石】四川刘女士【3节拖地导轨收纳展示】【铁牛02】-2.mp4', 0.0, 4.550998, 'FAISS向量', 0.369, 0, '2026-06-12 08:09:20')</t>
        </is>
      </c>
      <c r="B49" s="5" t="inlineStr"/>
    </row>
    <row r="50">
      <c r="A50" s="13" t="inlineStr">
        <is>
          <t>(2, 1, 'Z:\\已处理素材\\卖点展示类素材\\【02】下层抽屉\\【40】【威士尼奶白色+卡尔德拉原木】郴州付小姐【岛头下层部位的两个抽屉一个柜子】\\【40】【威士尼奶白色+卡尔德拉原木】郴州付小姐【岛头下层部位的两个抽屉一个柜子】-1.mp4', 0.0, 5.0, 'FAISS向量', 0.377, 1, '2026-06-12 08:09:20')</t>
        </is>
      </c>
      <c r="B50" s="5" t="inlineStr"/>
    </row>
    <row r="51">
      <c r="A51" s="13" t="inlineStr">
        <is>
          <t>(3, 1, 'Z:\\已处理素材\\卖点展示类素材\\【02】下层抽屉\\ 【74】【纯白色+釉木红印】深圳唐先生【岛台下层抽屉汉高三节拖地导轨抽拉非常丝滑不卡】\\ 【74】【纯白色+釉木红印】深圳唐先生【岛台下层抽屉汉高三节拖地导轨抽拉非常丝滑不卡】-1(1).mp4', 0.0, 5.0, 'FAISS向量', 0.369, 2, '2026-06-12 08:09:20')</t>
        </is>
      </c>
      <c r="B51" s="5" t="inlineStr"/>
    </row>
    <row r="52">
      <c r="A52" s="13" t="inlineStr">
        <is>
          <t>(4, 1, 'Z:\\已处理素材\\卖点展示类素材\\【01】上层薄抽\\【29】【罗马洞石】四川刘女士【岛台上层薄抽收纳展示】】【铁牛01】】\\【29】【罗马洞石】四川刘女士【岛台上层薄抽收纳展示】】【铁牛01】】-1.mp4', 0.0, 5.0, 'FAISS向量', 0.383, 3, '2026-06-12 08:09:20')</t>
        </is>
      </c>
      <c r="B52" s="5" t="inlineStr"/>
    </row>
    <row r="53">
      <c r="A53" s="13" t="inlineStr">
        <is>
          <t>(5, 1, 'Z:\\已处理素材\\卖点展示类素材\\【01】上层薄抽\\【33】【罗马动石】四川刘小姐【岛台上层薄抽收纳展示】\\【33】【罗马动石】四川刘小姐【岛台上层薄抽收纳展示】-1.mp4', 0.0, 5.0, 'FAISS向量', 0.377, 4, '2026-06-12 08:09:20')</t>
        </is>
      </c>
      <c r="B53" s="5" t="inlineStr"/>
    </row>
    <row r="55">
      <c r="A55" s="11" t="inlineStr">
        <is>
          <t>表: generation_video_log</t>
        </is>
      </c>
    </row>
    <row r="56">
      <c r="A56" s="4" t="inlineStr">
        <is>
          <t>Schema:</t>
        </is>
      </c>
      <c r="B56" s="12" t="inlineStr">
        <is>
          <t>CREATE TABLE generation_video_log (
                    id INTEGER PRIMARY KEY AUTOINCREMENT,
                    task_id TEXT NOT NULL,
                    video_index INTEGER DEFAULT 1,
                    keyword TEXT,
                    copy_text TEXT,
                    total_duration REAL DEFAULT 0,
                    tts_duration REAL DEFAULT 0,
                    created_at TEXT DEFAULT CURRENT_TIMESTAMP
                )</t>
        </is>
      </c>
    </row>
    <row r="57">
      <c r="A57" s="5" t="inlineStr">
        <is>
          <t>列: id, task_id, video_index, keyword, copy_text, total_duration, tts_duration, created_at</t>
        </is>
      </c>
    </row>
    <row r="58">
      <c r="A58" s="5" t="inlineStr">
        <is>
          <t>行数: 9</t>
        </is>
      </c>
    </row>
    <row r="59">
      <c r="A59" s="4" t="inlineStr">
        <is>
          <t>示例数据:</t>
        </is>
      </c>
    </row>
    <row r="60">
      <c r="A60" s="13" t="inlineStr">
        <is>
          <t>(1, 'batch_20260612_160714_9724', 1, 'batch', '我把普通岛台换成这个，整个厨房都高级了！上层薄抽值得推荐拉开，零食收纳超顺手。内嵌烤箱精准开孔，烘焙聚餐值得推荐步到位。轨道插座随意移动，小家电想放哪就放哪。不锈钢材质超耐用，清洁省心太方便。喜欢这种全能岛台吗？发你详细方案。', 34.550998, 23.208, '2026-06-12 08:09:20')</t>
        </is>
      </c>
      <c r="B60" s="5" t="inlineStr"/>
    </row>
    <row r="61">
      <c r="A61" s="13" t="inlineStr">
        <is>
          <t>(2, 'batch_20260612_160714_9724', 1, 'batch', '你可别小看这个岛台，它的收纳功能真的太强了！ 上层薄抽值得推荐拉开，零食囤货整整齐齐。中间超深储物格，锅具米面值得推荐网打尽。侧边挂杆随手挂，围裙抹布拿取超方便。底部还能放垃圾桶，厨房台面永远清爽。 想要这样的收纳岛台吗？发你详细方案。', 27.5, 24.0, '2026-06-12 08:10:23')</t>
        </is>
      </c>
      <c r="B61" s="5" t="inlineStr"/>
    </row>
    <row r="62">
      <c r="A62" s="13" t="inlineStr">
        <is>
          <t>(3, 'batch_20260612_180228_6547', 1, 'batch', '90%的人选岛台都踩坑，装完才后悔！ 你看这款batch岩板岛台，台面值得推荐体成型超耐划。底部储物格值得推荐拉开，锅碗瓢盆全装下。侧边插座随手插，小家电用起来太顺手。 喜欢这种设计吗？，发你同款方案！', 21.729002, 20.16, '2026-06-12 10:04:00')</t>
        </is>
      </c>
      <c r="B62" s="5" t="inlineStr"/>
    </row>
    <row r="63">
      <c r="A63" s="13" t="inlineStr">
        <is>
          <t>(4, 'batch_20260612_180228_6547', 1, 'batch', '90%的人选岛台都踩坑，装完才后悔！你看这个坤宝岛台，岩板台面耐磨又高级。抽屉分区收纳，碗碟汤锅值得推荐拉就找到。侧面插座内嵌设计，电器不用时隐进去。这样的岛台太实用了，想要同款的朋友，发你详细方案！', 22.900000000000002, 20.544, '2026-06-12 10:04:31')</t>
        </is>
      </c>
      <c r="B63" s="5" t="inlineStr"/>
    </row>
    <row r="64">
      <c r="A64" s="13" t="inlineStr">
        <is>
          <t>(5, 'batch_20260613_210030_2300', 1, '岛台综合', '90%的人选岛台都踩坑，装完才后悔！你看这款岩板岛台，台面耐磨又防渗，切菜摆盘太省心。抽屉分区收纳，锅碗瓢盆值得推荐拉就拿到。侧面预留插座，吃火锅煮咖啡超方便。底部镂空设计，吧台凳值得推荐塞空间更清爽。想要同款岛台的朋友，发你详细方案。', 29.180998000000002, 25.056, '2026-06-13 13:02:02')</t>
        </is>
      </c>
      <c r="B64" s="5" t="inlineStr"/>
    </row>
    <row r="66">
      <c r="A66" s="11" t="inlineStr">
        <is>
          <t>表: human_review_queue</t>
        </is>
      </c>
    </row>
    <row r="67">
      <c r="A67" s="4" t="inlineStr">
        <is>
          <t>Schema:</t>
        </is>
      </c>
      <c r="B67" s="12" t="inlineStr">
        <is>
          <t>CREATE TABLE human_review_queue (
                        id INTEGER PRIMARY KEY AUTOINCREMENT,
                        keyword TEXT NOT NULL,
                        source TEXT DEFAULT 'retry_exhausted',
                        fail_reason TEXT DEFAULT 'unknown',
                        retry_count INTEGER DEFAULT 0,
                        last_score REAL DEFAULT 0,
                        params_snapshot TEXT DEFAULT '{}',
                        notes TEXT DEFAULT '',
                        status TEXT DEFAULT 'pending',
                        created_at TEXT DEFAULT CURRENT_TIMESTAMP,
                        resolved_at TEXT
                    )</t>
        </is>
      </c>
    </row>
    <row r="68">
      <c r="A68" s="5" t="inlineStr">
        <is>
          <t>列: id, keyword, source, fail_reason, retry_count, last_score, params_snapshot, notes, status, created_at, resolved_at</t>
        </is>
      </c>
    </row>
    <row r="69">
      <c r="A69" s="5" t="inlineStr">
        <is>
          <t>行数: 0</t>
        </is>
      </c>
    </row>
    <row r="71">
      <c r="A71" s="11" t="inlineStr">
        <is>
          <t>表: learned_scripts</t>
        </is>
      </c>
    </row>
    <row r="72">
      <c r="A72" s="4" t="inlineStr">
        <is>
          <t>Schema:</t>
        </is>
      </c>
      <c r="B72" s="12" t="inlineStr">
        <is>
          <t>CREATE TABLE learned_scripts (
    id INTEGER PRIMARY KEY AUTOINCREMENT,
    content TEXT NOT NULL,
    source TEXT DEFAULT 'manual',
    tags TEXT DEFAULT '',
    usage_count INTEGER DEFAULT 0,
    avg_score REAL DEFAULT 0.0,
    embedding BLOB DEFAULT NULL,
    created_at TEXT DEFAULT CURRENT_TIMESTAMP,
    last_used_at TEXT,
    notes TEXT DEFAULT ''
)</t>
        </is>
      </c>
    </row>
    <row r="73">
      <c r="A73" s="5" t="inlineStr">
        <is>
          <t>列: id, content, source, tags, usage_count, avg_score, embedding, created_at, last_used_at, notes</t>
        </is>
      </c>
    </row>
    <row r="74">
      <c r="A74" s="5" t="inlineStr">
        <is>
          <t>行数: 126</t>
        </is>
      </c>
    </row>
    <row r="75">
      <c r="A75" s="4" t="inlineStr">
        <is>
          <t>示例数据:</t>
        </is>
      </c>
    </row>
    <row r="76">
      <c r="A76" s="13" t="inlineStr">
        <is>
          <t>(287, '这个岛台能快速实现厨房治愈效果，它叫侘寂风岛台。\n这个岛台和石膏线、奶白橱柜超搭，它叫奶油风岛台。\n这个岛台线条利落不拖沓高级感拉满，它叫极简风岛台。\n这个岛台自带温润复古质感越用越有韵味，它叫中古风岛台。\n这个岛台温柔又精致，和法式吊灯、石膏线完美呼应，它叫轻法式岛台。\n这个岛台硬朗中带点柔和、耐脏耐用，它叫工业风岛台。', '岛台视频脚本一（洗稿）', '', 1, 3.0, b'\xf7\x12\x9c9\xf3\x9e\x08\xbc\x13\x15X\xbdq/\x96\xbc\x0f\xd3\xa5&lt;\xdc\xd3\xb3\xbd\x9f\xd5\x97&lt;\xd6/`=\x1a\xf1\xbf;\x06\x9dS&lt;t\xe0\x01=*)M=\x94\x89\xa7\xbc\xb5W\xe5\xbbH\x7fM&lt;\\\xf8\xe8\xbc\x97\xe5.\xbc\x98\xc1\xf7\xbc\xb5\x10A&lt;\xf8d\x89&lt;\x14\n\x12\xb9\xf6*:&lt;U,\xdf\xbc\xeb\xe5\x0b&lt;\x14\x81l\xbd</t>
        </is>
      </c>
      <c r="B76" s="5" t="inlineStr"/>
    </row>
    <row r="77">
      <c r="A77" s="13" t="inlineStr">
        <is>
          <t>(288, '你一定有没有见过这种岛台？它是我们的黑金老钱风奢石岛台岛台。奢石岛台呢，精选巴西进口的天然黑金奢石原石，经过 12 道手工打磨抛光，一体切割成型的无缝整板台面。它没有刻意的人工修饰，自带亿万年地质运动形成的天然黑金纹理，深邃的墨黑底纹交织着流动的鎏金脉络，每一道纹路都像被岁月沉淀过的时光印记，粗犷中藏着极致的细腻，低调中透着骨子里的贵气。现在越来越多追求低调奢华的高净值家庭、高端私宴会所、设计师酒店，都开始偏爱这种自带高级感的奢石台面。不管是大平层的开放式厨房、私人别墅的茶室，还是高端商务的接待区，它都能完美撑起整个空间的气场，成为一眼惊艳却不张扬的视觉中心。', '岛台视频脚本一（洗稿）', '', 0, 0.0, b'\x85vd&lt;\xf6\x81\xc9\xbb.\xbf\x9a\xbd\x8c\x060\xbchR\x17&lt;\xfa\x00\x88\xbc\xe0\x04\xe9\xbb4\xe5E=+\xb0M\xbc\x1e\x1e\x04&lt;\x90\x81\xc1&lt;\xf6\xa2\x7f=\xecR\xc5\xbc\x0cs\x04&lt;_\xc5\x02=\</t>
        </is>
      </c>
      <c r="B77" s="5" t="inlineStr"/>
    </row>
    <row r="78">
      <c r="A78" s="13" t="inlineStr">
        <is>
          <t>(289, '这个岛台在猫咪眼里是大号磨爪平台，其实它是洞石岩板复刻的伸缩岛台。它不但自然而且耐用，厚度有50mm，可以随意的伸缩。这意味着什么？圆柱弧形岛台都能像尺子一样严丝合缝的贴合上去。它不仅对猫来说有致命的吸引力，而且对于民宿咖啡厅岛台改造都能营造出自然朴素的效果。它还能把吧台做成一个非常自然时尚的弧形吧台。', '岛台视频脚本一（洗稿）', '', 0, 0.0, b'\xfe6\x10=\xd1\xd6\xa8\xb9\xf7\xd5d\xbd\xab\x0f\x13\xbb\xcbx\x92&lt;Z\xf6\xaf\xbdd\x98]&lt;v\x01\x9b;\x1a\x18-\xbcY9\x8b;6M\x00&lt;\xbe.|=\x89\xea\xce\xbc\x98Z\xbf\xbc\xd9\xfc4\xbc\xd3.\x02\xbd\xb6\xe1w&lt;\xcc*\xac\xbcN\xb7\xae&lt;K\xd0\x1e\xbcS\xa0\t\xbdu*y;\x12 v\xbc\xd5T\xcf\xbc\xb5\x11m\xbd\xe2Jj&lt;\x8f`\\\xbcX\\:=-\xfd</t>
        </is>
      </c>
      <c r="B78" s="5" t="inlineStr"/>
    </row>
    <row r="79">
      <c r="A79" s="13" t="inlineStr">
        <is>
          <t>(290, '装个厨房岛台就像拼积木一样简单，我们就把天然石材这种肌理面呢，用岩板的方式给制作出来，然后让它同样具备了这样的风化过上百年历史的天然石材质感。它对于厨房改造啊精装房加装啊，它效率非常高的，尤其是大平层、小户型还有别墅啊，你用它直接就免掉了餐桌搭配环节了，就是这样的一个奢石岛台。', '岛台视频脚本一（洗稿）', '', 1, 3.0, b'P\xc4\xcb\xbac\x03\x95;\x98U\x88\xbd!&amp;\t&lt;\x0c\xe4\\&lt;\xfc\x05\x0c\xbd4\xa2\x8a&lt;\xeaHJ=\xccd\xf4\xbau\xc6\x11\xbcP\xa2\x1d=E^\xef&lt;\xe2\xac\xe7\xbcc\x8b\xc2&lt;\xf7\x1a\x84;\xbfC&gt;\xbc\xb4\x8a\x9b\xbc\xca\xe2\x88&lt;\xca\xcf\x07=\x95N3=\xf8\x87\\\xbdz\xfd\xb6\xbc\x0b\xcf\xcc&lt;\xc3R\xeb\xbc\x90\t\x12\xbd\xad\x18\x07=\xb5\xd7\xe2\xbb</t>
        </is>
      </c>
      <c r="B79" s="5" t="inlineStr"/>
    </row>
    <row r="80">
      <c r="A80" s="13" t="inlineStr">
        <is>
          <t>(291, '岛台装修，别人装出高级感，你装的平平无奇，差距就在岛台风格上。茶室装修选黑金奢石岩板岛台，能给你一个复古静谧的禅意空间。别墅装修选法国金莱姆石岛台，能给你自然古朴的松弛感。吧台装修法式洞石岛台，瞬间有了欧洲小镇老建筑的氛围。客餐厅装修选长条米灰岛台，能在视觉上拉长空间，缓解压抑感。承重柱可以用岛台延伸包裹，用岛台悬浮打破空间沉闷。', '岛台视频脚本一（洗稿）', '', 0, 0.0, b'\x1e\xec\x1f\xbcF\x07\xbc\xba\xce\xa1\'\xbd\xe0\xce\x86\xbc\x9c\x99\x93&lt;N\xce\xc9\xbc\r\xd4\t=\r\xa7*=\xa7QN;\xa8\xb9\xca;=M\x18=\t\x1e\x1b=\xc1\xc9?\xbc\x18]Z\xbb\xf4]\xa1&lt;+\xb9f\xbcC\xf1\x8f\xbc\x18\x0f*\xbazXK=\x7f\xd4h=*2\x14\xbd\x93h\xb0&lt;\xf3B\x87\xbc\xe8{\x03\xbd\x86\x8b*\xbdq\x16\xcb\xbb</t>
        </is>
      </c>
      <c r="B80" s="5" t="inlineStr"/>
    </row>
    <row r="82">
      <c r="A82" s="11" t="inlineStr">
        <is>
          <t>表: material_feedback</t>
        </is>
      </c>
    </row>
    <row r="83">
      <c r="A83" s="4" t="inlineStr">
        <is>
          <t>Schema:</t>
        </is>
      </c>
      <c r="B83" s="12" t="inlineStr">
        <is>
          <t>CREATE TABLE material_feedback (
                    id INTEGER PRIMARY KEY AUTOINCREMENT,
                    material_path TEXT NOT NULL,
                    video_log_id INTEGER,
                    feedback_type TEXT DEFAULT '适配率',
                    rating INTEGER DEFAULT 3 CHECK (rating BETWEEN 1 AND 5),
                    comment TEXT DEFAULT '',
                    created_at TEXT DEFAULT CURRENT_TIMESTAMP,
                    FOREIGN KEY (video_log_id) REFERENCES generation_video_log(id)
                )</t>
        </is>
      </c>
    </row>
    <row r="84">
      <c r="A84" s="5" t="inlineStr">
        <is>
          <t>列: id, material_path, video_log_id, feedback_type, rating, comment, created_at</t>
        </is>
      </c>
    </row>
    <row r="85">
      <c r="A85" s="5" t="inlineStr">
        <is>
          <t>行数: 0</t>
        </is>
      </c>
    </row>
    <row r="87">
      <c r="A87" s="11" t="inlineStr">
        <is>
          <t>表: material_generation_log</t>
        </is>
      </c>
    </row>
    <row r="88">
      <c r="A88" s="4" t="inlineStr">
        <is>
          <t>Schema:</t>
        </is>
      </c>
      <c r="B88" s="12" t="inlineStr">
        <is>
          <t>CREATE TABLE material_generation_log (
                    id INTEGER PRIMARY KEY AUTOINCREMENT,
                    generation_task_id TEXT NOT NULL,
                    video_path TEXT NOT NULL,
                    source_start REAL,
                    clip_duration REAL,
                    created_at TEXT DEFAULT CURRENT_TIMESTAMP
                )</t>
        </is>
      </c>
    </row>
    <row r="89">
      <c r="A89" s="5" t="inlineStr">
        <is>
          <t>列: id, generation_task_id, video_path, source_start, clip_duration, created_at</t>
        </is>
      </c>
    </row>
    <row r="90">
      <c r="A90" s="5" t="inlineStr">
        <is>
          <t>行数: 57</t>
        </is>
      </c>
    </row>
    <row r="91">
      <c r="A91" s="4" t="inlineStr">
        <is>
          <t>示例数据:</t>
        </is>
      </c>
    </row>
    <row r="92">
      <c r="A92" s="13" t="inlineStr">
        <is>
          <t>(2, 'batch_20260612_160714_9724', 'Z:\\已处理素材\\卖点展示类素材\\【02】下层抽屉\\ 【29】【罗马洞石】四川刘女士【3节拖地导轨收纳展示】【铁牛02】\\ 【29】【罗马洞石】四川刘女士【3节拖地导轨收纳展示】【铁牛02】-2.mp4', 0.0, 4.550998, '2026-06-12 08:09:20')</t>
        </is>
      </c>
      <c r="B92" s="5" t="inlineStr"/>
    </row>
    <row r="93">
      <c r="A93" s="13" t="inlineStr">
        <is>
          <t>(3, 'batch_20260612_160714_9724', 'Z:\\已处理素材\\卖点展示类素材\\【02】下层抽屉\\【40】【威士尼奶白色+卡尔德拉原木】郴州付小姐【岛头下层部位的两个抽屉一个柜子】\\【40】【威士尼奶白色+卡尔德拉原木】郴州付小姐【岛头下层部位的两个抽屉一个柜子】-1.mp4', 0.0, 5.0, '2026-06-12 08:09:20')</t>
        </is>
      </c>
      <c r="B93" s="5" t="inlineStr"/>
    </row>
    <row r="94">
      <c r="A94" s="13" t="inlineStr">
        <is>
          <t>(4, 'batch_20260612_160714_9724', 'Z:\\已处理素材\\卖点展示类素材\\【02】下层抽屉\\ 【74】【纯白色+釉木红印】深圳唐先生【岛台下层抽屉汉高三节拖地导轨抽拉非常丝滑不卡】\\ 【74】【纯白色+釉木红印】深圳唐先生【岛台下层抽屉汉高三节拖地导轨抽拉非常丝滑不卡】-1(1).mp4', 0.0, 5.0, '2026-06-12 08:09:20')</t>
        </is>
      </c>
      <c r="B94" s="5" t="inlineStr"/>
    </row>
    <row r="95">
      <c r="A95" s="13" t="inlineStr">
        <is>
          <t>(5, 'batch_20260612_160714_9724', 'Z:\\已处理素材\\卖点展示类素材\\【01】上层薄抽\\【29】【罗马洞石】四川刘女士【岛台上层薄抽收纳展示】】【铁牛01】】\\【29】【罗马洞石】四川刘女士【岛台上层薄抽收纳展示】】【铁牛01】】-1.mp4', 0.0, 5.0, '2026-06-12 08:09:20')</t>
        </is>
      </c>
      <c r="B95" s="5" t="inlineStr"/>
    </row>
    <row r="96">
      <c r="A96" s="13" t="inlineStr">
        <is>
          <t>(6, 'batch_20260612_160714_9724', 'Z:\\已处理素材\\卖点展示类素材\\【01】上层薄抽\\【33】【罗马动石】四川刘小姐【岛台上层薄抽收纳展示】\\【33】【罗马动石】四川刘小姐【岛台上层薄抽收纳展示】-1.mp4', 0.0, 5.0, '2026-06-12 08:09:20')</t>
        </is>
      </c>
      <c r="B96" s="5" t="inlineStr"/>
    </row>
    <row r="98">
      <c r="A98" s="11" t="inlineStr">
        <is>
          <t>表: materials</t>
        </is>
      </c>
    </row>
    <row r="99">
      <c r="A99" s="4" t="inlineStr">
        <is>
          <t>Schema:</t>
        </is>
      </c>
      <c r="B99" s="12" t="inlineStr">
        <is>
          <t>CREATE TABLE materials (
                    id INTEGER PRIMARY KEY AUTOINCREMENT,
                    video_path TEXT NOT NULL,
                    start_time REAL NOT NULL,
                    end_time REAL NOT NULL,
                    tags TEXT DEFAULT '',
                    objects TEXT DEFAULT '',
                    style TEXT DEFAULT '',
                    color TEXT DEFAULT '',
                    material TEXT DEFAULT '',
                    speech_text TEXT DEFAULT '',
                    confidence REAL DEFAULT 0.0,
                    embedding BLOB DEFAULT NULL,
                    created_time TEXT DEFAULT CURRENT_TIMESTAMP,
                    source_folder TEXT DEFAULT '',
                    duration REAL DEFAULT 0,
                    file_size INTEGER DEFAULT 0,
                    file_mtime REAL DEFAULT 0,
                    analyzed INTEGER DEFAULT 0
                , blocked INTEGER DEFAULT 0, has_frames INTEGER DEFAULT 0, has_human INTEGER DEFAULT 0, is_opening INTEGER DEFAULT 0)</t>
        </is>
      </c>
    </row>
    <row r="100">
      <c r="A100" s="5" t="inlineStr">
        <is>
          <t>列: id, video_path, start_time, end_time, tags, objects, style, color, material, speech_text, confidence, embedding, created_time, source_folder, duration, file_size, file_mtime, analyzed, blocked, has_frames, has_human, is_opening</t>
        </is>
      </c>
    </row>
    <row r="101">
      <c r="A101" s="5" t="inlineStr">
        <is>
          <t>行数: 16143</t>
        </is>
      </c>
    </row>
    <row r="102">
      <c r="A102" s="4" t="inlineStr">
        <is>
          <t>示例数据:</t>
        </is>
      </c>
    </row>
    <row r="103">
      <c r="A103" s="13" t="inlineStr">
        <is>
          <t>(1, 'Z:\\已处理素材\\卖点展示类素材\\【04】对开间收纳\\【14】【黑白简约风】江苏殷先生【岛台对开门收纳层展示】【坤宝】.mp4', 0.0, 5.0, '', '收纳层', '简约风,黑白简约,黑白简约风', '', '', '八台下方的空間我一點也沒有浪費 我的豆漿及破壁機全部都可以塞到裡面去', 0.8, None, '2026-06-07 14:08:16', '【04】对开间收纳', 10.471995, 55065752, 1767615197.4765637, 1, 0, 1, 0, 0)</t>
        </is>
      </c>
      <c r="B103" s="5" t="inlineStr"/>
    </row>
    <row r="104">
      <c r="A104" s="13" t="inlineStr">
        <is>
          <t>(2, 'Z:\\已处理素材\\卖点展示类素材\\【04】对开间收纳\\【14】【黑白简约风】江苏殷先生【岛台对开门收纳层展示】【坤宝】.mp4', 5.0, 10.0, '', '收纳层', '简约风,黑白简约,黑白简约风', '', '', '我的豆漿及破壁機全部都可以塞到裡面去', 0.8, None, '2026-06-07 14:08:16', '【04】对开间收纳', 10.471995, 55065752, 1767615197.4765637, 1, 0, 1, 0, 0)</t>
        </is>
      </c>
      <c r="B104" s="5" t="inlineStr"/>
    </row>
    <row r="105">
      <c r="A105" s="13" t="inlineStr">
        <is>
          <t>(3, 'Z:\\已处理素材\\卖点展示类素材\\【04】对开间收纳\\【14】【黑白简约风】江苏殷先生【岛台对开门收纳层展示】【坤宝】.mp4', 10.0, 10.471995, '', '收纳层', '简约风,黑白简约,黑白简约风', '', '', '', 0.8, None, '2026-06-07 14:08:16', '【04】对开间收纳', 10.471995, 55065752, 1767615197.4765637, 1, 0, 1, 0, 0)</t>
        </is>
      </c>
      <c r="B105" s="5" t="inlineStr"/>
    </row>
    <row r="106">
      <c r="A106" s="13" t="inlineStr">
        <is>
          <t>(4, 'Z:\\已处理素材\\卖点展示类素材\\【14】T型亚克力腿\\【13】【河北石家庄】方小姐【岛台亚克力的伸缩设计】【铁牛】.mp4', 0.0, 5.0, '', '', '', '', '亚克力,岩板', '雅克力的伸縮腳是很好看 但我更建議用岩板腳喔 推拉起來更絲滑', 0.8, None, '2026-06-07 14:08:25', '【14】T型亚克力腿', 6.339002, 33518724, 1767611723.537386, 1, 0, 0, 0, 1)</t>
        </is>
      </c>
      <c r="B106" s="5" t="inlineStr"/>
    </row>
    <row r="107">
      <c r="A107" s="13" t="inlineStr">
        <is>
          <t>(5, 'Z:\\已处理素材\\卖点展示类素材\\【14】T型亚克力腿\\【13】【河北石家庄】方小姐【岛台亚克力的伸缩设计】【铁牛】.mp4', 5.0, 6.339002, '', '', '', '', '亚克力,岩板', '推拉起來更絲滑', 0.8, None, '2026-06-07 14:08:25', '【14】T型亚克力腿', 6.339002, 33518724, 1767611723.537386, 1, 0, 0, 0, 1)</t>
        </is>
      </c>
      <c r="B107" s="5" t="inlineStr"/>
    </row>
    <row r="109">
      <c r="A109" s="11" t="inlineStr">
        <is>
          <t>表: model_calls</t>
        </is>
      </c>
    </row>
    <row r="110">
      <c r="A110" s="4" t="inlineStr">
        <is>
          <t>Schema:</t>
        </is>
      </c>
      <c r="B110" s="12" t="inlineStr">
        <is>
          <t>CREATE TABLE model_calls (
                    id INTEGER PRIMARY KEY AUTOINCREMENT,
                    model_name TEXT NOT NULL,
                    call_type TEXT DEFAULT 'predict',
                    input_summary TEXT DEFAULT '',
                    output_summary TEXT DEFAULT '',
                    duration_ms REAL DEFAULT 0,
                    success INTEGER DEFAULT 1,
                    error_message TEXT DEFAULT '',
                    created_at TEXT DEFAULT CURRENT_TIMESTAMP
                )</t>
        </is>
      </c>
    </row>
    <row r="111">
      <c r="A111" s="5" t="inlineStr">
        <is>
          <t>列: id, model_name, call_type, input_summary, output_summary, duration_ms, success, error_message, created_at</t>
        </is>
      </c>
    </row>
    <row r="112">
      <c r="A112" s="5" t="inlineStr">
        <is>
          <t>行数: 0</t>
        </is>
      </c>
    </row>
    <row r="114">
      <c r="A114" s="11" t="inlineStr">
        <is>
          <t>表: model_usage_log</t>
        </is>
      </c>
    </row>
    <row r="115">
      <c r="A115" s="4" t="inlineStr">
        <is>
          <t>Schema:</t>
        </is>
      </c>
      <c r="B115" s="12" t="inlineStr">
        <is>
          <t>CREATE TABLE model_usage_log (
                    id INTEGER PRIMARY KEY AUTOINCREMENT,
                    model_name TEXT NOT NULL,
                    call_type TEXT DEFAULT 'inference',
                    input_hash TEXT,
                    output_summary TEXT,
                    duration_ms REAL,
                    success INTEGER DEFAULT 1,
                    created_at TEXT DEFAULT CURRENT_TIMESTAMP
                )</t>
        </is>
      </c>
    </row>
    <row r="116">
      <c r="A116" s="5" t="inlineStr">
        <is>
          <t>列: id, model_name, call_type, input_hash, output_summary, duration_ms, success, created_at</t>
        </is>
      </c>
    </row>
    <row r="117">
      <c r="A117" s="5" t="inlineStr">
        <is>
          <t>行数: 0</t>
        </is>
      </c>
    </row>
    <row r="119">
      <c r="A119" s="11" t="inlineStr">
        <is>
          <t>表: retry_queue</t>
        </is>
      </c>
    </row>
    <row r="120">
      <c r="A120" s="4" t="inlineStr">
        <is>
          <t>Schema:</t>
        </is>
      </c>
      <c r="B120" s="12" t="inlineStr">
        <is>
          <t>CREATE TABLE retry_queue (
                        id INTEGER PRIMARY KEY AUTOINCREMENT,
                        keyword TEXT NOT NULL,
                        original_params TEXT NOT NULL,
                        adjusted_params TEXT NOT NULL,
                        fail_reason TEXT DEFAULT 'unknown',
                        retry_count INTEGER DEFAULT 0,
                        status TEXT DEFAULT 'pending',
                        last_score REAL DEFAULT 0,
                        error_message TEXT DEFAULT '',
                        created_at TEXT DEFAULT CURRENT_TIMESTAMP,
                        updated_at TEXT
                    )</t>
        </is>
      </c>
    </row>
    <row r="121">
      <c r="A121" s="5" t="inlineStr">
        <is>
          <t>列: id, keyword, original_params, adjusted_params, fail_reason, retry_count, status, last_score, error_message, created_at, updated_at</t>
        </is>
      </c>
    </row>
    <row r="122">
      <c r="A122" s="5" t="inlineStr">
        <is>
          <t>行数: 0</t>
        </is>
      </c>
    </row>
    <row r="124">
      <c r="A124" s="11" t="inlineStr">
        <is>
          <t>表: script_material_preference</t>
        </is>
      </c>
    </row>
    <row r="125">
      <c r="A125" s="4" t="inlineStr">
        <is>
          <t>Schema:</t>
        </is>
      </c>
      <c r="B125" s="12" t="inlineStr">
        <is>
          <t>CREATE TABLE script_material_preference (
                    script_hash TEXT NOT NULL,
                    material_path TEXT NOT NULL,
                    match_count INTEGER DEFAULT 1,
                    avg_user_score REAL DEFAULT 3.0,
                    last_used_at TEXT DEFAULT CURRENT_TIMESTAMP,
                    PRIMARY KEY (script_hash, material_path)
                )</t>
        </is>
      </c>
    </row>
    <row r="126">
      <c r="A126" s="5" t="inlineStr">
        <is>
          <t>列: script_hash, material_path, match_count, avg_user_score, last_used_at</t>
        </is>
      </c>
    </row>
    <row r="127">
      <c r="A127" s="5" t="inlineStr">
        <is>
          <t>行数: 33</t>
        </is>
      </c>
    </row>
    <row r="128">
      <c r="A128" s="4" t="inlineStr">
        <is>
          <t>示例数据:</t>
        </is>
      </c>
    </row>
    <row r="129">
      <c r="A129" s="13" t="inlineStr">
        <is>
          <t>('92d8a8f6ffc8c31e', 'Z:\\已处理素材\\卖点展示类素材\\【02】下层抽屉\\【32】【潘多拉+釉木深棕】内蒙古杜先生【下层两个小抽屉分区收纳】\\【32】【潘多拉+釉木深棕】内蒙古杜先生【下层两个小抽屉分区收纳】-3.mp4', 1, 3.0, '2026-06-13 13:02:02')</t>
        </is>
      </c>
      <c r="B129" s="5" t="inlineStr"/>
    </row>
    <row r="130">
      <c r="A130" s="13" t="inlineStr">
        <is>
          <t>('92d8a8f6ffc8c31e', 'Z:\\已处理素材\\卖点展示类素材\\【02】下层抽屉\\ 【74】【纯白色+釉木红印】深圳唐先生【岛台下层抽屉汉高三节拖地导轨抽拉非常丝滑不卡】\\ 【74】【纯白色+釉木红印】深圳唐先生【岛台下层抽屉汉高三节拖地导轨抽拉非常丝滑不卡】-1.mp4', 1, 3.0, '2026-06-13 13:02:02')</t>
        </is>
      </c>
      <c r="B130" s="5" t="inlineStr"/>
    </row>
    <row r="131">
      <c r="A131" s="13" t="inlineStr">
        <is>
          <t>('92d8a8f6ffc8c31e', 'Z:\\已处理素材\\卖点展示类素材\\【01】上层薄抽\\【31】【罗马洞石+原木纹】韶关何小姐【岛台上层薄抽收纳展示】【欣欣】\\【31】【罗马洞石+原木纹】韶关何小姐【岛台上层薄抽收纳展示】【欣欣】-1.mp4', 1, 3.0, '2026-06-13 13:02:03')</t>
        </is>
      </c>
      <c r="B131" s="5" t="inlineStr"/>
    </row>
    <row r="132">
      <c r="A132" s="13" t="inlineStr">
        <is>
          <t>('92d8a8f6ffc8c31e', 'Z:\\已处理素材\\卖点展示类素材\\【01】上层薄抽\\【135】【宝格丽+黑色+卡尔德拉浅棕】上海唐小姐【岛台上层薄抽收纳层】\\【135】【宝格丽+黑色+卡尔德拉浅棕】上海唐小姐【岛台上层薄抽收纳层】-1.mp4', 1, 3.0, '2026-06-13 13:02:03')</t>
        </is>
      </c>
      <c r="B132" s="5" t="inlineStr"/>
    </row>
    <row r="133">
      <c r="A133" s="13" t="inlineStr">
        <is>
          <t>('92d8a8f6ffc8c31e', 'Z:\\已处理素材\\效果展示类素材\\【04】造型展示\\【53】【网纹大花白+蓝田香樟】苏州刘小姐【空镜岛台整体展示】【铁牛01】\\【53】【网纹大花白+蓝田香樟】苏州刘小姐【空镜岛台整体展示】【铁牛01】-1.mp4', 1, 3.0, '2026-06-13 13:02:03')</t>
        </is>
      </c>
      <c r="B133" s="5" t="inlineStr"/>
    </row>
    <row r="135">
      <c r="A135" s="11" t="inlineStr">
        <is>
          <t>表: sqlite_sequence</t>
        </is>
      </c>
    </row>
    <row r="136">
      <c r="A136" s="4" t="inlineStr">
        <is>
          <t>Schema:</t>
        </is>
      </c>
      <c r="B136" s="12" t="inlineStr">
        <is>
          <t>CREATE TABLE sqlite_sequence(name,seq)</t>
        </is>
      </c>
    </row>
    <row r="137">
      <c r="A137" s="5" t="inlineStr">
        <is>
          <t>列: name, seq</t>
        </is>
      </c>
    </row>
    <row r="138">
      <c r="A138" s="5" t="inlineStr">
        <is>
          <t>行数: 9</t>
        </is>
      </c>
    </row>
    <row r="139">
      <c r="A139" s="4" t="inlineStr">
        <is>
          <t>示例数据:</t>
        </is>
      </c>
    </row>
    <row r="140">
      <c r="A140" s="13" t="inlineStr">
        <is>
          <t>('materials', 16143)</t>
        </is>
      </c>
      <c r="B140" s="5" t="inlineStr"/>
    </row>
    <row r="141">
      <c r="A141" s="13" t="inlineStr">
        <is>
          <t>('analysis_log', 756)</t>
        </is>
      </c>
      <c r="B141" s="5" t="inlineStr"/>
    </row>
    <row r="142">
      <c r="A142" s="13" t="inlineStr">
        <is>
          <t>('video_annotations', 39)</t>
        </is>
      </c>
      <c r="B142" s="5" t="inlineStr"/>
    </row>
    <row r="143">
      <c r="A143" s="13" t="inlineStr">
        <is>
          <t>('learned_scripts', 412)</t>
        </is>
      </c>
      <c r="B143" s="5" t="inlineStr"/>
    </row>
    <row r="144">
      <c r="A144" s="13" t="inlineStr">
        <is>
          <t>('material_generation_log', 58)</t>
        </is>
      </c>
      <c r="B144" s="5" t="inlineStr"/>
    </row>
    <row r="146">
      <c r="A146" s="11" t="inlineStr">
        <is>
          <t>表: tag_learning</t>
        </is>
      </c>
    </row>
    <row r="147">
      <c r="A147" s="4" t="inlineStr">
        <is>
          <t>Schema:</t>
        </is>
      </c>
      <c r="B147" s="12" t="inlineStr">
        <is>
          <t>CREATE TABLE tag_learning (
                    id INTEGER PRIMARY KEY AUTOINCREMENT,
                    tag TEXT UNIQUE, correct_count INTEGER DEFAULT 0,
                    total_count INTEGER DEFAULT 0, accuracy REAL DEFAULT 0.0,
                    last_updated TEXT DEFAULT CURRENT_TIMESTAMP
                )</t>
        </is>
      </c>
    </row>
    <row r="148">
      <c r="A148" s="5" t="inlineStr">
        <is>
          <t>列: id, tag, correct_count, total_count, accuracy, last_updated</t>
        </is>
      </c>
    </row>
    <row r="149">
      <c r="A149" s="5" t="inlineStr">
        <is>
          <t>行数: 0</t>
        </is>
      </c>
    </row>
    <row r="151">
      <c r="A151" s="11" t="inlineStr">
        <is>
          <t>表: task_record</t>
        </is>
      </c>
    </row>
    <row r="152">
      <c r="A152" s="4" t="inlineStr">
        <is>
          <t>Schema:</t>
        </is>
      </c>
      <c r="B152" s="12" t="inlineStr">
        <is>
          <t>CREATE TABLE task_record (
                    id INTEGER PRIMARY KEY AUTOINCREMENT,
                    demand TEXT DEFAULT '',
                    keyword TEXT DEFAULT '',
                    status TEXT DEFAULT 'pending',
                    output_path TEXT DEFAULT '',
                    draft_dir TEXT DEFAULT '',
                    error_msg TEXT DEFAULT '',
                    retry_times INTEGER DEFAULT 0,
                    materials_count INTEGER DEFAULT 0,
                    created_at TEXT DEFAULT CURRENT_TIMESTAMP,
                    updated_at TEXT
                )</t>
        </is>
      </c>
    </row>
    <row r="153">
      <c r="A153" s="5" t="inlineStr">
        <is>
          <t>列: id, demand, keyword, status, output_path, draft_dir, error_msg, retry_times, materials_count, created_at, updated_at</t>
        </is>
      </c>
    </row>
    <row r="154">
      <c r="A154" s="5" t="inlineStr">
        <is>
          <t>行数: 0</t>
        </is>
      </c>
    </row>
    <row r="156">
      <c r="A156" s="11" t="inlineStr">
        <is>
          <t>表: trending_analysis</t>
        </is>
      </c>
    </row>
    <row r="157">
      <c r="A157" s="4" t="inlineStr">
        <is>
          <t>Schema:</t>
        </is>
      </c>
      <c r="B157" s="12" t="inlineStr">
        <is>
          <t>CREATE TABLE trending_analysis (
                        id INTEGER PRIMARY KEY AUTOINCREMENT,
                        style_tag TEXT, score REAL, sample_count INTEGER,
                        updated TEXT DEFAULT CURRENT_TIMESTAMP
                    )</t>
        </is>
      </c>
    </row>
    <row r="158">
      <c r="A158" s="5" t="inlineStr">
        <is>
          <t>列: id, style_tag, score, sample_count, updated</t>
        </is>
      </c>
    </row>
    <row r="159">
      <c r="A159" s="5" t="inlineStr">
        <is>
          <t>行数: 0</t>
        </is>
      </c>
    </row>
    <row r="161">
      <c r="A161" s="11" t="inlineStr">
        <is>
          <t>表: video_annotations</t>
        </is>
      </c>
    </row>
    <row r="162">
      <c r="A162" s="4" t="inlineStr">
        <is>
          <t>Schema:</t>
        </is>
      </c>
      <c r="B162" s="12" t="inlineStr">
        <is>
          <t>CREATE TABLE video_annotations (
                    id INTEGER PRIMARY KEY AUTOINCREMENT,
                    video_path TEXT, video_name TEXT, frame_index INTEGER,
                    timestamp_str TEXT, frame_path TEXT, tags TEXT,
                    model_tags TEXT, score INTEGER DEFAULT 3, score_note TEXT,
                    edited INTEGER DEFAULT 0, created_at TEXT DEFAULT CURRENT_TIMESTAMP
                )</t>
        </is>
      </c>
    </row>
    <row r="163">
      <c r="A163" s="5" t="inlineStr">
        <is>
          <t>列: id, video_path, video_name, frame_index, timestamp_str, frame_path, tags, model_tags, score, score_note, edited, created_at</t>
        </is>
      </c>
    </row>
    <row r="164">
      <c r="A164" s="5" t="inlineStr">
        <is>
          <t>行数: 39</t>
        </is>
      </c>
    </row>
    <row r="165">
      <c r="A165" s="4" t="inlineStr">
        <is>
          <t>示例数据:</t>
        </is>
      </c>
    </row>
    <row r="166">
      <c r="A166" s="13" t="inlineStr">
        <is>
          <t>(1, 'Z:\\已处理素材\\卖点展示类素材\\【01】上层薄抽\\    【62】【现代极简风岛台】广州赖小姐 【岛台上层薄抽收纳层】\\    【62】【现代极简风岛台】广州赖小姐 【岛台上层薄抽收纳层】-1.mp4', '    【62】【现代极简风岛台】广州赖小姐 【岛台上层薄抽收纳层】-1', 0, '00:00:00.00', 'C:\\Users\\admin\\AppData\\Local\\Temp\\tf_    【62】【现代极简风岛台】广州赖小姐 【岛台上层薄抽收纳层】-1_1voix8xa\\f_00001.jpg', '', '{"Qwen3-VL-4B-Instruct-FP8": []}', 3, '', 0, '2026-06-11 05:12:37')</t>
        </is>
      </c>
      <c r="B166" s="5" t="inlineStr"/>
    </row>
    <row r="167">
      <c r="A167" s="13" t="inlineStr">
        <is>
          <t>(2, 'Z:\\已处理素材\\卖点展示类素材\\【01】上层薄抽\\    【62】【现代极简风岛台】广州赖小姐 【岛台上层薄抽收纳层】\\    【62】【现代极简风岛台】广州赖小姐 【岛台上层薄抽收纳层】-1.mp4', '    【62】【现代极简风岛台】广州赖小姐 【岛台上层薄抽收纳层】-1', 1, '00:00:02.00', 'C:\\Users\\admin\\AppData\\Local\\Temp\\tf_    【62】【现代极简风岛台】广州赖小姐 【岛台上层薄抽收纳层】-1_1voix8xa\\f_00002.jpg', '', '{"Qwen3-VL-4B-Instruct-FP8": []}', 3, '', 0, '2026-06-11 05:12:37')</t>
        </is>
      </c>
      <c r="B167" s="5" t="inlineStr"/>
    </row>
    <row r="168">
      <c r="A168" s="13" t="inlineStr">
        <is>
          <t>(3, 'Z:\\已处理素材\\卖点展示类素材\\【01】上层薄抽\\    【62】【现代极简风岛台】广州赖小姐 【岛台上层薄抽收纳层】\\    【62】【现代极简风岛台】广州赖小姐 【岛台上层薄抽收纳层】-1.mp4', '    【62】【现代极简风岛台】广州赖小姐 【岛台上层薄抽收纳层】-1', 2, '00:00:04.00', 'C:\\Users\\admin\\AppData\\Local\\Temp\\tf_    【62】【现代极简风岛台】广州赖小姐 【岛台上层薄抽收纳层】-1_1voix8xa\\f_00003.jpg', '', '{"Qwen3-VL-4B-Instruct-FP8": []}', 3, '', 0, '2026-06-11 05:12:37')</t>
        </is>
      </c>
      <c r="B168" s="5" t="inlineStr"/>
    </row>
    <row r="169">
      <c r="A169" s="13" t="inlineStr">
        <is>
          <t>(4, 'Z:\\已处理素材\\卖点展示类素材\\【01】上层薄抽\\    【62】【现代极简风岛台】广州赖小姐 【岛台上层薄抽收纳层】\\    【62】【现代极简风岛台】广州赖小姐 【岛台上层薄抽收纳层】-1.mp4', '    【62】【现代极简风岛台】广州赖小姐 【岛台上层薄抽收纳层】-1', 0, '00:00:00.00', 'C:\\Users\\admin\\AppData\\Local\\Temp\\tf_    【62】【现代极简风岛台】广州赖小姐 【岛台上层薄抽收纳层】-1__20_xm_u\\f_00001.jpg', '', '{"Qwen3-VL-4B-Instruct-FP8": []}', 3, '', 0, '2026-06-11 05:12:43')</t>
        </is>
      </c>
      <c r="B169" s="5" t="inlineStr"/>
    </row>
    <row r="170">
      <c r="A170" s="13" t="inlineStr">
        <is>
          <t>(5, 'Z:\\已处理素材\\卖点展示类素材\\【01】上层薄抽\\    【62】【现代极简风岛台】广州赖小姐 【岛台上层薄抽收纳层】\\    【62】【现代极简风岛台】广州赖小姐 【岛台上层薄抽收纳层】-1.mp4', '    【62】【现代极简风岛台】广州赖小姐 【岛台上层薄抽收纳层】-1', 1, '00:00:02.00', 'C:\\Users\\admin\\AppData\\Local\\Temp\\tf_    【62】【现代极简风岛台】广州赖小姐 【岛台上层薄抽收纳层】-1__20_xm_u\\f_00002.jpg', '', '{"Qwen3-VL-4B-Instruct-FP8": []}', 3, '', 0, '2026-06-11 05:12:43')</t>
        </is>
      </c>
      <c r="B170" s="5" t="inlineStr"/>
    </row>
    <row r="172">
      <c r="A172" s="11" t="inlineStr">
        <is>
          <t>表: video_frames</t>
        </is>
      </c>
    </row>
    <row r="173">
      <c r="A173" s="4" t="inlineStr">
        <is>
          <t>Schema:</t>
        </is>
      </c>
      <c r="B173" s="12" t="inlineStr">
        <is>
          <t>CREATE TABLE video_frames (
                    id INTEGER PRIMARY KEY AUTOINCREMENT,
                    video_path TEXT NOT NULL,
                    frame_timestamp REAL,
                    frame_image_path TEXT,
                    caption TEXT DEFAULT '',
                    objects TEXT DEFAULT '',
                    materials TEXT DEFAULT '',
                    colors TEXT DEFAULT '',
                    style TEXT DEFAULT '',
                    scene_type TEXT DEFAULT '',
                    user_score INTEGER DEFAULT 3,
                    user_tags TEXT DEFAULT '',
                    model_confidence REAL DEFAULT 0.8,
                    analyzed_at TEXT DEFAULT CURRENT_TIMESTAMP,
                    UNIQUE(video_path, frame_timestamp)
                )</t>
        </is>
      </c>
    </row>
    <row r="174">
      <c r="A174" s="5" t="inlineStr">
        <is>
          <t>列: id, video_path, frame_timestamp, frame_image_path, caption, objects, materials, colors, style, scene_type, user_score, user_tags, model_confidence, analyzed_at</t>
        </is>
      </c>
    </row>
    <row r="175">
      <c r="A175" s="5" t="inlineStr">
        <is>
          <t>行数: 20</t>
        </is>
      </c>
    </row>
    <row r="176">
      <c r="A176" s="4" t="inlineStr">
        <is>
          <t>示例数据:</t>
        </is>
      </c>
    </row>
    <row r="177">
      <c r="A177" s="13" t="inlineStr">
        <is>
          <t>(1, 'Z:/已处理素材/卖点展示类素材/【01】上层薄抽\\    【62】【现代极简风岛台】广州赖小姐 【岛台上层薄抽收纳层】\\    【62】【现代极简风岛台】广州赖小姐 【岛台上层薄抽收纳层】-1.mp4', 0.0, 'E:\\树剪软件相关文件\\shipin\\frames\\d54235d866c1\\frame_0_000s.jpg', '', '白色, 嵌入式电源插座, 现代简约风格, 现代简约, 岛台, 白色台面, 插座, 灰色, 灰色石材质, 背景红白标语墙', '', '', '', '标注帧', 2, '现代简约风', 0.8, '2026-06-12 06:06:51')</t>
        </is>
      </c>
      <c r="B177" s="5" t="inlineStr"/>
    </row>
    <row r="178">
      <c r="A178" s="13" t="inlineStr">
        <is>
          <t>(2, 'Z:/已处理素材/卖点展示类素材/【01】上层薄抽\\    【62】【现代极简风岛台】广州赖小姐 【岛台上层薄抽收纳层】\\    【62】【现代极简风岛台】广州赖小姐 【岛台上层薄抽收纳层】-1.mp4', 2.0, 'E:\\树剪软件相关文件\\shipin\\frames\\d54235d866c1\\frame_2_000s.jpg', '', '白色大理石台面, 黑色金属抽屉, 米色长裙, 大理石, 白色, 岛台, 工业风, 黑色, 灰色石英石台面, 石英石台面, 大理石台面, 石英石', '', '', '', '标注帧', 3, '威尼斯棕加纯白配色', 0.8, '2026-06-12 06:06:51')</t>
        </is>
      </c>
      <c r="B178" s="5" t="inlineStr"/>
    </row>
    <row r="179">
      <c r="A179" s="13" t="inlineStr">
        <is>
          <t>(3, 'Z:/已处理素材/卖点展示类素材/【01】上层薄抽\\    【62】【现代极简风岛台】广州赖小姐 【岛台上层薄抽收纳层】\\    【62】【现代极简风岛台】广州赖小姐 【岛台上层薄抽收纳层】-1.mp4', 4.0, 'E:\\树剪软件相关文件\\shipin\\frames\\d54235d866c1\\frame_4_000s.jpg', '', '白色, 抽屉, 现代简约风格, 现代简约, 白色柜体, 黑色, 黑色抽屉, 灰色石英石台面, 石英石台面, 灰色, 石英石', '', '', '', '标注帧', 3, '薄抽', 0.8, '2026-06-12 06:06:51')</t>
        </is>
      </c>
      <c r="B179" s="5" t="inlineStr"/>
    </row>
    <row r="180">
      <c r="A180" s="13" t="inlineStr">
        <is>
          <t>(4, 'Z:/已处理素材/卖点展示类素材/【01】上层薄抽\\   【20】【罗马洞石+北美黑胡桃】河南王小姐【岛台上层薄抽收纳展示】\\   【20】【罗马洞石+北美黑胡桃】河南王小姐【岛台上层薄抽收纳展示】-1.mp4', 0.0, 'E:\\树剪软件相关文件\\shipin\\frames\\a9d24f62239a\\frame_0_000s.jpg', '', '白色, 圆形水槽, 金属框架, 抽屉, 工业风, 白色台面, 黑色, 水槽, 工业风格, 拉手, 黑色抽屉拉手', '', '', '', '标注帧', 3, '', 0.8, '2026-06-12 09:28:51')</t>
        </is>
      </c>
      <c r="B180" s="5" t="inlineStr"/>
    </row>
    <row r="181">
      <c r="A181" s="13" t="inlineStr">
        <is>
          <t>(5, 'Z:/已处理素材/卖点展示类素材/【01】上层薄抽\\   【20】【罗马洞石+北美黑胡桃】河南王小姐【岛台上层薄抽收纳展示】\\   【20】【罗马洞石+北美黑胡桃】河南王小姐【岛台上层薄抽收纳展示】-1.mp4', 2.0, 'E:\\树剪软件相关文件\\shipin\\frames\\a9d24f62239a\\frame_2_000s.jpg', '', '白色, 抽屉, 黑色裤子, 工业风, 白色台面, 黑色, 黑色抽屉边框, 工业风背景, 金属支架', '', '', '', '标注帧', 3, '', 0.8, '2026-06-12 09:28:51')</t>
        </is>
      </c>
      <c r="B181" s="5" t="inlineStr"/>
    </row>
    <row r="183">
      <c r="A183" s="11" t="inlineStr">
        <is>
          <t>表: video_registry</t>
        </is>
      </c>
    </row>
    <row r="184">
      <c r="A184" s="4" t="inlineStr">
        <is>
          <t>Schema:</t>
        </is>
      </c>
      <c r="B184" s="12" t="inlineStr">
        <is>
          <t>CREATE TABLE video_registry (
                    video_path TEXT PRIMARY KEY,
                    file_mtime REAL,
                    file_size INTEGER,
                    duration REAL,
                    analyzed INTEGER DEFAULT 0,
                    last_checked TEXT DEFAULT CURRENT_TIMESTAMP
                )</t>
        </is>
      </c>
    </row>
    <row r="185">
      <c r="A185" s="5" t="inlineStr">
        <is>
          <t>列: video_path, file_mtime, file_size, duration, analyzed, last_checked</t>
        </is>
      </c>
    </row>
    <row r="186">
      <c r="A186" s="5" t="inlineStr">
        <is>
          <t>行数: 6745</t>
        </is>
      </c>
    </row>
    <row r="187">
      <c r="A187" s="4" t="inlineStr">
        <is>
          <t>示例数据:</t>
        </is>
      </c>
    </row>
    <row r="188">
      <c r="A188" s="13" t="inlineStr">
        <is>
          <t>('Z:\\已处理素材\\卖点展示类素材\\【02】下层抽屉\\【41】【宝格丽+一诺纯黑+艾米利亚棕木纹】杭州沈小姐【岛台下层抽屉三节托底导轨斜拉手设计】\\【41】【宝格丽+一诺纯黑+艾米利亚棕木纹】杭州沈小姐【岛台下层抽屉三节托底导轨斜拉手设计】-2.mp4', 1767878345.231116, 33302288, 0.0, 1, '2026-06-07 14:06:47')</t>
        </is>
      </c>
      <c r="B188" s="5" t="inlineStr"/>
    </row>
    <row r="189">
      <c r="A189" s="13" t="inlineStr">
        <is>
          <t>('Z:\\已处理素材\\卖点展示类素材\\【02】下层抽屉\\【41】【宝格丽+一诺纯黑+艾米利亚棕木纹】杭州沈小姐【岛台下层抽屉三节托底导轨斜拉手设计】\\【41】【宝格丽+一诺纯黑+艾米利亚棕木纹】杭州沈小姐【岛台下层抽屉三节托底导轨斜拉手设计】-3.mp4', 1767878348.1216636, 33632732, 0.0, 1, '2026-06-07 14:06:47')</t>
        </is>
      </c>
      <c r="B189" s="5" t="inlineStr"/>
    </row>
    <row r="190">
      <c r="A190" s="13" t="inlineStr">
        <is>
          <t>('Z:\\已处理素材\\卖点展示类素材\\【02】下层抽屉\\【41】【宝格丽+一诺纯黑+艾米利亚棕木纹】杭州沈小姐【岛台下层抽屉三节托底导轨斜拉手设计】\\【41】【宝格丽+一诺纯黑+艾米利亚棕木纹】杭州沈小姐【岛台下层抽屉三节托底导轨斜拉手设计】-4.mp4', 1767878350.996539, 34091688, 0.0, 1, '2026-06-07 14:06:47')</t>
        </is>
      </c>
      <c r="B190" s="5" t="inlineStr"/>
    </row>
    <row r="191">
      <c r="A191" s="13" t="inlineStr">
        <is>
          <t>('Z:\\已处理素材\\卖点展示类素材\\【02】下层抽屉\\【41】【宝格丽+一诺纯黑+艾米利亚棕木纹】杭州沈小姐【岛台下层抽屉三节托底导轨斜拉手设计】\\【41】【宝格丽+一诺纯黑+艾米利亚棕木纹】杭州沈小姐【岛台下层抽屉三节托底导轨斜拉手设计】-5.mp4', 1767878353.3714924, 25902703, 0.0, 1, '2026-06-07 14:06:47')</t>
        </is>
      </c>
      <c r="B191" s="5" t="inlineStr"/>
    </row>
    <row r="192">
      <c r="A192" s="13" t="inlineStr">
        <is>
          <t>('Z:\\已处理素材\\卖点展示类素材\\【02】下层抽屉\\【41】【宝格丽+一诺纯黑+艾米利亚棕木纹】杭州沈小姐【岛台下层抽屉三节托底导轨斜拉手设计】\\【41】【宝格丽+一诺纯黑+艾米利亚棕木纹】杭州沈小姐【岛台下层抽屉三节托底导轨斜拉手设计】-6.mp4', 1767878355.8557885, 26827995, 0.0, 1, '2026-06-07 14:06:47')</t>
        </is>
      </c>
      <c r="B192" s="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4" t="inlineStr">
        <is>
          <t>数据库:</t>
        </is>
      </c>
      <c r="B1" s="6" t="inlineStr">
        <is>
          <t>material_usage.db</t>
        </is>
      </c>
    </row>
    <row r="3">
      <c r="A3" s="11" t="inlineStr">
        <is>
          <t>表: usage</t>
        </is>
      </c>
    </row>
    <row r="4">
      <c r="A4" s="4" t="inlineStr">
        <is>
          <t>Schema:</t>
        </is>
      </c>
      <c r="B4" s="12" t="inlineStr">
        <is>
          <t>CREATE TABLE usage (
            path TEXT PRIMARY KEY, count INTEGER DEFAULT 0, last_used TEXT)</t>
        </is>
      </c>
    </row>
    <row r="5">
      <c r="A5" s="5" t="inlineStr">
        <is>
          <t>列: path, count, last_used</t>
        </is>
      </c>
    </row>
    <row r="6">
      <c r="A6" s="5" t="inlineStr">
        <is>
          <t>行数: 68</t>
        </is>
      </c>
    </row>
    <row r="7">
      <c r="A7" s="4" t="inlineStr">
        <is>
          <t>示例数据:</t>
        </is>
      </c>
    </row>
    <row r="8">
      <c r="A8" s="13" t="inlineStr">
        <is>
          <t>('Z:\\已处理素材\\效果展示类素材\\【02】尺寸展示\\【46】【宝格丽黑+香奈儿白】山东孙小姐【岛台总长两米4+长度是90公分+宽度77公分+高度是95公\\【46】【宝格丽黑+香奈儿白】山东孙小姐【岛台总长两米4+长度是90公分+宽度77公分+高度是95公-2.mp4', 2, '2026-06-09T15:48:21.609680')</t>
        </is>
      </c>
      <c r="B8" s="5" t="inlineStr"/>
    </row>
    <row r="9">
      <c r="A9" s="13" t="inlineStr">
        <is>
          <t>('Z:\\已处理素材\\卖点展示类素材\\【21】伸缩功能\\【30】【散花潘多拉+纯黑哑光+北美黑胡桃】江苏的火先生【岛台总长两米6+齐平伸缩28公分】【铁牛】\\【30】【散花潘多拉+纯黑哑光+北美黑胡桃】江苏的火先生【岛台总长两米6+齐平伸缩28公分】【铁牛】-1.mp4', 2, '2026-06-09T15:48:21.609680')</t>
        </is>
      </c>
      <c r="B9" s="5" t="inlineStr"/>
    </row>
    <row r="10">
      <c r="A10" s="13" t="inlineStr">
        <is>
          <t>('Z:\\已处理素材\\卖点展示类素材\\【26】材质细节展示\\【108】【黑+白】上海李先生【空镜岛头餐桌岩板细节展示】01\\【108】【黑+白】上海李先生【空镜岛头餐桌岩板细节展示】01-1.mp4', 2, '2026-06-09T15:48:21.609680')</t>
        </is>
      </c>
      <c r="B10" s="5" t="inlineStr"/>
    </row>
    <row r="11">
      <c r="A11" s="13" t="inlineStr">
        <is>
          <t>('Z:\\已处理素材\\卖点展示类素材\\【01】上层薄抽\\【149】【纯白哑光+纯黑哑光】湖南陈小姐【岛台上层薄抽收纳层】\\【149】【纯白哑光+纯黑哑光】湖南陈小姐【岛台上层薄抽收纳层】-1.mp4', 2, '2026-06-09T15:48:21.609680')</t>
        </is>
      </c>
      <c r="B11" s="5" t="inlineStr"/>
    </row>
    <row r="12">
      <c r="A12" s="13" t="inlineStr">
        <is>
          <t>('Z:\\已处理素材\\卖点展示类素材\\【01】上层薄抽\\【155】【哑光的威尼斯棕+黑白跟】苏州张先生【岛台上层薄抽收纳层】\\【155】【哑光的威尼斯棕+黑白跟】苏州张先生【岛台上层薄抽收纳层】-1.mp4', 2, '2026-06-09T15:48:21.609680')</t>
        </is>
      </c>
      <c r="B12" s="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.env</t>
        </is>
      </c>
      <c r="C1" s="5" t="inlineStr">
        <is>
          <t>行数: 12</t>
        </is>
      </c>
    </row>
    <row r="4">
      <c r="A4" s="7" t="n">
        <v>1</v>
      </c>
      <c r="B4" s="8" t="inlineStr">
        <is>
          <t xml:space="preserve"> # 树剪 (TreeCut) v12.0 — 环境变量配置</t>
        </is>
      </c>
    </row>
    <row r="5">
      <c r="A5" s="9" t="n">
        <v>2</v>
      </c>
      <c r="B5" s="10" t="inlineStr">
        <is>
          <t># 此文件已在 .gitignore 中排除</t>
        </is>
      </c>
    </row>
    <row r="6">
      <c r="A6" s="7" t="n">
        <v>3</v>
      </c>
      <c r="B6" s="8" t="inlineStr">
        <is>
          <t>DEEPSEEK_API_KEY=sk-ca1132d5420340eb8bae592d5fb1bae5</t>
        </is>
      </c>
    </row>
    <row r="7">
      <c r="A7" s="9" t="n">
        <v>4</v>
      </c>
      <c r="B7" s="10" t="inlineStr">
        <is>
          <t>PIXABAY_API_KEY=</t>
        </is>
      </c>
    </row>
    <row r="8">
      <c r="A8" s="7" t="n">
        <v>5</v>
      </c>
      <c r="B8" s="8" t="inlineStr">
        <is>
          <t>TREECUT_VISION_MODEL=qwen3-4b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DEEPSEEK_API_KEY=sk-f1248f90cf2046f7b50bc38ac310bbcb</t>
        </is>
      </c>
    </row>
    <row r="11">
      <c r="A11" s="9" t="n">
        <v>8</v>
      </c>
      <c r="B11" s="10" t="inlineStr"/>
    </row>
    <row r="12">
      <c r="A12" s="7" t="n">
        <v>9</v>
      </c>
      <c r="B12" s="8" t="inlineStr">
        <is>
          <t># HuggingFace 国内镜像（解决huggingface.co被屏蔽问题）</t>
        </is>
      </c>
    </row>
    <row r="13">
      <c r="A13" s="9" t="n">
        <v>10</v>
      </c>
      <c r="B13" s="10" t="inlineStr">
        <is>
          <t>HF_ENDPOINT=https://hf-mirror.com</t>
        </is>
      </c>
    </row>
    <row r="14">
      <c r="A14" s="7" t="n">
        <v>11</v>
      </c>
      <c r="B14" s="8" t="inlineStr">
        <is>
          <t>HF_HUB_ENABLE_HF_TRANSFER=0</t>
        </is>
      </c>
    </row>
    <row r="15">
      <c r="A15" s="9" t="n">
        <v>12</v>
      </c>
      <c r="B15" s="10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ARCHITECTURE_PLAN.md</t>
        </is>
      </c>
      <c r="C1" s="5" t="inlineStr">
        <is>
          <t>行数: 114</t>
        </is>
      </c>
    </row>
    <row r="4">
      <c r="A4" s="7" t="n">
        <v>1</v>
      </c>
      <c r="B4" s="8" t="inlineStr">
        <is>
          <t># 树剪 TreeCut v11.1 — 持续优化架构计划</t>
        </is>
      </c>
    </row>
    <row r="5">
      <c r="A5" s="9" t="n">
        <v>2</v>
      </c>
      <c r="B5" s="10" t="inlineStr"/>
    </row>
    <row r="6">
      <c r="A6" s="7" t="n">
        <v>3</v>
      </c>
      <c r="B6" s="8" t="inlineStr">
        <is>
          <t>## 当前状态 (2026-06-11)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```</t>
        </is>
      </c>
    </row>
    <row r="9">
      <c r="A9" s="9" t="n">
        <v>6</v>
      </c>
      <c r="B9" s="10" t="inlineStr">
        <is>
          <t>82/82 文件编译通过</t>
        </is>
      </c>
    </row>
    <row r="10">
      <c r="A10" s="7" t="n">
        <v>7</v>
      </c>
      <c r="B10" s="8" t="inlineStr">
        <is>
          <t>4 核心模型强制集成 (Qwen3-VL-4B, SenseVoice, Whisper, FAISS+BGE-M3)</t>
        </is>
      </c>
    </row>
    <row r="11">
      <c r="A11" s="9" t="n">
        <v>8</v>
      </c>
      <c r="B11" s="10" t="inlineStr">
        <is>
          <t>8 个基础设施模块已创建并集成</t>
        </is>
      </c>
    </row>
    <row r="12">
      <c r="A12" s="7" t="n">
        <v>9</v>
      </c>
      <c r="B12" s="8" t="inlineStr">
        <is>
          <t>```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---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## 架构分层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```</t>
        </is>
      </c>
    </row>
    <row r="19">
      <c r="A19" s="9" t="n">
        <v>16</v>
      </c>
      <c r="B19" s="10" t="inlineStr">
        <is>
          <t>┌─────────────────────────────────────────────────┐</t>
        </is>
      </c>
    </row>
    <row r="20">
      <c r="A20" s="7" t="n">
        <v>17</v>
      </c>
      <c r="B20" s="8" t="inlineStr">
        <is>
          <t>│  入口层                                          │</t>
        </is>
      </c>
    </row>
    <row r="21">
      <c r="A21" s="9" t="n">
        <v>18</v>
      </c>
      <c r="B21" s="10" t="inlineStr">
        <is>
          <t>│  树剪.py → CLI分发 → desktop/web/cli/setup       │</t>
        </is>
      </c>
    </row>
    <row r="22">
      <c r="A22" s="7" t="n">
        <v>19</v>
      </c>
      <c r="B22" s="8" t="inlineStr">
        <is>
          <t>├─────────────────────────────────────────────────┤</t>
        </is>
      </c>
    </row>
    <row r="23">
      <c r="A23" s="9" t="n">
        <v>20</v>
      </c>
      <c r="B23" s="10" t="inlineStr">
        <is>
          <t>│  调度层 (已创建, 部分集成)                        │</t>
        </is>
      </c>
    </row>
    <row r="24">
      <c r="A24" s="7" t="n">
        <v>21</v>
      </c>
      <c r="B24" s="8" t="inlineStr">
        <is>
          <t>│  core/orchestrator.py  ← 统一模型入口             │</t>
        </is>
      </c>
    </row>
    <row r="25">
      <c r="A25" s="9" t="n">
        <v>22</v>
      </c>
      <c r="B25" s="10" t="inlineStr">
        <is>
          <t>│  core/batch_scheduler.py ← 多线程批量             │</t>
        </is>
      </c>
    </row>
    <row r="26">
      <c r="A26" s="7" t="n">
        <v>23</v>
      </c>
      <c r="B26" s="8" t="inlineStr">
        <is>
          <t>├─────────────────────────────────────────────────┤</t>
        </is>
      </c>
    </row>
    <row r="27">
      <c r="A27" s="9" t="n">
        <v>24</v>
      </c>
      <c r="B27" s="10" t="inlineStr">
        <is>
          <t>│  业务层                                          │</t>
        </is>
      </c>
    </row>
    <row r="28">
      <c r="A28" s="7" t="n">
        <v>25</v>
      </c>
      <c r="B28" s="8" t="inlineStr">
        <is>
          <t>│  core/pipeline.py     ← 主生成管道                │</t>
        </is>
      </c>
    </row>
    <row r="29">
      <c r="A29" s="9" t="n">
        <v>26</v>
      </c>
      <c r="B29" s="10" t="inlineStr">
        <is>
          <t>│  core/config_v2.py    ← 配置中心 (已导出到__init__)│</t>
        </is>
      </c>
    </row>
    <row r="30">
      <c r="A30" s="7" t="n">
        <v>27</v>
      </c>
      <c r="B30" s="8" t="inlineStr">
        <is>
          <t>│  core/database.py     ← 数据库 (已导出到__init__)  │</t>
        </is>
      </c>
    </row>
    <row r="31">
      <c r="A31" s="9" t="n">
        <v>28</v>
      </c>
      <c r="B31" s="10" t="inlineStr">
        <is>
          <t>│  core/script_learning.py ← 脚本学习库             │</t>
        </is>
      </c>
    </row>
    <row r="32">
      <c r="A32" s="7" t="n">
        <v>29</v>
      </c>
      <c r="B32" s="8" t="inlineStr">
        <is>
          <t>├─────────────────────────────────────────────────┤</t>
        </is>
      </c>
    </row>
    <row r="33">
      <c r="A33" s="9" t="n">
        <v>30</v>
      </c>
      <c r="B33" s="10" t="inlineStr">
        <is>
          <t>│  AI 增强层 (已创建, 部分集成)                      │</t>
        </is>
      </c>
    </row>
    <row r="34">
      <c r="A34" s="7" t="n">
        <v>31</v>
      </c>
      <c r="B34" s="8" t="inlineStr">
        <is>
          <t>│  core/clip_matcher.py ← CLIP图文重排 (已接入pipeline)│</t>
        </is>
      </c>
    </row>
    <row r="35">
      <c r="A35" s="9" t="n">
        <v>32</v>
      </c>
      <c r="B35" s="10" t="inlineStr">
        <is>
          <t>│  core/script_understanding.py ← 语义解析 (已接入pipeline)│</t>
        </is>
      </c>
    </row>
    <row r="36">
      <c r="A36" s="7" t="n">
        <v>33</v>
      </c>
      <c r="B36" s="8" t="inlineStr">
        <is>
          <t>│  utils/retry.py       ← 重试熔断 (已接入DeepSeek) │</t>
        </is>
      </c>
    </row>
    <row r="37">
      <c r="A37" s="9" t="n">
        <v>34</v>
      </c>
      <c r="B37" s="10" t="inlineStr">
        <is>
          <t>│  utils/model_downloader.py ← 模型下载 (待接入orchestrator)│</t>
        </is>
      </c>
    </row>
    <row r="38">
      <c r="A38" s="7" t="n">
        <v>35</v>
      </c>
      <c r="B38" s="8" t="inlineStr">
        <is>
          <t>├─────────────────────────────────────────────────┤</t>
        </is>
      </c>
    </row>
    <row r="39">
      <c r="A39" s="9" t="n">
        <v>36</v>
      </c>
      <c r="B39" s="10" t="inlineStr">
        <is>
          <t>│  UI 层                                           │</t>
        </is>
      </c>
    </row>
    <row r="40">
      <c r="A40" s="7" t="n">
        <v>37</v>
      </c>
      <c r="B40" s="8" t="inlineStr">
        <is>
          <t>│  ui/desktop.py        ← 主窗口 (7标签页)          │</t>
        </is>
      </c>
    </row>
    <row r="41">
      <c r="A41" s="9" t="n">
        <v>38</v>
      </c>
      <c r="B41" s="10" t="inlineStr">
        <is>
          <t>│  ui/settings_page.py  ← 设置页 (延迟加载)         │</t>
        </is>
      </c>
    </row>
    <row r="42">
      <c r="A42" s="7" t="n">
        <v>39</v>
      </c>
      <c r="B42" s="8" t="inlineStr">
        <is>
          <t>│  ui/components/       ← 可复用组件                │</t>
        </is>
      </c>
    </row>
    <row r="43">
      <c r="A43" s="9" t="n">
        <v>40</v>
      </c>
      <c r="B43" s="10" t="inlineStr">
        <is>
          <t>└─────────────────────────────────────────────────┘</t>
        </is>
      </c>
    </row>
    <row r="44">
      <c r="A44" s="7" t="n">
        <v>41</v>
      </c>
      <c r="B44" s="8" t="inlineStr">
        <is>
          <t>```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>
        <is>
          <t>---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>## 集成状态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>| 模块 | 状态 | 接入点 |</t>
        </is>
      </c>
    </row>
    <row r="51">
      <c r="A51" s="9" t="n">
        <v>48</v>
      </c>
      <c r="B51" s="10" t="inlineStr">
        <is>
          <t>|------|:--:|------|</t>
        </is>
      </c>
    </row>
    <row r="52">
      <c r="A52" s="7" t="n">
        <v>49</v>
      </c>
      <c r="B52" s="8" t="inlineStr">
        <is>
          <t>| `utils/retry.py` | ✅ 已集成 | `core/deepseek_client.py:_call()` 通过 `call_with_retry()` 自动重试 |</t>
        </is>
      </c>
    </row>
    <row r="53">
      <c r="A53" s="9" t="n">
        <v>50</v>
      </c>
      <c r="B53" s="10" t="inlineStr">
        <is>
          <t>| `core/clip_matcher.py` | ✅ 已集成 | `core/pipeline.py:ai_match_clips()` FAISS匹配后 CLIP 重排序 |</t>
        </is>
      </c>
    </row>
    <row r="54">
      <c r="A54" s="7" t="n">
        <v>51</v>
      </c>
      <c r="B54" s="8" t="inlineStr">
        <is>
          <t>| `core/script_understanding.py` | ✅ 已集成 | `core/pipeline.py:run()` Step 4 FAISS为空时语义解析增强 |</t>
        </is>
      </c>
    </row>
    <row r="55">
      <c r="A55" s="9" t="n">
        <v>52</v>
      </c>
      <c r="B55" s="10" t="inlineStr">
        <is>
          <t>| `core/batch_scheduler.py` | ✅ 已集成 | `ui/desktop.py:_run_batch()` 替换串行循环为多线程调度 |</t>
        </is>
      </c>
    </row>
    <row r="56">
      <c r="A56" s="7" t="n">
        <v>53</v>
      </c>
      <c r="B56" s="8" t="inlineStr">
        <is>
          <t>| `core/config_v2.py` | ✅ 已导出 | `core/__init__.py` 可通过 `from core import config_v2` 访问 |</t>
        </is>
      </c>
    </row>
    <row r="57">
      <c r="A57" s="9" t="n">
        <v>54</v>
      </c>
      <c r="B57" s="10" t="inlineStr">
        <is>
          <t>| `core/database.py` | ✅ 已导出 | `core/__init__.py` 可通过 `from core import database` 访问 |</t>
        </is>
      </c>
    </row>
    <row r="58">
      <c r="A58" s="7" t="n">
        <v>55</v>
      </c>
      <c r="B58" s="8" t="inlineStr">
        <is>
          <t>| `core/orchestrator.py` | ✅ 已导出 | `core/__init__.py` 可通过 `from core import orchestrator` 访问 |</t>
        </is>
      </c>
    </row>
    <row r="59">
      <c r="A59" s="9" t="n">
        <v>56</v>
      </c>
      <c r="B59" s="10" t="inlineStr">
        <is>
          <t>| `utils/model_downloader.py` | ⬜ 待接入 | `core/orchestrator.py:load_all()` 模型缺失时自动下载 |</t>
        </is>
      </c>
    </row>
    <row r="60">
      <c r="A60" s="7" t="n">
        <v>57</v>
      </c>
      <c r="B60" s="8" t="inlineStr"/>
    </row>
    <row r="61">
      <c r="A61" s="9" t="n">
        <v>58</v>
      </c>
      <c r="B61" s="10" t="inlineStr">
        <is>
          <t>---</t>
        </is>
      </c>
    </row>
    <row r="62">
      <c r="A62" s="7" t="n">
        <v>59</v>
      </c>
      <c r="B62" s="8" t="inlineStr"/>
    </row>
    <row r="63">
      <c r="A63" s="9" t="n">
        <v>60</v>
      </c>
      <c r="B63" s="10" t="inlineStr">
        <is>
          <t>## 持续优化路线图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>
        <is>
          <t>### Phase 7: 完全迁移到统一架构 (本周)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>1. **analyzer.py → orchestrator**</t>
        </is>
      </c>
    </row>
    <row r="68">
      <c r="A68" s="7" t="n">
        <v>65</v>
      </c>
      <c r="B68" s="8" t="inlineStr">
        <is>
          <t xml:space="preserve">   ```python</t>
        </is>
      </c>
    </row>
    <row r="69">
      <c r="A69" s="9" t="n">
        <v>66</v>
      </c>
      <c r="B69" s="10" t="inlineStr">
        <is>
          <t xml:space="preserve">   # 旧: self.vision = VisionModel(); self.whisper = WhisperModel()</t>
        </is>
      </c>
    </row>
    <row r="70">
      <c r="A70" s="7" t="n">
        <v>67</v>
      </c>
      <c r="B70" s="8" t="inlineStr">
        <is>
          <t xml:space="preserve">   # 新: from core import orchestrator; orch.analyze_image(...); orch.analyze_audio(...)</t>
        </is>
      </c>
    </row>
    <row r="71">
      <c r="A71" s="9" t="n">
        <v>68</v>
      </c>
      <c r="B71" s="10" t="inlineStr">
        <is>
          <t xml:space="preserve">   ```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>2. **全部 sqlite3.connect → database.get_connection()**</t>
        </is>
      </c>
    </row>
    <row r="74">
      <c r="A74" s="7" t="n">
        <v>71</v>
      </c>
      <c r="B74" s="8" t="inlineStr">
        <is>
          <t xml:space="preserve">   ```python</t>
        </is>
      </c>
    </row>
    <row r="75">
      <c r="A75" s="9" t="n">
        <v>72</v>
      </c>
      <c r="B75" s="10" t="inlineStr">
        <is>
          <t xml:space="preserve">   # 旧: with sqlite3.connect(str(db_path)) as conn: ...</t>
        </is>
      </c>
    </row>
    <row r="76">
      <c r="A76" s="7" t="n">
        <v>73</v>
      </c>
      <c r="B76" s="8" t="inlineStr">
        <is>
          <t xml:space="preserve">   # 新: from core import database; with database.get_connection() as conn: ...</t>
        </is>
      </c>
    </row>
    <row r="77">
      <c r="A77" s="9" t="n">
        <v>74</v>
      </c>
      <c r="B77" s="10" t="inlineStr">
        <is>
          <t xml:space="preserve">   ```</t>
        </is>
      </c>
    </row>
    <row r="78">
      <c r="A78" s="7" t="n">
        <v>75</v>
      </c>
      <c r="B78" s="8" t="inlineStr"/>
    </row>
    <row r="79">
      <c r="A79" s="9" t="n">
        <v>76</v>
      </c>
      <c r="B79" s="10" t="inlineStr">
        <is>
          <t>3. **全部 os.environ.get → config_v2**</t>
        </is>
      </c>
    </row>
    <row r="80">
      <c r="A80" s="7" t="n">
        <v>77</v>
      </c>
      <c r="B80" s="8" t="inlineStr">
        <is>
          <t xml:space="preserve">   ```python</t>
        </is>
      </c>
    </row>
    <row r="81">
      <c r="A81" s="9" t="n">
        <v>78</v>
      </c>
      <c r="B81" s="10" t="inlineStr">
        <is>
          <t xml:space="preserve">   # 旧: SELLING_POINT_DIR = os.environ.get("TREECUT_SELLING_DIR", "Z:\\...")</t>
        </is>
      </c>
    </row>
    <row r="82">
      <c r="A82" s="7" t="n">
        <v>79</v>
      </c>
      <c r="B82" s="8" t="inlineStr">
        <is>
          <t xml:space="preserve">   # 新: from core import config_v2; config_v2.get("SELLING_POINT_DIR")</t>
        </is>
      </c>
    </row>
    <row r="83">
      <c r="A83" s="9" t="n">
        <v>80</v>
      </c>
      <c r="B83" s="10" t="inlineStr">
        <is>
          <t xml:space="preserve">   ```</t>
        </is>
      </c>
    </row>
    <row r="84">
      <c r="A84" s="7" t="n">
        <v>81</v>
      </c>
      <c r="B84" s="8" t="inlineStr"/>
    </row>
    <row r="85">
      <c r="A85" s="9" t="n">
        <v>82</v>
      </c>
      <c r="B85" s="10" t="inlineStr">
        <is>
          <t>### Phase 8: 学习闭环完整化 (下周)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>1. **自动评分**: 每次 run() 完成后自动记录 usage_records</t>
        </is>
      </c>
    </row>
    <row r="88">
      <c r="A88" s="7" t="n">
        <v>85</v>
      </c>
      <c r="B88" s="8" t="inlineStr">
        <is>
          <t>2. **每日分析**: SelfLearningEngine 定时运行脚本分析 + 模型权重优化</t>
        </is>
      </c>
    </row>
    <row r="89">
      <c r="A89" s="9" t="n">
        <v>86</v>
      </c>
      <c r="B89" s="10" t="inlineStr">
        <is>
          <t>3. **动态权重**: 分析结果自动更新 TagMerger._weights，下次生成生效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>### Phase 9: 多行业扩展 (本月)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>1. **KnowledgeBridge 多行业**: 从 JSON 加载不同行业知识库</t>
        </is>
      </c>
    </row>
    <row r="94">
      <c r="A94" s="7" t="n">
        <v>91</v>
      </c>
      <c r="B94" s="8" t="inlineStr">
        <is>
          <t>2. **模型自动下载**: orchestrator 检测缺失模型 → 调用 model_downloader</t>
        </is>
      </c>
    </row>
    <row r="95">
      <c r="A95" s="9" t="n">
        <v>92</v>
      </c>
      <c r="B95" s="10" t="inlineStr">
        <is>
          <t>3. **GPU 自动检测**: batch_scheduler 根据显存动态调整并发数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>### Phase 10: 生产环境优化 (下月)</t>
        </is>
      </c>
    </row>
    <row r="98">
      <c r="A98" s="7" t="n">
        <v>95</v>
      </c>
      <c r="B98" s="8" t="inlineStr"/>
    </row>
    <row r="99">
      <c r="A99" s="9" t="n">
        <v>96</v>
      </c>
      <c r="B99" s="10" t="inlineStr">
        <is>
          <t>1. **数据库分库**: 热数据/冷数据分离 → archive_db.py 定时归档</t>
        </is>
      </c>
    </row>
    <row r="100">
      <c r="A100" s="7" t="n">
        <v>97</v>
      </c>
      <c r="B100" s="8" t="inlineStr">
        <is>
          <t>2. **FAISS IVF 索引**: IndexFlatL2 → IndexIVFFlat (支持增量添加)</t>
        </is>
      </c>
    </row>
    <row r="101">
      <c r="A101" s="9" t="n">
        <v>98</v>
      </c>
      <c r="B101" s="10" t="inlineStr">
        <is>
          <t>3. **WebSocket 实时进度**: Web UI 升级为实时推送生成进度</t>
        </is>
      </c>
    </row>
    <row r="102">
      <c r="A102" s="7" t="n">
        <v>99</v>
      </c>
      <c r="B102" s="8" t="inlineStr">
        <is>
          <t>4. **CD 自动构建**: GitHub Actions → PyInstaller → Release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>---</t>
        </is>
      </c>
    </row>
    <row r="105">
      <c r="A105" s="9" t="n">
        <v>102</v>
      </c>
      <c r="B105" s="10" t="inlineStr"/>
    </row>
    <row r="106">
      <c r="A106" s="7" t="n">
        <v>103</v>
      </c>
      <c r="B106" s="8" t="inlineStr">
        <is>
          <t>## 技术债务清单</t>
        </is>
      </c>
    </row>
    <row r="107">
      <c r="A107" s="9" t="n">
        <v>104</v>
      </c>
      <c r="B107" s="10" t="inlineStr"/>
    </row>
    <row r="108">
      <c r="A108" s="7" t="n">
        <v>105</v>
      </c>
      <c r="B108" s="8" t="inlineStr">
        <is>
          <t>| # | 项 | 优先级 | 预计工时 |</t>
        </is>
      </c>
    </row>
    <row r="109">
      <c r="A109" s="9" t="n">
        <v>106</v>
      </c>
      <c r="B109" s="10" t="inlineStr">
        <is>
          <t>|---|------|:--:|:--:|</t>
        </is>
      </c>
    </row>
    <row r="110">
      <c r="A110" s="7" t="n">
        <v>107</v>
      </c>
      <c r="B110" s="8" t="inlineStr">
        <is>
          <t>| 1 | analyzer.py → orchestrator 迁移 | P1 | 2h |</t>
        </is>
      </c>
    </row>
    <row r="111">
      <c r="A111" s="9" t="n">
        <v>108</v>
      </c>
      <c r="B111" s="10" t="inlineStr">
        <is>
          <t>| 2 | 全局 sqlite3 → database 迁移 | P1 | 3h |</t>
        </is>
      </c>
    </row>
    <row r="112">
      <c r="A112" s="7" t="n">
        <v>109</v>
      </c>
      <c r="B112" s="8" t="inlineStr">
        <is>
          <t>| 3 | 全局 os.environ → config_v2 迁移 | P2 | 2h |</t>
        </is>
      </c>
    </row>
    <row r="113">
      <c r="A113" s="9" t="n">
        <v>110</v>
      </c>
      <c r="B113" s="10" t="inlineStr">
        <is>
          <t>| 4 | model_downloader 接入 orchestrator | P2 | 1h |</t>
        </is>
      </c>
    </row>
    <row r="114">
      <c r="A114" s="7" t="n">
        <v>111</v>
      </c>
      <c r="B114" s="8" t="inlineStr">
        <is>
          <t>| 5 | 学习闭环完整化 | P2 | 4h |</t>
        </is>
      </c>
    </row>
    <row r="115">
      <c r="A115" s="9" t="n">
        <v>112</v>
      </c>
      <c r="B115" s="10" t="inlineStr">
        <is>
          <t>| 6 | 增加 `__all__` 到 config/copywriter/tts/draft | P3 | 0.5h |</t>
        </is>
      </c>
    </row>
    <row r="116">
      <c r="A116" s="7" t="n">
        <v>113</v>
      </c>
      <c r="B116" s="8" t="inlineStr">
        <is>
          <t>| 7 | 13+ 单例模式统一为装饰器 | P3 | 1h |</t>
        </is>
      </c>
    </row>
    <row r="117">
      <c r="A117" s="9" t="n">
        <v>114</v>
      </c>
      <c r="B117" s="10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CHANGELOG.md</t>
        </is>
      </c>
      <c r="C1" s="5" t="inlineStr">
        <is>
          <t>行数: 239</t>
        </is>
      </c>
    </row>
    <row r="4">
      <c r="A4" s="7" t="n">
        <v>1</v>
      </c>
      <c r="B4" s="8" t="inlineStr">
        <is>
          <t># 🏝️ 岛台品牌 · 小红书视频半自动剪辑工具 — 优化日志</t>
        </is>
      </c>
    </row>
    <row r="5">
      <c r="A5" s="9" t="n">
        <v>2</v>
      </c>
      <c r="B5" s="10" t="inlineStr"/>
    </row>
    <row r="6">
      <c r="A6" s="7" t="n">
        <v>3</v>
      </c>
      <c r="B6" s="8" t="inlineStr">
        <is>
          <t>&gt; 脚本: `video_editor.py` | 路径: `C:\Users\admin\Desktop\视频工作流\`</t>
        </is>
      </c>
    </row>
    <row r="7">
      <c r="A7" s="9" t="n">
        <v>4</v>
      </c>
      <c r="B7" s="10" t="inlineStr">
        <is>
          <t>&gt; 剪映版本: 专业版 5.9+ | 视频规格: 1080×1920 (9:16)</t>
        </is>
      </c>
    </row>
    <row r="8">
      <c r="A8" s="7" t="n">
        <v>5</v>
      </c>
      <c r="B8" s="8" t="inlineStr">
        <is>
          <t>&gt; 最后更新: 2026-06-07 19:35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---</t>
        </is>
      </c>
    </row>
    <row r="11">
      <c r="A11" s="9" t="n">
        <v>8</v>
      </c>
      <c r="B11" s="10" t="inlineStr"/>
    </row>
    <row r="12">
      <c r="A12" s="7" t="n">
        <v>9</v>
      </c>
      <c r="B12" s="8" t="inlineStr">
        <is>
          <t>## v8.0 — 2026-06-07 · SSML移除 + 原生TTS参数（致命BUG修复）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**修复**: Edge TTS不支持SSML，`&lt;speak&gt;` XML标签被当做文本朗读→前17秒是XML朗读</t>
        </is>
      </c>
    </row>
    <row r="15">
      <c r="A15" s="9" t="n">
        <v>12</v>
      </c>
      <c r="B15" s="10" t="inlineStr">
        <is>
          <t>**方案**: 改用 `edge_tts.Communicate(text, voice, rate="-2%", pitch="+5Hz")` 原生参数</t>
        </is>
      </c>
    </row>
    <row r="16">
      <c r="A16" s="7" t="n">
        <v>13</v>
      </c>
      <c r="B16" s="8" t="inlineStr">
        <is>
          <t>**效果**: 110字配音42.5s→25.5s，文件249KB→149KB，前20秒恢复正常正文播报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## v7.0 — 2026-06-07 · 全链路数字/符号过滤 + MULTILINE修复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**修复**: `_strip_leading_junk()` 只用`^`锚点→第2行起序号残留。改用`re.MULTILINE`</t>
        </is>
      </c>
    </row>
    <row r="21">
      <c r="A21" s="9" t="n">
        <v>18</v>
      </c>
      <c r="B21" s="10" t="inlineStr">
        <is>
          <t>**新增**: `_global_strip_numbers()` 全局正则清除句中孤立数字</t>
        </is>
      </c>
    </row>
    <row r="22">
      <c r="A22" s="7" t="n">
        <v>19</v>
      </c>
      <c r="B22" s="8" t="inlineStr">
        <is>
          <t>**新增**: 5层拦截链（字幕拆分→TTS拼接→清洗→配音前→配音后）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## v6.0 — 2026-06-07 · 保护词词库 + 配音断句保护</t>
        </is>
      </c>
    </row>
    <row r="25">
      <c r="A25" s="9" t="n">
        <v>22</v>
      </c>
      <c r="B25" s="10" t="inlineStr"/>
    </row>
    <row r="26">
      <c r="A26" s="7" t="n">
        <v>23</v>
      </c>
      <c r="B26" s="8" t="inlineStr">
        <is>
          <t>**新增**: `PROTECTED_WORDS` 110+产品词，强制TTS连贯朗读不拆分</t>
        </is>
      </c>
    </row>
    <row r="27">
      <c r="A27" s="9" t="n">
        <v>24</v>
      </c>
      <c r="B27" s="10" t="inlineStr">
        <is>
          <t>**新增**: `_protect_text_for_tts()`, `_verify_word_integrity()` 校验机制</t>
        </is>
      </c>
    </row>
    <row r="28">
      <c r="A28" s="7" t="n">
        <v>25</v>
      </c>
      <c r="B28" s="8" t="inlineStr"/>
    </row>
    <row r="29">
      <c r="A29" s="9" t="n">
        <v>26</v>
      </c>
      <c r="B29" s="10" t="inlineStr">
        <is>
          <t>## v5.0 — 2026-06-07 · ★ 时长控制反转（架构改动）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>**核心改动**: 先生成完整文案+配音，再根据配音时长选取素材</t>
        </is>
      </c>
    </row>
    <row r="32">
      <c r="A32" s="7" t="n">
        <v>29</v>
      </c>
      <c r="B32" s="8" t="inlineStr">
        <is>
          <t>**旧流程**: 选素材→定时长→写文案→截断 | **新流程**: 写文案→配音→素材适配</t>
        </is>
      </c>
    </row>
    <row r="33">
      <c r="A33" s="9" t="n">
        <v>30</v>
      </c>
      <c r="B33" s="10" t="inlineStr">
        <is>
          <t>**新增**: `FORCE_COMPLETE_SENTENCE=True`, 素材不足自动补充</t>
        </is>
      </c>
    </row>
    <row r="34">
      <c r="A34" s="7" t="n">
        <v>31</v>
      </c>
      <c r="B34" s="8" t="inlineStr"/>
    </row>
    <row r="35">
      <c r="A35" s="9" t="n">
        <v>32</v>
      </c>
      <c r="B35" s="10" t="inlineStr">
        <is>
          <t>## v4.0 — 2026-06-07 · 字幕无背景 + 句子级拆分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>**修复**: `SUBTITLE_BACKGROUND_ENABLED=False` 永久关闭灰色背景</t>
        </is>
      </c>
    </row>
    <row r="38">
      <c r="A38" s="7" t="n">
        <v>35</v>
      </c>
      <c r="B38" s="8" t="inlineStr">
        <is>
          <t>**修复**: 重写 `split_copy_to_subtitles()` — 按。！？拆分，逗号保留句内</t>
        </is>
      </c>
    </row>
    <row r="39">
      <c r="A39" s="9" t="n">
        <v>36</v>
      </c>
      <c r="B39" s="10" t="inlineStr"/>
    </row>
    <row r="40">
      <c r="A40" s="7" t="n">
        <v>37</v>
      </c>
      <c r="B40" s="8" t="inlineStr">
        <is>
          <t>## v3.0 — 2026-06-07 · 多卖点混合 + 三段式CTA</t>
        </is>
      </c>
    </row>
    <row r="41">
      <c r="A41" s="9" t="n">
        <v>38</v>
      </c>
      <c r="B41" s="10" t="inlineStr"/>
    </row>
    <row r="42">
      <c r="A42" s="7" t="n">
        <v>39</v>
      </c>
      <c r="B42" s="8" t="inlineStr">
        <is>
          <t>**新增**: `collect_multi_point_mp4s()` 强制≥3卖点源</t>
        </is>
      </c>
    </row>
    <row r="43">
      <c r="A43" s="9" t="n">
        <v>40</v>
      </c>
      <c r="B43" s="10" t="inlineStr">
        <is>
          <t>**新增**: 三段式文案结构（钩子→卖点→CTA），`_check_cta_present()` CTA自动补全</t>
        </is>
      </c>
    </row>
    <row r="44">
      <c r="A44" s="7" t="n">
        <v>41</v>
      </c>
      <c r="B44" s="8" t="inlineStr">
        <is>
          <t>**配置**: `MIN_SELLING_POINTS=3, MAX_CLIPS_PER_POINT=2`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>
        <is>
          <t>---</t>
        </is>
      </c>
    </row>
    <row r="47">
      <c r="A47" s="9" t="n">
        <v>44</v>
      </c>
      <c r="B47" s="10" t="inlineStr"/>
    </row>
    <row r="48">
      <c r="A48" s="7" t="n">
        <v>45</v>
      </c>
      <c r="B48" s="8" t="inlineStr">
        <is>
          <t>## v2.0 — 2026-06-07 · 全功能稳定版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>**所有模块集成完毕，2407行代码，45个函数，1个核心类。**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>| 模块 | 状态 | 命令 |</t>
        </is>
      </c>
    </row>
    <row r="53">
      <c r="A53" s="9" t="n">
        <v>50</v>
      </c>
      <c r="B53" s="10" t="inlineStr">
        <is>
          <t>|------|------|------|</t>
        </is>
      </c>
    </row>
    <row r="54">
      <c r="A54" s="7" t="n">
        <v>51</v>
      </c>
      <c r="B54" s="8" t="inlineStr">
        <is>
          <t>| 单卖点 | ✅ | `python video_editor.py 内嵌烤箱 --auto-bgm --tts` |</t>
        </is>
      </c>
    </row>
    <row r="55">
      <c r="A55" s="9" t="n">
        <v>52</v>
      </c>
      <c r="B55" s="10" t="inlineStr">
        <is>
          <t>| 多卖点混剪 | ✅ | `--multi "烤箱,灯带,水槽" --auto-bgm --tts` |</t>
        </is>
      </c>
    </row>
    <row r="56">
      <c r="A56" s="7" t="n">
        <v>53</v>
      </c>
      <c r="B56" s="8" t="inlineStr">
        <is>
          <t>| 随机混剪 | ✅ | `--multi-random 6 --auto-bgm --tts` |</t>
        </is>
      </c>
    </row>
    <row r="57">
      <c r="A57" s="9" t="n">
        <v>54</v>
      </c>
      <c r="B57" s="10" t="inlineStr">
        <is>
          <t>| BGM下载 | ✅ | `--download-bgm 10` |</t>
        </is>
      </c>
    </row>
    <row r="58">
      <c r="A58" s="7" t="n">
        <v>55</v>
      </c>
      <c r="B58" s="8" t="inlineStr">
        <is>
          <t>| 交互模式 | ✅ | `-i` |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>### 已固化功能清单</t>
        </is>
      </c>
    </row>
    <row r="61">
      <c r="A61" s="9" t="n">
        <v>58</v>
      </c>
      <c r="B61" s="10" t="inlineStr"/>
    </row>
    <row r="62">
      <c r="A62" s="7" t="n">
        <v>59</v>
      </c>
      <c r="B62" s="8" t="inlineStr">
        <is>
          <t>1. **剪映格式** — pyJianYingDraft 生成标准 draft_content.json + draft_meta_info.json + draft_settings</t>
        </is>
      </c>
    </row>
    <row r="63">
      <c r="A63" s="9" t="n">
        <v>60</v>
      </c>
      <c r="B63" s="10" t="inlineStr">
        <is>
          <t>2. **字幕样式** — 暖白(#FFF8E7) + 黑色描边 + 阴影 + 半透明背景遮挡，size=9.0 统一</t>
        </is>
      </c>
    </row>
    <row r="64">
      <c r="A64" s="7" t="n">
        <v>61</v>
      </c>
      <c r="B64" s="8" t="inlineStr">
        <is>
          <t>3. **配音字幕同步** — 同一数据源，TTS读什么字幕显示什么</t>
        </is>
      </c>
    </row>
    <row r="65">
      <c r="A65" s="9" t="n">
        <v>62</v>
      </c>
      <c r="B65" s="10" t="inlineStr">
        <is>
          <t>4. **配音填满视频** — 自动插入过渡句，覆盖率≥90%</t>
        </is>
      </c>
    </row>
    <row r="66">
      <c r="A66" s="7" t="n">
        <v>63</v>
      </c>
      <c r="B66" s="8" t="inlineStr">
        <is>
          <t>5. **时间轴对齐** — TTS时长检测 → 字幕按比例定位</t>
        </is>
      </c>
    </row>
    <row r="67">
      <c r="A67" s="9" t="n">
        <v>64</v>
      </c>
      <c r="B67" s="10" t="inlineStr">
        <is>
          <t>6. **画面精确匹配** — 文件名材质颜色解析 → AI强制按画面写</t>
        </is>
      </c>
    </row>
    <row r="68">
      <c r="A68" s="7" t="n">
        <v>65</v>
      </c>
      <c r="B68" s="8" t="inlineStr">
        <is>
          <t>7. **坤宝风格文案** — 学习103条陶联社稿 → "90%的人..."钩子</t>
        </is>
      </c>
    </row>
    <row r="69">
      <c r="A69" s="9" t="n">
        <v>66</v>
      </c>
      <c r="B69" s="10" t="inlineStr">
        <is>
          <t>8. **视频原声静音** — volume=0.0，BGM 45%，配音100%</t>
        </is>
      </c>
    </row>
    <row r="70">
      <c r="A70" s="7" t="n">
        <v>67</v>
      </c>
      <c r="B70" s="8" t="inlineStr">
        <is>
          <t>9. **变速节奏** — 0.85x~1.15x 画面变速</t>
        </is>
      </c>
    </row>
    <row r="71">
      <c r="A71" s="9" t="n">
        <v>68</v>
      </c>
      <c r="B71" s="10" t="inlineStr">
        <is>
          <t>10. **BGM多样化** — Mixkit 9首曲目 + 批量下载</t>
        </is>
      </c>
    </row>
    <row r="72">
      <c r="A72" s="7" t="n">
        <v>69</v>
      </c>
      <c r="B72" s="8" t="inlineStr">
        <is>
          <t>11. **Edge TTS** — 晓依音色，纯文本无乱码</t>
        </is>
      </c>
    </row>
    <row r="73">
      <c r="A73" s="9" t="n">
        <v>70</v>
      </c>
      <c r="B73" s="10" t="inlineStr">
        <is>
          <t>12. **片段分组排列** — 同卖点不分散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>---</t>
        </is>
      </c>
    </row>
    <row r="76">
      <c r="A76" s="7" t="n">
        <v>73</v>
      </c>
      <c r="B76" s="8" t="inlineStr"/>
    </row>
    <row r="77">
      <c r="A77" s="9" t="n">
        <v>74</v>
      </c>
      <c r="B77" s="10" t="inlineStr">
        <is>
          <t>## v1.13 — 2026-06-07 · 画面精确匹配</t>
        </is>
      </c>
    </row>
    <row r="78">
      <c r="A78" s="7" t="n">
        <v>75</v>
      </c>
      <c r="B78" s="8" t="inlineStr"/>
    </row>
    <row r="79">
      <c r="A79" s="9" t="n">
        <v>76</v>
      </c>
      <c r="B79" s="10" t="inlineStr">
        <is>
          <t>**问题**: 文案说的材质颜色和视频实际画面不符（画面白色原木风，文案却讲骑士黑）</t>
        </is>
      </c>
    </row>
    <row r="80">
      <c r="A80" s="7" t="n">
        <v>77</v>
      </c>
      <c r="B80" s="8" t="inlineStr"/>
    </row>
    <row r="81">
      <c r="A81" s="9" t="n">
        <v>78</v>
      </c>
      <c r="B81" s="10" t="inlineStr">
        <is>
          <t>**修复**:</t>
        </is>
      </c>
    </row>
    <row r="82">
      <c r="A82" s="7" t="n">
        <v>79</v>
      </c>
      <c r="B82" s="8" t="inlineStr">
        <is>
          <t>- 重写 `_extract_video_descriptions()` — 从文件名精确解析材质颜色（识别`+`号连接的颜色标签如"微水泥奶油白+兰亭香樟木纹"）</t>
        </is>
      </c>
    </row>
    <row r="83">
      <c r="A83" s="9" t="n">
        <v>80</v>
      </c>
      <c r="B83" s="10" t="inlineStr">
        <is>
          <t>- 更新 DEEPSEEK_SYSTEM_PROMPT — 新增"画面匹配"规则</t>
        </is>
      </c>
    </row>
    <row r="84">
      <c r="A84" s="7" t="n">
        <v>81</v>
      </c>
      <c r="B84" s="8" t="inlineStr">
        <is>
          <t>- 更新 user prompt — 强制要求每句材质颜色严格对应画面</t>
        </is>
      </c>
    </row>
    <row r="85">
      <c r="A85" s="9" t="n">
        <v>82</v>
      </c>
      <c r="B85" s="10" t="inlineStr">
        <is>
          <t>- 新增禁止项：禁止编造画面中没有的颜色和材质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>---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>## v1.12 — 2026-06-07 · 配音填满视频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>**问题**: 视频25秒但配音只有18秒，留7秒空镜头只有BGM</t>
        </is>
      </c>
    </row>
    <row r="92">
      <c r="A92" s="7" t="n">
        <v>89</v>
      </c>
      <c r="B92" s="8" t="inlineStr"/>
    </row>
    <row r="93">
      <c r="A93" s="9" t="n">
        <v>90</v>
      </c>
      <c r="B93" s="10" t="inlineStr">
        <is>
          <t>**修复**:</t>
        </is>
      </c>
    </row>
    <row r="94">
      <c r="A94" s="7" t="n">
        <v>91</v>
      </c>
      <c r="B94" s="8" t="inlineStr">
        <is>
          <t>- 新增 `_pad_subtitles_for_duration()` — 字幕不足93%覆盖率时自动插入过渡句</t>
        </is>
      </c>
    </row>
    <row r="95">
      <c r="A95" s="9" t="n">
        <v>92</v>
      </c>
      <c r="B95" s="10" t="inlineStr">
        <is>
          <t>- 填充句库：12条自然岛台评价语句</t>
        </is>
      </c>
    </row>
    <row r="96">
      <c r="A96" s="7" t="n">
        <v>93</v>
      </c>
      <c r="B96" s="8" t="inlineStr">
        <is>
          <t>- 新增 `_estimate_tts_duration()` — 中文4字/秒估算</t>
        </is>
      </c>
    </row>
    <row r="97">
      <c r="A97" s="9" t="n">
        <v>94</v>
      </c>
      <c r="B97" s="10" t="inlineStr">
        <is>
          <t>- 新增 `TTS_CHARS_PER_SEC = 4.0` 配置</t>
        </is>
      </c>
    </row>
    <row r="98">
      <c r="A98" s="7" t="n">
        <v>95</v>
      </c>
      <c r="B98" s="8" t="inlineStr"/>
    </row>
    <row r="99">
      <c r="A99" s="9" t="n">
        <v>96</v>
      </c>
      <c r="B99" s="10" t="inlineStr">
        <is>
          <t>---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>## v1.11 — 2026-06-07 · 配音时间轴同步</t>
        </is>
      </c>
    </row>
    <row r="102">
      <c r="A102" s="7" t="n">
        <v>99</v>
      </c>
      <c r="B102" s="8" t="inlineStr"/>
    </row>
    <row r="103">
      <c r="A103" s="9" t="n">
        <v>100</v>
      </c>
      <c r="B103" s="10" t="inlineStr">
        <is>
          <t>**问题**: 配音读完了字幕还在前面，字幕和配音对不上</t>
        </is>
      </c>
    </row>
    <row r="104">
      <c r="A104" s="7" t="n">
        <v>101</v>
      </c>
      <c r="B104" s="8" t="inlineStr"/>
    </row>
    <row r="105">
      <c r="A105" s="9" t="n">
        <v>102</v>
      </c>
      <c r="B105" s="10" t="inlineStr">
        <is>
          <t>**修复**:</t>
        </is>
      </c>
    </row>
    <row r="106">
      <c r="A106" s="7" t="n">
        <v>103</v>
      </c>
      <c r="B106" s="8" t="inlineStr">
        <is>
          <t>- 新增 `get_audio_duration_seconds()` — pymediainfo检测TTS实际时长</t>
        </is>
      </c>
    </row>
    <row r="107">
      <c r="A107" s="9" t="n">
        <v>104</v>
      </c>
      <c r="B107" s="10" t="inlineStr">
        <is>
          <t>- 新增 `build_tts_synced_timeline()` — 按字数比例分配字幕时长</t>
        </is>
      </c>
    </row>
    <row r="108">
      <c r="A108" s="7" t="n">
        <v>105</v>
      </c>
      <c r="B108" s="8" t="inlineStr">
        <is>
          <t>- 字幕时间位置跟随TTS节奏而非视频片段边界</t>
        </is>
      </c>
    </row>
    <row r="109">
      <c r="A109" s="9" t="n">
        <v>106</v>
      </c>
      <c r="B109" s="10" t="inlineStr">
        <is>
          <t>- 微秒级非重叠时间计算</t>
        </is>
      </c>
    </row>
    <row r="110">
      <c r="A110" s="7" t="n">
        <v>107</v>
      </c>
      <c r="B110" s="8" t="inlineStr"/>
    </row>
    <row r="111">
      <c r="A111" s="9" t="n">
        <v>108</v>
      </c>
      <c r="B111" s="10" t="inlineStr">
        <is>
          <t>---</t>
        </is>
      </c>
    </row>
    <row r="112">
      <c r="A112" s="7" t="n">
        <v>109</v>
      </c>
      <c r="B112" s="8" t="inlineStr"/>
    </row>
    <row r="113">
      <c r="A113" s="9" t="n">
        <v>110</v>
      </c>
      <c r="B113" s="10" t="inlineStr">
        <is>
          <t>## v1.10 — 2026-06-07 · 字幕单行显示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>
        <is>
          <t>**问题**: 视频中字幕3-4行混乱，大小不统一，含异常字符</t>
        </is>
      </c>
    </row>
    <row r="116">
      <c r="A116" s="7" t="n">
        <v>113</v>
      </c>
      <c r="B116" s="8" t="inlineStr"/>
    </row>
    <row r="117">
      <c r="A117" s="9" t="n">
        <v>114</v>
      </c>
      <c r="B117" s="10" t="inlineStr">
        <is>
          <t>**修复**:</t>
        </is>
      </c>
    </row>
    <row r="118">
      <c r="A118" s="7" t="n">
        <v>115</v>
      </c>
      <c r="B118" s="8" t="inlineStr">
        <is>
          <t>- 重写 `split_copy_to_subtitles()` — 强制 MAX_LEN=20，超出拆分</t>
        </is>
      </c>
    </row>
    <row r="119">
      <c r="A119" s="9" t="n">
        <v>116</v>
      </c>
      <c r="B119" s="10" t="inlineStr">
        <is>
          <t>- 字幕样式统一 size=9.0</t>
        </is>
      </c>
    </row>
    <row r="120">
      <c r="A120" s="7" t="n">
        <v>117</v>
      </c>
      <c r="B120" s="8" t="inlineStr">
        <is>
          <t>- 字幕和TTS使用完全相同文本（`tts_text = "。".join(subtitles)`）</t>
        </is>
      </c>
    </row>
    <row r="121">
      <c r="A121" s="9" t="n">
        <v>118</v>
      </c>
      <c r="B121" s="10" t="inlineStr">
        <is>
          <t>- 清理emoji和异常Unicode字符</t>
        </is>
      </c>
    </row>
    <row r="122">
      <c r="A122" s="7" t="n">
        <v>119</v>
      </c>
      <c r="B122" s="8" t="inlineStr"/>
    </row>
    <row r="123">
      <c r="A123" s="9" t="n">
        <v>120</v>
      </c>
      <c r="B123" s="10" t="inlineStr">
        <is>
          <t>---</t>
        </is>
      </c>
    </row>
    <row r="124">
      <c r="A124" s="7" t="n">
        <v>121</v>
      </c>
      <c r="B124" s="8" t="inlineStr"/>
    </row>
    <row r="125">
      <c r="A125" s="9" t="n">
        <v>122</v>
      </c>
      <c r="B125" s="10" t="inlineStr">
        <is>
          <t>## v1.9 — 2026-06-06 · 坤宝风格文案</t>
        </is>
      </c>
    </row>
    <row r="126">
      <c r="A126" s="7" t="n">
        <v>123</v>
      </c>
      <c r="B126" s="8" t="inlineStr"/>
    </row>
    <row r="127">
      <c r="A127" s="9" t="n">
        <v>124</v>
      </c>
      <c r="B127" s="10" t="inlineStr">
        <is>
          <t>**问题**: 文案风格普通，不像小红书爆款</t>
        </is>
      </c>
    </row>
    <row r="128">
      <c r="A128" s="7" t="n">
        <v>125</v>
      </c>
      <c r="B128" s="8" t="inlineStr"/>
    </row>
    <row r="129">
      <c r="A129" s="9" t="n">
        <v>126</v>
      </c>
      <c r="B129" s="10" t="inlineStr">
        <is>
          <t>**修复**:</t>
        </is>
      </c>
    </row>
    <row r="130">
      <c r="A130" s="7" t="n">
        <v>127</v>
      </c>
      <c r="B130" s="8" t="inlineStr">
        <is>
          <t>- 读取学习 `C:\Users\admin\Desktop\陶联社视频稿.xlsx` (103条洗稿文案)</t>
        </is>
      </c>
    </row>
    <row r="131">
      <c r="A131" s="9" t="n">
        <v>128</v>
      </c>
      <c r="B131" s="10" t="inlineStr">
        <is>
          <t>- 重写 DEEPSEEK_SYSTEM_PROMPT — "90%的人..."钩子、"你敢信吗？"反转、"它叫XX风岛台"命名法</t>
        </is>
      </c>
    </row>
    <row r="132">
      <c r="A132" s="7" t="n">
        <v>129</v>
      </c>
      <c r="B132" s="8" t="inlineStr">
        <is>
          <t>- 口语化表达：呢、吧、你看、就是、其实</t>
        </is>
      </c>
    </row>
    <row r="133">
      <c r="A133" s="9" t="n">
        <v>130</v>
      </c>
      <c r="B133" s="10" t="inlineStr">
        <is>
          <t>- CTA模板："想要同款？评论区扣'岛台'发你方案！"</t>
        </is>
      </c>
    </row>
    <row r="134">
      <c r="A134" s="7" t="n">
        <v>131</v>
      </c>
      <c r="B134" s="8" t="inlineStr"/>
    </row>
    <row r="135">
      <c r="A135" s="9" t="n">
        <v>132</v>
      </c>
      <c r="B135" s="10" t="inlineStr">
        <is>
          <t>---</t>
        </is>
      </c>
    </row>
    <row r="136">
      <c r="A136" s="7" t="n">
        <v>133</v>
      </c>
      <c r="B136" s="8" t="inlineStr"/>
    </row>
    <row r="137">
      <c r="A137" s="9" t="n">
        <v>134</v>
      </c>
      <c r="B137" s="10" t="inlineStr">
        <is>
          <t>## v1.8 — 2026-06-06 · BGM多样化</t>
        </is>
      </c>
    </row>
    <row r="138">
      <c r="A138" s="7" t="n">
        <v>135</v>
      </c>
      <c r="B138" s="8" t="inlineStr"/>
    </row>
    <row r="139">
      <c r="A139" s="9" t="n">
        <v>136</v>
      </c>
      <c r="B139" s="10" t="inlineStr">
        <is>
          <t>**问题**: BGM总是同一首，太单一</t>
        </is>
      </c>
    </row>
    <row r="140">
      <c r="A140" s="7" t="n">
        <v>137</v>
      </c>
      <c r="B140" s="8" t="inlineStr"/>
    </row>
    <row r="141">
      <c r="A141" s="9" t="n">
        <v>138</v>
      </c>
      <c r="B141" s="10" t="inlineStr">
        <is>
          <t>**修复**:</t>
        </is>
      </c>
    </row>
    <row r="142">
      <c r="A142" s="7" t="n">
        <v>139</v>
      </c>
      <c r="B142" s="8" t="inlineStr">
        <is>
          <t>- 新增 `download_bgm_batch()` — 从Mixkit多页面批量下载</t>
        </is>
      </c>
    </row>
    <row r="143">
      <c r="A143" s="9" t="n">
        <v>140</v>
      </c>
      <c r="B143" s="10" t="inlineStr">
        <is>
          <t>- 多风格页面池：corporate/ambient/chill/motivational/cinematic</t>
        </is>
      </c>
    </row>
    <row r="144">
      <c r="A144" s="7" t="n">
        <v>141</v>
      </c>
      <c r="B144" s="8" t="inlineStr">
        <is>
          <t>- 本地已有9首BGM随机轮换</t>
        </is>
      </c>
    </row>
    <row r="145">
      <c r="A145" s="9" t="n">
        <v>142</v>
      </c>
      <c r="B145" s="10" t="inlineStr">
        <is>
          <t>- 新增 `--download-bgm N` 命令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>---</t>
        </is>
      </c>
    </row>
    <row r="148">
      <c r="A148" s="7" t="n">
        <v>145</v>
      </c>
      <c r="B148" s="8" t="inlineStr"/>
    </row>
    <row r="149">
      <c r="A149" s="9" t="n">
        <v>146</v>
      </c>
      <c r="B149" s="10" t="inlineStr">
        <is>
          <t>## v1.7 — 2026-06-06 · 视频变速</t>
        </is>
      </c>
    </row>
    <row r="150">
      <c r="A150" s="7" t="n">
        <v>147</v>
      </c>
      <c r="B150" s="8" t="inlineStr"/>
    </row>
    <row r="151">
      <c r="A151" s="9" t="n">
        <v>148</v>
      </c>
      <c r="B151" s="10" t="inlineStr">
        <is>
          <t>**问题**: 视频节奏呆板，没有快慢变化</t>
        </is>
      </c>
    </row>
    <row r="152">
      <c r="A152" s="7" t="n">
        <v>149</v>
      </c>
      <c r="B152" s="8" t="inlineStr"/>
    </row>
    <row r="153">
      <c r="A153" s="9" t="n">
        <v>150</v>
      </c>
      <c r="B153" s="10" t="inlineStr">
        <is>
          <t>**修复**:</t>
        </is>
      </c>
    </row>
    <row r="154">
      <c r="A154" s="7" t="n">
        <v>151</v>
      </c>
      <c r="B154" s="8" t="inlineStr">
        <is>
          <t>- `add_video_clip()` 增加 `speed` 参数（0.85x~1.15x）</t>
        </is>
      </c>
    </row>
    <row r="155">
      <c r="A155" s="9" t="n">
        <v>152</v>
      </c>
      <c r="B155" s="10" t="inlineStr">
        <is>
          <t>- `collect_multi_selling_mp4s()` 自动分配变速节奏</t>
        </is>
      </c>
    </row>
    <row r="156">
      <c r="A156" s="7" t="n">
        <v>153</v>
      </c>
      <c r="B156" s="8" t="inlineStr">
        <is>
          <t>- `select_clips()` 增加随机变速</t>
        </is>
      </c>
    </row>
    <row r="157">
      <c r="A157" s="9" t="n">
        <v>154</v>
      </c>
      <c r="B157" s="10" t="inlineStr">
        <is>
          <t>- 变速后自动修正 target_timerange（从 segment 读取实际值）</t>
        </is>
      </c>
    </row>
    <row r="158">
      <c r="A158" s="7" t="n">
        <v>155</v>
      </c>
      <c r="B158" s="8" t="inlineStr"/>
    </row>
    <row r="159">
      <c r="A159" s="9" t="n">
        <v>156</v>
      </c>
      <c r="B159" s="10" t="inlineStr">
        <is>
          <t>---</t>
        </is>
      </c>
    </row>
    <row r="160">
      <c r="A160" s="7" t="n">
        <v>157</v>
      </c>
      <c r="B160" s="8" t="inlineStr"/>
    </row>
    <row r="161">
      <c r="A161" s="9" t="n">
        <v>158</v>
      </c>
      <c r="B161" s="10" t="inlineStr">
        <is>
          <t>## v1.6 — 2026-06-06 · 字幕样式升级</t>
        </is>
      </c>
    </row>
    <row r="162">
      <c r="A162" s="7" t="n">
        <v>159</v>
      </c>
      <c r="B162" s="8" t="inlineStr"/>
    </row>
    <row r="163">
      <c r="A163" s="9" t="n">
        <v>160</v>
      </c>
      <c r="B163" s="10" t="inlineStr">
        <is>
          <t>**问题**: 字幕纯白无样式，原视频字幕干扰</t>
        </is>
      </c>
    </row>
    <row r="164">
      <c r="A164" s="7" t="n">
        <v>161</v>
      </c>
      <c r="B164" s="8" t="inlineStr"/>
    </row>
    <row r="165">
      <c r="A165" s="9" t="n">
        <v>162</v>
      </c>
      <c r="B165" s="10" t="inlineStr">
        <is>
          <t>**修复**:</t>
        </is>
      </c>
    </row>
    <row r="166">
      <c r="A166" s="7" t="n">
        <v>163</v>
      </c>
      <c r="B166" s="8" t="inlineStr">
        <is>
          <t>- TextBorder 黑色描边 (width=45)</t>
        </is>
      </c>
    </row>
    <row r="167">
      <c r="A167" s="9" t="n">
        <v>164</v>
      </c>
      <c r="B167" s="10" t="inlineStr">
        <is>
          <t>- TextShadow 阴影增强立体感</t>
        </is>
      </c>
    </row>
    <row r="168">
      <c r="A168" s="7" t="n">
        <v>165</v>
      </c>
      <c r="B168" s="8" t="inlineStr">
        <is>
          <t>- TextBackground 半透明暗底遮挡 (alpha=0.35)</t>
        </is>
      </c>
    </row>
    <row r="169">
      <c r="A169" s="9" t="n">
        <v>166</v>
      </c>
      <c r="B169" s="10" t="inlineStr">
        <is>
          <t>- 字幕位置上移 y=-0.75 避开原视频底部文字</t>
        </is>
      </c>
    </row>
    <row r="170">
      <c r="A170" s="7" t="n">
        <v>167</v>
      </c>
      <c r="B170" s="8" t="inlineStr">
        <is>
          <t>- 字体颜色改为暖白(1.0, 0.97, 0.90)</t>
        </is>
      </c>
    </row>
    <row r="171">
      <c r="A171" s="9" t="n">
        <v>168</v>
      </c>
      <c r="B171" s="10" t="inlineStr"/>
    </row>
    <row r="172">
      <c r="A172" s="7" t="n">
        <v>169</v>
      </c>
      <c r="B172" s="8" t="inlineStr">
        <is>
          <t>---</t>
        </is>
      </c>
    </row>
    <row r="173">
      <c r="A173" s="9" t="n">
        <v>170</v>
      </c>
      <c r="B173" s="10" t="inlineStr"/>
    </row>
    <row r="174">
      <c r="A174" s="7" t="n">
        <v>171</v>
      </c>
      <c r="B174" s="8" t="inlineStr">
        <is>
          <t>## v1.5 — 2026-06-06 · TTS配音</t>
        </is>
      </c>
    </row>
    <row r="175">
      <c r="A175" s="9" t="n">
        <v>172</v>
      </c>
      <c r="B175" s="10" t="inlineStr"/>
    </row>
    <row r="176">
      <c r="A176" s="7" t="n">
        <v>173</v>
      </c>
      <c r="B176" s="8" t="inlineStr">
        <is>
          <t>**问题**: 无配音，只有背景音乐</t>
        </is>
      </c>
    </row>
    <row r="177">
      <c r="A177" s="9" t="n">
        <v>174</v>
      </c>
      <c r="B177" s="10" t="inlineStr"/>
    </row>
    <row r="178">
      <c r="A178" s="7" t="n">
        <v>175</v>
      </c>
      <c r="B178" s="8" t="inlineStr">
        <is>
          <t>**修复**:</t>
        </is>
      </c>
    </row>
    <row r="179">
      <c r="A179" s="9" t="n">
        <v>176</v>
      </c>
      <c r="B179" s="10" t="inlineStr">
        <is>
          <t>- 集成 Edge TTS (`edge-tts` 库)</t>
        </is>
      </c>
    </row>
    <row r="180">
      <c r="A180" s="7" t="n">
        <v>177</v>
      </c>
      <c r="B180" s="8" t="inlineStr">
        <is>
          <t>- 晓依音色 (zh-CN-XiaoyiNeural)</t>
        </is>
      </c>
    </row>
    <row r="181">
      <c r="A181" s="9" t="n">
        <v>178</v>
      </c>
      <c r="B181" s="10" t="inlineStr">
        <is>
          <t>- 纯文本模式（最初SSML导致乱码，已废弃）</t>
        </is>
      </c>
    </row>
    <row r="182">
      <c r="A182" s="7" t="n">
        <v>179</v>
      </c>
      <c r="B182" s="8" t="inlineStr">
        <is>
          <t>- 独立配音轨道（在BGM之上）</t>
        </is>
      </c>
    </row>
    <row r="183">
      <c r="A183" s="9" t="n">
        <v>180</v>
      </c>
      <c r="B183" s="10" t="inlineStr">
        <is>
          <t>- 新增 `--tts` 和 `--voice` 参数</t>
        </is>
      </c>
    </row>
    <row r="184">
      <c r="A184" s="7" t="n">
        <v>181</v>
      </c>
      <c r="B184" s="8" t="inlineStr"/>
    </row>
    <row r="185">
      <c r="A185" s="9" t="n">
        <v>182</v>
      </c>
      <c r="B185" s="10" t="inlineStr">
        <is>
          <t>---</t>
        </is>
      </c>
    </row>
    <row r="186">
      <c r="A186" s="7" t="n">
        <v>183</v>
      </c>
      <c r="B186" s="8" t="inlineStr"/>
    </row>
    <row r="187">
      <c r="A187" s="9" t="n">
        <v>184</v>
      </c>
      <c r="B187" s="10" t="inlineStr">
        <is>
          <t>## v1.4 — 2026-06-06 · 多卖点混剪</t>
        </is>
      </c>
    </row>
    <row r="188">
      <c r="A188" s="7" t="n">
        <v>185</v>
      </c>
      <c r="B188" s="8" t="inlineStr"/>
    </row>
    <row r="189">
      <c r="A189" s="9" t="n">
        <v>186</v>
      </c>
      <c r="B189" s="10" t="inlineStr">
        <is>
          <t>**问题**: 只能做单一卖点视频</t>
        </is>
      </c>
    </row>
    <row r="190">
      <c r="A190" s="7" t="n">
        <v>187</v>
      </c>
      <c r="B190" s="8" t="inlineStr"/>
    </row>
    <row r="191">
      <c r="A191" s="9" t="n">
        <v>188</v>
      </c>
      <c r="B191" s="10" t="inlineStr">
        <is>
          <t>**修复**:</t>
        </is>
      </c>
    </row>
    <row r="192">
      <c r="A192" s="7" t="n">
        <v>189</v>
      </c>
      <c r="B192" s="8" t="inlineStr">
        <is>
          <t>- 新增 `run_multi()` 函数</t>
        </is>
      </c>
    </row>
    <row r="193">
      <c r="A193" s="9" t="n">
        <v>190</v>
      </c>
      <c r="B193" s="10" t="inlineStr">
        <is>
          <t>- 新增 `--multi` 参数（逗号分隔卖点列表）</t>
        </is>
      </c>
    </row>
    <row r="194">
      <c r="A194" s="7" t="n">
        <v>191</v>
      </c>
      <c r="B194" s="8" t="inlineStr">
        <is>
          <t>- 新增 `--multi-random N` 参数（随机选择N个卖点）</t>
        </is>
      </c>
    </row>
    <row r="195">
      <c r="A195" s="9" t="n">
        <v>192</v>
      </c>
      <c r="B195" s="10" t="inlineStr">
        <is>
          <t>- 新增 `collect_multi_selling_mp4s()` — 从多文件夹各取片段</t>
        </is>
      </c>
    </row>
    <row r="196">
      <c r="A196" s="7" t="n">
        <v>193</v>
      </c>
      <c r="B196" s="8" t="inlineStr">
        <is>
          <t>- 新增 `generate_multi_copy()` — 多卖点统一文案</t>
        </is>
      </c>
    </row>
    <row r="197">
      <c r="A197" s="9" t="n">
        <v>194</v>
      </c>
      <c r="B197" s="10" t="inlineStr">
        <is>
          <t>- 片段按卖点分组排列（不分散）</t>
        </is>
      </c>
    </row>
    <row r="198">
      <c r="A198" s="7" t="n">
        <v>195</v>
      </c>
      <c r="B198" s="8" t="inlineStr"/>
    </row>
    <row r="199">
      <c r="A199" s="9" t="n">
        <v>196</v>
      </c>
      <c r="B199" s="10" t="inlineStr">
        <is>
          <t>---</t>
        </is>
      </c>
    </row>
    <row r="200">
      <c r="A200" s="7" t="n">
        <v>197</v>
      </c>
      <c r="B200" s="8" t="inlineStr"/>
    </row>
    <row r="201">
      <c r="A201" s="9" t="n">
        <v>198</v>
      </c>
      <c r="B201" s="10" t="inlineStr">
        <is>
          <t>## v1.3 — 2026-06-06 · 音频修复</t>
        </is>
      </c>
    </row>
    <row r="202">
      <c r="A202" s="7" t="n">
        <v>199</v>
      </c>
      <c r="B202" s="8" t="inlineStr"/>
    </row>
    <row r="203">
      <c r="A203" s="9" t="n">
        <v>200</v>
      </c>
      <c r="B203" s="10" t="inlineStr">
        <is>
          <t>**问题**: 原声干扰配音，BGM太小声</t>
        </is>
      </c>
    </row>
    <row r="204">
      <c r="A204" s="7" t="n">
        <v>201</v>
      </c>
      <c r="B204" s="8" t="inlineStr"/>
    </row>
    <row r="205">
      <c r="A205" s="9" t="n">
        <v>202</v>
      </c>
      <c r="B205" s="10" t="inlineStr">
        <is>
          <t>**修复**:</t>
        </is>
      </c>
    </row>
    <row r="206">
      <c r="A206" s="7" t="n">
        <v>203</v>
      </c>
      <c r="B206" s="8" t="inlineStr">
        <is>
          <t>- VIDEO_VOLUME: 0.0（原声彻底静音）</t>
        </is>
      </c>
    </row>
    <row r="207">
      <c r="A207" s="9" t="n">
        <v>204</v>
      </c>
      <c r="B207" s="10" t="inlineStr">
        <is>
          <t>- BGM_VOLUME: 0.45（提升到45%）</t>
        </is>
      </c>
    </row>
    <row r="208">
      <c r="A208" s="7" t="n">
        <v>205</v>
      </c>
      <c r="B208" s="8" t="inlineStr">
        <is>
          <t>- SUBTITLE_FONT_SIZE: 9.0（约60-80px显示）</t>
        </is>
      </c>
    </row>
    <row r="209">
      <c r="A209" s="9" t="n">
        <v>206</v>
      </c>
      <c r="B209" s="10" t="inlineStr"/>
    </row>
    <row r="210">
      <c r="A210" s="7" t="n">
        <v>207</v>
      </c>
      <c r="B210" s="8" t="inlineStr">
        <is>
          <t>---</t>
        </is>
      </c>
    </row>
    <row r="211">
      <c r="A211" s="9" t="n">
        <v>208</v>
      </c>
      <c r="B211" s="10" t="inlineStr"/>
    </row>
    <row r="212">
      <c r="A212" s="7" t="n">
        <v>209</v>
      </c>
      <c r="B212" s="8" t="inlineStr">
        <is>
          <t>## v1.2 — 2026-06-06 · BGM自动获取</t>
        </is>
      </c>
    </row>
    <row r="213">
      <c r="A213" s="9" t="n">
        <v>210</v>
      </c>
      <c r="B213" s="10" t="inlineStr"/>
    </row>
    <row r="214">
      <c r="A214" s="7" t="n">
        <v>211</v>
      </c>
      <c r="B214" s="8" t="inlineStr">
        <is>
          <t>**功能新增**:</t>
        </is>
      </c>
    </row>
    <row r="215">
      <c r="A215" s="9" t="n">
        <v>212</v>
      </c>
      <c r="B215" s="10" t="inlineStr">
        <is>
          <t>- `download_bgm_from_pixabay()` — Pixabay API下载</t>
        </is>
      </c>
    </row>
    <row r="216">
      <c r="A216" s="7" t="n">
        <v>213</v>
      </c>
      <c r="B216" s="8" t="inlineStr">
        <is>
          <t>- `download_bgm_from_mixkit()` — Mixkit免费音乐</t>
        </is>
      </c>
    </row>
    <row r="217">
      <c r="A217" s="9" t="n">
        <v>214</v>
      </c>
      <c r="B217" s="10" t="inlineStr">
        <is>
          <t>- `generate_ambient_bgm()` — Python纯算法合成（兜底）</t>
        </is>
      </c>
    </row>
    <row r="218">
      <c r="A218" s="7" t="n">
        <v>215</v>
      </c>
      <c r="B218" s="8" t="inlineStr">
        <is>
          <t>- `auto_get_bgm()` — 三层获取策略</t>
        </is>
      </c>
    </row>
    <row r="219">
      <c r="A219" s="9" t="n">
        <v>216</v>
      </c>
      <c r="B219" s="10" t="inlineStr"/>
    </row>
    <row r="220">
      <c r="A220" s="7" t="n">
        <v>217</v>
      </c>
      <c r="B220" s="8" t="inlineStr">
        <is>
          <t>---</t>
        </is>
      </c>
    </row>
    <row r="221">
      <c r="A221" s="9" t="n">
        <v>218</v>
      </c>
      <c r="B221" s="10" t="inlineStr"/>
    </row>
    <row r="222">
      <c r="A222" s="7" t="n">
        <v>219</v>
      </c>
      <c r="B222" s="8" t="inlineStr">
        <is>
          <t>## v1.1 — 2026-06-06 · 格式修复</t>
        </is>
      </c>
    </row>
    <row r="223">
      <c r="A223" s="9" t="n">
        <v>220</v>
      </c>
      <c r="B223" s="10" t="inlineStr"/>
    </row>
    <row r="224">
      <c r="A224" s="7" t="n">
        <v>221</v>
      </c>
      <c r="B224" s="8" t="inlineStr">
        <is>
          <t>**问题**: 草稿在剪映中提示"草稿内容已损坏"</t>
        </is>
      </c>
    </row>
    <row r="225">
      <c r="A225" s="9" t="n">
        <v>222</v>
      </c>
      <c r="B225" s="10" t="inlineStr"/>
    </row>
    <row r="226">
      <c r="A226" s="7" t="n">
        <v>223</v>
      </c>
      <c r="B226" s="8" t="inlineStr">
        <is>
          <t>**修复**:</t>
        </is>
      </c>
    </row>
    <row r="227">
      <c r="A227" s="9" t="n">
        <v>224</v>
      </c>
      <c r="B227" s="10" t="inlineStr">
        <is>
          <t>- 废弃手动构造的JSON格式</t>
        </is>
      </c>
    </row>
    <row r="228">
      <c r="A228" s="7" t="n">
        <v>225</v>
      </c>
      <c r="B228" s="8" t="inlineStr">
        <is>
          <t>- 改用 pyJianYingDraft 库生成标准格式</t>
        </is>
      </c>
    </row>
    <row r="229">
      <c r="A229" s="9" t="n">
        <v>226</v>
      </c>
      <c r="B229" s="10" t="inlineStr">
        <is>
          <t>- 修复 canvas_config、config、platform、segment等关键字段</t>
        </is>
      </c>
    </row>
    <row r="230">
      <c r="A230" s="7" t="n">
        <v>227</v>
      </c>
      <c r="B230" s="8" t="inlineStr">
        <is>
          <t>- 新增 draft_settings 文件</t>
        </is>
      </c>
    </row>
    <row r="231">
      <c r="A231" s="9" t="n">
        <v>228</v>
      </c>
      <c r="B231" s="10" t="inlineStr"/>
    </row>
    <row r="232">
      <c r="A232" s="7" t="n">
        <v>229</v>
      </c>
      <c r="B232" s="8" t="inlineStr">
        <is>
          <t>---</t>
        </is>
      </c>
    </row>
    <row r="233">
      <c r="A233" s="9" t="n">
        <v>230</v>
      </c>
      <c r="B233" s="10" t="inlineStr"/>
    </row>
    <row r="234">
      <c r="A234" s="7" t="n">
        <v>231</v>
      </c>
      <c r="B234" s="8" t="inlineStr">
        <is>
          <t>## v1.0 — 2026-06-06 · 初始版本</t>
        </is>
      </c>
    </row>
    <row r="235">
      <c r="A235" s="9" t="n">
        <v>232</v>
      </c>
      <c r="B235" s="10" t="inlineStr"/>
    </row>
    <row r="236">
      <c r="A236" s="7" t="n">
        <v>233</v>
      </c>
      <c r="B236" s="8" t="inlineStr">
        <is>
          <t>**功能**:</t>
        </is>
      </c>
    </row>
    <row r="237">
      <c r="A237" s="9" t="n">
        <v>234</v>
      </c>
      <c r="B237" s="10" t="inlineStr">
        <is>
          <t>- 关键词匹配卖点文件夹</t>
        </is>
      </c>
    </row>
    <row r="238">
      <c r="A238" s="7" t="n">
        <v>235</v>
      </c>
      <c r="B238" s="8" t="inlineStr">
        <is>
          <t>- 智能选取5-8个片段</t>
        </is>
      </c>
    </row>
    <row r="239">
      <c r="A239" s="9" t="n">
        <v>236</v>
      </c>
      <c r="B239" s="10" t="inlineStr">
        <is>
          <t>- DeepSeek生成小红书风格文案</t>
        </is>
      </c>
    </row>
    <row r="240">
      <c r="A240" s="7" t="n">
        <v>237</v>
      </c>
      <c r="B240" s="8" t="inlineStr">
        <is>
          <t>- 剪映草稿文件生成</t>
        </is>
      </c>
    </row>
    <row r="241">
      <c r="A241" s="9" t="n">
        <v>238</v>
      </c>
      <c r="B241" s="10" t="inlineStr">
        <is>
          <t>- BGM轨道、字幕轨道</t>
        </is>
      </c>
    </row>
    <row r="242">
      <c r="A242" s="7" t="n">
        <v>239</v>
      </c>
      <c r="B242" s="8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DEPLOY.md</t>
        </is>
      </c>
      <c r="C1" s="5" t="inlineStr">
        <is>
          <t>行数: 78</t>
        </is>
      </c>
    </row>
    <row r="4">
      <c r="A4" s="7" t="n">
        <v>1</v>
      </c>
      <c r="B4" s="8" t="inlineStr">
        <is>
          <t># 树剪 TreeCut v10.3 — 分发部署指南</t>
        </is>
      </c>
    </row>
    <row r="5">
      <c r="A5" s="9" t="n">
        <v>2</v>
      </c>
      <c r="B5" s="10" t="inlineStr"/>
    </row>
    <row r="6">
      <c r="A6" s="7" t="n">
        <v>3</v>
      </c>
      <c r="B6" s="8" t="inlineStr">
        <is>
          <t>## 方式一：源码分发（开发者）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```bash</t>
        </is>
      </c>
    </row>
    <row r="9">
      <c r="A9" s="9" t="n">
        <v>6</v>
      </c>
      <c r="B9" s="10" t="inlineStr">
        <is>
          <t># 1. 安装 Python 3.12</t>
        </is>
      </c>
    </row>
    <row r="10">
      <c r="A10" s="7" t="n">
        <v>7</v>
      </c>
      <c r="B10" s="8" t="inlineStr">
        <is>
          <t># 2. 克隆/复制项目到目标电脑</t>
        </is>
      </c>
    </row>
    <row r="11">
      <c r="A11" s="9" t="n">
        <v>8</v>
      </c>
      <c r="B11" s="10" t="inlineStr">
        <is>
          <t># 3. 安装依赖</t>
        </is>
      </c>
    </row>
    <row r="12">
      <c r="A12" s="7" t="n">
        <v>9</v>
      </c>
      <c r="B12" s="8" t="inlineStr">
        <is>
          <t>pip install -r requirements.txt</t>
        </is>
      </c>
    </row>
    <row r="13">
      <c r="A13" s="9" t="n">
        <v>10</v>
      </c>
      <c r="B13" s="10" t="inlineStr"/>
    </row>
    <row r="14">
      <c r="A14" s="7" t="n">
        <v>11</v>
      </c>
      <c r="B14" s="8" t="inlineStr">
        <is>
          <t># 4. 首次配置</t>
        </is>
      </c>
    </row>
    <row r="15">
      <c r="A15" s="9" t="n">
        <v>12</v>
      </c>
      <c r="B15" s="10" t="inlineStr">
        <is>
          <t>python setup_wizard.py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# 5. 启动</t>
        </is>
      </c>
    </row>
    <row r="18">
      <c r="A18" s="7" t="n">
        <v>15</v>
      </c>
      <c r="B18" s="8" t="inlineStr">
        <is>
          <t>python tree_cut_app.py</t>
        </is>
      </c>
    </row>
    <row r="19">
      <c r="A19" s="9" t="n">
        <v>16</v>
      </c>
      <c r="B19" s="10" t="inlineStr">
        <is>
          <t>```</t>
        </is>
      </c>
    </row>
    <row r="20">
      <c r="A20" s="7" t="n">
        <v>17</v>
      </c>
      <c r="B20" s="8" t="inlineStr"/>
    </row>
    <row r="21">
      <c r="A21" s="9" t="n">
        <v>18</v>
      </c>
      <c r="B21" s="10" t="inlineStr">
        <is>
          <t>## 方式二：打包为独立 .exe</t>
        </is>
      </c>
    </row>
    <row r="22">
      <c r="A22" s="7" t="n">
        <v>19</v>
      </c>
      <c r="B22" s="8" t="inlineStr"/>
    </row>
    <row r="23">
      <c r="A23" s="9" t="n">
        <v>20</v>
      </c>
      <c r="B23" s="10" t="inlineStr">
        <is>
          <t>```bash</t>
        </is>
      </c>
    </row>
    <row r="24">
      <c r="A24" s="7" t="n">
        <v>21</v>
      </c>
      <c r="B24" s="8" t="inlineStr">
        <is>
          <t># 1. 在当前电脑打包</t>
        </is>
      </c>
    </row>
    <row r="25">
      <c r="A25" s="9" t="n">
        <v>22</v>
      </c>
      <c r="B25" s="10" t="inlineStr">
        <is>
          <t>pip install pyinstaller</t>
        </is>
      </c>
    </row>
    <row r="26">
      <c r="A26" s="7" t="n">
        <v>23</v>
      </c>
      <c r="B26" s="8" t="inlineStr">
        <is>
          <t>python build_exe.py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># 2. 输出文件</t>
        </is>
      </c>
    </row>
    <row r="29">
      <c r="A29" s="9" t="n">
        <v>26</v>
      </c>
      <c r="B29" s="10" t="inlineStr">
        <is>
          <t># dist/树剪TreeCut.exe  (约 800MB，包含 Python + 所有依赖)</t>
        </is>
      </c>
    </row>
    <row r="30">
      <c r="A30" s="7" t="n">
        <v>27</v>
      </c>
      <c r="B30" s="8" t="inlineStr">
        <is>
          <t>```</t>
        </is>
      </c>
    </row>
    <row r="31">
      <c r="A31" s="9" t="n">
        <v>28</v>
      </c>
      <c r="B31" s="10" t="inlineStr"/>
    </row>
    <row r="32">
      <c r="A32" s="7" t="n">
        <v>29</v>
      </c>
      <c r="B32" s="8" t="inlineStr">
        <is>
          <t>将 `树剪TreeCut.exe` 连同以下文件一起分发：</t>
        </is>
      </c>
    </row>
    <row r="33">
      <c r="A33" s="9" t="n">
        <v>30</v>
      </c>
      <c r="B33" s="10" t="inlineStr">
        <is>
          <t>- `.env.example` → 用户重命名为 `.env` 并填入自己的 API Key</t>
        </is>
      </c>
    </row>
    <row r="34">
      <c r="A34" s="7" t="n">
        <v>31</v>
      </c>
      <c r="B34" s="8" t="inlineStr">
        <is>
          <t>- `protected_words.json` (行业词库)</t>
        </is>
      </c>
    </row>
    <row r="35">
      <c r="A35" s="9" t="n">
        <v>32</v>
      </c>
      <c r="B35" s="10" t="inlineStr">
        <is>
          <t>- `tree_icon.ico` (图标)</t>
        </is>
      </c>
    </row>
    <row r="36">
      <c r="A36" s="7" t="n">
        <v>33</v>
      </c>
      <c r="B36" s="8" t="inlineStr">
        <is>
          <t>- 【可选】`ai_material_library.db` (预建的素材索引库)</t>
        </is>
      </c>
    </row>
    <row r="37">
      <c r="A37" s="9" t="n">
        <v>34</v>
      </c>
      <c r="B37" s="10" t="inlineStr">
        <is>
          <t>- 【可选】`02_BGM/` (预置背景音乐)</t>
        </is>
      </c>
    </row>
    <row r="38">
      <c r="A38" s="7" t="n">
        <v>35</v>
      </c>
      <c r="B38" s="8" t="inlineStr"/>
    </row>
    <row r="39">
      <c r="A39" s="9" t="n">
        <v>36</v>
      </c>
      <c r="B39" s="10" t="inlineStr">
        <is>
          <t>## 方式三：制作 Windows 安装包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>```bash</t>
        </is>
      </c>
    </row>
    <row r="42">
      <c r="A42" s="7" t="n">
        <v>39</v>
      </c>
      <c r="B42" s="8" t="inlineStr">
        <is>
          <t># 1. 先完成方式二，得到 dist/树剪TreeCut.exe</t>
        </is>
      </c>
    </row>
    <row r="43">
      <c r="A43" s="9" t="n">
        <v>40</v>
      </c>
      <c r="B43" s="10" t="inlineStr"/>
    </row>
    <row r="44">
      <c r="A44" s="7" t="n">
        <v>41</v>
      </c>
      <c r="B44" s="8" t="inlineStr">
        <is>
          <t># 2. 下载 Inno Setup 6</t>
        </is>
      </c>
    </row>
    <row r="45">
      <c r="A45" s="9" t="n">
        <v>42</v>
      </c>
      <c r="B45" s="10" t="inlineStr">
        <is>
          <t># https://jrsoftware.org/isinfo.php</t>
        </is>
      </c>
    </row>
    <row r="46">
      <c r="A46" s="7" t="n">
        <v>43</v>
      </c>
      <c r="B46" s="8" t="inlineStr"/>
    </row>
    <row r="47">
      <c r="A47" s="9" t="n">
        <v>44</v>
      </c>
      <c r="B47" s="10" t="inlineStr">
        <is>
          <t># 3. 用 Inno Setup Compiler 打开 installer.iss</t>
        </is>
      </c>
    </row>
    <row r="48">
      <c r="A48" s="7" t="n">
        <v>45</v>
      </c>
      <c r="B48" s="8" t="inlineStr">
        <is>
          <t>#    Build → Compile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># 4. 输出文件</t>
        </is>
      </c>
    </row>
    <row r="51">
      <c r="A51" s="9" t="n">
        <v>48</v>
      </c>
      <c r="B51" s="10" t="inlineStr">
        <is>
          <t># Output/树剪TreeCut_Setup_v10.3.exe</t>
        </is>
      </c>
    </row>
    <row r="52">
      <c r="A52" s="7" t="n">
        <v>49</v>
      </c>
      <c r="B52" s="8" t="inlineStr">
        <is>
          <t># 用户双击安装，自动创建桌面快捷方式、开始菜单</t>
        </is>
      </c>
    </row>
    <row r="53">
      <c r="A53" s="9" t="n">
        <v>50</v>
      </c>
      <c r="B53" s="10" t="inlineStr">
        <is>
          <t>```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>
        <is>
          <t>## 目标电脑要求</t>
        </is>
      </c>
    </row>
    <row r="56">
      <c r="A56" s="7" t="n">
        <v>53</v>
      </c>
      <c r="B56" s="8" t="inlineStr"/>
    </row>
    <row r="57">
      <c r="A57" s="9" t="n">
        <v>54</v>
      </c>
      <c r="B57" s="10" t="inlineStr">
        <is>
          <t>| 组件 | 最低配置 | 推荐配置 |</t>
        </is>
      </c>
    </row>
    <row r="58">
      <c r="A58" s="7" t="n">
        <v>55</v>
      </c>
      <c r="B58" s="8" t="inlineStr">
        <is>
          <t>|------|----------|----------|</t>
        </is>
      </c>
    </row>
    <row r="59">
      <c r="A59" s="9" t="n">
        <v>56</v>
      </c>
      <c r="B59" s="10" t="inlineStr">
        <is>
          <t>| 操作系统 | Windows 10/11 64位 | Windows 11 |</t>
        </is>
      </c>
    </row>
    <row r="60">
      <c r="A60" s="7" t="n">
        <v>57</v>
      </c>
      <c r="B60" s="8" t="inlineStr">
        <is>
          <t>| 内存 | 8 GB | 16 GB |</t>
        </is>
      </c>
    </row>
    <row r="61">
      <c r="A61" s="9" t="n">
        <v>58</v>
      </c>
      <c r="B61" s="10" t="inlineStr">
        <is>
          <t>| 磁盘 | 2 GB 空闲 | 5 GB（含素材库） |</t>
        </is>
      </c>
    </row>
    <row r="62">
      <c r="A62" s="7" t="n">
        <v>59</v>
      </c>
      <c r="B62" s="8" t="inlineStr">
        <is>
          <t>| Python | 3.12（仅源码分发需要） | 3.12 |</t>
        </is>
      </c>
    </row>
    <row r="63">
      <c r="A63" s="9" t="n">
        <v>60</v>
      </c>
      <c r="B63" s="10" t="inlineStr">
        <is>
          <t>| 网络 | 需要（DeepSeek API + Edge TTS） | — |</t>
        </is>
      </c>
    </row>
    <row r="64">
      <c r="A64" s="7" t="n">
        <v>61</v>
      </c>
      <c r="B64" s="8" t="inlineStr"/>
    </row>
    <row r="65">
      <c r="A65" s="9" t="n">
        <v>62</v>
      </c>
      <c r="B65" s="10" t="inlineStr">
        <is>
          <t>## 可选组件</t>
        </is>
      </c>
    </row>
    <row r="66">
      <c r="A66" s="7" t="n">
        <v>63</v>
      </c>
      <c r="B66" s="8" t="inlineStr"/>
    </row>
    <row r="67">
      <c r="A67" s="9" t="n">
        <v>64</v>
      </c>
      <c r="B67" s="10" t="inlineStr">
        <is>
          <t>| 组件 | 用途 | 安装方式 |</t>
        </is>
      </c>
    </row>
    <row r="68">
      <c r="A68" s="7" t="n">
        <v>65</v>
      </c>
      <c r="B68" s="8" t="inlineStr">
        <is>
          <t>|------|------|----------|</t>
        </is>
      </c>
    </row>
    <row r="69">
      <c r="A69" s="9" t="n">
        <v>66</v>
      </c>
      <c r="B69" s="10" t="inlineStr">
        <is>
          <t>| Ollama | 视觉画面分析 | `winget install Ollama.Ollama` |</t>
        </is>
      </c>
    </row>
    <row r="70">
      <c r="A70" s="7" t="n">
        <v>67</v>
      </c>
      <c r="B70" s="8" t="inlineStr">
        <is>
          <t>| Qwen2.5-VL:7B | AI 识别岛台材质/风格 | `ollama pull qwen2.5vl:7b` |</t>
        </is>
      </c>
    </row>
    <row r="71">
      <c r="A71" s="9" t="n">
        <v>68</v>
      </c>
      <c r="B71" s="10" t="inlineStr">
        <is>
          <t>| FFmpeg | 视频抽帧 | `winget install FFmpeg` |</t>
        </is>
      </c>
    </row>
    <row r="72">
      <c r="A72" s="7" t="n">
        <v>69</v>
      </c>
      <c r="B72" s="8" t="inlineStr"/>
    </row>
    <row r="73">
      <c r="A73" s="9" t="n">
        <v>70</v>
      </c>
      <c r="B73" s="10" t="inlineStr">
        <is>
          <t>## 用户首次运行步骤</t>
        </is>
      </c>
    </row>
    <row r="74">
      <c r="A74" s="7" t="n">
        <v>71</v>
      </c>
      <c r="B74" s="8" t="inlineStr"/>
    </row>
    <row r="75">
      <c r="A75" s="9" t="n">
        <v>72</v>
      </c>
      <c r="B75" s="10" t="inlineStr">
        <is>
          <t>1. 双击 `树剪TreeCut.exe`</t>
        </is>
      </c>
    </row>
    <row r="76">
      <c r="A76" s="7" t="n">
        <v>73</v>
      </c>
      <c r="B76" s="8" t="inlineStr">
        <is>
          <t>2. 首次运行自动弹出配置向导（setup_wizard.py）</t>
        </is>
      </c>
    </row>
    <row r="77">
      <c r="A77" s="9" t="n">
        <v>74</v>
      </c>
      <c r="B77" s="10" t="inlineStr">
        <is>
          <t>3. 填入 DeepSeek API Key</t>
        </is>
      </c>
    </row>
    <row r="78">
      <c r="A78" s="7" t="n">
        <v>75</v>
      </c>
      <c r="B78" s="8" t="inlineStr">
        <is>
          <t>4. 设置素材路径（Z:\ 或自定义）</t>
        </is>
      </c>
    </row>
    <row r="79">
      <c r="A79" s="9" t="n">
        <v>76</v>
      </c>
      <c r="B79" s="10" t="inlineStr">
        <is>
          <t>5. 设置输出路径</t>
        </is>
      </c>
    </row>
    <row r="80">
      <c r="A80" s="7" t="n">
        <v>77</v>
      </c>
      <c r="B80" s="8" t="inlineStr">
        <is>
          <t>6. 保存后即可使用</t>
        </is>
      </c>
    </row>
    <row r="81">
      <c r="A81" s="9" t="n">
        <v>78</v>
      </c>
      <c r="B81" s="10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MODEL_VALIDATION_PASSED.txt</t>
        </is>
      </c>
      <c r="C1" s="5" t="inlineStr">
        <is>
          <t>行数: 11</t>
        </is>
      </c>
    </row>
    <row r="4">
      <c r="A4" s="7" t="n">
        <v>1</v>
      </c>
      <c r="B4" s="8" t="inlineStr">
        <is>
          <t>树剪 TreeCut v11.0 模型验证通过</t>
        </is>
      </c>
    </row>
    <row r="5">
      <c r="A5" s="9" t="n">
        <v>2</v>
      </c>
      <c r="B5" s="10" t="inlineStr">
        <is>
          <t>验证时间: 2026-06-11 15:59:37</t>
        </is>
      </c>
    </row>
    <row r="6">
      <c r="A6" s="7" t="n">
        <v>3</v>
      </c>
      <c r="B6" s="8" t="inlineStr">
        <is>
          <t>验证结果: 4/4 通过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[PASS] Qwen3-VL-4B: 已加载 (6.0GB, 35s, device=cpu)</t>
        </is>
      </c>
    </row>
    <row r="9">
      <c r="A9" s="9" t="n">
        <v>6</v>
      </c>
      <c r="B9" s="10" t="inlineStr">
        <is>
          <t>[PASS] SenseVoice: 已加载 (936MB, 10s, cpu)</t>
        </is>
      </c>
    </row>
    <row r="10">
      <c r="A10" s="7" t="n">
        <v>7</v>
      </c>
      <c r="B10" s="8" t="inlineStr">
        <is>
          <t>[PASS] Whisper large-v3: 已加载 (large-v3, cpu, int8, 8s)</t>
        </is>
      </c>
    </row>
    <row r="11">
      <c r="A11" s="9" t="n">
        <v>8</v>
      </c>
      <c r="B11" s="10" t="inlineStr">
        <is>
          <t>[PASS] FAISS + BGE-M3: 已同步 (DB:756, FAISS:756, L2)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学习闭环: 模型结果记录到 usage_records → SelfLearningEngine 分析 → 调整权重</t>
        </is>
      </c>
    </row>
    <row r="14">
      <c r="A14" s="7" t="n">
        <v>11</v>
      </c>
      <c r="B14" s="8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Modelscope下载模型.bat</t>
        </is>
      </c>
      <c r="C1" s="5" t="inlineStr">
        <is>
          <t>行数: 31</t>
        </is>
      </c>
    </row>
    <row r="4">
      <c r="A4" s="7" t="n">
        <v>1</v>
      </c>
      <c r="B4" s="8" t="inlineStr">
        <is>
          <t>@echo off</t>
        </is>
      </c>
    </row>
    <row r="5">
      <c r="A5" s="9" t="n">
        <v>2</v>
      </c>
      <c r="B5" s="10" t="inlineStr">
        <is>
          <t>chcp 65001 &gt;nul</t>
        </is>
      </c>
    </row>
    <row r="6">
      <c r="A6" s="7" t="n">
        <v>3</v>
      </c>
      <c r="B6" s="8" t="inlineStr">
        <is>
          <t>title ModelScope 下载 Qwen3-VL-4B-FP8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cd /d "E:\树剪软件相关文件"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set PYTHON=C:\Users\admin\AppData\Local\Programs\Python\Python312\python.exe</t>
        </is>
      </c>
    </row>
    <row r="11">
      <c r="A11" s="9" t="n">
        <v>8</v>
      </c>
      <c r="B11" s="10" t="inlineStr"/>
    </row>
    <row r="12">
      <c r="A12" s="7" t="n">
        <v>9</v>
      </c>
      <c r="B12" s="8" t="inlineStr">
        <is>
          <t>echo ============================================</t>
        </is>
      </c>
    </row>
    <row r="13">
      <c r="A13" s="9" t="n">
        <v>10</v>
      </c>
      <c r="B13" s="10" t="inlineStr">
        <is>
          <t>echo   ModelScope 国内源下载 Qwen3-VL-4B-FP8</t>
        </is>
      </c>
    </row>
    <row r="14">
      <c r="A14" s="7" t="n">
        <v>11</v>
      </c>
      <c r="B14" s="8" t="inlineStr">
        <is>
          <t>echo ============================================</t>
        </is>
      </c>
    </row>
    <row r="15">
      <c r="A15" s="9" t="n">
        <v>12</v>
      </c>
      <c r="B15" s="10" t="inlineStr">
        <is>
          <t>echo.</t>
        </is>
      </c>
    </row>
    <row r="16">
      <c r="A16" s="7" t="n">
        <v>13</v>
      </c>
      <c r="B16" s="8" t="inlineStr"/>
    </row>
    <row r="17">
      <c r="A17" s="9" t="n">
        <v>14</v>
      </c>
      <c r="B17" s="10" t="inlineStr">
        <is>
          <t>echo [1/2] 安装 modelscope...</t>
        </is>
      </c>
    </row>
    <row r="18">
      <c r="A18" s="7" t="n">
        <v>15</v>
      </c>
      <c r="B18" s="8" t="inlineStr">
        <is>
          <t>%PYTHON% -m pip install modelscope -q</t>
        </is>
      </c>
    </row>
    <row r="19">
      <c r="A19" s="9" t="n">
        <v>16</v>
      </c>
      <c r="B19" s="10" t="inlineStr"/>
    </row>
    <row r="20">
      <c r="A20" s="7" t="n">
        <v>17</v>
      </c>
      <c r="B20" s="8" t="inlineStr">
        <is>
          <t>echo.</t>
        </is>
      </c>
    </row>
    <row r="21">
      <c r="A21" s="9" t="n">
        <v>18</v>
      </c>
      <c r="B21" s="10" t="inlineStr">
        <is>
          <t>echo [2/2] 开始下载 (约4GB, 支持断点续传)...</t>
        </is>
      </c>
    </row>
    <row r="22">
      <c r="A22" s="7" t="n">
        <v>19</v>
      </c>
      <c r="B22" s="8" t="inlineStr">
        <is>
          <t>%PYTHON% -m modelscope download --model Qwen/Qwen3-VL-4B-Instruct-FP8 --local_dir ./Qwen3-VL-4B-Instruct-FP8</t>
        </is>
      </c>
    </row>
    <row r="23">
      <c r="A23" s="9" t="n">
        <v>20</v>
      </c>
      <c r="B23" s="10" t="inlineStr"/>
    </row>
    <row r="24">
      <c r="A24" s="7" t="n">
        <v>21</v>
      </c>
      <c r="B24" s="8" t="inlineStr">
        <is>
          <t>if %errorlevel% equ 0 (</t>
        </is>
      </c>
    </row>
    <row r="25">
      <c r="A25" s="9" t="n">
        <v>22</v>
      </c>
      <c r="B25" s="10" t="inlineStr">
        <is>
          <t xml:space="preserve">    echo.</t>
        </is>
      </c>
    </row>
    <row r="26">
      <c r="A26" s="7" t="n">
        <v>23</v>
      </c>
      <c r="B26" s="8" t="inlineStr">
        <is>
          <t xml:space="preserve">    echo ============================================</t>
        </is>
      </c>
    </row>
    <row r="27">
      <c r="A27" s="9" t="n">
        <v>24</v>
      </c>
      <c r="B27" s="10" t="inlineStr">
        <is>
          <t xml:space="preserve">    echo   下载完成!</t>
        </is>
      </c>
    </row>
    <row r="28">
      <c r="A28" s="7" t="n">
        <v>25</v>
      </c>
      <c r="B28" s="8" t="inlineStr">
        <is>
          <t xml:space="preserve">    echo ============================================</t>
        </is>
      </c>
    </row>
    <row r="29">
      <c r="A29" s="9" t="n">
        <v>26</v>
      </c>
      <c r="B29" s="10" t="inlineStr">
        <is>
          <t>) else (</t>
        </is>
      </c>
    </row>
    <row r="30">
      <c r="A30" s="7" t="n">
        <v>27</v>
      </c>
      <c r="B30" s="8" t="inlineStr">
        <is>
          <t xml:space="preserve">    echo.</t>
        </is>
      </c>
    </row>
    <row r="31">
      <c r="A31" s="9" t="n">
        <v>28</v>
      </c>
      <c r="B31" s="10" t="inlineStr">
        <is>
          <t xml:space="preserve">    echo 下载中断, 重新运行此脚本可断点续传</t>
        </is>
      </c>
    </row>
    <row r="32">
      <c r="A32" s="7" t="n">
        <v>29</v>
      </c>
      <c r="B32" s="8" t="inlineStr">
        <is>
          <t>)</t>
        </is>
      </c>
    </row>
    <row r="33">
      <c r="A33" s="9" t="n">
        <v>30</v>
      </c>
      <c r="B33" s="10" t="inlineStr">
        <is>
          <t>pause</t>
        </is>
      </c>
    </row>
    <row r="34">
      <c r="A34" s="7" t="n">
        <v>31</v>
      </c>
      <c r="B34" s="8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REFACTOR_COMPLETE.md</t>
        </is>
      </c>
      <c r="C1" s="5" t="inlineStr">
        <is>
          <t>行数: 99</t>
        </is>
      </c>
    </row>
    <row r="4">
      <c r="A4" s="7" t="n">
        <v>1</v>
      </c>
      <c r="B4" s="8" t="inlineStr">
        <is>
          <t># 树剪 TreeCut v11.1 — 架构重构完成报告</t>
        </is>
      </c>
    </row>
    <row r="5">
      <c r="A5" s="9" t="n">
        <v>2</v>
      </c>
      <c r="B5" s="10" t="inlineStr"/>
    </row>
    <row r="6">
      <c r="A6" s="7" t="n">
        <v>3</v>
      </c>
      <c r="B6" s="8" t="inlineStr">
        <is>
          <t>## 重构时间: 2026-06-11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---</t>
        </is>
      </c>
    </row>
    <row r="9">
      <c r="A9" s="9" t="n">
        <v>6</v>
      </c>
      <c r="B9" s="10" t="inlineStr"/>
    </row>
    <row r="10">
      <c r="A10" s="7" t="n">
        <v>7</v>
      </c>
      <c r="B10" s="8" t="inlineStr">
        <is>
          <t>## 新架构图</t>
        </is>
      </c>
    </row>
    <row r="11">
      <c r="A11" s="9" t="n">
        <v>8</v>
      </c>
      <c r="B11" s="10" t="inlineStr"/>
    </row>
    <row r="12">
      <c r="A12" s="7" t="n">
        <v>9</v>
      </c>
      <c r="B12" s="8" t="inlineStr">
        <is>
          <t>```</t>
        </is>
      </c>
    </row>
    <row r="13">
      <c r="A13" s="9" t="n">
        <v>10</v>
      </c>
      <c r="B13" s="10" t="inlineStr">
        <is>
          <t>┌─────────────────────────────────────────────────┐</t>
        </is>
      </c>
    </row>
    <row r="14">
      <c r="A14" s="7" t="n">
        <v>11</v>
      </c>
      <c r="B14" s="8" t="inlineStr">
        <is>
          <t>│          入口层 (树剪.py / ui/desktop.py)        │</t>
        </is>
      </c>
    </row>
    <row r="15">
      <c r="A15" s="9" t="n">
        <v>12</v>
      </c>
      <c r="B15" s="10" t="inlineStr">
        <is>
          <t>└───────────┬─────────────────────────────────────┘</t>
        </is>
      </c>
    </row>
    <row r="16">
      <c r="A16" s="7" t="n">
        <v>13</v>
      </c>
      <c r="B16" s="8" t="inlineStr">
        <is>
          <t xml:space="preserve">            │</t>
        </is>
      </c>
    </row>
    <row r="17">
      <c r="A17" s="9" t="n">
        <v>14</v>
      </c>
      <c r="B17" s="10" t="inlineStr">
        <is>
          <t>┌───────────▼─────────────────────────────────────┐</t>
        </is>
      </c>
    </row>
    <row r="18">
      <c r="A18" s="7" t="n">
        <v>15</v>
      </c>
      <c r="B18" s="8" t="inlineStr">
        <is>
          <t>│  统一调度层 (core/orchestrator.py)               │</t>
        </is>
      </c>
    </row>
    <row r="19">
      <c r="A19" s="9" t="n">
        <v>16</v>
      </c>
      <c r="B19" s="10" t="inlineStr">
        <is>
          <t>│  ┌─────────────┬──────────────┬────────────────┐│</t>
        </is>
      </c>
    </row>
    <row r="20">
      <c r="A20" s="7" t="n">
        <v>17</v>
      </c>
      <c r="B20" s="8" t="inlineStr">
        <is>
          <t>│  │ Qwen3-VL-4B │ SenseVoice   │ SmartMatcher   ││</t>
        </is>
      </c>
    </row>
    <row r="21">
      <c r="A21" s="9" t="n">
        <v>18</v>
      </c>
      <c r="B21" s="10" t="inlineStr">
        <is>
          <t>│  │ (视觉)      │ + Whisper    │ (FAISS+BGE-M3) ││</t>
        </is>
      </c>
    </row>
    <row r="22">
      <c r="A22" s="7" t="n">
        <v>19</v>
      </c>
      <c r="B22" s="8" t="inlineStr">
        <is>
          <t>│  │             │ (音频)       │                ││</t>
        </is>
      </c>
    </row>
    <row r="23">
      <c r="A23" s="9" t="n">
        <v>20</v>
      </c>
      <c r="B23" s="10" t="inlineStr">
        <is>
          <t>│  └─────────────┴──────────────┴────────────────┘│</t>
        </is>
      </c>
    </row>
    <row r="24">
      <c r="A24" s="7" t="n">
        <v>21</v>
      </c>
      <c r="B24" s="8" t="inlineStr">
        <is>
          <t>└─────────────────────────────────────────────────┘</t>
        </is>
      </c>
    </row>
    <row r="25">
      <c r="A25" s="9" t="n">
        <v>22</v>
      </c>
      <c r="B25" s="10" t="inlineStr">
        <is>
          <t xml:space="preserve">            │</t>
        </is>
      </c>
    </row>
    <row r="26">
      <c r="A26" s="7" t="n">
        <v>23</v>
      </c>
      <c r="B26" s="8" t="inlineStr">
        <is>
          <t>┌───────────▼─────────────────────────────────────┐</t>
        </is>
      </c>
    </row>
    <row r="27">
      <c r="A27" s="9" t="n">
        <v>24</v>
      </c>
      <c r="B27" s="10" t="inlineStr">
        <is>
          <t>│  核心业务层 (core/)                              │</t>
        </is>
      </c>
    </row>
    <row r="28">
      <c r="A28" s="7" t="n">
        <v>25</v>
      </c>
      <c r="B28" s="8" t="inlineStr">
        <is>
          <t>│  • pipeline.py    — 生成管道                     │</t>
        </is>
      </c>
    </row>
    <row r="29">
      <c r="A29" s="9" t="n">
        <v>26</v>
      </c>
      <c r="B29" s="10" t="inlineStr">
        <is>
          <t>│  • config_v2.py   — 配置中心 (单例+观察者)       │</t>
        </is>
      </c>
    </row>
    <row r="30">
      <c r="A30" s="7" t="n">
        <v>27</v>
      </c>
      <c r="B30" s="8" t="inlineStr">
        <is>
          <t>│  • database.py    — 数据库 (单例+CM)             │</t>
        </is>
      </c>
    </row>
    <row r="31">
      <c r="A31" s="9" t="n">
        <v>28</v>
      </c>
      <c r="B31" s="10" t="inlineStr">
        <is>
          <t>│  • script_learning.py — 脚本学习库               │</t>
        </is>
      </c>
    </row>
    <row r="32">
      <c r="A32" s="7" t="n">
        <v>29</v>
      </c>
      <c r="B32" s="8" t="inlineStr">
        <is>
          <t>│  • batch_scheduler.py — 批量调度器               │</t>
        </is>
      </c>
    </row>
    <row r="33">
      <c r="A33" s="9" t="n">
        <v>30</v>
      </c>
      <c r="B33" s="10" t="inlineStr">
        <is>
          <t>│  • self_learning_engine.py — 自学习引擎           │</t>
        </is>
      </c>
    </row>
    <row r="34">
      <c r="A34" s="7" t="n">
        <v>31</v>
      </c>
      <c r="B34" s="8" t="inlineStr">
        <is>
          <t>│  • script_utils.py — 统一脚本分割                │</t>
        </is>
      </c>
    </row>
    <row r="35">
      <c r="A35" s="9" t="n">
        <v>32</v>
      </c>
      <c r="B35" s="10" t="inlineStr">
        <is>
          <t>│  • script_understanding.py — 语义解析            │</t>
        </is>
      </c>
    </row>
    <row r="36">
      <c r="A36" s="7" t="n">
        <v>33</v>
      </c>
      <c r="B36" s="8" t="inlineStr">
        <is>
          <t>└─────────────────────────────────────────────────┘</t>
        </is>
      </c>
    </row>
    <row r="37">
      <c r="A37" s="9" t="n">
        <v>34</v>
      </c>
      <c r="B37" s="10" t="inlineStr">
        <is>
          <t xml:space="preserve">            │</t>
        </is>
      </c>
    </row>
    <row r="38">
      <c r="A38" s="7" t="n">
        <v>35</v>
      </c>
      <c r="B38" s="8" t="inlineStr">
        <is>
          <t>┌───────────▼─────────────────────────────────────┐</t>
        </is>
      </c>
    </row>
    <row r="39">
      <c r="A39" s="9" t="n">
        <v>36</v>
      </c>
      <c r="B39" s="10" t="inlineStr">
        <is>
          <t>│  UI 层 (ui/)                                     │</t>
        </is>
      </c>
    </row>
    <row r="40">
      <c r="A40" s="7" t="n">
        <v>37</v>
      </c>
      <c r="B40" s="8" t="inlineStr">
        <is>
          <t>│  • theme.py            — 颜色/字体常量           │</t>
        </is>
      </c>
    </row>
    <row r="41">
      <c r="A41" s="9" t="n">
        <v>38</v>
      </c>
      <c r="B41" s="10" t="inlineStr">
        <is>
          <t>│  • components/         — 可复用组件              │</t>
        </is>
      </c>
    </row>
    <row r="42">
      <c r="A42" s="7" t="n">
        <v>39</v>
      </c>
      <c r="B42" s="8" t="inlineStr">
        <is>
          <t>│    ├── folder_selector.py                       │</t>
        </is>
      </c>
    </row>
    <row r="43">
      <c r="A43" s="9" t="n">
        <v>40</v>
      </c>
      <c r="B43" s="10" t="inlineStr">
        <is>
          <t>│    ├── progress_panel.py                        │</t>
        </is>
      </c>
    </row>
    <row r="44">
      <c r="A44" s="7" t="n">
        <v>41</v>
      </c>
      <c r="B44" s="8" t="inlineStr">
        <is>
          <t>│    └── script_input_area.py                     │</t>
        </is>
      </c>
    </row>
    <row r="45">
      <c r="A45" s="9" t="n">
        <v>42</v>
      </c>
      <c r="B45" s="10" t="inlineStr">
        <is>
          <t>│  • desktop.py          — 主窗口 (7+标签页)       │</t>
        </is>
      </c>
    </row>
    <row r="46">
      <c r="A46" s="7" t="n">
        <v>43</v>
      </c>
      <c r="B46" s="8" t="inlineStr">
        <is>
          <t>│  • settings_page.py    — 设置页 (动态权重+AI助手)│</t>
        </is>
      </c>
    </row>
    <row r="47">
      <c r="A47" s="9" t="n">
        <v>44</v>
      </c>
      <c r="B47" s="10" t="inlineStr">
        <is>
          <t>└─────────────────────────────────────────────────┘</t>
        </is>
      </c>
    </row>
    <row r="48">
      <c r="A48" s="7" t="n">
        <v>45</v>
      </c>
      <c r="B48" s="8" t="inlineStr">
        <is>
          <t>```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>## 新增核心类及职责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>| 类 | 文件 | 职责 |</t>
        </is>
      </c>
    </row>
    <row r="53">
      <c r="A53" s="9" t="n">
        <v>50</v>
      </c>
      <c r="B53" s="10" t="inlineStr">
        <is>
          <t>|---|------|------|</t>
        </is>
      </c>
    </row>
    <row r="54">
      <c r="A54" s="7" t="n">
        <v>51</v>
      </c>
      <c r="B54" s="8" t="inlineStr">
        <is>
          <t>| `Config` | `core/config_v2.py` | 全局配置单例 (get/set/observe/reload/to_dict) |</t>
        </is>
      </c>
    </row>
    <row r="55">
      <c r="A55" s="9" t="n">
        <v>52</v>
      </c>
      <c r="B55" s="10" t="inlineStr">
        <is>
          <t>| `Database` | `core/database.py` | 统一数据库访问 (CM + 预置表 + 业务方法) |</t>
        </is>
      </c>
    </row>
    <row r="56">
      <c r="A56" s="7" t="n">
        <v>53</v>
      </c>
      <c r="B56" s="8" t="inlineStr">
        <is>
          <t>| `Orchestrator` | `core/orchestrator.py` | 强制模型调度 (load_all/analyze_image/analyze_audio/match_clips/health_check) |</t>
        </is>
      </c>
    </row>
    <row r="57">
      <c r="A57" s="9" t="n">
        <v>54</v>
      </c>
      <c r="B57" s="10" t="inlineStr">
        <is>
          <t>| `BatchScheduler` | `core/batch_scheduler.py` | 多线程批量调度 (queue + workers + progress) |</t>
        </is>
      </c>
    </row>
    <row r="58">
      <c r="A58" s="7" t="n">
        <v>55</v>
      </c>
      <c r="B58" s="8" t="inlineStr">
        <is>
          <t>| `ScriptLibrary` | `core/script_learning.py` | 脚本 CRUD + 向量检索 + 批量导入 |</t>
        </is>
      </c>
    </row>
    <row r="59">
      <c r="A59" s="9" t="n">
        <v>56</v>
      </c>
      <c r="B59" s="10" t="inlineStr">
        <is>
          <t>| `ScriptParser` | `core/script_understanding.py` | DeepSeek 语义解析 + 规则降级 |</t>
        </is>
      </c>
    </row>
    <row r="60">
      <c r="A60" s="7" t="n">
        <v>57</v>
      </c>
      <c r="B60" s="8" t="inlineStr">
        <is>
          <t>| `FolderSelector` | `ui/components/folder_selector.py` | 可复用文件夹选择器 |</t>
        </is>
      </c>
    </row>
    <row r="61">
      <c r="A61" s="9" t="n">
        <v>58</v>
      </c>
      <c r="B61" s="10" t="inlineStr">
        <is>
          <t>| `ProgressPanel` | `ui/components/progress_panel.py` | 进度条组件 |</t>
        </is>
      </c>
    </row>
    <row r="62">
      <c r="A62" s="7" t="n">
        <v>59</v>
      </c>
      <c r="B62" s="8" t="inlineStr">
        <is>
          <t>| `ScriptInputArea` | `ui/components/script_input_area.py` | 批量粘贴组件 |</t>
        </is>
      </c>
    </row>
    <row r="63">
      <c r="A63" s="9" t="n">
        <v>60</v>
      </c>
      <c r="B63" s="10" t="inlineStr"/>
    </row>
    <row r="64">
      <c r="A64" s="7" t="n">
        <v>61</v>
      </c>
      <c r="B64" s="8" t="inlineStr">
        <is>
          <t>## 已删除/替代的文件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>| 文件 | 原因 |</t>
        </is>
      </c>
    </row>
    <row r="67">
      <c r="A67" s="9" t="n">
        <v>64</v>
      </c>
      <c r="B67" s="10" t="inlineStr">
        <is>
          <t>|------|------|</t>
        </is>
      </c>
    </row>
    <row r="68">
      <c r="A68" s="7" t="n">
        <v>65</v>
      </c>
      <c r="B68" s="8" t="inlineStr">
        <is>
          <t>| `material_engine_v3/core/vision_v2.py` | Dead — 无生产调用 |</t>
        </is>
      </c>
    </row>
    <row r="69">
      <c r="A69" s="9" t="n">
        <v>66</v>
      </c>
      <c r="B69" s="10" t="inlineStr">
        <is>
          <t>| `material_engine_v3/core/vision_manager.py` | Dead — 仅 auto_labeler 使用 |</t>
        </is>
      </c>
    </row>
    <row r="70">
      <c r="A70" s="7" t="n">
        <v>67</v>
      </c>
      <c r="B70" s="8" t="inlineStr">
        <is>
          <t>| `material_engine_v3/core/auto_labeler.py` | Dead — 无生产调用 |</t>
        </is>
      </c>
    </row>
    <row r="71">
      <c r="A71" s="9" t="n">
        <v>68</v>
      </c>
      <c r="B71" s="10" t="inlineStr">
        <is>
          <t>| `backup_*/vision_models.py` | 旧版视觉模型 — 已被 VisionModel 替代 |</t>
        </is>
      </c>
    </row>
    <row r="72">
      <c r="A72" s="7" t="n">
        <v>69</v>
      </c>
      <c r="B72" s="8" t="inlineStr">
        <is>
          <t>| ~80 行重复代码 (config.py reload) | 提取 `_init_config_vars()` |</t>
        </is>
      </c>
    </row>
    <row r="73">
      <c r="A73" s="9" t="n">
        <v>70</v>
      </c>
      <c r="B73" s="10" t="inlineStr"/>
    </row>
    <row r="74">
      <c r="A74" s="7" t="n">
        <v>71</v>
      </c>
      <c r="B74" s="8" t="inlineStr">
        <is>
          <t>## 数据库表一览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>| 表 | 用途 |</t>
        </is>
      </c>
    </row>
    <row r="77">
      <c r="A77" s="9" t="n">
        <v>74</v>
      </c>
      <c r="B77" s="10" t="inlineStr">
        <is>
          <t>|---|------|</t>
        </is>
      </c>
    </row>
    <row r="78">
      <c r="A78" s="7" t="n">
        <v>75</v>
      </c>
      <c r="B78" s="8" t="inlineStr">
        <is>
          <t>| `materials` | 素材元数据 (16,143条) |</t>
        </is>
      </c>
    </row>
    <row r="79">
      <c r="A79" s="9" t="n">
        <v>76</v>
      </c>
      <c r="B79" s="10" t="inlineStr">
        <is>
          <t>| `video_registry` | 视频注册 (6,744条) |</t>
        </is>
      </c>
    </row>
    <row r="80">
      <c r="A80" s="7" t="n">
        <v>77</v>
      </c>
      <c r="B80" s="8" t="inlineStr">
        <is>
          <t>| `analysis_log` | 分析记录 (756条) |</t>
        </is>
      </c>
    </row>
    <row r="81">
      <c r="A81" s="9" t="n">
        <v>78</v>
      </c>
      <c r="B81" s="10" t="inlineStr">
        <is>
          <t>| `annotation_feedback` | 标注反馈 |</t>
        </is>
      </c>
    </row>
    <row r="82">
      <c r="A82" s="7" t="n">
        <v>79</v>
      </c>
      <c r="B82" s="8" t="inlineStr">
        <is>
          <t>| `tag_learning` | 标签学习 |</t>
        </is>
      </c>
    </row>
    <row r="83">
      <c r="A83" s="9" t="n">
        <v>80</v>
      </c>
      <c r="B83" s="10" t="inlineStr">
        <is>
          <t>| `learned_scripts` | 脚本学习库 |</t>
        </is>
      </c>
    </row>
    <row r="84">
      <c r="A84" s="7" t="n">
        <v>81</v>
      </c>
      <c r="B84" s="8" t="inlineStr">
        <is>
          <t>| `generation_log` | 生成记录 |</t>
        </is>
      </c>
    </row>
    <row r="85">
      <c r="A85" s="9" t="n">
        <v>82</v>
      </c>
      <c r="B85" s="10" t="inlineStr">
        <is>
          <t>| `model_calls` | 模型调用记录 (新增) |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>## 已知遗留问题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>1. **embedding 覆盖率**: 16,143条素材仅756条(4.7%)有 embedding — 需批量生成</t>
        </is>
      </c>
    </row>
    <row r="90">
      <c r="A90" s="7" t="n">
        <v>87</v>
      </c>
      <c r="B90" s="8" t="inlineStr">
        <is>
          <t>2. **sensevoice 中文路径**: funasr C++层不支持中文路径 — 使用 temp dir workaround</t>
        </is>
      </c>
    </row>
    <row r="91">
      <c r="A91" s="9" t="n">
        <v>88</v>
      </c>
      <c r="B91" s="10" t="inlineStr">
        <is>
          <t>3. **FAISS C++ 中文路径**: 同上有 workaround</t>
        </is>
      </c>
    </row>
    <row r="92">
      <c r="A92" s="7" t="n">
        <v>89</v>
      </c>
      <c r="B92" s="8" t="inlineStr">
        <is>
          <t>4. **学习闭环**: usage_records 仅有测试记录 — 需实际使用触发</t>
        </is>
      </c>
    </row>
    <row r="93">
      <c r="A93" s="9" t="n">
        <v>90</v>
      </c>
      <c r="B93" s="10" t="inlineStr">
        <is>
          <t>5. **Windows GBK 编码**: 部分模块需要 UTF-8 stdout reconfigure</t>
        </is>
      </c>
    </row>
    <row r="94">
      <c r="A94" s="7" t="n">
        <v>91</v>
      </c>
      <c r="B94" s="8" t="inlineStr"/>
    </row>
    <row r="95">
      <c r="A95" s="9" t="n">
        <v>92</v>
      </c>
      <c r="B95" s="10" t="inlineStr">
        <is>
          <t>## 后续优化建议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>1. 使用 Chroma/Milvus 替代 FAISS + JSON idmap</t>
        </is>
      </c>
    </row>
    <row r="98">
      <c r="A98" s="7" t="n">
        <v>95</v>
      </c>
      <c r="B98" s="8" t="inlineStr">
        <is>
          <t>2. 实现异步管道 (asyncio) 替代 ThreadPoolExecutor</t>
        </is>
      </c>
    </row>
    <row r="99">
      <c r="A99" s="9" t="n">
        <v>96</v>
      </c>
      <c r="B99" s="10" t="inlineStr">
        <is>
          <t>3. CI/CD: GitHub Actions → lint → test → build → release</t>
        </is>
      </c>
    </row>
    <row r="100">
      <c r="A100" s="7" t="n">
        <v>97</v>
      </c>
      <c r="B100" s="8" t="inlineStr">
        <is>
          <t>4. 插件系统: 支持第三方模型扩展</t>
        </is>
      </c>
    </row>
    <row r="101">
      <c r="A101" s="9" t="n">
        <v>98</v>
      </c>
      <c r="B101" s="10" t="inlineStr">
        <is>
          <t>5. 云同步: 草稿/素材库云端备份</t>
        </is>
      </c>
    </row>
    <row r="102">
      <c r="A102" s="7" t="n">
        <v>99</v>
      </c>
      <c r="B102" s="8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SOFTWARE_SPECIFICATION.md</t>
        </is>
      </c>
      <c r="C1" s="5" t="inlineStr">
        <is>
          <t>行数: 244</t>
        </is>
      </c>
    </row>
    <row r="4">
      <c r="A4" s="7" t="n">
        <v>1</v>
      </c>
      <c r="B4" s="8" t="inlineStr">
        <is>
          <t># 树剪 TreeCut v10.3 — 软件规格说明</t>
        </is>
      </c>
    </row>
    <row r="5">
      <c r="A5" s="9" t="n">
        <v>2</v>
      </c>
      <c r="B5" s="10" t="inlineStr"/>
    </row>
    <row r="6">
      <c r="A6" s="7" t="n">
        <v>3</v>
      </c>
      <c r="B6" s="8" t="inlineStr">
        <is>
          <t>&gt; **最后更新:** 2026-06-11 | **版本:** v10.4-beta (本次优化后)</t>
        </is>
      </c>
    </row>
    <row r="7">
      <c r="A7" s="9" t="n">
        <v>4</v>
      </c>
      <c r="B7" s="10" t="inlineStr">
        <is>
          <t>&gt; **用途:** 坤宝岛台品牌 AI 视频半自动剪辑工具</t>
        </is>
      </c>
    </row>
    <row r="8">
      <c r="A8" s="7" t="n">
        <v>5</v>
      </c>
      <c r="B8" s="8" t="inlineStr"/>
    </row>
    <row r="9">
      <c r="A9" s="9" t="n">
        <v>6</v>
      </c>
      <c r="B9" s="10" t="inlineStr">
        <is>
          <t>---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## 一、软件功能概述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### 已实现的核心功能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| 功能模块 | 描述 | 状态 |</t>
        </is>
      </c>
    </row>
    <row r="16">
      <c r="A16" s="7" t="n">
        <v>13</v>
      </c>
      <c r="B16" s="8" t="inlineStr">
        <is>
          <t>|---------|------|------|</t>
        </is>
      </c>
    </row>
    <row r="17">
      <c r="A17" s="9" t="n">
        <v>14</v>
      </c>
      <c r="B17" s="10" t="inlineStr">
        <is>
          <t>| AI 文案生成 | DeepSeek API 生成三段式（钩子→卖点→CTA）小红书风格口播文案 | [OK] |</t>
        </is>
      </c>
    </row>
    <row r="18">
      <c r="A18" s="7" t="n">
        <v>15</v>
      </c>
      <c r="B18" s="8" t="inlineStr">
        <is>
          <t>| AI 配音 (TTS) | Edge TTS 引擎，支持中文 XiaoyiNeural/YunxiNeural 音色，保护词校验 | [OK] |</t>
        </is>
      </c>
    </row>
    <row r="19">
      <c r="A19" s="9" t="n">
        <v>16</v>
      </c>
      <c r="B19" s="10" t="inlineStr">
        <is>
          <t>| 视频素材扫描 | 多文件夹递归扫描 .mp4，支持分类文件夹映射和关键词匹配 | [OK] |</t>
        </is>
      </c>
    </row>
    <row r="20">
      <c r="A20" s="7" t="n">
        <v>17</v>
      </c>
      <c r="B20" s="8" t="inlineStr">
        <is>
          <t>| 素材智能匹配 | FAISS 向量检索 + 知识库规则 + SQL 关键词三层降级 | [OK] |</t>
        </is>
      </c>
    </row>
    <row r="21">
      <c r="A21" s="9" t="n">
        <v>18</v>
      </c>
      <c r="B21" s="10" t="inlineStr">
        <is>
          <t>| 剪映草稿生成 | 生成 JianyingPro 兼容的 draft_content.json + draft_meta_info.json | [OK] |</t>
        </is>
      </c>
    </row>
    <row r="22">
      <c r="A22" s="7" t="n">
        <v>19</v>
      </c>
      <c r="B22" s="8" t="inlineStr">
        <is>
          <t>| BGM 自动匹配 | 按视频主题（卖点/效果/工厂）匹配对应风格背景音乐 | [OK] |</t>
        </is>
      </c>
    </row>
    <row r="23">
      <c r="A23" s="9" t="n">
        <v>20</v>
      </c>
      <c r="B23" s="10" t="inlineStr">
        <is>
          <t>| 视觉画面分析 | VisionModel 统一接口：Qwen3-VL → Florence-2 → Ollama(qwen2.5vl) 自动降级 | [OK] |</t>
        </is>
      </c>
    </row>
    <row r="24">
      <c r="A24" s="7" t="n">
        <v>21</v>
      </c>
      <c r="B24" s="8" t="inlineStr">
        <is>
          <t>| 语音识别 | SenseVoice 优先 + Faster-Whisper large-v3 备用 | [OK] |</t>
        </is>
      </c>
    </row>
    <row r="25">
      <c r="A25" s="9" t="n">
        <v>22</v>
      </c>
      <c r="B25" s="10" t="inlineStr">
        <is>
          <t>| 音频分类 | Librosa 启发式分析（音乐/人声/笑声/静音检测） | [OK] |</t>
        </is>
      </c>
    </row>
    <row r="26">
      <c r="A26" s="7" t="n">
        <v>23</v>
      </c>
      <c r="B26" s="8" t="inlineStr">
        <is>
          <t>| 行业知识库 | 1200+ 岛台行业词汇分类器 + 石材/工艺/五金/风格专业知识库 | [OK] |</t>
        </is>
      </c>
    </row>
    <row r="27">
      <c r="A27" s="9" t="n">
        <v>24</v>
      </c>
      <c r="B27" s="10" t="inlineStr">
        <is>
          <t>| 标签融合 | TagMerger 多模型标签置信度加权 + 同义词规范化 | [OK] |</t>
        </is>
      </c>
    </row>
    <row r="28">
      <c r="A28" s="7" t="n">
        <v>25</v>
      </c>
      <c r="B28" s="8" t="inlineStr">
        <is>
          <t>| FAISS 向量索引 | 全量/增量重建，原子写入防并发冲突 | [OK] |</t>
        </is>
      </c>
    </row>
    <row r="29">
      <c r="A29" s="9" t="n">
        <v>26</v>
      </c>
      <c r="B29" s="10" t="inlineStr">
        <is>
          <t>| 自学习引擎 | 定时分析使用记录 → DeepSeek 生成优化规则 → 自动调整权重 | [OK] |</t>
        </is>
      </c>
    </row>
    <row r="30">
      <c r="A30" s="7" t="n">
        <v>27</v>
      </c>
      <c r="B30" s="8" t="inlineStr">
        <is>
          <t>| 素材质量控制 | 清晰度/稳定性/构图/时长/标签完整度评分 + 感知哈希去重 | [OK] |</t>
        </is>
      </c>
    </row>
    <row r="31">
      <c r="A31" s="9" t="n">
        <v>28</v>
      </c>
      <c r="B31" s="10" t="inlineStr">
        <is>
          <t>| 使用记录收集 | 全局操作追踪（标注/生成/评分/错误），支持 CSV 导出 | [OK] |</t>
        </is>
      </c>
    </row>
    <row r="32">
      <c r="A32" s="7" t="n">
        <v>29</v>
      </c>
      <c r="B32" s="8" t="inlineStr">
        <is>
          <t>| 批量生产 | 多卖点混剪 + Excel 脚本批量读取 + 进度跟踪 | [OK] |</t>
        </is>
      </c>
    </row>
    <row r="33">
      <c r="A33" s="9" t="n">
        <v>30</v>
      </c>
      <c r="B33" s="10" t="inlineStr">
        <is>
          <t>| 全盘检索 | 快速扫描常用位置 + 文件夹浏览 + 视频元数据批量探测 | [OK] |</t>
        </is>
      </c>
    </row>
    <row r="34">
      <c r="A34" s="7" t="n">
        <v>31</v>
      </c>
      <c r="B34" s="8" t="inlineStr">
        <is>
          <t>| 素材标注 | 流式抽帧+缩略图显示+实时AI标签+用户反馈学习 | [OK] |</t>
        </is>
      </c>
    </row>
    <row r="35">
      <c r="A35" s="9" t="n">
        <v>32</v>
      </c>
      <c r="B35" s="10" t="inlineStr">
        <is>
          <t>| 配置热重载 | reload_config() 运行时刷新环境变量和 .env 配置 | [OK] |</t>
        </is>
      </c>
    </row>
    <row r="36">
      <c r="A36" s="7" t="n">
        <v>33</v>
      </c>
      <c r="B36" s="8" t="inlineStr">
        <is>
          <t>| 重试与熔断 | 指数退避重试 + CircuitBreaker 熔断器 + 全局 BreakerRegistry | [OK] |</t>
        </is>
      </c>
    </row>
    <row r="37">
      <c r="A37" s="9" t="n">
        <v>34</v>
      </c>
      <c r="B37" s="10" t="inlineStr">
        <is>
          <t>| 安全模块 | API Key 脱敏/检测/原子写入 + 敏感字段递归过滤 | [OK] |</t>
        </is>
      </c>
    </row>
    <row r="38">
      <c r="A38" s="7" t="n">
        <v>35</v>
      </c>
      <c r="B38" s="8" t="inlineStr">
        <is>
          <t>| 桌面 UI | ttkbootstrap darkly 主题，7 个 Tab + 菜单 + 快捷键 | [OK] |</t>
        </is>
      </c>
    </row>
    <row r="39">
      <c r="A39" s="9" t="n">
        <v>36</v>
      </c>
      <c r="B39" s="10" t="inlineStr">
        <is>
          <t>| Web UI | Gradio Web 控制台，可选 Token 认证 | [OK] |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>### 本次优化新增/修复</t>
        </is>
      </c>
    </row>
    <row r="42">
      <c r="A42" s="7" t="n">
        <v>39</v>
      </c>
      <c r="B42" s="8" t="inlineStr"/>
    </row>
    <row r="43">
      <c r="A43" s="9" t="n">
        <v>40</v>
      </c>
      <c r="B43" s="10" t="inlineStr">
        <is>
          <t>| 项目 | 描述 |</t>
        </is>
      </c>
    </row>
    <row r="44">
      <c r="A44" s="7" t="n">
        <v>41</v>
      </c>
      <c r="B44" s="8" t="inlineStr">
        <is>
          <t>|------|------|</t>
        </is>
      </c>
    </row>
    <row r="45">
      <c r="A45" s="9" t="n">
        <v>42</v>
      </c>
      <c r="B45" s="10" t="inlineStr">
        <is>
          <t>| Bug修复 ×9 | 重复按钮栏删除、不存在函数修复、属性名修正、路径错误修复 |</t>
        </is>
      </c>
    </row>
    <row r="46">
      <c r="A46" s="7" t="n">
        <v>43</v>
      </c>
      <c r="B46" s="8" t="inlineStr">
        <is>
          <t>| 性能优化 ×2 | SentenceTransformer 模型缓存、重复代码提取 |</t>
        </is>
      </c>
    </row>
    <row r="47">
      <c r="A47" s="9" t="n">
        <v>44</v>
      </c>
      <c r="B47" s="10" t="inlineStr">
        <is>
          <t>| 死代码清理 | 类外方法移除、重复 import 删除 |</t>
        </is>
      </c>
    </row>
    <row r="48">
      <c r="A48" s="7" t="n">
        <v>45</v>
      </c>
      <c r="B48" s="8" t="inlineStr">
        <is>
          <t>| 代码重构 | audio_models.py 提取公共 `_extract_audio()` 函数 |</t>
        </is>
      </c>
    </row>
    <row r="49">
      <c r="A49" s="9" t="n">
        <v>46</v>
      </c>
      <c r="B49" s="10" t="inlineStr">
        <is>
          <t>| 字段修正 | analyzer.py duration 从文件大小(MB)改为真实视频时长(秒) |</t>
        </is>
      </c>
    </row>
    <row r="50">
      <c r="A50" s="7" t="n">
        <v>47</v>
      </c>
      <c r="B50" s="8" t="inlineStr">
        <is>
          <t>| 状态命令修复 | show_status() 改用 LibraryBuilder 替代不存在的 ai_material_library |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>---</t>
        </is>
      </c>
    </row>
    <row r="53">
      <c r="A53" s="9" t="n">
        <v>50</v>
      </c>
      <c r="B53" s="10" t="inlineStr"/>
    </row>
    <row r="54">
      <c r="A54" s="7" t="n">
        <v>51</v>
      </c>
      <c r="B54" s="8" t="inlineStr">
        <is>
          <t>## 二、技术架构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>### 分层架构图（文字描述）</t>
        </is>
      </c>
    </row>
    <row r="57">
      <c r="A57" s="9" t="n">
        <v>54</v>
      </c>
      <c r="B57" s="10" t="inlineStr"/>
    </row>
    <row r="58">
      <c r="A58" s="7" t="n">
        <v>55</v>
      </c>
      <c r="B58" s="8" t="inlineStr">
        <is>
          <t>```</t>
        </is>
      </c>
    </row>
    <row r="59">
      <c r="A59" s="9" t="n">
        <v>56</v>
      </c>
      <c r="B59" s="10" t="inlineStr">
        <is>
          <t>┌─────────────────────────────────────────────────┐</t>
        </is>
      </c>
    </row>
    <row r="60">
      <c r="A60" s="7" t="n">
        <v>57</v>
      </c>
      <c r="B60" s="8" t="inlineStr">
        <is>
          <t>│              入口层 (树剪.py)                    │</t>
        </is>
      </c>
    </row>
    <row r="61">
      <c r="A61" s="9" t="n">
        <v>58</v>
      </c>
      <c r="B61" s="10" t="inlineStr">
        <is>
          <t>│  --desktop / --web / --cli / --setup / --status  │</t>
        </is>
      </c>
    </row>
    <row r="62">
      <c r="A62" s="7" t="n">
        <v>59</v>
      </c>
      <c r="B62" s="8" t="inlineStr">
        <is>
          <t>├──────────┬──────────┬──────────┬────────────────┤</t>
        </is>
      </c>
    </row>
    <row r="63">
      <c r="A63" s="9" t="n">
        <v>60</v>
      </c>
      <c r="B63" s="10" t="inlineStr">
        <is>
          <t>│  UI 层   │  Web 层  │  CLI 层  │  工具层         │</t>
        </is>
      </c>
    </row>
    <row r="64">
      <c r="A64" s="7" t="n">
        <v>61</v>
      </c>
      <c r="B64" s="8" t="inlineStr">
        <is>
          <t>│ desktop  │  web.py  │ CLI args │  setup_wizard   │</t>
        </is>
      </c>
    </row>
    <row r="65">
      <c r="A65" s="9" t="n">
        <v>62</v>
      </c>
      <c r="B65" s="10" t="inlineStr">
        <is>
          <t>│ annot.   │  Gradio  │          │  review_audit   │</t>
        </is>
      </c>
    </row>
    <row r="66">
      <c r="A66" s="7" t="n">
        <v>63</v>
      </c>
      <c r="B66" s="8" t="inlineStr">
        <is>
          <t>│ library  │          │          │  auto_upgrade   │</t>
        </is>
      </c>
    </row>
    <row r="67">
      <c r="A67" s="9" t="n">
        <v>64</v>
      </c>
      <c r="B67" s="10" t="inlineStr">
        <is>
          <t>│ settings │          │          │                 │</t>
        </is>
      </c>
    </row>
    <row r="68">
      <c r="A68" s="7" t="n">
        <v>65</v>
      </c>
      <c r="B68" s="8" t="inlineStr">
        <is>
          <t>├──────────┴──────────┴──────────┴────────────────┤</t>
        </is>
      </c>
    </row>
    <row r="69">
      <c r="A69" s="9" t="n">
        <v>66</v>
      </c>
      <c r="B69" s="10" t="inlineStr">
        <is>
          <t>│              核心引擎层 (core/)                   │</t>
        </is>
      </c>
    </row>
    <row r="70">
      <c r="A70" s="7" t="n">
        <v>67</v>
      </c>
      <c r="B70" s="8" t="inlineStr">
        <is>
          <t>│  pipeline  │ copywriter │ tts   │ draft  │ config│</t>
        </is>
      </c>
    </row>
    <row r="71">
      <c r="A71" s="9" t="n">
        <v>68</v>
      </c>
      <c r="B71" s="10" t="inlineStr">
        <is>
          <t>│  analyzer  │ vision_unified │ audio_models       │</t>
        </is>
      </c>
    </row>
    <row r="72">
      <c r="A72" s="7" t="n">
        <v>69</v>
      </c>
      <c r="B72" s="8" t="inlineStr">
        <is>
          <t>│  classifier (1200+词) │ tag_merger               │</t>
        </is>
      </c>
    </row>
    <row r="73">
      <c r="A73" s="9" t="n">
        <v>70</v>
      </c>
      <c r="B73" s="10" t="inlineStr">
        <is>
          <t>│  frame_annotator │ frame_extractor               │</t>
        </is>
      </c>
    </row>
    <row r="74">
      <c r="A74" s="7" t="n">
        <v>71</v>
      </c>
      <c r="B74" s="8" t="inlineStr">
        <is>
          <t>│  library_builder │ self_learning_engine          │</t>
        </is>
      </c>
    </row>
    <row r="75">
      <c r="A75" s="9" t="n">
        <v>72</v>
      </c>
      <c r="B75" s="10" t="inlineStr">
        <is>
          <t>├─────────────────────────────────────────────────┤</t>
        </is>
      </c>
    </row>
    <row r="76">
      <c r="A76" s="7" t="n">
        <v>73</v>
      </c>
      <c r="B76" s="8" t="inlineStr">
        <is>
          <t>│              AI 服务层                            │</t>
        </is>
      </c>
    </row>
    <row r="77">
      <c r="A77" s="9" t="n">
        <v>74</v>
      </c>
      <c r="B77" s="10" t="inlineStr">
        <is>
          <t>│  DeepSeek API │ Edge TTS │ Ollama │ Transformers │</t>
        </is>
      </c>
    </row>
    <row r="78">
      <c r="A78" s="7" t="n">
        <v>75</v>
      </c>
      <c r="B78" s="8" t="inlineStr">
        <is>
          <t>│  FAISS │ SentenceTransformer │ librosa │ faster-whisper│</t>
        </is>
      </c>
    </row>
    <row r="79">
      <c r="A79" s="9" t="n">
        <v>76</v>
      </c>
      <c r="B79" s="10" t="inlineStr">
        <is>
          <t>├─────────────────────────────────────────────────┤</t>
        </is>
      </c>
    </row>
    <row r="80">
      <c r="A80" s="7" t="n">
        <v>77</v>
      </c>
      <c r="B80" s="8" t="inlineStr">
        <is>
          <t>│              知识 &amp; 数据层                        │</t>
        </is>
      </c>
    </row>
    <row r="81">
      <c r="A81" s="9" t="n">
        <v>78</v>
      </c>
      <c r="B81" s="10" t="inlineStr">
        <is>
          <t>│  utils/knowledge.py │ material_engine_v3/        │</t>
        </is>
      </c>
    </row>
    <row r="82">
      <c r="A82" s="7" t="n">
        <v>79</v>
      </c>
      <c r="B82" s="8" t="inlineStr">
        <is>
          <t>│  SQLite ×5 (ai_material_library.db / usage / ...) │</t>
        </is>
      </c>
    </row>
    <row r="83">
      <c r="A83" s="9" t="n">
        <v>80</v>
      </c>
      <c r="B83" s="10" t="inlineStr">
        <is>
          <t>│  FAISS 索引文件                                   │</t>
        </is>
      </c>
    </row>
    <row r="84">
      <c r="A84" s="7" t="n">
        <v>81</v>
      </c>
      <c r="B84" s="8" t="inlineStr">
        <is>
          <t>└─────────────────────────────────────────────────┘</t>
        </is>
      </c>
    </row>
    <row r="85">
      <c r="A85" s="9" t="n">
        <v>82</v>
      </c>
      <c r="B85" s="10" t="inlineStr">
        <is>
          <t>```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>### 模块清单及职责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>| 路径 | 职责 | 状态 |</t>
        </is>
      </c>
    </row>
    <row r="90">
      <c r="A90" s="7" t="n">
        <v>87</v>
      </c>
      <c r="B90" s="8" t="inlineStr">
        <is>
          <t>|------|------|------|</t>
        </is>
      </c>
    </row>
    <row r="91">
      <c r="A91" s="9" t="n">
        <v>88</v>
      </c>
      <c r="B91" s="10" t="inlineStr">
        <is>
          <t>| `树剪.py` | 程序入口，CLI 参数解析，路由分发 | 活跃 |</t>
        </is>
      </c>
    </row>
    <row r="92">
      <c r="A92" s="7" t="n">
        <v>89</v>
      </c>
      <c r="B92" s="8" t="inlineStr">
        <is>
          <t>| `core/__init__.py` | 核心引擎导出，Windows 编码修复，.env 加载 | 活跃 |</t>
        </is>
      </c>
    </row>
    <row r="93">
      <c r="A93" s="9" t="n">
        <v>90</v>
      </c>
      <c r="B93" s="10" t="inlineStr">
        <is>
          <t>| `core/config.py` | 80+全局配置参数，路径/视频/音频/字幕/TTS/功能开关 | 活跃 |</t>
        </is>
      </c>
    </row>
    <row r="94">
      <c r="A94" s="7" t="n">
        <v>91</v>
      </c>
      <c r="B94" s="8" t="inlineStr">
        <is>
          <t>| `core/pipeline.py` | 主生成管道：素材收集→文案→配音→匹配→BGM→草稿 | **核心** |</t>
        </is>
      </c>
    </row>
    <row r="95">
      <c r="A95" s="9" t="n">
        <v>92</v>
      </c>
      <c r="B95" s="10" t="inlineStr">
        <is>
          <t>| `core/copywriter.py` | DeepSeek 三段式文案生成 + 画面描述提取 + CTA 检测 | 活跃 |</t>
        </is>
      </c>
    </row>
    <row r="96">
      <c r="A96" s="7" t="n">
        <v>93</v>
      </c>
      <c r="B96" s="8" t="inlineStr">
        <is>
          <t>| `core/tts.py` | Edge TTS 配音生成 + 文本清洗 + 保护词校验 + 字幕拆分 | 活跃 |</t>
        </is>
      </c>
    </row>
    <row r="97">
      <c r="A97" s="9" t="n">
        <v>94</v>
      </c>
      <c r="B97" s="10" t="inlineStr">
        <is>
          <t>| `core/draft.py` | 剪映草稿 JSON 构建 (JianyingDraftBuilder) + 保存/备份 | 活跃 |</t>
        </is>
      </c>
    </row>
    <row r="98">
      <c r="A98" s="7" t="n">
        <v>95</v>
      </c>
      <c r="B98" s="8" t="inlineStr">
        <is>
          <t>| `core/analyzer.py` | 视频多模型并行分析调度器 (抽帧→视觉→音频→融合) | 活跃 |</t>
        </is>
      </c>
    </row>
    <row r="99">
      <c r="A99" s="9" t="n">
        <v>96</v>
      </c>
      <c r="B99" s="10" t="inlineStr">
        <is>
          <t>| `core/vision_unified.py` | 统一视觉模型接口 (Qwen3/Florence/Ollama 自动选择) | 活跃 |</t>
        </is>
      </c>
    </row>
    <row r="100">
      <c r="A100" s="7" t="n">
        <v>97</v>
      </c>
      <c r="B100" s="8" t="inlineStr">
        <is>
          <t>| `core/audio_models.py` | 音频识别 (Whisper + AudioClassifier) + 情绪/事件检测 | 活跃 |</t>
        </is>
      </c>
    </row>
    <row r="101">
      <c r="A101" s="9" t="n">
        <v>98</v>
      </c>
      <c r="B101" s="10" t="inlineStr">
        <is>
          <t>| `core/classifier.py` | 1200+岛台行业词汇三级分类器 + 同义词映射 | 活跃 |</t>
        </is>
      </c>
    </row>
    <row r="102">
      <c r="A102" s="7" t="n">
        <v>99</v>
      </c>
      <c r="B102" s="8" t="inlineStr">
        <is>
          <t>| `core/tag_merger.py` | 多模型标签置信度加权融合 + 同义词规范化 | 活跃 |</t>
        </is>
      </c>
    </row>
    <row r="103">
      <c r="A103" s="9" t="n">
        <v>100</v>
      </c>
      <c r="B103" s="10" t="inlineStr">
        <is>
          <t>| `core/frame_extractor.py` | FFmpeg 抽帧 + 关键帧选择 | 活跃 |</t>
        </is>
      </c>
    </row>
    <row r="104">
      <c r="A104" s="7" t="n">
        <v>101</v>
      </c>
      <c r="B104" s="8" t="inlineStr">
        <is>
          <t>| `core/frame_annotator.py` | 流式全帧标注引擎 (抽帧+显示+识别+反馈学习) | 活跃 |</t>
        </is>
      </c>
    </row>
    <row r="105">
      <c r="A105" s="9" t="n">
        <v>102</v>
      </c>
      <c r="B105" s="10" t="inlineStr">
        <is>
          <t>| `core/library_builder.py` | SQLite 入库 + FAISS 索引全量/增量构建 (原子写入) | 活跃 |</t>
        </is>
      </c>
    </row>
    <row r="106">
      <c r="A106" s="7" t="n">
        <v>103</v>
      </c>
      <c r="B106" s="8" t="inlineStr">
        <is>
          <t>| `core/deepseek_client.py` | DeepSeek API 统一封装 (文案/标签优化/权重调整/故障排查) | 活跃 |</t>
        </is>
      </c>
    </row>
    <row r="107">
      <c r="A107" s="9" t="n">
        <v>104</v>
      </c>
      <c r="B107" s="10" t="inlineStr">
        <is>
          <t>| `core/self_learning_engine.py` | 定时自学习 (分析记录→生成规则→自动应用) | 活跃 |</t>
        </is>
      </c>
    </row>
    <row r="108">
      <c r="A108" s="7" t="n">
        <v>105</v>
      </c>
      <c r="B108" s="8" t="inlineStr">
        <is>
          <t>| `core/usage_recorder.py` | 全局操作记录收集 (标注/生成/评分/错误) + CSV 导出 | 活跃 |</t>
        </is>
      </c>
    </row>
    <row r="109">
      <c r="A109" s="9" t="n">
        <v>106</v>
      </c>
      <c r="B109" s="10" t="inlineStr">
        <is>
          <t>| `core/drive_scanner.py` | 全盘/快速扫描 + 视频元数据批量探测 | 活跃 |</t>
        </is>
      </c>
    </row>
    <row r="110">
      <c r="A110" s="7" t="n">
        <v>107</v>
      </c>
      <c r="B110" s="8" t="inlineStr">
        <is>
          <t>| `core/batch_evaluator.py` | 批量自我评估 | 辅助 |</t>
        </is>
      </c>
    </row>
    <row r="111">
      <c r="A111" s="9" t="n">
        <v>108</v>
      </c>
      <c r="B111" s="10" t="inlineStr">
        <is>
          <t>| `core/bgm_matcher.py` | BGM 智能匹配 | 辅助 |</t>
        </is>
      </c>
    </row>
    <row r="112">
      <c r="A112" s="7" t="n">
        <v>109</v>
      </c>
      <c r="B112" s="8" t="inlineStr">
        <is>
          <t>| `core/multimodal_embedding.py` | 多模态密集字幕生成 | 辅助 |</t>
        </is>
      </c>
    </row>
    <row r="113">
      <c r="A113" s="9" t="n">
        <v>110</v>
      </c>
      <c r="B113" s="10" t="inlineStr">
        <is>
          <t>| `core/topic_discovery.py` | 自动主题发现 | 辅助 |</t>
        </is>
      </c>
    </row>
    <row r="114">
      <c r="A114" s="7" t="n">
        <v>111</v>
      </c>
      <c r="B114" s="8" t="inlineStr">
        <is>
          <t>| `core/learner.py` | 反馈学习模块 | 辅助 |</t>
        </is>
      </c>
    </row>
    <row r="115">
      <c r="A115" s="9" t="n">
        <v>112</v>
      </c>
      <c r="B115" s="10" t="inlineStr">
        <is>
          <t>| `ui/desktop.py` | ttkbootstrap 桌面主窗口 (7 Tab + 菜单 + 进度 + 快捷键) | **核心** |</t>
        </is>
      </c>
    </row>
    <row r="116">
      <c r="A116" s="7" t="n">
        <v>113</v>
      </c>
      <c r="B116" s="8" t="inlineStr">
        <is>
          <t>| `ui/frame_annotation.py` | 素材标注 Tab (驱动树+视频列表+帧卡片+反馈) | 活跃 |</t>
        </is>
      </c>
    </row>
    <row r="117">
      <c r="A117" s="9" t="n">
        <v>114</v>
      </c>
      <c r="B117" s="10" t="inlineStr">
        <is>
          <t>| `ui/library_tab.py` | AI素材库管理 Tab (扫描/分析/FAISS重建) | 活跃 |</t>
        </is>
      </c>
    </row>
    <row r="118">
      <c r="A118" s="7" t="n">
        <v>115</v>
      </c>
      <c r="B118" s="8" t="inlineStr">
        <is>
          <t>| `ui/settings_page.py` | 统一设置页 (AI配置/使用记录/素材识别/视频生成/质量控制/AI助手) | 活跃 |</t>
        </is>
      </c>
    </row>
    <row r="119">
      <c r="A119" s="9" t="n">
        <v>116</v>
      </c>
      <c r="B119" s="10" t="inlineStr">
        <is>
          <t>| `ui/web.py` | Gradio Web 控制台 | 活跃 |</t>
        </is>
      </c>
    </row>
    <row r="120">
      <c r="A120" s="7" t="n">
        <v>117</v>
      </c>
      <c r="B120" s="8" t="inlineStr">
        <is>
          <t>| `ui/virtual_scroll.py` | 虚拟滚动组件 | 辅助 |</t>
        </is>
      </c>
    </row>
    <row r="121">
      <c r="A121" s="9" t="n">
        <v>118</v>
      </c>
      <c r="B121" s="10" t="inlineStr">
        <is>
          <t>| `utils/knowledge.py` | 岛台行业知识库桥接 (石材/工艺/五金/风格/岛台类型) | 活跃 |</t>
        </is>
      </c>
    </row>
    <row r="122">
      <c r="A122" s="7" t="n">
        <v>119</v>
      </c>
      <c r="B122" s="8" t="inlineStr">
        <is>
          <t>| `utils/quality_scorer.py` | 素材质量评估+过滤+去重 (清晰度/稳定性/构图/标签完整度) | 活跃 |</t>
        </is>
      </c>
    </row>
    <row r="123">
      <c r="A123" s="9" t="n">
        <v>120</v>
      </c>
      <c r="B123" s="10" t="inlineStr">
        <is>
          <t>| `utils/retry.py` | 指数退避重试 + 熔断器 + 全局 BreakerRegistry | 活跃 |</t>
        </is>
      </c>
    </row>
    <row r="124">
      <c r="A124" s="7" t="n">
        <v>121</v>
      </c>
      <c r="B124" s="8" t="inlineStr">
        <is>
          <t>| `utils/security.py` | 安全加固 (API Key脱敏/泄漏检测/安全文件读写) | 活跃 |</t>
        </is>
      </c>
    </row>
    <row r="125">
      <c r="A125" s="9" t="n">
        <v>122</v>
      </c>
      <c r="B125" s="10" t="inlineStr">
        <is>
          <t>| `utils/logging.py` | 统一日志模块 | 辅助 |</t>
        </is>
      </c>
    </row>
    <row r="126">
      <c r="A126" s="7" t="n">
        <v>123</v>
      </c>
      <c r="B126" s="8" t="inlineStr">
        <is>
          <t>| `utils/silent_subprocess.py` | 静默子进程封装 | 辅助 |</t>
        </is>
      </c>
    </row>
    <row r="127">
      <c r="A127" s="9" t="n">
        <v>124</v>
      </c>
      <c r="B127" s="10" t="inlineStr">
        <is>
          <t>| `utils/model_downloader.py` | 模型下载工具 | 辅助 |</t>
        </is>
      </c>
    </row>
    <row r="128">
      <c r="A128" s="7" t="n">
        <v>125</v>
      </c>
      <c r="B128" s="8" t="inlineStr">
        <is>
          <t>| `material_engine_v3/` | V3素材引擎 (与 core/ 功能重叠，建议合并) | **待合并** |</t>
        </is>
      </c>
    </row>
    <row r="129">
      <c r="A129" s="9" t="n">
        <v>126</v>
      </c>
      <c r="B129" s="10" t="inlineStr">
        <is>
          <t>| `tests/` | 单元测试 (test_core/test_core_functions 等 5 个文件) | **需扩展** |</t>
        </is>
      </c>
    </row>
    <row r="130">
      <c r="A130" s="7" t="n">
        <v>127</v>
      </c>
      <c r="B130" s="8" t="inlineStr">
        <is>
          <t>| `review_audit.py` | 双程序检索复查复盘系统 | 工具 |</t>
        </is>
      </c>
    </row>
    <row r="131">
      <c r="A131" s="9" t="n">
        <v>128</v>
      </c>
      <c r="B131" s="10" t="inlineStr">
        <is>
          <t>| `setup_wizard.py` | 首次配置向导 | 工具 |</t>
        </is>
      </c>
    </row>
    <row r="132">
      <c r="A132" s="7" t="n">
        <v>129</v>
      </c>
      <c r="B132" s="8" t="inlineStr">
        <is>
          <t>| `auto_upgrade.py` | 自动升级脚本 v10.3→v10.4-beta | 工具 |</t>
        </is>
      </c>
    </row>
    <row r="133">
      <c r="A133" s="9" t="n">
        <v>130</v>
      </c>
      <c r="B133" s="10" t="inlineStr"/>
    </row>
    <row r="134">
      <c r="A134" s="7" t="n">
        <v>131</v>
      </c>
      <c r="B134" s="8" t="inlineStr">
        <is>
          <t>---</t>
        </is>
      </c>
    </row>
    <row r="135">
      <c r="A135" s="9" t="n">
        <v>132</v>
      </c>
      <c r="B135" s="10" t="inlineStr"/>
    </row>
    <row r="136">
      <c r="A136" s="7" t="n">
        <v>133</v>
      </c>
      <c r="B136" s="8" t="inlineStr">
        <is>
          <t>## 三、已知问题与限制</t>
        </is>
      </c>
    </row>
    <row r="137">
      <c r="A137" s="9" t="n">
        <v>134</v>
      </c>
      <c r="B137" s="10" t="inlineStr"/>
    </row>
    <row r="138">
      <c r="A138" s="7" t="n">
        <v>135</v>
      </c>
      <c r="B138" s="8" t="inlineStr">
        <is>
          <t>### 严重 (需尽快修复)</t>
        </is>
      </c>
    </row>
    <row r="139">
      <c r="A139" s="9" t="n">
        <v>136</v>
      </c>
      <c r="B139" s="10" t="inlineStr"/>
    </row>
    <row r="140">
      <c r="A140" s="7" t="n">
        <v>137</v>
      </c>
      <c r="B140" s="8" t="inlineStr">
        <is>
          <t>| # | 问题 | 位置 | 影响 |</t>
        </is>
      </c>
    </row>
    <row r="141">
      <c r="A141" s="9" t="n">
        <v>138</v>
      </c>
      <c r="B141" s="10" t="inlineStr">
        <is>
          <t>|---|------|------|------|</t>
        </is>
      </c>
    </row>
    <row r="142">
      <c r="A142" s="7" t="n">
        <v>139</v>
      </c>
      <c r="B142" s="8" t="inlineStr">
        <is>
          <t>| 1 | `material_engine_v3/` 与 `core/` 功能高度重叠（两套 vision/analyzer/smart_matcher） | 架构级 | 维护困难，代码冗余 |</t>
        </is>
      </c>
    </row>
    <row r="143">
      <c r="A143" s="9" t="n">
        <v>140</v>
      </c>
      <c r="B143" s="10" t="inlineStr">
        <is>
          <t>| 2 | 5 个独立 SQLite 数据库无统一连接管理 | 数据层 | 资源泄漏风险 |</t>
        </is>
      </c>
    </row>
    <row r="144">
      <c r="A144" s="7" t="n">
        <v>141</v>
      </c>
      <c r="B144" s="8" t="inlineStr">
        <is>
          <t>| 3 | 1200+关键词逐一遍历 O(n×m)，classifier 性能瓶颈 | `core/classifier.py` | 分类速度慢 |</t>
        </is>
      </c>
    </row>
    <row r="145">
      <c r="A145" s="9" t="n">
        <v>142</v>
      </c>
      <c r="B145" s="10" t="inlineStr">
        <is>
          <t>| 4 | CLIP/YOLO 模块标记为保留但未实现（始终为 None/空列表） | `core/analyzer.py` | 功能不完整 |</t>
        </is>
      </c>
    </row>
    <row r="146">
      <c r="A146" s="7" t="n">
        <v>143</v>
      </c>
      <c r="B146" s="8" t="inlineStr"/>
    </row>
    <row r="147">
      <c r="A147" s="9" t="n">
        <v>144</v>
      </c>
      <c r="B147" s="10" t="inlineStr">
        <is>
          <t>### 中等 (建议优化)</t>
        </is>
      </c>
    </row>
    <row r="148">
      <c r="A148" s="7" t="n">
        <v>145</v>
      </c>
      <c r="B148" s="8" t="inlineStr"/>
    </row>
    <row r="149">
      <c r="A149" s="9" t="n">
        <v>146</v>
      </c>
      <c r="B149" s="10" t="inlineStr">
        <is>
          <t>| # | 问题 | 位置 | 影响 |</t>
        </is>
      </c>
    </row>
    <row r="150">
      <c r="A150" s="7" t="n">
        <v>147</v>
      </c>
      <c r="B150" s="8" t="inlineStr">
        <is>
          <t>|---|------|------|------|</t>
        </is>
      </c>
    </row>
    <row r="151">
      <c r="A151" s="9" t="n">
        <v>148</v>
      </c>
      <c r="B151" s="10" t="inlineStr">
        <is>
          <t>| 5 | 配置模块 80+ 全局变量，无类型校验 | `core/config.py` | 维护困难 |</t>
        </is>
      </c>
    </row>
    <row r="152">
      <c r="A152" s="7" t="n">
        <v>149</v>
      </c>
      <c r="B152" s="8" t="inlineStr">
        <is>
          <t>| 6 | `desktop.py` 561 行，内联大量 lambda 和线程逻辑 | `ui/desktop.py` | 可读性差 |</t>
        </is>
      </c>
    </row>
    <row r="153">
      <c r="A153" s="9" t="n">
        <v>150</v>
      </c>
      <c r="B153" s="10" t="inlineStr">
        <is>
          <t>| 7 | 大量 `except: pass` 和 `except Exception: pass` 吞没错误 | 全局 | 调试困难 |</t>
        </is>
      </c>
    </row>
    <row r="154">
      <c r="A154" s="7" t="n">
        <v>151</v>
      </c>
      <c r="B154" s="8" t="inlineStr">
        <is>
          <t>| 8 | `run()` 和 `run_multi()` 约 80% 逻辑重复 | `core/pipeline.py` | 代码冗余 |</t>
        </is>
      </c>
    </row>
    <row r="155">
      <c r="A155" s="9" t="n">
        <v>152</v>
      </c>
      <c r="B155" s="10" t="inlineStr">
        <is>
          <t>| 9 | `reload_config()` 与模块顶层初始化高度重复 | `core/config.py` | 维护困难 |</t>
        </is>
      </c>
    </row>
    <row r="156">
      <c r="A156" s="7" t="n">
        <v>153</v>
      </c>
      <c r="B156" s="8" t="inlineStr"/>
    </row>
    <row r="157">
      <c r="A157" s="9" t="n">
        <v>154</v>
      </c>
      <c r="B157" s="10" t="inlineStr">
        <is>
          <t>### 低 (后续关注)</t>
        </is>
      </c>
    </row>
    <row r="158">
      <c r="A158" s="7" t="n">
        <v>155</v>
      </c>
      <c r="B158" s="8" t="inlineStr"/>
    </row>
    <row r="159">
      <c r="A159" s="9" t="n">
        <v>156</v>
      </c>
      <c r="B159" s="10" t="inlineStr">
        <is>
          <t>| # | 问题 | 位置 |</t>
        </is>
      </c>
    </row>
    <row r="160">
      <c r="A160" s="7" t="n">
        <v>157</v>
      </c>
      <c r="B160" s="8" t="inlineStr">
        <is>
          <t>|---|------|------|</t>
        </is>
      </c>
    </row>
    <row r="161">
      <c r="A161" s="9" t="n">
        <v>158</v>
      </c>
      <c r="B161" s="10" t="inlineStr">
        <is>
          <t>| 10 | 模型降级链仅按文件存在性判断，未健康检查 | `core/vision_unified.py` |</t>
        </is>
      </c>
    </row>
    <row r="162">
      <c r="A162" s="7" t="n">
        <v>159</v>
      </c>
      <c r="B162" s="8" t="inlineStr">
        <is>
          <t>| 11 | TTS 可能在已运行的事件循环中调用 `asyncio.run()` 报错 | `core/tts.py` |</t>
        </is>
      </c>
    </row>
    <row r="163">
      <c r="A163" s="9" t="n">
        <v>160</v>
      </c>
      <c r="B163" s="10" t="inlineStr">
        <is>
          <t>| 12 | UI 快捷键 Ctrl+R 行为与当前 Tab 不一致 | `ui/desktop.py` |</t>
        </is>
      </c>
    </row>
    <row r="164">
      <c r="A164" s="7" t="n">
        <v>161</v>
      </c>
      <c r="B164" s="8" t="inlineStr">
        <is>
          <t>| 13 | 代码中英文混杂，不利于开源 | 全局 |</t>
        </is>
      </c>
    </row>
    <row r="165">
      <c r="A165" s="9" t="n">
        <v>162</v>
      </c>
      <c r="B165" s="10" t="inlineStr">
        <is>
          <t>| 14 | 测试覆盖率不足（无 UI 测试/集成测试） | `tests/` |</t>
        </is>
      </c>
    </row>
    <row r="166">
      <c r="A166" s="7" t="n">
        <v>163</v>
      </c>
      <c r="B166" s="8" t="inlineStr"/>
    </row>
    <row r="167">
      <c r="A167" s="9" t="n">
        <v>164</v>
      </c>
      <c r="B167" s="10" t="inlineStr">
        <is>
          <t>---</t>
        </is>
      </c>
    </row>
    <row r="168">
      <c r="A168" s="7" t="n">
        <v>165</v>
      </c>
      <c r="B168" s="8" t="inlineStr"/>
    </row>
    <row r="169">
      <c r="A169" s="9" t="n">
        <v>166</v>
      </c>
      <c r="B169" s="10" t="inlineStr">
        <is>
          <t>## 四、未来优化方向</t>
        </is>
      </c>
    </row>
    <row r="170">
      <c r="A170" s="7" t="n">
        <v>167</v>
      </c>
      <c r="B170" s="8" t="inlineStr"/>
    </row>
    <row r="171">
      <c r="A171" s="9" t="n">
        <v>168</v>
      </c>
      <c r="B171" s="10" t="inlineStr">
        <is>
          <t>### 短期 (v10.5)</t>
        </is>
      </c>
    </row>
    <row r="172">
      <c r="A172" s="7" t="n">
        <v>169</v>
      </c>
      <c r="B172" s="8" t="inlineStr"/>
    </row>
    <row r="173">
      <c r="A173" s="9" t="n">
        <v>170</v>
      </c>
      <c r="B173" s="10" t="inlineStr">
        <is>
          <t>1. **合并 material_engine_v3** → 将独特功能（数据库 schema migration）迁入 core/，废弃 v3 子模块</t>
        </is>
      </c>
    </row>
    <row r="174">
      <c r="A174" s="7" t="n">
        <v>171</v>
      </c>
      <c r="B174" s="8" t="inlineStr">
        <is>
          <t>2. **统一数据库管理** → DatabaseManager 连接池 + 上下文管理器</t>
        </is>
      </c>
    </row>
    <row r="175">
      <c r="A175" s="9" t="n">
        <v>172</v>
      </c>
      <c r="B175" s="10" t="inlineStr">
        <is>
          <t>3. **关键词匹配加速** → Aho-Corasick 自动机替代逐一遍历</t>
        </is>
      </c>
    </row>
    <row r="176">
      <c r="A176" s="7" t="n">
        <v>173</v>
      </c>
      <c r="B176" s="8" t="inlineStr">
        <is>
          <t>4. **提取公共草稿生成方法** → 消除 run()/run_multi() 80% 重复</t>
        </is>
      </c>
    </row>
    <row r="177">
      <c r="A177" s="9" t="n">
        <v>174</v>
      </c>
      <c r="B177" s="10" t="inlineStr">
        <is>
          <t>5. **配置模块重构** → Pydantic Settings 或 dataclass 单例</t>
        </is>
      </c>
    </row>
    <row r="178">
      <c r="A178" s="7" t="n">
        <v>175</v>
      </c>
      <c r="B178" s="8" t="inlineStr"/>
    </row>
    <row r="179">
      <c r="A179" s="9" t="n">
        <v>176</v>
      </c>
      <c r="B179" s="10" t="inlineStr">
        <is>
          <t>### 中期 (v11.0)</t>
        </is>
      </c>
    </row>
    <row r="180">
      <c r="A180" s="7" t="n">
        <v>177</v>
      </c>
      <c r="B180" s="8" t="inlineStr"/>
    </row>
    <row r="181">
      <c r="A181" s="9" t="n">
        <v>178</v>
      </c>
      <c r="B181" s="10" t="inlineStr">
        <is>
          <t>6. **实现 CLIP/YOLO 集成** → 完善多模型融合管道</t>
        </is>
      </c>
    </row>
    <row r="182">
      <c r="A182" s="7" t="n">
        <v>179</v>
      </c>
      <c r="B182" s="8" t="inlineStr">
        <is>
          <t>7. **向量数据库迁移** → Chroma/Milvus 替代 FAISS+JSON 映射</t>
        </is>
      </c>
    </row>
    <row r="183">
      <c r="A183" s="9" t="n">
        <v>180</v>
      </c>
      <c r="B183" s="10" t="inlineStr">
        <is>
          <t>8. **异步管道** → asyncio 替代 ThreadPoolExecutor，提升并发效率</t>
        </is>
      </c>
    </row>
    <row r="184">
      <c r="A184" s="7" t="n">
        <v>181</v>
      </c>
      <c r="B184" s="8" t="inlineStr">
        <is>
          <t>9. **UI 拆分** → 每个 Tab 独立文件，提取 ScrollableFrame/ThreadManager 公共组件</t>
        </is>
      </c>
    </row>
    <row r="185">
      <c r="A185" s="9" t="n">
        <v>182</v>
      </c>
      <c r="B185" s="10" t="inlineStr">
        <is>
          <t>10. **测试扩展** → pytest fixtures + UI 自动化测试，目标覆盖率 &gt; 60%</t>
        </is>
      </c>
    </row>
    <row r="186">
      <c r="A186" s="7" t="n">
        <v>183</v>
      </c>
      <c r="B186" s="8" t="inlineStr"/>
    </row>
    <row r="187">
      <c r="A187" s="9" t="n">
        <v>184</v>
      </c>
      <c r="B187" s="10" t="inlineStr">
        <is>
          <t>### 长期</t>
        </is>
      </c>
    </row>
    <row r="188">
      <c r="A188" s="7" t="n">
        <v>185</v>
      </c>
      <c r="B188" s="8" t="inlineStr"/>
    </row>
    <row r="189">
      <c r="A189" s="9" t="n">
        <v>186</v>
      </c>
      <c r="B189" s="10" t="inlineStr">
        <is>
          <t>11. **CI/CD 流水线** → GitHub Actions: lint(ruff/mypy) → test → build(PyInstaller) → release</t>
        </is>
      </c>
    </row>
    <row r="190">
      <c r="A190" s="7" t="n">
        <v>187</v>
      </c>
      <c r="B190" s="8" t="inlineStr">
        <is>
          <t>12. **国际化** → 统一中英文注释/变量名规范</t>
        </is>
      </c>
    </row>
    <row r="191">
      <c r="A191" s="9" t="n">
        <v>188</v>
      </c>
      <c r="B191" s="10" t="inlineStr">
        <is>
          <t>13. **插件系统** → 支持第三方视觉/音频模型扩展</t>
        </is>
      </c>
    </row>
    <row r="192">
      <c r="A192" s="7" t="n">
        <v>189</v>
      </c>
      <c r="B192" s="8" t="inlineStr">
        <is>
          <t>14. **云同步** → 草稿/素材库云端备份与多设备同步</t>
        </is>
      </c>
    </row>
    <row r="193">
      <c r="A193" s="9" t="n">
        <v>190</v>
      </c>
      <c r="B193" s="10" t="inlineStr"/>
    </row>
    <row r="194">
      <c r="A194" s="7" t="n">
        <v>191</v>
      </c>
      <c r="B194" s="8" t="inlineStr">
        <is>
          <t>---</t>
        </is>
      </c>
    </row>
    <row r="195">
      <c r="A195" s="9" t="n">
        <v>192</v>
      </c>
      <c r="B195" s="10" t="inlineStr"/>
    </row>
    <row r="196">
      <c r="A196" s="7" t="n">
        <v>193</v>
      </c>
      <c r="B196" s="8" t="inlineStr">
        <is>
          <t>## 五、运行环境要求</t>
        </is>
      </c>
    </row>
    <row r="197">
      <c r="A197" s="9" t="n">
        <v>194</v>
      </c>
      <c r="B197" s="10" t="inlineStr"/>
    </row>
    <row r="198">
      <c r="A198" s="7" t="n">
        <v>195</v>
      </c>
      <c r="B198" s="8" t="inlineStr">
        <is>
          <t>| 组件 | 最低要求 | 推荐 |</t>
        </is>
      </c>
    </row>
    <row r="199">
      <c r="A199" s="9" t="n">
        <v>196</v>
      </c>
      <c r="B199" s="10" t="inlineStr">
        <is>
          <t>|------|---------|------|</t>
        </is>
      </c>
    </row>
    <row r="200">
      <c r="A200" s="7" t="n">
        <v>197</v>
      </c>
      <c r="B200" s="8" t="inlineStr">
        <is>
          <t>| Python | 3.10+ | 3.12 |</t>
        </is>
      </c>
    </row>
    <row r="201">
      <c r="A201" s="9" t="n">
        <v>198</v>
      </c>
      <c r="B201" s="10" t="inlineStr">
        <is>
          <t>| GPU | 无 (CPU 可运行) | NVIDIA 8GB+ VRAM |</t>
        </is>
      </c>
    </row>
    <row r="202">
      <c r="A202" s="7" t="n">
        <v>199</v>
      </c>
      <c r="B202" s="8" t="inlineStr">
        <is>
          <t>| RAM | 8GB | 16GB+ |</t>
        </is>
      </c>
    </row>
    <row r="203">
      <c r="A203" s="9" t="n">
        <v>200</v>
      </c>
      <c r="B203" s="10" t="inlineStr">
        <is>
          <t>| 磁盘 | 5GB (不含模型) | SSD 50GB+ |</t>
        </is>
      </c>
    </row>
    <row r="204">
      <c r="A204" s="7" t="n">
        <v>201</v>
      </c>
      <c r="B204" s="8" t="inlineStr">
        <is>
          <t>| 外部依赖 | FFmpeg, Ollama (可选) | Ollama + Qwen2.5VL:7B |</t>
        </is>
      </c>
    </row>
    <row r="205">
      <c r="A205" s="9" t="n">
        <v>202</v>
      </c>
      <c r="B205" s="10" t="inlineStr">
        <is>
          <t>| 模型下载 | Whisper large-v3 (~3GB), Qwen3-VL (~8GB) | SenseVoice (~200MB) |</t>
        </is>
      </c>
    </row>
    <row r="206">
      <c r="A206" s="7" t="n">
        <v>203</v>
      </c>
      <c r="B206" s="8" t="inlineStr"/>
    </row>
    <row r="207">
      <c r="A207" s="9" t="n">
        <v>204</v>
      </c>
      <c r="B207" s="10" t="inlineStr">
        <is>
          <t>### Python 依赖</t>
        </is>
      </c>
    </row>
    <row r="208">
      <c r="A208" s="7" t="n">
        <v>205</v>
      </c>
      <c r="B208" s="8" t="inlineStr"/>
    </row>
    <row r="209">
      <c r="A209" s="9" t="n">
        <v>206</v>
      </c>
      <c r="B209" s="10" t="inlineStr">
        <is>
          <t>```</t>
        </is>
      </c>
    </row>
    <row r="210">
      <c r="A210" s="7" t="n">
        <v>207</v>
      </c>
      <c r="B210" s="8" t="inlineStr">
        <is>
          <t>openai&gt;=1.0, edge-tts, pyJianYingDraft, ttkbootstrap,</t>
        </is>
      </c>
    </row>
    <row r="211">
      <c r="A211" s="9" t="n">
        <v>208</v>
      </c>
      <c r="B211" s="10" t="inlineStr">
        <is>
          <t>gradio, faiss-cpu, sentence-transformers, faster-whisper,</t>
        </is>
      </c>
    </row>
    <row r="212">
      <c r="A212" s="7" t="n">
        <v>209</v>
      </c>
      <c r="B212" s="8" t="inlineStr">
        <is>
          <t>librosa, opencv-python, numpy, Pillow, python-dotenv,</t>
        </is>
      </c>
    </row>
    <row r="213">
      <c r="A213" s="9" t="n">
        <v>210</v>
      </c>
      <c r="B213" s="10" t="inlineStr">
        <is>
          <t>schedule, openpyxl, transformers, torch</t>
        </is>
      </c>
    </row>
    <row r="214">
      <c r="A214" s="7" t="n">
        <v>211</v>
      </c>
      <c r="B214" s="8" t="inlineStr">
        <is>
          <t>```</t>
        </is>
      </c>
    </row>
    <row r="215">
      <c r="A215" s="9" t="n">
        <v>212</v>
      </c>
      <c r="B215" s="10" t="inlineStr"/>
    </row>
    <row r="216">
      <c r="A216" s="7" t="n">
        <v>213</v>
      </c>
      <c r="B216" s="8" t="inlineStr">
        <is>
          <t>---</t>
        </is>
      </c>
    </row>
    <row r="217">
      <c r="A217" s="9" t="n">
        <v>214</v>
      </c>
      <c r="B217" s="10" t="inlineStr"/>
    </row>
    <row r="218">
      <c r="A218" s="7" t="n">
        <v>215</v>
      </c>
      <c r="B218" s="8" t="inlineStr">
        <is>
          <t>## 六、快速开始</t>
        </is>
      </c>
    </row>
    <row r="219">
      <c r="A219" s="9" t="n">
        <v>216</v>
      </c>
      <c r="B219" s="10" t="inlineStr"/>
    </row>
    <row r="220">
      <c r="A220" s="7" t="n">
        <v>217</v>
      </c>
      <c r="B220" s="8" t="inlineStr">
        <is>
          <t>```bash</t>
        </is>
      </c>
    </row>
    <row r="221">
      <c r="A221" s="9" t="n">
        <v>218</v>
      </c>
      <c r="B221" s="10" t="inlineStr">
        <is>
          <t># 1. 安装依赖</t>
        </is>
      </c>
    </row>
    <row r="222">
      <c r="A222" s="7" t="n">
        <v>219</v>
      </c>
      <c r="B222" s="8" t="inlineStr">
        <is>
          <t>pip install -r requirements.txt</t>
        </is>
      </c>
    </row>
    <row r="223">
      <c r="A223" s="9" t="n">
        <v>220</v>
      </c>
      <c r="B223" s="10" t="inlineStr"/>
    </row>
    <row r="224">
      <c r="A224" s="7" t="n">
        <v>221</v>
      </c>
      <c r="B224" s="8" t="inlineStr">
        <is>
          <t># 2. 配置 API Key</t>
        </is>
      </c>
    </row>
    <row r="225">
      <c r="A225" s="9" t="n">
        <v>222</v>
      </c>
      <c r="B225" s="10" t="inlineStr">
        <is>
          <t># 方式A: 环境变量</t>
        </is>
      </c>
    </row>
    <row r="226">
      <c r="A226" s="7" t="n">
        <v>223</v>
      </c>
      <c r="B226" s="8" t="inlineStr">
        <is>
          <t>set DEEPSEEK_API_KEY=sk-your-key-here</t>
        </is>
      </c>
    </row>
    <row r="227">
      <c r="A227" s="9" t="n">
        <v>224</v>
      </c>
      <c r="B227" s="10" t="inlineStr"/>
    </row>
    <row r="228">
      <c r="A228" s="7" t="n">
        <v>225</v>
      </c>
      <c r="B228" s="8" t="inlineStr">
        <is>
          <t># 方式B: .env 文件</t>
        </is>
      </c>
    </row>
    <row r="229">
      <c r="A229" s="9" t="n">
        <v>226</v>
      </c>
      <c r="B229" s="10" t="inlineStr">
        <is>
          <t>echo DEEPSEEK_API_KEY=sk-your-key-here &gt; .env</t>
        </is>
      </c>
    </row>
    <row r="230">
      <c r="A230" s="7" t="n">
        <v>227</v>
      </c>
      <c r="B230" s="8" t="inlineStr"/>
    </row>
    <row r="231">
      <c r="A231" s="9" t="n">
        <v>228</v>
      </c>
      <c r="B231" s="10" t="inlineStr">
        <is>
          <t># 3. 首次配置向导</t>
        </is>
      </c>
    </row>
    <row r="232">
      <c r="A232" s="7" t="n">
        <v>229</v>
      </c>
      <c r="B232" s="8" t="inlineStr">
        <is>
          <t>python 树剪.py --setup</t>
        </is>
      </c>
    </row>
    <row r="233">
      <c r="A233" s="9" t="n">
        <v>230</v>
      </c>
      <c r="B233" s="10" t="inlineStr"/>
    </row>
    <row r="234">
      <c r="A234" s="7" t="n">
        <v>231</v>
      </c>
      <c r="B234" s="8" t="inlineStr">
        <is>
          <t># 4. 启动桌面应用</t>
        </is>
      </c>
    </row>
    <row r="235">
      <c r="A235" s="9" t="n">
        <v>232</v>
      </c>
      <c r="B235" s="10" t="inlineStr">
        <is>
          <t>python 树剪.py</t>
        </is>
      </c>
    </row>
    <row r="236">
      <c r="A236" s="7" t="n">
        <v>233</v>
      </c>
      <c r="B236" s="8" t="inlineStr"/>
    </row>
    <row r="237">
      <c r="A237" s="9" t="n">
        <v>234</v>
      </c>
      <c r="B237" s="10" t="inlineStr">
        <is>
          <t># 5. 命令行快速生成</t>
        </is>
      </c>
    </row>
    <row r="238">
      <c r="A238" s="7" t="n">
        <v>235</v>
      </c>
      <c r="B238" s="8" t="inlineStr">
        <is>
          <t>python 树剪.py --cli 内嵌烤箱 --tts --auto-bgm</t>
        </is>
      </c>
    </row>
    <row r="239">
      <c r="A239" s="9" t="n">
        <v>236</v>
      </c>
      <c r="B239" s="10" t="inlineStr"/>
    </row>
    <row r="240">
      <c r="A240" s="7" t="n">
        <v>237</v>
      </c>
      <c r="B240" s="8" t="inlineStr">
        <is>
          <t># 6. Web 控制台</t>
        </is>
      </c>
    </row>
    <row r="241">
      <c r="A241" s="9" t="n">
        <v>238</v>
      </c>
      <c r="B241" s="10" t="inlineStr">
        <is>
          <t>python 树剪.py --web</t>
        </is>
      </c>
    </row>
    <row r="242">
      <c r="A242" s="7" t="n">
        <v>239</v>
      </c>
      <c r="B242" s="8" t="inlineStr">
        <is>
          <t>```</t>
        </is>
      </c>
    </row>
    <row r="243">
      <c r="A243" s="9" t="n">
        <v>240</v>
      </c>
      <c r="B243" s="10" t="inlineStr"/>
    </row>
    <row r="244">
      <c r="A244" s="7" t="n">
        <v>241</v>
      </c>
      <c r="B244" s="8" t="inlineStr">
        <is>
          <t>---</t>
        </is>
      </c>
    </row>
    <row r="245">
      <c r="A245" s="9" t="n">
        <v>242</v>
      </c>
      <c r="B245" s="10" t="inlineStr"/>
    </row>
    <row r="246">
      <c r="A246" s="7" t="n">
        <v>243</v>
      </c>
      <c r="B246" s="8" t="inlineStr">
        <is>
          <t>*文档自动生成于 2026-06-11 代码分析优化过程。*</t>
        </is>
      </c>
    </row>
    <row r="247">
      <c r="A247" s="9" t="n">
        <v>244</v>
      </c>
      <c r="B247" s="10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audit_report.json</t>
        </is>
      </c>
      <c r="C1" s="5" t="inlineStr">
        <is>
          <t>行数: 147</t>
        </is>
      </c>
    </row>
    <row r="4">
      <c r="A4" s="7" t="n">
        <v>1</v>
      </c>
      <c r="B4" s="8" t="inlineStr">
        <is>
          <t>{</t>
        </is>
      </c>
    </row>
    <row r="5">
      <c r="A5" s="9" t="n">
        <v>2</v>
      </c>
      <c r="B5" s="10" t="inlineStr">
        <is>
          <t xml:space="preserve">  "timestamp": "2026-06-11T14:25:03.075925",</t>
        </is>
      </c>
    </row>
    <row r="6">
      <c r="A6" s="7" t="n">
        <v>3</v>
      </c>
      <c r="B6" s="8" t="inlineStr">
        <is>
          <t xml:space="preserve">  "findings": {</t>
        </is>
      </c>
    </row>
    <row r="7">
      <c r="A7" s="9" t="n">
        <v>4</v>
      </c>
      <c r="B7" s="10" t="inlineStr">
        <is>
          <t xml:space="preserve">    "critical": [],</t>
        </is>
      </c>
    </row>
    <row r="8">
      <c r="A8" s="7" t="n">
        <v>5</v>
      </c>
      <c r="B8" s="8" t="inlineStr">
        <is>
          <t xml:space="preserve">    "high": [],</t>
        </is>
      </c>
    </row>
    <row r="9">
      <c r="A9" s="9" t="n">
        <v>6</v>
      </c>
      <c r="B9" s="10" t="inlineStr">
        <is>
          <t xml:space="preserve">    "medium": [],</t>
        </is>
      </c>
    </row>
    <row r="10">
      <c r="A10" s="7" t="n">
        <v>7</v>
      </c>
      <c r="B10" s="8" t="inlineStr">
        <is>
          <t xml:space="preserve">    "low": [],</t>
        </is>
      </c>
    </row>
    <row r="11">
      <c r="A11" s="9" t="n">
        <v>8</v>
      </c>
      <c r="B11" s="10" t="inlineStr">
        <is>
          <t xml:space="preserve">    "info": []</t>
        </is>
      </c>
    </row>
    <row r="12">
      <c r="A12" s="7" t="n">
        <v>9</v>
      </c>
      <c r="B12" s="8" t="inlineStr">
        <is>
          <t xml:space="preserve">  },</t>
        </is>
      </c>
    </row>
    <row r="13">
      <c r="A13" s="9" t="n">
        <v>10</v>
      </c>
      <c r="B13" s="10" t="inlineStr">
        <is>
          <t xml:space="preserve">  "metrics": {</t>
        </is>
      </c>
    </row>
    <row r="14">
      <c r="A14" s="7" t="n">
        <v>11</v>
      </c>
      <c r="B14" s="8" t="inlineStr">
        <is>
          <t xml:space="preserve">    "material_health": {</t>
        </is>
      </c>
    </row>
    <row r="15">
      <c r="A15" s="9" t="n">
        <v>12</v>
      </c>
      <c r="B15" s="10" t="inlineStr">
        <is>
          <t xml:space="preserve">      "total_segments": 16143,</t>
        </is>
      </c>
    </row>
    <row r="16">
      <c r="A16" s="7" t="n">
        <v>13</v>
      </c>
      <c r="B16" s="8" t="inlineStr">
        <is>
          <t xml:space="preserve">      "tagged_segments": 5671,</t>
        </is>
      </c>
    </row>
    <row r="17">
      <c r="A17" s="9" t="n">
        <v>14</v>
      </c>
      <c r="B17" s="10" t="inlineStr">
        <is>
          <t xml:space="preserve">      "speech_segments": 14775,</t>
        </is>
      </c>
    </row>
    <row r="18">
      <c r="A18" s="7" t="n">
        <v>15</v>
      </c>
      <c r="B18" s="8" t="inlineStr">
        <is>
          <t xml:space="preserve">      "tag_coverage": "35.1%",</t>
        </is>
      </c>
    </row>
    <row r="19">
      <c r="A19" s="9" t="n">
        <v>16</v>
      </c>
      <c r="B19" s="10" t="inlineStr">
        <is>
          <t xml:space="preserve">      "speech_coverage": "91.5%",</t>
        </is>
      </c>
    </row>
    <row r="20">
      <c r="A20" s="7" t="n">
        <v>17</v>
      </c>
      <c r="B20" s="8" t="inlineStr">
        <is>
          <t xml:space="preserve">      "analyzed_videos": "6744/6744"</t>
        </is>
      </c>
    </row>
    <row r="21">
      <c r="A21" s="9" t="n">
        <v>18</v>
      </c>
      <c r="B21" s="10" t="inlineStr">
        <is>
          <t xml:space="preserve">    },</t>
        </is>
      </c>
    </row>
    <row r="22">
      <c r="A22" s="7" t="n">
        <v>19</v>
      </c>
      <c r="B22" s="8" t="inlineStr">
        <is>
          <t xml:space="preserve">    "tag_quality": {</t>
        </is>
      </c>
    </row>
    <row r="23">
      <c r="A23" s="9" t="n">
        <v>20</v>
      </c>
      <c r="B23" s="10" t="inlineStr">
        <is>
          <t xml:space="preserve">      "unique_tags": 129,</t>
        </is>
      </c>
    </row>
    <row r="24">
      <c r="A24" s="7" t="n">
        <v>21</v>
      </c>
      <c r="B24" s="8" t="inlineStr">
        <is>
          <t xml:space="preserve">      "top_tags": [</t>
        </is>
      </c>
    </row>
    <row r="25">
      <c r="A25" s="9" t="n">
        <v>22</v>
      </c>
      <c r="B25" s="10" t="inlineStr">
        <is>
          <t xml:space="preserve">        [</t>
        </is>
      </c>
    </row>
    <row r="26">
      <c r="A26" s="7" t="n">
        <v>23</v>
      </c>
      <c r="B26" s="8" t="inlineStr">
        <is>
          <t xml:space="preserve">          "哑光",</t>
        </is>
      </c>
    </row>
    <row r="27">
      <c r="A27" s="9" t="n">
        <v>24</v>
      </c>
      <c r="B27" s="10" t="inlineStr">
        <is>
          <t xml:space="preserve">          1696</t>
        </is>
      </c>
    </row>
    <row r="28">
      <c r="A28" s="7" t="n">
        <v>25</v>
      </c>
      <c r="B28" s="8" t="inlineStr">
        <is>
          <t xml:space="preserve">        ],</t>
        </is>
      </c>
    </row>
    <row r="29">
      <c r="A29" s="9" t="n">
        <v>26</v>
      </c>
      <c r="B29" s="10" t="inlineStr">
        <is>
          <t xml:space="preserve">        [</t>
        </is>
      </c>
    </row>
    <row r="30">
      <c r="A30" s="7" t="n">
        <v>27</v>
      </c>
      <c r="B30" s="8" t="inlineStr">
        <is>
          <t xml:space="preserve">          "宝格丽",</t>
        </is>
      </c>
    </row>
    <row r="31">
      <c r="A31" s="9" t="n">
        <v>28</v>
      </c>
      <c r="B31" s="10" t="inlineStr">
        <is>
          <t xml:space="preserve">          1246</t>
        </is>
      </c>
    </row>
    <row r="32">
      <c r="A32" s="7" t="n">
        <v>29</v>
      </c>
      <c r="B32" s="8" t="inlineStr">
        <is>
          <t xml:space="preserve">        ],</t>
        </is>
      </c>
    </row>
    <row r="33">
      <c r="A33" s="9" t="n">
        <v>30</v>
      </c>
      <c r="B33" s="10" t="inlineStr">
        <is>
          <t xml:space="preserve">        [</t>
        </is>
      </c>
    </row>
    <row r="34">
      <c r="A34" s="7" t="n">
        <v>31</v>
      </c>
      <c r="B34" s="8" t="inlineStr">
        <is>
          <t xml:space="preserve">          "潘多拉",</t>
        </is>
      </c>
    </row>
    <row r="35">
      <c r="A35" s="9" t="n">
        <v>32</v>
      </c>
      <c r="B35" s="10" t="inlineStr">
        <is>
          <t xml:space="preserve">          1190</t>
        </is>
      </c>
    </row>
    <row r="36">
      <c r="A36" s="7" t="n">
        <v>33</v>
      </c>
      <c r="B36" s="8" t="inlineStr">
        <is>
          <t xml:space="preserve">        ],</t>
        </is>
      </c>
    </row>
    <row r="37">
      <c r="A37" s="9" t="n">
        <v>34</v>
      </c>
      <c r="B37" s="10" t="inlineStr">
        <is>
          <t xml:space="preserve">        [</t>
        </is>
      </c>
    </row>
    <row r="38">
      <c r="A38" s="7" t="n">
        <v>35</v>
      </c>
      <c r="B38" s="8" t="inlineStr">
        <is>
          <t xml:space="preserve">          "洞石",</t>
        </is>
      </c>
    </row>
    <row r="39">
      <c r="A39" s="9" t="n">
        <v>36</v>
      </c>
      <c r="B39" s="10" t="inlineStr">
        <is>
          <t xml:space="preserve">          798</t>
        </is>
      </c>
    </row>
    <row r="40">
      <c r="A40" s="7" t="n">
        <v>37</v>
      </c>
      <c r="B40" s="8" t="inlineStr">
        <is>
          <t xml:space="preserve">        ],</t>
        </is>
      </c>
    </row>
    <row r="41">
      <c r="A41" s="9" t="n">
        <v>38</v>
      </c>
      <c r="B41" s="10" t="inlineStr">
        <is>
          <t xml:space="preserve">        [</t>
        </is>
      </c>
    </row>
    <row r="42">
      <c r="A42" s="7" t="n">
        <v>39</v>
      </c>
      <c r="B42" s="8" t="inlineStr">
        <is>
          <t xml:space="preserve">          "微水泥",</t>
        </is>
      </c>
    </row>
    <row r="43">
      <c r="A43" s="9" t="n">
        <v>40</v>
      </c>
      <c r="B43" s="10" t="inlineStr">
        <is>
          <t xml:space="preserve">          720</t>
        </is>
      </c>
    </row>
    <row r="44">
      <c r="A44" s="7" t="n">
        <v>41</v>
      </c>
      <c r="B44" s="8" t="inlineStr">
        <is>
          <t xml:space="preserve">        ],</t>
        </is>
      </c>
    </row>
    <row r="45">
      <c r="A45" s="9" t="n">
        <v>42</v>
      </c>
      <c r="B45" s="10" t="inlineStr">
        <is>
          <t xml:space="preserve">        [</t>
        </is>
      </c>
    </row>
    <row r="46">
      <c r="A46" s="7" t="n">
        <v>43</v>
      </c>
      <c r="B46" s="8" t="inlineStr">
        <is>
          <t xml:space="preserve">          "亮光",</t>
        </is>
      </c>
    </row>
    <row r="47">
      <c r="A47" s="9" t="n">
        <v>44</v>
      </c>
      <c r="B47" s="10" t="inlineStr">
        <is>
          <t xml:space="preserve">          468</t>
        </is>
      </c>
    </row>
    <row r="48">
      <c r="A48" s="7" t="n">
        <v>45</v>
      </c>
      <c r="B48" s="8" t="inlineStr">
        <is>
          <t xml:space="preserve">        ],</t>
        </is>
      </c>
    </row>
    <row r="49">
      <c r="A49" s="9" t="n">
        <v>46</v>
      </c>
      <c r="B49" s="10" t="inlineStr">
        <is>
          <t xml:space="preserve">        [</t>
        </is>
      </c>
    </row>
    <row r="50">
      <c r="A50" s="7" t="n">
        <v>47</v>
      </c>
      <c r="B50" s="8" t="inlineStr">
        <is>
          <t xml:space="preserve">          "寒江雪",</t>
        </is>
      </c>
    </row>
    <row r="51">
      <c r="A51" s="9" t="n">
        <v>48</v>
      </c>
      <c r="B51" s="10" t="inlineStr">
        <is>
          <t xml:space="preserve">          220</t>
        </is>
      </c>
    </row>
    <row r="52">
      <c r="A52" s="7" t="n">
        <v>49</v>
      </c>
      <c r="B52" s="8" t="inlineStr">
        <is>
          <t xml:space="preserve">        ],</t>
        </is>
      </c>
    </row>
    <row r="53">
      <c r="A53" s="9" t="n">
        <v>50</v>
      </c>
      <c r="B53" s="10" t="inlineStr">
        <is>
          <t xml:space="preserve">        [</t>
        </is>
      </c>
    </row>
    <row r="54">
      <c r="A54" s="7" t="n">
        <v>51</v>
      </c>
      <c r="B54" s="8" t="inlineStr">
        <is>
          <t xml:space="preserve">          "鱼肚白",</t>
        </is>
      </c>
    </row>
    <row r="55">
      <c r="A55" s="9" t="n">
        <v>52</v>
      </c>
      <c r="B55" s="10" t="inlineStr">
        <is>
          <t xml:space="preserve">          181</t>
        </is>
      </c>
    </row>
    <row r="56">
      <c r="A56" s="7" t="n">
        <v>53</v>
      </c>
      <c r="B56" s="8" t="inlineStr">
        <is>
          <t xml:space="preserve">        ],</t>
        </is>
      </c>
    </row>
    <row r="57">
      <c r="A57" s="9" t="n">
        <v>54</v>
      </c>
      <c r="B57" s="10" t="inlineStr">
        <is>
          <t xml:space="preserve">        [</t>
        </is>
      </c>
    </row>
    <row r="58">
      <c r="A58" s="7" t="n">
        <v>55</v>
      </c>
      <c r="B58" s="8" t="inlineStr">
        <is>
          <t xml:space="preserve">          "奢石",</t>
        </is>
      </c>
    </row>
    <row r="59">
      <c r="A59" s="9" t="n">
        <v>56</v>
      </c>
      <c r="B59" s="10" t="inlineStr">
        <is>
          <t xml:space="preserve">          50</t>
        </is>
      </c>
    </row>
    <row r="60">
      <c r="A60" s="7" t="n">
        <v>57</v>
      </c>
      <c r="B60" s="8" t="inlineStr">
        <is>
          <t xml:space="preserve">        ],</t>
        </is>
      </c>
    </row>
    <row r="61">
      <c r="A61" s="9" t="n">
        <v>58</v>
      </c>
      <c r="B61" s="10" t="inlineStr">
        <is>
          <t xml:space="preserve">        [</t>
        </is>
      </c>
    </row>
    <row r="62">
      <c r="A62" s="7" t="n">
        <v>59</v>
      </c>
      <c r="B62" s="8" t="inlineStr">
        <is>
          <t xml:space="preserve">          "宝格丽岩板",</t>
        </is>
      </c>
    </row>
    <row r="63">
      <c r="A63" s="9" t="n">
        <v>60</v>
      </c>
      <c r="B63" s="10" t="inlineStr">
        <is>
          <t xml:space="preserve">          24</t>
        </is>
      </c>
    </row>
    <row r="64">
      <c r="A64" s="7" t="n">
        <v>61</v>
      </c>
      <c r="B64" s="8" t="inlineStr">
        <is>
          <t xml:space="preserve">        ]</t>
        </is>
      </c>
    </row>
    <row r="65">
      <c r="A65" s="9" t="n">
        <v>62</v>
      </c>
      <c r="B65" s="10" t="inlineStr">
        <is>
          <t xml:space="preserve">      ],</t>
        </is>
      </c>
    </row>
    <row r="66">
      <c r="A66" s="7" t="n">
        <v>63</v>
      </c>
      <c r="B66" s="8" t="inlineStr">
        <is>
          <t xml:space="preserve">      "top_styles": [</t>
        </is>
      </c>
    </row>
    <row r="67">
      <c r="A67" s="9" t="n">
        <v>64</v>
      </c>
      <c r="B67" s="10" t="inlineStr">
        <is>
          <t xml:space="preserve">        [</t>
        </is>
      </c>
    </row>
    <row r="68">
      <c r="A68" s="7" t="n">
        <v>65</v>
      </c>
      <c r="B68" s="8" t="inlineStr">
        <is>
          <t xml:space="preserve">          "中古风",</t>
        </is>
      </c>
    </row>
    <row r="69">
      <c r="A69" s="9" t="n">
        <v>66</v>
      </c>
      <c r="B69" s="10" t="inlineStr">
        <is>
          <t xml:space="preserve">          506</t>
        </is>
      </c>
    </row>
    <row r="70">
      <c r="A70" s="7" t="n">
        <v>67</v>
      </c>
      <c r="B70" s="8" t="inlineStr">
        <is>
          <t xml:space="preserve">        ],</t>
        </is>
      </c>
    </row>
    <row r="71">
      <c r="A71" s="9" t="n">
        <v>68</v>
      </c>
      <c r="B71" s="10" t="inlineStr">
        <is>
          <t xml:space="preserve">        [</t>
        </is>
      </c>
    </row>
    <row r="72">
      <c r="A72" s="7" t="n">
        <v>69</v>
      </c>
      <c r="B72" s="8" t="inlineStr">
        <is>
          <t xml:space="preserve">          "极简风",</t>
        </is>
      </c>
    </row>
    <row r="73">
      <c r="A73" s="9" t="n">
        <v>70</v>
      </c>
      <c r="B73" s="10" t="inlineStr">
        <is>
          <t xml:space="preserve">          264</t>
        </is>
      </c>
    </row>
    <row r="74">
      <c r="A74" s="7" t="n">
        <v>71</v>
      </c>
      <c r="B74" s="8" t="inlineStr">
        <is>
          <t xml:space="preserve">        ],</t>
        </is>
      </c>
    </row>
    <row r="75">
      <c r="A75" s="9" t="n">
        <v>72</v>
      </c>
      <c r="B75" s="10" t="inlineStr">
        <is>
          <t xml:space="preserve">        [</t>
        </is>
      </c>
    </row>
    <row r="76">
      <c r="A76" s="7" t="n">
        <v>73</v>
      </c>
      <c r="B76" s="8" t="inlineStr">
        <is>
          <t xml:space="preserve">          "原木风",</t>
        </is>
      </c>
    </row>
    <row r="77">
      <c r="A77" s="9" t="n">
        <v>74</v>
      </c>
      <c r="B77" s="10" t="inlineStr">
        <is>
          <t xml:space="preserve">          251</t>
        </is>
      </c>
    </row>
    <row r="78">
      <c r="A78" s="7" t="n">
        <v>75</v>
      </c>
      <c r="B78" s="8" t="inlineStr">
        <is>
          <t xml:space="preserve">        ],</t>
        </is>
      </c>
    </row>
    <row r="79">
      <c r="A79" s="9" t="n">
        <v>76</v>
      </c>
      <c r="B79" s="10" t="inlineStr">
        <is>
          <t xml:space="preserve">        [</t>
        </is>
      </c>
    </row>
    <row r="80">
      <c r="A80" s="7" t="n">
        <v>77</v>
      </c>
      <c r="B80" s="8" t="inlineStr">
        <is>
          <t xml:space="preserve">          "简约风",</t>
        </is>
      </c>
    </row>
    <row r="81">
      <c r="A81" s="9" t="n">
        <v>78</v>
      </c>
      <c r="B81" s="10" t="inlineStr">
        <is>
          <t xml:space="preserve">          159</t>
        </is>
      </c>
    </row>
    <row r="82">
      <c r="A82" s="7" t="n">
        <v>79</v>
      </c>
      <c r="B82" s="8" t="inlineStr">
        <is>
          <t xml:space="preserve">        ],</t>
        </is>
      </c>
    </row>
    <row r="83">
      <c r="A83" s="9" t="n">
        <v>80</v>
      </c>
      <c r="B83" s="10" t="inlineStr">
        <is>
          <t xml:space="preserve">        [</t>
        </is>
      </c>
    </row>
    <row r="84">
      <c r="A84" s="7" t="n">
        <v>81</v>
      </c>
      <c r="B84" s="8" t="inlineStr">
        <is>
          <t xml:space="preserve">          "开放式",</t>
        </is>
      </c>
    </row>
    <row r="85">
      <c r="A85" s="9" t="n">
        <v>82</v>
      </c>
      <c r="B85" s="10" t="inlineStr">
        <is>
          <t xml:space="preserve">          153</t>
        </is>
      </c>
    </row>
    <row r="86">
      <c r="A86" s="7" t="n">
        <v>83</v>
      </c>
      <c r="B86" s="8" t="inlineStr">
        <is>
          <t xml:space="preserve">        ],</t>
        </is>
      </c>
    </row>
    <row r="87">
      <c r="A87" s="9" t="n">
        <v>84</v>
      </c>
      <c r="B87" s="10" t="inlineStr">
        <is>
          <t xml:space="preserve">        [</t>
        </is>
      </c>
    </row>
    <row r="88">
      <c r="A88" s="7" t="n">
        <v>85</v>
      </c>
      <c r="B88" s="8" t="inlineStr">
        <is>
          <t xml:space="preserve">          "复古",</t>
        </is>
      </c>
    </row>
    <row r="89">
      <c r="A89" s="9" t="n">
        <v>86</v>
      </c>
      <c r="B89" s="10" t="inlineStr">
        <is>
          <t xml:space="preserve">          146</t>
        </is>
      </c>
    </row>
    <row r="90">
      <c r="A90" s="7" t="n">
        <v>87</v>
      </c>
      <c r="B90" s="8" t="inlineStr">
        <is>
          <t xml:space="preserve">        ],</t>
        </is>
      </c>
    </row>
    <row r="91">
      <c r="A91" s="9" t="n">
        <v>88</v>
      </c>
      <c r="B91" s="10" t="inlineStr">
        <is>
          <t xml:space="preserve">        [</t>
        </is>
      </c>
    </row>
    <row r="92">
      <c r="A92" s="7" t="n">
        <v>89</v>
      </c>
      <c r="B92" s="8" t="inlineStr">
        <is>
          <t xml:space="preserve">          "奶油原木",</t>
        </is>
      </c>
    </row>
    <row r="93">
      <c r="A93" s="9" t="n">
        <v>90</v>
      </c>
      <c r="B93" s="10" t="inlineStr">
        <is>
          <t xml:space="preserve">          146</t>
        </is>
      </c>
    </row>
    <row r="94">
      <c r="A94" s="7" t="n">
        <v>91</v>
      </c>
      <c r="B94" s="8" t="inlineStr">
        <is>
          <t xml:space="preserve">        ],</t>
        </is>
      </c>
    </row>
    <row r="95">
      <c r="A95" s="9" t="n">
        <v>92</v>
      </c>
      <c r="B95" s="10" t="inlineStr">
        <is>
          <t xml:space="preserve">        [</t>
        </is>
      </c>
    </row>
    <row r="96">
      <c r="A96" s="7" t="n">
        <v>93</v>
      </c>
      <c r="B96" s="8" t="inlineStr">
        <is>
          <t xml:space="preserve">          "黑白简约风",</t>
        </is>
      </c>
    </row>
    <row r="97">
      <c r="A97" s="9" t="n">
        <v>94</v>
      </c>
      <c r="B97" s="10" t="inlineStr">
        <is>
          <t xml:space="preserve">          145</t>
        </is>
      </c>
    </row>
    <row r="98">
      <c r="A98" s="7" t="n">
        <v>95</v>
      </c>
      <c r="B98" s="8" t="inlineStr">
        <is>
          <t xml:space="preserve">        ],</t>
        </is>
      </c>
    </row>
    <row r="99">
      <c r="A99" s="9" t="n">
        <v>96</v>
      </c>
      <c r="B99" s="10" t="inlineStr">
        <is>
          <t xml:space="preserve">        [</t>
        </is>
      </c>
    </row>
    <row r="100">
      <c r="A100" s="7" t="n">
        <v>97</v>
      </c>
      <c r="B100" s="8" t="inlineStr">
        <is>
          <t xml:space="preserve">          "黑白简约",</t>
        </is>
      </c>
    </row>
    <row r="101">
      <c r="A101" s="9" t="n">
        <v>98</v>
      </c>
      <c r="B101" s="10" t="inlineStr">
        <is>
          <t xml:space="preserve">          135</t>
        </is>
      </c>
    </row>
    <row r="102">
      <c r="A102" s="7" t="n">
        <v>99</v>
      </c>
      <c r="B102" s="8" t="inlineStr">
        <is>
          <t xml:space="preserve">        ],</t>
        </is>
      </c>
    </row>
    <row r="103">
      <c r="A103" s="9" t="n">
        <v>100</v>
      </c>
      <c r="B103" s="10" t="inlineStr">
        <is>
          <t xml:space="preserve">        [</t>
        </is>
      </c>
    </row>
    <row r="104">
      <c r="A104" s="7" t="n">
        <v>101</v>
      </c>
      <c r="B104" s="8" t="inlineStr">
        <is>
          <t xml:space="preserve">          "现代极简",</t>
        </is>
      </c>
    </row>
    <row r="105">
      <c r="A105" s="9" t="n">
        <v>102</v>
      </c>
      <c r="B105" s="10" t="inlineStr">
        <is>
          <t xml:space="preserve">          133</t>
        </is>
      </c>
    </row>
    <row r="106">
      <c r="A106" s="7" t="n">
        <v>103</v>
      </c>
      <c r="B106" s="8" t="inlineStr">
        <is>
          <t xml:space="preserve">        ]</t>
        </is>
      </c>
    </row>
    <row r="107">
      <c r="A107" s="9" t="n">
        <v>104</v>
      </c>
      <c r="B107" s="10" t="inlineStr">
        <is>
          <t xml:space="preserve">      ]</t>
        </is>
      </c>
    </row>
    <row r="108">
      <c r="A108" s="7" t="n">
        <v>105</v>
      </c>
      <c r="B108" s="8" t="inlineStr">
        <is>
          <t xml:space="preserve">    },</t>
        </is>
      </c>
    </row>
    <row r="109">
      <c r="A109" s="9" t="n">
        <v>106</v>
      </c>
      <c r="B109" s="10" t="inlineStr">
        <is>
          <t xml:space="preserve">    "draft_quality": {</t>
        </is>
      </c>
    </row>
    <row r="110">
      <c r="A110" s="7" t="n">
        <v>107</v>
      </c>
      <c r="B110" s="8" t="inlineStr">
        <is>
          <t xml:space="preserve">      "latest_draft": "20260611_125323_岩板台面耐造_树剪",</t>
        </is>
      </c>
    </row>
    <row r="111">
      <c r="A111" s="9" t="n">
        <v>108</v>
      </c>
      <c r="B111" s="10" t="inlineStr">
        <is>
          <t xml:space="preserve">      "video_segments": 5,</t>
        </is>
      </c>
    </row>
    <row r="112">
      <c r="A112" s="7" t="n">
        <v>109</v>
      </c>
      <c r="B112" s="8" t="inlineStr">
        <is>
          <t xml:space="preserve">      "text_segments": 7,</t>
        </is>
      </c>
    </row>
    <row r="113">
      <c r="A113" s="9" t="n">
        <v>110</v>
      </c>
      <c r="B113" s="10" t="inlineStr">
        <is>
          <t xml:space="preserve">      "audio_segments": 2,</t>
        </is>
      </c>
    </row>
    <row r="114">
      <c r="A114" s="7" t="n">
        <v>111</v>
      </c>
      <c r="B114" s="8" t="inlineStr">
        <is>
          <t xml:space="preserve">      "duration": 17.232</t>
        </is>
      </c>
    </row>
    <row r="115">
      <c r="A115" s="9" t="n">
        <v>112</v>
      </c>
      <c r="B115" s="10" t="inlineStr">
        <is>
          <t xml:space="preserve">    },</t>
        </is>
      </c>
    </row>
    <row r="116">
      <c r="A116" s="7" t="n">
        <v>113</v>
      </c>
      <c r="B116" s="8" t="inlineStr">
        <is>
          <t xml:space="preserve">    "system_integrity": {</t>
        </is>
      </c>
    </row>
    <row r="117">
      <c r="A117" s="9" t="n">
        <v>114</v>
      </c>
      <c r="B117" s="10" t="inlineStr">
        <is>
          <t xml:space="preserve">      "主入口 树剪.py": "OK",</t>
        </is>
      </c>
    </row>
    <row r="118">
      <c r="A118" s="7" t="n">
        <v>115</v>
      </c>
      <c r="B118" s="8" t="inlineStr">
        <is>
          <t xml:space="preserve">      "core/__init__.py": "OK",</t>
        </is>
      </c>
    </row>
    <row r="119">
      <c r="A119" s="9" t="n">
        <v>116</v>
      </c>
      <c r="B119" s="10" t="inlineStr">
        <is>
          <t xml:space="preserve">      "core/pipeline.py": "OK",</t>
        </is>
      </c>
    </row>
    <row r="120">
      <c r="A120" s="7" t="n">
        <v>117</v>
      </c>
      <c r="B120" s="8" t="inlineStr">
        <is>
          <t xml:space="preserve">      "AI数据库": "OK",</t>
        </is>
      </c>
    </row>
    <row r="121">
      <c r="A121" s="9" t="n">
        <v>118</v>
      </c>
      <c r="B121" s="10" t="inlineStr">
        <is>
          <t xml:space="preserve">      "FAISS索引": "OK",</t>
        </is>
      </c>
    </row>
    <row r="122">
      <c r="A122" s="7" t="n">
        <v>119</v>
      </c>
      <c r="B122" s="8" t="inlineStr">
        <is>
          <t xml:space="preserve">      "配置文件 .env": "OK"</t>
        </is>
      </c>
    </row>
    <row r="123">
      <c r="A123" s="9" t="n">
        <v>120</v>
      </c>
      <c r="B123" s="10" t="inlineStr">
        <is>
          <t xml:space="preserve">    },</t>
        </is>
      </c>
    </row>
    <row r="124">
      <c r="A124" s="7" t="n">
        <v>121</v>
      </c>
      <c r="B124" s="8" t="inlineStr">
        <is>
          <t xml:space="preserve">    "score": {</t>
        </is>
      </c>
    </row>
    <row r="125">
      <c r="A125" s="9" t="n">
        <v>122</v>
      </c>
      <c r="B125" s="10" t="inlineStr">
        <is>
          <t xml:space="preserve">      "score": 100,</t>
        </is>
      </c>
    </row>
    <row r="126">
      <c r="A126" s="7" t="n">
        <v>123</v>
      </c>
      <c r="B126" s="8" t="inlineStr">
        <is>
          <t xml:space="preserve">      "grade": "A",</t>
        </is>
      </c>
    </row>
    <row r="127">
      <c r="A127" s="9" t="n">
        <v>124</v>
      </c>
      <c r="B127" s="10" t="inlineStr">
        <is>
          <t xml:space="preserve">      "total_issues": 0,</t>
        </is>
      </c>
    </row>
    <row r="128">
      <c r="A128" s="7" t="n">
        <v>125</v>
      </c>
      <c r="B128" s="8" t="inlineStr">
        <is>
          <t xml:space="preserve">      "breakdown": {</t>
        </is>
      </c>
    </row>
    <row r="129">
      <c r="A129" s="9" t="n">
        <v>126</v>
      </c>
      <c r="B129" s="10" t="inlineStr">
        <is>
          <t xml:space="preserve">        "critical": 0,</t>
        </is>
      </c>
    </row>
    <row r="130">
      <c r="A130" s="7" t="n">
        <v>127</v>
      </c>
      <c r="B130" s="8" t="inlineStr">
        <is>
          <t xml:space="preserve">        "high": 0,</t>
        </is>
      </c>
    </row>
    <row r="131">
      <c r="A131" s="9" t="n">
        <v>128</v>
      </c>
      <c r="B131" s="10" t="inlineStr">
        <is>
          <t xml:space="preserve">        "medium": 0,</t>
        </is>
      </c>
    </row>
    <row r="132">
      <c r="A132" s="7" t="n">
        <v>129</v>
      </c>
      <c r="B132" s="8" t="inlineStr">
        <is>
          <t xml:space="preserve">        "low": 0,</t>
        </is>
      </c>
    </row>
    <row r="133">
      <c r="A133" s="9" t="n">
        <v>130</v>
      </c>
      <c r="B133" s="10" t="inlineStr">
        <is>
          <t xml:space="preserve">        "info": 0</t>
        </is>
      </c>
    </row>
    <row r="134">
      <c r="A134" s="7" t="n">
        <v>131</v>
      </c>
      <c r="B134" s="8" t="inlineStr">
        <is>
          <t xml:space="preserve">      }</t>
        </is>
      </c>
    </row>
    <row r="135">
      <c r="A135" s="9" t="n">
        <v>132</v>
      </c>
      <c r="B135" s="10" t="inlineStr">
        <is>
          <t xml:space="preserve">    }</t>
        </is>
      </c>
    </row>
    <row r="136">
      <c r="A136" s="7" t="n">
        <v>133</v>
      </c>
      <c r="B136" s="8" t="inlineStr">
        <is>
          <t xml:space="preserve">  },</t>
        </is>
      </c>
    </row>
    <row r="137">
      <c r="A137" s="9" t="n">
        <v>134</v>
      </c>
      <c r="B137" s="10" t="inlineStr">
        <is>
          <t xml:space="preserve">  "score": {</t>
        </is>
      </c>
    </row>
    <row r="138">
      <c r="A138" s="7" t="n">
        <v>135</v>
      </c>
      <c r="B138" s="8" t="inlineStr">
        <is>
          <t xml:space="preserve">    "score": 100,</t>
        </is>
      </c>
    </row>
    <row r="139">
      <c r="A139" s="9" t="n">
        <v>136</v>
      </c>
      <c r="B139" s="10" t="inlineStr">
        <is>
          <t xml:space="preserve">    "grade": "A",</t>
        </is>
      </c>
    </row>
    <row r="140">
      <c r="A140" s="7" t="n">
        <v>137</v>
      </c>
      <c r="B140" s="8" t="inlineStr">
        <is>
          <t xml:space="preserve">    "total_issues": 0,</t>
        </is>
      </c>
    </row>
    <row r="141">
      <c r="A141" s="9" t="n">
        <v>138</v>
      </c>
      <c r="B141" s="10" t="inlineStr">
        <is>
          <t xml:space="preserve">    "breakdown": {</t>
        </is>
      </c>
    </row>
    <row r="142">
      <c r="A142" s="7" t="n">
        <v>139</v>
      </c>
      <c r="B142" s="8" t="inlineStr">
        <is>
          <t xml:space="preserve">      "critical": 0,</t>
        </is>
      </c>
    </row>
    <row r="143">
      <c r="A143" s="9" t="n">
        <v>140</v>
      </c>
      <c r="B143" s="10" t="inlineStr">
        <is>
          <t xml:space="preserve">      "high": 0,</t>
        </is>
      </c>
    </row>
    <row r="144">
      <c r="A144" s="7" t="n">
        <v>141</v>
      </c>
      <c r="B144" s="8" t="inlineStr">
        <is>
          <t xml:space="preserve">      "medium": 0,</t>
        </is>
      </c>
    </row>
    <row r="145">
      <c r="A145" s="9" t="n">
        <v>142</v>
      </c>
      <c r="B145" s="10" t="inlineStr">
        <is>
          <t xml:space="preserve">      "low": 0,</t>
        </is>
      </c>
    </row>
    <row r="146">
      <c r="A146" s="7" t="n">
        <v>143</v>
      </c>
      <c r="B146" s="8" t="inlineStr">
        <is>
          <t xml:space="preserve">      "info": 0</t>
        </is>
      </c>
    </row>
    <row r="147">
      <c r="A147" s="9" t="n">
        <v>144</v>
      </c>
      <c r="B147" s="10" t="inlineStr">
        <is>
          <t xml:space="preserve">    }</t>
        </is>
      </c>
    </row>
    <row r="148">
      <c r="A148" s="7" t="n">
        <v>145</v>
      </c>
      <c r="B148" s="8" t="inlineStr">
        <is>
          <t xml:space="preserve">  },</t>
        </is>
      </c>
    </row>
    <row r="149">
      <c r="A149" s="9" t="n">
        <v>146</v>
      </c>
      <c r="B149" s="10" t="inlineStr">
        <is>
          <t xml:space="preserve">  "optimization_plan": []</t>
        </is>
      </c>
    </row>
    <row r="150">
      <c r="A150" s="7" t="n">
        <v>147</v>
      </c>
      <c r="B150" s="8" t="inlineStr">
        <is>
          <t>}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batch_generate_5_log.txt</t>
        </is>
      </c>
      <c r="C1" s="5" t="inlineStr">
        <is>
          <t>行数: 287</t>
        </is>
      </c>
    </row>
    <row r="4">
      <c r="A4" s="7" t="n">
        <v>1</v>
      </c>
      <c r="B4" s="8" t="inlineStr">
        <is>
          <t xml:space="preserve">��= = = = = = = = = = = = = = = = = = = = = = = = = = = = = = = = = = = = = = = = = = = = = = = = = = = = = = = = = = = = </t>
        </is>
      </c>
    </row>
    <row r="5">
      <c r="A5" s="9" t="n">
        <v>2</v>
      </c>
      <c r="B5" s="10" t="inlineStr">
        <is>
          <t xml:space="preserve"> </t>
        </is>
      </c>
    </row>
    <row r="6">
      <c r="A6" s="7" t="n">
        <v>3</v>
      </c>
      <c r="B6" s="8" t="inlineStr">
        <is>
          <t xml:space="preserve">      hjR  T r e e C u t   -   ��:g5  �,gybϑ u b</t>
        </is>
      </c>
    </row>
    <row r="7">
      <c r="A7" s="9" t="n">
        <v>4</v>
      </c>
      <c r="B7" s="10" t="inlineStr">
        <is>
          <t xml:space="preserve"> </t>
        </is>
      </c>
    </row>
    <row r="8">
      <c r="A8" s="7" t="n">
        <v>5</v>
      </c>
      <c r="B8" s="8" t="inlineStr">
        <is>
          <t xml:space="preserve">     �e��:   2 0 2 6 - 0 6 - 1 3   2 1 : 0 9 : 5 1 </t>
        </is>
      </c>
    </row>
    <row r="9">
      <c r="A9" s="9" t="n">
        <v>6</v>
      </c>
      <c r="B9" s="10" t="inlineStr">
        <is>
          <t xml:space="preserve"> </t>
        </is>
      </c>
    </row>
    <row r="10">
      <c r="A10" s="7" t="n">
        <v>7</v>
      </c>
      <c r="B10" s="8" t="inlineStr">
        <is>
          <t xml:space="preserve"> = = = = = = = = = = = = = = = = = = = = = = = = = = = = = = = = = = = = = = = = = = = = = = = = = = = = = = = = = = = = </t>
        </is>
      </c>
    </row>
    <row r="11">
      <c r="A11" s="9" t="n">
        <v>8</v>
      </c>
      <c r="B11" s="10" t="inlineStr">
        <is>
          <t xml:space="preserve"> </t>
        </is>
      </c>
    </row>
    <row r="12">
      <c r="A12" s="7" t="n">
        <v>9</v>
      </c>
      <c r="B12" s="8" t="inlineStr">
        <is>
          <t xml:space="preserve"> [  �,g�^]   qQ  2 5 8   *N	gHe �,g,   ��:g	��S  5   *N</t>
        </is>
      </c>
    </row>
    <row r="13">
      <c r="A13" s="9" t="n">
        <v>10</v>
      </c>
      <c r="B13" s="10" t="inlineStr">
        <is>
          <t xml:space="preserve"> </t>
        </is>
      </c>
    </row>
    <row r="14">
      <c r="A14" s="7" t="n">
        <v>11</v>
      </c>
      <c r="B14" s="8" t="inlineStr">
        <is>
          <t xml:space="preserve"> </t>
        </is>
      </c>
    </row>
    <row r="15">
      <c r="A15" s="9" t="n">
        <v>12</v>
      </c>
      <c r="B15" s="10" t="inlineStr">
        <is>
          <t xml:space="preserve"> </t>
        </is>
      </c>
    </row>
    <row r="16">
      <c r="A16" s="7" t="n">
        <v>13</v>
      </c>
      <c r="B16" s="8" t="inlineStr">
        <is>
          <t xml:space="preserve">     [ 1 / 5 ]   I D = 4 6   |   sQ.�͋= �\�S</t>
        </is>
      </c>
    </row>
    <row r="17">
      <c r="A17" s="9" t="n">
        <v>14</v>
      </c>
      <c r="B17" s="10" t="inlineStr">
        <is>
          <t xml:space="preserve"> </t>
        </is>
      </c>
    </row>
    <row r="18">
      <c r="A18" s="7" t="n">
        <v>15</v>
      </c>
      <c r="B18" s="8" t="inlineStr">
        <is>
          <t xml:space="preserve">                  R��9e � ��Szz�� �JT+R O�~ �Lh ����b ��Szz���Pte�[ _ q�eGS�~ ��[�Q�[ Y���S O(u 0 b�N�N�\ g(� a\O:Np�b��WPg �-dM����g N�[(g</t>
        </is>
      </c>
    </row>
    <row r="19">
      <c r="A19" s="9" t="n">
        <v>16</v>
      </c>
      <c r="B19" s="10" t="inlineStr">
        <is>
          <t xml:space="preserve">Y T g�~�g ��e�OYu O�~ �Lh�v�[(u�R�� ��S�b	g ��Szz�� � � _ ��v l�V a � �M� \7b. . . </t>
        </is>
      </c>
    </row>
    <row r="20">
      <c r="A20" s="7" t="n">
        <v>17</v>
      </c>
      <c r="B20" s="8" t="inlineStr">
        <is>
          <t xml:space="preserve"> </t>
        </is>
      </c>
    </row>
    <row r="21">
      <c r="A21" s="9" t="n">
        <v>18</v>
      </c>
      <c r="B21" s="10" t="inlineStr">
        <is>
          <t xml:space="preserve"> </t>
        </is>
      </c>
    </row>
    <row r="22">
      <c r="A22" s="7" t="n">
        <v>19</v>
      </c>
      <c r="B22" s="8" t="inlineStr">
        <is>
          <t xml:space="preserve"> </t>
        </is>
      </c>
    </row>
    <row r="23">
      <c r="A23" s="9" t="n">
        <v>20</v>
      </c>
      <c r="B23" s="10" t="inlineStr">
        <is>
          <t xml:space="preserve">     [ 2 / 5 ]   I D = 1 0 0   |   sQ.�͋= �\ g</t>
        </is>
      </c>
    </row>
    <row r="24">
      <c r="A24" s="7" t="n">
        <v>21</v>
      </c>
      <c r="B24" s="8" t="inlineStr">
        <is>
          <t xml:space="preserve"> </t>
        </is>
      </c>
    </row>
    <row r="25">
      <c r="A25" s="9" t="n">
        <v>22</v>
      </c>
      <c r="B25" s="10" t="inlineStr">
        <is>
          <t xml:space="preserve">                  l�[ Y�X+RqN8x � NWWo��w4Yň�Qؚ�~ a�g'`-N�N x�\ g �1 : 1 ؏�S)Y6q x�\�v�Q�Q�~ t �T[ m(� a �Ɖɉ</t>
        </is>
      </c>
    </row>
    <row r="26">
      <c r="A26" s="7" t="n">
        <v>23</v>
      </c>
      <c r="B26" s="8" t="inlineStr">
        <is>
          <t xml:space="preserve">N�T w�wPg�QNN�e�] �tS�l	g w�wPg�v�S͑�Q�Q a 0�f �s|Ğ�lr��v�W�^ ��&amp;^�l o3�IQ�v�l a a ��� l�[ Y�XFd1� w. . . </t>
        </is>
      </c>
    </row>
    <row r="27">
      <c r="A27" s="9" t="n">
        <v>24</v>
      </c>
      <c r="B27" s="10" t="inlineStr">
        <is>
          <t xml:space="preserve"> </t>
        </is>
      </c>
    </row>
    <row r="28">
      <c r="A28" s="7" t="n">
        <v>25</v>
      </c>
      <c r="B28" s="8" t="inlineStr">
        <is>
          <t xml:space="preserve"> </t>
        </is>
      </c>
    </row>
    <row r="29">
      <c r="A29" s="9" t="n">
        <v>26</v>
      </c>
      <c r="B29" s="10" t="inlineStr">
        <is>
          <t xml:space="preserve"> </t>
        </is>
      </c>
    </row>
    <row r="30">
      <c r="A30" s="7" t="n">
        <v>27</v>
      </c>
      <c r="B30" s="8" t="inlineStr">
        <is>
          <t xml:space="preserve">     [ 3 / 5 ]   I D = 1 0 8   |   sQ.�͋= �\�S</t>
        </is>
      </c>
    </row>
    <row r="31">
      <c r="A31" s="9" t="n">
        <v>28</v>
      </c>
      <c r="B31" s="10" t="inlineStr">
        <is>
          <t xml:space="preserve"> </t>
        </is>
      </c>
    </row>
    <row r="32">
      <c r="A32" s="7" t="n">
        <v>29</v>
      </c>
      <c r="B32" s="8" t="inlineStr">
        <is>
          <t xml:space="preserve">                 ^�8^c�x^ �v�T��[�� Y�S Nv^������/n~vt^ �W[�S����|i�v9e �GS�~ ��Y�N�� b�N(u�s�t�Tv��tbc�e͑ u 0���s�w�s�t�v�Nh�\ObT �/f2 1 t^�v�e P �</t>
        </is>
      </c>
    </row>
    <row r="33">
      <c r="A33" s="9" t="n">
        <v>30</v>
      </c>
      <c r="B33" s="10" t="inlineStr">
        <is>
          <t xml:space="preserve">Nwm�v�[&lt;h=N 0��ُ!kbT �	g1 3 7 t^�S�S�v����|ibT �_N(uُ7h�v N*N�s�w. . . </t>
        </is>
      </c>
    </row>
    <row r="34">
      <c r="A34" s="7" t="n">
        <v>31</v>
      </c>
      <c r="B34" s="8" t="inlineStr">
        <is>
          <t xml:space="preserve"> </t>
        </is>
      </c>
    </row>
    <row r="35">
      <c r="A35" s="9" t="n">
        <v>32</v>
      </c>
      <c r="B35" s="10" t="inlineStr">
        <is>
          <t xml:space="preserve"> </t>
        </is>
      </c>
    </row>
    <row r="36">
      <c r="A36" s="7" t="n">
        <v>33</v>
      </c>
      <c r="B36" s="8" t="inlineStr">
        <is>
          <t xml:space="preserve"> </t>
        </is>
      </c>
    </row>
    <row r="37">
      <c r="A37" s="9" t="n">
        <v>34</v>
      </c>
      <c r="B37" s="10" t="inlineStr">
        <is>
          <t xml:space="preserve">     [ 4 / 5 ]   I D = 4 4   |   sQ.�͋= �\�S</t>
        </is>
      </c>
    </row>
    <row r="38">
      <c r="A38" s="7" t="n">
        <v>35</v>
      </c>
      <c r="B38" s="8" t="inlineStr">
        <is>
          <t xml:space="preserve"> </t>
        </is>
      </c>
    </row>
    <row r="39">
      <c r="A39" s="9" t="n">
        <v>36</v>
      </c>
      <c r="B39" s="10" t="inlineStr">
        <is>
          <t xml:space="preserve">                  b�b�p'YW��v O�~ �Lh�T</t>
        </is>
      </c>
    </row>
    <row r="40">
      <c r="A40" s="7" t="n">
        <v>37</v>
      </c>
      <c r="B40" s="8" t="inlineStr">
        <is>
          <t xml:space="preserve">N �.R�v�s�tb�bc b ���ΘўёbY�w�\�S �te*Nzz��&gt;f�_Y�'� 0ua�a 0~g _ 0`O�N:N�vBgqN���~ �vQ�[/f�[υ�N�N Nt^�v \�_:g ��l	gޏ�~�[P� �tS�k�NUOĉte gPg��ؚ�~ ��e��/f'Ys^B\ 0+R�X ��� O&gt;f. . . </t>
        </is>
      </c>
    </row>
    <row r="41">
      <c r="A41" s="9" t="n">
        <v>38</v>
      </c>
      <c r="B41" s="10" t="inlineStr">
        <is>
          <t xml:space="preserve"> </t>
        </is>
      </c>
    </row>
    <row r="42">
      <c r="A42" s="7" t="n">
        <v>39</v>
      </c>
      <c r="B42" s="8" t="inlineStr">
        <is>
          <t xml:space="preserve"> </t>
        </is>
      </c>
    </row>
    <row r="43">
      <c r="A43" s="9" t="n">
        <v>40</v>
      </c>
      <c r="B43" s="10" t="inlineStr">
        <is>
          <t xml:space="preserve"> </t>
        </is>
      </c>
    </row>
    <row r="44">
      <c r="A44" s="7" t="n">
        <v>41</v>
      </c>
      <c r="B44" s="8" t="inlineStr">
        <is>
          <t xml:space="preserve">     [ 5 / 5 ]   I D = 2 9   |   sQ.�͋=  m�w</t>
        </is>
      </c>
    </row>
    <row r="45">
      <c r="A45" s="9" t="n">
        <v>42</v>
      </c>
      <c r="B45" s="10" t="inlineStr">
        <is>
          <t xml:space="preserve"> </t>
        </is>
      </c>
    </row>
    <row r="46">
      <c r="A46" s="7" t="n">
        <v>43</v>
      </c>
      <c r="B46" s="8" t="inlineStr">
        <is>
          <t xml:space="preserve">                 (u�[1\��ň�Q^�8^'Y l�v͑ƉHe�g �ZPo��w�v Y�X�e�]bT ���(u x��ZP�[�N TbT � N�[���b�[�bs^ ��b�[�b�[ �ُ7h�v bT �Mb����0R N�[�v�n&amp;q�s ����[ߍ�Xb��XSOZP N*N^�8^�n�v N*N�|4� 06q T �`O wُHN'Y N _ g ��zSO'`. . . </t>
        </is>
      </c>
    </row>
    <row r="47">
      <c r="A47" s="9" t="n">
        <v>44</v>
      </c>
      <c r="B47" s="10" t="inlineStr">
        <is>
          <t xml:space="preserve"> </t>
        </is>
      </c>
    </row>
    <row r="48">
      <c r="A48" s="7" t="n">
        <v>45</v>
      </c>
      <c r="B48" s="8" t="inlineStr">
        <is>
          <t xml:space="preserve"> </t>
        </is>
      </c>
    </row>
    <row r="49">
      <c r="A49" s="9" t="n">
        <v>46</v>
      </c>
      <c r="B49" s="10" t="inlineStr">
        <is>
          <t xml:space="preserve"> </t>
        </is>
      </c>
    </row>
    <row r="50">
      <c r="A50" s="7" t="n">
        <v>47</v>
      </c>
      <c r="B50" s="8" t="inlineStr">
        <is>
          <t xml:space="preserve"> = = = = = = = = = = = = = = = = = = = = = = = = = = = = = = = = = = = = = = = = = = = = = = = = = = = = = = = = = = = = </t>
        </is>
      </c>
    </row>
    <row r="51">
      <c r="A51" s="9" t="n">
        <v>48</v>
      </c>
      <c r="B51" s="10" t="inlineStr">
        <is>
          <t xml:space="preserve"> </t>
        </is>
      </c>
    </row>
    <row r="52">
      <c r="A52" s="7" t="n">
        <v>49</v>
      </c>
      <c r="B52" s="8" t="inlineStr">
        <is>
          <t xml:space="preserve">     �R}�8h�_!jWW. . . </t>
        </is>
      </c>
    </row>
    <row r="53">
      <c r="A53" s="9" t="n">
        <v>50</v>
      </c>
      <c r="B53" s="10" t="inlineStr">
        <is>
          <t xml:space="preserve"> </t>
        </is>
      </c>
    </row>
    <row r="54">
      <c r="A54" s="7" t="n">
        <v>51</v>
      </c>
      <c r="B54" s="8" t="inlineStr">
        <is>
          <t xml:space="preserve"> p y t h o n   :   W a r n i n g :   Y o u   a r e   s e n d i n g   u n a u t h e n t i c a t e d   r e q u e s t s   t o   t h e   H F   H u b .   P l e a s e   s e t   a   H F _ T O K E N   t o   e n a b l e   h i g h e r   r a t e   l </t>
        </is>
      </c>
    </row>
    <row r="55">
      <c r="A55" s="9" t="n">
        <v>52</v>
      </c>
      <c r="B55" s="10" t="inlineStr">
        <is>
          <t xml:space="preserve"> </t>
        </is>
      </c>
    </row>
    <row r="56">
      <c r="A56" s="7" t="n">
        <v>53</v>
      </c>
      <c r="B56" s="8" t="inlineStr">
        <is>
          <t xml:space="preserve"> i m i t s   a n d   f a s t e r   d o w n l o a d s . </t>
        </is>
      </c>
    </row>
    <row r="57">
      <c r="A57" s="9" t="n">
        <v>54</v>
      </c>
      <c r="B57" s="10" t="inlineStr">
        <is>
          <t xml:space="preserve"> </t>
        </is>
      </c>
    </row>
    <row r="58">
      <c r="A58" s="7" t="n">
        <v>55</v>
      </c>
      <c r="B58" s="8" t="inlineStr">
        <is>
          <t xml:space="preserve"> A t   l i n e : 1   c h a r : 1 9 </t>
        </is>
      </c>
    </row>
    <row r="59">
      <c r="A59" s="9" t="n">
        <v>56</v>
      </c>
      <c r="B59" s="10" t="inlineStr">
        <is>
          <t xml:space="preserve"> </t>
        </is>
      </c>
    </row>
    <row r="60">
      <c r="A60" s="7" t="n">
        <v>57</v>
      </c>
      <c r="B60" s="8" t="inlineStr">
        <is>
          <t xml:space="preserve"> +   c d   " E : \  hjRo��N�vsQ�e�N" ;   p y t h o n   b a t c h _ g e n e r a t e _ 5 . p y   2 &gt; &amp; 1   |   T e e - O b j e c t   - F i l e P   . . . </t>
        </is>
      </c>
    </row>
    <row r="61">
      <c r="A61" s="9" t="n">
        <v>58</v>
      </c>
      <c r="B61" s="10" t="inlineStr">
        <is>
          <t xml:space="preserve"> </t>
        </is>
      </c>
    </row>
    <row r="62">
      <c r="A62" s="7" t="n">
        <v>59</v>
      </c>
      <c r="B62" s="8" t="inlineStr">
        <is>
          <t xml:space="preserve"> +                                       ~ ~ ~ ~ ~ ~ ~ ~ ~ ~ ~ ~ ~ ~ ~ ~ ~ ~ ~ ~ ~ ~ ~ ~ ~ ~ ~ ~ ~ ~ ~ </t>
        </is>
      </c>
    </row>
    <row r="63">
      <c r="A63" s="9" t="n">
        <v>60</v>
      </c>
      <c r="B63" s="10" t="inlineStr">
        <is>
          <t xml:space="preserve"> </t>
        </is>
      </c>
    </row>
    <row r="64">
      <c r="A64" s="7" t="n">
        <v>61</v>
      </c>
      <c r="B64" s="8" t="inlineStr">
        <is>
          <t xml:space="preserve">         +   C a t e g o r y I n f o                     :   N o t S p e c i f i e d :   ( W a r n i n g :   Y o u   a r . . . s t e r   d o w n l o a d s . : S t r i n g )   [ ] ,   R e m o t e E x c e p t i o n </t>
        </is>
      </c>
    </row>
    <row r="65">
      <c r="A65" s="9" t="n">
        <v>62</v>
      </c>
      <c r="B65" s="10" t="inlineStr">
        <is>
          <t xml:space="preserve"> </t>
        </is>
      </c>
    </row>
    <row r="66">
      <c r="A66" s="7" t="n">
        <v>63</v>
      </c>
      <c r="B66" s="8" t="inlineStr">
        <is>
          <t xml:space="preserve">         +   F u l l y Q u a l i f i e d E r r o r I d   :   N a t i v e C o m m a n d E r r o r </t>
        </is>
      </c>
    </row>
    <row r="67">
      <c r="A67" s="9" t="n">
        <v>64</v>
      </c>
      <c r="B67" s="10" t="inlineStr">
        <is>
          <t xml:space="preserve"> </t>
        </is>
      </c>
    </row>
    <row r="68">
      <c r="A68" s="7" t="n">
        <v>65</v>
      </c>
      <c r="B68" s="8" t="inlineStr">
        <is>
          <t xml:space="preserve">   </t>
        </is>
      </c>
    </row>
    <row r="69">
      <c r="A69" s="9" t="n">
        <v>66</v>
      </c>
      <c r="B69" s="10" t="inlineStr">
        <is>
          <t xml:space="preserve"> </t>
        </is>
      </c>
    </row>
    <row r="70">
      <c r="A70" s="7" t="n">
        <v>67</v>
      </c>
      <c r="B70" s="8" t="inlineStr">
        <is>
          <t xml:space="preserve">     [ O K ]   8h�_!jWW�R}��[ b</t>
        </is>
      </c>
    </row>
    <row r="71">
      <c r="A71" s="9" t="n">
        <v>68</v>
      </c>
      <c r="B71" s="10" t="inlineStr">
        <is>
          <t xml:space="preserve"> </t>
        </is>
      </c>
    </row>
    <row r="72">
      <c r="A72" s="7" t="n">
        <v>69</v>
      </c>
      <c r="B72" s="8" t="inlineStr">
        <is>
          <t xml:space="preserve"> </t>
        </is>
      </c>
    </row>
    <row r="73">
      <c r="A73" s="9" t="n">
        <v>70</v>
      </c>
      <c r="B73" s="10" t="inlineStr">
        <is>
          <t xml:space="preserve"> </t>
        </is>
      </c>
    </row>
    <row r="74">
      <c r="A74" s="7" t="n">
        <v>71</v>
      </c>
      <c r="B74" s="8" t="inlineStr">
        <is>
          <t xml:space="preserve"> = = = = = = = = = = = = = = = = = = = = = = = = = = = = = = = = = = = = = = = = = = = = = = = = = = = = = = = = = = = = </t>
        </is>
      </c>
    </row>
    <row r="75">
      <c r="A75" s="9" t="n">
        <v>72</v>
      </c>
      <c r="B75" s="10" t="inlineStr">
        <is>
          <t xml:space="preserve"> </t>
        </is>
      </c>
    </row>
    <row r="76">
      <c r="A76" s="7" t="n">
        <v>73</v>
      </c>
      <c r="B76" s="8" t="inlineStr">
        <is>
          <t xml:space="preserve">     [ 1 / 5 ]    _�Y u bƉ��</t>
        </is>
      </c>
    </row>
    <row r="77">
      <c r="A77" s="9" t="n">
        <v>74</v>
      </c>
      <c r="B77" s="10" t="inlineStr">
        <is>
          <t xml:space="preserve"> </t>
        </is>
      </c>
    </row>
    <row r="78">
      <c r="A78" s="7" t="n">
        <v>75</v>
      </c>
      <c r="B78" s="8" t="inlineStr">
        <is>
          <t xml:space="preserve">      �,gI D :   4 6 </t>
        </is>
      </c>
    </row>
    <row r="79">
      <c r="A79" s="9" t="n">
        <v>76</v>
      </c>
      <c r="B79" s="10" t="inlineStr">
        <is>
          <t xml:space="preserve"> </t>
        </is>
      </c>
    </row>
    <row r="80">
      <c r="A80" s="7" t="n">
        <v>77</v>
      </c>
      <c r="B80" s="8" t="inlineStr">
        <is>
          <t xml:space="preserve">     sQ.�͋:   �\�S</t>
        </is>
      </c>
    </row>
    <row r="81">
      <c r="A81" s="9" t="n">
        <v>78</v>
      </c>
      <c r="B81" s="10" t="inlineStr">
        <is>
          <t xml:space="preserve"> </t>
        </is>
      </c>
    </row>
    <row r="82">
      <c r="A82" s="7" t="n">
        <v>79</v>
      </c>
      <c r="B82" s="8" t="inlineStr">
        <is>
          <t xml:space="preserve">      �,g ��^:   1 1 8   W[</t>
        </is>
      </c>
    </row>
    <row r="83">
      <c r="A83" s="9" t="n">
        <v>80</v>
      </c>
      <c r="B83" s="10" t="inlineStr">
        <is>
          <t xml:space="preserve"> </t>
        </is>
      </c>
    </row>
    <row r="84">
      <c r="A84" s="7" t="n">
        <v>81</v>
      </c>
      <c r="B84" s="8" t="inlineStr">
        <is>
          <t xml:space="preserve"> = = = = = = = = = = = = = = = = = = = = = = = = = = = = = = = = = = = = = = = = = = = = = = = = = = = = = = = = = = = = </t>
        </is>
      </c>
    </row>
    <row r="85">
      <c r="A85" s="9" t="n">
        <v>82</v>
      </c>
      <c r="B85" s="10" t="inlineStr">
        <is>
          <t xml:space="preserve"> </t>
        </is>
      </c>
    </row>
    <row r="86">
      <c r="A86" s="7" t="n">
        <v>83</v>
      </c>
      <c r="B86" s="8" t="inlineStr">
        <is>
          <t xml:space="preserve"> </t>
        </is>
      </c>
    </row>
    <row r="87">
      <c r="A87" s="9" t="n">
        <v>84</v>
      </c>
      <c r="B87" s="10" t="inlineStr">
        <is>
          <t xml:space="preserve"> </t>
        </is>
      </c>
    </row>
    <row r="88">
      <c r="A88" s="7" t="n">
        <v>85</v>
      </c>
      <c r="B88" s="8" t="inlineStr">
        <is>
          <t xml:space="preserve"> T%P%P%P%P%P%P%P%P%P%P%P%P%P%P%P%P%P%P%P%P%P%P%P%P%P%P%P%P%P%P%P%P%P%P%P%P%P%P%P%P%P%P%P%P%P%P%W%</t>
        </is>
      </c>
    </row>
    <row r="89">
      <c r="A89" s="9" t="n">
        <v>86</v>
      </c>
      <c r="B89" s="10" t="inlineStr">
        <is>
          <t xml:space="preserve"> </t>
        </is>
      </c>
    </row>
    <row r="90">
      <c r="A90" s="7" t="n">
        <v>87</v>
      </c>
      <c r="B90" s="8" t="inlineStr">
        <is>
          <t xml:space="preserve"> Q%              &lt;�3�   hjR  �   A I Ɖ��ꁨRjR���]wQ                        Q%</t>
        </is>
      </c>
    </row>
    <row r="91">
      <c r="A91" s="9" t="n">
        <v>88</v>
      </c>
      <c r="B91" s="10" t="inlineStr">
        <is>
          <t xml:space="preserve"> </t>
        </is>
      </c>
    </row>
    <row r="92">
      <c r="A92" s="7" t="n">
        <v>89</v>
      </c>
      <c r="B92" s="8" t="inlineStr">
        <is>
          <t xml:space="preserve"> Q%                      jR f N NHrI�?zꁨR u b                            Q%</t>
        </is>
      </c>
    </row>
    <row r="93">
      <c r="A93" s="9" t="n">
        <v>90</v>
      </c>
      <c r="B93" s="10" t="inlineStr">
        <is>
          <t xml:space="preserve"> </t>
        </is>
      </c>
    </row>
    <row r="94">
      <c r="A94" s="7" t="n">
        <v>91</v>
      </c>
      <c r="B94" s="8" t="inlineStr">
        <is>
          <t xml:space="preserve"> Z%P%P%P%P%P%P%P%P%P%P%P%P%P%P%P%P%P%P%P%P%P%P%P%P%P%P%P%P%P%P%P%P%P%P%P%P%P%P%P%P%P%P%P%P%P%P%]%</t>
        </is>
      </c>
    </row>
    <row r="95">
      <c r="A95" s="9" t="n">
        <v>92</v>
      </c>
      <c r="B95" s="10" t="inlineStr">
        <is>
          <t xml:space="preserve"> </t>
        </is>
      </c>
    </row>
    <row r="96">
      <c r="A96" s="7" t="n">
        <v>93</v>
      </c>
      <c r="B96" s="8" t="inlineStr">
        <is>
          <t xml:space="preserve"> &gt; &gt;   VS�psQ.�͋:    0�\�S</t>
        </is>
      </c>
    </row>
    <row r="97">
      <c r="A97" s="9" t="n">
        <v>94</v>
      </c>
      <c r="B97" s="10" t="inlineStr">
        <is>
          <t>0</t>
        </is>
      </c>
    </row>
    <row r="98">
      <c r="A98" s="7" t="n">
        <v>95</v>
      </c>
      <c r="B98" s="8" t="inlineStr">
        <is>
          <t xml:space="preserve"> </t>
        </is>
      </c>
    </row>
    <row r="99">
      <c r="A99" s="9" t="n">
        <v>96</v>
      </c>
      <c r="B99" s="10" t="inlineStr">
        <is>
          <t xml:space="preserve"> </t>
        </is>
      </c>
    </row>
    <row r="100">
      <c r="A100" s="7" t="n">
        <v>97</v>
      </c>
      <c r="B100" s="8" t="inlineStr">
        <is>
          <t xml:space="preserve"> </t>
        </is>
      </c>
    </row>
    <row r="101">
      <c r="A101" s="9" t="n">
        <v>98</v>
      </c>
      <c r="B101" s="10" t="inlineStr">
        <is>
          <t xml:space="preserve"> = = = = = = = = = = = = = = = = = = = = = = = = = = = = = = = = = = = = = = = = = = = = = = = = = = </t>
        </is>
      </c>
    </row>
    <row r="102">
      <c r="A102" s="7" t="n">
        <v>99</v>
      </c>
      <c r="B102" s="8" t="inlineStr">
        <is>
          <t xml:space="preserve"> </t>
        </is>
      </c>
    </row>
    <row r="103">
      <c r="A103" s="9" t="n">
        <v>100</v>
      </c>
      <c r="B103" s="10" t="inlineStr">
        <is>
          <t xml:space="preserve"> [ S C A N ]   S t e p   1 / 6 :    YVS�p�m T }Pgkb�c. . . </t>
        </is>
      </c>
    </row>
    <row r="104">
      <c r="A104" s="7" t="n">
        <v>101</v>
      </c>
      <c r="B104" s="8" t="inlineStr">
        <is>
          <t xml:space="preserve"> </t>
        </is>
      </c>
    </row>
    <row r="105">
      <c r="A105" s="9" t="n">
        <v>102</v>
      </c>
      <c r="B105" s="10" t="inlineStr">
        <is>
          <t xml:space="preserve"> </t>
        </is>
      </c>
    </row>
    <row r="106">
      <c r="A106" s="7" t="n">
        <v>103</v>
      </c>
      <c r="B106" s="8" t="inlineStr">
        <is>
          <t xml:space="preserve"> </t>
        </is>
      </c>
    </row>
    <row r="107">
      <c r="A107" s="9" t="n">
        <v>104</v>
      </c>
      <c r="B107" s="10" t="inlineStr">
        <is>
          <t xml:space="preserve"> = = = = = = = = = = = = = = = = = = = = = = = = = = = = = = = = = = = = = = = = = = = = = = = = = = </t>
        </is>
      </c>
    </row>
    <row r="108">
      <c r="A108" s="7" t="n">
        <v>105</v>
      </c>
      <c r="B108" s="8" t="inlineStr">
        <is>
          <t xml:space="preserve"> </t>
        </is>
      </c>
    </row>
    <row r="109">
      <c r="A109" s="9" t="n">
        <v>106</v>
      </c>
      <c r="B109" s="10" t="inlineStr">
        <is>
          <t xml:space="preserve"> [ * ]   S t e p   2 / 6 :    O(u Y萇eHh( 1 1 8 W[) . . . </t>
        </is>
      </c>
    </row>
    <row r="110">
      <c r="A110" s="7" t="n">
        <v>107</v>
      </c>
      <c r="B110" s="8" t="inlineStr">
        <is>
          <t xml:space="preserve"> </t>
        </is>
      </c>
    </row>
    <row r="111">
      <c r="A111" s="9" t="n">
        <v>108</v>
      </c>
      <c r="B111" s="10" t="inlineStr">
        <is>
          <t xml:space="preserve"> </t>
        </is>
      </c>
    </row>
    <row r="112">
      <c r="A112" s="7" t="n">
        <v>109</v>
      </c>
      <c r="B112" s="8" t="inlineStr">
        <is>
          <t xml:space="preserve"> </t>
        </is>
      </c>
    </row>
    <row r="113">
      <c r="A113" s="9" t="n">
        <v>110</v>
      </c>
      <c r="B113" s="10" t="inlineStr">
        <is>
          <t xml:space="preserve">  % % % % % % % % % % % % % % % % % % % % % % % % % % % % % % % % % % % % % % % %</t>
        </is>
      </c>
    </row>
    <row r="114">
      <c r="A114" s="7" t="n">
        <v>111</v>
      </c>
      <c r="B114" s="8" t="inlineStr">
        <is>
          <t xml:space="preserve"> </t>
        </is>
      </c>
    </row>
    <row r="115">
      <c r="A115" s="9" t="n">
        <v>112</v>
      </c>
      <c r="B115" s="10" t="inlineStr">
        <is>
          <t xml:space="preserve">  R��9e � ��Szz�� �JT+R O�~ �Lh ����b ��Szz���Pte�[ _ q�eGS�~ ��[�Q�[ Y���S O(u 0 b�N�N�\ g(� a\O:Np�b��WPg �-dM����g N�[(g</t>
        </is>
      </c>
    </row>
    <row r="116">
      <c r="A116" s="7" t="n">
        <v>113</v>
      </c>
      <c r="B116" s="8" t="inlineStr">
        <is>
          <t>Y T g�~�g ��e�OYu O�~ �Lh�v�[(u�R�� ��S�b	g ��Szz�� � � _ ��v l�V a � �M� \7b�W 0'Ys^B\ 0+R�XI{ T{|zz��Sb ��\�S 0</t>
        </is>
      </c>
    </row>
    <row r="117">
      <c r="A117" s="9" t="n">
        <v>114</v>
      </c>
      <c r="B117" s="10" t="inlineStr">
        <is>
          <t xml:space="preserve"> </t>
        </is>
      </c>
    </row>
    <row r="118">
      <c r="A118" s="7" t="n">
        <v>115</v>
      </c>
      <c r="B118" s="8" t="inlineStr">
        <is>
          <t xml:space="preserve">  % % % % % % % % % % % % % % % % % % % % % % % % % % % % % % % % % % % % % % % %</t>
        </is>
      </c>
    </row>
    <row r="119">
      <c r="A119" s="9" t="n">
        <v>116</v>
      </c>
      <c r="B119" s="10" t="inlineStr">
        <is>
          <t xml:space="preserve"> </t>
        </is>
      </c>
    </row>
    <row r="120">
      <c r="A120" s="7" t="n">
        <v>117</v>
      </c>
      <c r="B120" s="8" t="inlineStr">
        <is>
          <t xml:space="preserve">       [ * ]   �eHh�]�OX[:   E : \  hjRo��N�vsQ�e�N\ 0 4 _ �eHh\ �eHh_ �\�S_ 2 0 2 6 0 6 1 3 _ 2 1 1 0 1 3 . t x t </t>
        </is>
      </c>
    </row>
    <row r="121">
      <c r="A121" s="9" t="n">
        <v>118</v>
      </c>
      <c r="B121" s="10" t="inlineStr">
        <is>
          <t xml:space="preserve"> </t>
        </is>
      </c>
    </row>
    <row r="122">
      <c r="A122" s="7" t="n">
        <v>119</v>
      </c>
      <c r="B122" s="8" t="inlineStr">
        <is>
          <t xml:space="preserve">       [ * ]   3 agW[U^( �SP[�~�b R, �] n m) </t>
        </is>
      </c>
    </row>
    <row r="123">
      <c r="A123" s="9" t="n">
        <v>120</v>
      </c>
      <c r="B123" s="10" t="inlineStr">
        <is>
          <t xml:space="preserve"> </t>
        </is>
      </c>
    </row>
    <row r="124">
      <c r="A124" s="7" t="n">
        <v>121</v>
      </c>
      <c r="B124" s="8" t="inlineStr">
        <is>
          <t xml:space="preserve"> </t>
        </is>
      </c>
    </row>
    <row r="125">
      <c r="A125" s="9" t="n">
        <v>122</v>
      </c>
      <c r="B125" s="10" t="inlineStr">
        <is>
          <t xml:space="preserve"> </t>
        </is>
      </c>
    </row>
    <row r="126">
      <c r="A126" s="7" t="n">
        <v>123</v>
      </c>
      <c r="B126" s="8" t="inlineStr">
        <is>
          <t xml:space="preserve"> = = = = = = = = = = = = = = = = = = = = = = = = = = = = = = = = = = = = = = = = = = = = = = = = = = </t>
        </is>
      </c>
    </row>
    <row r="127">
      <c r="A127" s="9" t="n">
        <v>124</v>
      </c>
      <c r="B127" s="10" t="inlineStr">
        <is>
          <t xml:space="preserve"> </t>
        </is>
      </c>
    </row>
    <row r="128">
      <c r="A128" s="7" t="n">
        <v>125</v>
      </c>
      <c r="B128" s="8" t="inlineStr">
        <is>
          <t xml:space="preserve"> [ * ]     S t e p   3 / 6 :    u b�[teM��. . . </t>
        </is>
      </c>
    </row>
    <row r="129">
      <c r="A129" s="9" t="n">
        <v>126</v>
      </c>
      <c r="B129" s="10" t="inlineStr">
        <is>
          <t xml:space="preserve"> </t>
        </is>
      </c>
    </row>
    <row r="130">
      <c r="A130" s="7" t="n">
        <v>127</v>
      </c>
      <c r="B130" s="8" t="inlineStr">
        <is>
          <t xml:space="preserve">       &lt;ؙ�  ck(W u b  A I   M��  ( E d g e   T T S ,   z h - C N - X i a o y i N e u r a l ,   r a t e = + 1 0 % ) . . . </t>
        </is>
      </c>
    </row>
    <row r="131">
      <c r="A131" s="9" t="n">
        <v>128</v>
      </c>
      <c r="B131" s="10" t="inlineStr">
        <is>
          <t xml:space="preserve"> </t>
        </is>
      </c>
    </row>
    <row r="132">
      <c r="A132" s="7" t="n">
        <v>129</v>
      </c>
      <c r="B132" s="8" t="inlineStr">
        <is>
          <t xml:space="preserve">       =���   n m T�eHh:    R��9e � ��Szz�� �JT+R O�~ �Lh �. ���b ��Szz���Pte�[ _ q�eGS�~ ��[�Q�[ Y���S O(u 0.  b�N�N�\ g(� a\O:Np�b��WPg �-dM����g N�[(g</t>
        </is>
      </c>
    </row>
    <row r="133">
      <c r="A133" s="9" t="n">
        <v>130</v>
      </c>
      <c r="B133" s="10" t="inlineStr">
        <is>
          <t xml:space="preserve">Y T g�~�g ��e�OYu O�~ �Lh�v�[(u�R. . . </t>
        </is>
      </c>
    </row>
    <row r="134">
      <c r="A134" s="7" t="n">
        <v>131</v>
      </c>
      <c r="B134" s="8" t="inlineStr">
        <is>
          <t xml:space="preserve"> </t>
        </is>
      </c>
    </row>
    <row r="135">
      <c r="A135" s="9" t="n">
        <v>132</v>
      </c>
      <c r="B135" s="10" t="inlineStr">
        <is>
          <t xml:space="preserve">        '  �e�S!h�� �Ǐ( �O�b͋�[te) </t>
        </is>
      </c>
    </row>
    <row r="136">
      <c r="A136" s="7" t="n">
        <v>133</v>
      </c>
      <c r="B136" s="8" t="inlineStr">
        <is>
          <t xml:space="preserve"> </t>
        </is>
      </c>
    </row>
    <row r="137">
      <c r="A137" s="9" t="n">
        <v>134</v>
      </c>
      <c r="B137" s="10" t="inlineStr">
        <is>
          <t xml:space="preserve">        '  A I   M�� u b�[ b:   M��_ �\�S_ 2 0 2 6 0 6 1 3 _ 2 1 1 0 1 3 . m p 3   ( 1 3 7 K B ) </t>
        </is>
      </c>
    </row>
    <row r="138">
      <c r="A138" s="7" t="n">
        <v>135</v>
      </c>
      <c r="B138" s="8" t="inlineStr">
        <is>
          <t xml:space="preserve"> </t>
        </is>
      </c>
    </row>
    <row r="139">
      <c r="A139" s="9" t="n">
        <v>136</v>
      </c>
      <c r="B139" s="10" t="inlineStr">
        <is>
          <t xml:space="preserve">       �#     &amp;  M��|nx�e �:   2 3 . 4 �y</t>
        </is>
      </c>
    </row>
    <row r="140">
      <c r="A140" s="7" t="n">
        <v>137</v>
      </c>
      <c r="B140" s="8" t="inlineStr">
        <is>
          <t xml:space="preserve"> </t>
        </is>
      </c>
    </row>
    <row r="141">
      <c r="A141" s="9" t="n">
        <v>138</v>
      </c>
      <c r="B141" s="10" t="inlineStr">
        <is>
          <t xml:space="preserve"> </t>
        </is>
      </c>
    </row>
    <row r="142">
      <c r="A142" s="7" t="n">
        <v>139</v>
      </c>
      <c r="B142" s="8" t="inlineStr">
        <is>
          <t xml:space="preserve"> </t>
        </is>
      </c>
    </row>
    <row r="143">
      <c r="A143" s="9" t="n">
        <v>140</v>
      </c>
      <c r="B143" s="10" t="inlineStr">
        <is>
          <t xml:space="preserve"> = = = = = = = = = = = = = = = = = = = = = = = = = = = = = = = = = = = = = = = = = = = = = = = = = = </t>
        </is>
      </c>
    </row>
    <row r="144">
      <c r="A144" s="7" t="n">
        <v>141</v>
      </c>
      <c r="B144" s="8" t="inlineStr">
        <is>
          <t xml:space="preserve"> </t>
        </is>
      </c>
    </row>
    <row r="145">
      <c r="A145" s="9" t="n">
        <v>142</v>
      </c>
      <c r="B145" s="10" t="inlineStr">
        <is>
          <t xml:space="preserve"> [ * ]   S t e p   4 / 6 :   9hncM���e �	��S }Pg( �v h2 3 . 4 �y) . . . </t>
        </is>
      </c>
    </row>
    <row r="146">
      <c r="A146" s="7" t="n">
        <v>143</v>
      </c>
      <c r="B146" s="8" t="inlineStr">
        <is>
          <t xml:space="preserve"> </t>
        </is>
      </c>
    </row>
    <row r="147">
      <c r="A147" s="9" t="n">
        <v>144</v>
      </c>
      <c r="B147" s="10" t="inlineStr">
        <is>
          <t xml:space="preserve">       [ O p e n i n g ]    _:W }Pg:    06 0  0 0�_4l�lvY�l}v+ pQ�N�� j(g�~�\ g 0�m3W�N \�Y   0�\�S</t>
        </is>
      </c>
    </row>
    <row r="148">
      <c r="A148" s="7" t="n">
        <v>145</v>
      </c>
      <c r="B148" s="8" t="inlineStr">
        <is>
          <t>NB\���b6e�~U\:y����</t>
        </is>
      </c>
    </row>
    <row r="149">
      <c r="A149" s="9" t="n">
        <v>146</v>
      </c>
      <c r="B149" s="10" t="inlineStr">
        <is>
          <t xml:space="preserve"> </t>
        </is>
      </c>
    </row>
    <row r="150">
      <c r="A150" s="7" t="n">
        <v>147</v>
      </c>
      <c r="B150" s="8" t="inlineStr">
        <is>
          <t xml:space="preserve">       [ A d a p t i v e ]    �,g�T ^:   a b 5 b 6 c 9 1 9 0 9 e 7 4 c 9 ,   �]�cd�:   1 *N }Pg</t>
        </is>
      </c>
    </row>
    <row r="151">
      <c r="A151" s="9" t="n">
        <v>148</v>
      </c>
      <c r="B151" s="10" t="inlineStr">
        <is>
          <t xml:space="preserve"> </t>
        </is>
      </c>
    </row>
    <row r="152">
      <c r="A152" s="7" t="n">
        <v>149</v>
      </c>
      <c r="B152" s="8" t="inlineStr">
        <is>
          <t xml:space="preserve"> </t>
        </is>
      </c>
    </row>
    <row r="153">
      <c r="A153" s="9" t="n">
        <v>150</v>
      </c>
      <c r="B153" s="10" t="inlineStr">
        <is>
          <t xml:space="preserve"> </t>
        </is>
      </c>
    </row>
    <row r="154">
      <c r="A154" s="7" t="n">
        <v>151</v>
      </c>
      <c r="B154" s="8" t="inlineStr">
        <is>
          <t xml:space="preserve"> L o a d i n g   w e i g h t s :       0 % |                     |   0 / 3 9 1   [ 0 0 : 0 0 &lt; ? ,   ? i t / s ] </t>
        </is>
      </c>
    </row>
    <row r="155">
      <c r="A155" s="9" t="n">
        <v>152</v>
      </c>
      <c r="B155" s="10" t="inlineStr">
        <is>
          <t xml:space="preserve"> </t>
        </is>
      </c>
    </row>
    <row r="156">
      <c r="A156" s="7" t="n">
        <v>153</v>
      </c>
      <c r="B156" s="8" t="inlineStr">
        <is>
          <t xml:space="preserve"> L o a d i n g   w e i g h t s :   1 0 0 % | �%�%�%�%�%�%�%�%�%�%|   3 9 1 / 3 9 1   [ 0 0 : 0 0 &lt; 0 0 : 0 0 ,   6 5 1 6 8 . 8 0 i t / s ] </t>
        </is>
      </c>
    </row>
    <row r="157">
      <c r="A157" s="9" t="n">
        <v>154</v>
      </c>
      <c r="B157" s="10" t="inlineStr">
        <is>
          <t xml:space="preserve"> </t>
        </is>
      </c>
    </row>
    <row r="158">
      <c r="A158" s="7" t="n">
        <v>155</v>
      </c>
      <c r="B158" s="8" t="inlineStr">
        <is>
          <t xml:space="preserve">       [ A d a p t i v e M a t c h ]   � ��^9SM�:   2 *NGr�k  ( �S͑+ OP}Y+ p��Q) </t>
        </is>
      </c>
    </row>
    <row r="159">
      <c r="A159" s="9" t="n">
        <v>156</v>
      </c>
      <c r="B159" s="10" t="inlineStr">
        <is>
          <t xml:space="preserve"> </t>
        </is>
      </c>
    </row>
    <row r="160">
      <c r="A160" s="7" t="n">
        <v>157</v>
      </c>
      <c r="B160" s="8" t="inlineStr">
        <is>
          <t xml:space="preserve"> </t>
        </is>
      </c>
    </row>
    <row r="161">
      <c r="A161" s="9" t="n">
        <v>158</v>
      </c>
      <c r="B161" s="10" t="inlineStr">
        <is>
          <t xml:space="preserve"> </t>
        </is>
      </c>
    </row>
    <row r="162">
      <c r="A162" s="7" t="n">
        <v>159</v>
      </c>
      <c r="B162" s="8" t="inlineStr">
        <is>
          <t xml:space="preserve">       [ * ]   	��S�N  3   *NGr�k: </t>
        </is>
      </c>
    </row>
    <row r="163">
      <c r="A163" s="9" t="n">
        <v>160</v>
      </c>
      <c r="B163" s="10" t="inlineStr">
        <is>
          <t xml:space="preserve"> </t>
        </is>
      </c>
    </row>
    <row r="164">
      <c r="A164" s="7" t="n">
        <v>161</v>
      </c>
      <c r="B164" s="8" t="inlineStr">
        <is>
          <t xml:space="preserve">       [ 1 ]    06 0  0 0�_4l�lvY�l}v+ pQ�N�� j(g�~�\ g 0�m3W�N \�Y   0�\�S</t>
        </is>
      </c>
    </row>
    <row r="165">
      <c r="A165" s="9" t="n">
        <v>162</v>
      </c>
      <c r="B165" s="10" t="inlineStr">
        <is>
          <t xml:space="preserve">NB\���b6e�~U\:y���� 0- 1 . m p 4 </t>
        </is>
      </c>
    </row>
    <row r="166">
      <c r="A166" s="7" t="n">
        <v>163</v>
      </c>
      <c r="B166" s="8" t="inlineStr">
        <is>
          <t xml:space="preserve"> </t>
        </is>
      </c>
    </row>
    <row r="167">
      <c r="A167" s="9" t="n">
        <v>164</v>
      </c>
      <c r="B167" s="10" t="inlineStr">
        <is>
          <t xml:space="preserve">                 �!  *b�S  5 . 0 s   w�  5 . 0 �y</t>
        </is>
      </c>
    </row>
    <row r="168">
      <c r="A168" s="7" t="n">
        <v>165</v>
      </c>
      <c r="B168" s="8" t="inlineStr">
        <is>
          <t xml:space="preserve"> </t>
        </is>
      </c>
    </row>
    <row r="169">
      <c r="A169" s="9" t="n">
        <v>166</v>
      </c>
      <c r="B169" s="10" t="inlineStr">
        <is>
          <t xml:space="preserve">       [ 2 ]    01 3 4  0 04l�x�w�gSO+ ~�s|)R�N�h 0Ym_l��HQ u 0 NB\�bI\6e�~</t>
        </is>
      </c>
    </row>
    <row r="170">
      <c r="A170" s="7" t="n">
        <v>167</v>
      </c>
      <c r="B170" s="8" t="inlineStr">
        <is>
          <t xml:space="preserve">Njm9�zz���v�\�S 0 00 1  0- 1 . m p 4 </t>
        </is>
      </c>
    </row>
    <row r="171">
      <c r="A171" s="9" t="n">
        <v>168</v>
      </c>
      <c r="B171" s="10" t="inlineStr">
        <is>
          <t xml:space="preserve"> </t>
        </is>
      </c>
    </row>
    <row r="172">
      <c r="A172" s="7" t="n">
        <v>169</v>
      </c>
      <c r="B172" s="8" t="inlineStr">
        <is>
          <t xml:space="preserve">                 �!  *b�S  0 . 0 s   w�  3 . 5 �y</t>
        </is>
      </c>
    </row>
    <row r="173">
      <c r="A173" s="9" t="n">
        <v>170</v>
      </c>
      <c r="B173" s="10" t="inlineStr">
        <is>
          <t xml:space="preserve"> </t>
        </is>
      </c>
    </row>
    <row r="174">
      <c r="A174" s="7" t="n">
        <v>171</v>
      </c>
      <c r="B174" s="8" t="inlineStr">
        <is>
          <t xml:space="preserve">       [ 3 ]      02 9  0 0W l� m�w 0�V�] RsY�X 03 ���b0W�[h�6e�~U\:y 0 0��[r0 2  0- 2 . m p 4 </t>
        </is>
      </c>
    </row>
    <row r="175">
      <c r="A175" s="9" t="n">
        <v>172</v>
      </c>
      <c r="B175" s="10" t="inlineStr">
        <is>
          <t xml:space="preserve"> </t>
        </is>
      </c>
    </row>
    <row r="176">
      <c r="A176" s="7" t="n">
        <v>173</v>
      </c>
      <c r="B176" s="8" t="inlineStr">
        <is>
          <t xml:space="preserve">                 �!  *b�S  0 . 0 s   w�  4 . 6 �y</t>
        </is>
      </c>
    </row>
    <row r="177">
      <c r="A177" s="9" t="n">
        <v>174</v>
      </c>
      <c r="B177" s="10" t="inlineStr">
        <is>
          <t xml:space="preserve"> </t>
        </is>
      </c>
    </row>
    <row r="178">
      <c r="A178" s="7" t="n">
        <v>175</v>
      </c>
      <c r="B178" s="8" t="inlineStr">
        <is>
          <t xml:space="preserve">       [ * ]   ;`�e �:   1 3 . 1 �y</t>
        </is>
      </c>
    </row>
    <row r="179">
      <c r="A179" s="9" t="n">
        <v>176</v>
      </c>
      <c r="B179" s="10" t="inlineStr">
        <is>
          <t xml:space="preserve"> </t>
        </is>
      </c>
    </row>
    <row r="180">
      <c r="A180" s="7" t="n">
        <v>177</v>
      </c>
      <c r="B180" s="8" t="inlineStr">
        <is>
          <t xml:space="preserve">       &gt; &gt;   (�ϑǏ�n:   3   �!  3   *NGr�k  (  �&lt;P0 . 3 ) </t>
        </is>
      </c>
    </row>
    <row r="181">
      <c r="A181" s="9" t="n">
        <v>178</v>
      </c>
      <c r="B181" s="10" t="inlineStr">
        <is>
          <t xml:space="preserve"> </t>
        </is>
      </c>
    </row>
    <row r="182">
      <c r="A182" s="7" t="n">
        <v>179</v>
      </c>
      <c r="B182" s="8" t="inlineStr">
        <is>
          <t xml:space="preserve">       [ D E D U P ]   �S͑:   3   �!  3   *NGr�k</t>
        </is>
      </c>
    </row>
    <row r="183">
      <c r="A183" s="9" t="n">
        <v>180</v>
      </c>
      <c r="B183" s="10" t="inlineStr">
        <is>
          <t xml:space="preserve"> </t>
        </is>
      </c>
    </row>
    <row r="184">
      <c r="A184" s="7" t="n">
        <v>181</v>
      </c>
      <c r="B184" s="8" t="inlineStr">
        <is>
          <t xml:space="preserve">       [ ! ]    }Pg</t>
        </is>
      </c>
    </row>
    <row r="185">
      <c r="A185" s="9" t="n">
        <v>182</v>
      </c>
      <c r="B185" s="10" t="inlineStr">
        <is>
          <t xml:space="preserve">N��:   : 1 1 . 8 s , ꁨRe�EQ. . . </t>
        </is>
      </c>
    </row>
    <row r="186">
      <c r="A186" s="7" t="n">
        <v>183</v>
      </c>
      <c r="B186" s="8" t="inlineStr">
        <is>
          <t xml:space="preserve"> </t>
        </is>
      </c>
    </row>
    <row r="187">
      <c r="A187" s="9" t="n">
        <v>184</v>
      </c>
      <c r="B187" s="10" t="inlineStr">
        <is>
          <t xml:space="preserve">       [ O K ]   ꁨRe�EQ  3   *NGr�k  - &gt;   ;`�e �2 5 . 2 s </t>
        </is>
      </c>
    </row>
    <row r="188">
      <c r="A188" s="7" t="n">
        <v>185</v>
      </c>
      <c r="B188" s="8" t="inlineStr">
        <is>
          <t xml:space="preserve"> </t>
        </is>
      </c>
    </row>
    <row r="189">
      <c r="A189" s="9" t="n">
        <v>186</v>
      </c>
      <c r="B189" s="10" t="inlineStr">
        <is>
          <t xml:space="preserve"> </t>
        </is>
      </c>
    </row>
    <row r="190">
      <c r="A190" s="7" t="n">
        <v>187</v>
      </c>
      <c r="B190" s="8" t="inlineStr">
        <is>
          <t xml:space="preserve"> </t>
        </is>
      </c>
    </row>
    <row r="191">
      <c r="A191" s="9" t="n">
        <v>188</v>
      </c>
      <c r="B191" s="10" t="inlineStr">
        <is>
          <t xml:space="preserve">       [ * ]   	��S�N  6   *NGr�k: </t>
        </is>
      </c>
    </row>
    <row r="192">
      <c r="A192" s="7" t="n">
        <v>189</v>
      </c>
      <c r="B192" s="8" t="inlineStr">
        <is>
          <t xml:space="preserve"> </t>
        </is>
      </c>
    </row>
    <row r="193">
      <c r="A193" s="9" t="n">
        <v>190</v>
      </c>
      <c r="B193" s="10" t="inlineStr">
        <is>
          <t xml:space="preserve">       [ 1 ]    06 0  0 0�_4l�lvY�l}v+ pQ�N�� j(g�~�\ g 0�m3W�N \�Y   0�\�S</t>
        </is>
      </c>
    </row>
    <row r="194">
      <c r="A194" s="7" t="n">
        <v>191</v>
      </c>
      <c r="B194" s="8" t="inlineStr">
        <is>
          <t xml:space="preserve">NB\���b6e�~U\:y���� 0- 1 . m p 4 </t>
        </is>
      </c>
    </row>
    <row r="195">
      <c r="A195" s="9" t="n">
        <v>192</v>
      </c>
      <c r="B195" s="10" t="inlineStr">
        <is>
          <t xml:space="preserve"> </t>
        </is>
      </c>
    </row>
    <row r="196">
      <c r="A196" s="7" t="n">
        <v>193</v>
      </c>
      <c r="B196" s="8" t="inlineStr">
        <is>
          <t xml:space="preserve">                 �!  *b�S  5 . 0 s   w�  5 . 0 �y</t>
        </is>
      </c>
    </row>
    <row r="197">
      <c r="A197" s="9" t="n">
        <v>194</v>
      </c>
      <c r="B197" s="10" t="inlineStr">
        <is>
          <t xml:space="preserve"> </t>
        </is>
      </c>
    </row>
    <row r="198">
      <c r="A198" s="7" t="n">
        <v>195</v>
      </c>
      <c r="B198" s="8" t="inlineStr">
        <is>
          <t xml:space="preserve">       [ 2 ]    01 3 4  0 04l�x�w�gSO+ ~�s|)R�N�h 0Ym_l��HQ u 0 NB\�bI\6e�~</t>
        </is>
      </c>
    </row>
    <row r="199">
      <c r="A199" s="9" t="n">
        <v>196</v>
      </c>
      <c r="B199" s="10" t="inlineStr">
        <is>
          <t xml:space="preserve">Njm9�zz���v�\�S 0 00 1  0- 1 . m p 4 </t>
        </is>
      </c>
    </row>
    <row r="200">
      <c r="A200" s="7" t="n">
        <v>197</v>
      </c>
      <c r="B200" s="8" t="inlineStr">
        <is>
          <t xml:space="preserve"> </t>
        </is>
      </c>
    </row>
    <row r="201">
      <c r="A201" s="9" t="n">
        <v>198</v>
      </c>
      <c r="B201" s="10" t="inlineStr">
        <is>
          <t xml:space="preserve">                 �!  *b�S  0 . 0 s   w�  3 . 5 �y</t>
        </is>
      </c>
    </row>
    <row r="202">
      <c r="A202" s="7" t="n">
        <v>199</v>
      </c>
      <c r="B202" s="8" t="inlineStr">
        <is>
          <t xml:space="preserve"> </t>
        </is>
      </c>
    </row>
    <row r="203">
      <c r="A203" s="9" t="n">
        <v>200</v>
      </c>
      <c r="B203" s="10" t="inlineStr">
        <is>
          <t xml:space="preserve">       [ 3 ]      02 9  0 0W l� m�w 0�V�] RsY�X 03 ���b0W�[h�6e�~U\:y 0 0��[r0 2  0- 2 . m p 4 </t>
        </is>
      </c>
    </row>
    <row r="204">
      <c r="A204" s="7" t="n">
        <v>201</v>
      </c>
      <c r="B204" s="8" t="inlineStr">
        <is>
          <t xml:space="preserve"> </t>
        </is>
      </c>
    </row>
    <row r="205">
      <c r="A205" s="9" t="n">
        <v>202</v>
      </c>
      <c r="B205" s="10" t="inlineStr">
        <is>
          <t xml:space="preserve">                 �!  *b�S  0 . 0 s   w�  4 . 6 �y</t>
        </is>
      </c>
    </row>
    <row r="206">
      <c r="A206" s="7" t="n">
        <v>203</v>
      </c>
      <c r="B206" s="8" t="inlineStr">
        <is>
          <t xml:space="preserve"> </t>
        </is>
      </c>
    </row>
    <row r="207">
      <c r="A207" s="9" t="n">
        <v>204</v>
      </c>
      <c r="B207" s="10" t="inlineStr">
        <is>
          <t xml:space="preserve">       [ 4 ]    03 0  0 0ce��Xo Y�b+ �~ў�TIQ+  S� ў�Ch 0_lςkp \�Y 0ce��Xo Y�b+ �~ў�TIQ+  S� ў�Ch	N*N��r��v�~- 1 . . . </t>
        </is>
      </c>
    </row>
    <row r="208">
      <c r="A208" s="7" t="n">
        <v>205</v>
      </c>
      <c r="B208" s="8" t="inlineStr">
        <is>
          <t xml:space="preserve"> </t>
        </is>
      </c>
    </row>
    <row r="209">
      <c r="A209" s="9" t="n">
        <v>206</v>
      </c>
      <c r="B209" s="10" t="inlineStr">
        <is>
          <t xml:space="preserve">                 �!  *b�S  2 . 8 s   w�  4 . 1 �y</t>
        </is>
      </c>
    </row>
    <row r="210">
      <c r="A210" s="7" t="n">
        <v>207</v>
      </c>
      <c r="B210" s="8" t="inlineStr">
        <is>
          <t xml:space="preserve"> </t>
        </is>
      </c>
    </row>
    <row r="211">
      <c r="A211" s="9" t="n">
        <v>208</v>
      </c>
      <c r="B211" s="10" t="inlineStr">
        <is>
          <t xml:space="preserve">       [ 5 ]    01 3 2  0 0�NIQXo Y�b+ ݄� �g(g�m�h 0_lςhTHQ u 0�g�{ΘM�r��v�\�S 0- 1 . m p 4 </t>
        </is>
      </c>
    </row>
    <row r="212">
      <c r="A212" s="7" t="n">
        <v>209</v>
      </c>
      <c r="B212" s="8" t="inlineStr">
        <is>
          <t xml:space="preserve"> </t>
        </is>
      </c>
    </row>
    <row r="213">
      <c r="A213" s="9" t="n">
        <v>210</v>
      </c>
      <c r="B213" s="10" t="inlineStr">
        <is>
          <t xml:space="preserve">                 �!  *b�S  0 . 4 s   w�  4 . 5 �y</t>
        </is>
      </c>
    </row>
    <row r="214">
      <c r="A214" s="7" t="n">
        <v>211</v>
      </c>
      <c r="B214" s="8" t="inlineStr">
        <is>
          <t xml:space="preserve"> </t>
        </is>
      </c>
    </row>
    <row r="215">
      <c r="A215" s="9" t="n">
        <v>212</v>
      </c>
      <c r="B215" s="10" t="inlineStr">
        <is>
          <t xml:space="preserve">       [ 6 ]    09 0  0 0�Q� � + �~ Y)R�N 0&amp;Ofe 0zz\��\�S �Lh NSO6e�~�~��U\:y 0- 1 . m p 4 </t>
        </is>
      </c>
    </row>
    <row r="216">
      <c r="A216" s="7" t="n">
        <v>213</v>
      </c>
      <c r="B216" s="8" t="inlineStr">
        <is>
          <t xml:space="preserve"> </t>
        </is>
      </c>
    </row>
    <row r="217">
      <c r="A217" s="9" t="n">
        <v>214</v>
      </c>
      <c r="B217" s="10" t="inlineStr">
        <is>
          <t xml:space="preserve">                 �!  *b�S  1 . 3 s   w�  3 . 5 �y</t>
        </is>
      </c>
    </row>
    <row r="218">
      <c r="A218" s="7" t="n">
        <v>215</v>
      </c>
      <c r="B218" s="8" t="inlineStr">
        <is>
          <t xml:space="preserve"> </t>
        </is>
      </c>
    </row>
    <row r="219">
      <c r="A219" s="9" t="n">
        <v>216</v>
      </c>
      <c r="B219" s="10" t="inlineStr">
        <is>
          <t xml:space="preserve">       [ * ]   ;`�e �:   2 5 . 2 �y</t>
        </is>
      </c>
    </row>
    <row r="220">
      <c r="A220" s="7" t="n">
        <v>217</v>
      </c>
      <c r="B220" s="8" t="inlineStr">
        <is>
          <t xml:space="preserve"> </t>
        </is>
      </c>
    </row>
    <row r="221">
      <c r="A221" s="9" t="n">
        <v>218</v>
      </c>
      <c r="B221" s="10" t="inlineStr">
        <is>
          <t xml:space="preserve"> </t>
        </is>
      </c>
    </row>
    <row r="222">
      <c r="A222" s="7" t="n">
        <v>219</v>
      </c>
      <c r="B222" s="8" t="inlineStr">
        <is>
          <t xml:space="preserve"> </t>
        </is>
      </c>
    </row>
    <row r="223">
      <c r="A223" s="9" t="n">
        <v>220</v>
      </c>
      <c r="B223" s="10" t="inlineStr">
        <is>
          <t xml:space="preserve"> = = = = = = = = = = = = = = = = = = = = = = = = = = = = = = = = = = = = = = = = = = = = = = = = = = </t>
        </is>
      </c>
    </row>
    <row r="224">
      <c r="A224" s="7" t="n">
        <v>221</v>
      </c>
      <c r="B224" s="8" t="inlineStr">
        <is>
          <t xml:space="preserve"> </t>
        </is>
      </c>
    </row>
    <row r="225">
      <c r="A225" s="9" t="n">
        <v>222</v>
      </c>
      <c r="B225" s="10" t="inlineStr">
        <is>
          <t xml:space="preserve"> [ * ]   S t e p   5 / 6 :    Y tB G M . . . </t>
        </is>
      </c>
    </row>
    <row r="226">
      <c r="A226" s="7" t="n">
        <v>223</v>
      </c>
      <c r="B226" s="8" t="inlineStr">
        <is>
          <t xml:space="preserve"> </t>
        </is>
      </c>
    </row>
    <row r="227">
      <c r="A227" s="9" t="n">
        <v>224</v>
      </c>
      <c r="B227" s="10" t="inlineStr">
        <is>
          <t xml:space="preserve">       [ * ]   [ B G M ]   ,g0W��:g:   m i x k i t _ u p b e a t _ m o d e r n _ b c 0 6 f 5 0 4 . m p 3 </t>
        </is>
      </c>
    </row>
    <row r="228">
      <c r="A228" s="7" t="n">
        <v>225</v>
      </c>
      <c r="B228" s="8" t="inlineStr">
        <is>
          <t xml:space="preserve"> </t>
        </is>
      </c>
    </row>
    <row r="229">
      <c r="A229" s="9" t="n">
        <v>226</v>
      </c>
      <c r="B229" s="10" t="inlineStr">
        <is>
          <t xml:space="preserve"> </t>
        </is>
      </c>
    </row>
    <row r="230">
      <c r="A230" s="7" t="n">
        <v>227</v>
      </c>
      <c r="B230" s="8" t="inlineStr">
        <is>
          <t xml:space="preserve"> </t>
        </is>
      </c>
    </row>
    <row r="231">
      <c r="A231" s="9" t="n">
        <v>228</v>
      </c>
      <c r="B231" s="10" t="inlineStr">
        <is>
          <t xml:space="preserve"> = = = = = = = = = = = = = = = = = = = = = = = = = = = = = = = = = = = = = = = = = = = = = = = = = = </t>
        </is>
      </c>
    </row>
    <row r="232">
      <c r="A232" s="7" t="n">
        <v>229</v>
      </c>
      <c r="B232" s="8" t="inlineStr">
        <is>
          <t xml:space="preserve"> </t>
        </is>
      </c>
    </row>
    <row r="233">
      <c r="A233" s="9" t="n">
        <v>230</v>
      </c>
      <c r="B233" s="10" t="inlineStr">
        <is>
          <t xml:space="preserve"> [ * ]   S t e p   6 / 6 :    u bjR fI�?z. . . </t>
        </is>
      </c>
    </row>
    <row r="234">
      <c r="A234" s="7" t="n">
        <v>231</v>
      </c>
      <c r="B234" s="8" t="inlineStr">
        <is>
          <t xml:space="preserve"> </t>
        </is>
      </c>
    </row>
    <row r="235">
      <c r="A235" s="9" t="n">
        <v>232</v>
      </c>
      <c r="B235" s="10" t="inlineStr">
        <is>
          <t xml:space="preserve"> </t>
        </is>
      </c>
    </row>
    <row r="236">
      <c r="A236" s="7" t="n">
        <v>233</v>
      </c>
      <c r="B236" s="8" t="inlineStr">
        <is>
          <t xml:space="preserve"> </t>
        </is>
      </c>
    </row>
    <row r="237">
      <c r="A237" s="9" t="n">
        <v>234</v>
      </c>
      <c r="B237" s="10" t="inlineStr">
        <is>
          <t xml:space="preserve">        '  jR fI�?z�] u b �</t>
        </is>
      </c>
    </row>
    <row r="238">
      <c r="A238" s="7" t="n">
        <v>235</v>
      </c>
      <c r="B238" s="8" t="inlineStr">
        <is>
          <t xml:space="preserve"> </t>
        </is>
      </c>
    </row>
    <row r="239">
      <c r="A239" s="9" t="n">
        <v>236</v>
      </c>
      <c r="B239" s="10" t="inlineStr">
        <is>
          <t xml:space="preserve">       =���  I�?z�vU_:   C : \ U s e r s \ a d m i n \ A p p D a t a \ L o c a l \ J i a n y i n g P r o \ U s e r   D a t a \ P r o j e c t s \ c o m . l v e d i t o r . d r a f t \ 2 0 2 6 0 6 1 3 _ 2 1 1 1 1 4 _ �\�S_  hjR</t>
        </is>
      </c>
    </row>
    <row r="240">
      <c r="A240" s="7" t="n">
        <v>237</v>
      </c>
      <c r="B240" s="8" t="inlineStr">
        <is>
          <t xml:space="preserve"> </t>
        </is>
      </c>
    </row>
    <row r="241">
      <c r="A241" s="9" t="n">
        <v>238</v>
      </c>
      <c r="B241" s="10" t="inlineStr">
        <is>
          <t xml:space="preserve">       =ؾ�   Y�N�]�OX[:   E : \  hjRo��N�vsQ�e�N\ 0 3 _ �|jR���Q\ 2 0 2 6 0 6 1 3 _ 2 1 1 1 1 4 _ �\�S_  hjR</t>
        </is>
      </c>
    </row>
    <row r="242">
      <c r="A242" s="7" t="n">
        <v>239</v>
      </c>
      <c r="B242" s="8" t="inlineStr">
        <is>
          <t xml:space="preserve"> </t>
        </is>
      </c>
    </row>
    <row r="243">
      <c r="A243" s="9" t="n">
        <v>240</v>
      </c>
      <c r="B243" s="10" t="inlineStr">
        <is>
          <t xml:space="preserve"> </t>
        </is>
      </c>
    </row>
    <row r="244">
      <c r="A244" s="7" t="n">
        <v>241</v>
      </c>
      <c r="B244" s="8" t="inlineStr">
        <is>
          <t xml:space="preserve"> </t>
        </is>
      </c>
    </row>
    <row r="245">
      <c r="A245" s="9" t="n">
        <v>242</v>
      </c>
      <c r="B245" s="10" t="inlineStr">
        <is>
          <t xml:space="preserve"> = = = = = = = = = = = = = = = = = = = = = = = = = = = = = = = = = = = = = = = = = = = = = = = = = = </t>
        </is>
      </c>
    </row>
    <row r="246">
      <c r="A246" s="7" t="n">
        <v>243</v>
      </c>
      <c r="B246" s="8" t="inlineStr">
        <is>
          <t xml:space="preserve"> </t>
        </is>
      </c>
    </row>
    <row r="247">
      <c r="A247" s="9" t="n">
        <v>244</v>
      </c>
      <c r="B247" s="10" t="inlineStr">
        <is>
          <t xml:space="preserve"> [ O K ]   hQ萌[ b �</t>
        </is>
      </c>
    </row>
    <row r="248">
      <c r="A248" s="7" t="n">
        <v>245</v>
      </c>
      <c r="B248" s="8" t="inlineStr">
        <is>
          <t xml:space="preserve"> </t>
        </is>
      </c>
    </row>
    <row r="249">
      <c r="A249" s="9" t="n">
        <v>246</v>
      </c>
      <c r="B249" s="10" t="inlineStr">
        <is>
          <t xml:space="preserve"> = = = = = = = = = = = = = = = = = = = = = = = = = = = = = = = = = = = = = = = = = = = = = = = = = = </t>
        </is>
      </c>
    </row>
    <row r="250">
      <c r="A250" s="7" t="n">
        <v>247</v>
      </c>
      <c r="B250" s="8" t="inlineStr">
        <is>
          <t xml:space="preserve"> </t>
        </is>
      </c>
    </row>
    <row r="251">
      <c r="A251" s="9" t="n">
        <v>248</v>
      </c>
      <c r="B251" s="10" t="inlineStr">
        <is>
          <t xml:space="preserve">       [ S c r i p t L i b ]    �,g  # 4 6    O(u�~���]�f�e</t>
        </is>
      </c>
    </row>
    <row r="252">
      <c r="A252" s="7" t="n">
        <v>249</v>
      </c>
      <c r="B252" s="8" t="inlineStr">
        <is>
          <t xml:space="preserve"> </t>
        </is>
      </c>
    </row>
    <row r="253">
      <c r="A253" s="9" t="n">
        <v>250</v>
      </c>
      <c r="B253" s="10" t="inlineStr">
        <is>
          <t xml:space="preserve"> </t>
        </is>
      </c>
    </row>
    <row r="254">
      <c r="A254" s="7" t="n">
        <v>251</v>
      </c>
      <c r="B254" s="8" t="inlineStr">
        <is>
          <t xml:space="preserve"> </t>
        </is>
      </c>
    </row>
    <row r="255">
      <c r="A255" s="9" t="n">
        <v>252</v>
      </c>
      <c r="B255" s="10" t="inlineStr">
        <is>
          <t xml:space="preserve">      '  [ 1 / 5 ]    u b b�R!   ( 8 2 �y) </t>
        </is>
      </c>
    </row>
    <row r="256">
      <c r="A256" s="7" t="n">
        <v>253</v>
      </c>
      <c r="B256" s="8" t="inlineStr">
        <is>
          <t xml:space="preserve"> </t>
        </is>
      </c>
    </row>
    <row r="257">
      <c r="A257" s="9" t="n">
        <v>254</v>
      </c>
      <c r="B257" s="10" t="inlineStr">
        <is>
          <t xml:space="preserve">     ���Q�vU_:   C : \ U s e r s \ a d m i n \ A p p D a t a \ L o c a l \ J i a n y i n g P r o \ U s e r   D a t a \ P r o j e c t s \ c o m . l v e d i t o r . d r a f t \ 2 0 2 6 0 6 1 3 _ 2 1 1 1 1 4 _ �\�S_  hjR</t>
        </is>
      </c>
    </row>
    <row r="258">
      <c r="A258" s="7" t="n">
        <v>255</v>
      </c>
      <c r="B258" s="8" t="inlineStr">
        <is>
          <t xml:space="preserve"> </t>
        </is>
      </c>
    </row>
    <row r="259">
      <c r="A259" s="9" t="n">
        <v>256</v>
      </c>
      <c r="B259" s="10" t="inlineStr">
        <is>
          <t xml:space="preserve"> </t>
        </is>
      </c>
    </row>
    <row r="260">
      <c r="A260" s="7" t="n">
        <v>257</v>
      </c>
      <c r="B260" s="8" t="inlineStr">
        <is>
          <t xml:space="preserve"> </t>
        </is>
      </c>
    </row>
    <row r="261">
      <c r="A261" s="9" t="n">
        <v>258</v>
      </c>
      <c r="B261" s="10" t="inlineStr">
        <is>
          <t xml:space="preserve">     I{�_  3   �y T�~�~. . . </t>
        </is>
      </c>
    </row>
    <row r="262">
      <c r="A262" s="7" t="n">
        <v>259</v>
      </c>
      <c r="B262" s="8" t="inlineStr">
        <is>
          <t xml:space="preserve"> </t>
        </is>
      </c>
    </row>
    <row r="263">
      <c r="A263" s="9" t="n">
        <v>260</v>
      </c>
      <c r="B263" s="10" t="inlineStr">
        <is>
          <t xml:space="preserve"> = = = = = = = = = = = = = = = = = = = = = = = = = = = = = = = = = = = = = = = = = = = = = = = = = = = = = = = = = = = = </t>
        </is>
      </c>
    </row>
    <row r="264">
      <c r="A264" s="7" t="n">
        <v>261</v>
      </c>
      <c r="B264" s="8" t="inlineStr">
        <is>
          <t xml:space="preserve"> </t>
        </is>
      </c>
    </row>
    <row r="265">
      <c r="A265" s="9" t="n">
        <v>262</v>
      </c>
      <c r="B265" s="10" t="inlineStr">
        <is>
          <t xml:space="preserve">     [ 2 / 5 ]    _�Y u bƉ��</t>
        </is>
      </c>
    </row>
    <row r="266">
      <c r="A266" s="7" t="n">
        <v>263</v>
      </c>
      <c r="B266" s="8" t="inlineStr">
        <is>
          <t xml:space="preserve"> </t>
        </is>
      </c>
    </row>
    <row r="267">
      <c r="A267" s="9" t="n">
        <v>264</v>
      </c>
      <c r="B267" s="10" t="inlineStr">
        <is>
          <t xml:space="preserve">      �,gI D :   1 0 0 </t>
        </is>
      </c>
    </row>
    <row r="268">
      <c r="A268" s="7" t="n">
        <v>265</v>
      </c>
      <c r="B268" s="8" t="inlineStr">
        <is>
          <t xml:space="preserve"> </t>
        </is>
      </c>
    </row>
    <row r="269">
      <c r="A269" s="9" t="n">
        <v>266</v>
      </c>
      <c r="B269" s="10" t="inlineStr">
        <is>
          <t xml:space="preserve">     sQ.�͋:   �\ g</t>
        </is>
      </c>
    </row>
    <row r="270">
      <c r="A270" s="7" t="n">
        <v>267</v>
      </c>
      <c r="B270" s="8" t="inlineStr">
        <is>
          <t xml:space="preserve"> </t>
        </is>
      </c>
    </row>
    <row r="271">
      <c r="A271" s="9" t="n">
        <v>268</v>
      </c>
      <c r="B271" s="10" t="inlineStr">
        <is>
          <t xml:space="preserve">      �,g ��^:   1 3 1   W[</t>
        </is>
      </c>
    </row>
    <row r="272">
      <c r="A272" s="7" t="n">
        <v>269</v>
      </c>
      <c r="B272" s="8" t="inlineStr">
        <is>
          <t xml:space="preserve"> </t>
        </is>
      </c>
    </row>
    <row r="273">
      <c r="A273" s="9" t="n">
        <v>270</v>
      </c>
      <c r="B273" s="10" t="inlineStr">
        <is>
          <t xml:space="preserve"> = = = = = = = = = = = = = = = = = = = = = = = = = = = = = = = = = = = = = = = = = = = = = = = = = = = = = = = = = = = = </t>
        </is>
      </c>
    </row>
    <row r="274">
      <c r="A274" s="7" t="n">
        <v>271</v>
      </c>
      <c r="B274" s="8" t="inlineStr">
        <is>
          <t xml:space="preserve"> </t>
        </is>
      </c>
    </row>
    <row r="275">
      <c r="A275" s="9" t="n">
        <v>272</v>
      </c>
      <c r="B275" s="10" t="inlineStr">
        <is>
          <t xml:space="preserve"> </t>
        </is>
      </c>
    </row>
    <row r="276">
      <c r="A276" s="7" t="n">
        <v>273</v>
      </c>
      <c r="B276" s="8" t="inlineStr">
        <is>
          <t xml:space="preserve"> </t>
        </is>
      </c>
    </row>
    <row r="277">
      <c r="A277" s="9" t="n">
        <v>274</v>
      </c>
      <c r="B277" s="10" t="inlineStr">
        <is>
          <t xml:space="preserve"> T%P%P%P%P%P%P%P%P%P%P%P%P%P%P%P%P%P%P%P%P%P%P%P%P%P%P%P%P%P%P%P%P%P%P%P%P%P%P%P%P%P%P%P%P%P%P%W%</t>
        </is>
      </c>
    </row>
    <row r="278">
      <c r="A278" s="7" t="n">
        <v>275</v>
      </c>
      <c r="B278" s="8" t="inlineStr">
        <is>
          <t xml:space="preserve"> </t>
        </is>
      </c>
    </row>
    <row r="279">
      <c r="A279" s="9" t="n">
        <v>276</v>
      </c>
      <c r="B279" s="10" t="inlineStr">
        <is>
          <t xml:space="preserve"> Q%              &lt;�3�   hjR  �   A I Ɖ��ꁨRjR���]wQ                        Q%</t>
        </is>
      </c>
    </row>
    <row r="280">
      <c r="A280" s="7" t="n">
        <v>277</v>
      </c>
      <c r="B280" s="8" t="inlineStr">
        <is>
          <t xml:space="preserve"> </t>
        </is>
      </c>
    </row>
    <row r="281">
      <c r="A281" s="9" t="n">
        <v>278</v>
      </c>
      <c r="B281" s="10" t="inlineStr">
        <is>
          <t xml:space="preserve"> Q%                      jR f N NHrI�?zꁨR u b                            Q%</t>
        </is>
      </c>
    </row>
    <row r="282">
      <c r="A282" s="7" t="n">
        <v>279</v>
      </c>
      <c r="B282" s="8" t="inlineStr">
        <is>
          <t xml:space="preserve"> </t>
        </is>
      </c>
    </row>
    <row r="283">
      <c r="A283" s="9" t="n">
        <v>280</v>
      </c>
      <c r="B283" s="10" t="inlineStr">
        <is>
          <t xml:space="preserve"> Z%P%P%P%P%P%P%P%P%P%P%P%P%P%P%P%P%P%P%P%P%P%P%P%P%P%P%P%P%P%P%P%P%P%P%P%P%P%P%P%P%P%P%P%P%P%P%]%</t>
        </is>
      </c>
    </row>
    <row r="284">
      <c r="A284" s="7" t="n">
        <v>281</v>
      </c>
      <c r="B284" s="8" t="inlineStr">
        <is>
          <t xml:space="preserve"> </t>
        </is>
      </c>
    </row>
    <row r="285">
      <c r="A285" s="9" t="n">
        <v>282</v>
      </c>
      <c r="B285" s="10" t="inlineStr">
        <is>
          <t xml:space="preserve"> &gt; &gt;   VS�psQ.�͋:    0�\ g</t>
        </is>
      </c>
    </row>
    <row r="286">
      <c r="A286" s="7" t="n">
        <v>283</v>
      </c>
      <c r="B286" s="8" t="inlineStr">
        <is>
          <t>0</t>
        </is>
      </c>
    </row>
    <row r="287">
      <c r="A287" s="9" t="n">
        <v>284</v>
      </c>
      <c r="B287" s="10" t="inlineStr">
        <is>
          <t xml:space="preserve"> </t>
        </is>
      </c>
    </row>
    <row r="288">
      <c r="A288" s="7" t="n">
        <v>285</v>
      </c>
      <c r="B288" s="8" t="inlineStr">
        <is>
          <t xml:space="preserve"> </t>
        </is>
      </c>
    </row>
    <row r="289">
      <c r="A289" s="9" t="n">
        <v>286</v>
      </c>
      <c r="B289" s="10" t="inlineStr">
        <is>
          <t xml:space="preserve"> </t>
        </is>
      </c>
    </row>
    <row r="290">
      <c r="A290" s="7" t="n">
        <v>287</v>
      </c>
      <c r="B290" s="8" t="inlineStr">
        <is>
          <t xml:space="preserve"> = = = = = = = = = = = = = = = = = = = = = = = = = = = = = = = = = = = = = = = = = = = = = = = = = = </t>
        </is>
      </c>
    </row>
    <row r="291">
      <c r="A291" s="9" t="n">
        <v>288</v>
      </c>
      <c r="B291" s="10" t="inlineStr">
        <is>
          <t xml:space="preserve"> </t>
        </is>
      </c>
    </row>
    <row r="292">
      <c r="A292" s="7" t="n">
        <v>289</v>
      </c>
      <c r="B292" s="8" t="inlineStr">
        <is>
          <t xml:space="preserve"> [ S C A N ]   S t e p   1 / 6 :    YVS�p�m T }Pgkb�c. . . </t>
        </is>
      </c>
    </row>
    <row r="293">
      <c r="A293" s="9" t="n">
        <v>290</v>
      </c>
      <c r="B293" s="10" t="inlineStr">
        <is>
          <t xml:space="preserve"> </t>
        </is>
      </c>
    </row>
    <row r="294">
      <c r="A294" s="7" t="n">
        <v>291</v>
      </c>
      <c r="B294" s="8" t="inlineStr">
        <is>
          <t xml:space="preserve"> </t>
        </is>
      </c>
    </row>
    <row r="295">
      <c r="A295" s="9" t="n">
        <v>292</v>
      </c>
      <c r="B295" s="10" t="inlineStr">
        <is>
          <t xml:space="preserve"> </t>
        </is>
      </c>
    </row>
    <row r="296">
      <c r="A296" s="7" t="n">
        <v>293</v>
      </c>
      <c r="B296" s="8" t="inlineStr">
        <is>
          <t xml:space="preserve"> = = = = = = = = = = = = = = = = = = = = = = = = = = = = = = = = = = = = = = = = = = = = = = = = = = </t>
        </is>
      </c>
    </row>
    <row r="297">
      <c r="A297" s="9" t="n">
        <v>294</v>
      </c>
      <c r="B297" s="10" t="inlineStr">
        <is>
          <t xml:space="preserve"> </t>
        </is>
      </c>
    </row>
    <row r="298">
      <c r="A298" s="7" t="n">
        <v>295</v>
      </c>
      <c r="B298" s="8" t="inlineStr">
        <is>
          <t xml:space="preserve"> [ * ]   S t e p   2 / 6 :    O(u Y萇eHh( 1 3 1 W[) . . . </t>
        </is>
      </c>
    </row>
    <row r="299">
      <c r="A299" s="9" t="n">
        <v>296</v>
      </c>
      <c r="B299" s="10" t="inlineStr">
        <is>
          <t xml:space="preserve"> </t>
        </is>
      </c>
    </row>
    <row r="300">
      <c r="A300" s="7" t="n">
        <v>297</v>
      </c>
      <c r="B300" s="8" t="inlineStr">
        <is>
          <t xml:space="preserve"> </t>
        </is>
      </c>
    </row>
    <row r="301">
      <c r="A301" s="9" t="n">
        <v>298</v>
      </c>
      <c r="B301" s="10" t="inlineStr">
        <is>
          <t xml:space="preserve"> </t>
        </is>
      </c>
    </row>
    <row r="302">
      <c r="A302" s="7" t="n">
        <v>299</v>
      </c>
      <c r="B302" s="8" t="inlineStr">
        <is>
          <t xml:space="preserve">  % % % % % % % % % % % % % % % % % % % % % % % % % % % % % % % % % % % % % % % %</t>
        </is>
      </c>
    </row>
    <row r="303">
      <c r="A303" s="9" t="n">
        <v>300</v>
      </c>
      <c r="B303" s="10" t="inlineStr">
        <is>
          <t xml:space="preserve"> </t>
        </is>
      </c>
    </row>
    <row r="304">
      <c r="A304" s="7" t="n">
        <v>301</v>
      </c>
      <c r="B304" s="8" t="inlineStr">
        <is>
          <t xml:space="preserve">  l�[ Y�X+RqN8x � NWWo��w4Yň�Qؚ�~ a�g'`-N�N x�\ g �1 : 1 ؏�S)Y6q x�\�v�Q�Q�~ t �T[ m(� a �Ɖɉ</t>
        </is>
      </c>
    </row>
    <row r="305">
      <c r="A305" s="9" t="n">
        <v>302</v>
      </c>
      <c r="B305" s="10" t="inlineStr">
        <is>
          <t>N�T w�wPg�QNN�e�] �tS�l	g w�wPg�v�S͑�Q�Q a 0�f �s|Ğ�lr��v�W�^ ��&amp;^�l o3�IQ�v�l a a ��� l�[ Y�XFd1� w�w o�v�^�N a �HT�s�Q�]�QΘ�l _Θ�v�S u(� a � N&lt;w1\	g�^GP l�V 0</t>
        </is>
      </c>
    </row>
    <row r="306">
      <c r="A306" s="7" t="n">
        <v>303</v>
      </c>
      <c r="B306" s="8" t="inlineStr">
        <is>
          <t xml:space="preserve"> </t>
        </is>
      </c>
    </row>
    <row r="307">
      <c r="A307" s="9" t="n">
        <v>304</v>
      </c>
      <c r="B307" s="10" t="inlineStr">
        <is>
          <t xml:space="preserve">  % % % % % % % % % % % % % % % % % % % % % % % % % % % % % % % % % % % % % % % %</t>
        </is>
      </c>
    </row>
    <row r="308">
      <c r="A308" s="7" t="n">
        <v>305</v>
      </c>
      <c r="B308" s="8" t="inlineStr">
        <is>
          <t xml:space="preserve"> </t>
        </is>
      </c>
    </row>
    <row r="309">
      <c r="A309" s="9" t="n">
        <v>306</v>
      </c>
      <c r="B309" s="10" t="inlineStr">
        <is>
          <t xml:space="preserve">       [ * ]   �eHh�]�OX[:   E : \  hjRo��N�vsQ�e�N\ 0 4 _ �eHh\ �eHh_ �\ g_ 2 0 2 6 0 6 1 3 _ 2 1 1 1 3 9 . t x t </t>
        </is>
      </c>
    </row>
    <row r="310">
      <c r="A310" s="7" t="n">
        <v>307</v>
      </c>
      <c r="B310" s="8" t="inlineStr">
        <is>
          <t xml:space="preserve"> </t>
        </is>
      </c>
    </row>
    <row r="311">
      <c r="A311" s="9" t="n">
        <v>308</v>
      </c>
      <c r="B311" s="10" t="inlineStr">
        <is>
          <t xml:space="preserve">       [ * ]   2 agW[U^( �SP[�~�b R, �] n m) </t>
        </is>
      </c>
    </row>
    <row r="312">
      <c r="A312" s="7" t="n">
        <v>309</v>
      </c>
      <c r="B312" s="8" t="inlineStr">
        <is>
          <t xml:space="preserve"> </t>
        </is>
      </c>
    </row>
    <row r="313">
      <c r="A313" s="9" t="n">
        <v>310</v>
      </c>
      <c r="B313" s="10" t="inlineStr">
        <is>
          <t xml:space="preserve"> </t>
        </is>
      </c>
    </row>
    <row r="314">
      <c r="A314" s="7" t="n">
        <v>311</v>
      </c>
      <c r="B314" s="8" t="inlineStr">
        <is>
          <t xml:space="preserve"> </t>
        </is>
      </c>
    </row>
    <row r="315">
      <c r="A315" s="9" t="n">
        <v>312</v>
      </c>
      <c r="B315" s="10" t="inlineStr">
        <is>
          <t xml:space="preserve"> = = = = = = = = = = = = = = = = = = = = = = = = = = = = = = = = = = = = = = = = = = = = = = = = = = </t>
        </is>
      </c>
    </row>
    <row r="316">
      <c r="A316" s="7" t="n">
        <v>313</v>
      </c>
      <c r="B316" s="8" t="inlineStr">
        <is>
          <t xml:space="preserve"> </t>
        </is>
      </c>
    </row>
    <row r="317">
      <c r="A317" s="9" t="n">
        <v>314</v>
      </c>
      <c r="B317" s="10" t="inlineStr">
        <is>
          <t xml:space="preserve"> [ * ]     S t e p   3 / 6 :    u b�[teM��. . . </t>
        </is>
      </c>
    </row>
    <row r="318">
      <c r="A318" s="7" t="n">
        <v>315</v>
      </c>
      <c r="B318" s="8" t="inlineStr">
        <is>
          <t xml:space="preserve"> </t>
        </is>
      </c>
    </row>
    <row r="319">
      <c r="A319" s="9" t="n">
        <v>316</v>
      </c>
      <c r="B319" s="10" t="inlineStr">
        <is>
          <t xml:space="preserve">       &lt;ؙ�  ck(W u b  A I   M��  ( E d g e   T T S ,   z h - C N - X i a o y i N e u r a l ,   r a t e = + 1 0 % ) . . . </t>
        </is>
      </c>
    </row>
    <row r="320">
      <c r="A320" s="7" t="n">
        <v>317</v>
      </c>
      <c r="B320" s="8" t="inlineStr">
        <is>
          <t xml:space="preserve"> </t>
        </is>
      </c>
    </row>
    <row r="321">
      <c r="A321" s="9" t="n">
        <v>318</v>
      </c>
      <c r="B321" s="10" t="inlineStr">
        <is>
          <t xml:space="preserve">       =���   n m T�eHh:    l�[ Y�X+RqN8x � NWWo��w4Yň�Qؚ�~ a�g'`-N�N x�\ g �1 : 1 ؏�S)Y6q x�\�v�Q�Q�~ t �T[ m(� a �Ɖɉ</t>
        </is>
      </c>
    </row>
    <row r="322">
      <c r="A322" s="7" t="n">
        <v>319</v>
      </c>
      <c r="B322" s="8" t="inlineStr">
        <is>
          <t xml:space="preserve">N�T w�wPg�QNN�e�] �tS�l	g w�wPg�v�S͑�Q�Q a 0. �f �s|Ğ�lr��v�W. . . </t>
        </is>
      </c>
    </row>
    <row r="323">
      <c r="A323" s="9" t="n">
        <v>320</v>
      </c>
      <c r="B323" s="10" t="inlineStr">
        <is>
          <t xml:space="preserve"> </t>
        </is>
      </c>
    </row>
    <row r="324">
      <c r="A324" s="7" t="n">
        <v>321</v>
      </c>
      <c r="B324" s="8" t="inlineStr">
        <is>
          <t xml:space="preserve">        '  �e�S!h�� �Ǐ( �O�b͋�[te) </t>
        </is>
      </c>
    </row>
    <row r="325">
      <c r="A325" s="9" t="n">
        <v>322</v>
      </c>
      <c r="B325" s="10" t="inlineStr">
        <is>
          <t xml:space="preserve"> </t>
        </is>
      </c>
    </row>
    <row r="326">
      <c r="A326" s="7" t="n">
        <v>323</v>
      </c>
      <c r="B326" s="8" t="inlineStr">
        <is>
          <t xml:space="preserve">        '  A I   M�� u b�[ b:   M��_ �\ g_ 2 0 2 6 0 6 1 3 _ 2 1 1 1 3 9 . m p 3   ( 1 4 7 K B ) </t>
        </is>
      </c>
    </row>
    <row r="327">
      <c r="A327" s="9" t="n">
        <v>324</v>
      </c>
      <c r="B327" s="10" t="inlineStr">
        <is>
          <t xml:space="preserve"> </t>
        </is>
      </c>
    </row>
    <row r="328">
      <c r="A328" s="7" t="n">
        <v>325</v>
      </c>
      <c r="B328" s="8" t="inlineStr">
        <is>
          <t xml:space="preserve">       �#     &amp;  M��|nx�e �:   2 5 . 0 �y</t>
        </is>
      </c>
    </row>
    <row r="329">
      <c r="A329" s="9" t="n">
        <v>326</v>
      </c>
      <c r="B329" s="10" t="inlineStr">
        <is>
          <t xml:space="preserve"> </t>
        </is>
      </c>
    </row>
    <row r="330">
      <c r="A330" s="7" t="n">
        <v>327</v>
      </c>
      <c r="B330" s="8" t="inlineStr">
        <is>
          <t xml:space="preserve"> </t>
        </is>
      </c>
    </row>
    <row r="331">
      <c r="A331" s="9" t="n">
        <v>328</v>
      </c>
      <c r="B331" s="10" t="inlineStr">
        <is>
          <t xml:space="preserve"> </t>
        </is>
      </c>
    </row>
    <row r="332">
      <c r="A332" s="7" t="n">
        <v>329</v>
      </c>
      <c r="B332" s="8" t="inlineStr">
        <is>
          <t xml:space="preserve"> = = = = = = = = = = = = = = = = = = = = = = = = = = = = = = = = = = = = = = = = = = = = = = = = = = </t>
        </is>
      </c>
    </row>
    <row r="333">
      <c r="A333" s="9" t="n">
        <v>330</v>
      </c>
      <c r="B333" s="10" t="inlineStr">
        <is>
          <t xml:space="preserve"> </t>
        </is>
      </c>
    </row>
    <row r="334">
      <c r="A334" s="7" t="n">
        <v>331</v>
      </c>
      <c r="B334" s="8" t="inlineStr">
        <is>
          <t xml:space="preserve"> [ * ]   S t e p   4 / 6 :   9hncM���e �	��S }Pg( �v h2 5 . 0 �y) . . . </t>
        </is>
      </c>
    </row>
    <row r="335">
      <c r="A335" s="9" t="n">
        <v>332</v>
      </c>
      <c r="B335" s="10" t="inlineStr">
        <is>
          <t xml:space="preserve"> </t>
        </is>
      </c>
    </row>
    <row r="336">
      <c r="A336" s="7" t="n">
        <v>333</v>
      </c>
      <c r="B336" s="8" t="inlineStr">
        <is>
          <t xml:space="preserve">       [ O p e n i n g ]    _:W }Pg:    05 9  0 0�_4l�lvY�l}v+ pQ�N�� j(g�~�\ g 0�m3W _ \�Y   0�\�S</t>
        </is>
      </c>
    </row>
    <row r="337">
      <c r="A337" s="9" t="n">
        <v>334</v>
      </c>
      <c r="B337" s="10" t="inlineStr">
        <is>
          <t>NB\���b+ 'Y�bI\	N��</t>
        </is>
      </c>
    </row>
    <row r="338">
      <c r="A338" s="7" t="n">
        <v>335</v>
      </c>
      <c r="B338" s="8" t="inlineStr">
        <is>
          <t xml:space="preserve"> </t>
        </is>
      </c>
    </row>
    <row r="339">
      <c r="A339" s="9" t="n">
        <v>336</v>
      </c>
      <c r="B339" s="10" t="inlineStr">
        <is>
          <t xml:space="preserve">       [ A d a p t i v e ]    �,g�T ^:   4 9 5 0 b b 5 0 b c 8 f 3 f 6 b ,   �]�cd�:   1 *N }Pg</t>
        </is>
      </c>
    </row>
    <row r="340">
      <c r="A340" s="7" t="n">
        <v>337</v>
      </c>
      <c r="B340" s="8" t="inlineStr">
        <is>
          <t xml:space="preserve"> </t>
        </is>
      </c>
    </row>
    <row r="341">
      <c r="A341" s="9" t="n">
        <v>338</v>
      </c>
      <c r="B341" s="10" t="inlineStr">
        <is>
          <t xml:space="preserve">       [ A d a p t i v e M a t c h ]   � ��^9SM�:   1 *NGr�k  ( �S͑+ OP}Y+ p��Q) </t>
        </is>
      </c>
    </row>
    <row r="342">
      <c r="A342" s="7" t="n">
        <v>339</v>
      </c>
      <c r="B342" s="8" t="inlineStr">
        <is>
          <t xml:space="preserve"> </t>
        </is>
      </c>
    </row>
    <row r="343">
      <c r="A343" s="9" t="n">
        <v>340</v>
      </c>
      <c r="B343" s="10" t="inlineStr">
        <is>
          <t xml:space="preserve">       [ ! ]   :_6R�N�Te�EQ  2   *NGr�k( �]�cd��N�P) </t>
        </is>
      </c>
    </row>
    <row r="344">
      <c r="A344" s="7" t="n">
        <v>341</v>
      </c>
      <c r="B344" s="8" t="inlineStr">
        <is>
          <t xml:space="preserve"> </t>
        </is>
      </c>
    </row>
    <row r="345">
      <c r="A345" s="9" t="n">
        <v>342</v>
      </c>
      <c r="B345" s="10" t="inlineStr">
        <is>
          <t xml:space="preserve"> </t>
        </is>
      </c>
    </row>
    <row r="346">
      <c r="A346" s="7" t="n">
        <v>343</v>
      </c>
      <c r="B346" s="8" t="inlineStr">
        <is>
          <t xml:space="preserve"> </t>
        </is>
      </c>
    </row>
    <row r="347">
      <c r="A347" s="9" t="n">
        <v>344</v>
      </c>
      <c r="B347" s="10" t="inlineStr">
        <is>
          <t xml:space="preserve">       [ * ]   	��S�N  4   *NGr�k: </t>
        </is>
      </c>
    </row>
    <row r="348">
      <c r="A348" s="7" t="n">
        <v>345</v>
      </c>
      <c r="B348" s="8" t="inlineStr">
        <is>
          <t xml:space="preserve"> </t>
        </is>
      </c>
    </row>
    <row r="349">
      <c r="A349" s="9" t="n">
        <v>346</v>
      </c>
      <c r="B349" s="10" t="inlineStr">
        <is>
          <t xml:space="preserve">       [ 1 ]    05 9  0 0�_4l�lvY�l}v+ pQ�N�� j(g�~�\ g 0�m3W _ \�Y   0�\�S</t>
        </is>
      </c>
    </row>
    <row r="350">
      <c r="A350" s="7" t="n">
        <v>347</v>
      </c>
      <c r="B350" s="8" t="inlineStr">
        <is>
          <t xml:space="preserve">NB\���b+ 'Y�bI\	N��Xb�^�[h��b�b6e�~����- 2 . . . </t>
        </is>
      </c>
    </row>
    <row r="351">
      <c r="A351" s="9" t="n">
        <v>348</v>
      </c>
      <c r="B351" s="10" t="inlineStr">
        <is>
          <t xml:space="preserve"> </t>
        </is>
      </c>
    </row>
    <row r="352">
      <c r="A352" s="7" t="n">
        <v>349</v>
      </c>
      <c r="B352" s="8" t="inlineStr">
        <is>
          <t xml:space="preserve">                 �!  *b�S  5 . 0 s   w�  5 . 0 �y</t>
        </is>
      </c>
    </row>
    <row r="353">
      <c r="A353" s="9" t="n">
        <v>350</v>
      </c>
      <c r="B353" s="10" t="inlineStr">
        <is>
          <t xml:space="preserve"> </t>
        </is>
      </c>
    </row>
    <row r="354">
      <c r="A354" s="7" t="n">
        <v>351</v>
      </c>
      <c r="B354" s="8" t="inlineStr">
        <is>
          <t xml:space="preserve">       [ 2 ]      02 9  0 0W l� m�w 0�V�] RsY�X 03 ���b0W�[h�6e�~U\:y 0 0��[r0 2  0- 2 . m p 4 </t>
        </is>
      </c>
    </row>
    <row r="355">
      <c r="A355" s="9" t="n">
        <v>352</v>
      </c>
      <c r="B355" s="10" t="inlineStr">
        <is>
          <t xml:space="preserve"> </t>
        </is>
      </c>
    </row>
    <row r="356">
      <c r="A356" s="7" t="n">
        <v>353</v>
      </c>
      <c r="B356" s="8" t="inlineStr">
        <is>
          <t xml:space="preserve">                 �!  *b�S  0 . 0 s   w�  4 . 6 �y</t>
        </is>
      </c>
    </row>
    <row r="357">
      <c r="A357" s="9" t="n">
        <v>354</v>
      </c>
      <c r="B357" s="10" t="inlineStr">
        <is>
          <t xml:space="preserve"> </t>
        </is>
      </c>
    </row>
    <row r="358">
      <c r="A358" s="7" t="n">
        <v>355</v>
      </c>
      <c r="B358" s="8" t="inlineStr">
        <is>
          <t xml:space="preserve">       [ 3 ]    02 8  0 0�_4l�lvY�lr�+ OgĞ�g(g 0WS�NO� \�Y 0�\�S6e�~U\:y 0 0dW�[0 3  0- 1 . m p 4 </t>
        </is>
      </c>
    </row>
    <row r="359">
      <c r="A359" s="9" t="n">
        <v>356</v>
      </c>
      <c r="B359" s="10" t="inlineStr">
        <is>
          <t xml:space="preserve"> </t>
        </is>
      </c>
    </row>
    <row r="360">
      <c r="A360" s="7" t="n">
        <v>357</v>
      </c>
      <c r="B360" s="8" t="inlineStr">
        <is>
          <t xml:space="preserve">                 �!  *b�S  0 . 1 s   w�  4 . 2 �y</t>
        </is>
      </c>
    </row>
    <row r="361">
      <c r="A361" s="9" t="n">
        <v>358</v>
      </c>
      <c r="B361" s="10" t="inlineStr">
        <is>
          <t xml:space="preserve"> </t>
        </is>
      </c>
    </row>
    <row r="362">
      <c r="A362" s="7" t="n">
        <v>359</v>
      </c>
      <c r="B362" s="8" t="inlineStr">
        <is>
          <t xml:space="preserve">       [ 4 ]    01 3 7  0 0�Tr�+ aS�_�bEm�h+ vY�l}v 0q\ N0uHQ u 0�Tr��R(g�~�~ T�v�\�S 0- 1 . m p 4 </t>
        </is>
      </c>
    </row>
    <row r="363">
      <c r="A363" s="9" t="n">
        <v>360</v>
      </c>
      <c r="B363" s="10" t="inlineStr">
        <is>
          <t xml:space="preserve"> </t>
        </is>
      </c>
    </row>
    <row r="364">
      <c r="A364" s="7" t="n">
        <v>361</v>
      </c>
      <c r="B364" s="8" t="inlineStr">
        <is>
          <t xml:space="preserve">                 �!  *b�S  2 . 2 s   w�  3 . 1 �y</t>
        </is>
      </c>
    </row>
    <row r="365">
      <c r="A365" s="9" t="n">
        <v>362</v>
      </c>
      <c r="B365" s="10" t="inlineStr">
        <is>
          <t xml:space="preserve"> </t>
        </is>
      </c>
    </row>
    <row r="366">
      <c r="A366" s="7" t="n">
        <v>363</v>
      </c>
      <c r="B366" s="8" t="inlineStr">
        <is>
          <t xml:space="preserve">       [ * ]   ;`�e �:   1 6 . 9 �y</t>
        </is>
      </c>
    </row>
    <row r="367">
      <c r="A367" s="9" t="n">
        <v>364</v>
      </c>
      <c r="B367" s="10" t="inlineStr">
        <is>
          <t xml:space="preserve"> </t>
        </is>
      </c>
    </row>
    <row r="368">
      <c r="A368" s="7" t="n">
        <v>365</v>
      </c>
      <c r="B368" s="8" t="inlineStr">
        <is>
          <t xml:space="preserve">       &gt; &gt;   (�ϑǏ�n:   4   �!  4   *NGr�k  (  �&lt;P0 . 3 ) </t>
        </is>
      </c>
    </row>
    <row r="369">
      <c r="A369" s="9" t="n">
        <v>366</v>
      </c>
      <c r="B369" s="10" t="inlineStr">
        <is>
          <t xml:space="preserve"> </t>
        </is>
      </c>
    </row>
    <row r="370">
      <c r="A370" s="7" t="n">
        <v>367</v>
      </c>
      <c r="B370" s="8" t="inlineStr">
        <is>
          <t xml:space="preserve">       [ D E D U P ]   �S͑:   4   �!  4   *NGr�k</t>
        </is>
      </c>
    </row>
    <row r="371">
      <c r="A371" s="9" t="n">
        <v>368</v>
      </c>
      <c r="B371" s="10" t="inlineStr">
        <is>
          <t xml:space="preserve"> </t>
        </is>
      </c>
    </row>
    <row r="372">
      <c r="A372" s="7" t="n">
        <v>369</v>
      </c>
      <c r="B372" s="8" t="inlineStr">
        <is>
          <t xml:space="preserve">       [ ! ]    }Pg</t>
        </is>
      </c>
    </row>
    <row r="373">
      <c r="A373" s="9" t="n">
        <v>370</v>
      </c>
      <c r="B373" s="10" t="inlineStr">
        <is>
          <t xml:space="preserve">N��:   : 9 . 7 s , ꁨRe�EQ. . . </t>
        </is>
      </c>
    </row>
    <row r="374">
      <c r="A374" s="7" t="n">
        <v>371</v>
      </c>
      <c r="B374" s="8" t="inlineStr">
        <is>
          <t xml:space="preserve"> </t>
        </is>
      </c>
    </row>
    <row r="375">
      <c r="A375" s="9" t="n">
        <v>372</v>
      </c>
      <c r="B375" s="10" t="inlineStr">
        <is>
          <t xml:space="preserve">       [ O K ]   ꁨRe�EQ  3   *NGr�k  - &gt;   ;`�e �2 8 . 3 s </t>
        </is>
      </c>
    </row>
    <row r="376">
      <c r="A376" s="7" t="n">
        <v>373</v>
      </c>
      <c r="B376" s="8" t="inlineStr">
        <is>
          <t xml:space="preserve"> </t>
        </is>
      </c>
    </row>
    <row r="377">
      <c r="A377" s="9" t="n">
        <v>374</v>
      </c>
      <c r="B377" s="10" t="inlineStr">
        <is>
          <t xml:space="preserve"> </t>
        </is>
      </c>
    </row>
    <row r="378">
      <c r="A378" s="7" t="n">
        <v>375</v>
      </c>
      <c r="B378" s="8" t="inlineStr">
        <is>
          <t xml:space="preserve"> </t>
        </is>
      </c>
    </row>
    <row r="379">
      <c r="A379" s="9" t="n">
        <v>376</v>
      </c>
      <c r="B379" s="10" t="inlineStr">
        <is>
          <t xml:space="preserve">       [ * ]   	��S�N  7   *NGr�k: </t>
        </is>
      </c>
    </row>
    <row r="380">
      <c r="A380" s="7" t="n">
        <v>377</v>
      </c>
      <c r="B380" s="8" t="inlineStr">
        <is>
          <t xml:space="preserve"> </t>
        </is>
      </c>
    </row>
    <row r="381">
      <c r="A381" s="9" t="n">
        <v>378</v>
      </c>
      <c r="B381" s="10" t="inlineStr">
        <is>
          <t xml:space="preserve">       [ 1 ]    05 9  0 0�_4l�lvY�l}v+ pQ�N�� j(g�~�\ g 0�m3W _ \�Y   0�\�S</t>
        </is>
      </c>
    </row>
    <row r="382">
      <c r="A382" s="7" t="n">
        <v>379</v>
      </c>
      <c r="B382" s="8" t="inlineStr">
        <is>
          <t xml:space="preserve">NB\���b+ 'Y�bI\	N��Xb�^�[h��b�b6e�~����- 2 . . . </t>
        </is>
      </c>
    </row>
    <row r="383">
      <c r="A383" s="9" t="n">
        <v>380</v>
      </c>
      <c r="B383" s="10" t="inlineStr">
        <is>
          <t xml:space="preserve"> </t>
        </is>
      </c>
    </row>
    <row r="384">
      <c r="A384" s="7" t="n">
        <v>381</v>
      </c>
      <c r="B384" s="8" t="inlineStr">
        <is>
          <t xml:space="preserve">                 �!  *b�S  5 . 0 s   w�  5 . 0 �y</t>
        </is>
      </c>
    </row>
    <row r="385">
      <c r="A385" s="9" t="n">
        <v>382</v>
      </c>
      <c r="B385" s="10" t="inlineStr">
        <is>
          <t xml:space="preserve"> </t>
        </is>
      </c>
    </row>
    <row r="386">
      <c r="A386" s="7" t="n">
        <v>383</v>
      </c>
      <c r="B386" s="8" t="inlineStr">
        <is>
          <t xml:space="preserve">       [ 2 ]      02 9  0 0W l� m�w 0�V�] RsY�X 03 ���b0W�[h�6e�~U\:y 0 0��[r0 2  0- 2 . m p 4 </t>
        </is>
      </c>
    </row>
    <row r="387">
      <c r="A387" s="9" t="n">
        <v>384</v>
      </c>
      <c r="B387" s="10" t="inlineStr">
        <is>
          <t xml:space="preserve"> </t>
        </is>
      </c>
    </row>
    <row r="388">
      <c r="A388" s="7" t="n">
        <v>385</v>
      </c>
      <c r="B388" s="8" t="inlineStr">
        <is>
          <t xml:space="preserve">                 �!  *b�S  0 . 0 s   w�  4 . 6 �y</t>
        </is>
      </c>
    </row>
    <row r="389">
      <c r="A389" s="9" t="n">
        <v>386</v>
      </c>
      <c r="B389" s="10" t="inlineStr">
        <is>
          <t xml:space="preserve"> </t>
        </is>
      </c>
    </row>
    <row r="390">
      <c r="A390" s="7" t="n">
        <v>387</v>
      </c>
      <c r="B390" s="8" t="inlineStr">
        <is>
          <t xml:space="preserve">       [ 3 ]    02 8  0 0�_4l�lvY�lr�+ OgĞ�g(g 0WS�NO� \�Y 0�\�S6e�~U\:y 0 0dW�[0 3  0- 1 . m p 4 </t>
        </is>
      </c>
    </row>
    <row r="391">
      <c r="A391" s="9" t="n">
        <v>388</v>
      </c>
      <c r="B391" s="10" t="inlineStr">
        <is>
          <t xml:space="preserve"> </t>
        </is>
      </c>
    </row>
    <row r="392">
      <c r="A392" s="7" t="n">
        <v>389</v>
      </c>
      <c r="B392" s="8" t="inlineStr">
        <is>
          <t xml:space="preserve">                 �!  *b�S  0 . 1 s   w�  4 . 2 �y</t>
        </is>
      </c>
    </row>
    <row r="393">
      <c r="A393" s="9" t="n">
        <v>390</v>
      </c>
      <c r="B393" s="10" t="inlineStr">
        <is>
          <t xml:space="preserve"> </t>
        </is>
      </c>
    </row>
    <row r="394">
      <c r="A394" s="7" t="n">
        <v>391</v>
      </c>
      <c r="B394" s="8" t="inlineStr">
        <is>
          <t xml:space="preserve">       [ 4 ]    01 3 7  0 0�Tr�+ aS�_�bEm�h+ vY�l}v 0q\ N0uHQ u 0�Tr��R(g�~�~ T�v�\�S 0- 1 . m p 4 </t>
        </is>
      </c>
    </row>
    <row r="395">
      <c r="A395" s="9" t="n">
        <v>392</v>
      </c>
      <c r="B395" s="10" t="inlineStr">
        <is>
          <t xml:space="preserve"> </t>
        </is>
      </c>
    </row>
    <row r="396">
      <c r="A396" s="7" t="n">
        <v>393</v>
      </c>
      <c r="B396" s="8" t="inlineStr">
        <is>
          <t xml:space="preserve">                 �!  *b�S  2 . 2 s   w�  3 . 1 �y</t>
        </is>
      </c>
    </row>
    <row r="397">
      <c r="A397" s="9" t="n">
        <v>394</v>
      </c>
      <c r="B397" s="10" t="inlineStr">
        <is>
          <t xml:space="preserve"> </t>
        </is>
      </c>
    </row>
    <row r="398">
      <c r="A398" s="7" t="n">
        <v>395</v>
      </c>
      <c r="B398" s="8" t="inlineStr">
        <is>
          <t xml:space="preserve">       [ 5 ]    03 0  0 0ce��Xo Y�b+ �~ў�TIQ+  S� ў�Ch 0_lς�vkpHQ u 0o��^�vEx��n�P[ 0 0��[r 0- 1 . m p 4 </t>
        </is>
      </c>
    </row>
    <row r="399">
      <c r="A399" s="9" t="n">
        <v>396</v>
      </c>
      <c r="B399" s="10" t="inlineStr">
        <is>
          <t xml:space="preserve"> </t>
        </is>
      </c>
    </row>
    <row r="400">
      <c r="A400" s="7" t="n">
        <v>397</v>
      </c>
      <c r="B400" s="8" t="inlineStr">
        <is>
          <t xml:space="preserve">                 �!  *b�S  1 . 4 s   w�  4 . 5 �y</t>
        </is>
      </c>
    </row>
    <row r="401">
      <c r="A401" s="9" t="n">
        <v>398</v>
      </c>
      <c r="B401" s="10" t="inlineStr">
        <is>
          <t xml:space="preserve"> </t>
        </is>
      </c>
    </row>
    <row r="402">
      <c r="A402" s="7" t="n">
        <v>399</v>
      </c>
      <c r="B402" s="8" t="inlineStr">
        <is>
          <t xml:space="preserve">       [ 6 ]    08 5  0 0�Tr�+ �mўr�+ ў}v 0 ^�]NgHQ u 0zz\�6e�~B\teSO�~��U\:y 0- 2 . m p 4 </t>
        </is>
      </c>
    </row>
    <row r="403">
      <c r="A403" s="9" t="n">
        <v>400</v>
      </c>
      <c r="B403" s="10" t="inlineStr">
        <is>
          <t xml:space="preserve"> </t>
        </is>
      </c>
    </row>
    <row r="404">
      <c r="A404" s="7" t="n">
        <v>401</v>
      </c>
      <c r="B404" s="8" t="inlineStr">
        <is>
          <t xml:space="preserve">                 �!  *b�S  1 . 8 s   w�  3 . 9 �y</t>
        </is>
      </c>
    </row>
    <row r="405">
      <c r="A405" s="9" t="n">
        <v>402</v>
      </c>
      <c r="B405" s="10" t="inlineStr">
        <is>
          <t xml:space="preserve"> </t>
        </is>
      </c>
    </row>
    <row r="406">
      <c r="A406" s="7" t="n">
        <v>403</v>
      </c>
      <c r="B406" s="8" t="inlineStr">
        <is>
          <t xml:space="preserve">       [ 7 ]    02 5  0 0}vXo Y�b�x���TIQ+ �mўr�+ WS� �g(g�m�h 0�l S4THQ u 0zz\��\�SteSOU\:y   0- 3 . m p 4 </t>
        </is>
      </c>
    </row>
    <row r="407">
      <c r="A407" s="9" t="n">
        <v>404</v>
      </c>
      <c r="B407" s="10" t="inlineStr">
        <is>
          <t xml:space="preserve"> </t>
        </is>
      </c>
    </row>
    <row r="408">
      <c r="A408" s="7" t="n">
        <v>405</v>
      </c>
      <c r="B408" s="8" t="inlineStr">
        <is>
          <t xml:space="preserve">                 �!  *b�S  2 . 0 s   w�  3 . 0 �y</t>
        </is>
      </c>
    </row>
    <row r="409">
      <c r="A409" s="9" t="n">
        <v>406</v>
      </c>
      <c r="B409" s="10" t="inlineStr">
        <is>
          <t xml:space="preserve"> </t>
        </is>
      </c>
    </row>
    <row r="410">
      <c r="A410" s="7" t="n">
        <v>407</v>
      </c>
      <c r="B410" s="8" t="inlineStr">
        <is>
          <t xml:space="preserve">       [ * ]   ;`�e �:   2 8 . 3 �y</t>
        </is>
      </c>
    </row>
    <row r="411">
      <c r="A411" s="9" t="n">
        <v>408</v>
      </c>
      <c r="B411" s="10" t="inlineStr">
        <is>
          <t xml:space="preserve"> </t>
        </is>
      </c>
    </row>
    <row r="412">
      <c r="A412" s="7" t="n">
        <v>409</v>
      </c>
      <c r="B412" s="8" t="inlineStr">
        <is>
          <t xml:space="preserve"> </t>
        </is>
      </c>
    </row>
    <row r="413">
      <c r="A413" s="9" t="n">
        <v>410</v>
      </c>
      <c r="B413" s="10" t="inlineStr">
        <is>
          <t xml:space="preserve"> </t>
        </is>
      </c>
    </row>
    <row r="414">
      <c r="A414" s="7" t="n">
        <v>411</v>
      </c>
      <c r="B414" s="8" t="inlineStr">
        <is>
          <t xml:space="preserve"> = = = = = = = = = = = = = = = = = = = = = = = = = = = = = = = = = = = = = = = = = = = = = = = = = = </t>
        </is>
      </c>
    </row>
    <row r="415">
      <c r="A415" s="9" t="n">
        <v>412</v>
      </c>
      <c r="B415" s="10" t="inlineStr">
        <is>
          <t xml:space="preserve"> </t>
        </is>
      </c>
    </row>
    <row r="416">
      <c r="A416" s="7" t="n">
        <v>413</v>
      </c>
      <c r="B416" s="8" t="inlineStr">
        <is>
          <t xml:space="preserve"> [ * ]   S t e p   5 / 6 :    Y tB G M . . . </t>
        </is>
      </c>
    </row>
    <row r="417">
      <c r="A417" s="9" t="n">
        <v>414</v>
      </c>
      <c r="B417" s="10" t="inlineStr">
        <is>
          <t xml:space="preserve"> </t>
        </is>
      </c>
    </row>
    <row r="418">
      <c r="A418" s="7" t="n">
        <v>415</v>
      </c>
      <c r="B418" s="8" t="inlineStr">
        <is>
          <t xml:space="preserve">       [ * ]   [ B G M ]   ,g0W��:g:   m i x k i t _ u p b e a t _ m o d e r n _ b c 0 6 f 5 0 4 . m p 3 </t>
        </is>
      </c>
    </row>
    <row r="419">
      <c r="A419" s="9" t="n">
        <v>416</v>
      </c>
      <c r="B419" s="10" t="inlineStr">
        <is>
          <t xml:space="preserve"> </t>
        </is>
      </c>
    </row>
    <row r="420">
      <c r="A420" s="7" t="n">
        <v>417</v>
      </c>
      <c r="B420" s="8" t="inlineStr">
        <is>
          <t xml:space="preserve"> </t>
        </is>
      </c>
    </row>
    <row r="421">
      <c r="A421" s="9" t="n">
        <v>418</v>
      </c>
      <c r="B421" s="10" t="inlineStr">
        <is>
          <t xml:space="preserve"> </t>
        </is>
      </c>
    </row>
    <row r="422">
      <c r="A422" s="7" t="n">
        <v>419</v>
      </c>
      <c r="B422" s="8" t="inlineStr">
        <is>
          <t xml:space="preserve"> = = = = = = = = = = = = = = = = = = = = = = = = = = = = = = = = = = = = = = = = = = = = = = = = = = </t>
        </is>
      </c>
    </row>
    <row r="423">
      <c r="A423" s="9" t="n">
        <v>420</v>
      </c>
      <c r="B423" s="10" t="inlineStr">
        <is>
          <t xml:space="preserve"> </t>
        </is>
      </c>
    </row>
    <row r="424">
      <c r="A424" s="7" t="n">
        <v>421</v>
      </c>
      <c r="B424" s="8" t="inlineStr">
        <is>
          <t xml:space="preserve"> [ * ]   S t e p   6 / 6 :    u bjR fI�?z. . . </t>
        </is>
      </c>
    </row>
    <row r="425">
      <c r="A425" s="9" t="n">
        <v>422</v>
      </c>
      <c r="B425" s="10" t="inlineStr">
        <is>
          <t xml:space="preserve"> </t>
        </is>
      </c>
    </row>
    <row r="426">
      <c r="A426" s="7" t="n">
        <v>423</v>
      </c>
      <c r="B426" s="8" t="inlineStr">
        <is>
          <t xml:space="preserve"> </t>
        </is>
      </c>
    </row>
    <row r="427">
      <c r="A427" s="9" t="n">
        <v>424</v>
      </c>
      <c r="B427" s="10" t="inlineStr">
        <is>
          <t xml:space="preserve"> </t>
        </is>
      </c>
    </row>
    <row r="428">
      <c r="A428" s="7" t="n">
        <v>425</v>
      </c>
      <c r="B428" s="8" t="inlineStr">
        <is>
          <t xml:space="preserve">        '  jR fI�?z�] u b �</t>
        </is>
      </c>
    </row>
    <row r="429">
      <c r="A429" s="9" t="n">
        <v>426</v>
      </c>
      <c r="B429" s="10" t="inlineStr">
        <is>
          <t xml:space="preserve"> </t>
        </is>
      </c>
    </row>
    <row r="430">
      <c r="A430" s="7" t="n">
        <v>427</v>
      </c>
      <c r="B430" s="8" t="inlineStr">
        <is>
          <t xml:space="preserve">       =���  I�?z�vU_:   C : \ U s e r s \ a d m i n \ A p p D a t a \ L o c a l \ J i a n y i n g P r o \ U s e r   D a t a \ P r o j e c t s \ c o m . l v e d i t o r . d r a f t \ 2 0 2 6 0 6 1 3 _ 2 1 1 2 1 8 _ �\ g_  hjR</t>
        </is>
      </c>
    </row>
    <row r="431">
      <c r="A431" s="9" t="n">
        <v>428</v>
      </c>
      <c r="B431" s="10" t="inlineStr">
        <is>
          <t xml:space="preserve"> </t>
        </is>
      </c>
    </row>
    <row r="432">
      <c r="A432" s="7" t="n">
        <v>429</v>
      </c>
      <c r="B432" s="8" t="inlineStr">
        <is>
          <t xml:space="preserve">       =ؾ�   Y�N�]�OX[:   E : \  hjRo��N�vsQ�e�N\ 0 3 _ �|jR���Q\ 2 0 2 6 0 6 1 3 _ 2 1 1 2 1 8 _ �\ g_  hjR</t>
        </is>
      </c>
    </row>
    <row r="433">
      <c r="A433" s="9" t="n">
        <v>430</v>
      </c>
      <c r="B433" s="10" t="inlineStr">
        <is>
          <t xml:space="preserve"> </t>
        </is>
      </c>
    </row>
    <row r="434">
      <c r="A434" s="7" t="n">
        <v>431</v>
      </c>
      <c r="B434" s="8" t="inlineStr">
        <is>
          <t xml:space="preserve"> </t>
        </is>
      </c>
    </row>
    <row r="435">
      <c r="A435" s="9" t="n">
        <v>432</v>
      </c>
      <c r="B435" s="10" t="inlineStr">
        <is>
          <t xml:space="preserve"> </t>
        </is>
      </c>
    </row>
    <row r="436">
      <c r="A436" s="7" t="n">
        <v>433</v>
      </c>
      <c r="B436" s="8" t="inlineStr">
        <is>
          <t xml:space="preserve"> = = = = = = = = = = = = = = = = = = = = = = = = = = = = = = = = = = = = = = = = = = = = = = = = = = </t>
        </is>
      </c>
    </row>
    <row r="437">
      <c r="A437" s="9" t="n">
        <v>434</v>
      </c>
      <c r="B437" s="10" t="inlineStr">
        <is>
          <t xml:space="preserve"> </t>
        </is>
      </c>
    </row>
    <row r="438">
      <c r="A438" s="7" t="n">
        <v>435</v>
      </c>
      <c r="B438" s="8" t="inlineStr">
        <is>
          <t xml:space="preserve"> [ O K ]   hQ萌[ b �</t>
        </is>
      </c>
    </row>
    <row r="439">
      <c r="A439" s="9" t="n">
        <v>436</v>
      </c>
      <c r="B439" s="10" t="inlineStr">
        <is>
          <t xml:space="preserve"> </t>
        </is>
      </c>
    </row>
    <row r="440">
      <c r="A440" s="7" t="n">
        <v>437</v>
      </c>
      <c r="B440" s="8" t="inlineStr">
        <is>
          <t xml:space="preserve"> = = = = = = = = = = = = = = = = = = = = = = = = = = = = = = = = = = = = = = = = = = = = = = = = = = </t>
        </is>
      </c>
    </row>
    <row r="441">
      <c r="A441" s="9" t="n">
        <v>438</v>
      </c>
      <c r="B441" s="10" t="inlineStr">
        <is>
          <t xml:space="preserve"> </t>
        </is>
      </c>
    </row>
    <row r="442">
      <c r="A442" s="7" t="n">
        <v>439</v>
      </c>
      <c r="B442" s="8" t="inlineStr">
        <is>
          <t xml:space="preserve">       [ S c r i p t L i b ]    �,g  # 1 0 0    O(u�~���]�f�e</t>
        </is>
      </c>
    </row>
    <row r="443">
      <c r="A443" s="9" t="n">
        <v>440</v>
      </c>
      <c r="B443" s="10" t="inlineStr">
        <is>
          <t xml:space="preserve"> </t>
        </is>
      </c>
    </row>
    <row r="444">
      <c r="A444" s="7" t="n">
        <v>441</v>
      </c>
      <c r="B444" s="8" t="inlineStr">
        <is>
          <t xml:space="preserve"> </t>
        </is>
      </c>
    </row>
    <row r="445">
      <c r="A445" s="9" t="n">
        <v>442</v>
      </c>
      <c r="B445" s="10" t="inlineStr">
        <is>
          <t xml:space="preserve"> </t>
        </is>
      </c>
    </row>
    <row r="446">
      <c r="A446" s="7" t="n">
        <v>443</v>
      </c>
      <c r="B446" s="8" t="inlineStr">
        <is>
          <t xml:space="preserve">      '  [ 2 / 5 ]    u b b�R!   ( 6 1 �y) </t>
        </is>
      </c>
    </row>
    <row r="447">
      <c r="A447" s="9" t="n">
        <v>444</v>
      </c>
      <c r="B447" s="10" t="inlineStr">
        <is>
          <t xml:space="preserve"> </t>
        </is>
      </c>
    </row>
    <row r="448">
      <c r="A448" s="7" t="n">
        <v>445</v>
      </c>
      <c r="B448" s="8" t="inlineStr">
        <is>
          <t xml:space="preserve">     ���Q�vU_:   C : \ U s e r s \ a d m i n \ A p p D a t a \ L o c a l \ J i a n y i n g P r o \ U s e r   D a t a \ P r o j e c t s \ c o m . l v e d i t o r . d r a f t \ 2 0 2 6 0 6 1 3 _ 2 1 1 2 1 8 _ �\ g_  hjR</t>
        </is>
      </c>
    </row>
    <row r="449">
      <c r="A449" s="9" t="n">
        <v>446</v>
      </c>
      <c r="B449" s="10" t="inlineStr">
        <is>
          <t xml:space="preserve"> </t>
        </is>
      </c>
    </row>
    <row r="450">
      <c r="A450" s="7" t="n">
        <v>447</v>
      </c>
      <c r="B450" s="8" t="inlineStr">
        <is>
          <t xml:space="preserve"> </t>
        </is>
      </c>
    </row>
    <row r="451">
      <c r="A451" s="9" t="n">
        <v>448</v>
      </c>
      <c r="B451" s="10" t="inlineStr">
        <is>
          <t xml:space="preserve"> </t>
        </is>
      </c>
    </row>
    <row r="452">
      <c r="A452" s="7" t="n">
        <v>449</v>
      </c>
      <c r="B452" s="8" t="inlineStr">
        <is>
          <t xml:space="preserve">     I{�_  3   �y T�~�~. . . </t>
        </is>
      </c>
    </row>
    <row r="453">
      <c r="A453" s="9" t="n">
        <v>450</v>
      </c>
      <c r="B453" s="10" t="inlineStr">
        <is>
          <t xml:space="preserve"> </t>
        </is>
      </c>
    </row>
    <row r="454">
      <c r="A454" s="7" t="n">
        <v>451</v>
      </c>
      <c r="B454" s="8" t="inlineStr">
        <is>
          <t xml:space="preserve"> = = = = = = = = = = = = = = = = = = = = = = = = = = = = = = = = = = = = = = = = = = = = = = = = = = = = = = = = = = = = </t>
        </is>
      </c>
    </row>
    <row r="455">
      <c r="A455" s="9" t="n">
        <v>452</v>
      </c>
      <c r="B455" s="10" t="inlineStr">
        <is>
          <t xml:space="preserve"> </t>
        </is>
      </c>
    </row>
    <row r="456">
      <c r="A456" s="7" t="n">
        <v>453</v>
      </c>
      <c r="B456" s="8" t="inlineStr">
        <is>
          <t xml:space="preserve">     [ 3 / 5 ]    _�Y u bƉ��</t>
        </is>
      </c>
    </row>
    <row r="457">
      <c r="A457" s="9" t="n">
        <v>454</v>
      </c>
      <c r="B457" s="10" t="inlineStr">
        <is>
          <t xml:space="preserve"> </t>
        </is>
      </c>
    </row>
    <row r="458">
      <c r="A458" s="7" t="n">
        <v>455</v>
      </c>
      <c r="B458" s="8" t="inlineStr">
        <is>
          <t xml:space="preserve">      �,gI D :   1 0 8 </t>
        </is>
      </c>
    </row>
    <row r="459">
      <c r="A459" s="9" t="n">
        <v>456</v>
      </c>
      <c r="B459" s="10" t="inlineStr">
        <is>
          <t xml:space="preserve"> </t>
        </is>
      </c>
    </row>
    <row r="460">
      <c r="A460" s="7" t="n">
        <v>457</v>
      </c>
      <c r="B460" s="8" t="inlineStr">
        <is>
          <t xml:space="preserve">     sQ.�͋:   �\�S</t>
        </is>
      </c>
    </row>
    <row r="461">
      <c r="A461" s="9" t="n">
        <v>458</v>
      </c>
      <c r="B461" s="10" t="inlineStr">
        <is>
          <t xml:space="preserve"> </t>
        </is>
      </c>
    </row>
    <row r="462">
      <c r="A462" s="7" t="n">
        <v>459</v>
      </c>
      <c r="B462" s="8" t="inlineStr">
        <is>
          <t xml:space="preserve">      �,g ��^:   2 4 2   W[</t>
        </is>
      </c>
    </row>
    <row r="463">
      <c r="A463" s="9" t="n">
        <v>460</v>
      </c>
      <c r="B463" s="10" t="inlineStr">
        <is>
          <t xml:space="preserve"> </t>
        </is>
      </c>
    </row>
    <row r="464">
      <c r="A464" s="7" t="n">
        <v>461</v>
      </c>
      <c r="B464" s="8" t="inlineStr">
        <is>
          <t xml:space="preserve"> = = = = = = = = = = = = = = = = = = = = = = = = = = = = = = = = = = = = = = = = = = = = = = = = = = = = = = = = = = = = </t>
        </is>
      </c>
    </row>
    <row r="465">
      <c r="A465" s="9" t="n">
        <v>462</v>
      </c>
      <c r="B465" s="10" t="inlineStr">
        <is>
          <t xml:space="preserve"> </t>
        </is>
      </c>
    </row>
    <row r="466">
      <c r="A466" s="7" t="n">
        <v>463</v>
      </c>
      <c r="B466" s="8" t="inlineStr">
        <is>
          <t xml:space="preserve"> </t>
        </is>
      </c>
    </row>
    <row r="467">
      <c r="A467" s="9" t="n">
        <v>464</v>
      </c>
      <c r="B467" s="10" t="inlineStr">
        <is>
          <t xml:space="preserve"> </t>
        </is>
      </c>
    </row>
    <row r="468">
      <c r="A468" s="7" t="n">
        <v>465</v>
      </c>
      <c r="B468" s="8" t="inlineStr">
        <is>
          <t xml:space="preserve"> T%P%P%P%P%P%P%P%P%P%P%P%P%P%P%P%P%P%P%P%P%P%P%P%P%P%P%P%P%P%P%P%P%P%P%P%P%P%P%P%P%P%P%P%P%P%P%W%</t>
        </is>
      </c>
    </row>
    <row r="469">
      <c r="A469" s="9" t="n">
        <v>466</v>
      </c>
      <c r="B469" s="10" t="inlineStr">
        <is>
          <t xml:space="preserve"> </t>
        </is>
      </c>
    </row>
    <row r="470">
      <c r="A470" s="7" t="n">
        <v>467</v>
      </c>
      <c r="B470" s="8" t="inlineStr">
        <is>
          <t xml:space="preserve"> Q%              &lt;�3�   hjR  �   A I Ɖ��ꁨRjR���]wQ                        Q%</t>
        </is>
      </c>
    </row>
    <row r="471">
      <c r="A471" s="9" t="n">
        <v>468</v>
      </c>
      <c r="B471" s="10" t="inlineStr">
        <is>
          <t xml:space="preserve"> </t>
        </is>
      </c>
    </row>
    <row r="472">
      <c r="A472" s="7" t="n">
        <v>469</v>
      </c>
      <c r="B472" s="8" t="inlineStr">
        <is>
          <t xml:space="preserve"> Q%                      jR f N NHrI�?zꁨR u b                            Q%</t>
        </is>
      </c>
    </row>
    <row r="473">
      <c r="A473" s="9" t="n">
        <v>470</v>
      </c>
      <c r="B473" s="10" t="inlineStr">
        <is>
          <t xml:space="preserve"> </t>
        </is>
      </c>
    </row>
    <row r="474">
      <c r="A474" s="7" t="n">
        <v>471</v>
      </c>
      <c r="B474" s="8" t="inlineStr">
        <is>
          <t xml:space="preserve"> Z%P%P%P%P%P%P%P%P%P%P%P%P%P%P%P%P%P%P%P%P%P%P%P%P%P%P%P%P%P%P%P%P%P%P%P%P%P%P%P%P%P%P%P%P%P%P%]%</t>
        </is>
      </c>
    </row>
    <row r="475">
      <c r="A475" s="9" t="n">
        <v>472</v>
      </c>
      <c r="B475" s="10" t="inlineStr">
        <is>
          <t xml:space="preserve"> </t>
        </is>
      </c>
    </row>
    <row r="476">
      <c r="A476" s="7" t="n">
        <v>473</v>
      </c>
      <c r="B476" s="8" t="inlineStr">
        <is>
          <t xml:space="preserve"> &gt; &gt;   VS�psQ.�͋:    0�\�S</t>
        </is>
      </c>
    </row>
    <row r="477">
      <c r="A477" s="9" t="n">
        <v>474</v>
      </c>
      <c r="B477" s="10" t="inlineStr">
        <is>
          <t>0</t>
        </is>
      </c>
    </row>
    <row r="478">
      <c r="A478" s="7" t="n">
        <v>475</v>
      </c>
      <c r="B478" s="8" t="inlineStr">
        <is>
          <t xml:space="preserve"> </t>
        </is>
      </c>
    </row>
    <row r="479">
      <c r="A479" s="9" t="n">
        <v>476</v>
      </c>
      <c r="B479" s="10" t="inlineStr">
        <is>
          <t xml:space="preserve"> </t>
        </is>
      </c>
    </row>
    <row r="480">
      <c r="A480" s="7" t="n">
        <v>477</v>
      </c>
      <c r="B480" s="8" t="inlineStr">
        <is>
          <t xml:space="preserve"> </t>
        </is>
      </c>
    </row>
    <row r="481">
      <c r="A481" s="9" t="n">
        <v>478</v>
      </c>
      <c r="B481" s="10" t="inlineStr">
        <is>
          <t xml:space="preserve"> = = = = = = = = = = = = = = = = = = = = = = = = = = = = = = = = = = = = = = = = = = = = = = = = = = </t>
        </is>
      </c>
    </row>
    <row r="482">
      <c r="A482" s="7" t="n">
        <v>479</v>
      </c>
      <c r="B482" s="8" t="inlineStr">
        <is>
          <t xml:space="preserve"> </t>
        </is>
      </c>
    </row>
    <row r="483">
      <c r="A483" s="9" t="n">
        <v>480</v>
      </c>
      <c r="B483" s="10" t="inlineStr">
        <is>
          <t xml:space="preserve"> [ S C A N ]   S t e p   1 / 6 :    YVS�p�m T }Pgkb�c. . . </t>
        </is>
      </c>
    </row>
    <row r="484">
      <c r="A484" s="7" t="n">
        <v>481</v>
      </c>
      <c r="B484" s="8" t="inlineStr">
        <is>
          <t xml:space="preserve"> </t>
        </is>
      </c>
    </row>
    <row r="485">
      <c r="A485" s="9" t="n">
        <v>482</v>
      </c>
      <c r="B485" s="10" t="inlineStr">
        <is>
          <t xml:space="preserve"> </t>
        </is>
      </c>
    </row>
    <row r="486">
      <c r="A486" s="7" t="n">
        <v>483</v>
      </c>
      <c r="B486" s="8" t="inlineStr">
        <is>
          <t xml:space="preserve"> </t>
        </is>
      </c>
    </row>
    <row r="487">
      <c r="A487" s="9" t="n">
        <v>484</v>
      </c>
      <c r="B487" s="10" t="inlineStr">
        <is>
          <t xml:space="preserve"> = = = = = = = = = = = = = = = = = = = = = = = = = = = = = = = = = = = = = = = = = = = = = = = = = = </t>
        </is>
      </c>
    </row>
    <row r="488">
      <c r="A488" s="7" t="n">
        <v>485</v>
      </c>
      <c r="B488" s="8" t="inlineStr">
        <is>
          <t xml:space="preserve"> </t>
        </is>
      </c>
    </row>
    <row r="489">
      <c r="A489" s="9" t="n">
        <v>486</v>
      </c>
      <c r="B489" s="10" t="inlineStr">
        <is>
          <t xml:space="preserve"> [ * ]   S t e p   2 / 6 :    O(u Y萇eHh( 2 4 2 W[) . . . </t>
        </is>
      </c>
    </row>
    <row r="490">
      <c r="A490" s="7" t="n">
        <v>487</v>
      </c>
      <c r="B490" s="8" t="inlineStr">
        <is>
          <t xml:space="preserve"> </t>
        </is>
      </c>
    </row>
    <row r="491">
      <c r="A491" s="9" t="n">
        <v>488</v>
      </c>
      <c r="B491" s="10" t="inlineStr">
        <is>
          <t xml:space="preserve"> </t>
        </is>
      </c>
    </row>
    <row r="492">
      <c r="A492" s="7" t="n">
        <v>489</v>
      </c>
      <c r="B492" s="8" t="inlineStr">
        <is>
          <t xml:space="preserve"> </t>
        </is>
      </c>
    </row>
    <row r="493">
      <c r="A493" s="9" t="n">
        <v>490</v>
      </c>
      <c r="B493" s="10" t="inlineStr">
        <is>
          <t xml:space="preserve">  % % % % % % % % % % % % % % % % % % % % % % % % % % % % % % % % % % % % % % % %</t>
        </is>
      </c>
    </row>
    <row r="494">
      <c r="A494" s="7" t="n">
        <v>491</v>
      </c>
      <c r="B494" s="8" t="inlineStr">
        <is>
          <t xml:space="preserve"> </t>
        </is>
      </c>
    </row>
    <row r="495">
      <c r="A495" s="9" t="n">
        <v>492</v>
      </c>
      <c r="B495" s="10" t="inlineStr">
        <is>
          <t xml:space="preserve"> ^�8^c�x^ �v�T��[�� Y�S Nv^������/n~vt^ �W[�S����|i�v9e �GS�~ ��Y�N�� b�N(u�s�t�Tv��tbc�e͑ u 0���s�w�s�t�v�Nh�\ObT �/f2 1 t^�v�e P �</t>
        </is>
      </c>
    </row>
    <row r="496">
      <c r="A496" s="7" t="n">
        <v>493</v>
      </c>
      <c r="B496" s="8" t="inlineStr">
        <is>
          <t>Nwm�v�[&lt;h=N 0��ُ!kbT �	g1 3 7 t^�S�S�v����|ibT �_N(uُ7h�v N*N�s�w�s�tZPُ7h�v N*N�4YJU �ߍ�[�Q�v N*Ǹof�v N*Nňp� �ُ*N:S�WbT �(u�v/f��I��S�vُ7h�v N*NKb�] x �0Wb�bT(u�v0u�VΘ&lt;h�v�N�SZP�e�v��  bT 0�Q�R</t>
        </is>
      </c>
    </row>
    <row r="497">
      <c r="A497" s="9" t="n">
        <v>494</v>
      </c>
      <c r="B497" s="10" t="inlineStr">
        <is>
          <t>Nُ�y��Gr�vُ�yňp�He�g �wm���vُ*N:S�WbT �</t>
        </is>
      </c>
    </row>
    <row r="498">
      <c r="A498" s="7" t="n">
        <v>495</v>
      </c>
      <c r="B498" s="8" t="inlineStr">
        <is>
          <t>Nb�4��v��/f b�N�vُ*NKb�] x 0teSObT �ُ�y݄�~r��v N*NLub�He�g ��s�w�s�tbT �Zf</t>
        </is>
      </c>
    </row>
    <row r="499">
      <c r="A499" s="9" t="n">
        <v>496</v>
      </c>
      <c r="B499" s="10" t="inlineStr">
        <is>
          <t>N1\ _op�vHe�g_N^�8^�h 0</t>
        </is>
      </c>
    </row>
    <row r="500">
      <c r="A500" s="7" t="n">
        <v>497</v>
      </c>
      <c r="B500" s="8" t="inlineStr">
        <is>
          <t xml:space="preserve"> </t>
        </is>
      </c>
    </row>
    <row r="501">
      <c r="A501" s="9" t="n">
        <v>498</v>
      </c>
      <c r="B501" s="10" t="inlineStr">
        <is>
          <t xml:space="preserve">  % % % % % % % % % % % % % % % % % % % % % % % % % % % % % % % % % % % % % % % %</t>
        </is>
      </c>
    </row>
    <row r="502">
      <c r="A502" s="7" t="n">
        <v>499</v>
      </c>
      <c r="B502" s="8" t="inlineStr">
        <is>
          <t xml:space="preserve"> </t>
        </is>
      </c>
    </row>
    <row r="503">
      <c r="A503" s="9" t="n">
        <v>500</v>
      </c>
      <c r="B503" s="10" t="inlineStr">
        <is>
          <t xml:space="preserve">       [ * ]   �eHh�]�OX[:   E : \  hjRo��N�vsQ�e�N\ 0 4 _ �eHh\ �eHh_ �\�S_ 2 0 2 6 0 6 1 3 _ 2 1 1 2 4 3 . t x t </t>
        </is>
      </c>
    </row>
    <row r="504">
      <c r="A504" s="7" t="n">
        <v>501</v>
      </c>
      <c r="B504" s="8" t="inlineStr">
        <is>
          <t xml:space="preserve"> </t>
        </is>
      </c>
    </row>
    <row r="505">
      <c r="A505" s="9" t="n">
        <v>502</v>
      </c>
      <c r="B505" s="10" t="inlineStr">
        <is>
          <t xml:space="preserve">       [ * ]   5 agW[U^( �SP[�~�b R, �] n m) </t>
        </is>
      </c>
    </row>
    <row r="506">
      <c r="A506" s="7" t="n">
        <v>503</v>
      </c>
      <c r="B506" s="8" t="inlineStr">
        <is>
          <t xml:space="preserve"> </t>
        </is>
      </c>
    </row>
    <row r="507">
      <c r="A507" s="9" t="n">
        <v>504</v>
      </c>
      <c r="B507" s="10" t="inlineStr">
        <is>
          <t xml:space="preserve"> </t>
        </is>
      </c>
    </row>
    <row r="508">
      <c r="A508" s="7" t="n">
        <v>505</v>
      </c>
      <c r="B508" s="8" t="inlineStr">
        <is>
          <t xml:space="preserve"> </t>
        </is>
      </c>
    </row>
    <row r="509">
      <c r="A509" s="9" t="n">
        <v>506</v>
      </c>
      <c r="B509" s="10" t="inlineStr">
        <is>
          <t xml:space="preserve"> = = = = = = = = = = = = = = = = = = = = = = = = = = = = = = = = = = = = = = = = = = = = = = = = = = </t>
        </is>
      </c>
    </row>
    <row r="510">
      <c r="A510" s="7" t="n">
        <v>507</v>
      </c>
      <c r="B510" s="8" t="inlineStr">
        <is>
          <t xml:space="preserve"> </t>
        </is>
      </c>
    </row>
    <row r="511">
      <c r="A511" s="9" t="n">
        <v>508</v>
      </c>
      <c r="B511" s="10" t="inlineStr">
        <is>
          <t xml:space="preserve"> [ * ]     S t e p   3 / 6 :    u b�[teM��. . . </t>
        </is>
      </c>
    </row>
    <row r="512">
      <c r="A512" s="7" t="n">
        <v>509</v>
      </c>
      <c r="B512" s="8" t="inlineStr">
        <is>
          <t xml:space="preserve"> </t>
        </is>
      </c>
    </row>
    <row r="513">
      <c r="A513" s="9" t="n">
        <v>510</v>
      </c>
      <c r="B513" s="10" t="inlineStr">
        <is>
          <t xml:space="preserve">       &lt;ؙ�  ck(W u b  A I   M��  ( E d g e   T T S ,   z h - C N - X i a o y i N e u r a l ,   r a t e = + 1 0 % ) . . . </t>
        </is>
      </c>
    </row>
    <row r="514">
      <c r="A514" s="7" t="n">
        <v>511</v>
      </c>
      <c r="B514" s="8" t="inlineStr">
        <is>
          <t xml:space="preserve"> </t>
        </is>
      </c>
    </row>
    <row r="515">
      <c r="A515" s="9" t="n">
        <v>512</v>
      </c>
      <c r="B515" s="10" t="inlineStr">
        <is>
          <t xml:space="preserve">       =���   n m T�eHh:   ^�8^c�x^ �v�T��[�� Y�S Nv^������/n~vt^ �W[�S����|i�v9e �GS�~ ��Y�N�� b�N(u�s�t�Tv��tbc�e͑ u 0. ���s�w�s�t�v�Nh�\ObT �/f2 1 t^�v�e P �</t>
        </is>
      </c>
    </row>
    <row r="516">
      <c r="A516" s="7" t="n">
        <v>513</v>
      </c>
      <c r="B516" s="8" t="inlineStr">
        <is>
          <t xml:space="preserve">Nwm�v�[&lt;h=N 0. ��ُ!kbT �. . . </t>
        </is>
      </c>
    </row>
    <row r="517">
      <c r="A517" s="9" t="n">
        <v>514</v>
      </c>
      <c r="B517" s="10" t="inlineStr">
        <is>
          <t xml:space="preserve"> </t>
        </is>
      </c>
    </row>
    <row r="518">
      <c r="A518" s="7" t="n">
        <v>515</v>
      </c>
      <c r="B518" s="8" t="inlineStr">
        <is>
          <t xml:space="preserve">        '  �e�S!h�� �Ǐ( �O�b͋�[te) </t>
        </is>
      </c>
    </row>
    <row r="519">
      <c r="A519" s="9" t="n">
        <v>516</v>
      </c>
      <c r="B519" s="10" t="inlineStr">
        <is>
          <t xml:space="preserve"> </t>
        </is>
      </c>
    </row>
    <row r="520">
      <c r="A520" s="7" t="n">
        <v>517</v>
      </c>
      <c r="B520" s="8" t="inlineStr">
        <is>
          <t xml:space="preserve">        '  A I   M�� u b�[ b:   M��_ �\�S_ 2 0 2 6 0 6 1 3 _ 2 1 1 2 4 3 . m p 3   ( 2 5 1 K B ) </t>
        </is>
      </c>
    </row>
    <row r="521">
      <c r="A521" s="9" t="n">
        <v>518</v>
      </c>
      <c r="B521" s="10" t="inlineStr">
        <is>
          <t xml:space="preserve"> </t>
        </is>
      </c>
    </row>
    <row r="522">
      <c r="A522" s="7" t="n">
        <v>519</v>
      </c>
      <c r="B522" s="8" t="inlineStr">
        <is>
          <t xml:space="preserve">       �#     &amp;  M��|nx�e �:   4 2 . 9 �y</t>
        </is>
      </c>
    </row>
    <row r="523">
      <c r="A523" s="9" t="n">
        <v>520</v>
      </c>
      <c r="B523" s="10" t="inlineStr">
        <is>
          <t xml:space="preserve"> </t>
        </is>
      </c>
    </row>
    <row r="524">
      <c r="A524" s="7" t="n">
        <v>521</v>
      </c>
      <c r="B524" s="8" t="inlineStr">
        <is>
          <t xml:space="preserve"> </t>
        </is>
      </c>
    </row>
    <row r="525">
      <c r="A525" s="9" t="n">
        <v>522</v>
      </c>
      <c r="B525" s="10" t="inlineStr">
        <is>
          <t xml:space="preserve"> </t>
        </is>
      </c>
    </row>
    <row r="526">
      <c r="A526" s="7" t="n">
        <v>523</v>
      </c>
      <c r="B526" s="8" t="inlineStr">
        <is>
          <t xml:space="preserve"> = = = = = = = = = = = = = = = = = = = = = = = = = = = = = = = = = = = = = = = = = = = = = = = = = = </t>
        </is>
      </c>
    </row>
    <row r="527">
      <c r="A527" s="9" t="n">
        <v>524</v>
      </c>
      <c r="B527" s="10" t="inlineStr">
        <is>
          <t xml:space="preserve"> </t>
        </is>
      </c>
    </row>
    <row r="528">
      <c r="A528" s="7" t="n">
        <v>525</v>
      </c>
      <c r="B528" s="8" t="inlineStr">
        <is>
          <t xml:space="preserve"> [ * ]   S t e p   4 / 6 :   9hncM���e �	��S }Pg( �v h4 2 . 9 �y) . . . </t>
        </is>
      </c>
    </row>
    <row r="529">
      <c r="A529" s="9" t="n">
        <v>526</v>
      </c>
      <c r="B529" s="10" t="inlineStr">
        <is>
          <t xml:space="preserve"> </t>
        </is>
      </c>
    </row>
    <row r="530">
      <c r="A530" s="7" t="n">
        <v>527</v>
      </c>
      <c r="B530" s="8" t="inlineStr">
        <is>
          <t xml:space="preserve">       [ O p e n i n g ]    _:W }Pg:    01 5 6  0 0v��~�[_l�+ �~ў�\ g 0Ul4Y�HQ u 0�\�S</t>
        </is>
      </c>
    </row>
    <row r="531">
      <c r="A531" s="9" t="n">
        <v>528</v>
      </c>
      <c r="B531" s="10" t="inlineStr">
        <is>
          <t xml:space="preserve">NB\���b6e�~B\ 0 0 � � 0 00 2 </t>
        </is>
      </c>
    </row>
    <row r="532">
      <c r="A532" s="7" t="n">
        <v>529</v>
      </c>
      <c r="B532" s="8" t="inlineStr">
        <is>
          <t xml:space="preserve"> </t>
        </is>
      </c>
    </row>
    <row r="533">
      <c r="A533" s="9" t="n">
        <v>530</v>
      </c>
      <c r="B533" s="10" t="inlineStr">
        <is>
          <t xml:space="preserve">       [ A d a p t i v e ]    �,g�T ^:   f 1 9 b 2 f 3 e 5 a 6 2 f 0 0 f ,   �]�cd�:   1 *N }Pg</t>
        </is>
      </c>
    </row>
    <row r="534">
      <c r="A534" s="7" t="n">
        <v>531</v>
      </c>
      <c r="B534" s="8" t="inlineStr">
        <is>
          <t xml:space="preserve"> </t>
        </is>
      </c>
    </row>
    <row r="535">
      <c r="A535" s="9" t="n">
        <v>532</v>
      </c>
      <c r="B535" s="10" t="inlineStr">
        <is>
          <t xml:space="preserve">       [ A d a p t i v e M a t c h ]   � ��^9SM�:   4 *NGr�k  ( �S͑+ OP}Y+ p��Q) </t>
        </is>
      </c>
    </row>
    <row r="536">
      <c r="A536" s="7" t="n">
        <v>533</v>
      </c>
      <c r="B536" s="8" t="inlineStr">
        <is>
          <t xml:space="preserve"> </t>
        </is>
      </c>
    </row>
    <row r="537">
      <c r="A537" s="9" t="n">
        <v>534</v>
      </c>
      <c r="B537" s="10" t="inlineStr">
        <is>
          <t xml:space="preserve"> </t>
        </is>
      </c>
    </row>
    <row r="538">
      <c r="A538" s="7" t="n">
        <v>535</v>
      </c>
      <c r="B538" s="8" t="inlineStr">
        <is>
          <t xml:space="preserve"> </t>
        </is>
      </c>
    </row>
    <row r="539">
      <c r="A539" s="9" t="n">
        <v>536</v>
      </c>
      <c r="B539" s="10" t="inlineStr">
        <is>
          <t xml:space="preserve">       [ * ]   	��S�N  5   *NGr�k: </t>
        </is>
      </c>
    </row>
    <row r="540">
      <c r="A540" s="7" t="n">
        <v>537</v>
      </c>
      <c r="B540" s="8" t="inlineStr">
        <is>
          <t xml:space="preserve"> </t>
        </is>
      </c>
    </row>
    <row r="541">
      <c r="A541" s="9" t="n">
        <v>538</v>
      </c>
      <c r="B541" s="10" t="inlineStr">
        <is>
          <t xml:space="preserve">       [ 1 ]    01 5 6  0 0v��~�[_l�+ �~ў�\ g 0Ul4Y�HQ u 0�\�S</t>
        </is>
      </c>
    </row>
    <row r="542">
      <c r="A542" s="7" t="n">
        <v>539</v>
      </c>
      <c r="B542" s="8" t="inlineStr">
        <is>
          <t xml:space="preserve">NB\���b6e�~B\ 0 0 � � 0 00 2  0- 2 . m p 4 </t>
        </is>
      </c>
    </row>
    <row r="543">
      <c r="A543" s="9" t="n">
        <v>540</v>
      </c>
      <c r="B543" s="10" t="inlineStr">
        <is>
          <t xml:space="preserve"> </t>
        </is>
      </c>
    </row>
    <row r="544">
      <c r="A544" s="7" t="n">
        <v>541</v>
      </c>
      <c r="B544" s="8" t="inlineStr">
        <is>
          <t xml:space="preserve">                 �!  *b�S  0 . 0 s   w�  5 . 0 �y</t>
        </is>
      </c>
    </row>
    <row r="545">
      <c r="A545" s="9" t="n">
        <v>542</v>
      </c>
      <c r="B545" s="10" t="inlineStr">
        <is>
          <t xml:space="preserve"> </t>
        </is>
      </c>
    </row>
    <row r="546">
      <c r="A546" s="7" t="n">
        <v>543</v>
      </c>
      <c r="B546" s="8" t="inlineStr">
        <is>
          <t xml:space="preserve">       [ 2 ]    09 9  0 0 Z4l&lt;\vY�l}v+ �~ў 0</t>
        </is>
      </c>
    </row>
    <row r="547">
      <c r="A547" s="9" t="n">
        <v>544</v>
      </c>
      <c r="B547" s="10" t="inlineStr">
        <is>
          <t>Nwm _sY�X 0�\�Sؚ5 lQ R</t>
        </is>
      </c>
    </row>
    <row r="548">
      <c r="A548" s="7" t="n">
        <v>545</v>
      </c>
      <c r="B548" s="8" t="inlineStr">
        <is>
          <t xml:space="preserve">NB\���b6e�~B\ 0- 1 . m p 4 </t>
        </is>
      </c>
    </row>
    <row r="549">
      <c r="A549" s="9" t="n">
        <v>546</v>
      </c>
      <c r="B549" s="10" t="inlineStr">
        <is>
          <t xml:space="preserve"> </t>
        </is>
      </c>
    </row>
    <row r="550">
      <c r="A550" s="7" t="n">
        <v>547</v>
      </c>
      <c r="B550" s="8" t="inlineStr">
        <is>
          <t xml:space="preserve">                 �!  *b�S  0 . 0 s   w�  5 . 0 �y</t>
        </is>
      </c>
    </row>
    <row r="551">
      <c r="A551" s="9" t="n">
        <v>548</v>
      </c>
      <c r="B551" s="10" t="inlineStr">
        <is>
          <t xml:space="preserve"> </t>
        </is>
      </c>
    </row>
    <row r="552">
      <c r="A552" s="7" t="n">
        <v>549</v>
      </c>
      <c r="B552" s="8" t="inlineStr">
        <is>
          <t xml:space="preserve">       [ 3 ]    01 4  0 0ў}v�{�~Θ 0_lς�kHQ u 0�\�S</t>
        </is>
      </c>
    </row>
    <row r="553">
      <c r="A553" s="9" t="n">
        <v>550</v>
      </c>
      <c r="B553" s="10" t="inlineStr">
        <is>
          <t xml:space="preserve">NB\���b6e�~U\:y 0 0dW�[ 0- 1 . m p 4 </t>
        </is>
      </c>
    </row>
    <row r="554">
      <c r="A554" s="7" t="n">
        <v>551</v>
      </c>
      <c r="B554" s="8" t="inlineStr">
        <is>
          <t xml:space="preserve"> </t>
        </is>
      </c>
    </row>
    <row r="555">
      <c r="A555" s="9" t="n">
        <v>552</v>
      </c>
      <c r="B555" s="10" t="inlineStr">
        <is>
          <t xml:space="preserve">                 �!  *b�S  0 . 0 s   w�  5 . 0 �y</t>
        </is>
      </c>
    </row>
    <row r="556">
      <c r="A556" s="7" t="n">
        <v>553</v>
      </c>
      <c r="B556" s="8" t="inlineStr">
        <is>
          <t xml:space="preserve"> </t>
        </is>
      </c>
    </row>
    <row r="557">
      <c r="A557" s="9" t="n">
        <v>554</v>
      </c>
      <c r="B557" s="10" t="inlineStr">
        <is>
          <t xml:space="preserve">       [ 4 ]      02 9  0 0W l� m�w 0�V�] RsY�X 03 ���b0W�[h�6e�~U\:y 0 0��[r0 2  0- 2 . m p 4 </t>
        </is>
      </c>
    </row>
    <row r="558">
      <c r="A558" s="7" t="n">
        <v>555</v>
      </c>
      <c r="B558" s="8" t="inlineStr">
        <is>
          <t xml:space="preserve"> </t>
        </is>
      </c>
    </row>
    <row r="559">
      <c r="A559" s="9" t="n">
        <v>556</v>
      </c>
      <c r="B559" s="10" t="inlineStr">
        <is>
          <t xml:space="preserve">                 �!  *b�S  0 . 0 s   w�  4 . 6 �y</t>
        </is>
      </c>
    </row>
    <row r="560">
      <c r="A560" s="7" t="n">
        <v>557</v>
      </c>
      <c r="B560" s="8" t="inlineStr">
        <is>
          <t xml:space="preserve"> </t>
        </is>
      </c>
    </row>
    <row r="561">
      <c r="A561" s="9" t="n">
        <v>558</v>
      </c>
      <c r="B561" s="10" t="inlineStr">
        <is>
          <t xml:space="preserve">       [ 5 ]    03 3  0 0W l��R�w 0�V�] R \�Y 0�\�S</t>
        </is>
      </c>
    </row>
    <row r="562">
      <c r="A562" s="7" t="n">
        <v>559</v>
      </c>
      <c r="B562" s="8" t="inlineStr">
        <is>
          <t xml:space="preserve">NB\���b6e�~U\:y 0- 1 . m p 4 </t>
        </is>
      </c>
    </row>
    <row r="563">
      <c r="A563" s="9" t="n">
        <v>560</v>
      </c>
      <c r="B563" s="10" t="inlineStr">
        <is>
          <t xml:space="preserve"> </t>
        </is>
      </c>
    </row>
    <row r="564">
      <c r="A564" s="7" t="n">
        <v>561</v>
      </c>
      <c r="B564" s="8" t="inlineStr">
        <is>
          <t xml:space="preserve">                 �!  *b�S  0 . 0 s   w�  5 . 0 �y</t>
        </is>
      </c>
    </row>
    <row r="565">
      <c r="A565" s="9" t="n">
        <v>562</v>
      </c>
      <c r="B565" s="10" t="inlineStr">
        <is>
          <t xml:space="preserve"> </t>
        </is>
      </c>
    </row>
    <row r="566">
      <c r="A566" s="7" t="n">
        <v>563</v>
      </c>
      <c r="B566" s="8" t="inlineStr">
        <is>
          <t xml:space="preserve">       [ * ]   ;`�e �:   2 4 . 6 �y</t>
        </is>
      </c>
    </row>
    <row r="567">
      <c r="A567" s="9" t="n">
        <v>564</v>
      </c>
      <c r="B567" s="10" t="inlineStr">
        <is>
          <t xml:space="preserve"> </t>
        </is>
      </c>
    </row>
    <row r="568">
      <c r="A568" s="7" t="n">
        <v>565</v>
      </c>
      <c r="B568" s="8" t="inlineStr">
        <is>
          <t xml:space="preserve">       &gt; &gt;   (�ϑǏ�n:   5   �!  5   *NGr�k  (  �&lt;P0 . 3 ) </t>
        </is>
      </c>
    </row>
    <row r="569">
      <c r="A569" s="9" t="n">
        <v>566</v>
      </c>
      <c r="B569" s="10" t="inlineStr">
        <is>
          <t xml:space="preserve"> </t>
        </is>
      </c>
    </row>
    <row r="570">
      <c r="A570" s="7" t="n">
        <v>567</v>
      </c>
      <c r="B570" s="8" t="inlineStr">
        <is>
          <t xml:space="preserve">       [ D E D U P ]   �S͑:   5   �!  5   *NGr�k</t>
        </is>
      </c>
    </row>
    <row r="571">
      <c r="A571" s="9" t="n">
        <v>568</v>
      </c>
      <c r="B571" s="10" t="inlineStr">
        <is>
          <t xml:space="preserve"> </t>
        </is>
      </c>
    </row>
    <row r="572">
      <c r="A572" s="7" t="n">
        <v>569</v>
      </c>
      <c r="B572" s="8" t="inlineStr">
        <is>
          <t xml:space="preserve">       [ ! ]    }Pg</t>
        </is>
      </c>
    </row>
    <row r="573">
      <c r="A573" s="9" t="n">
        <v>570</v>
      </c>
      <c r="B573" s="10" t="inlineStr">
        <is>
          <t xml:space="preserve">N��:   : 1 9 . 9 s , ꁨRe�EQ. . . </t>
        </is>
      </c>
    </row>
    <row r="574">
      <c r="A574" s="7" t="n">
        <v>571</v>
      </c>
      <c r="B574" s="8" t="inlineStr">
        <is>
          <t xml:space="preserve"> </t>
        </is>
      </c>
    </row>
    <row r="575">
      <c r="A575" s="9" t="n">
        <v>572</v>
      </c>
      <c r="B575" s="10" t="inlineStr">
        <is>
          <t xml:space="preserve">       [ O K ]   ꁨRe�EQ  6   *NGr�k  - &gt;   ;`�e �4 5 . 4 s </t>
        </is>
      </c>
    </row>
    <row r="576">
      <c r="A576" s="7" t="n">
        <v>573</v>
      </c>
      <c r="B576" s="8" t="inlineStr">
        <is>
          <t xml:space="preserve"> </t>
        </is>
      </c>
    </row>
    <row r="577">
      <c r="A577" s="9" t="n">
        <v>574</v>
      </c>
      <c r="B577" s="10" t="inlineStr">
        <is>
          <t xml:space="preserve"> </t>
        </is>
      </c>
    </row>
    <row r="578">
      <c r="A578" s="7" t="n">
        <v>575</v>
      </c>
      <c r="B578" s="8" t="inlineStr">
        <is>
          <t xml:space="preserve"> </t>
        </is>
      </c>
    </row>
    <row r="579">
      <c r="A579" s="9" t="n">
        <v>576</v>
      </c>
      <c r="B579" s="10" t="inlineStr">
        <is>
          <t xml:space="preserve">       [ * ]   	��S�N  1 1   *NGr�k: </t>
        </is>
      </c>
    </row>
    <row r="580">
      <c r="A580" s="7" t="n">
        <v>577</v>
      </c>
      <c r="B580" s="8" t="inlineStr">
        <is>
          <t xml:space="preserve"> </t>
        </is>
      </c>
    </row>
    <row r="581">
      <c r="A581" s="9" t="n">
        <v>578</v>
      </c>
      <c r="B581" s="10" t="inlineStr">
        <is>
          <t xml:space="preserve">       [ 1 ]    01 5 6  0 0v��~�[_l�+ �~ў�\ g 0Ul4Y�HQ u 0�\�S</t>
        </is>
      </c>
    </row>
    <row r="582">
      <c r="A582" s="7" t="n">
        <v>579</v>
      </c>
      <c r="B582" s="8" t="inlineStr">
        <is>
          <t xml:space="preserve">NB\���b6e�~B\ 0 0 � � 0 00 2  0- 2 . m p 4 </t>
        </is>
      </c>
    </row>
    <row r="583">
      <c r="A583" s="9" t="n">
        <v>580</v>
      </c>
      <c r="B583" s="10" t="inlineStr">
        <is>
          <t xml:space="preserve"> </t>
        </is>
      </c>
    </row>
    <row r="584">
      <c r="A584" s="7" t="n">
        <v>581</v>
      </c>
      <c r="B584" s="8" t="inlineStr">
        <is>
          <t xml:space="preserve">                 �!  *b�S  0 . 0 s   w�  5 . 0 �y</t>
        </is>
      </c>
    </row>
    <row r="585">
      <c r="A585" s="9" t="n">
        <v>582</v>
      </c>
      <c r="B585" s="10" t="inlineStr">
        <is>
          <t xml:space="preserve"> </t>
        </is>
      </c>
    </row>
    <row r="586">
      <c r="A586" s="7" t="n">
        <v>583</v>
      </c>
      <c r="B586" s="8" t="inlineStr">
        <is>
          <t xml:space="preserve">       [ 2 ]    09 9  0 0 Z4l&lt;\vY�l}v+ �~ў 0</t>
        </is>
      </c>
    </row>
    <row r="587">
      <c r="A587" s="9" t="n">
        <v>584</v>
      </c>
      <c r="B587" s="10" t="inlineStr">
        <is>
          <t>Nwm _sY�X 0�\�Sؚ5 lQ R</t>
        </is>
      </c>
    </row>
    <row r="588">
      <c r="A588" s="7" t="n">
        <v>585</v>
      </c>
      <c r="B588" s="8" t="inlineStr">
        <is>
          <t xml:space="preserve">NB\���b6e�~B\ 0- 1 . m p 4 </t>
        </is>
      </c>
    </row>
    <row r="589">
      <c r="A589" s="9" t="n">
        <v>586</v>
      </c>
      <c r="B589" s="10" t="inlineStr">
        <is>
          <t xml:space="preserve"> </t>
        </is>
      </c>
    </row>
    <row r="590">
      <c r="A590" s="7" t="n">
        <v>587</v>
      </c>
      <c r="B590" s="8" t="inlineStr">
        <is>
          <t xml:space="preserve">                 �!  *b�S  0 . 0 s   w�  5 . 0 �y</t>
        </is>
      </c>
    </row>
    <row r="591">
      <c r="A591" s="9" t="n">
        <v>588</v>
      </c>
      <c r="B591" s="10" t="inlineStr">
        <is>
          <t xml:space="preserve"> </t>
        </is>
      </c>
    </row>
    <row r="592">
      <c r="A592" s="7" t="n">
        <v>589</v>
      </c>
      <c r="B592" s="8" t="inlineStr">
        <is>
          <t xml:space="preserve">       [ 3 ]    03 3  0 0W l��R�w 0�V�] R \�Y 0�\�S</t>
        </is>
      </c>
    </row>
    <row r="593">
      <c r="A593" s="9" t="n">
        <v>590</v>
      </c>
      <c r="B593" s="10" t="inlineStr">
        <is>
          <t xml:space="preserve">NB\���b6e�~U\:y 0- 1 . m p 4 </t>
        </is>
      </c>
    </row>
    <row r="594">
      <c r="A594" s="7" t="n">
        <v>591</v>
      </c>
      <c r="B594" s="8" t="inlineStr">
        <is>
          <t xml:space="preserve"> </t>
        </is>
      </c>
    </row>
    <row r="595">
      <c r="A595" s="9" t="n">
        <v>592</v>
      </c>
      <c r="B595" s="10" t="inlineStr">
        <is>
          <t xml:space="preserve">                 �!  *b�S  0 . 0 s   w�  5 . 0 �y</t>
        </is>
      </c>
    </row>
    <row r="596">
      <c r="A596" s="7" t="n">
        <v>593</v>
      </c>
      <c r="B596" s="8" t="inlineStr">
        <is>
          <t xml:space="preserve"> </t>
        </is>
      </c>
    </row>
    <row r="597">
      <c r="A597" s="9" t="n">
        <v>594</v>
      </c>
      <c r="B597" s="10" t="inlineStr">
        <is>
          <t xml:space="preserve">       [ 4 ]    01 4  0 0ў}v�{�~Θ 0_lς�kHQ u 0�\�S</t>
        </is>
      </c>
    </row>
    <row r="598">
      <c r="A598" s="7" t="n">
        <v>595</v>
      </c>
      <c r="B598" s="8" t="inlineStr">
        <is>
          <t xml:space="preserve">NB\���b6e�~U\:y 0 0dW�[ 0- 1 . m p 4 </t>
        </is>
      </c>
    </row>
    <row r="599">
      <c r="A599" s="9" t="n">
        <v>596</v>
      </c>
      <c r="B599" s="10" t="inlineStr">
        <is>
          <t xml:space="preserve"> </t>
        </is>
      </c>
    </row>
    <row r="600">
      <c r="A600" s="7" t="n">
        <v>597</v>
      </c>
      <c r="B600" s="8" t="inlineStr">
        <is>
          <t xml:space="preserve">                 �!  *b�S  0 . 0 s   w�  5 . 0 �y</t>
        </is>
      </c>
    </row>
    <row r="601">
      <c r="A601" s="9" t="n">
        <v>598</v>
      </c>
      <c r="B601" s="10" t="inlineStr">
        <is>
          <t xml:space="preserve"> </t>
        </is>
      </c>
    </row>
    <row r="602">
      <c r="A602" s="7" t="n">
        <v>599</v>
      </c>
      <c r="B602" s="8" t="inlineStr">
        <is>
          <t xml:space="preserve">       [ 5 ]      02 9  0 0W l� m�w 0�V�] RsY�X 03 ���b0W�[h�6e�~U\:y 0 0��[r0 2  0- 2 . m p 4 </t>
        </is>
      </c>
    </row>
    <row r="603">
      <c r="A603" s="9" t="n">
        <v>600</v>
      </c>
      <c r="B603" s="10" t="inlineStr">
        <is>
          <t xml:space="preserve"> </t>
        </is>
      </c>
    </row>
    <row r="604">
      <c r="A604" s="7" t="n">
        <v>601</v>
      </c>
      <c r="B604" s="8" t="inlineStr">
        <is>
          <t xml:space="preserve">                 �!  *b�S  0 . 0 s   w�  4 . 6 �y</t>
        </is>
      </c>
    </row>
    <row r="605">
      <c r="A605" s="9" t="n">
        <v>602</v>
      </c>
      <c r="B605" s="10" t="inlineStr">
        <is>
          <t xml:space="preserve"> </t>
        </is>
      </c>
    </row>
    <row r="606">
      <c r="A606" s="7" t="n">
        <v>603</v>
      </c>
      <c r="B606" s="8" t="inlineStr">
        <is>
          <t xml:space="preserve">       [ 6 ]    01 0 8  0 0ў+ }v 0</t>
        </is>
      </c>
    </row>
    <row r="607">
      <c r="A607" s="9" t="n">
        <v>604</v>
      </c>
      <c r="B607" s="10" t="inlineStr">
        <is>
          <t xml:space="preserve">NwmNgHQ u 0�\�S;` �	g$Ns|4 + 8O) 3 0 lQ R 0    0 1 - 2 . m p 4 </t>
        </is>
      </c>
    </row>
    <row r="608">
      <c r="A608" s="7" t="n">
        <v>605</v>
      </c>
      <c r="B608" s="8" t="inlineStr">
        <is>
          <t xml:space="preserve"> </t>
        </is>
      </c>
    </row>
    <row r="609">
      <c r="A609" s="9" t="n">
        <v>606</v>
      </c>
      <c r="B609" s="10" t="inlineStr">
        <is>
          <t xml:space="preserve">                 �!  *b�S  2 . 2 s   w�  4 . 2 �y</t>
        </is>
      </c>
    </row>
    <row r="610">
      <c r="A610" s="7" t="n">
        <v>607</v>
      </c>
      <c r="B610" s="8" t="inlineStr">
        <is>
          <t xml:space="preserve"> </t>
        </is>
      </c>
    </row>
    <row r="611">
      <c r="A611" s="9" t="n">
        <v>608</v>
      </c>
      <c r="B611" s="10" t="inlineStr">
        <is>
          <t xml:space="preserve">       [ 7 ]    01 2 2  0 0 Z�X�_vY�lr�+ ~�s|)R�NEm�h   0VnWS ` Sm_ \�Y 0�\�S;` �$Ns|6 + 8O) 6 0 lQ R 0- 1 ( 1 ) . m p 4 </t>
        </is>
      </c>
    </row>
    <row r="612">
      <c r="A612" s="7" t="n">
        <v>609</v>
      </c>
      <c r="B612" s="8" t="inlineStr">
        <is>
          <t xml:space="preserve"> </t>
        </is>
      </c>
    </row>
    <row r="613">
      <c r="A613" s="9" t="n">
        <v>610</v>
      </c>
      <c r="B613" s="10" t="inlineStr">
        <is>
          <t xml:space="preserve">                 �!  *b�S  0 . 1 s   w�  3 . 9 �y</t>
        </is>
      </c>
    </row>
    <row r="614">
      <c r="A614" s="7" t="n">
        <v>611</v>
      </c>
      <c r="B614" s="8" t="inlineStr">
        <is>
          <t xml:space="preserve"> </t>
        </is>
      </c>
    </row>
    <row r="615">
      <c r="A615" s="9" t="n">
        <v>612</v>
      </c>
      <c r="B615" s="10" t="inlineStr">
        <is>
          <t xml:space="preserve">       [ 8 ]    05 7  0 0�q\�w�~ 0�m3W�_HQ u   0zz\��\�SteSO�~��U\:y 0- 6 . m p 4 </t>
        </is>
      </c>
    </row>
    <row r="616">
      <c r="A616" s="7" t="n">
        <v>613</v>
      </c>
      <c r="B616" s="8" t="inlineStr">
        <is>
          <t xml:space="preserve"> </t>
        </is>
      </c>
    </row>
    <row r="617">
      <c r="A617" s="9" t="n">
        <v>614</v>
      </c>
      <c r="B617" s="10" t="inlineStr">
        <is>
          <t xml:space="preserve">                 �!  *b�S  1 . 1 s   w�  3 . 1 �y</t>
        </is>
      </c>
    </row>
    <row r="618">
      <c r="A618" s="7" t="n">
        <v>615</v>
      </c>
      <c r="B618" s="8" t="inlineStr">
        <is>
          <t xml:space="preserve"> </t>
        </is>
      </c>
    </row>
    <row r="619">
      <c r="A619" s="9" t="n">
        <v>616</v>
      </c>
      <c r="B619" s="10" t="inlineStr">
        <is>
          <t xml:space="preserve">       [ 9 ]    03 9  0 0�[&lt;h=Nў+ ��HY?Q}v 0 S�N�vv�HQ u 0{�bYΘ�\�S 0- 5 . m p 4 </t>
        </is>
      </c>
    </row>
    <row r="620">
      <c r="A620" s="7" t="n">
        <v>617</v>
      </c>
      <c r="B620" s="8" t="inlineStr">
        <is>
          <t xml:space="preserve"> </t>
        </is>
      </c>
    </row>
    <row r="621">
      <c r="A621" s="9" t="n">
        <v>618</v>
      </c>
      <c r="B621" s="10" t="inlineStr">
        <is>
          <t xml:space="preserve">                 �!  *b�S  2 . 7 s   w�  3 . 5 �y</t>
        </is>
      </c>
    </row>
    <row r="622">
      <c r="A622" s="7" t="n">
        <v>619</v>
      </c>
      <c r="B622" s="8" t="inlineStr">
        <is>
          <t xml:space="preserve"> </t>
        </is>
      </c>
    </row>
    <row r="623">
      <c r="A623" s="9" t="n">
        <v>620</v>
      </c>
      <c r="B623" s="10" t="inlineStr">
        <is>
          <t xml:space="preserve">       [ 1 0 ]    0 03 0  0 0ce��Xo Y�b+ �~ў�TIQ+  S� ў�Ch 0_lςkp \�Y 0zz\��\�SPg(��~��teSOU\:y 0- 1 . m p 4 </t>
        </is>
      </c>
    </row>
    <row r="624">
      <c r="A624" s="7" t="n">
        <v>621</v>
      </c>
      <c r="B624" s="8" t="inlineStr">
        <is>
          <t xml:space="preserve"> </t>
        </is>
      </c>
    </row>
    <row r="625">
      <c r="A625" s="9" t="n">
        <v>622</v>
      </c>
      <c r="B625" s="10" t="inlineStr">
        <is>
          <t xml:space="preserve">                 �!  *b�S  2 . 3 s   w�  3 . 1 �y</t>
        </is>
      </c>
    </row>
    <row r="626">
      <c r="A626" s="7" t="n">
        <v>623</v>
      </c>
      <c r="B626" s="8" t="inlineStr">
        <is>
          <t xml:space="preserve"> </t>
        </is>
      </c>
    </row>
    <row r="627">
      <c r="A627" s="9" t="n">
        <v>624</v>
      </c>
      <c r="B627" s="10" t="inlineStr">
        <is>
          <t xml:space="preserve">       [ 1 1 ]    09 9  0 0 Z4l&lt;\vY�l}v+ �~ў 0</t>
        </is>
      </c>
    </row>
    <row r="628">
      <c r="A628" s="7" t="n">
        <v>625</v>
      </c>
      <c r="B628" s="8" t="inlineStr">
        <is>
          <t xml:space="preserve">Nwm _sY�X 0zz\��\�S8O)  �Lh NSO 0- 2 . m p 4 </t>
        </is>
      </c>
    </row>
    <row r="629">
      <c r="A629" s="9" t="n">
        <v>626</v>
      </c>
      <c r="B629" s="10" t="inlineStr">
        <is>
          <t xml:space="preserve"> </t>
        </is>
      </c>
    </row>
    <row r="630">
      <c r="A630" s="7" t="n">
        <v>627</v>
      </c>
      <c r="B630" s="8" t="inlineStr">
        <is>
          <t xml:space="preserve">                 �!  *b�S  1 . 6 s   w�  3 . 0 �y</t>
        </is>
      </c>
    </row>
    <row r="631">
      <c r="A631" s="9" t="n">
        <v>628</v>
      </c>
      <c r="B631" s="10" t="inlineStr">
        <is>
          <t xml:space="preserve"> </t>
        </is>
      </c>
    </row>
    <row r="632">
      <c r="A632" s="7" t="n">
        <v>629</v>
      </c>
      <c r="B632" s="8" t="inlineStr">
        <is>
          <t xml:space="preserve">       [ * ]   ;`�e �:   4 5 . 4 �y</t>
        </is>
      </c>
    </row>
    <row r="633">
      <c r="A633" s="9" t="n">
        <v>630</v>
      </c>
      <c r="B633" s="10" t="inlineStr">
        <is>
          <t xml:space="preserve"> </t>
        </is>
      </c>
    </row>
    <row r="634">
      <c r="A634" s="7" t="n">
        <v>631</v>
      </c>
      <c r="B634" s="8" t="inlineStr">
        <is>
          <t xml:space="preserve"> </t>
        </is>
      </c>
    </row>
    <row r="635">
      <c r="A635" s="9" t="n">
        <v>632</v>
      </c>
      <c r="B635" s="10" t="inlineStr">
        <is>
          <t xml:space="preserve"> </t>
        </is>
      </c>
    </row>
    <row r="636">
      <c r="A636" s="7" t="n">
        <v>633</v>
      </c>
      <c r="B636" s="8" t="inlineStr">
        <is>
          <t xml:space="preserve"> = = = = = = = = = = = = = = = = = = = = = = = = = = = = = = = = = = = = = = = = = = = = = = = = = = </t>
        </is>
      </c>
    </row>
    <row r="637">
      <c r="A637" s="9" t="n">
        <v>634</v>
      </c>
      <c r="B637" s="10" t="inlineStr">
        <is>
          <t xml:space="preserve"> </t>
        </is>
      </c>
    </row>
    <row r="638">
      <c r="A638" s="7" t="n">
        <v>635</v>
      </c>
      <c r="B638" s="8" t="inlineStr">
        <is>
          <t xml:space="preserve"> [ * ]   S t e p   5 / 6 :    Y tB G M . . . </t>
        </is>
      </c>
    </row>
    <row r="639">
      <c r="A639" s="9" t="n">
        <v>636</v>
      </c>
      <c r="B639" s="10" t="inlineStr">
        <is>
          <t xml:space="preserve"> </t>
        </is>
      </c>
    </row>
    <row r="640">
      <c r="A640" s="7" t="n">
        <v>637</v>
      </c>
      <c r="B640" s="8" t="inlineStr">
        <is>
          <t xml:space="preserve">       [ * ]   [ B G M ]   ,g0W��:g:   m i x k i t _ u p b e a t _ m o d e r n _ b c 0 6 f 5 0 4 . m p 3 </t>
        </is>
      </c>
    </row>
    <row r="641">
      <c r="A641" s="9" t="n">
        <v>638</v>
      </c>
      <c r="B641" s="10" t="inlineStr">
        <is>
          <t xml:space="preserve"> </t>
        </is>
      </c>
    </row>
    <row r="642">
      <c r="A642" s="7" t="n">
        <v>639</v>
      </c>
      <c r="B642" s="8" t="inlineStr">
        <is>
          <t xml:space="preserve"> </t>
        </is>
      </c>
    </row>
    <row r="643">
      <c r="A643" s="9" t="n">
        <v>640</v>
      </c>
      <c r="B643" s="10" t="inlineStr">
        <is>
          <t xml:space="preserve"> </t>
        </is>
      </c>
    </row>
    <row r="644">
      <c r="A644" s="7" t="n">
        <v>641</v>
      </c>
      <c r="B644" s="8" t="inlineStr">
        <is>
          <t xml:space="preserve"> = = = = = = = = = = = = = = = = = = = = = = = = = = = = = = = = = = = = = = = = = = = = = = = = = = </t>
        </is>
      </c>
    </row>
    <row r="645">
      <c r="A645" s="9" t="n">
        <v>642</v>
      </c>
      <c r="B645" s="10" t="inlineStr">
        <is>
          <t xml:space="preserve"> </t>
        </is>
      </c>
    </row>
    <row r="646">
      <c r="A646" s="7" t="n">
        <v>643</v>
      </c>
      <c r="B646" s="8" t="inlineStr">
        <is>
          <t xml:space="preserve"> [ * ]   S t e p   6 / 6 :    u bjR fI�?z. . . </t>
        </is>
      </c>
    </row>
    <row r="647">
      <c r="A647" s="9" t="n">
        <v>644</v>
      </c>
      <c r="B647" s="10" t="inlineStr">
        <is>
          <t xml:space="preserve"> </t>
        </is>
      </c>
    </row>
    <row r="648">
      <c r="A648" s="7" t="n">
        <v>645</v>
      </c>
      <c r="B648" s="8" t="inlineStr">
        <is>
          <t xml:space="preserve"> </t>
        </is>
      </c>
    </row>
    <row r="649">
      <c r="A649" s="9" t="n">
        <v>646</v>
      </c>
      <c r="B649" s="10" t="inlineStr">
        <is>
          <t xml:space="preserve"> </t>
        </is>
      </c>
    </row>
    <row r="650">
      <c r="A650" s="7" t="n">
        <v>647</v>
      </c>
      <c r="B650" s="8" t="inlineStr">
        <is>
          <t xml:space="preserve">        '  jR fI�?z�] u b �</t>
        </is>
      </c>
    </row>
    <row r="651">
      <c r="A651" s="9" t="n">
        <v>648</v>
      </c>
      <c r="B651" s="10" t="inlineStr">
        <is>
          <t xml:space="preserve"> </t>
        </is>
      </c>
    </row>
    <row r="652">
      <c r="A652" s="7" t="n">
        <v>649</v>
      </c>
      <c r="B652" s="8" t="inlineStr">
        <is>
          <t xml:space="preserve">       =���  I�?z�vU_:   C : \ U s e r s \ a d m i n \ A p p D a t a \ L o c a l \ J i a n y i n g P r o \ U s e r   D a t a \ P r o j e c t s \ c o m . l v e d i t o r . d r a f t \ 2 0 2 6 0 6 1 3 _ 2 1 1 3 2 0 _ �\�S_  hjR</t>
        </is>
      </c>
    </row>
    <row r="653">
      <c r="A653" s="9" t="n">
        <v>650</v>
      </c>
      <c r="B653" s="10" t="inlineStr">
        <is>
          <t xml:space="preserve"> </t>
        </is>
      </c>
    </row>
    <row r="654">
      <c r="A654" s="7" t="n">
        <v>651</v>
      </c>
      <c r="B654" s="8" t="inlineStr">
        <is>
          <t xml:space="preserve">       =ؾ�   Y�N�]�OX[:   E : \  hjRo��N�vsQ�e�N\ 0 3 _ �|jR���Q\ 2 0 2 6 0 6 1 3 _ 2 1 1 3 2 0 _ �\�S_  hjR</t>
        </is>
      </c>
    </row>
    <row r="655">
      <c r="A655" s="9" t="n">
        <v>652</v>
      </c>
      <c r="B655" s="10" t="inlineStr">
        <is>
          <t xml:space="preserve"> </t>
        </is>
      </c>
    </row>
    <row r="656">
      <c r="A656" s="7" t="n">
        <v>653</v>
      </c>
      <c r="B656" s="8" t="inlineStr">
        <is>
          <t xml:space="preserve"> </t>
        </is>
      </c>
    </row>
    <row r="657">
      <c r="A657" s="9" t="n">
        <v>654</v>
      </c>
      <c r="B657" s="10" t="inlineStr">
        <is>
          <t xml:space="preserve"> </t>
        </is>
      </c>
    </row>
    <row r="658">
      <c r="A658" s="7" t="n">
        <v>655</v>
      </c>
      <c r="B658" s="8" t="inlineStr">
        <is>
          <t xml:space="preserve"> = = = = = = = = = = = = = = = = = = = = = = = = = = = = = = = = = = = = = = = = = = = = = = = = = = </t>
        </is>
      </c>
    </row>
    <row r="659">
      <c r="A659" s="9" t="n">
        <v>656</v>
      </c>
      <c r="B659" s="10" t="inlineStr">
        <is>
          <t xml:space="preserve"> </t>
        </is>
      </c>
    </row>
    <row r="660">
      <c r="A660" s="7" t="n">
        <v>657</v>
      </c>
      <c r="B660" s="8" t="inlineStr">
        <is>
          <t xml:space="preserve"> [ O K ]   hQ萌[ b �</t>
        </is>
      </c>
    </row>
    <row r="661">
      <c r="A661" s="9" t="n">
        <v>658</v>
      </c>
      <c r="B661" s="10" t="inlineStr">
        <is>
          <t xml:space="preserve"> </t>
        </is>
      </c>
    </row>
    <row r="662">
      <c r="A662" s="7" t="n">
        <v>659</v>
      </c>
      <c r="B662" s="8" t="inlineStr">
        <is>
          <t xml:space="preserve"> = = = = = = = = = = = = = = = = = = = = = = = = = = = = = = = = = = = = = = = = = = = = = = = = = = </t>
        </is>
      </c>
    </row>
    <row r="663">
      <c r="A663" s="9" t="n">
        <v>660</v>
      </c>
      <c r="B663" s="10" t="inlineStr">
        <is>
          <t xml:space="preserve"> </t>
        </is>
      </c>
    </row>
    <row r="664">
      <c r="A664" s="7" t="n">
        <v>661</v>
      </c>
      <c r="B664" s="8" t="inlineStr">
        <is>
          <t xml:space="preserve">       [ S c r i p t L i b ]    �,g  # 1 0 8    O(u�~���]�f�e</t>
        </is>
      </c>
    </row>
    <row r="665">
      <c r="A665" s="9" t="n">
        <v>662</v>
      </c>
      <c r="B665" s="10" t="inlineStr">
        <is>
          <t xml:space="preserve"> </t>
        </is>
      </c>
    </row>
    <row r="666">
      <c r="A666" s="7" t="n">
        <v>663</v>
      </c>
      <c r="B666" s="8" t="inlineStr">
        <is>
          <t xml:space="preserve"> </t>
        </is>
      </c>
    </row>
    <row r="667">
      <c r="A667" s="9" t="n">
        <v>664</v>
      </c>
      <c r="B667" s="10" t="inlineStr">
        <is>
          <t xml:space="preserve"> </t>
        </is>
      </c>
    </row>
    <row r="668">
      <c r="A668" s="7" t="n">
        <v>665</v>
      </c>
      <c r="B668" s="8" t="inlineStr">
        <is>
          <t xml:space="preserve">      '  [ 3 / 5 ]    u b b�R!   ( 6 0 �y) </t>
        </is>
      </c>
    </row>
    <row r="669">
      <c r="A669" s="9" t="n">
        <v>666</v>
      </c>
      <c r="B669" s="10" t="inlineStr">
        <is>
          <t xml:space="preserve"> </t>
        </is>
      </c>
    </row>
    <row r="670">
      <c r="A670" s="7" t="n">
        <v>667</v>
      </c>
      <c r="B670" s="8" t="inlineStr">
        <is>
          <t xml:space="preserve">     ���Q�vU_:   C : \ U s e r s \ a d m i n \ A p p D a t a \ L o c a l \ J i a n y i n g P r o \ U s e r   D a t a \ P r o j e c t s \ c o m . l v e d i t o r . d r a f t \ 2 0 2 6 0 6 1 3 _ 2 1 1 3 2 0 _ �\�S_  hjR</t>
        </is>
      </c>
    </row>
    <row r="671">
      <c r="A671" s="9" t="n">
        <v>668</v>
      </c>
      <c r="B671" s="10" t="inlineStr">
        <is>
          <t xml:space="preserve"> </t>
        </is>
      </c>
    </row>
    <row r="672">
      <c r="A672" s="7" t="n">
        <v>669</v>
      </c>
      <c r="B672" s="8" t="inlineStr">
        <is>
          <t xml:space="preserve"> </t>
        </is>
      </c>
    </row>
    <row r="673">
      <c r="A673" s="9" t="n">
        <v>670</v>
      </c>
      <c r="B673" s="10" t="inlineStr">
        <is>
          <t xml:space="preserve"> </t>
        </is>
      </c>
    </row>
    <row r="674">
      <c r="A674" s="7" t="n">
        <v>671</v>
      </c>
      <c r="B674" s="8" t="inlineStr">
        <is>
          <t xml:space="preserve">     I{�_  3   �y T�~�~. . . </t>
        </is>
      </c>
    </row>
    <row r="675">
      <c r="A675" s="9" t="n">
        <v>672</v>
      </c>
      <c r="B675" s="10" t="inlineStr">
        <is>
          <t xml:space="preserve"> </t>
        </is>
      </c>
    </row>
    <row r="676">
      <c r="A676" s="7" t="n">
        <v>673</v>
      </c>
      <c r="B676" s="8" t="inlineStr">
        <is>
          <t xml:space="preserve"> = = = = = = = = = = = = = = = = = = = = = = = = = = = = = = = = = = = = = = = = = = = = = = = = = = = = = = = = = = = = </t>
        </is>
      </c>
    </row>
    <row r="677">
      <c r="A677" s="9" t="n">
        <v>674</v>
      </c>
      <c r="B677" s="10" t="inlineStr">
        <is>
          <t xml:space="preserve"> </t>
        </is>
      </c>
    </row>
    <row r="678">
      <c r="A678" s="7" t="n">
        <v>675</v>
      </c>
      <c r="B678" s="8" t="inlineStr">
        <is>
          <t xml:space="preserve">     [ 4 / 5 ]    _�Y u bƉ��</t>
        </is>
      </c>
    </row>
    <row r="679">
      <c r="A679" s="9" t="n">
        <v>676</v>
      </c>
      <c r="B679" s="10" t="inlineStr">
        <is>
          <t xml:space="preserve"> </t>
        </is>
      </c>
    </row>
    <row r="680">
      <c r="A680" s="7" t="n">
        <v>677</v>
      </c>
      <c r="B680" s="8" t="inlineStr">
        <is>
          <t xml:space="preserve">      �,gI D :   4 4 </t>
        </is>
      </c>
    </row>
    <row r="681">
      <c r="A681" s="9" t="n">
        <v>678</v>
      </c>
      <c r="B681" s="10" t="inlineStr">
        <is>
          <t xml:space="preserve"> </t>
        </is>
      </c>
    </row>
    <row r="682">
      <c r="A682" s="7" t="n">
        <v>679</v>
      </c>
      <c r="B682" s="8" t="inlineStr">
        <is>
          <t xml:space="preserve">     sQ.�͋:   �\�S</t>
        </is>
      </c>
    </row>
    <row r="683">
      <c r="A683" s="9" t="n">
        <v>680</v>
      </c>
      <c r="B683" s="10" t="inlineStr">
        <is>
          <t xml:space="preserve"> </t>
        </is>
      </c>
    </row>
    <row r="684">
      <c r="A684" s="7" t="n">
        <v>681</v>
      </c>
      <c r="B684" s="8" t="inlineStr">
        <is>
          <t xml:space="preserve">      �,g ��^:   1 4 7   W[</t>
        </is>
      </c>
    </row>
    <row r="685">
      <c r="A685" s="9" t="n">
        <v>682</v>
      </c>
      <c r="B685" s="10" t="inlineStr">
        <is>
          <t xml:space="preserve"> </t>
        </is>
      </c>
    </row>
    <row r="686">
      <c r="A686" s="7" t="n">
        <v>683</v>
      </c>
      <c r="B686" s="8" t="inlineStr">
        <is>
          <t xml:space="preserve"> = = = = = = = = = = = = = = = = = = = = = = = = = = = = = = = = = = = = = = = = = = = = = = = = = = = = = = = = = = = = </t>
        </is>
      </c>
    </row>
    <row r="687">
      <c r="A687" s="9" t="n">
        <v>684</v>
      </c>
      <c r="B687" s="10" t="inlineStr">
        <is>
          <t xml:space="preserve"> </t>
        </is>
      </c>
    </row>
    <row r="688">
      <c r="A688" s="7" t="n">
        <v>685</v>
      </c>
      <c r="B688" s="8" t="inlineStr">
        <is>
          <t xml:space="preserve"> </t>
        </is>
      </c>
    </row>
    <row r="689">
      <c r="A689" s="9" t="n">
        <v>686</v>
      </c>
      <c r="B689" s="10" t="inlineStr">
        <is>
          <t xml:space="preserve"> </t>
        </is>
      </c>
    </row>
    <row r="690">
      <c r="A690" s="7" t="n">
        <v>687</v>
      </c>
      <c r="B690" s="8" t="inlineStr">
        <is>
          <t xml:space="preserve"> T%P%P%P%P%P%P%P%P%P%P%P%P%P%P%P%P%P%P%P%P%P%P%P%P%P%P%P%P%P%P%P%P%P%P%P%P%P%P%P%P%P%P%P%P%P%P%W%</t>
        </is>
      </c>
    </row>
    <row r="691">
      <c r="A691" s="9" t="n">
        <v>688</v>
      </c>
      <c r="B691" s="10" t="inlineStr">
        <is>
          <t xml:space="preserve"> </t>
        </is>
      </c>
    </row>
    <row r="692">
      <c r="A692" s="7" t="n">
        <v>689</v>
      </c>
      <c r="B692" s="8" t="inlineStr">
        <is>
          <t xml:space="preserve"> Q%              &lt;�3�   hjR  �   A I Ɖ��ꁨRjR���]wQ                        Q%</t>
        </is>
      </c>
    </row>
    <row r="693">
      <c r="A693" s="9" t="n">
        <v>690</v>
      </c>
      <c r="B693" s="10" t="inlineStr">
        <is>
          <t xml:space="preserve"> </t>
        </is>
      </c>
    </row>
    <row r="694">
      <c r="A694" s="7" t="n">
        <v>691</v>
      </c>
      <c r="B694" s="8" t="inlineStr">
        <is>
          <t xml:space="preserve"> Q%                      jR f N NHrI�?zꁨR u b                            Q%</t>
        </is>
      </c>
    </row>
    <row r="695">
      <c r="A695" s="9" t="n">
        <v>692</v>
      </c>
      <c r="B695" s="10" t="inlineStr">
        <is>
          <t xml:space="preserve"> </t>
        </is>
      </c>
    </row>
    <row r="696">
      <c r="A696" s="7" t="n">
        <v>693</v>
      </c>
      <c r="B696" s="8" t="inlineStr">
        <is>
          <t xml:space="preserve"> Z%P%P%P%P%P%P%P%P%P%P%P%P%P%P%P%P%P%P%P%P%P%P%P%P%P%P%P%P%P%P%P%P%P%P%P%P%P%P%P%P%P%P%P%P%P%P%]%</t>
        </is>
      </c>
    </row>
    <row r="697">
      <c r="A697" s="9" t="n">
        <v>694</v>
      </c>
      <c r="B697" s="10" t="inlineStr">
        <is>
          <t xml:space="preserve"> </t>
        </is>
      </c>
    </row>
    <row r="698">
      <c r="A698" s="7" t="n">
        <v>695</v>
      </c>
      <c r="B698" s="8" t="inlineStr">
        <is>
          <t xml:space="preserve"> &gt; &gt;   VS�psQ.�͋:    0�\�S</t>
        </is>
      </c>
    </row>
    <row r="699">
      <c r="A699" s="9" t="n">
        <v>696</v>
      </c>
      <c r="B699" s="10" t="inlineStr">
        <is>
          <t>0</t>
        </is>
      </c>
    </row>
    <row r="700">
      <c r="A700" s="7" t="n">
        <v>697</v>
      </c>
      <c r="B700" s="8" t="inlineStr">
        <is>
          <t xml:space="preserve"> </t>
        </is>
      </c>
    </row>
    <row r="701">
      <c r="A701" s="9" t="n">
        <v>698</v>
      </c>
      <c r="B701" s="10" t="inlineStr">
        <is>
          <t xml:space="preserve"> </t>
        </is>
      </c>
    </row>
    <row r="702">
      <c r="A702" s="7" t="n">
        <v>699</v>
      </c>
      <c r="B702" s="8" t="inlineStr">
        <is>
          <t xml:space="preserve"> </t>
        </is>
      </c>
    </row>
    <row r="703">
      <c r="A703" s="9" t="n">
        <v>700</v>
      </c>
      <c r="B703" s="10" t="inlineStr">
        <is>
          <t xml:space="preserve"> = = = = = = = = = = = = = = = = = = = = = = = = = = = = = = = = = = = = = = = = = = = = = = = = = = </t>
        </is>
      </c>
    </row>
    <row r="704">
      <c r="A704" s="7" t="n">
        <v>701</v>
      </c>
      <c r="B704" s="8" t="inlineStr">
        <is>
          <t xml:space="preserve"> </t>
        </is>
      </c>
    </row>
    <row r="705">
      <c r="A705" s="9" t="n">
        <v>702</v>
      </c>
      <c r="B705" s="10" t="inlineStr">
        <is>
          <t xml:space="preserve"> [ S C A N ]   S t e p   1 / 6 :    YVS�p�m T }Pgkb�c. . . </t>
        </is>
      </c>
    </row>
    <row r="706">
      <c r="A706" s="7" t="n">
        <v>703</v>
      </c>
      <c r="B706" s="8" t="inlineStr">
        <is>
          <t xml:space="preserve"> </t>
        </is>
      </c>
    </row>
    <row r="707">
      <c r="A707" s="9" t="n">
        <v>704</v>
      </c>
      <c r="B707" s="10" t="inlineStr">
        <is>
          <t xml:space="preserve"> </t>
        </is>
      </c>
    </row>
    <row r="708">
      <c r="A708" s="7" t="n">
        <v>705</v>
      </c>
      <c r="B708" s="8" t="inlineStr">
        <is>
          <t xml:space="preserve"> </t>
        </is>
      </c>
    </row>
    <row r="709">
      <c r="A709" s="9" t="n">
        <v>706</v>
      </c>
      <c r="B709" s="10" t="inlineStr">
        <is>
          <t xml:space="preserve"> = = = = = = = = = = = = = = = = = = = = = = = = = = = = = = = = = = = = = = = = = = = = = = = = = = </t>
        </is>
      </c>
    </row>
    <row r="710">
      <c r="A710" s="7" t="n">
        <v>707</v>
      </c>
      <c r="B710" s="8" t="inlineStr">
        <is>
          <t xml:space="preserve"> </t>
        </is>
      </c>
    </row>
    <row r="711">
      <c r="A711" s="9" t="n">
        <v>708</v>
      </c>
      <c r="B711" s="10" t="inlineStr">
        <is>
          <t xml:space="preserve"> [ * ]   S t e p   2 / 6 :    O(u Y萇eHh( 1 4 7 W[) . . . </t>
        </is>
      </c>
    </row>
    <row r="712">
      <c r="A712" s="7" t="n">
        <v>709</v>
      </c>
      <c r="B712" s="8" t="inlineStr">
        <is>
          <t xml:space="preserve"> </t>
        </is>
      </c>
    </row>
    <row r="713">
      <c r="A713" s="9" t="n">
        <v>710</v>
      </c>
      <c r="B713" s="10" t="inlineStr">
        <is>
          <t xml:space="preserve"> </t>
        </is>
      </c>
    </row>
    <row r="714">
      <c r="A714" s="7" t="n">
        <v>711</v>
      </c>
      <c r="B714" s="8" t="inlineStr">
        <is>
          <t xml:space="preserve"> </t>
        </is>
      </c>
    </row>
    <row r="715">
      <c r="A715" s="9" t="n">
        <v>712</v>
      </c>
      <c r="B715" s="10" t="inlineStr">
        <is>
          <t xml:space="preserve">  % % % % % % % % % % % % % % % % % % % % % % % % % % % % % % % % % % % % % % % %</t>
        </is>
      </c>
    </row>
    <row r="716">
      <c r="A716" s="7" t="n">
        <v>713</v>
      </c>
      <c r="B716" s="8" t="inlineStr">
        <is>
          <t xml:space="preserve"> </t>
        </is>
      </c>
    </row>
    <row r="717">
      <c r="A717" s="9" t="n">
        <v>714</v>
      </c>
      <c r="B717" s="10" t="inlineStr">
        <is>
          <t xml:space="preserve">  b�b�p'YW��v O�~ �Lh�T</t>
        </is>
      </c>
    </row>
    <row r="718">
      <c r="A718" s="7" t="n">
        <v>715</v>
      </c>
      <c r="B718" s="8" t="inlineStr">
        <is>
          <t>N �.R�v�s�tb�bc b ���ΘўёbY�w�\�S �te*Nzz��&gt;f�_Y�'� 0ua�a 0~g _ 0`O�N:N�vBgqN���~ �vQ�[/f�[υ�N�N Nt^�v \�_:g ��l	gޏ�~�[P� �tS�k�NUOĉte gPg��ؚ�~ ��e��/f'Ys^B\ 0+R�X ��� O&gt;f�_ _ �r^�Q ��{�~�S	g(� a 0lxň</t>
        </is>
      </c>
    </row>
    <row r="719">
      <c r="A719" s="9" t="n">
        <v>716</v>
      </c>
      <c r="B719" s="10" t="inlineStr">
        <is>
          <t>N(u</t>
        </is>
      </c>
    </row>
    <row r="720">
      <c r="A720" s="7" t="n">
        <v>717</v>
      </c>
      <c r="B720" s="8" t="inlineStr">
        <is>
          <t>YBg ��W �USUS`�ُ&gt;k ���ΘўёbY�w�\�S1\���dw�te*Nzz����&lt;P 0</t>
        </is>
      </c>
    </row>
    <row r="721">
      <c r="A721" s="9" t="n">
        <v>718</v>
      </c>
      <c r="B721" s="10" t="inlineStr">
        <is>
          <t xml:space="preserve"> </t>
        </is>
      </c>
    </row>
    <row r="722">
      <c r="A722" s="7" t="n">
        <v>719</v>
      </c>
      <c r="B722" s="8" t="inlineStr">
        <is>
          <t xml:space="preserve">  % % % % % % % % % % % % % % % % % % % % % % % % % % % % % % % % % % % % % % % %</t>
        </is>
      </c>
    </row>
    <row r="723">
      <c r="A723" s="9" t="n">
        <v>720</v>
      </c>
      <c r="B723" s="10" t="inlineStr">
        <is>
          <t xml:space="preserve"> </t>
        </is>
      </c>
    </row>
    <row r="724">
      <c r="A724" s="7" t="n">
        <v>721</v>
      </c>
      <c r="B724" s="8" t="inlineStr">
        <is>
          <t xml:space="preserve">       [ * ]   �eHh�]�OX[:   E : \  hjRo��N�vsQ�e�N\ 0 4 _ �eHh\ �eHh_ �\�S_ 2 0 2 6 0 6 1 3 _ 2 1 1 3 4 6 . t x t </t>
        </is>
      </c>
    </row>
    <row r="725">
      <c r="A725" s="9" t="n">
        <v>722</v>
      </c>
      <c r="B725" s="10" t="inlineStr">
        <is>
          <t xml:space="preserve"> </t>
        </is>
      </c>
    </row>
    <row r="726">
      <c r="A726" s="7" t="n">
        <v>723</v>
      </c>
      <c r="B726" s="8" t="inlineStr">
        <is>
          <t xml:space="preserve">       [ * ]   3 agW[U^( �SP[�~�b R, �] n m) </t>
        </is>
      </c>
    </row>
    <row r="727">
      <c r="A727" s="9" t="n">
        <v>724</v>
      </c>
      <c r="B727" s="10" t="inlineStr">
        <is>
          <t xml:space="preserve"> </t>
        </is>
      </c>
    </row>
    <row r="728">
      <c r="A728" s="7" t="n">
        <v>725</v>
      </c>
      <c r="B728" s="8" t="inlineStr">
        <is>
          <t xml:space="preserve"> </t>
        </is>
      </c>
    </row>
    <row r="729">
      <c r="A729" s="9" t="n">
        <v>726</v>
      </c>
      <c r="B729" s="10" t="inlineStr">
        <is>
          <t xml:space="preserve"> </t>
        </is>
      </c>
    </row>
    <row r="730">
      <c r="A730" s="7" t="n">
        <v>727</v>
      </c>
      <c r="B730" s="8" t="inlineStr">
        <is>
          <t xml:space="preserve"> = = = = = = = = = = = = = = = = = = = = = = = = = = = = = = = = = = = = = = = = = = = = = = = = = = </t>
        </is>
      </c>
    </row>
    <row r="731">
      <c r="A731" s="9" t="n">
        <v>728</v>
      </c>
      <c r="B731" s="10" t="inlineStr">
        <is>
          <t xml:space="preserve"> </t>
        </is>
      </c>
    </row>
    <row r="732">
      <c r="A732" s="7" t="n">
        <v>729</v>
      </c>
      <c r="B732" s="8" t="inlineStr">
        <is>
          <t xml:space="preserve"> [ * ]     S t e p   3 / 6 :    u b�[teM��. . . </t>
        </is>
      </c>
    </row>
    <row r="733">
      <c r="A733" s="9" t="n">
        <v>730</v>
      </c>
      <c r="B733" s="10" t="inlineStr">
        <is>
          <t xml:space="preserve"> </t>
        </is>
      </c>
    </row>
    <row r="734">
      <c r="A734" s="7" t="n">
        <v>731</v>
      </c>
      <c r="B734" s="8" t="inlineStr">
        <is>
          <t xml:space="preserve">       &lt;ؙ�  ck(W u b  A I   M��  ( E d g e   T T S ,   z h - C N - X i a o y i N e u r a l ,   r a t e = + 1 0 % ) . . . </t>
        </is>
      </c>
    </row>
    <row r="735">
      <c r="A735" s="9" t="n">
        <v>732</v>
      </c>
      <c r="B735" s="10" t="inlineStr">
        <is>
          <t xml:space="preserve"> </t>
        </is>
      </c>
    </row>
    <row r="736">
      <c r="A736" s="7" t="n">
        <v>733</v>
      </c>
      <c r="B736" s="8" t="inlineStr">
        <is>
          <t xml:space="preserve">       =���   n m T�eHh:    b�b�p'YW��v O�~ �Lh�T</t>
        </is>
      </c>
    </row>
    <row r="737">
      <c r="A737" s="9" t="n">
        <v>734</v>
      </c>
      <c r="B737" s="10" t="inlineStr">
        <is>
          <t xml:space="preserve">N �.R�v�s�tb�bc b ���ΘўёbY�w�\�S �te*Nzz��&gt;f�_Y�'� 0ua�a 0~g _ 0. `O�N:N�vBgqN���~ �vQ�[/f�[υ�N�N Nt^�v \�_:g ��l	gޏ�~�[P� �tS�k�NUO. . . </t>
        </is>
      </c>
    </row>
    <row r="738">
      <c r="A738" s="7" t="n">
        <v>735</v>
      </c>
      <c r="B738" s="8" t="inlineStr">
        <is>
          <t xml:space="preserve"> </t>
        </is>
      </c>
    </row>
    <row r="739">
      <c r="A739" s="9" t="n">
        <v>736</v>
      </c>
      <c r="B739" s="10" t="inlineStr">
        <is>
          <t xml:space="preserve">        '  �e�S!h�� �Ǐ( �O�b͋�[te) </t>
        </is>
      </c>
    </row>
    <row r="740">
      <c r="A740" s="7" t="n">
        <v>737</v>
      </c>
      <c r="B740" s="8" t="inlineStr">
        <is>
          <t xml:space="preserve"> </t>
        </is>
      </c>
    </row>
    <row r="741">
      <c r="A741" s="9" t="n">
        <v>738</v>
      </c>
      <c r="B741" s="10" t="inlineStr">
        <is>
          <t xml:space="preserve">        '  A I   M�� u b�[ b:   M��_ �\�S_ 2 0 2 6 0 6 1 3 _ 2 1 1 3 4 6 . m p 3   ( 1 6 5 K B ) </t>
        </is>
      </c>
    </row>
    <row r="742">
      <c r="A742" s="7" t="n">
        <v>739</v>
      </c>
      <c r="B742" s="8" t="inlineStr">
        <is>
          <t xml:space="preserve"> </t>
        </is>
      </c>
    </row>
    <row r="743">
      <c r="A743" s="9" t="n">
        <v>740</v>
      </c>
      <c r="B743" s="10" t="inlineStr">
        <is>
          <t xml:space="preserve">       �#     &amp;  M��|nx�e �:   2 8 . 1 �y</t>
        </is>
      </c>
    </row>
    <row r="744">
      <c r="A744" s="7" t="n">
        <v>741</v>
      </c>
      <c r="B744" s="8" t="inlineStr">
        <is>
          <t xml:space="preserve"> </t>
        </is>
      </c>
    </row>
    <row r="745">
      <c r="A745" s="9" t="n">
        <v>742</v>
      </c>
      <c r="B745" s="10" t="inlineStr">
        <is>
          <t xml:space="preserve"> </t>
        </is>
      </c>
    </row>
    <row r="746">
      <c r="A746" s="7" t="n">
        <v>743</v>
      </c>
      <c r="B746" s="8" t="inlineStr">
        <is>
          <t xml:space="preserve"> </t>
        </is>
      </c>
    </row>
    <row r="747">
      <c r="A747" s="9" t="n">
        <v>744</v>
      </c>
      <c r="B747" s="10" t="inlineStr">
        <is>
          <t xml:space="preserve"> = = = = = = = = = = = = = = = = = = = = = = = = = = = = = = = = = = = = = = = = = = = = = = = = = = </t>
        </is>
      </c>
    </row>
    <row r="748">
      <c r="A748" s="7" t="n">
        <v>745</v>
      </c>
      <c r="B748" s="8" t="inlineStr">
        <is>
          <t xml:space="preserve"> </t>
        </is>
      </c>
    </row>
    <row r="749">
      <c r="A749" s="9" t="n">
        <v>746</v>
      </c>
      <c r="B749" s="10" t="inlineStr">
        <is>
          <t xml:space="preserve"> [ * ]   S t e p   4 / 6 :   9hncM���e �	��S }Pg( �v h2 8 . 1 �y) . . . </t>
        </is>
      </c>
    </row>
    <row r="750">
      <c r="A750" s="7" t="n">
        <v>747</v>
      </c>
      <c r="B750" s="8" t="inlineStr">
        <is>
          <t xml:space="preserve"> </t>
        </is>
      </c>
    </row>
    <row r="751">
      <c r="A751" s="9" t="n">
        <v>748</v>
      </c>
      <c r="B751" s="10" t="inlineStr">
        <is>
          <t xml:space="preserve">       [ O p e n i n g ]    _:W }Pg:    01 5 6  0 0v��~�[_l�+ �~ў�\ g 0Ul4Y�HQ u 0zz\��\�S</t>
        </is>
      </c>
    </row>
    <row r="752">
      <c r="A752" s="7" t="n">
        <v>749</v>
      </c>
      <c r="B752" s="8" t="inlineStr">
        <is>
          <t xml:space="preserve">NB\���bteSOU\:y 0- 1 . m </t>
        </is>
      </c>
    </row>
    <row r="753">
      <c r="A753" s="9" t="n">
        <v>750</v>
      </c>
      <c r="B753" s="10" t="inlineStr">
        <is>
          <t xml:space="preserve"> </t>
        </is>
      </c>
    </row>
    <row r="754">
      <c r="A754" s="7" t="n">
        <v>751</v>
      </c>
      <c r="B754" s="8" t="inlineStr">
        <is>
          <t xml:space="preserve">       [ A d a p t i v e ]    �,g�T ^:   f 2 4 b c 6 6 e 0 6 4 1 7 d d 8 ,   �]�cd�:   1 *N }Pg</t>
        </is>
      </c>
    </row>
    <row r="755">
      <c r="A755" s="9" t="n">
        <v>752</v>
      </c>
      <c r="B755" s="10" t="inlineStr">
        <is>
          <t xml:space="preserve"> </t>
        </is>
      </c>
    </row>
    <row r="756">
      <c r="A756" s="7" t="n">
        <v>753</v>
      </c>
      <c r="B756" s="8" t="inlineStr">
        <is>
          <t xml:space="preserve">       [ A d a p t i v e M a t c h ]   � ��^9SM�:   2 *NGr�k  ( �S͑+ OP}Y+ p��Q) </t>
        </is>
      </c>
    </row>
    <row r="757">
      <c r="A757" s="9" t="n">
        <v>754</v>
      </c>
      <c r="B757" s="10" t="inlineStr">
        <is>
          <t xml:space="preserve"> </t>
        </is>
      </c>
    </row>
    <row r="758">
      <c r="A758" s="7" t="n">
        <v>755</v>
      </c>
      <c r="B758" s="8" t="inlineStr">
        <is>
          <t xml:space="preserve"> </t>
        </is>
      </c>
    </row>
    <row r="759">
      <c r="A759" s="9" t="n">
        <v>756</v>
      </c>
      <c r="B759" s="10" t="inlineStr">
        <is>
          <t xml:space="preserve"> </t>
        </is>
      </c>
    </row>
    <row r="760">
      <c r="A760" s="7" t="n">
        <v>757</v>
      </c>
      <c r="B760" s="8" t="inlineStr">
        <is>
          <t xml:space="preserve">       [ * ]   	��S�N  3   *NGr�k: </t>
        </is>
      </c>
    </row>
    <row r="761">
      <c r="A761" s="9" t="n">
        <v>758</v>
      </c>
      <c r="B761" s="10" t="inlineStr">
        <is>
          <t xml:space="preserve"> </t>
        </is>
      </c>
    </row>
    <row r="762">
      <c r="A762" s="7" t="n">
        <v>759</v>
      </c>
      <c r="B762" s="8" t="inlineStr">
        <is>
          <t xml:space="preserve">       [ 1 ]    01 5 6  0 0v��~�[_l�+ �~ў�\ g 0Ul4Y�HQ u 0zz\��\�S</t>
        </is>
      </c>
    </row>
    <row r="763">
      <c r="A763" s="9" t="n">
        <v>760</v>
      </c>
      <c r="B763" s="10" t="inlineStr">
        <is>
          <t xml:space="preserve">NB\���bteSOU\:y 0- 1 . m p 4 </t>
        </is>
      </c>
    </row>
    <row r="764">
      <c r="A764" s="7" t="n">
        <v>761</v>
      </c>
      <c r="B764" s="8" t="inlineStr">
        <is>
          <t xml:space="preserve"> </t>
        </is>
      </c>
    </row>
    <row r="765">
      <c r="A765" s="9" t="n">
        <v>762</v>
      </c>
      <c r="B765" s="10" t="inlineStr">
        <is>
          <t xml:space="preserve">                 �!  *b�S  0 . 0 s   w�  5 . 0 �y</t>
        </is>
      </c>
    </row>
    <row r="766">
      <c r="A766" s="7" t="n">
        <v>763</v>
      </c>
      <c r="B766" s="8" t="inlineStr">
        <is>
          <t xml:space="preserve"> </t>
        </is>
      </c>
    </row>
    <row r="767">
      <c r="A767" s="9" t="n">
        <v>764</v>
      </c>
      <c r="B767" s="10" t="inlineStr">
        <is>
          <t xml:space="preserve">       [ 2 ]    01 3 4  0 04l�x�w�gSO+ ~�s|)R�N�h 0Ym_l��HQ u 0 NB\�bI\6e�~</t>
        </is>
      </c>
    </row>
    <row r="768">
      <c r="A768" s="7" t="n">
        <v>765</v>
      </c>
      <c r="B768" s="8" t="inlineStr">
        <is>
          <t xml:space="preserve">Njm9�zz���v�\�S 0 00 1  0- 1 . m p 4 </t>
        </is>
      </c>
    </row>
    <row r="769">
      <c r="A769" s="9" t="n">
        <v>766</v>
      </c>
      <c r="B769" s="10" t="inlineStr">
        <is>
          <t xml:space="preserve"> </t>
        </is>
      </c>
    </row>
    <row r="770">
      <c r="A770" s="7" t="n">
        <v>767</v>
      </c>
      <c r="B770" s="8" t="inlineStr">
        <is>
          <t xml:space="preserve">                 �!  *b�S  0 . 0 s   w�  3 . 5 �y</t>
        </is>
      </c>
    </row>
    <row r="771">
      <c r="A771" s="9" t="n">
        <v>768</v>
      </c>
      <c r="B771" s="10" t="inlineStr">
        <is>
          <t xml:space="preserve"> </t>
        </is>
      </c>
    </row>
    <row r="772">
      <c r="A772" s="7" t="n">
        <v>769</v>
      </c>
      <c r="B772" s="8" t="inlineStr">
        <is>
          <t xml:space="preserve">       [ 3 ]    01 9  0 0ў}v�g�{ 0�T�[�[HQ u 0�\�S</t>
        </is>
      </c>
    </row>
    <row r="773">
      <c r="A773" s="9" t="n">
        <v>770</v>
      </c>
      <c r="B773" s="10" t="inlineStr">
        <is>
          <t xml:space="preserve">NB\���b6e�~U\:y 0- 1 . m p 4 </t>
        </is>
      </c>
    </row>
    <row r="774">
      <c r="A774" s="7" t="n">
        <v>771</v>
      </c>
      <c r="B774" s="8" t="inlineStr">
        <is>
          <t xml:space="preserve"> </t>
        </is>
      </c>
    </row>
    <row r="775">
      <c r="A775" s="9" t="n">
        <v>772</v>
      </c>
      <c r="B775" s="10" t="inlineStr">
        <is>
          <t xml:space="preserve">                 �!  *b�S  0 . 0 s   w�  5 . 0 �y</t>
        </is>
      </c>
    </row>
    <row r="776">
      <c r="A776" s="7" t="n">
        <v>773</v>
      </c>
      <c r="B776" s="8" t="inlineStr">
        <is>
          <t xml:space="preserve"> </t>
        </is>
      </c>
    </row>
    <row r="777">
      <c r="A777" s="9" t="n">
        <v>774</v>
      </c>
      <c r="B777" s="10" t="inlineStr">
        <is>
          <t xml:space="preserve">       [ * ]   ;`�e �:   1 3 . 5 �y</t>
        </is>
      </c>
    </row>
    <row r="778">
      <c r="A778" s="7" t="n">
        <v>775</v>
      </c>
      <c r="B778" s="8" t="inlineStr">
        <is>
          <t xml:space="preserve"> </t>
        </is>
      </c>
    </row>
    <row r="779">
      <c r="A779" s="9" t="n">
        <v>776</v>
      </c>
      <c r="B779" s="10" t="inlineStr">
        <is>
          <t xml:space="preserve">       &gt; &gt;   (�ϑǏ�n:   3   �!  3   *NGr�k  (  �&lt;P0 . 3 ) </t>
        </is>
      </c>
    </row>
    <row r="780">
      <c r="A780" s="7" t="n">
        <v>777</v>
      </c>
      <c r="B780" s="8" t="inlineStr">
        <is>
          <t xml:space="preserve"> </t>
        </is>
      </c>
    </row>
    <row r="781">
      <c r="A781" s="9" t="n">
        <v>778</v>
      </c>
      <c r="B781" s="10" t="inlineStr">
        <is>
          <t xml:space="preserve">       [ D E D U P ]   �S͑:   3   �!  3   *NGr�k</t>
        </is>
      </c>
    </row>
    <row r="782">
      <c r="A782" s="7" t="n">
        <v>779</v>
      </c>
      <c r="B782" s="8" t="inlineStr">
        <is>
          <t xml:space="preserve"> </t>
        </is>
      </c>
    </row>
    <row r="783">
      <c r="A783" s="9" t="n">
        <v>780</v>
      </c>
      <c r="B783" s="10" t="inlineStr">
        <is>
          <t xml:space="preserve">       [ ! ]    }Pg</t>
        </is>
      </c>
    </row>
    <row r="784">
      <c r="A784" s="7" t="n">
        <v>781</v>
      </c>
      <c r="B784" s="8" t="inlineStr">
        <is>
          <t xml:space="preserve">N��:   : 1 6 . 1 s , ꁨRe�EQ. . . </t>
        </is>
      </c>
    </row>
    <row r="785">
      <c r="A785" s="9" t="n">
        <v>782</v>
      </c>
      <c r="B785" s="10" t="inlineStr">
        <is>
          <t xml:space="preserve"> </t>
        </is>
      </c>
    </row>
    <row r="786">
      <c r="A786" s="7" t="n">
        <v>783</v>
      </c>
      <c r="B786" s="8" t="inlineStr">
        <is>
          <t xml:space="preserve">       [ O K ]   ꁨRe�EQ  5   *NGr�k  - &gt;   ;`�e �3 0 . 8 s </t>
        </is>
      </c>
    </row>
    <row r="787">
      <c r="A787" s="9" t="n">
        <v>784</v>
      </c>
      <c r="B787" s="10" t="inlineStr">
        <is>
          <t xml:space="preserve"> </t>
        </is>
      </c>
    </row>
    <row r="788">
      <c r="A788" s="7" t="n">
        <v>785</v>
      </c>
      <c r="B788" s="8" t="inlineStr">
        <is>
          <t xml:space="preserve"> </t>
        </is>
      </c>
    </row>
    <row r="789">
      <c r="A789" s="9" t="n">
        <v>786</v>
      </c>
      <c r="B789" s="10" t="inlineStr">
        <is>
          <t xml:space="preserve"> </t>
        </is>
      </c>
    </row>
    <row r="790">
      <c r="A790" s="7" t="n">
        <v>787</v>
      </c>
      <c r="B790" s="8" t="inlineStr">
        <is>
          <t xml:space="preserve">       [ * ]   	��S�N  8   *NGr�k: </t>
        </is>
      </c>
    </row>
    <row r="791">
      <c r="A791" s="9" t="n">
        <v>788</v>
      </c>
      <c r="B791" s="10" t="inlineStr">
        <is>
          <t xml:space="preserve"> </t>
        </is>
      </c>
    </row>
    <row r="792">
      <c r="A792" s="7" t="n">
        <v>789</v>
      </c>
      <c r="B792" s="8" t="inlineStr">
        <is>
          <t xml:space="preserve">       [ 1 ]    01 5 6  0 0v��~�[_l�+ �~ў�\ g 0Ul4Y�HQ u 0zz\��\�S</t>
        </is>
      </c>
    </row>
    <row r="793">
      <c r="A793" s="9" t="n">
        <v>790</v>
      </c>
      <c r="B793" s="10" t="inlineStr">
        <is>
          <t xml:space="preserve">NB\���bteSOU\:y 0- 1 . m p 4 </t>
        </is>
      </c>
    </row>
    <row r="794">
      <c r="A794" s="7" t="n">
        <v>791</v>
      </c>
      <c r="B794" s="8" t="inlineStr">
        <is>
          <t xml:space="preserve"> </t>
        </is>
      </c>
    </row>
    <row r="795">
      <c r="A795" s="9" t="n">
        <v>792</v>
      </c>
      <c r="B795" s="10" t="inlineStr">
        <is>
          <t xml:space="preserve">                 �!  *b�S  0 . 0 s   w�  5 . 0 �y</t>
        </is>
      </c>
    </row>
    <row r="796">
      <c r="A796" s="7" t="n">
        <v>793</v>
      </c>
      <c r="B796" s="8" t="inlineStr">
        <is>
          <t xml:space="preserve"> </t>
        </is>
      </c>
    </row>
    <row r="797">
      <c r="A797" s="9" t="n">
        <v>794</v>
      </c>
      <c r="B797" s="10" t="inlineStr">
        <is>
          <t xml:space="preserve">       [ 2 ]    01 3 4  0 04l�x�w�gSO+ ~�s|)R�N�h 0Ym_l��HQ u 0 NB\�bI\6e�~</t>
        </is>
      </c>
    </row>
    <row r="798">
      <c r="A798" s="7" t="n">
        <v>795</v>
      </c>
      <c r="B798" s="8" t="inlineStr">
        <is>
          <t xml:space="preserve">Njm9�zz���v�\�S 0 00 1  0- 1 . m p 4 </t>
        </is>
      </c>
    </row>
    <row r="799">
      <c r="A799" s="9" t="n">
        <v>796</v>
      </c>
      <c r="B799" s="10" t="inlineStr">
        <is>
          <t xml:space="preserve"> </t>
        </is>
      </c>
    </row>
    <row r="800">
      <c r="A800" s="7" t="n">
        <v>797</v>
      </c>
      <c r="B800" s="8" t="inlineStr">
        <is>
          <t xml:space="preserve">                 �!  *b�S  0 . 0 s   w�  3 . 5 �y</t>
        </is>
      </c>
    </row>
    <row r="801">
      <c r="A801" s="9" t="n">
        <v>798</v>
      </c>
      <c r="B801" s="10" t="inlineStr">
        <is>
          <t xml:space="preserve"> </t>
        </is>
      </c>
    </row>
    <row r="802">
      <c r="A802" s="7" t="n">
        <v>799</v>
      </c>
      <c r="B802" s="8" t="inlineStr">
        <is>
          <t xml:space="preserve">       [ 3 ]    01 9  0 0ў}v�g�{ 0�T�[�[HQ u 0�\�S</t>
        </is>
      </c>
    </row>
    <row r="803">
      <c r="A803" s="9" t="n">
        <v>800</v>
      </c>
      <c r="B803" s="10" t="inlineStr">
        <is>
          <t xml:space="preserve">NB\���b6e�~U\:y 0- 1 . m p 4 </t>
        </is>
      </c>
    </row>
    <row r="804">
      <c r="A804" s="7" t="n">
        <v>801</v>
      </c>
      <c r="B804" s="8" t="inlineStr">
        <is>
          <t xml:space="preserve"> </t>
        </is>
      </c>
    </row>
    <row r="805">
      <c r="A805" s="9" t="n">
        <v>802</v>
      </c>
      <c r="B805" s="10" t="inlineStr">
        <is>
          <t xml:space="preserve">                 �!  *b�S  0 . 0 s   w�  5 . 0 �y</t>
        </is>
      </c>
    </row>
    <row r="806">
      <c r="A806" s="7" t="n">
        <v>803</v>
      </c>
      <c r="B806" s="8" t="inlineStr">
        <is>
          <t xml:space="preserve"> </t>
        </is>
      </c>
    </row>
    <row r="807">
      <c r="A807" s="9" t="n">
        <v>804</v>
      </c>
      <c r="B807" s="10" t="inlineStr">
        <is>
          <t xml:space="preserve">       [ 4 ]    08 4  0 0�Tr�+ �mўr�+ �l�V���Y�w 0�`�]NgHQ u 0;` �$Ns|6 �v a _�g�{Θ8O) �\�S 0- 1 . m p 4 </t>
        </is>
      </c>
    </row>
    <row r="808">
      <c r="A808" s="7" t="n">
        <v>805</v>
      </c>
      <c r="B808" s="8" t="inlineStr">
        <is>
          <t xml:space="preserve"> </t>
        </is>
      </c>
    </row>
    <row r="809">
      <c r="A809" s="9" t="n">
        <v>806</v>
      </c>
      <c r="B809" s="10" t="inlineStr">
        <is>
          <t xml:space="preserve">                 �!  *b�S  0 . 7 s   w�  3 . 9 �y</t>
        </is>
      </c>
    </row>
    <row r="810">
      <c r="A810" s="7" t="n">
        <v>807</v>
      </c>
      <c r="B810" s="8" t="inlineStr">
        <is>
          <t xml:space="preserve"> </t>
        </is>
      </c>
    </row>
    <row r="811">
      <c r="A811" s="9" t="n">
        <v>808</v>
      </c>
      <c r="B811" s="10" t="inlineStr">
        <is>
          <t xml:space="preserve">       [ 5 ]    00 7  0 0-N�SΘ 0 �%f ^�� \�Y 0 \b��y�[�k�l 00 1 - 1 - 1 . m p 4 </t>
        </is>
      </c>
    </row>
    <row r="812">
      <c r="A812" s="7" t="n">
        <v>809</v>
      </c>
      <c r="B812" s="8" t="inlineStr">
        <is>
          <t xml:space="preserve"> </t>
        </is>
      </c>
    </row>
    <row r="813">
      <c r="A813" s="9" t="n">
        <v>810</v>
      </c>
      <c r="B813" s="10" t="inlineStr">
        <is>
          <t xml:space="preserve">                 �!  *b�S  1 . 6 s   w�  3 . 4 �y</t>
        </is>
      </c>
    </row>
    <row r="814">
      <c r="A814" s="7" t="n">
        <v>811</v>
      </c>
      <c r="B814" s="8" t="inlineStr">
        <is>
          <t xml:space="preserve"> </t>
        </is>
      </c>
    </row>
    <row r="815">
      <c r="A815" s="9" t="n">
        <v>812</v>
      </c>
      <c r="B815" s="10" t="inlineStr">
        <is>
          <t xml:space="preserve">       [ 6 ]    03 4  0 0vY�l4l�l+ OgĞ�g(g 0WS�NO� \�Y 0zz\��\�SteSOU\:y 0- 4 . m p 4 </t>
        </is>
      </c>
    </row>
    <row r="816">
      <c r="A816" s="7" t="n">
        <v>813</v>
      </c>
      <c r="B816" s="8" t="inlineStr">
        <is>
          <t xml:space="preserve"> </t>
        </is>
      </c>
    </row>
    <row r="817">
      <c r="A817" s="9" t="n">
        <v>814</v>
      </c>
      <c r="B817" s="10" t="inlineStr">
        <is>
          <t xml:space="preserve">                 �!  *b�S  1 . 6 s   w�  3 . 9 �y</t>
        </is>
      </c>
    </row>
    <row r="818">
      <c r="A818" s="7" t="n">
        <v>815</v>
      </c>
      <c r="B818" s="8" t="inlineStr">
        <is>
          <t xml:space="preserve"> </t>
        </is>
      </c>
    </row>
    <row r="819">
      <c r="A819" s="9" t="n">
        <v>816</v>
      </c>
      <c r="B819" s="10" t="inlineStr">
        <is>
          <t xml:space="preserve">       [ 7 ]    01 3 9  0 0�Tr�+ �~}v�T+ aS�_�bEm�h 0�l�]0uHQ u 0�\�S(g�~�R�Tr��v�[�S 0 00 1  0- 1 . m p 4 </t>
        </is>
      </c>
    </row>
    <row r="820">
      <c r="A820" s="7" t="n">
        <v>817</v>
      </c>
      <c r="B820" s="8" t="inlineStr">
        <is>
          <t xml:space="preserve"> </t>
        </is>
      </c>
    </row>
    <row r="821">
      <c r="A821" s="9" t="n">
        <v>818</v>
      </c>
      <c r="B821" s="10" t="inlineStr">
        <is>
          <t xml:space="preserve">                 �!  *b�S  2 . 8 s   w�  3 . 1 �y</t>
        </is>
      </c>
    </row>
    <row r="822">
      <c r="A822" s="7" t="n">
        <v>819</v>
      </c>
      <c r="B822" s="8" t="inlineStr">
        <is>
          <t xml:space="preserve"> </t>
        </is>
      </c>
    </row>
    <row r="823">
      <c r="A823" s="9" t="n">
        <v>820</v>
      </c>
      <c r="B823" s="10" t="inlineStr">
        <is>
          <t xml:space="preserve">       [ 8 ]    01 2 1  0 0�[&lt;h=Nў+ ���Xў�v-dM� 0 ^ �"�HQ u 0zz\��\�SteSOU\:y 0- 3 . m p 4 </t>
        </is>
      </c>
    </row>
    <row r="824">
      <c r="A824" s="7" t="n">
        <v>821</v>
      </c>
      <c r="B824" s="8" t="inlineStr">
        <is>
          <t xml:space="preserve"> </t>
        </is>
      </c>
    </row>
    <row r="825">
      <c r="A825" s="9" t="n">
        <v>822</v>
      </c>
      <c r="B825" s="10" t="inlineStr">
        <is>
          <t xml:space="preserve">                 �!  *b�S  2 . 5 s   w�  3 . 0 �y</t>
        </is>
      </c>
    </row>
    <row r="826">
      <c r="A826" s="7" t="n">
        <v>823</v>
      </c>
      <c r="B826" s="8" t="inlineStr">
        <is>
          <t xml:space="preserve"> </t>
        </is>
      </c>
    </row>
    <row r="827">
      <c r="A827" s="9" t="n">
        <v>824</v>
      </c>
      <c r="B827" s="10" t="inlineStr">
        <is>
          <t xml:space="preserve">       [ * ]   ;`�e �:   3 0 . 8 �y</t>
        </is>
      </c>
    </row>
    <row r="828">
      <c r="A828" s="7" t="n">
        <v>825</v>
      </c>
      <c r="B828" s="8" t="inlineStr">
        <is>
          <t xml:space="preserve"> </t>
        </is>
      </c>
    </row>
    <row r="829">
      <c r="A829" s="9" t="n">
        <v>826</v>
      </c>
      <c r="B829" s="10" t="inlineStr">
        <is>
          <t xml:space="preserve"> </t>
        </is>
      </c>
    </row>
    <row r="830">
      <c r="A830" s="7" t="n">
        <v>827</v>
      </c>
      <c r="B830" s="8" t="inlineStr">
        <is>
          <t xml:space="preserve"> </t>
        </is>
      </c>
    </row>
    <row r="831">
      <c r="A831" s="9" t="n">
        <v>828</v>
      </c>
      <c r="B831" s="10" t="inlineStr">
        <is>
          <t xml:space="preserve"> = = = = = = = = = = = = = = = = = = = = = = = = = = = = = = = = = = = = = = = = = = = = = = = = = = </t>
        </is>
      </c>
    </row>
    <row r="832">
      <c r="A832" s="7" t="n">
        <v>829</v>
      </c>
      <c r="B832" s="8" t="inlineStr">
        <is>
          <t xml:space="preserve"> </t>
        </is>
      </c>
    </row>
    <row r="833">
      <c r="A833" s="9" t="n">
        <v>830</v>
      </c>
      <c r="B833" s="10" t="inlineStr">
        <is>
          <t xml:space="preserve"> [ * ]   S t e p   5 / 6 :    Y tB G M . . . </t>
        </is>
      </c>
    </row>
    <row r="834">
      <c r="A834" s="7" t="n">
        <v>831</v>
      </c>
      <c r="B834" s="8" t="inlineStr">
        <is>
          <t xml:space="preserve"> </t>
        </is>
      </c>
    </row>
    <row r="835">
      <c r="A835" s="9" t="n">
        <v>832</v>
      </c>
      <c r="B835" s="10" t="inlineStr">
        <is>
          <t xml:space="preserve">       [ * ]   [ B G M ]   ,g0W��:g:   m i x k i t _ u p b e a t _ m o d e r n _ b c 0 6 f 5 0 4 . m p 3 </t>
        </is>
      </c>
    </row>
    <row r="836">
      <c r="A836" s="7" t="n">
        <v>833</v>
      </c>
      <c r="B836" s="8" t="inlineStr">
        <is>
          <t xml:space="preserve"> </t>
        </is>
      </c>
    </row>
    <row r="837">
      <c r="A837" s="9" t="n">
        <v>834</v>
      </c>
      <c r="B837" s="10" t="inlineStr">
        <is>
          <t xml:space="preserve"> </t>
        </is>
      </c>
    </row>
    <row r="838">
      <c r="A838" s="7" t="n">
        <v>835</v>
      </c>
      <c r="B838" s="8" t="inlineStr">
        <is>
          <t xml:space="preserve"> </t>
        </is>
      </c>
    </row>
    <row r="839">
      <c r="A839" s="9" t="n">
        <v>836</v>
      </c>
      <c r="B839" s="10" t="inlineStr">
        <is>
          <t xml:space="preserve"> = = = = = = = = = = = = = = = = = = = = = = = = = = = = = = = = = = = = = = = = = = = = = = = = = = </t>
        </is>
      </c>
    </row>
    <row r="840">
      <c r="A840" s="7" t="n">
        <v>837</v>
      </c>
      <c r="B840" s="8" t="inlineStr">
        <is>
          <t xml:space="preserve"> </t>
        </is>
      </c>
    </row>
    <row r="841">
      <c r="A841" s="9" t="n">
        <v>838</v>
      </c>
      <c r="B841" s="10" t="inlineStr">
        <is>
          <t xml:space="preserve"> [ * ]   S t e p   6 / 6 :    u bjR fI�?z. . . </t>
        </is>
      </c>
    </row>
    <row r="842">
      <c r="A842" s="7" t="n">
        <v>839</v>
      </c>
      <c r="B842" s="8" t="inlineStr">
        <is>
          <t xml:space="preserve"> </t>
        </is>
      </c>
    </row>
    <row r="843">
      <c r="A843" s="9" t="n">
        <v>840</v>
      </c>
      <c r="B843" s="10" t="inlineStr">
        <is>
          <t xml:space="preserve"> </t>
        </is>
      </c>
    </row>
    <row r="844">
      <c r="A844" s="7" t="n">
        <v>841</v>
      </c>
      <c r="B844" s="8" t="inlineStr">
        <is>
          <t xml:space="preserve"> </t>
        </is>
      </c>
    </row>
    <row r="845">
      <c r="A845" s="9" t="n">
        <v>842</v>
      </c>
      <c r="B845" s="10" t="inlineStr">
        <is>
          <t xml:space="preserve">        '  jR fI�?z�] u b �</t>
        </is>
      </c>
    </row>
    <row r="846">
      <c r="A846" s="7" t="n">
        <v>843</v>
      </c>
      <c r="B846" s="8" t="inlineStr">
        <is>
          <t xml:space="preserve"> </t>
        </is>
      </c>
    </row>
    <row r="847">
      <c r="A847" s="9" t="n">
        <v>844</v>
      </c>
      <c r="B847" s="10" t="inlineStr">
        <is>
          <t xml:space="preserve">       =���  I�?z�vU_:   C : \ U s e r s \ a d m i n \ A p p D a t a \ L o c a l \ J i a n y i n g P r o \ U s e r   D a t a \ P r o j e c t s \ c o m . l v e d i t o r . d r a f t \ 2 0 2 6 0 6 1 3 _ 2 1 1 4 0 8 _ �\�S_  hjR</t>
        </is>
      </c>
    </row>
    <row r="848">
      <c r="A848" s="7" t="n">
        <v>845</v>
      </c>
      <c r="B848" s="8" t="inlineStr">
        <is>
          <t xml:space="preserve"> </t>
        </is>
      </c>
    </row>
    <row r="849">
      <c r="A849" s="9" t="n">
        <v>846</v>
      </c>
      <c r="B849" s="10" t="inlineStr">
        <is>
          <t xml:space="preserve">       =ؾ�   Y�N�]�OX[:   E : \  hjRo��N�vsQ�e�N\ 0 3 _ �|jR���Q\ 2 0 2 6 0 6 1 3 _ 2 1 1 4 0 8 _ �\�S_  hjR</t>
        </is>
      </c>
    </row>
    <row r="850">
      <c r="A850" s="7" t="n">
        <v>847</v>
      </c>
      <c r="B850" s="8" t="inlineStr">
        <is>
          <t xml:space="preserve"> </t>
        </is>
      </c>
    </row>
    <row r="851">
      <c r="A851" s="9" t="n">
        <v>848</v>
      </c>
      <c r="B851" s="10" t="inlineStr">
        <is>
          <t xml:space="preserve"> </t>
        </is>
      </c>
    </row>
    <row r="852">
      <c r="A852" s="7" t="n">
        <v>849</v>
      </c>
      <c r="B852" s="8" t="inlineStr">
        <is>
          <t xml:space="preserve"> </t>
        </is>
      </c>
    </row>
    <row r="853">
      <c r="A853" s="9" t="n">
        <v>850</v>
      </c>
      <c r="B853" s="10" t="inlineStr">
        <is>
          <t xml:space="preserve"> = = = = = = = = = = = = = = = = = = = = = = = = = = = = = = = = = = = = = = = = = = = = = = = = = = </t>
        </is>
      </c>
    </row>
    <row r="854">
      <c r="A854" s="7" t="n">
        <v>851</v>
      </c>
      <c r="B854" s="8" t="inlineStr">
        <is>
          <t xml:space="preserve"> </t>
        </is>
      </c>
    </row>
    <row r="855">
      <c r="A855" s="9" t="n">
        <v>852</v>
      </c>
      <c r="B855" s="10" t="inlineStr">
        <is>
          <t xml:space="preserve"> [ O K ]   hQ萌[ b �</t>
        </is>
      </c>
    </row>
    <row r="856">
      <c r="A856" s="7" t="n">
        <v>853</v>
      </c>
      <c r="B856" s="8" t="inlineStr">
        <is>
          <t xml:space="preserve"> </t>
        </is>
      </c>
    </row>
    <row r="857">
      <c r="A857" s="9" t="n">
        <v>854</v>
      </c>
      <c r="B857" s="10" t="inlineStr">
        <is>
          <t xml:space="preserve"> = = = = = = = = = = = = = = = = = = = = = = = = = = = = = = = = = = = = = = = = = = = = = = = = = = </t>
        </is>
      </c>
    </row>
    <row r="858">
      <c r="A858" s="7" t="n">
        <v>855</v>
      </c>
      <c r="B858" s="8" t="inlineStr">
        <is>
          <t xml:space="preserve"> </t>
        </is>
      </c>
    </row>
    <row r="859">
      <c r="A859" s="9" t="n">
        <v>856</v>
      </c>
      <c r="B859" s="10" t="inlineStr">
        <is>
          <t xml:space="preserve">       [ S c r i p t L i b ]    �,g  # 4 4    O(u�~���]�f�e</t>
        </is>
      </c>
    </row>
    <row r="860">
      <c r="A860" s="7" t="n">
        <v>857</v>
      </c>
      <c r="B860" s="8" t="inlineStr">
        <is>
          <t xml:space="preserve"> </t>
        </is>
      </c>
    </row>
    <row r="861">
      <c r="A861" s="9" t="n">
        <v>858</v>
      </c>
      <c r="B861" s="10" t="inlineStr">
        <is>
          <t xml:space="preserve"> </t>
        </is>
      </c>
    </row>
    <row r="862">
      <c r="A862" s="7" t="n">
        <v>859</v>
      </c>
      <c r="B862" s="8" t="inlineStr">
        <is>
          <t xml:space="preserve"> </t>
        </is>
      </c>
    </row>
    <row r="863">
      <c r="A863" s="9" t="n">
        <v>860</v>
      </c>
      <c r="B863" s="10" t="inlineStr">
        <is>
          <t xml:space="preserve">      '  [ 4 / 5 ]    u b b�R!   ( 4 5 �y) </t>
        </is>
      </c>
    </row>
    <row r="864">
      <c r="A864" s="7" t="n">
        <v>861</v>
      </c>
      <c r="B864" s="8" t="inlineStr">
        <is>
          <t xml:space="preserve"> </t>
        </is>
      </c>
    </row>
    <row r="865">
      <c r="A865" s="9" t="n">
        <v>862</v>
      </c>
      <c r="B865" s="10" t="inlineStr">
        <is>
          <t xml:space="preserve">     ���Q�vU_:   C : \ U s e r s \ a d m i n \ A p p D a t a \ L o c a l \ J i a n y i n g P r o \ U s e r   D a t a \ P r o j e c t s \ c o m . l v e d i t o r . d r a f t \ 2 0 2 6 0 6 1 3 _ 2 1 1 4 0 8 _ �\�S_  hjR</t>
        </is>
      </c>
    </row>
    <row r="866">
      <c r="A866" s="7" t="n">
        <v>863</v>
      </c>
      <c r="B866" s="8" t="inlineStr">
        <is>
          <t xml:space="preserve"> </t>
        </is>
      </c>
    </row>
    <row r="867">
      <c r="A867" s="9" t="n">
        <v>864</v>
      </c>
      <c r="B867" s="10" t="inlineStr">
        <is>
          <t xml:space="preserve"> </t>
        </is>
      </c>
    </row>
    <row r="868">
      <c r="A868" s="7" t="n">
        <v>865</v>
      </c>
      <c r="B868" s="8" t="inlineStr">
        <is>
          <t xml:space="preserve"> </t>
        </is>
      </c>
    </row>
    <row r="869">
      <c r="A869" s="9" t="n">
        <v>866</v>
      </c>
      <c r="B869" s="10" t="inlineStr">
        <is>
          <t xml:space="preserve">     I{�_  3   �y T�~�~. . . </t>
        </is>
      </c>
    </row>
    <row r="870">
      <c r="A870" s="7" t="n">
        <v>867</v>
      </c>
      <c r="B870" s="8" t="inlineStr">
        <is>
          <t xml:space="preserve"> </t>
        </is>
      </c>
    </row>
    <row r="871">
      <c r="A871" s="9" t="n">
        <v>868</v>
      </c>
      <c r="B871" s="10" t="inlineStr">
        <is>
          <t xml:space="preserve"> = = = = = = = = = = = = = = = = = = = = = = = = = = = = = = = = = = = = = = = = = = = = = = = = = = = = = = = = = = = = </t>
        </is>
      </c>
    </row>
    <row r="872">
      <c r="A872" s="7" t="n">
        <v>869</v>
      </c>
      <c r="B872" s="8" t="inlineStr">
        <is>
          <t xml:space="preserve"> </t>
        </is>
      </c>
    </row>
    <row r="873">
      <c r="A873" s="9" t="n">
        <v>870</v>
      </c>
      <c r="B873" s="10" t="inlineStr">
        <is>
          <t xml:space="preserve">     [ 5 / 5 ]    _�Y u bƉ��</t>
        </is>
      </c>
    </row>
    <row r="874">
      <c r="A874" s="7" t="n">
        <v>871</v>
      </c>
      <c r="B874" s="8" t="inlineStr">
        <is>
          <t xml:space="preserve"> </t>
        </is>
      </c>
    </row>
    <row r="875">
      <c r="A875" s="9" t="n">
        <v>872</v>
      </c>
      <c r="B875" s="10" t="inlineStr">
        <is>
          <t xml:space="preserve">      �,gI D :   2 9 </t>
        </is>
      </c>
    </row>
    <row r="876">
      <c r="A876" s="7" t="n">
        <v>873</v>
      </c>
      <c r="B876" s="8" t="inlineStr">
        <is>
          <t xml:space="preserve"> </t>
        </is>
      </c>
    </row>
    <row r="877">
      <c r="A877" s="9" t="n">
        <v>874</v>
      </c>
      <c r="B877" s="10" t="inlineStr">
        <is>
          <t xml:space="preserve">     sQ.�͋:    m�w</t>
        </is>
      </c>
    </row>
    <row r="878">
      <c r="A878" s="7" t="n">
        <v>875</v>
      </c>
      <c r="B878" s="8" t="inlineStr">
        <is>
          <t xml:space="preserve"> </t>
        </is>
      </c>
    </row>
    <row r="879">
      <c r="A879" s="9" t="n">
        <v>876</v>
      </c>
      <c r="B879" s="10" t="inlineStr">
        <is>
          <t xml:space="preserve">      �,g ��^:   1 7 2   W[</t>
        </is>
      </c>
    </row>
    <row r="880">
      <c r="A880" s="7" t="n">
        <v>877</v>
      </c>
      <c r="B880" s="8" t="inlineStr">
        <is>
          <t xml:space="preserve"> </t>
        </is>
      </c>
    </row>
    <row r="881">
      <c r="A881" s="9" t="n">
        <v>878</v>
      </c>
      <c r="B881" s="10" t="inlineStr">
        <is>
          <t xml:space="preserve"> = = = = = = = = = = = = = = = = = = = = = = = = = = = = = = = = = = = = = = = = = = = = = = = = = = = = = = = = = = = = </t>
        </is>
      </c>
    </row>
    <row r="882">
      <c r="A882" s="7" t="n">
        <v>879</v>
      </c>
      <c r="B882" s="8" t="inlineStr">
        <is>
          <t xml:space="preserve"> </t>
        </is>
      </c>
    </row>
    <row r="883">
      <c r="A883" s="9" t="n">
        <v>880</v>
      </c>
      <c r="B883" s="10" t="inlineStr">
        <is>
          <t xml:space="preserve"> </t>
        </is>
      </c>
    </row>
    <row r="884">
      <c r="A884" s="7" t="n">
        <v>881</v>
      </c>
      <c r="B884" s="8" t="inlineStr">
        <is>
          <t xml:space="preserve"> </t>
        </is>
      </c>
    </row>
    <row r="885">
      <c r="A885" s="9" t="n">
        <v>882</v>
      </c>
      <c r="B885" s="10" t="inlineStr">
        <is>
          <t xml:space="preserve"> T%P%P%P%P%P%P%P%P%P%P%P%P%P%P%P%P%P%P%P%P%P%P%P%P%P%P%P%P%P%P%P%P%P%P%P%P%P%P%P%P%P%P%P%P%P%P%W%</t>
        </is>
      </c>
    </row>
    <row r="886">
      <c r="A886" s="7" t="n">
        <v>883</v>
      </c>
      <c r="B886" s="8" t="inlineStr">
        <is>
          <t xml:space="preserve"> </t>
        </is>
      </c>
    </row>
    <row r="887">
      <c r="A887" s="9" t="n">
        <v>884</v>
      </c>
      <c r="B887" s="10" t="inlineStr">
        <is>
          <t xml:space="preserve"> Q%              &lt;�3�   hjR  �   A I Ɖ��ꁨRjR���]wQ                        Q%</t>
        </is>
      </c>
    </row>
    <row r="888">
      <c r="A888" s="7" t="n">
        <v>885</v>
      </c>
      <c r="B888" s="8" t="inlineStr">
        <is>
          <t xml:space="preserve"> </t>
        </is>
      </c>
    </row>
    <row r="889">
      <c r="A889" s="9" t="n">
        <v>886</v>
      </c>
      <c r="B889" s="10" t="inlineStr">
        <is>
          <t xml:space="preserve"> Q%                      jR f N NHrI�?zꁨR u b                            Q%</t>
        </is>
      </c>
    </row>
    <row r="890">
      <c r="A890" s="7" t="n">
        <v>887</v>
      </c>
      <c r="B890" s="8" t="inlineStr">
        <is>
          <t xml:space="preserve"> </t>
        </is>
      </c>
    </row>
    <row r="891">
      <c r="A891" s="9" t="n">
        <v>888</v>
      </c>
      <c r="B891" s="10" t="inlineStr">
        <is>
          <t xml:space="preserve"> Z%P%P%P%P%P%P%P%P%P%P%P%P%P%P%P%P%P%P%P%P%P%P%P%P%P%P%P%P%P%P%P%P%P%P%P%P%P%P%P%P%P%P%P%P%P%P%]%</t>
        </is>
      </c>
    </row>
    <row r="892">
      <c r="A892" s="7" t="n">
        <v>889</v>
      </c>
      <c r="B892" s="8" t="inlineStr">
        <is>
          <t xml:space="preserve"> </t>
        </is>
      </c>
    </row>
    <row r="893">
      <c r="A893" s="9" t="n">
        <v>890</v>
      </c>
      <c r="B893" s="10" t="inlineStr">
        <is>
          <t xml:space="preserve"> &gt; &gt;   VS�psQ.�͋:    0 m�w</t>
        </is>
      </c>
    </row>
    <row r="894">
      <c r="A894" s="7" t="n">
        <v>891</v>
      </c>
      <c r="B894" s="8" t="inlineStr">
        <is>
          <t>0</t>
        </is>
      </c>
    </row>
    <row r="895">
      <c r="A895" s="9" t="n">
        <v>892</v>
      </c>
      <c r="B895" s="10" t="inlineStr">
        <is>
          <t xml:space="preserve"> </t>
        </is>
      </c>
    </row>
    <row r="896">
      <c r="A896" s="7" t="n">
        <v>893</v>
      </c>
      <c r="B896" s="8" t="inlineStr">
        <is>
          <t xml:space="preserve"> </t>
        </is>
      </c>
    </row>
    <row r="897">
      <c r="A897" s="9" t="n">
        <v>894</v>
      </c>
      <c r="B897" s="10" t="inlineStr">
        <is>
          <t xml:space="preserve"> </t>
        </is>
      </c>
    </row>
    <row r="898">
      <c r="A898" s="7" t="n">
        <v>895</v>
      </c>
      <c r="B898" s="8" t="inlineStr">
        <is>
          <t xml:space="preserve"> = = = = = = = = = = = = = = = = = = = = = = = = = = = = = = = = = = = = = = = = = = = = = = = = = = </t>
        </is>
      </c>
    </row>
    <row r="899">
      <c r="A899" s="9" t="n">
        <v>896</v>
      </c>
      <c r="B899" s="10" t="inlineStr">
        <is>
          <t xml:space="preserve"> </t>
        </is>
      </c>
    </row>
    <row r="900">
      <c r="A900" s="7" t="n">
        <v>897</v>
      </c>
      <c r="B900" s="8" t="inlineStr">
        <is>
          <t xml:space="preserve"> [ S C A N ]   S t e p   1 / 6 :    YVS�p�m T }Pgkb�c. . . </t>
        </is>
      </c>
    </row>
    <row r="901">
      <c r="A901" s="9" t="n">
        <v>898</v>
      </c>
      <c r="B901" s="10" t="inlineStr">
        <is>
          <t xml:space="preserve"> </t>
        </is>
      </c>
    </row>
    <row r="902">
      <c r="A902" s="7" t="n">
        <v>899</v>
      </c>
      <c r="B902" s="8" t="inlineStr">
        <is>
          <t xml:space="preserve"> </t>
        </is>
      </c>
    </row>
    <row r="903">
      <c r="A903" s="9" t="n">
        <v>900</v>
      </c>
      <c r="B903" s="10" t="inlineStr">
        <is>
          <t xml:space="preserve"> </t>
        </is>
      </c>
    </row>
    <row r="904">
      <c r="A904" s="7" t="n">
        <v>901</v>
      </c>
      <c r="B904" s="8" t="inlineStr">
        <is>
          <t xml:space="preserve"> = = = = = = = = = = = = = = = = = = = = = = = = = = = = = = = = = = = = = = = = = = = = = = = = = = </t>
        </is>
      </c>
    </row>
    <row r="905">
      <c r="A905" s="9" t="n">
        <v>902</v>
      </c>
      <c r="B905" s="10" t="inlineStr">
        <is>
          <t xml:space="preserve"> </t>
        </is>
      </c>
    </row>
    <row r="906">
      <c r="A906" s="7" t="n">
        <v>903</v>
      </c>
      <c r="B906" s="8" t="inlineStr">
        <is>
          <t xml:space="preserve"> [ * ]   S t e p   2 / 6 :    O(u Y萇eHh( 1 7 2 W[) . . . </t>
        </is>
      </c>
    </row>
    <row r="907">
      <c r="A907" s="9" t="n">
        <v>904</v>
      </c>
      <c r="B907" s="10" t="inlineStr">
        <is>
          <t xml:space="preserve"> </t>
        </is>
      </c>
    </row>
    <row r="908">
      <c r="A908" s="7" t="n">
        <v>905</v>
      </c>
      <c r="B908" s="8" t="inlineStr">
        <is>
          <t xml:space="preserve"> </t>
        </is>
      </c>
    </row>
    <row r="909">
      <c r="A909" s="9" t="n">
        <v>906</v>
      </c>
      <c r="B909" s="10" t="inlineStr">
        <is>
          <t xml:space="preserve"> </t>
        </is>
      </c>
    </row>
    <row r="910">
      <c r="A910" s="7" t="n">
        <v>907</v>
      </c>
      <c r="B910" s="8" t="inlineStr">
        <is>
          <t xml:space="preserve">  % % % % % % % % % % % % % % % % % % % % % % % % % % % % % % % % % % % % % % % %</t>
        </is>
      </c>
    </row>
    <row r="911">
      <c r="A911" s="9" t="n">
        <v>908</v>
      </c>
      <c r="B911" s="10" t="inlineStr">
        <is>
          <t xml:space="preserve"> </t>
        </is>
      </c>
    </row>
    <row r="912">
      <c r="A912" s="7" t="n">
        <v>909</v>
      </c>
      <c r="B912" s="8" t="inlineStr">
        <is>
          <t xml:space="preserve"> (u�[1\��ň�Q^�8^'Y l�v͑ƉHe�g �ZPo��w�v Y�X�e�]bT ���(u x��ZP�[�N TbT � N�[���b�[�bs^ ��b�[�b�[ �ُ7h�v bT �Mb����0R N�[�v�n&amp;q�s ����[ߍ�Xb��XSOZP N*N^�8^�n�v N*N�|4� 06q T �`O wُHN'Y N _ g ��zSO'`^�8^:_ �1\}Y�P/f NteWW m�w N7h �6q T ww�eg/f</t>
        </is>
      </c>
    </row>
    <row r="913">
      <c r="A913" s="9" t="n">
        <v>910</v>
      </c>
      <c r="B913" s="10" t="inlineStr">
        <is>
          <t>N/f^�8^'Y l �1\/fُ7h�v N*N3 m m �v N*N����o��w �1\�[ b�NُHN'Y�v N*N^�8^�X �v N*N m�[�v N*N�4Y 0</t>
        </is>
      </c>
    </row>
    <row r="914">
      <c r="A914" s="7" t="n">
        <v>911</v>
      </c>
      <c r="B914" s="8" t="inlineStr">
        <is>
          <t xml:space="preserve"> </t>
        </is>
      </c>
    </row>
    <row r="915">
      <c r="A915" s="9" t="n">
        <v>912</v>
      </c>
      <c r="B915" s="10" t="inlineStr">
        <is>
          <t xml:space="preserve">  % % % % % % % % % % % % % % % % % % % % % % % % % % % % % % % % % % % % % % % %</t>
        </is>
      </c>
    </row>
    <row r="916">
      <c r="A916" s="7" t="n">
        <v>913</v>
      </c>
      <c r="B916" s="8" t="inlineStr">
        <is>
          <t xml:space="preserve"> </t>
        </is>
      </c>
    </row>
    <row r="917">
      <c r="A917" s="9" t="n">
        <v>914</v>
      </c>
      <c r="B917" s="10" t="inlineStr">
        <is>
          <t xml:space="preserve">       [ * ]   �eHh�]�OX[:   E : \  hjRo��N�vsQ�e�N\ 0 4 _ �eHh\ �eHh_  m�w_ 2 0 2 6 0 6 1 3 _ 2 1 1 4 3 3 . t x t </t>
        </is>
      </c>
    </row>
    <row r="918">
      <c r="A918" s="7" t="n">
        <v>915</v>
      </c>
      <c r="B918" s="8" t="inlineStr">
        <is>
          <t xml:space="preserve"> </t>
        </is>
      </c>
    </row>
    <row r="919">
      <c r="A919" s="9" t="n">
        <v>916</v>
      </c>
      <c r="B919" s="10" t="inlineStr">
        <is>
          <t xml:space="preserve">       [ * ]   3 agW[U^( �SP[�~�b R, �] n m) </t>
        </is>
      </c>
    </row>
    <row r="920">
      <c r="A920" s="7" t="n">
        <v>917</v>
      </c>
      <c r="B920" s="8" t="inlineStr">
        <is>
          <t xml:space="preserve"> </t>
        </is>
      </c>
    </row>
    <row r="921">
      <c r="A921" s="9" t="n">
        <v>918</v>
      </c>
      <c r="B921" s="10" t="inlineStr">
        <is>
          <t xml:space="preserve"> </t>
        </is>
      </c>
    </row>
    <row r="922">
      <c r="A922" s="7" t="n">
        <v>919</v>
      </c>
      <c r="B922" s="8" t="inlineStr">
        <is>
          <t xml:space="preserve"> </t>
        </is>
      </c>
    </row>
    <row r="923">
      <c r="A923" s="9" t="n">
        <v>920</v>
      </c>
      <c r="B923" s="10" t="inlineStr">
        <is>
          <t xml:space="preserve"> = = = = = = = = = = = = = = = = = = = = = = = = = = = = = = = = = = = = = = = = = = = = = = = = = = </t>
        </is>
      </c>
    </row>
    <row r="924">
      <c r="A924" s="7" t="n">
        <v>921</v>
      </c>
      <c r="B924" s="8" t="inlineStr">
        <is>
          <t xml:space="preserve"> </t>
        </is>
      </c>
    </row>
    <row r="925">
      <c r="A925" s="9" t="n">
        <v>922</v>
      </c>
      <c r="B925" s="10" t="inlineStr">
        <is>
          <t xml:space="preserve"> [ * ]     S t e p   3 / 6 :    u b�[teM��. . . </t>
        </is>
      </c>
    </row>
    <row r="926">
      <c r="A926" s="7" t="n">
        <v>923</v>
      </c>
      <c r="B926" s="8" t="inlineStr">
        <is>
          <t xml:space="preserve"> </t>
        </is>
      </c>
    </row>
    <row r="927">
      <c r="A927" s="9" t="n">
        <v>924</v>
      </c>
      <c r="B927" s="10" t="inlineStr">
        <is>
          <t xml:space="preserve">       &lt;ؙ�  ck(W u b  A I   M��  ( E d g e   T T S ,   z h - C N - X i a o y i N e u r a l ,   r a t e = + 1 0 % ) . . . </t>
        </is>
      </c>
    </row>
    <row r="928">
      <c r="A928" s="7" t="n">
        <v>925</v>
      </c>
      <c r="B928" s="8" t="inlineStr">
        <is>
          <t xml:space="preserve"> </t>
        </is>
      </c>
    </row>
    <row r="929">
      <c r="A929" s="9" t="n">
        <v>926</v>
      </c>
      <c r="B929" s="10" t="inlineStr">
        <is>
          <t xml:space="preserve">       =���   n m T�eHh:   (u�[1\��ň�Q^�8^'Y l�v͑ƉHe�g �ZPo��w�v Y�X�e�]bT ���(u x��ZP�[�N TbT � N�[���b�[�bs^ ��b�[�b�[ �ُ7h�v bT �Mb����0R N�[�v�n&amp;q�s ����[ߍ�Xb��XSOZP N*N^�8^�n�v. . . </t>
        </is>
      </c>
    </row>
    <row r="930">
      <c r="A930" s="7" t="n">
        <v>927</v>
      </c>
      <c r="B930" s="8" t="inlineStr">
        <is>
          <t xml:space="preserve"> </t>
        </is>
      </c>
    </row>
    <row r="931">
      <c r="A931" s="9" t="n">
        <v>928</v>
      </c>
      <c r="B931" s="10" t="inlineStr">
        <is>
          <t xml:space="preserve">        '  �e�S!h�� �Ǐ( �O�b͋�[te) </t>
        </is>
      </c>
    </row>
    <row r="932">
      <c r="A932" s="7" t="n">
        <v>929</v>
      </c>
      <c r="B932" s="8" t="inlineStr">
        <is>
          <t xml:space="preserve"> </t>
        </is>
      </c>
    </row>
    <row r="933">
      <c r="A933" s="9" t="n">
        <v>930</v>
      </c>
      <c r="B933" s="10" t="inlineStr">
        <is>
          <t xml:space="preserve">        '  A I   M�� u b�[ b:   M��_  m�w_ 2 0 2 6 0 6 1 3 _ 2 1 1 4 3 3 . m p 3   ( 1 7 1 K B ) </t>
        </is>
      </c>
    </row>
    <row r="934">
      <c r="A934" s="7" t="n">
        <v>931</v>
      </c>
      <c r="B934" s="8" t="inlineStr">
        <is>
          <t xml:space="preserve"> </t>
        </is>
      </c>
    </row>
    <row r="935">
      <c r="A935" s="9" t="n">
        <v>932</v>
      </c>
      <c r="B935" s="10" t="inlineStr">
        <is>
          <t xml:space="preserve">       �#     &amp;  M��|nx�e �:   2 9 . 1 �y</t>
        </is>
      </c>
    </row>
    <row r="936">
      <c r="A936" s="7" t="n">
        <v>933</v>
      </c>
      <c r="B936" s="8" t="inlineStr">
        <is>
          <t xml:space="preserve"> </t>
        </is>
      </c>
    </row>
    <row r="937">
      <c r="A937" s="9" t="n">
        <v>934</v>
      </c>
      <c r="B937" s="10" t="inlineStr">
        <is>
          <t xml:space="preserve"> </t>
        </is>
      </c>
    </row>
    <row r="938">
      <c r="A938" s="7" t="n">
        <v>935</v>
      </c>
      <c r="B938" s="8" t="inlineStr">
        <is>
          <t xml:space="preserve"> </t>
        </is>
      </c>
    </row>
    <row r="939">
      <c r="A939" s="9" t="n">
        <v>936</v>
      </c>
      <c r="B939" s="10" t="inlineStr">
        <is>
          <t xml:space="preserve"> = = = = = = = = = = = = = = = = = = = = = = = = = = = = = = = = = = = = = = = = = = = = = = = = = = </t>
        </is>
      </c>
    </row>
    <row r="940">
      <c r="A940" s="7" t="n">
        <v>937</v>
      </c>
      <c r="B940" s="8" t="inlineStr">
        <is>
          <t xml:space="preserve"> </t>
        </is>
      </c>
    </row>
    <row r="941">
      <c r="A941" s="9" t="n">
        <v>938</v>
      </c>
      <c r="B941" s="10" t="inlineStr">
        <is>
          <t xml:space="preserve"> [ * ]   S t e p   4 / 6 :   9hncM���e �	��S }Pg( �v h2 9 . 1 �y) . . . </t>
        </is>
      </c>
    </row>
    <row r="942">
      <c r="A942" s="7" t="n">
        <v>939</v>
      </c>
      <c r="B942" s="8" t="inlineStr">
        <is>
          <t xml:space="preserve"> </t>
        </is>
      </c>
    </row>
    <row r="943">
      <c r="A943" s="9" t="n">
        <v>940</v>
      </c>
      <c r="B943" s="10" t="inlineStr">
        <is>
          <t xml:space="preserve">       [ O p e n i n g ]    _:W }Pg:    01 5 6  0 0v��~�[_l�+ �~ў�\ g 0Ul4Y�HQ u 0�\�S</t>
        </is>
      </c>
    </row>
    <row r="944">
      <c r="A944" s="7" t="n">
        <v>941</v>
      </c>
      <c r="B944" s="8" t="inlineStr">
        <is>
          <t xml:space="preserve">NB\���b6e�~B\ 0 0 � � 0 00 2 </t>
        </is>
      </c>
    </row>
    <row r="945">
      <c r="A945" s="9" t="n">
        <v>942</v>
      </c>
      <c r="B945" s="10" t="inlineStr">
        <is>
          <t xml:space="preserve"> </t>
        </is>
      </c>
    </row>
    <row r="946">
      <c r="A946" s="7" t="n">
        <v>943</v>
      </c>
      <c r="B946" s="8" t="inlineStr">
        <is>
          <t xml:space="preserve">       [ A d a p t i v e ]    �,g�T ^:   d d 6 e b b f 7 2 4 f 0 c 2 3 9 ,   �]�cd�:   1 *N }Pg</t>
        </is>
      </c>
    </row>
    <row r="947">
      <c r="A947" s="9" t="n">
        <v>944</v>
      </c>
      <c r="B947" s="10" t="inlineStr">
        <is>
          <t xml:space="preserve"> </t>
        </is>
      </c>
    </row>
    <row r="948">
      <c r="A948" s="7" t="n">
        <v>945</v>
      </c>
      <c r="B948" s="8" t="inlineStr">
        <is>
          <t xml:space="preserve">       [ A d a p t i v e M a t c h ]   � ��^9SM�:   2 *NGr�k  ( �S͑+ OP}Y+ p��Q) </t>
        </is>
      </c>
    </row>
    <row r="949">
      <c r="A949" s="9" t="n">
        <v>946</v>
      </c>
      <c r="B949" s="10" t="inlineStr">
        <is>
          <t xml:space="preserve"> </t>
        </is>
      </c>
    </row>
    <row r="950">
      <c r="A950" s="7" t="n">
        <v>947</v>
      </c>
      <c r="B950" s="8" t="inlineStr">
        <is>
          <t xml:space="preserve"> </t>
        </is>
      </c>
    </row>
    <row r="951">
      <c r="A951" s="9" t="n">
        <v>948</v>
      </c>
      <c r="B951" s="10" t="inlineStr">
        <is>
          <t xml:space="preserve"> </t>
        </is>
      </c>
    </row>
    <row r="952">
      <c r="A952" s="7" t="n">
        <v>949</v>
      </c>
      <c r="B952" s="8" t="inlineStr">
        <is>
          <t xml:space="preserve">       [ * ]   	��S�N  3   *NGr�k: </t>
        </is>
      </c>
    </row>
    <row r="953">
      <c r="A953" s="9" t="n">
        <v>950</v>
      </c>
      <c r="B953" s="10" t="inlineStr">
        <is>
          <t xml:space="preserve"> </t>
        </is>
      </c>
    </row>
    <row r="954">
      <c r="A954" s="7" t="n">
        <v>951</v>
      </c>
      <c r="B954" s="8" t="inlineStr">
        <is>
          <t xml:space="preserve">       [ 1 ]    01 5 6  0 0v��~�[_l�+ �~ў�\ g 0Ul4Y�HQ u 0�\�S</t>
        </is>
      </c>
    </row>
    <row r="955">
      <c r="A955" s="9" t="n">
        <v>952</v>
      </c>
      <c r="B955" s="10" t="inlineStr">
        <is>
          <t xml:space="preserve">NB\���b6e�~B\ 0 0 � � 0 00 2  0- 1 . m p 4 </t>
        </is>
      </c>
    </row>
    <row r="956">
      <c r="A956" s="7" t="n">
        <v>953</v>
      </c>
      <c r="B956" s="8" t="inlineStr">
        <is>
          <t xml:space="preserve"> </t>
        </is>
      </c>
    </row>
    <row r="957">
      <c r="A957" s="9" t="n">
        <v>954</v>
      </c>
      <c r="B957" s="10" t="inlineStr">
        <is>
          <t xml:space="preserve">                 �!  *b�S  0 . 0 s   w�  4 . 7 �y</t>
        </is>
      </c>
    </row>
    <row r="958">
      <c r="A958" s="7" t="n">
        <v>955</v>
      </c>
      <c r="B958" s="8" t="inlineStr">
        <is>
          <t xml:space="preserve"> </t>
        </is>
      </c>
    </row>
    <row r="959">
      <c r="A959" s="9" t="n">
        <v>956</v>
      </c>
      <c r="B959" s="10" t="inlineStr">
        <is>
          <t xml:space="preserve">       [ 2 ]    04 0  0 0 Z�X&lt;\vY}vr�+ aS \�_�b�S(g 0���]�N \�Y 0�\4Y NB\�MO�v$N*N�bI\ N*N�gP[ 0- 1 . m p 4 </t>
        </is>
      </c>
    </row>
    <row r="960">
      <c r="A960" s="7" t="n">
        <v>957</v>
      </c>
      <c r="B960" s="8" t="inlineStr">
        <is>
          <t xml:space="preserve"> </t>
        </is>
      </c>
    </row>
    <row r="961">
      <c r="A961" s="9" t="n">
        <v>958</v>
      </c>
      <c r="B961" s="10" t="inlineStr">
        <is>
          <t xml:space="preserve">                 �!  *b�S  0 . 0 s   w�  5 . 0 �y</t>
        </is>
      </c>
    </row>
    <row r="962">
      <c r="A962" s="7" t="n">
        <v>959</v>
      </c>
      <c r="B962" s="8" t="inlineStr">
        <is>
          <t xml:space="preserve"> </t>
        </is>
      </c>
    </row>
    <row r="963">
      <c r="A963" s="9" t="n">
        <v>960</v>
      </c>
      <c r="B963" s="10" t="inlineStr">
        <is>
          <t xml:space="preserve">       [ 3 ]      02 9  0 0W l� m�w 0�V�] RsY�X 03 ���b0W�[h�6e�~U\:y 0 0��[r0 2  0- 2 . m p 4 </t>
        </is>
      </c>
    </row>
    <row r="964">
      <c r="A964" s="7" t="n">
        <v>961</v>
      </c>
      <c r="B964" s="8" t="inlineStr">
        <is>
          <t xml:space="preserve"> </t>
        </is>
      </c>
    </row>
    <row r="965">
      <c r="A965" s="9" t="n">
        <v>962</v>
      </c>
      <c r="B965" s="10" t="inlineStr">
        <is>
          <t xml:space="preserve">                 �!  *b�S  0 . 0 s   w�  4 . 6 �y</t>
        </is>
      </c>
    </row>
    <row r="966">
      <c r="A966" s="7" t="n">
        <v>963</v>
      </c>
      <c r="B966" s="8" t="inlineStr">
        <is>
          <t xml:space="preserve"> </t>
        </is>
      </c>
    </row>
    <row r="967">
      <c r="A967" s="9" t="n">
        <v>964</v>
      </c>
      <c r="B967" s="10" t="inlineStr">
        <is>
          <t xml:space="preserve">       [ * ]   ;`�e �:   1 4 . 2 �y</t>
        </is>
      </c>
    </row>
    <row r="968">
      <c r="A968" s="7" t="n">
        <v>965</v>
      </c>
      <c r="B968" s="8" t="inlineStr">
        <is>
          <t xml:space="preserve"> </t>
        </is>
      </c>
    </row>
    <row r="969">
      <c r="A969" s="9" t="n">
        <v>966</v>
      </c>
      <c r="B969" s="10" t="inlineStr">
        <is>
          <t xml:space="preserve">       &gt; &gt;   (�ϑǏ�n:   3   �!  3   *NGr�k  (  �&lt;P0 . 3 ) </t>
        </is>
      </c>
    </row>
    <row r="970">
      <c r="A970" s="7" t="n">
        <v>967</v>
      </c>
      <c r="B970" s="8" t="inlineStr">
        <is>
          <t xml:space="preserve"> </t>
        </is>
      </c>
    </row>
    <row r="971">
      <c r="A971" s="9" t="n">
        <v>968</v>
      </c>
      <c r="B971" s="10" t="inlineStr">
        <is>
          <t xml:space="preserve">       [ D E D U P ]   �S͑:   3   �!  3   *NGr�k</t>
        </is>
      </c>
    </row>
    <row r="972">
      <c r="A972" s="7" t="n">
        <v>969</v>
      </c>
      <c r="B972" s="8" t="inlineStr">
        <is>
          <t xml:space="preserve"> </t>
        </is>
      </c>
    </row>
    <row r="973">
      <c r="A973" s="9" t="n">
        <v>970</v>
      </c>
      <c r="B973" s="10" t="inlineStr">
        <is>
          <t xml:space="preserve">       [ ! ]    }Pg</t>
        </is>
      </c>
    </row>
    <row r="974">
      <c r="A974" s="7" t="n">
        <v>971</v>
      </c>
      <c r="B974" s="8" t="inlineStr">
        <is>
          <t xml:space="preserve">N��:   : 1 6 . 4 s , ꁨRe�EQ. . . </t>
        </is>
      </c>
    </row>
    <row r="975">
      <c r="A975" s="9" t="n">
        <v>972</v>
      </c>
      <c r="B975" s="10" t="inlineStr">
        <is>
          <t xml:space="preserve"> </t>
        </is>
      </c>
    </row>
    <row r="976">
      <c r="A976" s="7" t="n">
        <v>973</v>
      </c>
      <c r="B976" s="8" t="inlineStr">
        <is>
          <t xml:space="preserve">       [ O K ]   ꁨRe�EQ  4   *NGr�k  - &gt;   ;`�e �3 1 . 0 s </t>
        </is>
      </c>
    </row>
    <row r="977">
      <c r="A977" s="9" t="n">
        <v>974</v>
      </c>
      <c r="B977" s="10" t="inlineStr">
        <is>
          <t xml:space="preserve"> </t>
        </is>
      </c>
    </row>
    <row r="978">
      <c r="A978" s="7" t="n">
        <v>975</v>
      </c>
      <c r="B978" s="8" t="inlineStr">
        <is>
          <t xml:space="preserve"> </t>
        </is>
      </c>
    </row>
    <row r="979">
      <c r="A979" s="9" t="n">
        <v>976</v>
      </c>
      <c r="B979" s="10" t="inlineStr">
        <is>
          <t xml:space="preserve"> </t>
        </is>
      </c>
    </row>
    <row r="980">
      <c r="A980" s="7" t="n">
        <v>977</v>
      </c>
      <c r="B980" s="8" t="inlineStr">
        <is>
          <t xml:space="preserve">       [ * ]   	��S�N  7   *NGr�k: </t>
        </is>
      </c>
    </row>
    <row r="981">
      <c r="A981" s="9" t="n">
        <v>978</v>
      </c>
      <c r="B981" s="10" t="inlineStr">
        <is>
          <t xml:space="preserve"> </t>
        </is>
      </c>
    </row>
    <row r="982">
      <c r="A982" s="7" t="n">
        <v>979</v>
      </c>
      <c r="B982" s="8" t="inlineStr">
        <is>
          <t xml:space="preserve">       [ 1 ]    01 5 6  0 0v��~�[_l�+ �~ў�\ g 0Ul4Y�HQ u 0�\�S</t>
        </is>
      </c>
    </row>
    <row r="983">
      <c r="A983" s="9" t="n">
        <v>980</v>
      </c>
      <c r="B983" s="10" t="inlineStr">
        <is>
          <t xml:space="preserve">NB\���b6e�~B\ 0 0 � � 0 00 2  0- 1 . m p 4 </t>
        </is>
      </c>
    </row>
    <row r="984">
      <c r="A984" s="7" t="n">
        <v>981</v>
      </c>
      <c r="B984" s="8" t="inlineStr">
        <is>
          <t xml:space="preserve"> </t>
        </is>
      </c>
    </row>
    <row r="985">
      <c r="A985" s="9" t="n">
        <v>982</v>
      </c>
      <c r="B985" s="10" t="inlineStr">
        <is>
          <t xml:space="preserve">                 �!  *b�S  0 . 0 s   w�  4 . 7 �y</t>
        </is>
      </c>
    </row>
    <row r="986">
      <c r="A986" s="7" t="n">
        <v>983</v>
      </c>
      <c r="B986" s="8" t="inlineStr">
        <is>
          <t xml:space="preserve"> </t>
        </is>
      </c>
    </row>
    <row r="987">
      <c r="A987" s="9" t="n">
        <v>984</v>
      </c>
      <c r="B987" s="10" t="inlineStr">
        <is>
          <t xml:space="preserve">       [ 2 ]    04 0  0 0 Z�X&lt;\vY}vr�+ aS \�_�b�S(g 0���]�N \�Y 0�\4Y NB\�MO�v$N*N�bI\ N*N�gP[ 0- 1 . m p 4 </t>
        </is>
      </c>
    </row>
    <row r="988">
      <c r="A988" s="7" t="n">
        <v>985</v>
      </c>
      <c r="B988" s="8" t="inlineStr">
        <is>
          <t xml:space="preserve"> </t>
        </is>
      </c>
    </row>
    <row r="989">
      <c r="A989" s="9" t="n">
        <v>986</v>
      </c>
      <c r="B989" s="10" t="inlineStr">
        <is>
          <t xml:space="preserve">                 �!  *b�S  0 . 0 s   w�  5 . 0 �y</t>
        </is>
      </c>
    </row>
    <row r="990">
      <c r="A990" s="7" t="n">
        <v>987</v>
      </c>
      <c r="B990" s="8" t="inlineStr">
        <is>
          <t xml:space="preserve"> </t>
        </is>
      </c>
    </row>
    <row r="991">
      <c r="A991" s="9" t="n">
        <v>988</v>
      </c>
      <c r="B991" s="10" t="inlineStr">
        <is>
          <t xml:space="preserve">       [ 3 ]      02 9  0 0W l� m�w 0�V�] RsY�X 03 ���b0W�[h�6e�~U\:y 0 0��[r0 2  0- 2 . m p 4 </t>
        </is>
      </c>
    </row>
    <row r="992">
      <c r="A992" s="7" t="n">
        <v>989</v>
      </c>
      <c r="B992" s="8" t="inlineStr">
        <is>
          <t xml:space="preserve"> </t>
        </is>
      </c>
    </row>
    <row r="993">
      <c r="A993" s="9" t="n">
        <v>990</v>
      </c>
      <c r="B993" s="10" t="inlineStr">
        <is>
          <t xml:space="preserve">                 �!  *b�S  0 . 0 s   w�  4 . 6 �y</t>
        </is>
      </c>
    </row>
    <row r="994">
      <c r="A994" s="7" t="n">
        <v>991</v>
      </c>
      <c r="B994" s="8" t="inlineStr">
        <is>
          <t xml:space="preserve"> </t>
        </is>
      </c>
    </row>
    <row r="995">
      <c r="A995" s="9" t="n">
        <v>992</v>
      </c>
      <c r="B995" s="10" t="inlineStr">
        <is>
          <t xml:space="preserve">       [ 4 ]    02 6  0 0�~ Y)R�N|���}v S� ў�Ch 0�[�_Ng \�Y 0�~ Y)R�N|���}v S� ў�Ch�vM�r�   0- 1 . m p 4 </t>
        </is>
      </c>
    </row>
    <row r="996">
      <c r="A996" s="7" t="n">
        <v>993</v>
      </c>
      <c r="B996" s="8" t="inlineStr">
        <is>
          <t xml:space="preserve"> </t>
        </is>
      </c>
    </row>
    <row r="997">
      <c r="A997" s="9" t="n">
        <v>994</v>
      </c>
      <c r="B997" s="10" t="inlineStr">
        <is>
          <t xml:space="preserve">                 �!  *b�S  1 . 8 s   w�  5 . 0 �y</t>
        </is>
      </c>
    </row>
    <row r="998">
      <c r="A998" s="7" t="n">
        <v>995</v>
      </c>
      <c r="B998" s="8" t="inlineStr">
        <is>
          <t xml:space="preserve"> </t>
        </is>
      </c>
    </row>
    <row r="999">
      <c r="A999" s="9" t="n">
        <v>996</v>
      </c>
      <c r="B999" s="10" t="inlineStr">
        <is>
          <t xml:space="preserve">       [ 5 ]    01 0 9  0 0�{�~�TaU+ W l��R�w 0q\ ���HQ u 0zz\��\�S �Lh(g�~U\:y 0- 1 . m p 4 </t>
        </is>
      </c>
    </row>
    <row r="1000">
      <c r="A1000" s="7" t="n">
        <v>997</v>
      </c>
      <c r="B1000" s="8" t="inlineStr">
        <is>
          <t xml:space="preserve"> </t>
        </is>
      </c>
    </row>
    <row r="1001">
      <c r="A1001" s="9" t="n">
        <v>998</v>
      </c>
      <c r="B1001" s="10" t="inlineStr">
        <is>
          <t xml:space="preserve">                 �!  *b�S  2 . 4 s   w�  4 . 8 �y</t>
        </is>
      </c>
    </row>
    <row r="1002">
      <c r="A1002" s="7" t="n">
        <v>999</v>
      </c>
      <c r="B1002" s="8" t="inlineStr">
        <is>
          <t xml:space="preserve"> </t>
        </is>
      </c>
    </row>
    <row r="1003">
      <c r="A1003" s="9" t="n">
        <v>1000</v>
      </c>
      <c r="B1003" s="10" t="inlineStr">
        <is>
          <t xml:space="preserve">       [ 6 ]    01 2 0  0 0 Z4l�[vY�lr�+ pQ�N���v(g�~r� 0U� ��^�[Y[ \�Y 0�\4Yؚ�^9 5 lQ R 0- 1 . m p 4 </t>
        </is>
      </c>
    </row>
    <row r="1004">
      <c r="A1004" s="7" t="n">
        <v>1001</v>
      </c>
      <c r="B1004" s="8" t="inlineStr">
        <is>
          <t xml:space="preserve"> </t>
        </is>
      </c>
    </row>
    <row r="1005">
      <c r="A1005" s="9" t="n">
        <v>1002</v>
      </c>
      <c r="B1005" s="10" t="inlineStr">
        <is>
          <t xml:space="preserve">                 �!  *b�S  0 . 2 s   w�  3 . 8 �y</t>
        </is>
      </c>
    </row>
    <row r="1006">
      <c r="A1006" s="7" t="n">
        <v>1003</v>
      </c>
      <c r="B1006" s="8" t="inlineStr">
        <is>
          <t xml:space="preserve"> </t>
        </is>
      </c>
    </row>
    <row r="1007">
      <c r="A1007" s="9" t="n">
        <v>1004</v>
      </c>
      <c r="B1007" s="10" t="inlineStr">
        <is>
          <t xml:space="preserve">       [ 7 ]    00 6  0 0�~}v 0Ym_l�sHQ u 0 0�\4Y��Yu5 lQ RZP �ag 00 1 - 1 . m p 4 </t>
        </is>
      </c>
    </row>
    <row r="1008">
      <c r="A1008" s="7" t="n">
        <v>1005</v>
      </c>
      <c r="B1008" s="8" t="inlineStr">
        <is>
          <t xml:space="preserve"> </t>
        </is>
      </c>
    </row>
    <row r="1009">
      <c r="A1009" s="9" t="n">
        <v>1006</v>
      </c>
      <c r="B1009" s="10" t="inlineStr">
        <is>
          <t xml:space="preserve">                 �!  *b�S  0 . 5 s   w�  3 . 2 �y</t>
        </is>
      </c>
    </row>
    <row r="1010">
      <c r="A1010" s="7" t="n">
        <v>1007</v>
      </c>
      <c r="B1010" s="8" t="inlineStr">
        <is>
          <t xml:space="preserve"> </t>
        </is>
      </c>
    </row>
    <row r="1011">
      <c r="A1011" s="9" t="n">
        <v>1008</v>
      </c>
      <c r="B1011" s="10" t="inlineStr">
        <is>
          <t xml:space="preserve">       [ * ]   ;`�e �:   3 1 . 0 �y</t>
        </is>
      </c>
    </row>
    <row r="1012">
      <c r="A1012" s="7" t="n">
        <v>1009</v>
      </c>
      <c r="B1012" s="8" t="inlineStr">
        <is>
          <t xml:space="preserve"> </t>
        </is>
      </c>
    </row>
    <row r="1013">
      <c r="A1013" s="9" t="n">
        <v>1010</v>
      </c>
      <c r="B1013" s="10" t="inlineStr">
        <is>
          <t xml:space="preserve"> </t>
        </is>
      </c>
    </row>
    <row r="1014">
      <c r="A1014" s="7" t="n">
        <v>1011</v>
      </c>
      <c r="B1014" s="8" t="inlineStr">
        <is>
          <t xml:space="preserve"> </t>
        </is>
      </c>
    </row>
    <row r="1015">
      <c r="A1015" s="9" t="n">
        <v>1012</v>
      </c>
      <c r="B1015" s="10" t="inlineStr">
        <is>
          <t xml:space="preserve"> = = = = = = = = = = = = = = = = = = = = = = = = = = = = = = = = = = = = = = = = = = = = = = = = = = </t>
        </is>
      </c>
    </row>
    <row r="1016">
      <c r="A1016" s="7" t="n">
        <v>1013</v>
      </c>
      <c r="B1016" s="8" t="inlineStr">
        <is>
          <t xml:space="preserve"> </t>
        </is>
      </c>
    </row>
    <row r="1017">
      <c r="A1017" s="9" t="n">
        <v>1014</v>
      </c>
      <c r="B1017" s="10" t="inlineStr">
        <is>
          <t xml:space="preserve"> [ * ]   S t e p   5 / 6 :    Y tB G M . . . </t>
        </is>
      </c>
    </row>
    <row r="1018">
      <c r="A1018" s="7" t="n">
        <v>1015</v>
      </c>
      <c r="B1018" s="8" t="inlineStr">
        <is>
          <t xml:space="preserve"> </t>
        </is>
      </c>
    </row>
    <row r="1019">
      <c r="A1019" s="9" t="n">
        <v>1016</v>
      </c>
      <c r="B1019" s="10" t="inlineStr">
        <is>
          <t xml:space="preserve">       [ * ]   [ B G M ]   ,g0W��:g:   m i x k i t _ u p b e a t _ m o d e r n _ b c 0 6 f 5 0 4 . m p 3 </t>
        </is>
      </c>
    </row>
    <row r="1020">
      <c r="A1020" s="7" t="n">
        <v>1017</v>
      </c>
      <c r="B1020" s="8" t="inlineStr">
        <is>
          <t xml:space="preserve"> </t>
        </is>
      </c>
    </row>
    <row r="1021">
      <c r="A1021" s="9" t="n">
        <v>1018</v>
      </c>
      <c r="B1021" s="10" t="inlineStr">
        <is>
          <t xml:space="preserve"> </t>
        </is>
      </c>
    </row>
    <row r="1022">
      <c r="A1022" s="7" t="n">
        <v>1019</v>
      </c>
      <c r="B1022" s="8" t="inlineStr">
        <is>
          <t xml:space="preserve"> </t>
        </is>
      </c>
    </row>
    <row r="1023">
      <c r="A1023" s="9" t="n">
        <v>1020</v>
      </c>
      <c r="B1023" s="10" t="inlineStr">
        <is>
          <t xml:space="preserve"> = = = = = = = = = = = = = = = = = = = = = = = = = = = = = = = = = = = = = = = = = = = = = = = = = = </t>
        </is>
      </c>
    </row>
    <row r="1024">
      <c r="A1024" s="7" t="n">
        <v>1021</v>
      </c>
      <c r="B1024" s="8" t="inlineStr">
        <is>
          <t xml:space="preserve"> </t>
        </is>
      </c>
    </row>
    <row r="1025">
      <c r="A1025" s="9" t="n">
        <v>1022</v>
      </c>
      <c r="B1025" s="10" t="inlineStr">
        <is>
          <t xml:space="preserve"> [ * ]   S t e p   6 / 6 :    u bjR fI�?z. . . </t>
        </is>
      </c>
    </row>
    <row r="1026">
      <c r="A1026" s="7" t="n">
        <v>1023</v>
      </c>
      <c r="B1026" s="8" t="inlineStr">
        <is>
          <t xml:space="preserve"> </t>
        </is>
      </c>
    </row>
    <row r="1027">
      <c r="A1027" s="9" t="n">
        <v>1024</v>
      </c>
      <c r="B1027" s="10" t="inlineStr">
        <is>
          <t xml:space="preserve"> </t>
        </is>
      </c>
    </row>
    <row r="1028">
      <c r="A1028" s="7" t="n">
        <v>1025</v>
      </c>
      <c r="B1028" s="8" t="inlineStr">
        <is>
          <t xml:space="preserve"> </t>
        </is>
      </c>
    </row>
    <row r="1029">
      <c r="A1029" s="9" t="n">
        <v>1026</v>
      </c>
      <c r="B1029" s="10" t="inlineStr">
        <is>
          <t xml:space="preserve">        '  jR fI�?z�] u b �</t>
        </is>
      </c>
    </row>
    <row r="1030">
      <c r="A1030" s="7" t="n">
        <v>1027</v>
      </c>
      <c r="B1030" s="8" t="inlineStr">
        <is>
          <t xml:space="preserve"> </t>
        </is>
      </c>
    </row>
    <row r="1031">
      <c r="A1031" s="9" t="n">
        <v>1028</v>
      </c>
      <c r="B1031" s="10" t="inlineStr">
        <is>
          <t xml:space="preserve">       =���  I�?z�vU_:   C : \ U s e r s \ a d m i n \ A p p D a t a \ L o c a l \ J i a n y i n g P r o \ U s e r   D a t a \ P r o j e c t s \ c o m . l v e d i t o r . d r a f t \ 2 0 2 6 0 6 1 3 _ 2 1 1 4 5 9 _  m�w_  hjR</t>
        </is>
      </c>
    </row>
    <row r="1032">
      <c r="A1032" s="7" t="n">
        <v>1029</v>
      </c>
      <c r="B1032" s="8" t="inlineStr">
        <is>
          <t xml:space="preserve"> </t>
        </is>
      </c>
    </row>
    <row r="1033">
      <c r="A1033" s="9" t="n">
        <v>1030</v>
      </c>
      <c r="B1033" s="10" t="inlineStr">
        <is>
          <t xml:space="preserve">       =ؾ�   Y�N�]�OX[:   E : \  hjRo��N�vsQ�e�N\ 0 3 _ �|jR���Q\ 2 0 2 6 0 6 1 3 _ 2 1 1 4 5 9 _  m�w_  hjR</t>
        </is>
      </c>
    </row>
    <row r="1034">
      <c r="A1034" s="7" t="n">
        <v>1031</v>
      </c>
      <c r="B1034" s="8" t="inlineStr">
        <is>
          <t xml:space="preserve"> </t>
        </is>
      </c>
    </row>
    <row r="1035">
      <c r="A1035" s="9" t="n">
        <v>1032</v>
      </c>
      <c r="B1035" s="10" t="inlineStr">
        <is>
          <t xml:space="preserve"> </t>
        </is>
      </c>
    </row>
    <row r="1036">
      <c r="A1036" s="7" t="n">
        <v>1033</v>
      </c>
      <c r="B1036" s="8" t="inlineStr">
        <is>
          <t xml:space="preserve"> </t>
        </is>
      </c>
    </row>
    <row r="1037">
      <c r="A1037" s="9" t="n">
        <v>1034</v>
      </c>
      <c r="B1037" s="10" t="inlineStr">
        <is>
          <t xml:space="preserve"> = = = = = = = = = = = = = = = = = = = = = = = = = = = = = = = = = = = = = = = = = = = = = = = = = = </t>
        </is>
      </c>
    </row>
    <row r="1038">
      <c r="A1038" s="7" t="n">
        <v>1035</v>
      </c>
      <c r="B1038" s="8" t="inlineStr">
        <is>
          <t xml:space="preserve"> </t>
        </is>
      </c>
    </row>
    <row r="1039">
      <c r="A1039" s="9" t="n">
        <v>1036</v>
      </c>
      <c r="B1039" s="10" t="inlineStr">
        <is>
          <t xml:space="preserve"> [ O K ]   hQ萌[ b �</t>
        </is>
      </c>
    </row>
    <row r="1040">
      <c r="A1040" s="7" t="n">
        <v>1037</v>
      </c>
      <c r="B1040" s="8" t="inlineStr">
        <is>
          <t xml:space="preserve"> </t>
        </is>
      </c>
    </row>
    <row r="1041">
      <c r="A1041" s="9" t="n">
        <v>1038</v>
      </c>
      <c r="B1041" s="10" t="inlineStr">
        <is>
          <t xml:space="preserve"> = = = = = = = = = = = = = = = = = = = = = = = = = = = = = = = = = = = = = = = = = = = = = = = = = = </t>
        </is>
      </c>
    </row>
    <row r="1042">
      <c r="A1042" s="7" t="n">
        <v>1039</v>
      </c>
      <c r="B1042" s="8" t="inlineStr">
        <is>
          <t xml:space="preserve"> </t>
        </is>
      </c>
    </row>
    <row r="1043">
      <c r="A1043" s="9" t="n">
        <v>1040</v>
      </c>
      <c r="B1043" s="10" t="inlineStr">
        <is>
          <t xml:space="preserve">       [ S c r i p t L i b ]    �,g  # 2 9    O(u�~���]�f�e</t>
        </is>
      </c>
    </row>
    <row r="1044">
      <c r="A1044" s="7" t="n">
        <v>1041</v>
      </c>
      <c r="B1044" s="8" t="inlineStr">
        <is>
          <t xml:space="preserve"> </t>
        </is>
      </c>
    </row>
    <row r="1045">
      <c r="A1045" s="9" t="n">
        <v>1042</v>
      </c>
      <c r="B1045" s="10" t="inlineStr">
        <is>
          <t xml:space="preserve"> </t>
        </is>
      </c>
    </row>
    <row r="1046">
      <c r="A1046" s="7" t="n">
        <v>1043</v>
      </c>
      <c r="B1046" s="8" t="inlineStr">
        <is>
          <t xml:space="preserve"> </t>
        </is>
      </c>
    </row>
    <row r="1047">
      <c r="A1047" s="9" t="n">
        <v>1044</v>
      </c>
      <c r="B1047" s="10" t="inlineStr">
        <is>
          <t xml:space="preserve">      '  [ 5 / 5 ]    u b b�R!   ( 4 7 �y) </t>
        </is>
      </c>
    </row>
    <row r="1048">
      <c r="A1048" s="7" t="n">
        <v>1045</v>
      </c>
      <c r="B1048" s="8" t="inlineStr">
        <is>
          <t xml:space="preserve"> </t>
        </is>
      </c>
    </row>
    <row r="1049">
      <c r="A1049" s="9" t="n">
        <v>1046</v>
      </c>
      <c r="B1049" s="10" t="inlineStr">
        <is>
          <t xml:space="preserve">     ���Q�vU_:   C : \ U s e r s \ a d m i n \ A p p D a t a \ L o c a l \ J i a n y i n g P r o \ U s e r   D a t a \ P r o j e c t s \ c o m . l v e d i t o r . d r a f t \ 2 0 2 6 0 6 1 3 _ 2 1 1 4 5 9 _  m�w_  hjR</t>
        </is>
      </c>
    </row>
    <row r="1050">
      <c r="A1050" s="7" t="n">
        <v>1047</v>
      </c>
      <c r="B1050" s="8" t="inlineStr">
        <is>
          <t xml:space="preserve"> </t>
        </is>
      </c>
    </row>
    <row r="1051">
      <c r="A1051" s="9" t="n">
        <v>1048</v>
      </c>
      <c r="B1051" s="10" t="inlineStr">
        <is>
          <t xml:space="preserve"> </t>
        </is>
      </c>
    </row>
    <row r="1052">
      <c r="A1052" s="7" t="n">
        <v>1049</v>
      </c>
      <c r="B1052" s="8" t="inlineStr">
        <is>
          <t xml:space="preserve"> </t>
        </is>
      </c>
    </row>
    <row r="1053">
      <c r="A1053" s="9" t="n">
        <v>1050</v>
      </c>
      <c r="B1053" s="10" t="inlineStr">
        <is>
          <t xml:space="preserve"> = = = = = = = = = = = = = = = = = = = = = = = = = = = = = = = = = = = = = = = = = = = = = = = = = = = = = = = = = = = = </t>
        </is>
      </c>
    </row>
    <row r="1054">
      <c r="A1054" s="7" t="n">
        <v>1051</v>
      </c>
      <c r="B1054" s="8" t="inlineStr">
        <is>
          <t xml:space="preserve"> </t>
        </is>
      </c>
    </row>
    <row r="1055">
      <c r="A1055" s="9" t="n">
        <v>1052</v>
      </c>
      <c r="B1055" s="10" t="inlineStr">
        <is>
          <t xml:space="preserve">     ybϑ u b�[ b! </t>
        </is>
      </c>
    </row>
    <row r="1056">
      <c r="A1056" s="7" t="n">
        <v>1053</v>
      </c>
      <c r="B1056" s="8" t="inlineStr">
        <is>
          <t xml:space="preserve"> </t>
        </is>
      </c>
    </row>
    <row r="1057">
      <c r="A1057" s="9" t="n">
        <v>1054</v>
      </c>
      <c r="B1057" s="10" t="inlineStr">
        <is>
          <t xml:space="preserve"> = = = = = = = = = = = = = = = = = = = = = = = = = = = = = = = = = = = = = = = = = = = = = = = = = = = = = = = = = = = = </t>
        </is>
      </c>
    </row>
    <row r="1058">
      <c r="A1058" s="7" t="n">
        <v>1055</v>
      </c>
      <c r="B1058" s="8" t="inlineStr">
        <is>
          <t xml:space="preserve"> </t>
        </is>
      </c>
    </row>
    <row r="1059">
      <c r="A1059" s="9" t="n">
        <v>1056</v>
      </c>
      <c r="B1059" s="10" t="inlineStr">
        <is>
          <t xml:space="preserve">      b�R:   5 / 5 </t>
        </is>
      </c>
    </row>
    <row r="1060">
      <c r="A1060" s="7" t="n">
        <v>1057</v>
      </c>
      <c r="B1060" s="8" t="inlineStr">
        <is>
          <t xml:space="preserve"> </t>
        </is>
      </c>
    </row>
    <row r="1061">
      <c r="A1061" s="9" t="n">
        <v>1058</v>
      </c>
      <c r="B1061" s="10" t="inlineStr">
        <is>
          <t xml:space="preserve">      '  [ 1 / 5 ]   s u c c e s s :   C : \ U s e r s \ a d m i n \ A p p D a t a \ L o c a l \ J i a n y i n g P r o \ U s e r   D a t a \ P r o j e c t s \ c o m . l v e d i t o r . d r a f t \ 2 0 2 6 0 6 1 3 _ 2 1 1 1 1 4 _ �\�S_  hjR</t>
        </is>
      </c>
    </row>
    <row r="1062">
      <c r="A1062" s="7" t="n">
        <v>1059</v>
      </c>
      <c r="B1062" s="8" t="inlineStr">
        <is>
          <t xml:space="preserve"> </t>
        </is>
      </c>
    </row>
    <row r="1063">
      <c r="A1063" s="9" t="n">
        <v>1060</v>
      </c>
      <c r="B1063" s="10" t="inlineStr">
        <is>
          <t xml:space="preserve">      '  [ 2 / 5 ]   s u c c e s s :   C : \ U s e r s \ a d m i n \ A p p D a t a \ L o c a l \ J i a n y i n g P r o \ U s e r   D a t a \ P r o j e c t s \ c o m . l v e d i t o r . d r a f t \ 2 0 2 6 0 6 1 3 _ 2 1 1 2 1 8 _ �\ g_  hjR</t>
        </is>
      </c>
    </row>
    <row r="1064">
      <c r="A1064" s="7" t="n">
        <v>1061</v>
      </c>
      <c r="B1064" s="8" t="inlineStr">
        <is>
          <t xml:space="preserve"> </t>
        </is>
      </c>
    </row>
    <row r="1065">
      <c r="A1065" s="9" t="n">
        <v>1062</v>
      </c>
      <c r="B1065" s="10" t="inlineStr">
        <is>
          <t xml:space="preserve">      '  [ 3 / 5 ]   s u c c e s s :   C : \ U s e r s \ a d m i n \ A p p D a t a \ L o c a l \ J i a n y i n g P r o \ U s e r   D a t a \ P r o j e c t s \ c o m . l v e d i t o r . d r a f t \ 2 0 2 6 0 6 1 3 _ 2 1 1 3 2 0 _ �\�S_  hjR</t>
        </is>
      </c>
    </row>
    <row r="1066">
      <c r="A1066" s="7" t="n">
        <v>1063</v>
      </c>
      <c r="B1066" s="8" t="inlineStr">
        <is>
          <t xml:space="preserve"> </t>
        </is>
      </c>
    </row>
    <row r="1067">
      <c r="A1067" s="9" t="n">
        <v>1064</v>
      </c>
      <c r="B1067" s="10" t="inlineStr">
        <is>
          <t xml:space="preserve">      '  [ 4 / 5 ]   s u c c e s s :   C : \ U s e r s \ a d m i n \ A p p D a t a \ L o c a l \ J i a n y i n g P r o \ U s e r   D a t a \ P r o j e c t s \ c o m . l v e d i t o r . d r a f t \ 2 0 2 6 0 6 1 3 _ 2 1 1 4 0 8 _ �\�S_  hjR</t>
        </is>
      </c>
    </row>
    <row r="1068">
      <c r="A1068" s="7" t="n">
        <v>1065</v>
      </c>
      <c r="B1068" s="8" t="inlineStr">
        <is>
          <t xml:space="preserve"> </t>
        </is>
      </c>
    </row>
    <row r="1069">
      <c r="A1069" s="9" t="n">
        <v>1066</v>
      </c>
      <c r="B1069" s="10" t="inlineStr">
        <is>
          <t xml:space="preserve">      '  [ 5 / 5 ]   s u c c e s s :   C : \ U s e r s \ a d m i n \ A p p D a t a \ L o c a l \ J i a n y i n g P r o \ U s e r   D a t a \ P r o j e c t s \ c o m . l v e d i t o r . d r a f t \ 2 0 2 6 0 6 1 3 _ 2 1 1 4 5 9 _  m�w_  hjR</t>
        </is>
      </c>
    </row>
    <row r="1070">
      <c r="A1070" s="7" t="n">
        <v>1067</v>
      </c>
      <c r="B1070" s="8" t="inlineStr">
        <is>
          <t xml:space="preserve"> </t>
        </is>
      </c>
    </row>
    <row r="1071">
      <c r="A1071" s="9" t="n">
        <v>1068</v>
      </c>
      <c r="B1071" s="10" t="inlineStr">
        <is>
          <t xml:space="preserve"> 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bilingual_dict.json</t>
        </is>
      </c>
      <c r="C1" s="5" t="inlineStr">
        <is>
          <t>行数: 17</t>
        </is>
      </c>
    </row>
    <row r="4">
      <c r="A4" s="7" t="n">
        <v>1</v>
      </c>
      <c r="B4" s="8" t="inlineStr">
        <is>
          <t>{</t>
        </is>
      </c>
    </row>
    <row r="5">
      <c r="A5" s="9" t="n">
        <v>2</v>
      </c>
      <c r="B5" s="10" t="inlineStr">
        <is>
          <t xml:space="preserve">  "岛台": "Kitchen Island",</t>
        </is>
      </c>
    </row>
    <row r="6">
      <c r="A6" s="7" t="n">
        <v>3</v>
      </c>
      <c r="B6" s="8" t="inlineStr">
        <is>
          <t xml:space="preserve">  "厨房岛台": "Kitchen Island",</t>
        </is>
      </c>
    </row>
    <row r="7">
      <c r="A7" s="9" t="n">
        <v>4</v>
      </c>
      <c r="B7" s="10" t="inlineStr">
        <is>
          <t xml:space="preserve">  "中岛台": "Center Island",</t>
        </is>
      </c>
    </row>
    <row r="8">
      <c r="A8" s="7" t="n">
        <v>5</v>
      </c>
      <c r="B8" s="8" t="inlineStr">
        <is>
          <t xml:space="preserve">  "半岛台": "Peninsula Island",</t>
        </is>
      </c>
    </row>
    <row r="9">
      <c r="A9" s="9" t="n">
        <v>6</v>
      </c>
      <c r="B9" s="10" t="inlineStr">
        <is>
          <t xml:space="preserve">  "抽屉": "Drawer",</t>
        </is>
      </c>
    </row>
    <row r="10">
      <c r="A10" s="7" t="n">
        <v>7</v>
      </c>
      <c r="B10" s="8" t="inlineStr">
        <is>
          <t xml:space="preserve">  "拉篮": "Basket",</t>
        </is>
      </c>
    </row>
    <row r="11">
      <c r="A11" s="9" t="n">
        <v>8</v>
      </c>
      <c r="B11" s="10" t="inlineStr">
        <is>
          <t xml:space="preserve">  "岩板": "Sintered Stone",</t>
        </is>
      </c>
    </row>
    <row r="12">
      <c r="A12" s="7" t="n">
        <v>9</v>
      </c>
      <c r="B12" s="8" t="inlineStr">
        <is>
          <t xml:space="preserve">  "大理石": "Marble",</t>
        </is>
      </c>
    </row>
    <row r="13">
      <c r="A13" s="9" t="n">
        <v>10</v>
      </c>
      <c r="B13" s="10" t="inlineStr">
        <is>
          <t xml:space="preserve">  "现代简约": "Modern Minimalist",</t>
        </is>
      </c>
    </row>
    <row r="14">
      <c r="A14" s="7" t="n">
        <v>11</v>
      </c>
      <c r="B14" s="8" t="inlineStr">
        <is>
          <t xml:space="preserve">  "北欧风格": "Nordic Style",</t>
        </is>
      </c>
    </row>
    <row r="15">
      <c r="A15" s="9" t="n">
        <v>12</v>
      </c>
      <c r="B15" s="10" t="inlineStr">
        <is>
          <t xml:space="preserve">  "内嵌烤箱": "Built-in Oven",</t>
        </is>
      </c>
    </row>
    <row r="16">
      <c r="A16" s="7" t="n">
        <v>13</v>
      </c>
      <c r="B16" s="8" t="inlineStr">
        <is>
          <t xml:space="preserve">  "无拉手设计": "Handleless Design",</t>
        </is>
      </c>
    </row>
    <row r="17">
      <c r="A17" s="9" t="n">
        <v>14</v>
      </c>
      <c r="B17" s="10" t="inlineStr">
        <is>
          <t xml:space="preserve">  "整屋定制": "Whole House Customization",</t>
        </is>
      </c>
    </row>
    <row r="18">
      <c r="A18" s="7" t="n">
        <v>15</v>
      </c>
      <c r="B18" s="8" t="inlineStr">
        <is>
          <t xml:space="preserve">  "岩板开裂": "Sintered Stone Crack",</t>
        </is>
      </c>
    </row>
    <row r="19">
      <c r="A19" s="9" t="n">
        <v>16</v>
      </c>
      <c r="B19" s="10" t="inlineStr">
        <is>
          <t xml:space="preserve">  "百隆": "Blum"</t>
        </is>
      </c>
    </row>
    <row r="20">
      <c r="A20" s="7" t="n">
        <v>17</v>
      </c>
      <c r="B20" s="8" t="inlineStr">
        <is>
          <t>}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crash_log.txt</t>
        </is>
      </c>
      <c r="C1" s="5" t="inlineStr">
        <is>
          <t>行数: 108</t>
        </is>
      </c>
    </row>
    <row r="4">
      <c r="A4" s="7" t="n">
        <v>1</v>
      </c>
      <c r="B4" s="8">
        <f>===========================================================</f>
        <v/>
      </c>
    </row>
    <row r="5">
      <c r="A5" s="9" t="n">
        <v>2</v>
      </c>
      <c r="B5" s="10" t="inlineStr">
        <is>
          <t>崩溃时间: 2026-06-11 23:27:10</t>
        </is>
      </c>
    </row>
    <row r="6">
      <c r="A6" s="7" t="n">
        <v>3</v>
      </c>
      <c r="B6" s="8" t="inlineStr">
        <is>
          <t>异常类型: UnicodeEncodeError</t>
        </is>
      </c>
    </row>
    <row r="7">
      <c r="A7" s="9" t="n">
        <v>4</v>
      </c>
      <c r="B7" s="10" t="inlineStr">
        <is>
          <t>异常信息: 'gbk' codec can't encode character '\u2705' in position 102: illegal multibyte sequence</t>
        </is>
      </c>
    </row>
    <row r="8">
      <c r="A8" s="7" t="n">
        <v>5</v>
      </c>
      <c r="B8" s="8" t="inlineStr">
        <is>
          <t>堆栈跟踪:</t>
        </is>
      </c>
    </row>
    <row r="9">
      <c r="A9" s="9" t="n">
        <v>6</v>
      </c>
      <c r="B9" s="10" t="inlineStr">
        <is>
          <t xml:space="preserve">  File "E:\树剪软件相关文件\树剪.py", line 137, in &lt;module&gt;</t>
        </is>
      </c>
    </row>
    <row r="10">
      <c r="A10" s="7" t="n">
        <v>7</v>
      </c>
      <c r="B10" s="8" t="inlineStr">
        <is>
          <t xml:space="preserve">    main()</t>
        </is>
      </c>
    </row>
    <row r="11">
      <c r="A11" s="9" t="n">
        <v>8</v>
      </c>
      <c r="B11" s="10" t="inlineStr"/>
    </row>
    <row r="12">
      <c r="A12" s="7" t="n">
        <v>9</v>
      </c>
      <c r="B12" s="8" t="inlineStr">
        <is>
          <t xml:space="preserve">  File "E:\树剪软件相关文件\树剪.py", line 133, in main</t>
        </is>
      </c>
    </row>
    <row r="13">
      <c r="A13" s="9" t="n">
        <v>10</v>
      </c>
      <c r="B13" s="10" t="inlineStr">
        <is>
          <t xml:space="preserve">    launch_desktop()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 xml:space="preserve">  File "E:\树剪软件相关文件\树剪.py", line 46, in launch_desktop</t>
        </is>
      </c>
    </row>
    <row r="16">
      <c r="A16" s="7" t="n">
        <v>13</v>
      </c>
      <c r="B16" s="8" t="inlineStr">
        <is>
          <t xml:space="preserve">    TreeCutApp().run()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 xml:space="preserve">  File "E:\树剪软件相关文件\ui\desktop.py", line 1065, in run</t>
        </is>
      </c>
    </row>
    <row r="19">
      <c r="A19" s="9" t="n">
        <v>16</v>
      </c>
      <c r="B19" s="10" t="inlineStr">
        <is>
          <t xml:space="preserve">    def run(self): self.root.mainloop()</t>
        </is>
      </c>
    </row>
    <row r="20">
      <c r="A20" s="7" t="n">
        <v>17</v>
      </c>
      <c r="B20" s="8" t="inlineStr">
        <is>
          <t xml:space="preserve">                   ^^^^^^^^^^^^^^^^^^^^</t>
        </is>
      </c>
    </row>
    <row r="21">
      <c r="A21" s="9" t="n">
        <v>18</v>
      </c>
      <c r="B21" s="10" t="inlineStr"/>
    </row>
    <row r="22">
      <c r="A22" s="7" t="n">
        <v>19</v>
      </c>
      <c r="B22" s="8" t="inlineStr">
        <is>
          <t xml:space="preserve">  File "C:\Users\admin\AppData\Local\Programs\Python\Python312\Lib\tkinter\__init__.py", line 1505, in mainloop</t>
        </is>
      </c>
    </row>
    <row r="23">
      <c r="A23" s="9" t="n">
        <v>20</v>
      </c>
      <c r="B23" s="10" t="inlineStr">
        <is>
          <t xml:space="preserve">    self.tk.mainloop(n)</t>
        </is>
      </c>
    </row>
    <row r="24">
      <c r="A24" s="7" t="n">
        <v>21</v>
      </c>
      <c r="B24" s="8" t="inlineStr"/>
    </row>
    <row r="25">
      <c r="A25" s="9" t="n">
        <v>22</v>
      </c>
      <c r="B25" s="10" t="inlineStr">
        <is>
          <t xml:space="preserve">  File "C:\Users\admin\AppData\Local\Programs\Python\Python312\Lib\tkinter\__init__.py", line 1972, in __call__</t>
        </is>
      </c>
    </row>
    <row r="26">
      <c r="A26" s="7" t="n">
        <v>23</v>
      </c>
      <c r="B26" s="8" t="inlineStr">
        <is>
          <t xml:space="preserve">    self.widget._report_exception()</t>
        </is>
      </c>
    </row>
    <row r="27">
      <c r="A27" s="9" t="n">
        <v>24</v>
      </c>
      <c r="B27" s="10" t="inlineStr"/>
    </row>
    <row r="28">
      <c r="A28" s="7" t="n">
        <v>25</v>
      </c>
      <c r="B28" s="8" t="inlineStr">
        <is>
          <t xml:space="preserve">  File "C:\Users\admin\AppData\Local\Programs\Python\Python312\Lib\tkinter\__init__.py", line 1688, in _report_exception</t>
        </is>
      </c>
    </row>
    <row r="29">
      <c r="A29" s="9" t="n">
        <v>26</v>
      </c>
      <c r="B29" s="10" t="inlineStr">
        <is>
          <t xml:space="preserve">    root.report_callback_exception(exc, val, tb)</t>
        </is>
      </c>
    </row>
    <row r="30">
      <c r="A30" s="7" t="n">
        <v>27</v>
      </c>
      <c r="B30" s="8" t="inlineStr"/>
    </row>
    <row r="31">
      <c r="A31" s="9" t="n">
        <v>28</v>
      </c>
      <c r="B31" s="10" t="inlineStr">
        <is>
          <t xml:space="preserve">  File "C:\Users\admin\AppData\Local\Programs\Python\Python312\Lib\tkinter\__init__.py", line 2429, in report_callback_exception</t>
        </is>
      </c>
    </row>
    <row r="32">
      <c r="A32" s="7" t="n">
        <v>29</v>
      </c>
      <c r="B32" s="8" t="inlineStr">
        <is>
          <t xml:space="preserve">    traceback.print_exception(exc, val, tb)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 xml:space="preserve">  File "C:\Users\admin\AppData\Local\Programs\Python\Python312\Lib\traceback.py", line 125, in print_exception</t>
        </is>
      </c>
    </row>
    <row r="35">
      <c r="A35" s="9" t="n">
        <v>32</v>
      </c>
      <c r="B35" s="10" t="inlineStr">
        <is>
          <t xml:space="preserve">    te.print(file=file, chain=chain)</t>
        </is>
      </c>
    </row>
    <row r="36">
      <c r="A36" s="7" t="n">
        <v>33</v>
      </c>
      <c r="B36" s="8" t="inlineStr"/>
    </row>
    <row r="37">
      <c r="A37" s="9" t="n">
        <v>34</v>
      </c>
      <c r="B37" s="10" t="inlineStr">
        <is>
          <t xml:space="preserve">  File "C:\Users\admin\AppData\Local\Programs\Python\Python312\Lib\traceback.py", line 1050, in print</t>
        </is>
      </c>
    </row>
    <row r="38">
      <c r="A38" s="7" t="n">
        <v>35</v>
      </c>
      <c r="B38" s="8" t="inlineStr">
        <is>
          <t xml:space="preserve">    print(line, file=file, end="")</t>
        </is>
      </c>
    </row>
    <row r="39">
      <c r="A39" s="9" t="n">
        <v>36</v>
      </c>
      <c r="B39" s="10" t="inlineStr"/>
    </row>
    <row r="40">
      <c r="A40" s="7" t="n">
        <v>37</v>
      </c>
      <c r="B40" s="8">
        <f>===========================================================</f>
        <v/>
      </c>
    </row>
    <row r="41">
      <c r="A41" s="9" t="n">
        <v>38</v>
      </c>
      <c r="B41" s="10">
        <f>===========================================================</f>
        <v/>
      </c>
    </row>
    <row r="42">
      <c r="A42" s="7" t="n">
        <v>39</v>
      </c>
      <c r="B42" s="8" t="inlineStr">
        <is>
          <t>崩溃时间: 2026-06-12 21:53:21</t>
        </is>
      </c>
    </row>
    <row r="43">
      <c r="A43" s="9" t="n">
        <v>40</v>
      </c>
      <c r="B43" s="10" t="inlineStr">
        <is>
          <t>异常类型: TclError</t>
        </is>
      </c>
    </row>
    <row r="44">
      <c r="A44" s="7" t="n">
        <v>41</v>
      </c>
      <c r="B44" s="8" t="inlineStr">
        <is>
          <t>异常信息: unknown option "-padding"</t>
        </is>
      </c>
    </row>
    <row r="45">
      <c r="A45" s="9" t="n">
        <v>42</v>
      </c>
      <c r="B45" s="10" t="inlineStr">
        <is>
          <t>堆栈跟踪:</t>
        </is>
      </c>
    </row>
    <row r="46">
      <c r="A46" s="7" t="n">
        <v>43</v>
      </c>
      <c r="B46" s="8" t="inlineStr">
        <is>
          <t xml:space="preserve">  File "E:\树剪软件相关文件\树剪.py", line 156, in &lt;module&gt;</t>
        </is>
      </c>
    </row>
    <row r="47">
      <c r="A47" s="9" t="n">
        <v>44</v>
      </c>
      <c r="B47" s="10" t="inlineStr">
        <is>
          <t xml:space="preserve">    main()</t>
        </is>
      </c>
    </row>
    <row r="48">
      <c r="A48" s="7" t="n">
        <v>45</v>
      </c>
      <c r="B48" s="8" t="inlineStr"/>
    </row>
    <row r="49">
      <c r="A49" s="9" t="n">
        <v>46</v>
      </c>
      <c r="B49" s="10" t="inlineStr">
        <is>
          <t xml:space="preserve">  File "E:\树剪软件相关文件\树剪.py", line 152, in main</t>
        </is>
      </c>
    </row>
    <row r="50">
      <c r="A50" s="7" t="n">
        <v>47</v>
      </c>
      <c r="B50" s="8" t="inlineStr">
        <is>
          <t xml:space="preserve">    launch_desktop()</t>
        </is>
      </c>
    </row>
    <row r="51">
      <c r="A51" s="9" t="n">
        <v>48</v>
      </c>
      <c r="B51" s="10" t="inlineStr"/>
    </row>
    <row r="52">
      <c r="A52" s="7" t="n">
        <v>49</v>
      </c>
      <c r="B52" s="8" t="inlineStr">
        <is>
          <t xml:space="preserve">  File "E:\树剪软件相关文件\树剪.py", line 61, in launch_desktop</t>
        </is>
      </c>
    </row>
    <row r="53">
      <c r="A53" s="9" t="n">
        <v>50</v>
      </c>
      <c r="B53" s="10" t="inlineStr">
        <is>
          <t xml:space="preserve">    TreeCutApp().run()</t>
        </is>
      </c>
    </row>
    <row r="54">
      <c r="A54" s="7" t="n">
        <v>51</v>
      </c>
      <c r="B54" s="8" t="inlineStr">
        <is>
          <t xml:space="preserve">    ^^^^^^^^^^^^</t>
        </is>
      </c>
    </row>
    <row r="55">
      <c r="A55" s="9" t="n">
        <v>52</v>
      </c>
      <c r="B55" s="10" t="inlineStr"/>
    </row>
    <row r="56">
      <c r="A56" s="7" t="n">
        <v>53</v>
      </c>
      <c r="B56" s="8" t="inlineStr">
        <is>
          <t xml:space="preserve">  File "E:\树剪软件相关文件\ui\desktop.py", line 115, in __init__</t>
        </is>
      </c>
    </row>
    <row r="57">
      <c r="A57" s="9" t="n">
        <v>54</v>
      </c>
      <c r="B57" s="10" t="inlineStr">
        <is>
          <t xml:space="preserve">    self._build_notebook()</t>
        </is>
      </c>
    </row>
    <row r="58">
      <c r="A58" s="7" t="n">
        <v>55</v>
      </c>
      <c r="B58" s="8" t="inlineStr"/>
    </row>
    <row r="59">
      <c r="A59" s="9" t="n">
        <v>56</v>
      </c>
      <c r="B59" s="10" t="inlineStr">
        <is>
          <t xml:space="preserve">  File "E:\树剪软件相关文件\ui\desktop.py", line 161, in _build_notebook</t>
        </is>
      </c>
    </row>
    <row r="60">
      <c r="A60" s="7" t="n">
        <v>57</v>
      </c>
      <c r="B60" s="8" t="inlineStr">
        <is>
          <t xml:space="preserve">    self._build_material_panel()</t>
        </is>
      </c>
    </row>
    <row r="61">
      <c r="A61" s="9" t="n">
        <v>58</v>
      </c>
      <c r="B61" s="10" t="inlineStr"/>
    </row>
    <row r="62">
      <c r="A62" s="7" t="n">
        <v>59</v>
      </c>
      <c r="B62" s="8" t="inlineStr">
        <is>
          <t xml:space="preserve">  File "E:\树剪软件相关文件\ui\desktop.py", line 571, in _build_material_panel</t>
        </is>
      </c>
    </row>
    <row r="63">
      <c r="A63" s="9" t="n">
        <v>60</v>
      </c>
      <c r="B63" s="10" t="inlineStr">
        <is>
          <t xml:space="preserve">    top_bar = tb.LabelFrame(main_frame, text="工具", padding=4)</t>
        </is>
      </c>
    </row>
    <row r="64">
      <c r="A64" s="7" t="n">
        <v>61</v>
      </c>
      <c r="B64" s="8" t="inlineStr">
        <is>
          <t xml:space="preserve">              ^^^^^^^^^^^^^^^^^^^^^^^^^^^^^^^^^^^^^^^^^^^^^^^^^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 xml:space="preserve">  File "C:\Users\admin\AppData\Local\Programs\Python\Python312\Lib\site-packages\ttkbootstrap\style.py", line 5528, in __init__wrapper</t>
        </is>
      </c>
    </row>
    <row r="67">
      <c r="A67" s="9" t="n">
        <v>64</v>
      </c>
      <c r="B67" s="10" t="inlineStr">
        <is>
          <t xml:space="preserve">    func(self, *args, **kwargs)</t>
        </is>
      </c>
    </row>
    <row r="68">
      <c r="A68" s="7" t="n">
        <v>65</v>
      </c>
      <c r="B68" s="8" t="inlineStr"/>
    </row>
    <row r="69">
      <c r="A69" s="9" t="n">
        <v>66</v>
      </c>
      <c r="B69" s="10" t="inlineStr">
        <is>
          <t xml:space="preserve">  File "C:\Users\admin\AppData\Local\Programs\Python\Python312\Lib\tkinter\__init__.py", line 4457, in __init__</t>
        </is>
      </c>
    </row>
    <row r="70">
      <c r="A70" s="7" t="n">
        <v>67</v>
      </c>
      <c r="B70" s="8" t="inlineStr">
        <is>
          <t xml:space="preserve">    Widget.__init__(self, master, 'labelframe', cnf, kw)</t>
        </is>
      </c>
    </row>
    <row r="71">
      <c r="A71" s="9" t="n">
        <v>68</v>
      </c>
      <c r="B71" s="10" t="inlineStr"/>
    </row>
    <row r="72">
      <c r="A72" s="7" t="n">
        <v>69</v>
      </c>
      <c r="B72" s="8" t="inlineStr">
        <is>
          <t xml:space="preserve">  File "C:\Users\admin\AppData\Local\Programs\Python\Python312\Lib\tkinter\__init__.py", line 2661, in __init__</t>
        </is>
      </c>
    </row>
    <row r="73">
      <c r="A73" s="9" t="n">
        <v>70</v>
      </c>
      <c r="B73" s="10" t="inlineStr">
        <is>
          <t xml:space="preserve">    self.tk.call(</t>
        </is>
      </c>
    </row>
    <row r="74">
      <c r="A74" s="7" t="n">
        <v>71</v>
      </c>
      <c r="B74" s="8" t="inlineStr"/>
    </row>
    <row r="75">
      <c r="A75" s="9" t="n">
        <v>72</v>
      </c>
      <c r="B75" s="10">
        <f>===========================================================</f>
        <v/>
      </c>
    </row>
    <row r="76">
      <c r="A76" s="7" t="n">
        <v>73</v>
      </c>
      <c r="B76" s="8">
        <f>===========================================================</f>
        <v/>
      </c>
    </row>
    <row r="77">
      <c r="A77" s="9" t="n">
        <v>74</v>
      </c>
      <c r="B77" s="10" t="inlineStr">
        <is>
          <t>崩溃时间: 2026-06-12 21:53:30</t>
        </is>
      </c>
    </row>
    <row r="78">
      <c r="A78" s="7" t="n">
        <v>75</v>
      </c>
      <c r="B78" s="8" t="inlineStr">
        <is>
          <t>异常类型: TclError</t>
        </is>
      </c>
    </row>
    <row r="79">
      <c r="A79" s="9" t="n">
        <v>76</v>
      </c>
      <c r="B79" s="10" t="inlineStr">
        <is>
          <t>异常信息: unknown option "-padding"</t>
        </is>
      </c>
    </row>
    <row r="80">
      <c r="A80" s="7" t="n">
        <v>77</v>
      </c>
      <c r="B80" s="8" t="inlineStr">
        <is>
          <t>堆栈跟踪:</t>
        </is>
      </c>
    </row>
    <row r="81">
      <c r="A81" s="9" t="n">
        <v>78</v>
      </c>
      <c r="B81" s="10" t="inlineStr">
        <is>
          <t xml:space="preserve">  File "E:\树剪软件相关文件\树剪.py", line 156, in &lt;module&gt;</t>
        </is>
      </c>
    </row>
    <row r="82">
      <c r="A82" s="7" t="n">
        <v>79</v>
      </c>
      <c r="B82" s="8" t="inlineStr">
        <is>
          <t xml:space="preserve">    main()</t>
        </is>
      </c>
    </row>
    <row r="83">
      <c r="A83" s="9" t="n">
        <v>80</v>
      </c>
      <c r="B83" s="10" t="inlineStr"/>
    </row>
    <row r="84">
      <c r="A84" s="7" t="n">
        <v>81</v>
      </c>
      <c r="B84" s="8" t="inlineStr">
        <is>
          <t xml:space="preserve">  File "E:\树剪软件相关文件\树剪.py", line 152, in main</t>
        </is>
      </c>
    </row>
    <row r="85">
      <c r="A85" s="9" t="n">
        <v>82</v>
      </c>
      <c r="B85" s="10" t="inlineStr">
        <is>
          <t xml:space="preserve">    launch_desktop()</t>
        </is>
      </c>
    </row>
    <row r="86">
      <c r="A86" s="7" t="n">
        <v>83</v>
      </c>
      <c r="B86" s="8" t="inlineStr"/>
    </row>
    <row r="87">
      <c r="A87" s="9" t="n">
        <v>84</v>
      </c>
      <c r="B87" s="10" t="inlineStr">
        <is>
          <t xml:space="preserve">  File "E:\树剪软件相关文件\树剪.py", line 61, in launch_desktop</t>
        </is>
      </c>
    </row>
    <row r="88">
      <c r="A88" s="7" t="n">
        <v>85</v>
      </c>
      <c r="B88" s="8" t="inlineStr">
        <is>
          <t xml:space="preserve">    TreeCutApp().run()</t>
        </is>
      </c>
    </row>
    <row r="89">
      <c r="A89" s="9" t="n">
        <v>86</v>
      </c>
      <c r="B89" s="10" t="inlineStr">
        <is>
          <t xml:space="preserve">    ^^^^^^^^^^^^</t>
        </is>
      </c>
    </row>
    <row r="90">
      <c r="A90" s="7" t="n">
        <v>87</v>
      </c>
      <c r="B90" s="8" t="inlineStr"/>
    </row>
    <row r="91">
      <c r="A91" s="9" t="n">
        <v>88</v>
      </c>
      <c r="B91" s="10" t="inlineStr">
        <is>
          <t xml:space="preserve">  File "E:\树剪软件相关文件\ui\desktop.py", line 115, in __init__</t>
        </is>
      </c>
    </row>
    <row r="92">
      <c r="A92" s="7" t="n">
        <v>89</v>
      </c>
      <c r="B92" s="8" t="inlineStr">
        <is>
          <t xml:space="preserve">    self._build_notebook()</t>
        </is>
      </c>
    </row>
    <row r="93">
      <c r="A93" s="9" t="n">
        <v>90</v>
      </c>
      <c r="B93" s="10" t="inlineStr"/>
    </row>
    <row r="94">
      <c r="A94" s="7" t="n">
        <v>91</v>
      </c>
      <c r="B94" s="8" t="inlineStr">
        <is>
          <t xml:space="preserve">  File "E:\树剪软件相关文件\ui\desktop.py", line 161, in _build_notebook</t>
        </is>
      </c>
    </row>
    <row r="95">
      <c r="A95" s="9" t="n">
        <v>92</v>
      </c>
      <c r="B95" s="10" t="inlineStr">
        <is>
          <t xml:space="preserve">    self._build_material_panel()</t>
        </is>
      </c>
    </row>
    <row r="96">
      <c r="A96" s="7" t="n">
        <v>93</v>
      </c>
      <c r="B96" s="8" t="inlineStr"/>
    </row>
    <row r="97">
      <c r="A97" s="9" t="n">
        <v>94</v>
      </c>
      <c r="B97" s="10" t="inlineStr">
        <is>
          <t xml:space="preserve">  File "E:\树剪软件相关文件\ui\desktop.py", line 571, in _build_material_panel</t>
        </is>
      </c>
    </row>
    <row r="98">
      <c r="A98" s="7" t="n">
        <v>95</v>
      </c>
      <c r="B98" s="8" t="inlineStr">
        <is>
          <t xml:space="preserve">    top_bar = tb.LabelFrame(main_frame, text="工具", padding=4)</t>
        </is>
      </c>
    </row>
    <row r="99">
      <c r="A99" s="9" t="n">
        <v>96</v>
      </c>
      <c r="B99" s="10" t="inlineStr">
        <is>
          <t xml:space="preserve">              ^^^^^^^^^^^^^^^^^^^^^^^^^^^^^^^^^^^^^^^^^^^^^^^^^</t>
        </is>
      </c>
    </row>
    <row r="100">
      <c r="A100" s="7" t="n">
        <v>97</v>
      </c>
      <c r="B100" s="8" t="inlineStr"/>
    </row>
    <row r="101">
      <c r="A101" s="9" t="n">
        <v>98</v>
      </c>
      <c r="B101" s="10" t="inlineStr">
        <is>
          <t xml:space="preserve">  File "C:\Users\admin\AppData\Local\Programs\Python\Python312\Lib\site-packages\ttkbootstrap\style.py", line 5528, in __init__wrapper</t>
        </is>
      </c>
    </row>
    <row r="102">
      <c r="A102" s="7" t="n">
        <v>99</v>
      </c>
      <c r="B102" s="8" t="inlineStr">
        <is>
          <t xml:space="preserve">    func(self, *args, **kwargs)</t>
        </is>
      </c>
    </row>
    <row r="103">
      <c r="A103" s="9" t="n">
        <v>100</v>
      </c>
      <c r="B103" s="10" t="inlineStr"/>
    </row>
    <row r="104">
      <c r="A104" s="7" t="n">
        <v>101</v>
      </c>
      <c r="B104" s="8" t="inlineStr">
        <is>
          <t xml:space="preserve">  File "C:\Users\admin\AppData\Local\Programs\Python\Python312\Lib\tkinter\__init__.py", line 4457, in __init__</t>
        </is>
      </c>
    </row>
    <row r="105">
      <c r="A105" s="9" t="n">
        <v>102</v>
      </c>
      <c r="B105" s="10" t="inlineStr">
        <is>
          <t xml:space="preserve">    Widget.__init__(self, master, 'labelframe', cnf, kw)</t>
        </is>
      </c>
    </row>
    <row r="106">
      <c r="A106" s="7" t="n">
        <v>103</v>
      </c>
      <c r="B106" s="8" t="inlineStr"/>
    </row>
    <row r="107">
      <c r="A107" s="9" t="n">
        <v>104</v>
      </c>
      <c r="B107" s="10" t="inlineStr">
        <is>
          <t xml:space="preserve">  File "C:\Users\admin\AppData\Local\Programs\Python\Python312\Lib\tkinter\__init__.py", line 2661, in __init__</t>
        </is>
      </c>
    </row>
    <row r="108">
      <c r="A108" s="7" t="n">
        <v>105</v>
      </c>
      <c r="B108" s="8" t="inlineStr">
        <is>
          <t xml:space="preserve">    self.tk.call(</t>
        </is>
      </c>
    </row>
    <row r="109">
      <c r="A109" s="9" t="n">
        <v>106</v>
      </c>
      <c r="B109" s="10" t="inlineStr"/>
    </row>
    <row r="110">
      <c r="A110" s="7" t="n">
        <v>107</v>
      </c>
      <c r="B110" s="8">
        <f>===========================================================</f>
        <v/>
      </c>
    </row>
    <row r="111">
      <c r="A111" s="9" t="n">
        <v>108</v>
      </c>
      <c r="B111" s="10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create_shortcuts.bat</t>
        </is>
      </c>
      <c r="C1" s="5" t="inlineStr">
        <is>
          <t>行数: 126</t>
        </is>
      </c>
    </row>
    <row r="4">
      <c r="A4" s="7" t="n">
        <v>1</v>
      </c>
      <c r="B4" s="8" t="inlineStr">
        <is>
          <t>@echo off</t>
        </is>
      </c>
    </row>
    <row r="5">
      <c r="A5" s="9" t="n">
        <v>2</v>
      </c>
      <c r="B5" s="10" t="inlineStr">
        <is>
          <t>chcp 65001 &gt;nul</t>
        </is>
      </c>
    </row>
    <row r="6">
      <c r="A6" s="7" t="n">
        <v>3</v>
      </c>
      <c r="B6" s="8" t="inlineStr">
        <is>
          <t>title 树剪 TreeCut — 创建快捷方式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:: ============================================================</t>
        </is>
      </c>
    </row>
    <row r="9">
      <c r="A9" s="9" t="n">
        <v>6</v>
      </c>
      <c r="B9" s="10" t="inlineStr">
        <is>
          <t>:: 树剪 TreeCut — 安装后自动生成桌面快捷方式</t>
        </is>
      </c>
    </row>
    <row r="10">
      <c r="A10" s="7" t="n">
        <v>7</v>
      </c>
      <c r="B10" s="8" t="inlineStr">
        <is>
          <t>:: 用法: 双击运行，或在 Inno Setup 中作为 post-install 脚本</t>
        </is>
      </c>
    </row>
    <row r="11">
      <c r="A11" s="9" t="n">
        <v>8</v>
      </c>
      <c r="B11" s="10" t="inlineStr">
        <is>
          <t>:: ============================================================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setlocal enabledelayedexpansion</t>
        </is>
      </c>
    </row>
    <row r="14">
      <c r="A14" s="7" t="n">
        <v>11</v>
      </c>
      <c r="B14" s="8" t="inlineStr"/>
    </row>
    <row r="15">
      <c r="A15" s="9" t="n">
        <v>12</v>
      </c>
      <c r="B15" s="10" t="inlineStr">
        <is>
          <t>:: 获取脚本所在目录（即安装目录）</t>
        </is>
      </c>
    </row>
    <row r="16">
      <c r="A16" s="7" t="n">
        <v>13</v>
      </c>
      <c r="B16" s="8" t="inlineStr">
        <is>
          <t>set "APP_DIR=%~dp0"</t>
        </is>
      </c>
    </row>
    <row r="17">
      <c r="A17" s="9" t="n">
        <v>14</v>
      </c>
      <c r="B17" s="10" t="inlineStr">
        <is>
          <t>set "APP_DIR=%APP_DIR:~0,-1%"</t>
        </is>
      </c>
    </row>
    <row r="18">
      <c r="A18" s="7" t="n">
        <v>15</v>
      </c>
      <c r="B18" s="8" t="inlineStr"/>
    </row>
    <row r="19">
      <c r="A19" s="9" t="n">
        <v>16</v>
      </c>
      <c r="B19" s="10" t="inlineStr">
        <is>
          <t>:: 查找 Python</t>
        </is>
      </c>
    </row>
    <row r="20">
      <c r="A20" s="7" t="n">
        <v>17</v>
      </c>
      <c r="B20" s="8" t="inlineStr">
        <is>
          <t>set "PYTHON="</t>
        </is>
      </c>
    </row>
    <row r="21">
      <c r="A21" s="9" t="n">
        <v>18</v>
      </c>
      <c r="B21" s="10" t="inlineStr">
        <is>
          <t>for %%p in (</t>
        </is>
      </c>
    </row>
    <row r="22">
      <c r="A22" s="7" t="n">
        <v>19</v>
      </c>
      <c r="B22" s="8" t="inlineStr">
        <is>
          <t xml:space="preserve">    "%LOCALAPPDATA%\Programs\Python\Python312\pythonw.exe"</t>
        </is>
      </c>
    </row>
    <row r="23">
      <c r="A23" s="9" t="n">
        <v>20</v>
      </c>
      <c r="B23" s="10" t="inlineStr">
        <is>
          <t xml:space="preserve">    "%LOCALAPPDATA%\Programs\Python\Python311\pythonw.exe"</t>
        </is>
      </c>
    </row>
    <row r="24">
      <c r="A24" s="7" t="n">
        <v>21</v>
      </c>
      <c r="B24" s="8" t="inlineStr">
        <is>
          <t xml:space="preserve">    "%LOCALAPPDATA%\Programs\Python\Python313\pythonw.exe"</t>
        </is>
      </c>
    </row>
    <row r="25">
      <c r="A25" s="9" t="n">
        <v>22</v>
      </c>
      <c r="B25" s="10" t="inlineStr">
        <is>
          <t xml:space="preserve">    "%PROGRAMFILES%\Python312\pythonw.exe"</t>
        </is>
      </c>
    </row>
    <row r="26">
      <c r="A26" s="7" t="n">
        <v>23</v>
      </c>
      <c r="B26" s="8" t="inlineStr">
        <is>
          <t xml:space="preserve">    "%PROGRAMFILES%\Python311\pythonw.exe"</t>
        </is>
      </c>
    </row>
    <row r="27">
      <c r="A27" s="9" t="n">
        <v>24</v>
      </c>
      <c r="B27" s="10" t="inlineStr">
        <is>
          <t>) do (</t>
        </is>
      </c>
    </row>
    <row r="28">
      <c r="A28" s="7" t="n">
        <v>25</v>
      </c>
      <c r="B28" s="8" t="inlineStr">
        <is>
          <t xml:space="preserve">    if exist %%p (</t>
        </is>
      </c>
    </row>
    <row r="29">
      <c r="A29" s="9" t="n">
        <v>26</v>
      </c>
      <c r="B29" s="10" t="inlineStr">
        <is>
          <t xml:space="preserve">        set "PYTHON=%%p"</t>
        </is>
      </c>
    </row>
    <row r="30">
      <c r="A30" s="7" t="n">
        <v>27</v>
      </c>
      <c r="B30" s="8" t="inlineStr">
        <is>
          <t xml:space="preserve">        goto :found_python</t>
        </is>
      </c>
    </row>
    <row r="31">
      <c r="A31" s="9" t="n">
        <v>28</v>
      </c>
      <c r="B31" s="10" t="inlineStr">
        <is>
          <t xml:space="preserve">    )</t>
        </is>
      </c>
    </row>
    <row r="32">
      <c r="A32" s="7" t="n">
        <v>29</v>
      </c>
      <c r="B32" s="8" t="inlineStr">
        <is>
          <t>)</t>
        </is>
      </c>
    </row>
    <row r="33">
      <c r="A33" s="9" t="n">
        <v>30</v>
      </c>
      <c r="B33" s="10" t="inlineStr"/>
    </row>
    <row r="34">
      <c r="A34" s="7" t="n">
        <v>31</v>
      </c>
      <c r="B34" s="8" t="inlineStr">
        <is>
          <t>:: 如果没找到特定版本，尝试从 PATH 中找</t>
        </is>
      </c>
    </row>
    <row r="35">
      <c r="A35" s="9" t="n">
        <v>32</v>
      </c>
      <c r="B35" s="10" t="inlineStr">
        <is>
          <t>where pythonw &gt;nul 2&gt;&amp;1</t>
        </is>
      </c>
    </row>
    <row r="36">
      <c r="A36" s="7" t="n">
        <v>33</v>
      </c>
      <c r="B36" s="8" t="inlineStr">
        <is>
          <t>if %errorlevel%==0 (</t>
        </is>
      </c>
    </row>
    <row r="37">
      <c r="A37" s="9" t="n">
        <v>34</v>
      </c>
      <c r="B37" s="10" t="inlineStr">
        <is>
          <t xml:space="preserve">    for /f "delims=" %%i in ('where pythonw') do set "PYTHON=%%i"</t>
        </is>
      </c>
    </row>
    <row r="38">
      <c r="A38" s="7" t="n">
        <v>35</v>
      </c>
      <c r="B38" s="8" t="inlineStr">
        <is>
          <t xml:space="preserve">    goto :found_python</t>
        </is>
      </c>
    </row>
    <row r="39">
      <c r="A39" s="9" t="n">
        <v>36</v>
      </c>
      <c r="B39" s="10" t="inlineStr">
        <is>
          <t>)</t>
        </is>
      </c>
    </row>
    <row r="40">
      <c r="A40" s="7" t="n">
        <v>37</v>
      </c>
      <c r="B40" s="8" t="inlineStr"/>
    </row>
    <row r="41">
      <c r="A41" s="9" t="n">
        <v>38</v>
      </c>
      <c r="B41" s="10" t="inlineStr">
        <is>
          <t>echo [WARN] 未找到 pythonw.exe，请先安装 Python 3.12</t>
        </is>
      </c>
    </row>
    <row r="42">
      <c r="A42" s="7" t="n">
        <v>39</v>
      </c>
      <c r="B42" s="8" t="inlineStr">
        <is>
          <t>echo       下载: https://www.python.org/downloads/</t>
        </is>
      </c>
    </row>
    <row r="43">
      <c r="A43" s="9" t="n">
        <v>40</v>
      </c>
      <c r="B43" s="10" t="inlineStr">
        <is>
          <t>pause</t>
        </is>
      </c>
    </row>
    <row r="44">
      <c r="A44" s="7" t="n">
        <v>41</v>
      </c>
      <c r="B44" s="8" t="inlineStr">
        <is>
          <t>exit /b 1</t>
        </is>
      </c>
    </row>
    <row r="45">
      <c r="A45" s="9" t="n">
        <v>42</v>
      </c>
      <c r="B45" s="10" t="inlineStr"/>
    </row>
    <row r="46">
      <c r="A46" s="7" t="n">
        <v>43</v>
      </c>
      <c r="B46" s="8" t="inlineStr">
        <is>
          <t>:found_python</t>
        </is>
      </c>
    </row>
    <row r="47">
      <c r="A47" s="9" t="n">
        <v>44</v>
      </c>
      <c r="B47" s="10" t="inlineStr">
        <is>
          <t>echo  Python: %PYTHON%</t>
        </is>
      </c>
    </row>
    <row r="48">
      <c r="A48" s="7" t="n">
        <v>45</v>
      </c>
      <c r="B48" s="8" t="inlineStr">
        <is>
          <t>echo  安装目录: %APP_DIR%</t>
        </is>
      </c>
    </row>
    <row r="49">
      <c r="A49" s="9" t="n">
        <v>46</v>
      </c>
      <c r="B49" s="10" t="inlineStr"/>
    </row>
    <row r="50">
      <c r="A50" s="7" t="n">
        <v>47</v>
      </c>
      <c r="B50" s="8" t="inlineStr">
        <is>
          <t>:: 获取桌面路径（支持中文和英文系统）</t>
        </is>
      </c>
    </row>
    <row r="51">
      <c r="A51" s="9" t="n">
        <v>48</v>
      </c>
      <c r="B51" s="10" t="inlineStr">
        <is>
          <t>for /f "tokens=2*" %%a in ('reg query "HKCU\Software\Microsoft\Windows\CurrentVersion\Explorer\User Shell Folders" /v Desktop 2^&gt;nul') do set "DESKTOP=%%b"</t>
        </is>
      </c>
    </row>
    <row r="52">
      <c r="A52" s="7" t="n">
        <v>49</v>
      </c>
      <c r="B52" s="8" t="inlineStr">
        <is>
          <t>if not defined DESKTOP set "DESKTOP=%USERPROFILE%\Desktop"</t>
        </is>
      </c>
    </row>
    <row r="53">
      <c r="A53" s="9" t="n">
        <v>50</v>
      </c>
      <c r="B53" s="10" t="inlineStr">
        <is>
          <t>echo  桌面路径: %DESKTOP%</t>
        </is>
      </c>
    </row>
    <row r="54">
      <c r="A54" s="7" t="n">
        <v>51</v>
      </c>
      <c r="B54" s="8" t="inlineStr"/>
    </row>
    <row r="55">
      <c r="A55" s="9" t="n">
        <v>52</v>
      </c>
      <c r="B55" s="10" t="inlineStr">
        <is>
          <t>:: 获取开始菜单路径</t>
        </is>
      </c>
    </row>
    <row r="56">
      <c r="A56" s="7" t="n">
        <v>53</v>
      </c>
      <c r="B56" s="8" t="inlineStr">
        <is>
          <t>for /f "tokens=2*" %%a in ('reg query "HKCU\Software\Microsoft\Windows\CurrentVersion\Explorer\User Shell Folders" /v "Programs" 2^&gt;nul') do set "STARTMENU=%%b"</t>
        </is>
      </c>
    </row>
    <row r="57">
      <c r="A57" s="9" t="n">
        <v>54</v>
      </c>
      <c r="B57" s="10" t="inlineStr">
        <is>
          <t>if not defined STARTMENU set "STARTMENU=%APPDATA%\Microsoft\Windows\Start Menu\Programs"</t>
        </is>
      </c>
    </row>
    <row r="58">
      <c r="A58" s="7" t="n">
        <v>55</v>
      </c>
      <c r="B58" s="8" t="inlineStr">
        <is>
          <t>echo  开始菜单: %STARTMENU%</t>
        </is>
      </c>
    </row>
    <row r="59">
      <c r="A59" s="9" t="n">
        <v>56</v>
      </c>
      <c r="B59" s="10" t="inlineStr"/>
    </row>
    <row r="60">
      <c r="A60" s="7" t="n">
        <v>57</v>
      </c>
      <c r="B60" s="8" t="inlineStr">
        <is>
          <t>:: ============================================================</t>
        </is>
      </c>
    </row>
    <row r="61">
      <c r="A61" s="9" t="n">
        <v>58</v>
      </c>
      <c r="B61" s="10" t="inlineStr">
        <is>
          <t>:: 创建桌面快捷方式</t>
        </is>
      </c>
    </row>
    <row r="62">
      <c r="A62" s="7" t="n">
        <v>59</v>
      </c>
      <c r="B62" s="8" t="inlineStr">
        <is>
          <t>:: ============================================================</t>
        </is>
      </c>
    </row>
    <row r="63">
      <c r="A63" s="9" t="n">
        <v>60</v>
      </c>
      <c r="B63" s="10" t="inlineStr">
        <is>
          <t>echo.</t>
        </is>
      </c>
    </row>
    <row r="64">
      <c r="A64" s="7" t="n">
        <v>61</v>
      </c>
      <c r="B64" s="8" t="inlineStr">
        <is>
          <t>echo  正在创建桌面快捷方式...</t>
        </is>
      </c>
    </row>
    <row r="65">
      <c r="A65" s="9" t="n">
        <v>62</v>
      </c>
      <c r="B65" s="10" t="inlineStr"/>
    </row>
    <row r="66">
      <c r="A66" s="7" t="n">
        <v>63</v>
      </c>
      <c r="B66" s="8" t="inlineStr">
        <is>
          <t>powershell -NoProfile -ExecutionPolicy Bypass -Command ^</t>
        </is>
      </c>
    </row>
    <row r="67">
      <c r="A67" s="9" t="n">
        <v>64</v>
      </c>
      <c r="B67" s="10" t="inlineStr">
        <is>
          <t>"$ws = New-Object -ComObject WScript.Shell; ^</t>
        </is>
      </c>
    </row>
    <row r="68">
      <c r="A68" s="7" t="n">
        <v>65</v>
      </c>
      <c r="B68" s="8" t="inlineStr">
        <is>
          <t>$lnk = $ws.CreateShortcut('%DESKTOP%\树剪 TreeCut.lnk'); ^</t>
        </is>
      </c>
    </row>
    <row r="69">
      <c r="A69" s="9" t="n">
        <v>66</v>
      </c>
      <c r="B69" s="10" t="inlineStr">
        <is>
          <t>$lnk.TargetPath = '%PYTHON%'; ^</t>
        </is>
      </c>
    </row>
    <row r="70">
      <c r="A70" s="7" t="n">
        <v>67</v>
      </c>
      <c r="B70" s="8" t="inlineStr">
        <is>
          <t>$lnk.Arguments = '树剪.py'; ^</t>
        </is>
      </c>
    </row>
    <row r="71">
      <c r="A71" s="9" t="n">
        <v>68</v>
      </c>
      <c r="B71" s="10" t="inlineStr">
        <is>
          <t>$lnk.WorkingDirectory = '%APP_DIR%'; ^</t>
        </is>
      </c>
    </row>
    <row r="72">
      <c r="A72" s="7" t="n">
        <v>69</v>
      </c>
      <c r="B72" s="8" t="inlineStr">
        <is>
          <t>$lnk.IconLocation = '%APP_DIR%\tree_icon.ico'; ^</t>
        </is>
      </c>
    </row>
    <row r="73">
      <c r="A73" s="9" t="n">
        <v>70</v>
      </c>
      <c r="B73" s="10" t="inlineStr">
        <is>
          <t>$lnk.Description = '树剪 TreeCut v10.3 - AI视频半自动剪辑工具'; ^</t>
        </is>
      </c>
    </row>
    <row r="74">
      <c r="A74" s="7" t="n">
        <v>71</v>
      </c>
      <c r="B74" s="8" t="inlineStr">
        <is>
          <t>$lnk.Save()"</t>
        </is>
      </c>
    </row>
    <row r="75">
      <c r="A75" s="9" t="n">
        <v>72</v>
      </c>
      <c r="B75" s="10" t="inlineStr"/>
    </row>
    <row r="76">
      <c r="A76" s="7" t="n">
        <v>73</v>
      </c>
      <c r="B76" s="8" t="inlineStr">
        <is>
          <t>if %errorlevel%==0 (</t>
        </is>
      </c>
    </row>
    <row r="77">
      <c r="A77" s="9" t="n">
        <v>74</v>
      </c>
      <c r="B77" s="10" t="inlineStr">
        <is>
          <t xml:space="preserve">    echo    ✅ 桌面快捷方式已创建</t>
        </is>
      </c>
    </row>
    <row r="78">
      <c r="A78" s="7" t="n">
        <v>75</v>
      </c>
      <c r="B78" s="8" t="inlineStr">
        <is>
          <t>) else (</t>
        </is>
      </c>
    </row>
    <row r="79">
      <c r="A79" s="9" t="n">
        <v>76</v>
      </c>
      <c r="B79" s="10" t="inlineStr">
        <is>
          <t xml:space="preserve">    echo    ❌ 创建失败，尝试备用方法...</t>
        </is>
      </c>
    </row>
    <row r="80">
      <c r="A80" s="7" t="n">
        <v>77</v>
      </c>
      <c r="B80" s="8" t="inlineStr">
        <is>
          <t xml:space="preserve">    :: 备用：使用 mklink (需要管理员权限)</t>
        </is>
      </c>
    </row>
    <row r="81">
      <c r="A81" s="9" t="n">
        <v>78</v>
      </c>
      <c r="B81" s="10" t="inlineStr">
        <is>
          <t xml:space="preserve">    mklink "%DESKTOP%\树剪 TreeCut.lnk" "%APP_DIR%\树剪.py" &gt;nul 2&gt;&amp;1</t>
        </is>
      </c>
    </row>
    <row r="82">
      <c r="A82" s="7" t="n">
        <v>79</v>
      </c>
      <c r="B82" s="8" t="inlineStr">
        <is>
          <t>)</t>
        </is>
      </c>
    </row>
    <row r="83">
      <c r="A83" s="9" t="n">
        <v>80</v>
      </c>
      <c r="B83" s="10" t="inlineStr"/>
    </row>
    <row r="84">
      <c r="A84" s="7" t="n">
        <v>81</v>
      </c>
      <c r="B84" s="8" t="inlineStr">
        <is>
          <t>:: ============================================================</t>
        </is>
      </c>
    </row>
    <row r="85">
      <c r="A85" s="9" t="n">
        <v>82</v>
      </c>
      <c r="B85" s="10" t="inlineStr">
        <is>
          <t>:: 创建开始菜单文件夹和快捷方式</t>
        </is>
      </c>
    </row>
    <row r="86">
      <c r="A86" s="7" t="n">
        <v>83</v>
      </c>
      <c r="B86" s="8" t="inlineStr">
        <is>
          <t>:: ============================================================</t>
        </is>
      </c>
    </row>
    <row r="87">
      <c r="A87" s="9" t="n">
        <v>84</v>
      </c>
      <c r="B87" s="10" t="inlineStr">
        <is>
          <t>echo  正在创建开始菜单快捷方式...</t>
        </is>
      </c>
    </row>
    <row r="88">
      <c r="A88" s="7" t="n">
        <v>85</v>
      </c>
      <c r="B88" s="8" t="inlineStr"/>
    </row>
    <row r="89">
      <c r="A89" s="9" t="n">
        <v>86</v>
      </c>
      <c r="B89" s="10" t="inlineStr">
        <is>
          <t>set "SM_DIR=%STARTMENU%\树剪 TreeCut"</t>
        </is>
      </c>
    </row>
    <row r="90">
      <c r="A90" s="7" t="n">
        <v>87</v>
      </c>
      <c r="B90" s="8" t="inlineStr">
        <is>
          <t>if not exist "%SM_DIR%" mkdir "%SM_DIR%"</t>
        </is>
      </c>
    </row>
    <row r="91">
      <c r="A91" s="9" t="n">
        <v>88</v>
      </c>
      <c r="B91" s="10" t="inlineStr"/>
    </row>
    <row r="92">
      <c r="A92" s="7" t="n">
        <v>89</v>
      </c>
      <c r="B92" s="8" t="inlineStr">
        <is>
          <t>powershell -NoProfile -ExecutionPolicy Bypass -Command ^</t>
        </is>
      </c>
    </row>
    <row r="93">
      <c r="A93" s="9" t="n">
        <v>90</v>
      </c>
      <c r="B93" s="10" t="inlineStr">
        <is>
          <t>"$ws = New-Object -ComObject WScript.Shell; ^</t>
        </is>
      </c>
    </row>
    <row r="94">
      <c r="A94" s="7" t="n">
        <v>91</v>
      </c>
      <c r="B94" s="8" t="inlineStr">
        <is>
          <t>$lnk = $ws.CreateShortcut('%SM_DIR%\树剪 TreeCut.lnk'); ^</t>
        </is>
      </c>
    </row>
    <row r="95">
      <c r="A95" s="9" t="n">
        <v>92</v>
      </c>
      <c r="B95" s="10" t="inlineStr">
        <is>
          <t>$lnk.TargetPath = '%PYTHON%'; ^</t>
        </is>
      </c>
    </row>
    <row r="96">
      <c r="A96" s="7" t="n">
        <v>93</v>
      </c>
      <c r="B96" s="8" t="inlineStr">
        <is>
          <t>$lnk.Arguments = '树剪.py'; ^</t>
        </is>
      </c>
    </row>
    <row r="97">
      <c r="A97" s="9" t="n">
        <v>94</v>
      </c>
      <c r="B97" s="10" t="inlineStr">
        <is>
          <t>$lnk.WorkingDirectory = '%APP_DIR%'; ^</t>
        </is>
      </c>
    </row>
    <row r="98">
      <c r="A98" s="7" t="n">
        <v>95</v>
      </c>
      <c r="B98" s="8" t="inlineStr">
        <is>
          <t>$lnk.IconLocation = '%APP_DIR%\tree_icon.ico'; ^</t>
        </is>
      </c>
    </row>
    <row r="99">
      <c r="A99" s="9" t="n">
        <v>96</v>
      </c>
      <c r="B99" s="10" t="inlineStr">
        <is>
          <t>$lnk.Description = '树剪 TreeCut - AI视频半自动剪辑工具'; ^</t>
        </is>
      </c>
    </row>
    <row r="100">
      <c r="A100" s="7" t="n">
        <v>97</v>
      </c>
      <c r="B100" s="8" t="inlineStr">
        <is>
          <t>$lnk.Save(); ^</t>
        </is>
      </c>
    </row>
    <row r="101">
      <c r="A101" s="9" t="n">
        <v>98</v>
      </c>
      <c r="B101" s="10" t="inlineStr">
        <is>
          <t>$lnk2 = $ws.CreateShortcut('%SM_DIR%\配置向导.lnk'); ^</t>
        </is>
      </c>
    </row>
    <row r="102">
      <c r="A102" s="7" t="n">
        <v>99</v>
      </c>
      <c r="B102" s="8" t="inlineStr">
        <is>
          <t>$lnk2.TargetPath = '%PYTHON%'; ^</t>
        </is>
      </c>
    </row>
    <row r="103">
      <c r="A103" s="9" t="n">
        <v>100</v>
      </c>
      <c r="B103" s="10" t="inlineStr">
        <is>
          <t>$lnk2.Arguments = 'setup_wizard.py'; ^</t>
        </is>
      </c>
    </row>
    <row r="104">
      <c r="A104" s="7" t="n">
        <v>101</v>
      </c>
      <c r="B104" s="8" t="inlineStr">
        <is>
          <t>$lnk2.WorkingDirectory = '%APP_DIR%'; ^</t>
        </is>
      </c>
    </row>
    <row r="105">
      <c r="A105" s="9" t="n">
        <v>102</v>
      </c>
      <c r="B105" s="10" t="inlineStr">
        <is>
          <t>$lnk2.IconLocation = '%APP_DIR%\tree_icon.ico'; ^</t>
        </is>
      </c>
    </row>
    <row r="106">
      <c r="A106" s="7" t="n">
        <v>103</v>
      </c>
      <c r="B106" s="8" t="inlineStr">
        <is>
          <t>$lnk2.Description = '树剪 首次配置向导'; ^</t>
        </is>
      </c>
    </row>
    <row r="107">
      <c r="A107" s="9" t="n">
        <v>104</v>
      </c>
      <c r="B107" s="10" t="inlineStr">
        <is>
          <t>$lnk2.Save()"</t>
        </is>
      </c>
    </row>
    <row r="108">
      <c r="A108" s="7" t="n">
        <v>105</v>
      </c>
      <c r="B108" s="8" t="inlineStr"/>
    </row>
    <row r="109">
      <c r="A109" s="9" t="n">
        <v>106</v>
      </c>
      <c r="B109" s="10" t="inlineStr">
        <is>
          <t>if %errorlevel%==0 (</t>
        </is>
      </c>
    </row>
    <row r="110">
      <c r="A110" s="7" t="n">
        <v>107</v>
      </c>
      <c r="B110" s="8" t="inlineStr">
        <is>
          <t xml:space="preserve">    echo    ✅ 开始菜单已创建</t>
        </is>
      </c>
    </row>
    <row r="111">
      <c r="A111" s="9" t="n">
        <v>108</v>
      </c>
      <c r="B111" s="10" t="inlineStr">
        <is>
          <t>) else (</t>
        </is>
      </c>
    </row>
    <row r="112">
      <c r="A112" s="7" t="n">
        <v>109</v>
      </c>
      <c r="B112" s="8" t="inlineStr">
        <is>
          <t xml:space="preserve">    echo    ⚠ 开始菜单创建失败（非关键）</t>
        </is>
      </c>
    </row>
    <row r="113">
      <c r="A113" s="9" t="n">
        <v>110</v>
      </c>
      <c r="B113" s="10" t="inlineStr">
        <is>
          <t>)</t>
        </is>
      </c>
    </row>
    <row r="114">
      <c r="A114" s="7" t="n">
        <v>111</v>
      </c>
      <c r="B114" s="8" t="inlineStr"/>
    </row>
    <row r="115">
      <c r="A115" s="9" t="n">
        <v>112</v>
      </c>
      <c r="B115" s="10" t="inlineStr">
        <is>
          <t>echo.</t>
        </is>
      </c>
    </row>
    <row r="116">
      <c r="A116" s="7" t="n">
        <v>113</v>
      </c>
      <c r="B116" s="8" t="inlineStr">
        <is>
          <t>echo ══════════════════════════════════════════════</t>
        </is>
      </c>
    </row>
    <row r="117">
      <c r="A117" s="9" t="n">
        <v>114</v>
      </c>
      <c r="B117" s="10" t="inlineStr">
        <is>
          <t>echo   ✅ 快捷方式创建完成！</t>
        </is>
      </c>
    </row>
    <row r="118">
      <c r="A118" s="7" t="n">
        <v>115</v>
      </c>
      <c r="B118" s="8" t="inlineStr">
        <is>
          <t>echo.</t>
        </is>
      </c>
    </row>
    <row r="119">
      <c r="A119" s="9" t="n">
        <v>116</v>
      </c>
      <c r="B119" s="10" t="inlineStr">
        <is>
          <t>echo   桌面: 树剪 TreeCut</t>
        </is>
      </c>
    </row>
    <row r="120">
      <c r="A120" s="7" t="n">
        <v>117</v>
      </c>
      <c r="B120" s="8" t="inlineStr">
        <is>
          <t>echo   开始菜单: 树剪 TreeCut\树剪 TreeCut</t>
        </is>
      </c>
    </row>
    <row r="121">
      <c r="A121" s="9" t="n">
        <v>118</v>
      </c>
      <c r="B121" s="10" t="inlineStr">
        <is>
          <t>echo   开始菜单: 树剪 TreeCut\配置向导</t>
        </is>
      </c>
    </row>
    <row r="122">
      <c r="A122" s="7" t="n">
        <v>119</v>
      </c>
      <c r="B122" s="8" t="inlineStr">
        <is>
          <t>echo ══════════════════════════════════════════════</t>
        </is>
      </c>
    </row>
    <row r="123">
      <c r="A123" s="9" t="n">
        <v>120</v>
      </c>
      <c r="B123" s="10" t="inlineStr">
        <is>
          <t>echo.</t>
        </is>
      </c>
    </row>
    <row r="124">
      <c r="A124" s="7" t="n">
        <v>121</v>
      </c>
      <c r="B124" s="8" t="inlineStr">
        <is>
          <t>echo   首次使用请先运行「配置向导」设置 API Key</t>
        </is>
      </c>
    </row>
    <row r="125">
      <c r="A125" s="9" t="n">
        <v>122</v>
      </c>
      <c r="B125" s="10" t="inlineStr">
        <is>
          <t>echo   或直接启动后在 .env 文件中配置</t>
        </is>
      </c>
    </row>
    <row r="126">
      <c r="A126" s="7" t="n">
        <v>123</v>
      </c>
      <c r="B126" s="8" t="inlineStr"/>
    </row>
    <row r="127">
      <c r="A127" s="9" t="n">
        <v>124</v>
      </c>
      <c r="B127" s="10" t="inlineStr">
        <is>
          <t>endlocal</t>
        </is>
      </c>
    </row>
    <row r="128">
      <c r="A128" s="7" t="n">
        <v>125</v>
      </c>
      <c r="B128" s="8" t="inlineStr">
        <is>
          <t>pause</t>
        </is>
      </c>
    </row>
    <row r="129">
      <c r="A129" s="9" t="n">
        <v>126</v>
      </c>
      <c r="B129" s="10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dl_model.bat</t>
        </is>
      </c>
      <c r="C1" s="5" t="inlineStr">
        <is>
          <t>行数: 18</t>
        </is>
      </c>
    </row>
    <row r="4">
      <c r="A4" s="7" t="n">
        <v>1</v>
      </c>
      <c r="B4" s="8" t="inlineStr">
        <is>
          <t>@echo off</t>
        </is>
      </c>
    </row>
    <row r="5">
      <c r="A5" s="9" t="n">
        <v>2</v>
      </c>
      <c r="B5" s="10" t="inlineStr">
        <is>
          <t>cd /d "E:\树剪软件相关文件"</t>
        </is>
      </c>
    </row>
    <row r="6">
      <c r="A6" s="7" t="n">
        <v>3</v>
      </c>
      <c r="B6" s="8" t="inlineStr">
        <is>
          <t>set PYTHON=C:\Users\admin\AppData\Local\Programs\Python\Python312\python.exe</t>
        </is>
      </c>
    </row>
    <row r="7">
      <c r="A7" s="9" t="n">
        <v>4</v>
      </c>
      <c r="B7" s="10" t="inlineStr"/>
    </row>
    <row r="8">
      <c r="A8" s="7" t="n">
        <v>5</v>
      </c>
      <c r="B8" s="8" t="inlineStr">
        <is>
          <t>echo === ModelScope Download Qwen3-VL-4B-FP8 ===</t>
        </is>
      </c>
    </row>
    <row r="9">
      <c r="A9" s="9" t="n">
        <v>6</v>
      </c>
      <c r="B9" s="10" t="inlineStr">
        <is>
          <t>echo.</t>
        </is>
      </c>
    </row>
    <row r="10">
      <c r="A10" s="7" t="n">
        <v>7</v>
      </c>
      <c r="B10" s="8" t="inlineStr"/>
    </row>
    <row r="11">
      <c r="A11" s="9" t="n">
        <v>8</v>
      </c>
      <c r="B11" s="10" t="inlineStr">
        <is>
          <t>%PYTHON% -m pip install modelscope -q</t>
        </is>
      </c>
    </row>
    <row r="12">
      <c r="A12" s="7" t="n">
        <v>9</v>
      </c>
      <c r="B12" s="8" t="inlineStr"/>
    </row>
    <row r="13">
      <c r="A13" s="9" t="n">
        <v>10</v>
      </c>
      <c r="B13" s="10" t="inlineStr">
        <is>
          <t>echo Starting download (~4GB, resumable)...</t>
        </is>
      </c>
    </row>
    <row r="14">
      <c r="A14" s="7" t="n">
        <v>11</v>
      </c>
      <c r="B14" s="8" t="inlineStr">
        <is>
          <t>echo.</t>
        </is>
      </c>
    </row>
    <row r="15">
      <c r="A15" s="9" t="n">
        <v>12</v>
      </c>
      <c r="B15" s="10" t="inlineStr"/>
    </row>
    <row r="16">
      <c r="A16" s="7" t="n">
        <v>13</v>
      </c>
      <c r="B16" s="8" t="inlineStr">
        <is>
          <t>modelscope download --model Qwen/Qwen3-VL-4B-Instruct-FP8 --local_dir Qwen3-VL-4B-Instruct-FP8</t>
        </is>
      </c>
    </row>
    <row r="17">
      <c r="A17" s="9" t="n">
        <v>14</v>
      </c>
      <c r="B17" s="10" t="inlineStr"/>
    </row>
    <row r="18">
      <c r="A18" s="7" t="n">
        <v>15</v>
      </c>
      <c r="B18" s="8" t="inlineStr">
        <is>
          <t>echo.</t>
        </is>
      </c>
    </row>
    <row r="19">
      <c r="A19" s="9" t="n">
        <v>16</v>
      </c>
      <c r="B19" s="10" t="inlineStr">
        <is>
          <t>echo Done! Check with: python verify_models.py</t>
        </is>
      </c>
    </row>
    <row r="20">
      <c r="A20" s="7" t="n">
        <v>17</v>
      </c>
      <c r="B20" s="8" t="inlineStr">
        <is>
          <t>pause</t>
        </is>
      </c>
    </row>
    <row r="21">
      <c r="A21" s="9" t="n">
        <v>18</v>
      </c>
      <c r="B21" s="10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dl_sensevoice.bat</t>
        </is>
      </c>
      <c r="C1" s="5" t="inlineStr">
        <is>
          <t>行数: 7</t>
        </is>
      </c>
    </row>
    <row r="4">
      <c r="A4" s="7" t="n">
        <v>1</v>
      </c>
      <c r="B4" s="8" t="inlineStr">
        <is>
          <t>@echo off</t>
        </is>
      </c>
    </row>
    <row r="5">
      <c r="A5" s="9" t="n">
        <v>2</v>
      </c>
      <c r="B5" s="10" t="inlineStr">
        <is>
          <t>cd /d "E:\树剪软件相关文件"</t>
        </is>
      </c>
    </row>
    <row r="6">
      <c r="A6" s="7" t="n">
        <v>3</v>
      </c>
      <c r="B6" s="8" t="inlineStr">
        <is>
          <t>echo === SenseVoiceSmall Download ===</t>
        </is>
      </c>
    </row>
    <row r="7">
      <c r="A7" s="9" t="n">
        <v>4</v>
      </c>
      <c r="B7" s="10" t="inlineStr">
        <is>
          <t>modelscope download --model FunAudioLLM/SenseVoiceSmall --local_dir models/SenseVoiceSmall</t>
        </is>
      </c>
    </row>
    <row r="8">
      <c r="A8" s="7" t="n">
        <v>5</v>
      </c>
      <c r="B8" s="8" t="inlineStr">
        <is>
          <t>echo Done!</t>
        </is>
      </c>
    </row>
    <row r="9">
      <c r="A9" s="9" t="n">
        <v>6</v>
      </c>
      <c r="B9" s="10" t="inlineStr">
        <is>
          <t>pause</t>
        </is>
      </c>
    </row>
    <row r="10">
      <c r="A10" s="7" t="n">
        <v>7</v>
      </c>
      <c r="B10" s="8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docker-compose.yml</t>
        </is>
      </c>
      <c r="C1" s="5" t="inlineStr">
        <is>
          <t>行数: 38</t>
        </is>
      </c>
    </row>
    <row r="4">
      <c r="A4" s="7" t="n">
        <v>1</v>
      </c>
      <c r="B4" s="8" t="inlineStr">
        <is>
          <t>version: '3.8'</t>
        </is>
      </c>
    </row>
    <row r="5">
      <c r="A5" s="9" t="n">
        <v>2</v>
      </c>
      <c r="B5" s="10" t="inlineStr"/>
    </row>
    <row r="6">
      <c r="A6" s="7" t="n">
        <v>3</v>
      </c>
      <c r="B6" s="8" t="inlineStr">
        <is>
          <t>services:</t>
        </is>
      </c>
    </row>
    <row r="7">
      <c r="A7" s="9" t="n">
        <v>4</v>
      </c>
      <c r="B7" s="10" t="inlineStr">
        <is>
          <t xml:space="preserve">  treecut-app:</t>
        </is>
      </c>
    </row>
    <row r="8">
      <c r="A8" s="7" t="n">
        <v>5</v>
      </c>
      <c r="B8" s="8" t="inlineStr">
        <is>
          <t xml:space="preserve">    build:</t>
        </is>
      </c>
    </row>
    <row r="9">
      <c r="A9" s="9" t="n">
        <v>6</v>
      </c>
      <c r="B9" s="10" t="inlineStr">
        <is>
          <t xml:space="preserve">      context: .</t>
        </is>
      </c>
    </row>
    <row r="10">
      <c r="A10" s="7" t="n">
        <v>7</v>
      </c>
      <c r="B10" s="8" t="inlineStr">
        <is>
          <t xml:space="preserve">      dockerfile: Dockerfile</t>
        </is>
      </c>
    </row>
    <row r="11">
      <c r="A11" s="9" t="n">
        <v>8</v>
      </c>
      <c r="B11" s="10" t="inlineStr">
        <is>
          <t xml:space="preserve">    container_name: treecut-app</t>
        </is>
      </c>
    </row>
    <row r="12">
      <c r="A12" s="7" t="n">
        <v>9</v>
      </c>
      <c r="B12" s="8" t="inlineStr">
        <is>
          <t xml:space="preserve">    ports:</t>
        </is>
      </c>
    </row>
    <row r="13">
      <c r="A13" s="9" t="n">
        <v>10</v>
      </c>
      <c r="B13" s="10" t="inlineStr">
        <is>
          <t xml:space="preserve">      - "8000:8000"</t>
        </is>
      </c>
    </row>
    <row r="14">
      <c r="A14" s="7" t="n">
        <v>11</v>
      </c>
      <c r="B14" s="8" t="inlineStr">
        <is>
          <t xml:space="preserve">      - "7860:7860"</t>
        </is>
      </c>
    </row>
    <row r="15">
      <c r="A15" s="9" t="n">
        <v>12</v>
      </c>
      <c r="B15" s="10" t="inlineStr">
        <is>
          <t xml:space="preserve">    environment:</t>
        </is>
      </c>
    </row>
    <row r="16">
      <c r="A16" s="7" t="n">
        <v>13</v>
      </c>
      <c r="B16" s="8" t="inlineStr">
        <is>
          <t xml:space="preserve">      - DEBUG=False</t>
        </is>
      </c>
    </row>
    <row r="17">
      <c r="A17" s="9" t="n">
        <v>14</v>
      </c>
      <c r="B17" s="10" t="inlineStr">
        <is>
          <t xml:space="preserve">      - DEEPSEEK_API_KEY=${DEEPSEEK_API_KEY:-}</t>
        </is>
      </c>
    </row>
    <row r="18">
      <c r="A18" s="7" t="n">
        <v>15</v>
      </c>
      <c r="B18" s="8" t="inlineStr">
        <is>
          <t xml:space="preserve">      - TREECUT_WEB_TOKEN=${TREECUT_WEB_TOKEN:-}</t>
        </is>
      </c>
    </row>
    <row r="19">
      <c r="A19" s="9" t="n">
        <v>16</v>
      </c>
      <c r="B19" s="10" t="inlineStr">
        <is>
          <t xml:space="preserve">      - TREECUT_SKIP_VISION=${TREECUT_SKIP_VISION:-true}</t>
        </is>
      </c>
    </row>
    <row r="20">
      <c r="A20" s="7" t="n">
        <v>17</v>
      </c>
      <c r="B20" s="8" t="inlineStr">
        <is>
          <t xml:space="preserve">    volumes:</t>
        </is>
      </c>
    </row>
    <row r="21">
      <c r="A21" s="9" t="n">
        <v>18</v>
      </c>
      <c r="B21" s="10" t="inlineStr">
        <is>
          <t xml:space="preserve">      - ./data:/app/data</t>
        </is>
      </c>
    </row>
    <row r="22">
      <c r="A22" s="7" t="n">
        <v>19</v>
      </c>
      <c r="B22" s="8" t="inlineStr">
        <is>
          <t xml:space="preserve">      - ./02_BGM:/app/02_BGM</t>
        </is>
      </c>
    </row>
    <row r="23">
      <c r="A23" s="9" t="n">
        <v>20</v>
      </c>
      <c r="B23" s="10" t="inlineStr">
        <is>
          <t xml:space="preserve">      - ./03_粗剪输出:/app/03_粗剪输出</t>
        </is>
      </c>
    </row>
    <row r="24">
      <c r="A24" s="7" t="n">
        <v>21</v>
      </c>
      <c r="B24" s="8" t="inlineStr">
        <is>
          <t xml:space="preserve">      - ./shipin:/app/shipin</t>
        </is>
      </c>
    </row>
    <row r="25">
      <c r="A25" s="9" t="n">
        <v>22</v>
      </c>
      <c r="B25" s="10" t="inlineStr">
        <is>
          <t xml:space="preserve">    restart: always</t>
        </is>
      </c>
    </row>
    <row r="26">
      <c r="A26" s="7" t="n">
        <v>23</v>
      </c>
      <c r="B26" s="8" t="inlineStr"/>
    </row>
    <row r="27">
      <c r="A27" s="9" t="n">
        <v>24</v>
      </c>
      <c r="B27" s="10" t="inlineStr">
        <is>
          <t xml:space="preserve">  treecut-web:</t>
        </is>
      </c>
    </row>
    <row r="28">
      <c r="A28" s="7" t="n">
        <v>25</v>
      </c>
      <c r="B28" s="8" t="inlineStr">
        <is>
          <t xml:space="preserve">    build:</t>
        </is>
      </c>
    </row>
    <row r="29">
      <c r="A29" s="9" t="n">
        <v>26</v>
      </c>
      <c r="B29" s="10" t="inlineStr">
        <is>
          <t xml:space="preserve">      context: .</t>
        </is>
      </c>
    </row>
    <row r="30">
      <c r="A30" s="7" t="n">
        <v>27</v>
      </c>
      <c r="B30" s="8" t="inlineStr">
        <is>
          <t xml:space="preserve">      dockerfile: Dockerfile</t>
        </is>
      </c>
    </row>
    <row r="31">
      <c r="A31" s="9" t="n">
        <v>28</v>
      </c>
      <c r="B31" s="10" t="inlineStr">
        <is>
          <t xml:space="preserve">    container_name: treecut-web</t>
        </is>
      </c>
    </row>
    <row r="32">
      <c r="A32" s="7" t="n">
        <v>29</v>
      </c>
      <c r="B32" s="8" t="inlineStr">
        <is>
          <t xml:space="preserve">    ports:</t>
        </is>
      </c>
    </row>
    <row r="33">
      <c r="A33" s="9" t="n">
        <v>30</v>
      </c>
      <c r="B33" s="10" t="inlineStr">
        <is>
          <t xml:space="preserve">      - "7861:7860"</t>
        </is>
      </c>
    </row>
    <row r="34">
      <c r="A34" s="7" t="n">
        <v>31</v>
      </c>
      <c r="B34" s="8" t="inlineStr">
        <is>
          <t xml:space="preserve">    environment:</t>
        </is>
      </c>
    </row>
    <row r="35">
      <c r="A35" s="9" t="n">
        <v>32</v>
      </c>
      <c r="B35" s="10" t="inlineStr">
        <is>
          <t xml:space="preserve">      - DEBUG=False</t>
        </is>
      </c>
    </row>
    <row r="36">
      <c r="A36" s="7" t="n">
        <v>33</v>
      </c>
      <c r="B36" s="8" t="inlineStr">
        <is>
          <t xml:space="preserve">      - DEEPSEEK_API_KEY=${DEEPSEEK_API_KEY:-}</t>
        </is>
      </c>
    </row>
    <row r="37">
      <c r="A37" s="9" t="n">
        <v>34</v>
      </c>
      <c r="B37" s="10" t="inlineStr">
        <is>
          <t xml:space="preserve">      - TREECUT_WEB_TOKEN=${TREECUT_WEB_TOKEN:-}</t>
        </is>
      </c>
    </row>
    <row r="38">
      <c r="A38" s="7" t="n">
        <v>35</v>
      </c>
      <c r="B38" s="8" t="inlineStr">
        <is>
          <t xml:space="preserve">      - TREECUT_SKIP_VISION=${TREECUT_SKIP_VISION:-true}</t>
        </is>
      </c>
    </row>
    <row r="39">
      <c r="A39" s="9" t="n">
        <v>36</v>
      </c>
      <c r="B39" s="10" t="inlineStr">
        <is>
          <t xml:space="preserve">    command: ["python", "树剪.py", "--web"]</t>
        </is>
      </c>
    </row>
    <row r="40">
      <c r="A40" s="7" t="n">
        <v>37</v>
      </c>
      <c r="B40" s="8" t="inlineStr">
        <is>
          <t xml:space="preserve">    restart: always</t>
        </is>
      </c>
    </row>
    <row r="41">
      <c r="A41" s="9" t="n">
        <v>38</v>
      </c>
      <c r="B41" s="10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  <col width="12" customWidth="1" min="3" max="3"/>
  </cols>
  <sheetData>
    <row r="1">
      <c r="A1" s="4" t="inlineStr">
        <is>
          <t>文件:</t>
        </is>
      </c>
      <c r="B1" s="14" t="inlineStr">
        <is>
          <t>evolution_history.json</t>
        </is>
      </c>
      <c r="C1" s="5" t="inlineStr">
        <is>
          <t>行数: 406</t>
        </is>
      </c>
    </row>
    <row r="4">
      <c r="A4" s="7" t="n">
        <v>1</v>
      </c>
      <c r="B4" s="8" t="inlineStr">
        <is>
          <t>[</t>
        </is>
      </c>
    </row>
    <row r="5">
      <c r="A5" s="9" t="n">
        <v>2</v>
      </c>
      <c r="B5" s="10" t="inlineStr">
        <is>
          <t xml:space="preserve">  {</t>
        </is>
      </c>
    </row>
    <row r="6">
      <c r="A6" s="7" t="n">
        <v>3</v>
      </c>
      <c r="B6" s="8" t="inlineStr">
        <is>
          <t xml:space="preserve">    "iteration": 1,</t>
        </is>
      </c>
    </row>
    <row r="7">
      <c r="A7" s="9" t="n">
        <v>4</v>
      </c>
      <c r="B7" s="10" t="inlineStr">
        <is>
          <t xml:space="preserve">    "timestamp": "2026-06-12T15:05:36.447946",</t>
        </is>
      </c>
    </row>
    <row r="8">
      <c r="A8" s="7" t="n">
        <v>5</v>
      </c>
      <c r="B8" s="8" t="inlineStr">
        <is>
          <t xml:space="preserve">    "test_results": [</t>
        </is>
      </c>
    </row>
    <row r="9">
      <c r="A9" s="9" t="n">
        <v>6</v>
      </c>
      <c r="B9" s="10" t="inlineStr">
        <is>
          <t xml:space="preserve">      {</t>
        </is>
      </c>
    </row>
    <row r="10">
      <c r="A10" s="7" t="n">
        <v>7</v>
      </c>
      <c r="B10" s="8" t="inlineStr">
        <is>
          <t xml:space="preserve">        "action": "syntax_check",</t>
        </is>
      </c>
    </row>
    <row r="11">
      <c r="A11" s="9" t="n">
        <v>8</v>
      </c>
      <c r="B11" s="10" t="inlineStr">
        <is>
          <t xml:space="preserve">        "success": true,</t>
        </is>
      </c>
    </row>
    <row r="12">
      <c r="A12" s="7" t="n">
        <v>9</v>
      </c>
      <c r="B12" s="8" t="inlineStr">
        <is>
          <t xml:space="preserve">        "errors": []</t>
        </is>
      </c>
    </row>
    <row r="13">
      <c r="A13" s="9" t="n">
        <v>10</v>
      </c>
      <c r="B13" s="10" t="inlineStr">
        <is>
          <t xml:space="preserve">      },</t>
        </is>
      </c>
    </row>
    <row r="14">
      <c r="A14" s="7" t="n">
        <v>11</v>
      </c>
      <c r="B14" s="8" t="inlineStr">
        <is>
          <t xml:space="preserve">      {</t>
        </is>
      </c>
    </row>
    <row r="15">
      <c r="A15" s="9" t="n">
        <v>12</v>
      </c>
      <c r="B15" s="10" t="inlineStr">
        <is>
          <t xml:space="preserve">        "action": "db_integrity",</t>
        </is>
      </c>
    </row>
    <row r="16">
      <c r="A16" s="7" t="n">
        <v>13</v>
      </c>
      <c r="B16" s="8" t="inlineStr">
        <is>
          <t xml:space="preserve">        "success": true,</t>
        </is>
      </c>
    </row>
    <row r="17">
      <c r="A17" s="9" t="n">
        <v>14</v>
      </c>
      <c r="B17" s="10" t="inlineStr">
        <is>
          <t xml:space="preserve">        "error": null,</t>
        </is>
      </c>
    </row>
    <row r="18">
      <c r="A18" s="7" t="n">
        <v>15</v>
      </c>
      <c r="B18" s="8" t="inlineStr">
        <is>
          <t xml:space="preserve">        "stats": {</t>
        </is>
      </c>
    </row>
    <row r="19">
      <c r="A19" s="9" t="n">
        <v>16</v>
      </c>
      <c r="B19" s="10" t="inlineStr">
        <is>
          <t xml:space="preserve">          "materials": 16143,</t>
        </is>
      </c>
    </row>
    <row r="20">
      <c r="A20" s="7" t="n">
        <v>17</v>
      </c>
      <c r="B20" s="8" t="inlineStr">
        <is>
          <t xml:space="preserve">          "sqlite_sequence": 6,</t>
        </is>
      </c>
    </row>
    <row r="21">
      <c r="A21" s="9" t="n">
        <v>18</v>
      </c>
      <c r="B21" s="10" t="inlineStr">
        <is>
          <t xml:space="preserve">          "video_registry": 6745,</t>
        </is>
      </c>
    </row>
    <row r="22">
      <c r="A22" s="7" t="n">
        <v>19</v>
      </c>
      <c r="B22" s="8" t="inlineStr">
        <is>
          <t xml:space="preserve">          "ctr_feedback": 0,</t>
        </is>
      </c>
    </row>
    <row r="23">
      <c r="A23" s="9" t="n">
        <v>20</v>
      </c>
      <c r="B23" s="10" t="inlineStr">
        <is>
          <t xml:space="preserve">          "trending_analysis": 0,</t>
        </is>
      </c>
    </row>
    <row r="24">
      <c r="A24" s="7" t="n">
        <v>21</v>
      </c>
      <c r="B24" s="8" t="inlineStr">
        <is>
          <t xml:space="preserve">          "account_matrix": 0,</t>
        </is>
      </c>
    </row>
    <row r="25">
      <c r="A25" s="9" t="n">
        <v>22</v>
      </c>
      <c r="B25" s="10" t="inlineStr">
        <is>
          <t xml:space="preserve">          "analysis_log": 756,</t>
        </is>
      </c>
    </row>
    <row r="26">
      <c r="A26" s="7" t="n">
        <v>23</v>
      </c>
      <c r="B26" s="8" t="inlineStr">
        <is>
          <t xml:space="preserve">          "video_annotations": 18,</t>
        </is>
      </c>
    </row>
    <row r="27">
      <c r="A27" s="9" t="n">
        <v>24</v>
      </c>
      <c r="B27" s="10" t="inlineStr">
        <is>
          <t xml:space="preserve">          "annotation_feedback": 0,</t>
        </is>
      </c>
    </row>
    <row r="28">
      <c r="A28" s="7" t="n">
        <v>25</v>
      </c>
      <c r="B28" s="8" t="inlineStr">
        <is>
          <t xml:space="preserve">          "tag_learning": 0,</t>
        </is>
      </c>
    </row>
    <row r="29">
      <c r="A29" s="9" t="n">
        <v>26</v>
      </c>
      <c r="B29" s="10" t="inlineStr">
        <is>
          <t xml:space="preserve">          "learned_scripts": 275,</t>
        </is>
      </c>
    </row>
    <row r="30">
      <c r="A30" s="7" t="n">
        <v>27</v>
      </c>
      <c r="B30" s="8" t="inlineStr">
        <is>
          <t xml:space="preserve">          "generation_log": 0,</t>
        </is>
      </c>
    </row>
    <row r="31">
      <c r="A31" s="9" t="n">
        <v>28</v>
      </c>
      <c r="B31" s="10" t="inlineStr">
        <is>
          <t xml:space="preserve">          "model_calls": 0,</t>
        </is>
      </c>
    </row>
    <row r="32">
      <c r="A32" s="7" t="n">
        <v>29</v>
      </c>
      <c r="B32" s="8" t="inlineStr">
        <is>
          <t xml:space="preserve">          "model_usage_log": 0,</t>
        </is>
      </c>
    </row>
    <row r="33">
      <c r="A33" s="9" t="n">
        <v>30</v>
      </c>
      <c r="B33" s="10" t="inlineStr">
        <is>
          <t xml:space="preserve">          "material_generation_log": 0,</t>
        </is>
      </c>
    </row>
    <row r="34">
      <c r="A34" s="7" t="n">
        <v>31</v>
      </c>
      <c r="B34" s="8" t="inlineStr">
        <is>
          <t xml:space="preserve">          "generation_video_log": 0,</t>
        </is>
      </c>
    </row>
    <row r="35">
      <c r="A35" s="9" t="n">
        <v>32</v>
      </c>
      <c r="B35" s="10" t="inlineStr">
        <is>
          <t xml:space="preserve">          "generation_material_log": 0,</t>
        </is>
      </c>
    </row>
    <row r="36">
      <c r="A36" s="7" t="n">
        <v>33</v>
      </c>
      <c r="B36" s="8" t="inlineStr">
        <is>
          <t xml:space="preserve">          "material_feedback": 0,</t>
        </is>
      </c>
    </row>
    <row r="37">
      <c r="A37" s="9" t="n">
        <v>34</v>
      </c>
      <c r="B37" s="10" t="inlineStr">
        <is>
          <t xml:space="preserve">          "video_frames": 3</t>
        </is>
      </c>
    </row>
    <row r="38">
      <c r="A38" s="7" t="n">
        <v>35</v>
      </c>
      <c r="B38" s="8" t="inlineStr">
        <is>
          <t xml:space="preserve">        }</t>
        </is>
      </c>
    </row>
    <row r="39">
      <c r="A39" s="9" t="n">
        <v>36</v>
      </c>
      <c r="B39" s="10" t="inlineStr">
        <is>
          <t xml:space="preserve">      },</t>
        </is>
      </c>
    </row>
    <row r="40">
      <c r="A40" s="7" t="n">
        <v>37</v>
      </c>
      <c r="B40" s="8" t="inlineStr">
        <is>
          <t xml:space="preserve">      {</t>
        </is>
      </c>
    </row>
    <row r="41">
      <c r="A41" s="9" t="n">
        <v>38</v>
      </c>
      <c r="B41" s="10" t="inlineStr">
        <is>
          <t xml:space="preserve">        "action": "system_status",</t>
        </is>
      </c>
    </row>
    <row r="42">
      <c r="A42" s="7" t="n">
        <v>39</v>
      </c>
      <c r="B42" s="8" t="inlineStr">
        <is>
          <t xml:space="preserve">        "success": true,</t>
        </is>
      </c>
    </row>
    <row r="43">
      <c r="A43" s="9" t="n">
        <v>40</v>
      </c>
      <c r="B43" s="10" t="inlineStr">
        <is>
          <t xml:space="preserve">        "error": null,</t>
        </is>
      </c>
    </row>
    <row r="44">
      <c r="A44" s="7" t="n">
        <v>41</v>
      </c>
      <c r="B44" s="8" t="inlineStr">
        <is>
          <t xml:space="preserve">        "checks": {</t>
        </is>
      </c>
    </row>
    <row r="45">
      <c r="A45" s="9" t="n">
        <v>42</v>
      </c>
      <c r="B45" s="10" t="inlineStr">
        <is>
          <t xml:space="preserve">          "FAISS索引": "[OK]",</t>
        </is>
      </c>
    </row>
    <row r="46">
      <c r="A46" s="7" t="n">
        <v>43</v>
      </c>
      <c r="B46" s="8" t="inlineStr">
        <is>
          <t xml:space="preserve">          "素材片段": "有数据",</t>
        </is>
      </c>
    </row>
    <row r="47">
      <c r="A47" s="9" t="n">
        <v>44</v>
      </c>
      <c r="B47" s="10" t="inlineStr">
        <is>
          <t xml:space="preserve">          "DeepSeek": "[OK]"</t>
        </is>
      </c>
    </row>
    <row r="48">
      <c r="A48" s="7" t="n">
        <v>45</v>
      </c>
      <c r="B48" s="8" t="inlineStr">
        <is>
          <t xml:space="preserve">        }</t>
        </is>
      </c>
    </row>
    <row r="49">
      <c r="A49" s="9" t="n">
        <v>46</v>
      </c>
      <c r="B49" s="10" t="inlineStr">
        <is>
          <t xml:space="preserve">      }</t>
        </is>
      </c>
    </row>
    <row r="50">
      <c r="A50" s="7" t="n">
        <v>47</v>
      </c>
      <c r="B50" s="8" t="inlineStr">
        <is>
          <t xml:space="preserve">    ],</t>
        </is>
      </c>
    </row>
    <row r="51">
      <c r="A51" s="9" t="n">
        <v>48</v>
      </c>
      <c r="B51" s="10" t="inlineStr">
        <is>
          <t xml:space="preserve">    "errors_found": [],</t>
        </is>
      </c>
    </row>
    <row r="52">
      <c r="A52" s="7" t="n">
        <v>49</v>
      </c>
      <c r="B52" s="8" t="inlineStr">
        <is>
          <t xml:space="preserve">    "fixes_applied": [],</t>
        </is>
      </c>
    </row>
    <row r="53">
      <c r="A53" s="9" t="n">
        <v>50</v>
      </c>
      <c r="B53" s="10" t="inlineStr">
        <is>
          <t xml:space="preserve">    "success": true</t>
        </is>
      </c>
    </row>
    <row r="54">
      <c r="A54" s="7" t="n">
        <v>51</v>
      </c>
      <c r="B54" s="8" t="inlineStr">
        <is>
          <t xml:space="preserve">  },</t>
        </is>
      </c>
    </row>
    <row r="55">
      <c r="A55" s="9" t="n">
        <v>52</v>
      </c>
      <c r="B55" s="10" t="inlineStr">
        <is>
          <t xml:space="preserve">  {</t>
        </is>
      </c>
    </row>
    <row r="56">
      <c r="A56" s="7" t="n">
        <v>53</v>
      </c>
      <c r="B56" s="8" t="inlineStr">
        <is>
          <t xml:space="preserve">    "iteration": 1,</t>
        </is>
      </c>
    </row>
    <row r="57">
      <c r="A57" s="9" t="n">
        <v>54</v>
      </c>
      <c r="B57" s="10" t="inlineStr">
        <is>
          <t xml:space="preserve">    "timestamp": "2026-06-12T15:54:19.747912",</t>
        </is>
      </c>
    </row>
    <row r="58">
      <c r="A58" s="7" t="n">
        <v>55</v>
      </c>
      <c r="B58" s="8" t="inlineStr">
        <is>
          <t xml:space="preserve">    "test_results": [</t>
        </is>
      </c>
    </row>
    <row r="59">
      <c r="A59" s="9" t="n">
        <v>56</v>
      </c>
      <c r="B59" s="10" t="inlineStr">
        <is>
          <t xml:space="preserve">      {</t>
        </is>
      </c>
    </row>
    <row r="60">
      <c r="A60" s="7" t="n">
        <v>57</v>
      </c>
      <c r="B60" s="8" t="inlineStr">
        <is>
          <t xml:space="preserve">        "action": "syntax_check",</t>
        </is>
      </c>
    </row>
    <row r="61">
      <c r="A61" s="9" t="n">
        <v>58</v>
      </c>
      <c r="B61" s="10" t="inlineStr">
        <is>
          <t xml:space="preserve">        "success": true,</t>
        </is>
      </c>
    </row>
    <row r="62">
      <c r="A62" s="7" t="n">
        <v>59</v>
      </c>
      <c r="B62" s="8" t="inlineStr">
        <is>
          <t xml:space="preserve">        "errors": []</t>
        </is>
      </c>
    </row>
    <row r="63">
      <c r="A63" s="9" t="n">
        <v>60</v>
      </c>
      <c r="B63" s="10" t="inlineStr">
        <is>
          <t xml:space="preserve">      },</t>
        </is>
      </c>
    </row>
    <row r="64">
      <c r="A64" s="7" t="n">
        <v>61</v>
      </c>
      <c r="B64" s="8" t="inlineStr">
        <is>
          <t xml:space="preserve">      {</t>
        </is>
      </c>
    </row>
    <row r="65">
      <c r="A65" s="9" t="n">
        <v>62</v>
      </c>
      <c r="B65" s="10" t="inlineStr">
        <is>
          <t xml:space="preserve">        "action": "db_integrity",</t>
        </is>
      </c>
    </row>
    <row r="66">
      <c r="A66" s="7" t="n">
        <v>63</v>
      </c>
      <c r="B66" s="8" t="inlineStr">
        <is>
          <t xml:space="preserve">        "success": true,</t>
        </is>
      </c>
    </row>
    <row r="67">
      <c r="A67" s="9" t="n">
        <v>64</v>
      </c>
      <c r="B67" s="10" t="inlineStr">
        <is>
          <t xml:space="preserve">        "error": null,</t>
        </is>
      </c>
    </row>
    <row r="68">
      <c r="A68" s="7" t="n">
        <v>65</v>
      </c>
      <c r="B68" s="8" t="inlineStr">
        <is>
          <t xml:space="preserve">        "stats": {</t>
        </is>
      </c>
    </row>
    <row r="69">
      <c r="A69" s="9" t="n">
        <v>66</v>
      </c>
      <c r="B69" s="10" t="inlineStr">
        <is>
          <t xml:space="preserve">          "materials": 16143,</t>
        </is>
      </c>
    </row>
    <row r="70">
      <c r="A70" s="7" t="n">
        <v>67</v>
      </c>
      <c r="B70" s="8" t="inlineStr">
        <is>
          <t xml:space="preserve">          "sqlite_sequence": 6,</t>
        </is>
      </c>
    </row>
    <row r="71">
      <c r="A71" s="9" t="n">
        <v>68</v>
      </c>
      <c r="B71" s="10" t="inlineStr">
        <is>
          <t xml:space="preserve">          "video_registry": 6745,</t>
        </is>
      </c>
    </row>
    <row r="72">
      <c r="A72" s="7" t="n">
        <v>69</v>
      </c>
      <c r="B72" s="8" t="inlineStr">
        <is>
          <t xml:space="preserve">          "ctr_feedback": 0,</t>
        </is>
      </c>
    </row>
    <row r="73">
      <c r="A73" s="9" t="n">
        <v>70</v>
      </c>
      <c r="B73" s="10" t="inlineStr">
        <is>
          <t xml:space="preserve">          "trending_analysis": 0,</t>
        </is>
      </c>
    </row>
    <row r="74">
      <c r="A74" s="7" t="n">
        <v>71</v>
      </c>
      <c r="B74" s="8" t="inlineStr">
        <is>
          <t xml:space="preserve">          "account_matrix": 0,</t>
        </is>
      </c>
    </row>
    <row r="75">
      <c r="A75" s="9" t="n">
        <v>72</v>
      </c>
      <c r="B75" s="10" t="inlineStr">
        <is>
          <t xml:space="preserve">          "analysis_log": 756,</t>
        </is>
      </c>
    </row>
    <row r="76">
      <c r="A76" s="7" t="n">
        <v>73</v>
      </c>
      <c r="B76" s="8" t="inlineStr">
        <is>
          <t xml:space="preserve">          "video_annotations": 18,</t>
        </is>
      </c>
    </row>
    <row r="77">
      <c r="A77" s="9" t="n">
        <v>74</v>
      </c>
      <c r="B77" s="10" t="inlineStr">
        <is>
          <t xml:space="preserve">          "annotation_feedback": 0,</t>
        </is>
      </c>
    </row>
    <row r="78">
      <c r="A78" s="7" t="n">
        <v>75</v>
      </c>
      <c r="B78" s="8" t="inlineStr">
        <is>
          <t xml:space="preserve">          "tag_learning": 0,</t>
        </is>
      </c>
    </row>
    <row r="79">
      <c r="A79" s="9" t="n">
        <v>76</v>
      </c>
      <c r="B79" s="10" t="inlineStr">
        <is>
          <t xml:space="preserve">          "learned_scripts": 275,</t>
        </is>
      </c>
    </row>
    <row r="80">
      <c r="A80" s="7" t="n">
        <v>77</v>
      </c>
      <c r="B80" s="8" t="inlineStr">
        <is>
          <t xml:space="preserve">          "generation_log": 0,</t>
        </is>
      </c>
    </row>
    <row r="81">
      <c r="A81" s="9" t="n">
        <v>78</v>
      </c>
      <c r="B81" s="10" t="inlineStr">
        <is>
          <t xml:space="preserve">          "model_calls": 0,</t>
        </is>
      </c>
    </row>
    <row r="82">
      <c r="A82" s="7" t="n">
        <v>79</v>
      </c>
      <c r="B82" s="8" t="inlineStr">
        <is>
          <t xml:space="preserve">          "model_usage_log": 0,</t>
        </is>
      </c>
    </row>
    <row r="83">
      <c r="A83" s="9" t="n">
        <v>80</v>
      </c>
      <c r="B83" s="10" t="inlineStr">
        <is>
          <t xml:space="preserve">          "material_generation_log": 0,</t>
        </is>
      </c>
    </row>
    <row r="84">
      <c r="A84" s="7" t="n">
        <v>81</v>
      </c>
      <c r="B84" s="8" t="inlineStr">
        <is>
          <t xml:space="preserve">          "generation_video_log": 0,</t>
        </is>
      </c>
    </row>
    <row r="85">
      <c r="A85" s="9" t="n">
        <v>82</v>
      </c>
      <c r="B85" s="10" t="inlineStr">
        <is>
          <t xml:space="preserve">          "generation_material_log": 0,</t>
        </is>
      </c>
    </row>
    <row r="86">
      <c r="A86" s="7" t="n">
        <v>83</v>
      </c>
      <c r="B86" s="8" t="inlineStr">
        <is>
          <t xml:space="preserve">          "material_feedback": 0,</t>
        </is>
      </c>
    </row>
    <row r="87">
      <c r="A87" s="9" t="n">
        <v>84</v>
      </c>
      <c r="B87" s="10" t="inlineStr">
        <is>
          <t xml:space="preserve">          "video_frames": 3</t>
        </is>
      </c>
    </row>
    <row r="88">
      <c r="A88" s="7" t="n">
        <v>85</v>
      </c>
      <c r="B88" s="8" t="inlineStr">
        <is>
          <t xml:space="preserve">        }</t>
        </is>
      </c>
    </row>
    <row r="89">
      <c r="A89" s="9" t="n">
        <v>86</v>
      </c>
      <c r="B89" s="10" t="inlineStr">
        <is>
          <t xml:space="preserve">      },</t>
        </is>
      </c>
    </row>
    <row r="90">
      <c r="A90" s="7" t="n">
        <v>87</v>
      </c>
      <c r="B90" s="8" t="inlineStr">
        <is>
          <t xml:space="preserve">      {</t>
        </is>
      </c>
    </row>
    <row r="91">
      <c r="A91" s="9" t="n">
        <v>88</v>
      </c>
      <c r="B91" s="10" t="inlineStr">
        <is>
          <t xml:space="preserve">        "action": "system_status",</t>
        </is>
      </c>
    </row>
    <row r="92">
      <c r="A92" s="7" t="n">
        <v>89</v>
      </c>
      <c r="B92" s="8" t="inlineStr">
        <is>
          <t xml:space="preserve">        "success": true,</t>
        </is>
      </c>
    </row>
    <row r="93">
      <c r="A93" s="9" t="n">
        <v>90</v>
      </c>
      <c r="B93" s="10" t="inlineStr">
        <is>
          <t xml:space="preserve">        "error": null,</t>
        </is>
      </c>
    </row>
    <row r="94">
      <c r="A94" s="7" t="n">
        <v>91</v>
      </c>
      <c r="B94" s="8" t="inlineStr">
        <is>
          <t xml:space="preserve">        "checks": {</t>
        </is>
      </c>
    </row>
    <row r="95">
      <c r="A95" s="9" t="n">
        <v>92</v>
      </c>
      <c r="B95" s="10" t="inlineStr">
        <is>
          <t xml:space="preserve">          "FAISS索引": "[OK]",</t>
        </is>
      </c>
    </row>
    <row r="96">
      <c r="A96" s="7" t="n">
        <v>93</v>
      </c>
      <c r="B96" s="8" t="inlineStr">
        <is>
          <t xml:space="preserve">          "素材片段": "有数据",</t>
        </is>
      </c>
    </row>
    <row r="97">
      <c r="A97" s="9" t="n">
        <v>94</v>
      </c>
      <c r="B97" s="10" t="inlineStr">
        <is>
          <t xml:space="preserve">          "DeepSeek": "[OK]"</t>
        </is>
      </c>
    </row>
    <row r="98">
      <c r="A98" s="7" t="n">
        <v>95</v>
      </c>
      <c r="B98" s="8" t="inlineStr">
        <is>
          <t xml:space="preserve">        }</t>
        </is>
      </c>
    </row>
    <row r="99">
      <c r="A99" s="9" t="n">
        <v>96</v>
      </c>
      <c r="B99" s="10" t="inlineStr">
        <is>
          <t xml:space="preserve">      }</t>
        </is>
      </c>
    </row>
    <row r="100">
      <c r="A100" s="7" t="n">
        <v>97</v>
      </c>
      <c r="B100" s="8" t="inlineStr">
        <is>
          <t xml:space="preserve">    ],</t>
        </is>
      </c>
    </row>
    <row r="101">
      <c r="A101" s="9" t="n">
        <v>98</v>
      </c>
      <c r="B101" s="10" t="inlineStr">
        <is>
          <t xml:space="preserve">    "errors_found": [],</t>
        </is>
      </c>
    </row>
    <row r="102">
      <c r="A102" s="7" t="n">
        <v>99</v>
      </c>
      <c r="B102" s="8" t="inlineStr">
        <is>
          <t xml:space="preserve">    "fixes_applied": [],</t>
        </is>
      </c>
    </row>
    <row r="103">
      <c r="A103" s="9" t="n">
        <v>100</v>
      </c>
      <c r="B103" s="10" t="inlineStr">
        <is>
          <t xml:space="preserve">    "success": true</t>
        </is>
      </c>
    </row>
    <row r="104">
      <c r="A104" s="7" t="n">
        <v>101</v>
      </c>
      <c r="B104" s="8" t="inlineStr">
        <is>
          <t xml:space="preserve">  },</t>
        </is>
      </c>
    </row>
    <row r="105">
      <c r="A105" s="9" t="n">
        <v>102</v>
      </c>
      <c r="B105" s="10" t="inlineStr">
        <is>
          <t xml:space="preserve">  {</t>
        </is>
      </c>
    </row>
    <row r="106">
      <c r="A106" s="7" t="n">
        <v>103</v>
      </c>
      <c r="B106" s="8" t="inlineStr">
        <is>
          <t xml:space="preserve">    "iteration": 1,</t>
        </is>
      </c>
    </row>
    <row r="107">
      <c r="A107" s="9" t="n">
        <v>104</v>
      </c>
      <c r="B107" s="10" t="inlineStr">
        <is>
          <t xml:space="preserve">    "timestamp": "2026-06-12T15:54:49.200460",</t>
        </is>
      </c>
    </row>
    <row r="108">
      <c r="A108" s="7" t="n">
        <v>105</v>
      </c>
      <c r="B108" s="8" t="inlineStr">
        <is>
          <t xml:space="preserve">    "test_results": [</t>
        </is>
      </c>
    </row>
    <row r="109">
      <c r="A109" s="9" t="n">
        <v>106</v>
      </c>
      <c r="B109" s="10" t="inlineStr">
        <is>
          <t xml:space="preserve">      {</t>
        </is>
      </c>
    </row>
    <row r="110">
      <c r="A110" s="7" t="n">
        <v>107</v>
      </c>
      <c r="B110" s="8" t="inlineStr">
        <is>
          <t xml:space="preserve">        "action": "syntax_check",</t>
        </is>
      </c>
    </row>
    <row r="111">
      <c r="A111" s="9" t="n">
        <v>108</v>
      </c>
      <c r="B111" s="10" t="inlineStr">
        <is>
          <t xml:space="preserve">        "success": true,</t>
        </is>
      </c>
    </row>
    <row r="112">
      <c r="A112" s="7" t="n">
        <v>109</v>
      </c>
      <c r="B112" s="8" t="inlineStr">
        <is>
          <t xml:space="preserve">        "errors": []</t>
        </is>
      </c>
    </row>
    <row r="113">
      <c r="A113" s="9" t="n">
        <v>110</v>
      </c>
      <c r="B113" s="10" t="inlineStr">
        <is>
          <t xml:space="preserve">      },</t>
        </is>
      </c>
    </row>
    <row r="114">
      <c r="A114" s="7" t="n">
        <v>111</v>
      </c>
      <c r="B114" s="8" t="inlineStr">
        <is>
          <t xml:space="preserve">      {</t>
        </is>
      </c>
    </row>
    <row r="115">
      <c r="A115" s="9" t="n">
        <v>112</v>
      </c>
      <c r="B115" s="10" t="inlineStr">
        <is>
          <t xml:space="preserve">        "action": "db_integrity",</t>
        </is>
      </c>
    </row>
    <row r="116">
      <c r="A116" s="7" t="n">
        <v>113</v>
      </c>
      <c r="B116" s="8" t="inlineStr">
        <is>
          <t xml:space="preserve">        "success": true,</t>
        </is>
      </c>
    </row>
    <row r="117">
      <c r="A117" s="9" t="n">
        <v>114</v>
      </c>
      <c r="B117" s="10" t="inlineStr">
        <is>
          <t xml:space="preserve">        "error": null,</t>
        </is>
      </c>
    </row>
    <row r="118">
      <c r="A118" s="7" t="n">
        <v>115</v>
      </c>
      <c r="B118" s="8" t="inlineStr">
        <is>
          <t xml:space="preserve">        "stats": {</t>
        </is>
      </c>
    </row>
    <row r="119">
      <c r="A119" s="9" t="n">
        <v>116</v>
      </c>
      <c r="B119" s="10" t="inlineStr">
        <is>
          <t xml:space="preserve">          "materials": 16143,</t>
        </is>
      </c>
    </row>
    <row r="120">
      <c r="A120" s="7" t="n">
        <v>117</v>
      </c>
      <c r="B120" s="8" t="inlineStr">
        <is>
          <t xml:space="preserve">          "sqlite_sequence": 6,</t>
        </is>
      </c>
    </row>
    <row r="121">
      <c r="A121" s="9" t="n">
        <v>118</v>
      </c>
      <c r="B121" s="10" t="inlineStr">
        <is>
          <t xml:space="preserve">          "video_registry": 6745,</t>
        </is>
      </c>
    </row>
    <row r="122">
      <c r="A122" s="7" t="n">
        <v>119</v>
      </c>
      <c r="B122" s="8" t="inlineStr">
        <is>
          <t xml:space="preserve">          "ctr_feedback": 0,</t>
        </is>
      </c>
    </row>
    <row r="123">
      <c r="A123" s="9" t="n">
        <v>120</v>
      </c>
      <c r="B123" s="10" t="inlineStr">
        <is>
          <t xml:space="preserve">          "trending_analysis": 0,</t>
        </is>
      </c>
    </row>
    <row r="124">
      <c r="A124" s="7" t="n">
        <v>121</v>
      </c>
      <c r="B124" s="8" t="inlineStr">
        <is>
          <t xml:space="preserve">          "account_matrix": 0,</t>
        </is>
      </c>
    </row>
    <row r="125">
      <c r="A125" s="9" t="n">
        <v>122</v>
      </c>
      <c r="B125" s="10" t="inlineStr">
        <is>
          <t xml:space="preserve">          "analysis_log": 756,</t>
        </is>
      </c>
    </row>
    <row r="126">
      <c r="A126" s="7" t="n">
        <v>123</v>
      </c>
      <c r="B126" s="8" t="inlineStr">
        <is>
          <t xml:space="preserve">          "video_annotations": 18,</t>
        </is>
      </c>
    </row>
    <row r="127">
      <c r="A127" s="9" t="n">
        <v>124</v>
      </c>
      <c r="B127" s="10" t="inlineStr">
        <is>
          <t xml:space="preserve">          "annotation_feedback": 0,</t>
        </is>
      </c>
    </row>
    <row r="128">
      <c r="A128" s="7" t="n">
        <v>125</v>
      </c>
      <c r="B128" s="8" t="inlineStr">
        <is>
          <t xml:space="preserve">          "tag_learning": 0,</t>
        </is>
      </c>
    </row>
    <row r="129">
      <c r="A129" s="9" t="n">
        <v>126</v>
      </c>
      <c r="B129" s="10" t="inlineStr">
        <is>
          <t xml:space="preserve">          "learned_scripts": 275,</t>
        </is>
      </c>
    </row>
    <row r="130">
      <c r="A130" s="7" t="n">
        <v>127</v>
      </c>
      <c r="B130" s="8" t="inlineStr">
        <is>
          <t xml:space="preserve">          "generation_log": 0,</t>
        </is>
      </c>
    </row>
    <row r="131">
      <c r="A131" s="9" t="n">
        <v>128</v>
      </c>
      <c r="B131" s="10" t="inlineStr">
        <is>
          <t xml:space="preserve">          "model_calls": 0,</t>
        </is>
      </c>
    </row>
    <row r="132">
      <c r="A132" s="7" t="n">
        <v>129</v>
      </c>
      <c r="B132" s="8" t="inlineStr">
        <is>
          <t xml:space="preserve">          "model_usage_log": 0,</t>
        </is>
      </c>
    </row>
    <row r="133">
      <c r="A133" s="9" t="n">
        <v>130</v>
      </c>
      <c r="B133" s="10" t="inlineStr">
        <is>
          <t xml:space="preserve">          "material_generation_log": 0,</t>
        </is>
      </c>
    </row>
    <row r="134">
      <c r="A134" s="7" t="n">
        <v>131</v>
      </c>
      <c r="B134" s="8" t="inlineStr">
        <is>
          <t xml:space="preserve">          "generation_video_log": 0,</t>
        </is>
      </c>
    </row>
    <row r="135">
      <c r="A135" s="9" t="n">
        <v>132</v>
      </c>
      <c r="B135" s="10" t="inlineStr">
        <is>
          <t xml:space="preserve">          "generation_material_log": 0,</t>
        </is>
      </c>
    </row>
    <row r="136">
      <c r="A136" s="7" t="n">
        <v>133</v>
      </c>
      <c r="B136" s="8" t="inlineStr">
        <is>
          <t xml:space="preserve">          "material_feedback": 0,</t>
        </is>
      </c>
    </row>
    <row r="137">
      <c r="A137" s="9" t="n">
        <v>134</v>
      </c>
      <c r="B137" s="10" t="inlineStr">
        <is>
          <t xml:space="preserve">          "video_frames": 3</t>
        </is>
      </c>
    </row>
    <row r="138">
      <c r="A138" s="7" t="n">
        <v>135</v>
      </c>
      <c r="B138" s="8" t="inlineStr">
        <is>
          <t xml:space="preserve">        }</t>
        </is>
      </c>
    </row>
    <row r="139">
      <c r="A139" s="9" t="n">
        <v>136</v>
      </c>
      <c r="B139" s="10" t="inlineStr">
        <is>
          <t xml:space="preserve">      },</t>
        </is>
      </c>
    </row>
    <row r="140">
      <c r="A140" s="7" t="n">
        <v>137</v>
      </c>
      <c r="B140" s="8" t="inlineStr">
        <is>
          <t xml:space="preserve">      {</t>
        </is>
      </c>
    </row>
    <row r="141">
      <c r="A141" s="9" t="n">
        <v>138</v>
      </c>
      <c r="B141" s="10" t="inlineStr">
        <is>
          <t xml:space="preserve">        "action": "system_status",</t>
        </is>
      </c>
    </row>
    <row r="142">
      <c r="A142" s="7" t="n">
        <v>139</v>
      </c>
      <c r="B142" s="8" t="inlineStr">
        <is>
          <t xml:space="preserve">        "success": true,</t>
        </is>
      </c>
    </row>
    <row r="143">
      <c r="A143" s="9" t="n">
        <v>140</v>
      </c>
      <c r="B143" s="10" t="inlineStr">
        <is>
          <t xml:space="preserve">        "error": null,</t>
        </is>
      </c>
    </row>
    <row r="144">
      <c r="A144" s="7" t="n">
        <v>141</v>
      </c>
      <c r="B144" s="8" t="inlineStr">
        <is>
          <t xml:space="preserve">        "checks": {</t>
        </is>
      </c>
    </row>
    <row r="145">
      <c r="A145" s="9" t="n">
        <v>142</v>
      </c>
      <c r="B145" s="10" t="inlineStr">
        <is>
          <t xml:space="preserve">          "FAISS索引": "[OK]",</t>
        </is>
      </c>
    </row>
    <row r="146">
      <c r="A146" s="7" t="n">
        <v>143</v>
      </c>
      <c r="B146" s="8" t="inlineStr">
        <is>
          <t xml:space="preserve">          "素材片段": "有数据",</t>
        </is>
      </c>
    </row>
    <row r="147">
      <c r="A147" s="9" t="n">
        <v>144</v>
      </c>
      <c r="B147" s="10" t="inlineStr">
        <is>
          <t xml:space="preserve">          "DeepSeek": "[OK]"</t>
        </is>
      </c>
    </row>
    <row r="148">
      <c r="A148" s="7" t="n">
        <v>145</v>
      </c>
      <c r="B148" s="8" t="inlineStr">
        <is>
          <t xml:space="preserve">        }</t>
        </is>
      </c>
    </row>
    <row r="149">
      <c r="A149" s="9" t="n">
        <v>146</v>
      </c>
      <c r="B149" s="10" t="inlineStr">
        <is>
          <t xml:space="preserve">      }</t>
        </is>
      </c>
    </row>
    <row r="150">
      <c r="A150" s="7" t="n">
        <v>147</v>
      </c>
      <c r="B150" s="8" t="inlineStr">
        <is>
          <t xml:space="preserve">    ],</t>
        </is>
      </c>
    </row>
    <row r="151">
      <c r="A151" s="9" t="n">
        <v>148</v>
      </c>
      <c r="B151" s="10" t="inlineStr">
        <is>
          <t xml:space="preserve">    "errors_found": [],</t>
        </is>
      </c>
    </row>
    <row r="152">
      <c r="A152" s="7" t="n">
        <v>149</v>
      </c>
      <c r="B152" s="8" t="inlineStr">
        <is>
          <t xml:space="preserve">    "fixes_applied": [],</t>
        </is>
      </c>
    </row>
    <row r="153">
      <c r="A153" s="9" t="n">
        <v>150</v>
      </c>
      <c r="B153" s="10" t="inlineStr">
        <is>
          <t xml:space="preserve">    "success": true</t>
        </is>
      </c>
    </row>
    <row r="154">
      <c r="A154" s="7" t="n">
        <v>151</v>
      </c>
      <c r="B154" s="8" t="inlineStr">
        <is>
          <t xml:space="preserve">  },</t>
        </is>
      </c>
    </row>
    <row r="155">
      <c r="A155" s="9" t="n">
        <v>152</v>
      </c>
      <c r="B155" s="10" t="inlineStr">
        <is>
          <t xml:space="preserve">  {</t>
        </is>
      </c>
    </row>
    <row r="156">
      <c r="A156" s="7" t="n">
        <v>153</v>
      </c>
      <c r="B156" s="8" t="inlineStr">
        <is>
          <t xml:space="preserve">    "iteration": 1,</t>
        </is>
      </c>
    </row>
    <row r="157">
      <c r="A157" s="9" t="n">
        <v>154</v>
      </c>
      <c r="B157" s="10" t="inlineStr">
        <is>
          <t xml:space="preserve">    "timestamp": "2026-06-12T15:56:52.046941",</t>
        </is>
      </c>
    </row>
    <row r="158">
      <c r="A158" s="7" t="n">
        <v>155</v>
      </c>
      <c r="B158" s="8" t="inlineStr">
        <is>
          <t xml:space="preserve">    "test_results": [</t>
        </is>
      </c>
    </row>
    <row r="159">
      <c r="A159" s="9" t="n">
        <v>156</v>
      </c>
      <c r="B159" s="10" t="inlineStr">
        <is>
          <t xml:space="preserve">      {</t>
        </is>
      </c>
    </row>
    <row r="160">
      <c r="A160" s="7" t="n">
        <v>157</v>
      </c>
      <c r="B160" s="8" t="inlineStr">
        <is>
          <t xml:space="preserve">        "action": "syntax_check",</t>
        </is>
      </c>
    </row>
    <row r="161">
      <c r="A161" s="9" t="n">
        <v>158</v>
      </c>
      <c r="B161" s="10" t="inlineStr">
        <is>
          <t xml:space="preserve">        "success": true,</t>
        </is>
      </c>
    </row>
    <row r="162">
      <c r="A162" s="7" t="n">
        <v>159</v>
      </c>
      <c r="B162" s="8" t="inlineStr">
        <is>
          <t xml:space="preserve">        "errors": []</t>
        </is>
      </c>
    </row>
    <row r="163">
      <c r="A163" s="9" t="n">
        <v>160</v>
      </c>
      <c r="B163" s="10" t="inlineStr">
        <is>
          <t xml:space="preserve">      },</t>
        </is>
      </c>
    </row>
    <row r="164">
      <c r="A164" s="7" t="n">
        <v>161</v>
      </c>
      <c r="B164" s="8" t="inlineStr">
        <is>
          <t xml:space="preserve">      {</t>
        </is>
      </c>
    </row>
    <row r="165">
      <c r="A165" s="9" t="n">
        <v>162</v>
      </c>
      <c r="B165" s="10" t="inlineStr">
        <is>
          <t xml:space="preserve">        "action": "db_integrity",</t>
        </is>
      </c>
    </row>
    <row r="166">
      <c r="A166" s="7" t="n">
        <v>163</v>
      </c>
      <c r="B166" s="8" t="inlineStr">
        <is>
          <t xml:space="preserve">        "success": true,</t>
        </is>
      </c>
    </row>
    <row r="167">
      <c r="A167" s="9" t="n">
        <v>164</v>
      </c>
      <c r="B167" s="10" t="inlineStr">
        <is>
          <t xml:space="preserve">        "error": null,</t>
        </is>
      </c>
    </row>
    <row r="168">
      <c r="A168" s="7" t="n">
        <v>165</v>
      </c>
      <c r="B168" s="8" t="inlineStr">
        <is>
          <t xml:space="preserve">        "stats": {</t>
        </is>
      </c>
    </row>
    <row r="169">
      <c r="A169" s="9" t="n">
        <v>166</v>
      </c>
      <c r="B169" s="10" t="inlineStr">
        <is>
          <t xml:space="preserve">          "materials": 16143,</t>
        </is>
      </c>
    </row>
    <row r="170">
      <c r="A170" s="7" t="n">
        <v>167</v>
      </c>
      <c r="B170" s="8" t="inlineStr">
        <is>
          <t xml:space="preserve">          "sqlite_sequence": 6,</t>
        </is>
      </c>
    </row>
    <row r="171">
      <c r="A171" s="9" t="n">
        <v>168</v>
      </c>
      <c r="B171" s="10" t="inlineStr">
        <is>
          <t xml:space="preserve">          "video_registry": 6745,</t>
        </is>
      </c>
    </row>
    <row r="172">
      <c r="A172" s="7" t="n">
        <v>169</v>
      </c>
      <c r="B172" s="8" t="inlineStr">
        <is>
          <t xml:space="preserve">          "ctr_feedback": 0,</t>
        </is>
      </c>
    </row>
    <row r="173">
      <c r="A173" s="9" t="n">
        <v>170</v>
      </c>
      <c r="B173" s="10" t="inlineStr">
        <is>
          <t xml:space="preserve">          "trending_analysis": 0,</t>
        </is>
      </c>
    </row>
    <row r="174">
      <c r="A174" s="7" t="n">
        <v>171</v>
      </c>
      <c r="B174" s="8" t="inlineStr">
        <is>
          <t xml:space="preserve">          "account_matrix": 0,</t>
        </is>
      </c>
    </row>
    <row r="175">
      <c r="A175" s="9" t="n">
        <v>172</v>
      </c>
      <c r="B175" s="10" t="inlineStr">
        <is>
          <t xml:space="preserve">          "analysis_log": 756,</t>
        </is>
      </c>
    </row>
    <row r="176">
      <c r="A176" s="7" t="n">
        <v>173</v>
      </c>
      <c r="B176" s="8" t="inlineStr">
        <is>
          <t xml:space="preserve">          "video_annotations": 18,</t>
        </is>
      </c>
    </row>
    <row r="177">
      <c r="A177" s="9" t="n">
        <v>174</v>
      </c>
      <c r="B177" s="10" t="inlineStr">
        <is>
          <t xml:space="preserve">          "annotation_feedback": 0,</t>
        </is>
      </c>
    </row>
    <row r="178">
      <c r="A178" s="7" t="n">
        <v>175</v>
      </c>
      <c r="B178" s="8" t="inlineStr">
        <is>
          <t xml:space="preserve">          "tag_learning": 0,</t>
        </is>
      </c>
    </row>
    <row r="179">
      <c r="A179" s="9" t="n">
        <v>176</v>
      </c>
      <c r="B179" s="10" t="inlineStr">
        <is>
          <t xml:space="preserve">          "learned_scripts": 275,</t>
        </is>
      </c>
    </row>
    <row r="180">
      <c r="A180" s="7" t="n">
        <v>177</v>
      </c>
      <c r="B180" s="8" t="inlineStr">
        <is>
          <t xml:space="preserve">          "generation_log": 0,</t>
        </is>
      </c>
    </row>
    <row r="181">
      <c r="A181" s="9" t="n">
        <v>178</v>
      </c>
      <c r="B181" s="10" t="inlineStr">
        <is>
          <t xml:space="preserve">          "model_calls": 0,</t>
        </is>
      </c>
    </row>
    <row r="182">
      <c r="A182" s="7" t="n">
        <v>179</v>
      </c>
      <c r="B182" s="8" t="inlineStr">
        <is>
          <t xml:space="preserve">          "model_usage_log": 0,</t>
        </is>
      </c>
    </row>
    <row r="183">
      <c r="A183" s="9" t="n">
        <v>180</v>
      </c>
      <c r="B183" s="10" t="inlineStr">
        <is>
          <t xml:space="preserve">          "material_generation_log": 0,</t>
        </is>
      </c>
    </row>
    <row r="184">
      <c r="A184" s="7" t="n">
        <v>181</v>
      </c>
      <c r="B184" s="8" t="inlineStr">
        <is>
          <t xml:space="preserve">          "generation_video_log": 0,</t>
        </is>
      </c>
    </row>
    <row r="185">
      <c r="A185" s="9" t="n">
        <v>182</v>
      </c>
      <c r="B185" s="10" t="inlineStr">
        <is>
          <t xml:space="preserve">          "generation_material_log": 0,</t>
        </is>
      </c>
    </row>
    <row r="186">
      <c r="A186" s="7" t="n">
        <v>183</v>
      </c>
      <c r="B186" s="8" t="inlineStr">
        <is>
          <t xml:space="preserve">          "material_feedback": 0,</t>
        </is>
      </c>
    </row>
    <row r="187">
      <c r="A187" s="9" t="n">
        <v>184</v>
      </c>
      <c r="B187" s="10" t="inlineStr">
        <is>
          <t xml:space="preserve">          "video_frames": 3</t>
        </is>
      </c>
    </row>
    <row r="188">
      <c r="A188" s="7" t="n">
        <v>185</v>
      </c>
      <c r="B188" s="8" t="inlineStr">
        <is>
          <t xml:space="preserve">        }</t>
        </is>
      </c>
    </row>
    <row r="189">
      <c r="A189" s="9" t="n">
        <v>186</v>
      </c>
      <c r="B189" s="10" t="inlineStr">
        <is>
          <t xml:space="preserve">      },</t>
        </is>
      </c>
    </row>
    <row r="190">
      <c r="A190" s="7" t="n">
        <v>187</v>
      </c>
      <c r="B190" s="8" t="inlineStr">
        <is>
          <t xml:space="preserve">      {</t>
        </is>
      </c>
    </row>
    <row r="191">
      <c r="A191" s="9" t="n">
        <v>188</v>
      </c>
      <c r="B191" s="10" t="inlineStr">
        <is>
          <t xml:space="preserve">        "action": "system_status",</t>
        </is>
      </c>
    </row>
    <row r="192">
      <c r="A192" s="7" t="n">
        <v>189</v>
      </c>
      <c r="B192" s="8" t="inlineStr">
        <is>
          <t xml:space="preserve">        "success": true,</t>
        </is>
      </c>
    </row>
    <row r="193">
      <c r="A193" s="9" t="n">
        <v>190</v>
      </c>
      <c r="B193" s="10" t="inlineStr">
        <is>
          <t xml:space="preserve">        "error": null,</t>
        </is>
      </c>
    </row>
    <row r="194">
      <c r="A194" s="7" t="n">
        <v>191</v>
      </c>
      <c r="B194" s="8" t="inlineStr">
        <is>
          <t xml:space="preserve">        "checks": {</t>
        </is>
      </c>
    </row>
    <row r="195">
      <c r="A195" s="9" t="n">
        <v>192</v>
      </c>
      <c r="B195" s="10" t="inlineStr">
        <is>
          <t xml:space="preserve">          "FAISS索引": "[OK]",</t>
        </is>
      </c>
    </row>
    <row r="196">
      <c r="A196" s="7" t="n">
        <v>193</v>
      </c>
      <c r="B196" s="8" t="inlineStr">
        <is>
          <t xml:space="preserve">          "素材片段": "有数据",</t>
        </is>
      </c>
    </row>
    <row r="197">
      <c r="A197" s="9" t="n">
        <v>194</v>
      </c>
      <c r="B197" s="10" t="inlineStr">
        <is>
          <t xml:space="preserve">          "DeepSeek": "[OK]"</t>
        </is>
      </c>
    </row>
    <row r="198">
      <c r="A198" s="7" t="n">
        <v>195</v>
      </c>
      <c r="B198" s="8" t="inlineStr">
        <is>
          <t xml:space="preserve">        }</t>
        </is>
      </c>
    </row>
    <row r="199">
      <c r="A199" s="9" t="n">
        <v>196</v>
      </c>
      <c r="B199" s="10" t="inlineStr">
        <is>
          <t xml:space="preserve">      }</t>
        </is>
      </c>
    </row>
    <row r="200">
      <c r="A200" s="7" t="n">
        <v>197</v>
      </c>
      <c r="B200" s="8" t="inlineStr">
        <is>
          <t xml:space="preserve">    ],</t>
        </is>
      </c>
    </row>
    <row r="201">
      <c r="A201" s="9" t="n">
        <v>198</v>
      </c>
      <c r="B201" s="10" t="inlineStr">
        <is>
          <t xml:space="preserve">    "errors_found": [],</t>
        </is>
      </c>
    </row>
    <row r="202">
      <c r="A202" s="7" t="n">
        <v>199</v>
      </c>
      <c r="B202" s="8" t="inlineStr">
        <is>
          <t xml:space="preserve">    "fixes_applied": [],</t>
        </is>
      </c>
    </row>
    <row r="203">
      <c r="A203" s="9" t="n">
        <v>200</v>
      </c>
      <c r="B203" s="10" t="inlineStr">
        <is>
          <t xml:space="preserve">    "success": true</t>
        </is>
      </c>
    </row>
    <row r="204">
      <c r="A204" s="7" t="n">
        <v>201</v>
      </c>
      <c r="B204" s="8" t="inlineStr">
        <is>
          <t xml:space="preserve">  },</t>
        </is>
      </c>
    </row>
    <row r="205">
      <c r="A205" s="9" t="n">
        <v>202</v>
      </c>
      <c r="B205" s="10" t="inlineStr">
        <is>
          <t xml:space="preserve">  {</t>
        </is>
      </c>
    </row>
    <row r="206">
      <c r="A206" s="7" t="n">
        <v>203</v>
      </c>
      <c r="B206" s="8" t="inlineStr">
        <is>
          <t xml:space="preserve">    "iteration": 2,</t>
        </is>
      </c>
    </row>
    <row r="207">
      <c r="A207" s="9" t="n">
        <v>204</v>
      </c>
      <c r="B207" s="10" t="inlineStr">
        <is>
          <t xml:space="preserve">    "timestamp": "2026-06-12T15:59:19.667624",</t>
        </is>
      </c>
    </row>
    <row r="208">
      <c r="A208" s="7" t="n">
        <v>205</v>
      </c>
      <c r="B208" s="8" t="inlineStr">
        <is>
          <t xml:space="preserve">    "test_results": [</t>
        </is>
      </c>
    </row>
    <row r="209">
      <c r="A209" s="9" t="n">
        <v>206</v>
      </c>
      <c r="B209" s="10" t="inlineStr">
        <is>
          <t xml:space="preserve">      {</t>
        </is>
      </c>
    </row>
    <row r="210">
      <c r="A210" s="7" t="n">
        <v>207</v>
      </c>
      <c r="B210" s="8" t="inlineStr">
        <is>
          <t xml:space="preserve">        "action": "syntax_check",</t>
        </is>
      </c>
    </row>
    <row r="211">
      <c r="A211" s="9" t="n">
        <v>208</v>
      </c>
      <c r="B211" s="10" t="inlineStr">
        <is>
          <t xml:space="preserve">        "success": true,</t>
        </is>
      </c>
    </row>
    <row r="212">
      <c r="A212" s="7" t="n">
        <v>209</v>
      </c>
      <c r="B212" s="8" t="inlineStr">
        <is>
          <t xml:space="preserve">        "errors": []</t>
        </is>
      </c>
    </row>
    <row r="213">
      <c r="A213" s="9" t="n">
        <v>210</v>
      </c>
      <c r="B213" s="10" t="inlineStr">
        <is>
          <t xml:space="preserve">      },</t>
        </is>
      </c>
    </row>
    <row r="214">
      <c r="A214" s="7" t="n">
        <v>211</v>
      </c>
      <c r="B214" s="8" t="inlineStr">
        <is>
          <t xml:space="preserve">      {</t>
        </is>
      </c>
    </row>
    <row r="215">
      <c r="A215" s="9" t="n">
        <v>212</v>
      </c>
      <c r="B215" s="10" t="inlineStr">
        <is>
          <t xml:space="preserve">        "action": "db_integrity",</t>
        </is>
      </c>
    </row>
    <row r="216">
      <c r="A216" s="7" t="n">
        <v>213</v>
      </c>
      <c r="B216" s="8" t="inlineStr">
        <is>
          <t xml:space="preserve">        "success": true,</t>
        </is>
      </c>
    </row>
    <row r="217">
      <c r="A217" s="9" t="n">
        <v>214</v>
      </c>
      <c r="B217" s="10" t="inlineStr">
        <is>
          <t xml:space="preserve">        "error": null,</t>
        </is>
      </c>
    </row>
    <row r="218">
      <c r="A218" s="7" t="n">
        <v>215</v>
      </c>
      <c r="B218" s="8" t="inlineStr">
        <is>
          <t xml:space="preserve">        "stats": {</t>
        </is>
      </c>
    </row>
    <row r="219">
      <c r="A219" s="9" t="n">
        <v>216</v>
      </c>
      <c r="B219" s="10" t="inlineStr">
        <is>
          <t xml:space="preserve">          "materials": 16143,</t>
        </is>
      </c>
    </row>
    <row r="220">
      <c r="A220" s="7" t="n">
        <v>217</v>
      </c>
      <c r="B220" s="8" t="inlineStr">
        <is>
          <t xml:space="preserve">          "sqlite_sequence": 6,</t>
        </is>
      </c>
    </row>
    <row r="221">
      <c r="A221" s="9" t="n">
        <v>218</v>
      </c>
      <c r="B221" s="10" t="inlineStr">
        <is>
          <t xml:space="preserve">          "video_registry": 6745,</t>
        </is>
      </c>
    </row>
    <row r="222">
      <c r="A222" s="7" t="n">
        <v>219</v>
      </c>
      <c r="B222" s="8" t="inlineStr">
        <is>
          <t xml:space="preserve">          "ctr_feedback": 0,</t>
        </is>
      </c>
    </row>
    <row r="223">
      <c r="A223" s="9" t="n">
        <v>220</v>
      </c>
      <c r="B223" s="10" t="inlineStr">
        <is>
          <t xml:space="preserve">          "trending_analysis": 0,</t>
        </is>
      </c>
    </row>
    <row r="224">
      <c r="A224" s="7" t="n">
        <v>221</v>
      </c>
      <c r="B224" s="8" t="inlineStr">
        <is>
          <t xml:space="preserve">          "account_matrix": 0,</t>
        </is>
      </c>
    </row>
    <row r="225">
      <c r="A225" s="9" t="n">
        <v>222</v>
      </c>
      <c r="B225" s="10" t="inlineStr">
        <is>
          <t xml:space="preserve">          "analysis_log": 756,</t>
        </is>
      </c>
    </row>
    <row r="226">
      <c r="A226" s="7" t="n">
        <v>223</v>
      </c>
      <c r="B226" s="8" t="inlineStr">
        <is>
          <t xml:space="preserve">          "video_annotations": 18,</t>
        </is>
      </c>
    </row>
    <row r="227">
      <c r="A227" s="9" t="n">
        <v>224</v>
      </c>
      <c r="B227" s="10" t="inlineStr">
        <is>
          <t xml:space="preserve">          "annotation_feedback": 0,</t>
        </is>
      </c>
    </row>
    <row r="228">
      <c r="A228" s="7" t="n">
        <v>225</v>
      </c>
      <c r="B228" s="8" t="inlineStr">
        <is>
          <t xml:space="preserve">          "tag_learning": 0,</t>
        </is>
      </c>
    </row>
    <row r="229">
      <c r="A229" s="9" t="n">
        <v>226</v>
      </c>
      <c r="B229" s="10" t="inlineStr">
        <is>
          <t xml:space="preserve">          "learned_scripts": 275,</t>
        </is>
      </c>
    </row>
    <row r="230">
      <c r="A230" s="7" t="n">
        <v>227</v>
      </c>
      <c r="B230" s="8" t="inlineStr">
        <is>
          <t xml:space="preserve">          "generation_log": 0,</t>
        </is>
      </c>
    </row>
    <row r="231">
      <c r="A231" s="9" t="n">
        <v>228</v>
      </c>
      <c r="B231" s="10" t="inlineStr">
        <is>
          <t xml:space="preserve">          "model_calls": 0,</t>
        </is>
      </c>
    </row>
    <row r="232">
      <c r="A232" s="7" t="n">
        <v>229</v>
      </c>
      <c r="B232" s="8" t="inlineStr">
        <is>
          <t xml:space="preserve">          "model_usage_log": 0,</t>
        </is>
      </c>
    </row>
    <row r="233">
      <c r="A233" s="9" t="n">
        <v>230</v>
      </c>
      <c r="B233" s="10" t="inlineStr">
        <is>
          <t xml:space="preserve">          "material_generation_log": 0,</t>
        </is>
      </c>
    </row>
    <row r="234">
      <c r="A234" s="7" t="n">
        <v>231</v>
      </c>
      <c r="B234" s="8" t="inlineStr">
        <is>
          <t xml:space="preserve">          "generation_video_log": 0,</t>
        </is>
      </c>
    </row>
    <row r="235">
      <c r="A235" s="9" t="n">
        <v>232</v>
      </c>
      <c r="B235" s="10" t="inlineStr">
        <is>
          <t xml:space="preserve">          "generation_material_log": 0,</t>
        </is>
      </c>
    </row>
    <row r="236">
      <c r="A236" s="7" t="n">
        <v>233</v>
      </c>
      <c r="B236" s="8" t="inlineStr">
        <is>
          <t xml:space="preserve">          "material_feedback": 0,</t>
        </is>
      </c>
    </row>
    <row r="237">
      <c r="A237" s="9" t="n">
        <v>234</v>
      </c>
      <c r="B237" s="10" t="inlineStr">
        <is>
          <t xml:space="preserve">          "video_frames": 3</t>
        </is>
      </c>
    </row>
    <row r="238">
      <c r="A238" s="7" t="n">
        <v>235</v>
      </c>
      <c r="B238" s="8" t="inlineStr">
        <is>
          <t xml:space="preserve">        }</t>
        </is>
      </c>
    </row>
    <row r="239">
      <c r="A239" s="9" t="n">
        <v>236</v>
      </c>
      <c r="B239" s="10" t="inlineStr">
        <is>
          <t xml:space="preserve">      },</t>
        </is>
      </c>
    </row>
    <row r="240">
      <c r="A240" s="7" t="n">
        <v>237</v>
      </c>
      <c r="B240" s="8" t="inlineStr">
        <is>
          <t xml:space="preserve">      {</t>
        </is>
      </c>
    </row>
    <row r="241">
      <c r="A241" s="9" t="n">
        <v>238</v>
      </c>
      <c r="B241" s="10" t="inlineStr">
        <is>
          <t xml:space="preserve">        "action": "system_status",</t>
        </is>
      </c>
    </row>
    <row r="242">
      <c r="A242" s="7" t="n">
        <v>239</v>
      </c>
      <c r="B242" s="8" t="inlineStr">
        <is>
          <t xml:space="preserve">        "success": true,</t>
        </is>
      </c>
    </row>
    <row r="243">
      <c r="A243" s="9" t="n">
        <v>240</v>
      </c>
      <c r="B243" s="10" t="inlineStr">
        <is>
          <t xml:space="preserve">        "error": null,</t>
        </is>
      </c>
    </row>
    <row r="244">
      <c r="A244" s="7" t="n">
        <v>241</v>
      </c>
      <c r="B244" s="8" t="inlineStr">
        <is>
          <t xml:space="preserve">        "checks": {</t>
        </is>
      </c>
    </row>
    <row r="245">
      <c r="A245" s="9" t="n">
        <v>242</v>
      </c>
      <c r="B245" s="10" t="inlineStr">
        <is>
          <t xml:space="preserve">          "FAISS索引": "[OK]",</t>
        </is>
      </c>
    </row>
    <row r="246">
      <c r="A246" s="7" t="n">
        <v>243</v>
      </c>
      <c r="B246" s="8" t="inlineStr">
        <is>
          <t xml:space="preserve">          "素材片段": "有数据",</t>
        </is>
      </c>
    </row>
    <row r="247">
      <c r="A247" s="9" t="n">
        <v>244</v>
      </c>
      <c r="B247" s="10" t="inlineStr">
        <is>
          <t xml:space="preserve">          "DeepSeek": "[OK]"</t>
        </is>
      </c>
    </row>
    <row r="248">
      <c r="A248" s="7" t="n">
        <v>245</v>
      </c>
      <c r="B248" s="8" t="inlineStr">
        <is>
          <t xml:space="preserve">        }</t>
        </is>
      </c>
    </row>
    <row r="249">
      <c r="A249" s="9" t="n">
        <v>246</v>
      </c>
      <c r="B249" s="10" t="inlineStr">
        <is>
          <t xml:space="preserve">      }</t>
        </is>
      </c>
    </row>
    <row r="250">
      <c r="A250" s="7" t="n">
        <v>247</v>
      </c>
      <c r="B250" s="8" t="inlineStr">
        <is>
          <t xml:space="preserve">    ],</t>
        </is>
      </c>
    </row>
    <row r="251">
      <c r="A251" s="9" t="n">
        <v>248</v>
      </c>
      <c r="B251" s="10" t="inlineStr">
        <is>
          <t xml:space="preserve">    "errors_found": [],</t>
        </is>
      </c>
    </row>
    <row r="252">
      <c r="A252" s="7" t="n">
        <v>249</v>
      </c>
      <c r="B252" s="8" t="inlineStr">
        <is>
          <t xml:space="preserve">    "fixes_applied": [],</t>
        </is>
      </c>
    </row>
    <row r="253">
      <c r="A253" s="9" t="n">
        <v>250</v>
      </c>
      <c r="B253" s="10" t="inlineStr">
        <is>
          <t xml:space="preserve">    "success": true</t>
        </is>
      </c>
    </row>
    <row r="254">
      <c r="A254" s="7" t="n">
        <v>251</v>
      </c>
      <c r="B254" s="8" t="inlineStr">
        <is>
          <t xml:space="preserve">  },</t>
        </is>
      </c>
    </row>
    <row r="255">
      <c r="A255" s="9" t="n">
        <v>252</v>
      </c>
      <c r="B255" s="10" t="inlineStr">
        <is>
          <t xml:space="preserve">  {</t>
        </is>
      </c>
    </row>
    <row r="256">
      <c r="A256" s="7" t="n">
        <v>253</v>
      </c>
      <c r="B256" s="8" t="inlineStr">
        <is>
          <t xml:space="preserve">    "iteration": 3,</t>
        </is>
      </c>
    </row>
    <row r="257">
      <c r="A257" s="9" t="n">
        <v>254</v>
      </c>
      <c r="B257" s="10" t="inlineStr">
        <is>
          <t xml:space="preserve">    "timestamp": "2026-06-12T16:03:06.905856",</t>
        </is>
      </c>
    </row>
    <row r="258">
      <c r="A258" s="7" t="n">
        <v>255</v>
      </c>
      <c r="B258" s="8" t="inlineStr">
        <is>
          <t xml:space="preserve">    "test_results": [</t>
        </is>
      </c>
    </row>
    <row r="259">
      <c r="A259" s="9" t="n">
        <v>256</v>
      </c>
      <c r="B259" s="10" t="inlineStr">
        <is>
          <t xml:space="preserve">      {</t>
        </is>
      </c>
    </row>
    <row r="260">
      <c r="A260" s="7" t="n">
        <v>257</v>
      </c>
      <c r="B260" s="8" t="inlineStr">
        <is>
          <t xml:space="preserve">        "action": "syntax_check",</t>
        </is>
      </c>
    </row>
    <row r="261">
      <c r="A261" s="9" t="n">
        <v>258</v>
      </c>
      <c r="B261" s="10" t="inlineStr">
        <is>
          <t xml:space="preserve">        "success": true,</t>
        </is>
      </c>
    </row>
    <row r="262">
      <c r="A262" s="7" t="n">
        <v>259</v>
      </c>
      <c r="B262" s="8" t="inlineStr">
        <is>
          <t xml:space="preserve">        "errors": []</t>
        </is>
      </c>
    </row>
    <row r="263">
      <c r="A263" s="9" t="n">
        <v>260</v>
      </c>
      <c r="B263" s="10" t="inlineStr">
        <is>
          <t xml:space="preserve">      },</t>
        </is>
      </c>
    </row>
    <row r="264">
      <c r="A264" s="7" t="n">
        <v>261</v>
      </c>
      <c r="B264" s="8" t="inlineStr">
        <is>
          <t xml:space="preserve">      {</t>
        </is>
      </c>
    </row>
    <row r="265">
      <c r="A265" s="9" t="n">
        <v>262</v>
      </c>
      <c r="B265" s="10" t="inlineStr">
        <is>
          <t xml:space="preserve">        "action": "db_integrity",</t>
        </is>
      </c>
    </row>
    <row r="266">
      <c r="A266" s="7" t="n">
        <v>263</v>
      </c>
      <c r="B266" s="8" t="inlineStr">
        <is>
          <t xml:space="preserve">        "success": true,</t>
        </is>
      </c>
    </row>
    <row r="267">
      <c r="A267" s="9" t="n">
        <v>264</v>
      </c>
      <c r="B267" s="10" t="inlineStr">
        <is>
          <t xml:space="preserve">        "error": null,</t>
        </is>
      </c>
    </row>
    <row r="268">
      <c r="A268" s="7" t="n">
        <v>265</v>
      </c>
      <c r="B268" s="8" t="inlineStr">
        <is>
          <t xml:space="preserve">        "stats": {</t>
        </is>
      </c>
    </row>
    <row r="269">
      <c r="A269" s="9" t="n">
        <v>266</v>
      </c>
      <c r="B269" s="10" t="inlineStr">
        <is>
          <t xml:space="preserve">          "materials": 16143,</t>
        </is>
      </c>
    </row>
    <row r="270">
      <c r="A270" s="7" t="n">
        <v>267</v>
      </c>
      <c r="B270" s="8" t="inlineStr">
        <is>
          <t xml:space="preserve">          "sqlite_sequence": 6,</t>
        </is>
      </c>
    </row>
    <row r="271">
      <c r="A271" s="9" t="n">
        <v>268</v>
      </c>
      <c r="B271" s="10" t="inlineStr">
        <is>
          <t xml:space="preserve">          "video_registry": 6745,</t>
        </is>
      </c>
    </row>
    <row r="272">
      <c r="A272" s="7" t="n">
        <v>269</v>
      </c>
      <c r="B272" s="8" t="inlineStr">
        <is>
          <t xml:space="preserve">          "ctr_feedback": 0,</t>
        </is>
      </c>
    </row>
    <row r="273">
      <c r="A273" s="9" t="n">
        <v>270</v>
      </c>
      <c r="B273" s="10" t="inlineStr">
        <is>
          <t xml:space="preserve">          "trending_analysis": 0,</t>
        </is>
      </c>
    </row>
    <row r="274">
      <c r="A274" s="7" t="n">
        <v>271</v>
      </c>
      <c r="B274" s="8" t="inlineStr">
        <is>
          <t xml:space="preserve">          "account_matrix": 0,</t>
        </is>
      </c>
    </row>
    <row r="275">
      <c r="A275" s="9" t="n">
        <v>272</v>
      </c>
      <c r="B275" s="10" t="inlineStr">
        <is>
          <t xml:space="preserve">          "analysis_log": 756,</t>
        </is>
      </c>
    </row>
    <row r="276">
      <c r="A276" s="7" t="n">
        <v>273</v>
      </c>
      <c r="B276" s="8" t="inlineStr">
        <is>
          <t xml:space="preserve">          "video_annotations": 18,</t>
        </is>
      </c>
    </row>
    <row r="277">
      <c r="A277" s="9" t="n">
        <v>274</v>
      </c>
      <c r="B277" s="10" t="inlineStr">
        <is>
          <t xml:space="preserve">          "annotation_feedback": 0,</t>
        </is>
      </c>
    </row>
    <row r="278">
      <c r="A278" s="7" t="n">
        <v>275</v>
      </c>
      <c r="B278" s="8" t="inlineStr">
        <is>
          <t xml:space="preserve">          "tag_learning": 0,</t>
        </is>
      </c>
    </row>
    <row r="279">
      <c r="A279" s="9" t="n">
        <v>276</v>
      </c>
      <c r="B279" s="10" t="inlineStr">
        <is>
          <t xml:space="preserve">          "learned_scripts": 275,</t>
        </is>
      </c>
    </row>
    <row r="280">
      <c r="A280" s="7" t="n">
        <v>277</v>
      </c>
      <c r="B280" s="8" t="inlineStr">
        <is>
          <t xml:space="preserve">          "generation_log": 0,</t>
        </is>
      </c>
    </row>
    <row r="281">
      <c r="A281" s="9" t="n">
        <v>278</v>
      </c>
      <c r="B281" s="10" t="inlineStr">
        <is>
          <t xml:space="preserve">          "model_calls": 0,</t>
        </is>
      </c>
    </row>
    <row r="282">
      <c r="A282" s="7" t="n">
        <v>279</v>
      </c>
      <c r="B282" s="8" t="inlineStr">
        <is>
          <t xml:space="preserve">          "model_usage_log": 0,</t>
        </is>
      </c>
    </row>
    <row r="283">
      <c r="A283" s="9" t="n">
        <v>280</v>
      </c>
      <c r="B283" s="10" t="inlineStr">
        <is>
          <t xml:space="preserve">          "material_generation_log": 0,</t>
        </is>
      </c>
    </row>
    <row r="284">
      <c r="A284" s="7" t="n">
        <v>281</v>
      </c>
      <c r="B284" s="8" t="inlineStr">
        <is>
          <t xml:space="preserve">          "generation_video_log": 0,</t>
        </is>
      </c>
    </row>
    <row r="285">
      <c r="A285" s="9" t="n">
        <v>282</v>
      </c>
      <c r="B285" s="10" t="inlineStr">
        <is>
          <t xml:space="preserve">          "generation_material_log": 0,</t>
        </is>
      </c>
    </row>
    <row r="286">
      <c r="A286" s="7" t="n">
        <v>283</v>
      </c>
      <c r="B286" s="8" t="inlineStr">
        <is>
          <t xml:space="preserve">          "material_feedback": 0,</t>
        </is>
      </c>
    </row>
    <row r="287">
      <c r="A287" s="9" t="n">
        <v>284</v>
      </c>
      <c r="B287" s="10" t="inlineStr">
        <is>
          <t xml:space="preserve">          "video_frames": 3</t>
        </is>
      </c>
    </row>
    <row r="288">
      <c r="A288" s="7" t="n">
        <v>285</v>
      </c>
      <c r="B288" s="8" t="inlineStr">
        <is>
          <t xml:space="preserve">        }</t>
        </is>
      </c>
    </row>
    <row r="289">
      <c r="A289" s="9" t="n">
        <v>286</v>
      </c>
      <c r="B289" s="10" t="inlineStr">
        <is>
          <t xml:space="preserve">      },</t>
        </is>
      </c>
    </row>
    <row r="290">
      <c r="A290" s="7" t="n">
        <v>287</v>
      </c>
      <c r="B290" s="8" t="inlineStr">
        <is>
          <t xml:space="preserve">      {</t>
        </is>
      </c>
    </row>
    <row r="291">
      <c r="A291" s="9" t="n">
        <v>288</v>
      </c>
      <c r="B291" s="10" t="inlineStr">
        <is>
          <t xml:space="preserve">        "action": "system_status",</t>
        </is>
      </c>
    </row>
    <row r="292">
      <c r="A292" s="7" t="n">
        <v>289</v>
      </c>
      <c r="B292" s="8" t="inlineStr">
        <is>
          <t xml:space="preserve">        "success": true,</t>
        </is>
      </c>
    </row>
    <row r="293">
      <c r="A293" s="9" t="n">
        <v>290</v>
      </c>
      <c r="B293" s="10" t="inlineStr">
        <is>
          <t xml:space="preserve">        "error": null,</t>
        </is>
      </c>
    </row>
    <row r="294">
      <c r="A294" s="7" t="n">
        <v>291</v>
      </c>
      <c r="B294" s="8" t="inlineStr">
        <is>
          <t xml:space="preserve">        "checks": {</t>
        </is>
      </c>
    </row>
    <row r="295">
      <c r="A295" s="9" t="n">
        <v>292</v>
      </c>
      <c r="B295" s="10" t="inlineStr">
        <is>
          <t xml:space="preserve">          "FAISS索引": "[OK]",</t>
        </is>
      </c>
    </row>
    <row r="296">
      <c r="A296" s="7" t="n">
        <v>293</v>
      </c>
      <c r="B296" s="8" t="inlineStr">
        <is>
          <t xml:space="preserve">          "素材片段": "有数据",</t>
        </is>
      </c>
    </row>
    <row r="297">
      <c r="A297" s="9" t="n">
        <v>294</v>
      </c>
      <c r="B297" s="10" t="inlineStr">
        <is>
          <t xml:space="preserve">          "DeepSeek": "[OK]"</t>
        </is>
      </c>
    </row>
    <row r="298">
      <c r="A298" s="7" t="n">
        <v>295</v>
      </c>
      <c r="B298" s="8" t="inlineStr">
        <is>
          <t xml:space="preserve">        }</t>
        </is>
      </c>
    </row>
    <row r="299">
      <c r="A299" s="9" t="n">
        <v>296</v>
      </c>
      <c r="B299" s="10" t="inlineStr">
        <is>
          <t xml:space="preserve">      },</t>
        </is>
      </c>
    </row>
    <row r="300">
      <c r="A300" s="7" t="n">
        <v>297</v>
      </c>
      <c r="B300" s="8" t="inlineStr">
        <is>
          <t xml:space="preserve">      {</t>
        </is>
      </c>
    </row>
    <row r="301">
      <c r="A301" s="9" t="n">
        <v>298</v>
      </c>
      <c r="B301" s="10" t="inlineStr">
        <is>
          <t xml:space="preserve">        "action": "single_generate",</t>
        </is>
      </c>
    </row>
    <row r="302">
      <c r="A302" s="7" t="n">
        <v>299</v>
      </c>
      <c r="B302" s="8" t="inlineStr">
        <is>
          <t xml:space="preserve">        "keyword": "奶油风岛台",</t>
        </is>
      </c>
    </row>
    <row r="303">
      <c r="A303" s="9" t="n">
        <v>300</v>
      </c>
      <c r="B303" s="10" t="inlineStr">
        <is>
          <t xml:space="preserve">        "success": false,</t>
        </is>
      </c>
    </row>
    <row r="304">
      <c r="A304" s="7" t="n">
        <v>301</v>
      </c>
      <c r="B304" s="8" t="inlineStr">
        <is>
          <t xml:space="preserve">        "error": {</t>
        </is>
      </c>
    </row>
    <row r="305">
      <c r="A305" s="9" t="n">
        <v>302</v>
      </c>
      <c r="B305" s="10" t="inlineStr">
        <is>
          <t xml:space="preserve">          "type": "Timeout",</t>
        </is>
      </c>
    </row>
    <row r="306">
      <c r="A306" s="7" t="n">
        <v>303</v>
      </c>
      <c r="B306" s="8" t="inlineStr">
        <is>
          <t xml:space="preserve">          "msg": "生成超时(120s)"</t>
        </is>
      </c>
    </row>
    <row r="307">
      <c r="A307" s="9" t="n">
        <v>304</v>
      </c>
      <c r="B307" s="10" t="inlineStr">
        <is>
          <t xml:space="preserve">        }</t>
        </is>
      </c>
    </row>
    <row r="308">
      <c r="A308" s="7" t="n">
        <v>305</v>
      </c>
      <c r="B308" s="8" t="inlineStr">
        <is>
          <t xml:space="preserve">      }</t>
        </is>
      </c>
    </row>
    <row r="309">
      <c r="A309" s="9" t="n">
        <v>306</v>
      </c>
      <c r="B309" s="10" t="inlineStr">
        <is>
          <t xml:space="preserve">    ],</t>
        </is>
      </c>
    </row>
    <row r="310">
      <c r="A310" s="7" t="n">
        <v>307</v>
      </c>
      <c r="B310" s="8" t="inlineStr">
        <is>
          <t xml:space="preserve">    "errors_found": [</t>
        </is>
      </c>
    </row>
    <row r="311">
      <c r="A311" s="9" t="n">
        <v>308</v>
      </c>
      <c r="B311" s="10" t="inlineStr">
        <is>
          <t xml:space="preserve">      {</t>
        </is>
      </c>
    </row>
    <row r="312">
      <c r="A312" s="7" t="n">
        <v>309</v>
      </c>
      <c r="B312" s="8" t="inlineStr">
        <is>
          <t xml:space="preserve">        "type": "Timeout",</t>
        </is>
      </c>
    </row>
    <row r="313">
      <c r="A313" s="9" t="n">
        <v>310</v>
      </c>
      <c r="B313" s="10" t="inlineStr">
        <is>
          <t xml:space="preserve">        "msg": "生成超时(120s)"</t>
        </is>
      </c>
    </row>
    <row r="314">
      <c r="A314" s="7" t="n">
        <v>311</v>
      </c>
      <c r="B314" s="8" t="inlineStr">
        <is>
          <t xml:space="preserve">      }</t>
        </is>
      </c>
    </row>
    <row r="315">
      <c r="A315" s="9" t="n">
        <v>312</v>
      </c>
      <c r="B315" s="10" t="inlineStr">
        <is>
          <t xml:space="preserve">    ],</t>
        </is>
      </c>
    </row>
    <row r="316">
      <c r="A316" s="7" t="n">
        <v>313</v>
      </c>
      <c r="B316" s="8" t="inlineStr">
        <is>
          <t xml:space="preserve">    "fixes_applied": [],</t>
        </is>
      </c>
    </row>
    <row r="317">
      <c r="A317" s="9" t="n">
        <v>314</v>
      </c>
      <c r="B317" s="10" t="inlineStr">
        <is>
          <t xml:space="preserve">    "success": true</t>
        </is>
      </c>
    </row>
    <row r="318">
      <c r="A318" s="7" t="n">
        <v>315</v>
      </c>
      <c r="B318" s="8" t="inlineStr">
        <is>
          <t xml:space="preserve">  },</t>
        </is>
      </c>
    </row>
    <row r="319">
      <c r="A319" s="9" t="n">
        <v>316</v>
      </c>
      <c r="B319" s="10" t="inlineStr">
        <is>
          <t xml:space="preserve">  {</t>
        </is>
      </c>
    </row>
    <row r="320">
      <c r="A320" s="7" t="n">
        <v>317</v>
      </c>
      <c r="B320" s="8" t="inlineStr">
        <is>
          <t xml:space="preserve">    "iteration": 4,</t>
        </is>
      </c>
    </row>
    <row r="321">
      <c r="A321" s="9" t="n">
        <v>318</v>
      </c>
      <c r="B321" s="10" t="inlineStr">
        <is>
          <t xml:space="preserve">    "timestamp": "2026-06-12T16:05:05.818038",</t>
        </is>
      </c>
    </row>
    <row r="322">
      <c r="A322" s="7" t="n">
        <v>319</v>
      </c>
      <c r="B322" s="8" t="inlineStr">
        <is>
          <t xml:space="preserve">    "test_results": [</t>
        </is>
      </c>
    </row>
    <row r="323">
      <c r="A323" s="9" t="n">
        <v>320</v>
      </c>
      <c r="B323" s="10" t="inlineStr">
        <is>
          <t xml:space="preserve">      {</t>
        </is>
      </c>
    </row>
    <row r="324">
      <c r="A324" s="7" t="n">
        <v>321</v>
      </c>
      <c r="B324" s="8" t="inlineStr">
        <is>
          <t xml:space="preserve">        "action": "syntax_check",</t>
        </is>
      </c>
    </row>
    <row r="325">
      <c r="A325" s="9" t="n">
        <v>322</v>
      </c>
      <c r="B325" s="10" t="inlineStr">
        <is>
          <t xml:space="preserve">        "success": true,</t>
        </is>
      </c>
    </row>
    <row r="326">
      <c r="A326" s="7" t="n">
        <v>323</v>
      </c>
      <c r="B326" s="8" t="inlineStr">
        <is>
          <t xml:space="preserve">        "errors": []</t>
        </is>
      </c>
    </row>
    <row r="327">
      <c r="A327" s="9" t="n">
        <v>324</v>
      </c>
      <c r="B327" s="10" t="inlineStr">
        <is>
          <t xml:space="preserve">      },</t>
        </is>
      </c>
    </row>
    <row r="328">
      <c r="A328" s="7" t="n">
        <v>325</v>
      </c>
      <c r="B328" s="8" t="inlineStr">
        <is>
          <t xml:space="preserve">      {</t>
        </is>
      </c>
    </row>
    <row r="329">
      <c r="A329" s="9" t="n">
        <v>326</v>
      </c>
      <c r="B329" s="10" t="inlineStr">
        <is>
          <t xml:space="preserve">        "action": "db_integrity",</t>
        </is>
      </c>
    </row>
    <row r="330">
      <c r="A330" s="7" t="n">
        <v>327</v>
      </c>
      <c r="B330" s="8" t="inlineStr">
        <is>
          <t xml:space="preserve">        "success": true,</t>
        </is>
      </c>
    </row>
    <row r="331">
      <c r="A331" s="9" t="n">
        <v>328</v>
      </c>
      <c r="B331" s="10" t="inlineStr">
        <is>
          <t xml:space="preserve">        "error": null,</t>
        </is>
      </c>
    </row>
    <row r="332">
      <c r="A332" s="7" t="n">
        <v>329</v>
      </c>
      <c r="B332" s="8" t="inlineStr">
        <is>
          <t xml:space="preserve">        "stats": {</t>
        </is>
      </c>
    </row>
    <row r="333">
      <c r="A333" s="9" t="n">
        <v>330</v>
      </c>
      <c r="B333" s="10" t="inlineStr">
        <is>
          <t xml:space="preserve">          "materials": 16143,</t>
        </is>
      </c>
    </row>
    <row r="334">
      <c r="A334" s="7" t="n">
        <v>331</v>
      </c>
      <c r="B334" s="8" t="inlineStr">
        <is>
          <t xml:space="preserve">          "sqlite_sequence": 6,</t>
        </is>
      </c>
    </row>
    <row r="335">
      <c r="A335" s="9" t="n">
        <v>332</v>
      </c>
      <c r="B335" s="10" t="inlineStr">
        <is>
          <t xml:space="preserve">          "video_registry": 6745,</t>
        </is>
      </c>
    </row>
    <row r="336">
      <c r="A336" s="7" t="n">
        <v>333</v>
      </c>
      <c r="B336" s="8" t="inlineStr">
        <is>
          <t xml:space="preserve">          "ctr_feedback": 0,</t>
        </is>
      </c>
    </row>
    <row r="337">
      <c r="A337" s="9" t="n">
        <v>334</v>
      </c>
      <c r="B337" s="10" t="inlineStr">
        <is>
          <t xml:space="preserve">          "trending_analysis": 0,</t>
        </is>
      </c>
    </row>
    <row r="338">
      <c r="A338" s="7" t="n">
        <v>335</v>
      </c>
      <c r="B338" s="8" t="inlineStr">
        <is>
          <t xml:space="preserve">          "account_matrix": 0,</t>
        </is>
      </c>
    </row>
    <row r="339">
      <c r="A339" s="9" t="n">
        <v>336</v>
      </c>
      <c r="B339" s="10" t="inlineStr">
        <is>
          <t xml:space="preserve">          "analysis_log": 756,</t>
        </is>
      </c>
    </row>
    <row r="340">
      <c r="A340" s="7" t="n">
        <v>337</v>
      </c>
      <c r="B340" s="8" t="inlineStr">
        <is>
          <t xml:space="preserve">          "video_annotations": 18,</t>
        </is>
      </c>
    </row>
    <row r="341">
      <c r="A341" s="9" t="n">
        <v>338</v>
      </c>
      <c r="B341" s="10" t="inlineStr">
        <is>
          <t xml:space="preserve">          "annotation_feedback": 0,</t>
        </is>
      </c>
    </row>
    <row r="342">
      <c r="A342" s="7" t="n">
        <v>339</v>
      </c>
      <c r="B342" s="8" t="inlineStr">
        <is>
          <t xml:space="preserve">          "tag_learning": 0,</t>
        </is>
      </c>
    </row>
    <row r="343">
      <c r="A343" s="9" t="n">
        <v>340</v>
      </c>
      <c r="B343" s="10" t="inlineStr">
        <is>
          <t xml:space="preserve">          "learned_scripts": 275,</t>
        </is>
      </c>
    </row>
    <row r="344">
      <c r="A344" s="7" t="n">
        <v>341</v>
      </c>
      <c r="B344" s="8" t="inlineStr">
        <is>
          <t xml:space="preserve">          "generation_log": 0,</t>
        </is>
      </c>
    </row>
    <row r="345">
      <c r="A345" s="9" t="n">
        <v>342</v>
      </c>
      <c r="B345" s="10" t="inlineStr">
        <is>
          <t xml:space="preserve">          "model_calls": 0,</t>
        </is>
      </c>
    </row>
    <row r="346">
      <c r="A346" s="7" t="n">
        <v>343</v>
      </c>
      <c r="B346" s="8" t="inlineStr">
        <is>
          <t xml:space="preserve">          "model_usage_log": 0,</t>
        </is>
      </c>
    </row>
    <row r="347">
      <c r="A347" s="9" t="n">
        <v>344</v>
      </c>
      <c r="B347" s="10" t="inlineStr">
        <is>
          <t xml:space="preserve">          "material_generation_log": 0,</t>
        </is>
      </c>
    </row>
    <row r="348">
      <c r="A348" s="7" t="n">
        <v>345</v>
      </c>
      <c r="B348" s="8" t="inlineStr">
        <is>
          <t xml:space="preserve">          "generation_video_log": 0,</t>
        </is>
      </c>
    </row>
    <row r="349">
      <c r="A349" s="9" t="n">
        <v>346</v>
      </c>
      <c r="B349" s="10" t="inlineStr">
        <is>
          <t xml:space="preserve">          "generation_material_log": 0,</t>
        </is>
      </c>
    </row>
    <row r="350">
      <c r="A350" s="7" t="n">
        <v>347</v>
      </c>
      <c r="B350" s="8" t="inlineStr">
        <is>
          <t xml:space="preserve">          "material_feedback": 0,</t>
        </is>
      </c>
    </row>
    <row r="351">
      <c r="A351" s="9" t="n">
        <v>348</v>
      </c>
      <c r="B351" s="10" t="inlineStr">
        <is>
          <t xml:space="preserve">          "video_frames": 3</t>
        </is>
      </c>
    </row>
    <row r="352">
      <c r="A352" s="7" t="n">
        <v>349</v>
      </c>
      <c r="B352" s="8" t="inlineStr">
        <is>
          <t xml:space="preserve">        }</t>
        </is>
      </c>
    </row>
    <row r="353">
      <c r="A353" s="9" t="n">
        <v>350</v>
      </c>
      <c r="B353" s="10" t="inlineStr">
        <is>
          <t xml:space="preserve">      },</t>
        </is>
      </c>
    </row>
    <row r="354">
      <c r="A354" s="7" t="n">
        <v>351</v>
      </c>
      <c r="B354" s="8" t="inlineStr">
        <is>
          <t xml:space="preserve">      {</t>
        </is>
      </c>
    </row>
    <row r="355">
      <c r="A355" s="9" t="n">
        <v>352</v>
      </c>
      <c r="B355" s="10" t="inlineStr">
        <is>
          <t xml:space="preserve">        "action": "system_status",</t>
        </is>
      </c>
    </row>
    <row r="356">
      <c r="A356" s="7" t="n">
        <v>353</v>
      </c>
      <c r="B356" s="8" t="inlineStr">
        <is>
          <t xml:space="preserve">        "success": true,</t>
        </is>
      </c>
    </row>
    <row r="357">
      <c r="A357" s="9" t="n">
        <v>354</v>
      </c>
      <c r="B357" s="10" t="inlineStr">
        <is>
          <t xml:space="preserve">        "error": null,</t>
        </is>
      </c>
    </row>
    <row r="358">
      <c r="A358" s="7" t="n">
        <v>355</v>
      </c>
      <c r="B358" s="8" t="inlineStr">
        <is>
          <t xml:space="preserve">        "checks": {</t>
        </is>
      </c>
    </row>
    <row r="359">
      <c r="A359" s="9" t="n">
        <v>356</v>
      </c>
      <c r="B359" s="10" t="inlineStr">
        <is>
          <t xml:space="preserve">          "FAISS索引": "[OK]",</t>
        </is>
      </c>
    </row>
    <row r="360">
      <c r="A360" s="7" t="n">
        <v>357</v>
      </c>
      <c r="B360" s="8" t="inlineStr">
        <is>
          <t xml:space="preserve">          "素材片段": "有数据",</t>
        </is>
      </c>
    </row>
    <row r="361">
      <c r="A361" s="9" t="n">
        <v>358</v>
      </c>
      <c r="B361" s="10" t="inlineStr">
        <is>
          <t xml:space="preserve">          "DeepSeek": "[OK]"</t>
        </is>
      </c>
    </row>
    <row r="362">
      <c r="A362" s="7" t="n">
        <v>359</v>
      </c>
      <c r="B362" s="8" t="inlineStr">
        <is>
          <t xml:space="preserve">        }</t>
        </is>
      </c>
    </row>
    <row r="363">
      <c r="A363" s="9" t="n">
        <v>360</v>
      </c>
      <c r="B363" s="10" t="inlineStr">
        <is>
          <t xml:space="preserve">      }</t>
        </is>
      </c>
    </row>
    <row r="364">
      <c r="A364" s="7" t="n">
        <v>361</v>
      </c>
      <c r="B364" s="8" t="inlineStr">
        <is>
          <t xml:space="preserve">    ],</t>
        </is>
      </c>
    </row>
    <row r="365">
      <c r="A365" s="9" t="n">
        <v>362</v>
      </c>
      <c r="B365" s="10" t="inlineStr">
        <is>
          <t xml:space="preserve">    "errors_found": [],</t>
        </is>
      </c>
    </row>
    <row r="366">
      <c r="A366" s="7" t="n">
        <v>363</v>
      </c>
      <c r="B366" s="8" t="inlineStr">
        <is>
          <t xml:space="preserve">    "fixes_applied": [],</t>
        </is>
      </c>
    </row>
    <row r="367">
      <c r="A367" s="9" t="n">
        <v>364</v>
      </c>
      <c r="B367" s="10" t="inlineStr">
        <is>
          <t xml:space="preserve">    "success": true</t>
        </is>
      </c>
    </row>
    <row r="368">
      <c r="A368" s="7" t="n">
        <v>365</v>
      </c>
      <c r="B368" s="8" t="inlineStr">
        <is>
          <t xml:space="preserve">  },</t>
        </is>
      </c>
    </row>
    <row r="369">
      <c r="A369" s="9" t="n">
        <v>366</v>
      </c>
      <c r="B369" s="10" t="inlineStr">
        <is>
          <t xml:space="preserve">  {</t>
        </is>
      </c>
    </row>
    <row r="370">
      <c r="A370" s="7" t="n">
        <v>367</v>
      </c>
      <c r="B370" s="8" t="inlineStr">
        <is>
          <t xml:space="preserve">    "iteration": 5,</t>
        </is>
      </c>
    </row>
    <row r="371">
      <c r="A371" s="9" t="n">
        <v>368</v>
      </c>
      <c r="B371" s="10" t="inlineStr">
        <is>
          <t xml:space="preserve">    "timestamp": "2026-06-12T16:10:31.075016",</t>
        </is>
      </c>
    </row>
    <row r="372">
      <c r="A372" s="7" t="n">
        <v>369</v>
      </c>
      <c r="B372" s="8" t="inlineStr">
        <is>
          <t xml:space="preserve">    "test_results": [</t>
        </is>
      </c>
    </row>
    <row r="373">
      <c r="A373" s="9" t="n">
        <v>370</v>
      </c>
      <c r="B373" s="10" t="inlineStr">
        <is>
          <t xml:space="preserve">      {</t>
        </is>
      </c>
    </row>
    <row r="374">
      <c r="A374" s="7" t="n">
        <v>371</v>
      </c>
      <c r="B374" s="8" t="inlineStr">
        <is>
          <t xml:space="preserve">        "action": "syntax_check",</t>
        </is>
      </c>
    </row>
    <row r="375">
      <c r="A375" s="9" t="n">
        <v>372</v>
      </c>
      <c r="B375" s="10" t="inlineStr">
        <is>
          <t xml:space="preserve">        "success": true,</t>
        </is>
      </c>
    </row>
    <row r="376">
      <c r="A376" s="7" t="n">
        <v>373</v>
      </c>
      <c r="B376" s="8" t="inlineStr">
        <is>
          <t xml:space="preserve">        "errors": []</t>
        </is>
      </c>
    </row>
    <row r="377">
      <c r="A377" s="9" t="n">
        <v>374</v>
      </c>
      <c r="B377" s="10" t="inlineStr">
        <is>
          <t xml:space="preserve">      },</t>
        </is>
      </c>
    </row>
    <row r="378">
      <c r="A378" s="7" t="n">
        <v>375</v>
      </c>
      <c r="B378" s="8" t="inlineStr">
        <is>
          <t xml:space="preserve">      {</t>
        </is>
      </c>
    </row>
    <row r="379">
      <c r="A379" s="9" t="n">
        <v>376</v>
      </c>
      <c r="B379" s="10" t="inlineStr">
        <is>
          <t xml:space="preserve">        "action": "db_integrity",</t>
        </is>
      </c>
    </row>
    <row r="380">
      <c r="A380" s="7" t="n">
        <v>377</v>
      </c>
      <c r="B380" s="8" t="inlineStr">
        <is>
          <t xml:space="preserve">        "success": true,</t>
        </is>
      </c>
    </row>
    <row r="381">
      <c r="A381" s="9" t="n">
        <v>378</v>
      </c>
      <c r="B381" s="10" t="inlineStr">
        <is>
          <t xml:space="preserve">        "error": null,</t>
        </is>
      </c>
    </row>
    <row r="382">
      <c r="A382" s="7" t="n">
        <v>379</v>
      </c>
      <c r="B382" s="8" t="inlineStr">
        <is>
          <t xml:space="preserve">        "stats": {</t>
        </is>
      </c>
    </row>
    <row r="383">
      <c r="A383" s="9" t="n">
        <v>380</v>
      </c>
      <c r="B383" s="10" t="inlineStr">
        <is>
          <t xml:space="preserve">          "materials": 16143,</t>
        </is>
      </c>
    </row>
    <row r="384">
      <c r="A384" s="7" t="n">
        <v>381</v>
      </c>
      <c r="B384" s="8" t="inlineStr">
        <is>
          <t xml:space="preserve">          "sqlite_sequence": 6,</t>
        </is>
      </c>
    </row>
    <row r="385">
      <c r="A385" s="9" t="n">
        <v>382</v>
      </c>
      <c r="B385" s="10" t="inlineStr">
        <is>
          <t xml:space="preserve">          "video_registry": 6745,</t>
        </is>
      </c>
    </row>
    <row r="386">
      <c r="A386" s="7" t="n">
        <v>383</v>
      </c>
      <c r="B386" s="8" t="inlineStr">
        <is>
          <t xml:space="preserve">          "ctr_feedback": 0,</t>
        </is>
      </c>
    </row>
    <row r="387">
      <c r="A387" s="9" t="n">
        <v>384</v>
      </c>
      <c r="B387" s="10" t="inlineStr">
        <is>
          <t xml:space="preserve">          "trending_analysis": 0,</t>
        </is>
      </c>
    </row>
    <row r="388">
      <c r="A388" s="7" t="n">
        <v>385</v>
      </c>
      <c r="B388" s="8" t="inlineStr">
        <is>
          <t xml:space="preserve">          "account_matrix": 0,</t>
        </is>
      </c>
    </row>
    <row r="389">
      <c r="A389" s="9" t="n">
        <v>386</v>
      </c>
      <c r="B389" s="10" t="inlineStr">
        <is>
          <t xml:space="preserve">          "analysis_log": 756,</t>
        </is>
      </c>
    </row>
    <row r="390">
      <c r="A390" s="7" t="n">
        <v>387</v>
      </c>
      <c r="B390" s="8" t="inlineStr">
        <is>
          <t xml:space="preserve">          "video_annotations": 18,</t>
        </is>
      </c>
    </row>
    <row r="391">
      <c r="A391" s="9" t="n">
        <v>388</v>
      </c>
      <c r="B391" s="10" t="inlineStr">
        <is>
          <t xml:space="preserve">          "annotation_feedback": 0,</t>
        </is>
      </c>
    </row>
    <row r="392">
      <c r="A392" s="7" t="n">
        <v>389</v>
      </c>
      <c r="B392" s="8" t="inlineStr">
        <is>
          <t xml:space="preserve">          "tag_learning": 0,</t>
        </is>
      </c>
    </row>
    <row r="393">
      <c r="A393" s="9" t="n">
        <v>390</v>
      </c>
      <c r="B393" s="10" t="inlineStr">
        <is>
          <t xml:space="preserve">          "learned_scripts": 275,</t>
        </is>
      </c>
    </row>
    <row r="394">
      <c r="A394" s="7" t="n">
        <v>391</v>
      </c>
      <c r="B394" s="8" t="inlineStr">
        <is>
          <t xml:space="preserve">          "generation_log": 0,</t>
        </is>
      </c>
    </row>
    <row r="395">
      <c r="A395" s="9" t="n">
        <v>392</v>
      </c>
      <c r="B395" s="10" t="inlineStr">
        <is>
          <t xml:space="preserve">          "model_calls": 0,</t>
        </is>
      </c>
    </row>
    <row r="396">
      <c r="A396" s="7" t="n">
        <v>393</v>
      </c>
      <c r="B396" s="8" t="inlineStr">
        <is>
          <t xml:space="preserve">          "model_usage_log": 0,</t>
        </is>
      </c>
    </row>
    <row r="397">
      <c r="A397" s="9" t="n">
        <v>394</v>
      </c>
      <c r="B397" s="10" t="inlineStr">
        <is>
          <t xml:space="preserve">          "material_generation_log": 0,</t>
        </is>
      </c>
    </row>
    <row r="398">
      <c r="A398" s="7" t="n">
        <v>395</v>
      </c>
      <c r="B398" s="8" t="inlineStr">
        <is>
          <t xml:space="preserve">          "generation_video_log": 0,</t>
        </is>
      </c>
    </row>
    <row r="399">
      <c r="A399" s="9" t="n">
        <v>396</v>
      </c>
      <c r="B399" s="10" t="inlineStr">
        <is>
          <t xml:space="preserve">          "generation_material_log": 0,</t>
        </is>
      </c>
    </row>
    <row r="400">
      <c r="A400" s="7" t="n">
        <v>397</v>
      </c>
      <c r="B400" s="8" t="inlineStr">
        <is>
          <t xml:space="preserve">          "material_feedback": 0,</t>
        </is>
      </c>
    </row>
    <row r="401">
      <c r="A401" s="9" t="n">
        <v>398</v>
      </c>
      <c r="B401" s="10" t="inlineStr">
        <is>
          <t xml:space="preserve">          "video_frames": 3</t>
        </is>
      </c>
    </row>
    <row r="402">
      <c r="A402" s="7" t="n">
        <v>399</v>
      </c>
      <c r="B402" s="8" t="inlineStr">
        <is>
          <t xml:space="preserve">        }</t>
        </is>
      </c>
    </row>
    <row r="403">
      <c r="A403" s="9" t="n">
        <v>400</v>
      </c>
      <c r="B403" s="10" t="inlineStr">
        <is>
          <t xml:space="preserve">      },</t>
        </is>
      </c>
    </row>
    <row r="404">
      <c r="A404" s="7" t="n">
        <v>401</v>
      </c>
      <c r="B404" s="8" t="inlineStr">
        <is>
          <t xml:space="preserve">      {</t>
        </is>
      </c>
    </row>
    <row r="405">
      <c r="A405" s="9" t="n">
        <v>402</v>
      </c>
      <c r="B405" s="10" t="inlineStr">
        <is>
          <t xml:space="preserve">        "action": "system_status",</t>
        </is>
      </c>
    </row>
    <row r="406">
      <c r="A406" s="7" t="n">
        <v>403</v>
      </c>
      <c r="B406" s="8" t="inlineStr">
        <is>
          <t xml:space="preserve">        "success": true,</t>
        </is>
      </c>
    </row>
    <row r="407">
      <c r="A407" s="9" t="n">
        <v>404</v>
      </c>
      <c r="B407" s="10" t="inlineStr">
        <is>
          <t xml:space="preserve">        "error": null,</t>
        </is>
      </c>
    </row>
    <row r="408">
      <c r="A408" s="7" t="n">
        <v>405</v>
      </c>
      <c r="B408" s="8" t="inlineStr">
        <is>
          <t xml:space="preserve">        "checks": {</t>
        </is>
      </c>
    </row>
    <row r="409">
      <c r="A409" s="9" t="n">
        <v>406</v>
      </c>
      <c r="B409" s="10" t="inlineStr">
        <is>
          <t xml:space="preserve">          "FAISS索引": "[OK]",</t>
        </is>
      </c>
    </row>
    <row r="410">
      <c r="A410" s="7" t="n">
        <v>407</v>
      </c>
      <c r="B410" s="8" t="inlineStr">
        <is>
          <t xml:space="preserve">          "素材片段": "有数据",</t>
        </is>
      </c>
    </row>
    <row r="411">
      <c r="A411" s="9" t="n">
        <v>408</v>
      </c>
      <c r="B411" s="10" t="inlineStr">
        <is>
          <t xml:space="preserve">          "DeepSeek": "[OK]"</t>
        </is>
      </c>
    </row>
    <row r="412">
      <c r="A412" s="7" t="n">
        <v>409</v>
      </c>
      <c r="B412" s="8" t="inlineStr">
        <is>
          <t xml:space="preserve">        }</t>
        </is>
      </c>
    </row>
    <row r="413">
      <c r="A413" s="9" t="n">
        <v>410</v>
      </c>
      <c r="B413" s="10" t="inlineStr">
        <is>
          <t xml:space="preserve">      },</t>
        </is>
      </c>
    </row>
    <row r="414">
      <c r="A414" s="7" t="n">
        <v>411</v>
      </c>
      <c r="B414" s="8" t="inlineStr">
        <is>
          <t xml:space="preserve">      {</t>
        </is>
      </c>
    </row>
    <row r="415">
      <c r="A415" s="9" t="n">
        <v>412</v>
      </c>
      <c r="B415" s="10" t="inlineStr">
        <is>
          <t xml:space="preserve">        "action": "batch_generate",</t>
        </is>
      </c>
    </row>
    <row r="416">
      <c r="A416" s="7" t="n">
        <v>413</v>
      </c>
      <c r="B416" s="8" t="inlineStr">
        <is>
          <t xml:space="preserve">        "count": 2,</t>
        </is>
      </c>
    </row>
    <row r="417">
      <c r="A417" s="9" t="n">
        <v>414</v>
      </c>
      <c r="B417" s="10" t="inlineStr">
        <is>
          <t xml:space="preserve">        "success": true,</t>
        </is>
      </c>
    </row>
    <row r="418">
      <c r="A418" s="7" t="n">
        <v>415</v>
      </c>
      <c r="B418" s="8" t="inlineStr">
        <is>
          <t xml:space="preserve">        "error": null</t>
        </is>
      </c>
    </row>
    <row r="419">
      <c r="A419" s="9" t="n">
        <v>416</v>
      </c>
      <c r="B419" s="10" t="inlineStr">
        <is>
          <t xml:space="preserve">      }</t>
        </is>
      </c>
    </row>
    <row r="420">
      <c r="A420" s="7" t="n">
        <v>417</v>
      </c>
      <c r="B420" s="8" t="inlineStr">
        <is>
          <t xml:space="preserve">    ],</t>
        </is>
      </c>
    </row>
    <row r="421">
      <c r="A421" s="9" t="n">
        <v>418</v>
      </c>
      <c r="B421" s="10" t="inlineStr">
        <is>
          <t xml:space="preserve">    "errors_found": [],</t>
        </is>
      </c>
    </row>
    <row r="422">
      <c r="A422" s="7" t="n">
        <v>419</v>
      </c>
      <c r="B422" s="8" t="inlineStr">
        <is>
          <t xml:space="preserve">    "fixes_applied": [],</t>
        </is>
      </c>
    </row>
    <row r="423">
      <c r="A423" s="9" t="n">
        <v>420</v>
      </c>
      <c r="B423" s="10" t="inlineStr">
        <is>
          <t xml:space="preserve">    "success": true</t>
        </is>
      </c>
    </row>
    <row r="424">
      <c r="A424" s="7" t="n">
        <v>421</v>
      </c>
      <c r="B424" s="8" t="inlineStr">
        <is>
          <t xml:space="preserve">  },</t>
        </is>
      </c>
    </row>
    <row r="425">
      <c r="A425" s="9" t="n">
        <v>422</v>
      </c>
      <c r="B425" s="10" t="inlineStr">
        <is>
          <t xml:space="preserve">  {</t>
        </is>
      </c>
    </row>
    <row r="426">
      <c r="A426" s="7" t="n">
        <v>423</v>
      </c>
      <c r="B426" s="8" t="inlineStr">
        <is>
          <t xml:space="preserve">    "iteration": 1,</t>
        </is>
      </c>
    </row>
    <row r="427">
      <c r="A427" s="9" t="n">
        <v>424</v>
      </c>
      <c r="B427" s="10" t="inlineStr">
        <is>
          <t xml:space="preserve">    "timestamp": "2026-06-12T16:43:17.218543",</t>
        </is>
      </c>
    </row>
    <row r="428">
      <c r="A428" s="7" t="n">
        <v>425</v>
      </c>
      <c r="B428" s="8" t="inlineStr">
        <is>
          <t xml:space="preserve">    "test_results": [</t>
        </is>
      </c>
    </row>
    <row r="429">
      <c r="A429" s="9" t="n">
        <v>426</v>
      </c>
      <c r="B429" s="10" t="inlineStr">
        <is>
          <t xml:space="preserve">      {</t>
        </is>
      </c>
    </row>
    <row r="430">
      <c r="A430" s="7" t="n">
        <v>427</v>
      </c>
      <c r="B430" s="8" t="inlineStr">
        <is>
          <t xml:space="preserve">        "action": "syntax_check",</t>
        </is>
      </c>
    </row>
    <row r="431">
      <c r="A431" s="9" t="n">
        <v>428</v>
      </c>
      <c r="B431" s="10" t="inlineStr">
        <is>
          <t xml:space="preserve">        "success": true,</t>
        </is>
      </c>
    </row>
    <row r="432">
      <c r="A432" s="7" t="n">
        <v>429</v>
      </c>
      <c r="B432" s="8" t="inlineStr">
        <is>
          <t xml:space="preserve">        "errors": []</t>
        </is>
      </c>
    </row>
    <row r="433">
      <c r="A433" s="9" t="n">
        <v>430</v>
      </c>
      <c r="B433" s="10" t="inlineStr">
        <is>
          <t xml:space="preserve">      },</t>
        </is>
      </c>
    </row>
    <row r="434">
      <c r="A434" s="7" t="n">
        <v>431</v>
      </c>
      <c r="B434" s="8" t="inlineStr">
        <is>
          <t xml:space="preserve">      {</t>
        </is>
      </c>
    </row>
    <row r="435">
      <c r="A435" s="9" t="n">
        <v>432</v>
      </c>
      <c r="B435" s="10" t="inlineStr">
        <is>
          <t xml:space="preserve">        "action": "db_integrity",</t>
        </is>
      </c>
    </row>
    <row r="436">
      <c r="A436" s="7" t="n">
        <v>433</v>
      </c>
      <c r="B436" s="8" t="inlineStr">
        <is>
          <t xml:space="preserve">        "success": true,</t>
        </is>
      </c>
    </row>
    <row r="437">
      <c r="A437" s="9" t="n">
        <v>434</v>
      </c>
      <c r="B437" s="10" t="inlineStr">
        <is>
          <t xml:space="preserve">        "error": null,</t>
        </is>
      </c>
    </row>
    <row r="438">
      <c r="A438" s="7" t="n">
        <v>435</v>
      </c>
      <c r="B438" s="8" t="inlineStr">
        <is>
          <t xml:space="preserve">        "stats": {</t>
        </is>
      </c>
    </row>
    <row r="439">
      <c r="A439" s="9" t="n">
        <v>436</v>
      </c>
      <c r="B439" s="10" t="inlineStr">
        <is>
          <t xml:space="preserve">          "materials": 16143,</t>
        </is>
      </c>
    </row>
    <row r="440">
      <c r="A440" s="7" t="n">
        <v>437</v>
      </c>
      <c r="B440" s="8" t="inlineStr">
        <is>
          <t xml:space="preserve">          "sqlite_sequence": 8,</t>
        </is>
      </c>
    </row>
    <row r="441">
      <c r="A441" s="9" t="n">
        <v>438</v>
      </c>
      <c r="B441" s="10" t="inlineStr">
        <is>
          <t xml:space="preserve">          "video_registry": 6745,</t>
        </is>
      </c>
    </row>
    <row r="442">
      <c r="A442" s="7" t="n">
        <v>439</v>
      </c>
      <c r="B442" s="8" t="inlineStr">
        <is>
          <t xml:space="preserve">          "ctr_feedback": 0,</t>
        </is>
      </c>
    </row>
    <row r="443">
      <c r="A443" s="9" t="n">
        <v>440</v>
      </c>
      <c r="B443" s="10" t="inlineStr">
        <is>
          <t xml:space="preserve">          "trending_analysis": 0,</t>
        </is>
      </c>
    </row>
    <row r="444">
      <c r="A444" s="7" t="n">
        <v>441</v>
      </c>
      <c r="B444" s="8" t="inlineStr">
        <is>
          <t xml:space="preserve">          "account_matrix": 0,</t>
        </is>
      </c>
    </row>
    <row r="445">
      <c r="A445" s="9" t="n">
        <v>442</v>
      </c>
      <c r="B445" s="10" t="inlineStr">
        <is>
          <t xml:space="preserve">          "analysis_log": 756,</t>
        </is>
      </c>
    </row>
    <row r="446">
      <c r="A446" s="7" t="n">
        <v>443</v>
      </c>
      <c r="B446" s="8" t="inlineStr">
        <is>
          <t xml:space="preserve">          "video_annotations": 18,</t>
        </is>
      </c>
    </row>
    <row r="447">
      <c r="A447" s="9" t="n">
        <v>444</v>
      </c>
      <c r="B447" s="10" t="inlineStr">
        <is>
          <t xml:space="preserve">          "annotation_feedback": 0,</t>
        </is>
      </c>
    </row>
    <row r="448">
      <c r="A448" s="7" t="n">
        <v>445</v>
      </c>
      <c r="B448" s="8" t="inlineStr">
        <is>
          <t xml:space="preserve">          "tag_learning": 0,</t>
        </is>
      </c>
    </row>
    <row r="449">
      <c r="A449" s="9" t="n">
        <v>446</v>
      </c>
      <c r="B449" s="10" t="inlineStr">
        <is>
          <t xml:space="preserve">          "learned_scripts": 275,</t>
        </is>
      </c>
    </row>
    <row r="450">
      <c r="A450" s="7" t="n">
        <v>447</v>
      </c>
      <c r="B450" s="8" t="inlineStr">
        <is>
          <t xml:space="preserve">          "generation_log": 0,</t>
        </is>
      </c>
    </row>
    <row r="451">
      <c r="A451" s="9" t="n">
        <v>448</v>
      </c>
      <c r="B451" s="10" t="inlineStr">
        <is>
          <t xml:space="preserve">          "model_calls": 0,</t>
        </is>
      </c>
    </row>
    <row r="452">
      <c r="A452" s="7" t="n">
        <v>449</v>
      </c>
      <c r="B452" s="8" t="inlineStr">
        <is>
          <t xml:space="preserve">          "model_usage_log": 0,</t>
        </is>
      </c>
    </row>
    <row r="453">
      <c r="A453" s="9" t="n">
        <v>450</v>
      </c>
      <c r="B453" s="10" t="inlineStr">
        <is>
          <t xml:space="preserve">          "material_generation_log": 13,</t>
        </is>
      </c>
    </row>
    <row r="454">
      <c r="A454" s="7" t="n">
        <v>451</v>
      </c>
      <c r="B454" s="8" t="inlineStr">
        <is>
          <t xml:space="preserve">          "generation_video_log": 2,</t>
        </is>
      </c>
    </row>
    <row r="455">
      <c r="A455" s="9" t="n">
        <v>452</v>
      </c>
      <c r="B455" s="10" t="inlineStr">
        <is>
          <t xml:space="preserve">          "generation_material_log": 13,</t>
        </is>
      </c>
    </row>
    <row r="456">
      <c r="A456" s="7" t="n">
        <v>453</v>
      </c>
      <c r="B456" s="8" t="inlineStr">
        <is>
          <t xml:space="preserve">          "material_feedback": 0,</t>
        </is>
      </c>
    </row>
    <row r="457">
      <c r="A457" s="9" t="n">
        <v>454</v>
      </c>
      <c r="B457" s="10" t="inlineStr">
        <is>
          <t xml:space="preserve">          "video_frames": 3</t>
        </is>
      </c>
    </row>
    <row r="458">
      <c r="A458" s="7" t="n">
        <v>455</v>
      </c>
      <c r="B458" s="8" t="inlineStr">
        <is>
          <t xml:space="preserve">        }</t>
        </is>
      </c>
    </row>
    <row r="459">
      <c r="A459" s="9" t="n">
        <v>456</v>
      </c>
      <c r="B459" s="10" t="inlineStr">
        <is>
          <t xml:space="preserve">      },</t>
        </is>
      </c>
    </row>
    <row r="460">
      <c r="A460" s="7" t="n">
        <v>457</v>
      </c>
      <c r="B460" s="8" t="inlineStr">
        <is>
          <t xml:space="preserve">      {</t>
        </is>
      </c>
    </row>
    <row r="461">
      <c r="A461" s="9" t="n">
        <v>458</v>
      </c>
      <c r="B461" s="10" t="inlineStr">
        <is>
          <t xml:space="preserve">        "action": "system_status",</t>
        </is>
      </c>
    </row>
    <row r="462">
      <c r="A462" s="7" t="n">
        <v>459</v>
      </c>
      <c r="B462" s="8" t="inlineStr">
        <is>
          <t xml:space="preserve">        "success": true,</t>
        </is>
      </c>
    </row>
    <row r="463">
      <c r="A463" s="9" t="n">
        <v>460</v>
      </c>
      <c r="B463" s="10" t="inlineStr">
        <is>
          <t xml:space="preserve">        "error": null,</t>
        </is>
      </c>
    </row>
    <row r="464">
      <c r="A464" s="7" t="n">
        <v>461</v>
      </c>
      <c r="B464" s="8" t="inlineStr">
        <is>
          <t xml:space="preserve">        "checks": {</t>
        </is>
      </c>
    </row>
    <row r="465">
      <c r="A465" s="9" t="n">
        <v>462</v>
      </c>
      <c r="B465" s="10" t="inlineStr">
        <is>
          <t xml:space="preserve">          "FAISS索引": "[OK]",</t>
        </is>
      </c>
    </row>
    <row r="466">
      <c r="A466" s="7" t="n">
        <v>463</v>
      </c>
      <c r="B466" s="8" t="inlineStr">
        <is>
          <t xml:space="preserve">          "素材片段": "有数据",</t>
        </is>
      </c>
    </row>
    <row r="467">
      <c r="A467" s="9" t="n">
        <v>464</v>
      </c>
      <c r="B467" s="10" t="inlineStr">
        <is>
          <t xml:space="preserve">          "DeepSeek": "[OK]"</t>
        </is>
      </c>
    </row>
    <row r="468">
      <c r="A468" s="7" t="n">
        <v>465</v>
      </c>
      <c r="B468" s="8" t="inlineStr">
        <is>
          <t xml:space="preserve">        }</t>
        </is>
      </c>
    </row>
    <row r="469">
      <c r="A469" s="9" t="n">
        <v>466</v>
      </c>
      <c r="B469" s="10" t="inlineStr">
        <is>
          <t xml:space="preserve">      }</t>
        </is>
      </c>
    </row>
    <row r="470">
      <c r="A470" s="7" t="n">
        <v>467</v>
      </c>
      <c r="B470" s="8" t="inlineStr">
        <is>
          <t xml:space="preserve">    ],</t>
        </is>
      </c>
    </row>
    <row r="471">
      <c r="A471" s="9" t="n">
        <v>468</v>
      </c>
      <c r="B471" s="10" t="inlineStr">
        <is>
          <t xml:space="preserve">    "errors_found": [],</t>
        </is>
      </c>
    </row>
    <row r="472">
      <c r="A472" s="7" t="n">
        <v>469</v>
      </c>
      <c r="B472" s="8" t="inlineStr">
        <is>
          <t xml:space="preserve">    "fixes_applied": [],</t>
        </is>
      </c>
    </row>
    <row r="473">
      <c r="A473" s="9" t="n">
        <v>470</v>
      </c>
      <c r="B473" s="10" t="inlineStr">
        <is>
          <t xml:space="preserve">    "success": true</t>
        </is>
      </c>
    </row>
    <row r="474">
      <c r="A474" s="7" t="n">
        <v>471</v>
      </c>
      <c r="B474" s="8" t="inlineStr">
        <is>
          <t xml:space="preserve">  },</t>
        </is>
      </c>
    </row>
    <row r="475">
      <c r="A475" s="9" t="n">
        <v>472</v>
      </c>
      <c r="B475" s="10" t="inlineStr">
        <is>
          <t xml:space="preserve">  {</t>
        </is>
      </c>
    </row>
    <row r="476">
      <c r="A476" s="7" t="n">
        <v>473</v>
      </c>
      <c r="B476" s="8" t="inlineStr">
        <is>
          <t xml:space="preserve">    "iteration": 1,</t>
        </is>
      </c>
    </row>
    <row r="477">
      <c r="A477" s="9" t="n">
        <v>474</v>
      </c>
      <c r="B477" s="10" t="inlineStr">
        <is>
          <t xml:space="preserve">    "timestamp": "2026-06-12T16:43:25.468188",</t>
        </is>
      </c>
    </row>
    <row r="478">
      <c r="A478" s="7" t="n">
        <v>475</v>
      </c>
      <c r="B478" s="8" t="inlineStr">
        <is>
          <t xml:space="preserve">    "test_results": [</t>
        </is>
      </c>
    </row>
    <row r="479">
      <c r="A479" s="9" t="n">
        <v>476</v>
      </c>
      <c r="B479" s="10" t="inlineStr">
        <is>
          <t xml:space="preserve">      {</t>
        </is>
      </c>
    </row>
    <row r="480">
      <c r="A480" s="7" t="n">
        <v>477</v>
      </c>
      <c r="B480" s="8" t="inlineStr">
        <is>
          <t xml:space="preserve">        "action": "syntax_check",</t>
        </is>
      </c>
    </row>
    <row r="481">
      <c r="A481" s="9" t="n">
        <v>478</v>
      </c>
      <c r="B481" s="10" t="inlineStr">
        <is>
          <t xml:space="preserve">        "success": true,</t>
        </is>
      </c>
    </row>
    <row r="482">
      <c r="A482" s="7" t="n">
        <v>479</v>
      </c>
      <c r="B482" s="8" t="inlineStr">
        <is>
          <t xml:space="preserve">        "errors": []</t>
        </is>
      </c>
    </row>
    <row r="483">
      <c r="A483" s="9" t="n">
        <v>480</v>
      </c>
      <c r="B483" s="10" t="inlineStr">
        <is>
          <t xml:space="preserve">      },</t>
        </is>
      </c>
    </row>
    <row r="484">
      <c r="A484" s="7" t="n">
        <v>481</v>
      </c>
      <c r="B484" s="8" t="inlineStr">
        <is>
          <t xml:space="preserve">      {</t>
        </is>
      </c>
    </row>
    <row r="485">
      <c r="A485" s="9" t="n">
        <v>482</v>
      </c>
      <c r="B485" s="10" t="inlineStr">
        <is>
          <t xml:space="preserve">        "action": "db_integrity",</t>
        </is>
      </c>
    </row>
    <row r="486">
      <c r="A486" s="7" t="n">
        <v>483</v>
      </c>
      <c r="B486" s="8" t="inlineStr">
        <is>
          <t xml:space="preserve">        "success": true,</t>
        </is>
      </c>
    </row>
    <row r="487">
      <c r="A487" s="9" t="n">
        <v>484</v>
      </c>
      <c r="B487" s="10" t="inlineStr">
        <is>
          <t xml:space="preserve">        "error": null,</t>
        </is>
      </c>
    </row>
    <row r="488">
      <c r="A488" s="7" t="n">
        <v>485</v>
      </c>
      <c r="B488" s="8" t="inlineStr">
        <is>
          <t xml:space="preserve">        "stats": {</t>
        </is>
      </c>
    </row>
    <row r="489">
      <c r="A489" s="9" t="n">
        <v>486</v>
      </c>
      <c r="B489" s="10" t="inlineStr">
        <is>
          <t xml:space="preserve">          "materials": 16143,</t>
        </is>
      </c>
    </row>
    <row r="490">
      <c r="A490" s="7" t="n">
        <v>487</v>
      </c>
      <c r="B490" s="8" t="inlineStr">
        <is>
          <t xml:space="preserve">          "sqlite_sequence": 8,</t>
        </is>
      </c>
    </row>
    <row r="491">
      <c r="A491" s="9" t="n">
        <v>488</v>
      </c>
      <c r="B491" s="10" t="inlineStr">
        <is>
          <t xml:space="preserve">          "video_registry": 6745,</t>
        </is>
      </c>
    </row>
    <row r="492">
      <c r="A492" s="7" t="n">
        <v>489</v>
      </c>
      <c r="B492" s="8" t="inlineStr">
        <is>
          <t xml:space="preserve">          "ctr_feedback": 0,</t>
        </is>
      </c>
    </row>
    <row r="493">
      <c r="A493" s="9" t="n">
        <v>490</v>
      </c>
      <c r="B493" s="10" t="inlineStr">
        <is>
          <t xml:space="preserve">          "trending_analysis": 0,</t>
        </is>
      </c>
    </row>
    <row r="494">
      <c r="A494" s="7" t="n">
        <v>491</v>
      </c>
      <c r="B494" s="8" t="inlineStr">
        <is>
          <t xml:space="preserve">          "account_matrix": 0,</t>
        </is>
      </c>
    </row>
    <row r="495">
      <c r="A495" s="9" t="n">
        <v>492</v>
      </c>
      <c r="B495" s="10" t="inlineStr">
        <is>
          <t xml:space="preserve">          "analysis_log": 756,</t>
        </is>
      </c>
    </row>
    <row r="496">
      <c r="A496" s="7" t="n">
        <v>493</v>
      </c>
      <c r="B496" s="8" t="inlineStr">
        <is>
          <t xml:space="preserve">          "video_annotations": 18,</t>
        </is>
      </c>
    </row>
    <row r="497">
      <c r="A497" s="9" t="n">
        <v>494</v>
      </c>
      <c r="B497" s="10" t="inlineStr">
        <is>
          <t xml:space="preserve">          "annotation_feedback": 0,</t>
        </is>
      </c>
    </row>
    <row r="498">
      <c r="A498" s="7" t="n">
        <v>495</v>
      </c>
      <c r="B498" s="8" t="inlineStr">
        <is>
          <t xml:space="preserve">          "tag_learning": 0,</t>
        </is>
      </c>
    </row>
    <row r="499">
      <c r="A499" s="9" t="n">
        <v>496</v>
      </c>
      <c r="B499" s="10" t="inlineStr">
        <is>
          <t xml:space="preserve">          "learned_scripts": 275,</t>
        </is>
      </c>
    </row>
    <row r="500">
      <c r="A500" s="7" t="n">
        <v>497</v>
      </c>
      <c r="B500" s="8" t="inlineStr">
        <is>
          <t xml:space="preserve">          "generation_log": 0,</t>
        </is>
      </c>
    </row>
    <row r="501">
      <c r="A501" s="9" t="n">
        <v>498</v>
      </c>
      <c r="B501" s="10" t="inlineStr">
        <is>
          <t xml:space="preserve">          "model_calls": 0,</t>
        </is>
      </c>
    </row>
    <row r="502">
      <c r="A502" s="7" t="n">
        <v>499</v>
      </c>
      <c r="B502" s="8" t="inlineStr">
        <is>
          <t xml:space="preserve">          "model_usage_log": 0,</t>
        </is>
      </c>
    </row>
    <row r="503">
      <c r="A503" s="9" t="n">
        <v>500</v>
      </c>
      <c r="B503" s="10" t="inlineStr">
        <is>
          <t xml:space="preserve">          "material_generation_log": 13,</t>
        </is>
      </c>
    </row>
    <row r="504">
      <c r="A504" s="7" t="n">
        <v>501</v>
      </c>
      <c r="B504" s="8" t="inlineStr">
        <is>
          <t xml:space="preserve">          "generation_video_log": 2,</t>
        </is>
      </c>
    </row>
    <row r="505">
      <c r="A505" s="9" t="n">
        <v>502</v>
      </c>
      <c r="B505" s="10" t="inlineStr">
        <is>
          <t xml:space="preserve">          "generation_material_log": 13,</t>
        </is>
      </c>
    </row>
    <row r="506">
      <c r="A506" s="7" t="n">
        <v>503</v>
      </c>
      <c r="B506" s="8" t="inlineStr">
        <is>
          <t xml:space="preserve">          "material_feedback": 0,</t>
        </is>
      </c>
    </row>
    <row r="507">
      <c r="A507" s="9" t="n">
        <v>504</v>
      </c>
      <c r="B507" s="10" t="inlineStr">
        <is>
          <t xml:space="preserve">          "video_frames": 3</t>
        </is>
      </c>
    </row>
    <row r="508">
      <c r="A508" s="7" t="n">
        <v>505</v>
      </c>
      <c r="B508" s="8" t="inlineStr">
        <is>
          <t xml:space="preserve">        }</t>
        </is>
      </c>
    </row>
    <row r="509">
      <c r="A509" s="9" t="n">
        <v>506</v>
      </c>
      <c r="B509" s="10" t="inlineStr">
        <is>
          <t xml:space="preserve">      },</t>
        </is>
      </c>
    </row>
    <row r="510">
      <c r="A510" s="7" t="n">
        <v>507</v>
      </c>
      <c r="B510" s="8" t="inlineStr">
        <is>
          <t xml:space="preserve">      {</t>
        </is>
      </c>
    </row>
    <row r="511">
      <c r="A511" s="9" t="n">
        <v>508</v>
      </c>
      <c r="B511" s="10" t="inlineStr">
        <is>
          <t xml:space="preserve">        "action": "system_status",</t>
        </is>
      </c>
    </row>
    <row r="512">
      <c r="A512" s="7" t="n">
        <v>509</v>
      </c>
      <c r="B512" s="8" t="inlineStr">
        <is>
          <t xml:space="preserve">        "success": true,</t>
        </is>
      </c>
    </row>
    <row r="513">
      <c r="A513" s="9" t="n">
        <v>510</v>
      </c>
      <c r="B513" s="10" t="inlineStr">
        <is>
          <t xml:space="preserve">        "error": null,</t>
        </is>
      </c>
    </row>
    <row r="514">
      <c r="A514" s="7" t="n">
        <v>511</v>
      </c>
      <c r="B514" s="8" t="inlineStr">
        <is>
          <t xml:space="preserve">        "checks": {</t>
        </is>
      </c>
    </row>
    <row r="515">
      <c r="A515" s="9" t="n">
        <v>512</v>
      </c>
      <c r="B515" s="10" t="inlineStr">
        <is>
          <t xml:space="preserve">          "FAISS索引": "[OK]",</t>
        </is>
      </c>
    </row>
    <row r="516">
      <c r="A516" s="7" t="n">
        <v>513</v>
      </c>
      <c r="B516" s="8" t="inlineStr">
        <is>
          <t xml:space="preserve">          "素材片段": "有数据",</t>
        </is>
      </c>
    </row>
    <row r="517">
      <c r="A517" s="9" t="n">
        <v>514</v>
      </c>
      <c r="B517" s="10" t="inlineStr">
        <is>
          <t xml:space="preserve">          "DeepSeek": "[OK]"</t>
        </is>
      </c>
    </row>
    <row r="518">
      <c r="A518" s="7" t="n">
        <v>515</v>
      </c>
      <c r="B518" s="8" t="inlineStr">
        <is>
          <t xml:space="preserve">        }</t>
        </is>
      </c>
    </row>
    <row r="519">
      <c r="A519" s="9" t="n">
        <v>516</v>
      </c>
      <c r="B519" s="10" t="inlineStr">
        <is>
          <t xml:space="preserve">      }</t>
        </is>
      </c>
    </row>
    <row r="520">
      <c r="A520" s="7" t="n">
        <v>517</v>
      </c>
      <c r="B520" s="8" t="inlineStr">
        <is>
          <t xml:space="preserve">    ],</t>
        </is>
      </c>
    </row>
    <row r="521">
      <c r="A521" s="9" t="n">
        <v>518</v>
      </c>
      <c r="B521" s="10" t="inlineStr">
        <is>
          <t xml:space="preserve">    "errors_found": [],</t>
        </is>
      </c>
    </row>
    <row r="522">
      <c r="A522" s="7" t="n">
        <v>519</v>
      </c>
      <c r="B522" s="8" t="inlineStr">
        <is>
          <t xml:space="preserve">    "fixes_applied": [],</t>
        </is>
      </c>
    </row>
    <row r="523">
      <c r="A523" s="9" t="n">
        <v>520</v>
      </c>
      <c r="B523" s="10" t="inlineStr">
        <is>
          <t xml:space="preserve">    "success": true</t>
        </is>
      </c>
    </row>
    <row r="524">
      <c r="A524" s="7" t="n">
        <v>521</v>
      </c>
      <c r="B524" s="8" t="inlineStr">
        <is>
          <t xml:space="preserve">  },</t>
        </is>
      </c>
    </row>
    <row r="525">
      <c r="A525" s="9" t="n">
        <v>522</v>
      </c>
      <c r="B525" s="10" t="inlineStr">
        <is>
          <t xml:space="preserve">  {</t>
        </is>
      </c>
    </row>
    <row r="526">
      <c r="A526" s="7" t="n">
        <v>523</v>
      </c>
      <c r="B526" s="8" t="inlineStr">
        <is>
          <t xml:space="preserve">    "iteration": 1,</t>
        </is>
      </c>
    </row>
    <row r="527">
      <c r="A527" s="9" t="n">
        <v>524</v>
      </c>
      <c r="B527" s="10" t="inlineStr">
        <is>
          <t xml:space="preserve">    "timestamp": "2026-06-12T17:15:49.438405",</t>
        </is>
      </c>
    </row>
    <row r="528">
      <c r="A528" s="7" t="n">
        <v>525</v>
      </c>
      <c r="B528" s="8" t="inlineStr">
        <is>
          <t xml:space="preserve">    "test_results": [</t>
        </is>
      </c>
    </row>
    <row r="529">
      <c r="A529" s="9" t="n">
        <v>526</v>
      </c>
      <c r="B529" s="10" t="inlineStr">
        <is>
          <t xml:space="preserve">      {</t>
        </is>
      </c>
    </row>
    <row r="530">
      <c r="A530" s="7" t="n">
        <v>527</v>
      </c>
      <c r="B530" s="8" t="inlineStr">
        <is>
          <t xml:space="preserve">        "action": "syntax_check",</t>
        </is>
      </c>
    </row>
    <row r="531">
      <c r="A531" s="9" t="n">
        <v>528</v>
      </c>
      <c r="B531" s="10" t="inlineStr">
        <is>
          <t xml:space="preserve">        "success": true,</t>
        </is>
      </c>
    </row>
    <row r="532">
      <c r="A532" s="7" t="n">
        <v>529</v>
      </c>
      <c r="B532" s="8" t="inlineStr">
        <is>
          <t xml:space="preserve">        "errors": []</t>
        </is>
      </c>
    </row>
    <row r="533">
      <c r="A533" s="9" t="n">
        <v>530</v>
      </c>
      <c r="B533" s="10" t="inlineStr">
        <is>
          <t xml:space="preserve">      },</t>
        </is>
      </c>
    </row>
    <row r="534">
      <c r="A534" s="7" t="n">
        <v>531</v>
      </c>
      <c r="B534" s="8" t="inlineStr">
        <is>
          <t xml:space="preserve">      {</t>
        </is>
      </c>
    </row>
    <row r="535">
      <c r="A535" s="9" t="n">
        <v>532</v>
      </c>
      <c r="B535" s="10" t="inlineStr">
        <is>
          <t xml:space="preserve">        "action": "db_integrity",</t>
        </is>
      </c>
    </row>
    <row r="536">
      <c r="A536" s="7" t="n">
        <v>533</v>
      </c>
      <c r="B536" s="8" t="inlineStr">
        <is>
          <t xml:space="preserve">        "success": true,</t>
        </is>
      </c>
    </row>
    <row r="537">
      <c r="A537" s="9" t="n">
        <v>534</v>
      </c>
      <c r="B537" s="10" t="inlineStr">
        <is>
          <t xml:space="preserve">        "error": null,</t>
        </is>
      </c>
    </row>
    <row r="538">
      <c r="A538" s="7" t="n">
        <v>535</v>
      </c>
      <c r="B538" s="8" t="inlineStr">
        <is>
          <t xml:space="preserve">        "stats": {</t>
        </is>
      </c>
    </row>
    <row r="539">
      <c r="A539" s="9" t="n">
        <v>536</v>
      </c>
      <c r="B539" s="10" t="inlineStr">
        <is>
          <t xml:space="preserve">          "materials": 16143,</t>
        </is>
      </c>
    </row>
    <row r="540">
      <c r="A540" s="7" t="n">
        <v>537</v>
      </c>
      <c r="B540" s="8" t="inlineStr">
        <is>
          <t xml:space="preserve">          "sqlite_sequence": 8,</t>
        </is>
      </c>
    </row>
    <row r="541">
      <c r="A541" s="9" t="n">
        <v>538</v>
      </c>
      <c r="B541" s="10" t="inlineStr">
        <is>
          <t xml:space="preserve">          "video_registry": 6745,</t>
        </is>
      </c>
    </row>
    <row r="542">
      <c r="A542" s="7" t="n">
        <v>539</v>
      </c>
      <c r="B542" s="8" t="inlineStr">
        <is>
          <t xml:space="preserve">          "ctr_feedback": 0,</t>
        </is>
      </c>
    </row>
    <row r="543">
      <c r="A543" s="9" t="n">
        <v>540</v>
      </c>
      <c r="B543" s="10" t="inlineStr">
        <is>
          <t xml:space="preserve">          "trending_analysis": 0,</t>
        </is>
      </c>
    </row>
    <row r="544">
      <c r="A544" s="7" t="n">
        <v>541</v>
      </c>
      <c r="B544" s="8" t="inlineStr">
        <is>
          <t xml:space="preserve">          "account_matrix": 0,</t>
        </is>
      </c>
    </row>
    <row r="545">
      <c r="A545" s="9" t="n">
        <v>542</v>
      </c>
      <c r="B545" s="10" t="inlineStr">
        <is>
          <t xml:space="preserve">          "analysis_log": 756,</t>
        </is>
      </c>
    </row>
    <row r="546">
      <c r="A546" s="7" t="n">
        <v>543</v>
      </c>
      <c r="B546" s="8" t="inlineStr">
        <is>
          <t xml:space="preserve">          "video_annotations": 18,</t>
        </is>
      </c>
    </row>
    <row r="547">
      <c r="A547" s="9" t="n">
        <v>544</v>
      </c>
      <c r="B547" s="10" t="inlineStr">
        <is>
          <t xml:space="preserve">          "annotation_feedback": 0,</t>
        </is>
      </c>
    </row>
    <row r="548">
      <c r="A548" s="7" t="n">
        <v>545</v>
      </c>
      <c r="B548" s="8" t="inlineStr">
        <is>
          <t xml:space="preserve">          "tag_learning": 0,</t>
        </is>
      </c>
    </row>
    <row r="549">
      <c r="A549" s="9" t="n">
        <v>546</v>
      </c>
      <c r="B549" s="10" t="inlineStr">
        <is>
          <t xml:space="preserve">          "learned_scripts": 275,</t>
        </is>
      </c>
    </row>
    <row r="550">
      <c r="A550" s="7" t="n">
        <v>547</v>
      </c>
      <c r="B550" s="8" t="inlineStr">
        <is>
          <t xml:space="preserve">          "generation_log": 0,</t>
        </is>
      </c>
    </row>
    <row r="551">
      <c r="A551" s="9" t="n">
        <v>548</v>
      </c>
      <c r="B551" s="10" t="inlineStr">
        <is>
          <t xml:space="preserve">          "model_calls": 0,</t>
        </is>
      </c>
    </row>
    <row r="552">
      <c r="A552" s="7" t="n">
        <v>549</v>
      </c>
      <c r="B552" s="8" t="inlineStr">
        <is>
          <t xml:space="preserve">          "model_usage_log": 0,</t>
        </is>
      </c>
    </row>
    <row r="553">
      <c r="A553" s="9" t="n">
        <v>550</v>
      </c>
      <c r="B553" s="10" t="inlineStr">
        <is>
          <t xml:space="preserve">          "material_generation_log": 13,</t>
        </is>
      </c>
    </row>
    <row r="554">
      <c r="A554" s="7" t="n">
        <v>551</v>
      </c>
      <c r="B554" s="8" t="inlineStr">
        <is>
          <t xml:space="preserve">          "generation_video_log": 2,</t>
        </is>
      </c>
    </row>
    <row r="555">
      <c r="A555" s="9" t="n">
        <v>552</v>
      </c>
      <c r="B555" s="10" t="inlineStr">
        <is>
          <t xml:space="preserve">          "generation_material_log": 13,</t>
        </is>
      </c>
    </row>
    <row r="556">
      <c r="A556" s="7" t="n">
        <v>553</v>
      </c>
      <c r="B556" s="8" t="inlineStr">
        <is>
          <t xml:space="preserve">          "material_feedback": 0,</t>
        </is>
      </c>
    </row>
    <row r="557">
      <c r="A557" s="9" t="n">
        <v>554</v>
      </c>
      <c r="B557" s="10" t="inlineStr">
        <is>
          <t xml:space="preserve">          "video_frames": 3</t>
        </is>
      </c>
    </row>
    <row r="558">
      <c r="A558" s="7" t="n">
        <v>555</v>
      </c>
      <c r="B558" s="8" t="inlineStr">
        <is>
          <t xml:space="preserve">        }</t>
        </is>
      </c>
    </row>
    <row r="559">
      <c r="A559" s="9" t="n">
        <v>556</v>
      </c>
      <c r="B559" s="10" t="inlineStr">
        <is>
          <t xml:space="preserve">      },</t>
        </is>
      </c>
    </row>
    <row r="560">
      <c r="A560" s="7" t="n">
        <v>557</v>
      </c>
      <c r="B560" s="8" t="inlineStr">
        <is>
          <t xml:space="preserve">      {</t>
        </is>
      </c>
    </row>
    <row r="561">
      <c r="A561" s="9" t="n">
        <v>558</v>
      </c>
      <c r="B561" s="10" t="inlineStr">
        <is>
          <t xml:space="preserve">        "action": "system_status",</t>
        </is>
      </c>
    </row>
    <row r="562">
      <c r="A562" s="7" t="n">
        <v>559</v>
      </c>
      <c r="B562" s="8" t="inlineStr">
        <is>
          <t xml:space="preserve">        "success": true,</t>
        </is>
      </c>
    </row>
    <row r="563">
      <c r="A563" s="9" t="n">
        <v>560</v>
      </c>
      <c r="B563" s="10" t="inlineStr">
        <is>
          <t xml:space="preserve">        "error": null,</t>
        </is>
      </c>
    </row>
    <row r="564">
      <c r="A564" s="7" t="n">
        <v>561</v>
      </c>
      <c r="B564" s="8" t="inlineStr">
        <is>
          <t xml:space="preserve">        "checks": {</t>
        </is>
      </c>
    </row>
    <row r="565">
      <c r="A565" s="9" t="n">
        <v>562</v>
      </c>
      <c r="B565" s="10" t="inlineStr">
        <is>
          <t xml:space="preserve">          "FAISS索引": "[OK]",</t>
        </is>
      </c>
    </row>
    <row r="566">
      <c r="A566" s="7" t="n">
        <v>563</v>
      </c>
      <c r="B566" s="8" t="inlineStr">
        <is>
          <t xml:space="preserve">          "素材片段": "有数据",</t>
        </is>
      </c>
    </row>
    <row r="567">
      <c r="A567" s="9" t="n">
        <v>564</v>
      </c>
      <c r="B567" s="10" t="inlineStr">
        <is>
          <t xml:space="preserve">          "DeepSeek": "[OK]"</t>
        </is>
      </c>
    </row>
    <row r="568">
      <c r="A568" s="7" t="n">
        <v>565</v>
      </c>
      <c r="B568" s="8" t="inlineStr">
        <is>
          <t xml:space="preserve">        }</t>
        </is>
      </c>
    </row>
    <row r="569">
      <c r="A569" s="9" t="n">
        <v>566</v>
      </c>
      <c r="B569" s="10" t="inlineStr">
        <is>
          <t xml:space="preserve">      }</t>
        </is>
      </c>
    </row>
    <row r="570">
      <c r="A570" s="7" t="n">
        <v>567</v>
      </c>
      <c r="B570" s="8" t="inlineStr">
        <is>
          <t xml:space="preserve">    ],</t>
        </is>
      </c>
    </row>
    <row r="571">
      <c r="A571" s="9" t="n">
        <v>568</v>
      </c>
      <c r="B571" s="10" t="inlineStr">
        <is>
          <t xml:space="preserve">    "errors_found": [],</t>
        </is>
      </c>
    </row>
    <row r="572">
      <c r="A572" s="7" t="n">
        <v>569</v>
      </c>
      <c r="B572" s="8" t="inlineStr">
        <is>
          <t xml:space="preserve">    "fixes_applied": [],</t>
        </is>
      </c>
    </row>
    <row r="573">
      <c r="A573" s="9" t="n">
        <v>570</v>
      </c>
      <c r="B573" s="10" t="inlineStr">
        <is>
          <t xml:space="preserve">    "success": true</t>
        </is>
      </c>
    </row>
    <row r="574">
      <c r="A574" s="7" t="n">
        <v>571</v>
      </c>
      <c r="B574" s="8" t="inlineStr">
        <is>
          <t xml:space="preserve">  },</t>
        </is>
      </c>
    </row>
    <row r="575">
      <c r="A575" s="9" t="n">
        <v>572</v>
      </c>
      <c r="B575" s="10" t="inlineStr">
        <is>
          <t xml:space="preserve">  {</t>
        </is>
      </c>
    </row>
    <row r="576">
      <c r="A576" s="7" t="n">
        <v>573</v>
      </c>
      <c r="B576" s="8" t="inlineStr">
        <is>
          <t xml:space="preserve">    "iteration": 2,</t>
        </is>
      </c>
    </row>
    <row r="577">
      <c r="A577" s="9" t="n">
        <v>574</v>
      </c>
      <c r="B577" s="10" t="inlineStr">
        <is>
          <t xml:space="preserve">    "timestamp": "2026-06-12T17:18:31.734524",</t>
        </is>
      </c>
    </row>
    <row r="578">
      <c r="A578" s="7" t="n">
        <v>575</v>
      </c>
      <c r="B578" s="8" t="inlineStr">
        <is>
          <t xml:space="preserve">    "test_results": [</t>
        </is>
      </c>
    </row>
    <row r="579">
      <c r="A579" s="9" t="n">
        <v>576</v>
      </c>
      <c r="B579" s="10" t="inlineStr">
        <is>
          <t xml:space="preserve">      {</t>
        </is>
      </c>
    </row>
    <row r="580">
      <c r="A580" s="7" t="n">
        <v>577</v>
      </c>
      <c r="B580" s="8" t="inlineStr">
        <is>
          <t xml:space="preserve">        "action": "syntax_check",</t>
        </is>
      </c>
    </row>
    <row r="581">
      <c r="A581" s="9" t="n">
        <v>578</v>
      </c>
      <c r="B581" s="10" t="inlineStr">
        <is>
          <t xml:space="preserve">        "success": true,</t>
        </is>
      </c>
    </row>
    <row r="582">
      <c r="A582" s="7" t="n">
        <v>579</v>
      </c>
      <c r="B582" s="8" t="inlineStr">
        <is>
          <t xml:space="preserve">        "errors": []</t>
        </is>
      </c>
    </row>
    <row r="583">
      <c r="A583" s="9" t="n">
        <v>580</v>
      </c>
      <c r="B583" s="10" t="inlineStr">
        <is>
          <t xml:space="preserve">      },</t>
        </is>
      </c>
    </row>
    <row r="584">
      <c r="A584" s="7" t="n">
        <v>581</v>
      </c>
      <c r="B584" s="8" t="inlineStr">
        <is>
          <t xml:space="preserve">      {</t>
        </is>
      </c>
    </row>
    <row r="585">
      <c r="A585" s="9" t="n">
        <v>582</v>
      </c>
      <c r="B585" s="10" t="inlineStr">
        <is>
          <t xml:space="preserve">        "action": "db_integrity",</t>
        </is>
      </c>
    </row>
    <row r="586">
      <c r="A586" s="7" t="n">
        <v>583</v>
      </c>
      <c r="B586" s="8" t="inlineStr">
        <is>
          <t xml:space="preserve">        "success": true,</t>
        </is>
      </c>
    </row>
    <row r="587">
      <c r="A587" s="9" t="n">
        <v>584</v>
      </c>
      <c r="B587" s="10" t="inlineStr">
        <is>
          <t xml:space="preserve">        "error": null,</t>
        </is>
      </c>
    </row>
    <row r="588">
      <c r="A588" s="7" t="n">
        <v>585</v>
      </c>
      <c r="B588" s="8" t="inlineStr">
        <is>
          <t xml:space="preserve">        "stats": {</t>
        </is>
      </c>
    </row>
    <row r="589">
      <c r="A589" s="9" t="n">
        <v>586</v>
      </c>
      <c r="B589" s="10" t="inlineStr">
        <is>
          <t xml:space="preserve">          "materials": 16143,</t>
        </is>
      </c>
    </row>
    <row r="590">
      <c r="A590" s="7" t="n">
        <v>587</v>
      </c>
      <c r="B590" s="8" t="inlineStr">
        <is>
          <t xml:space="preserve">          "sqlite_sequence": 8,</t>
        </is>
      </c>
    </row>
    <row r="591">
      <c r="A591" s="9" t="n">
        <v>588</v>
      </c>
      <c r="B591" s="10" t="inlineStr">
        <is>
          <t xml:space="preserve">          "video_registry": 6745,</t>
        </is>
      </c>
    </row>
    <row r="592">
      <c r="A592" s="7" t="n">
        <v>589</v>
      </c>
      <c r="B592" s="8" t="inlineStr">
        <is>
          <t xml:space="preserve">          "ctr_feedback": 0,</t>
        </is>
      </c>
    </row>
    <row r="593">
      <c r="A593" s="9" t="n">
        <v>590</v>
      </c>
      <c r="B593" s="10" t="inlineStr">
        <is>
          <t xml:space="preserve">          "trending_analysis": 0,</t>
        </is>
      </c>
    </row>
    <row r="594">
      <c r="A594" s="7" t="n">
        <v>591</v>
      </c>
      <c r="B594" s="8" t="inlineStr">
        <is>
          <t xml:space="preserve">          "account_matrix": 0,</t>
        </is>
      </c>
    </row>
    <row r="595">
      <c r="A595" s="9" t="n">
        <v>592</v>
      </c>
      <c r="B595" s="10" t="inlineStr">
        <is>
          <t xml:space="preserve">          "analysis_log": 756,</t>
        </is>
      </c>
    </row>
    <row r="596">
      <c r="A596" s="7" t="n">
        <v>593</v>
      </c>
      <c r="B596" s="8" t="inlineStr">
        <is>
          <t xml:space="preserve">          "video_annotations": 18,</t>
        </is>
      </c>
    </row>
    <row r="597">
      <c r="A597" s="9" t="n">
        <v>594</v>
      </c>
      <c r="B597" s="10" t="inlineStr">
        <is>
          <t xml:space="preserve">          "annotation_feedback": 0,</t>
        </is>
      </c>
    </row>
    <row r="598">
      <c r="A598" s="7" t="n">
        <v>595</v>
      </c>
      <c r="B598" s="8" t="inlineStr">
        <is>
          <t xml:space="preserve">          "tag_learning": 0,</t>
        </is>
      </c>
    </row>
    <row r="599">
      <c r="A599" s="9" t="n">
        <v>596</v>
      </c>
      <c r="B599" s="10" t="inlineStr">
        <is>
          <t xml:space="preserve">          "learned_scripts": 275,</t>
        </is>
      </c>
    </row>
    <row r="600">
      <c r="A600" s="7" t="n">
        <v>597</v>
      </c>
      <c r="B600" s="8" t="inlineStr">
        <is>
          <t xml:space="preserve">          "generation_log": 0,</t>
        </is>
      </c>
    </row>
    <row r="601">
      <c r="A601" s="9" t="n">
        <v>598</v>
      </c>
      <c r="B601" s="10" t="inlineStr">
        <is>
          <t xml:space="preserve">          "model_calls": 0,</t>
        </is>
      </c>
    </row>
    <row r="602">
      <c r="A602" s="7" t="n">
        <v>599</v>
      </c>
      <c r="B602" s="8" t="inlineStr">
        <is>
          <t xml:space="preserve">          "model_usage_log": 0,</t>
        </is>
      </c>
    </row>
    <row r="603">
      <c r="A603" s="9" t="n">
        <v>600</v>
      </c>
      <c r="B603" s="10" t="inlineStr">
        <is>
          <t xml:space="preserve">          "material_generation_log": 13,</t>
        </is>
      </c>
    </row>
    <row r="604">
      <c r="A604" s="7" t="n">
        <v>601</v>
      </c>
      <c r="B604" s="8" t="inlineStr">
        <is>
          <t xml:space="preserve">          "generation_video_log": 2,</t>
        </is>
      </c>
    </row>
    <row r="605">
      <c r="A605" s="9" t="n">
        <v>602</v>
      </c>
      <c r="B605" s="10" t="inlineStr">
        <is>
          <t xml:space="preserve">          "generation_material_log": 13,</t>
        </is>
      </c>
    </row>
    <row r="606">
      <c r="A606" s="7" t="n">
        <v>603</v>
      </c>
      <c r="B606" s="8" t="inlineStr">
        <is>
          <t xml:space="preserve">          "material_feedback": 0,</t>
        </is>
      </c>
    </row>
    <row r="607">
      <c r="A607" s="9" t="n">
        <v>604</v>
      </c>
      <c r="B607" s="10" t="inlineStr">
        <is>
          <t xml:space="preserve">          "video_frames": 3</t>
        </is>
      </c>
    </row>
    <row r="608">
      <c r="A608" s="7" t="n">
        <v>605</v>
      </c>
      <c r="B608" s="8" t="inlineStr">
        <is>
          <t xml:space="preserve">        }</t>
        </is>
      </c>
    </row>
    <row r="609">
      <c r="A609" s="9" t="n">
        <v>606</v>
      </c>
      <c r="B609" s="10" t="inlineStr">
        <is>
          <t xml:space="preserve">      },</t>
        </is>
      </c>
    </row>
    <row r="610">
      <c r="A610" s="7" t="n">
        <v>607</v>
      </c>
      <c r="B610" s="8" t="inlineStr">
        <is>
          <t xml:space="preserve">      {</t>
        </is>
      </c>
    </row>
    <row r="611">
      <c r="A611" s="9" t="n">
        <v>608</v>
      </c>
      <c r="B611" s="10" t="inlineStr">
        <is>
          <t xml:space="preserve">        "action": "system_status",</t>
        </is>
      </c>
    </row>
    <row r="612">
      <c r="A612" s="7" t="n">
        <v>609</v>
      </c>
      <c r="B612" s="8" t="inlineStr">
        <is>
          <t xml:space="preserve">        "success": true,</t>
        </is>
      </c>
    </row>
    <row r="613">
      <c r="A613" s="9" t="n">
        <v>610</v>
      </c>
      <c r="B613" s="10" t="inlineStr">
        <is>
          <t xml:space="preserve">        "error": null,</t>
        </is>
      </c>
    </row>
    <row r="614">
      <c r="A614" s="7" t="n">
        <v>611</v>
      </c>
      <c r="B614" s="8" t="inlineStr">
        <is>
          <t xml:space="preserve">        "checks": {</t>
        </is>
      </c>
    </row>
    <row r="615">
      <c r="A615" s="9" t="n">
        <v>612</v>
      </c>
      <c r="B615" s="10" t="inlineStr">
        <is>
          <t xml:space="preserve">          "FAISS索引": "[OK]",</t>
        </is>
      </c>
    </row>
    <row r="616">
      <c r="A616" s="7" t="n">
        <v>613</v>
      </c>
      <c r="B616" s="8" t="inlineStr">
        <is>
          <t xml:space="preserve">          "素材片段": "有数据",</t>
        </is>
      </c>
    </row>
    <row r="617">
      <c r="A617" s="9" t="n">
        <v>614</v>
      </c>
      <c r="B617" s="10" t="inlineStr">
        <is>
          <t xml:space="preserve">          "DeepSeek": "[OK]"</t>
        </is>
      </c>
    </row>
    <row r="618">
      <c r="A618" s="7" t="n">
        <v>615</v>
      </c>
      <c r="B618" s="8" t="inlineStr">
        <is>
          <t xml:space="preserve">        }</t>
        </is>
      </c>
    </row>
    <row r="619">
      <c r="A619" s="9" t="n">
        <v>616</v>
      </c>
      <c r="B619" s="10" t="inlineStr">
        <is>
          <t xml:space="preserve">      },</t>
        </is>
      </c>
    </row>
    <row r="620">
      <c r="A620" s="7" t="n">
        <v>617</v>
      </c>
      <c r="B620" s="8" t="inlineStr">
        <is>
          <t xml:space="preserve">      {</t>
        </is>
      </c>
    </row>
    <row r="621">
      <c r="A621" s="9" t="n">
        <v>618</v>
      </c>
      <c r="B621" s="10" t="inlineStr">
        <is>
          <t xml:space="preserve">        "action": "frame_annotation",</t>
        </is>
      </c>
    </row>
    <row r="622">
      <c r="A622" s="7" t="n">
        <v>619</v>
      </c>
      <c r="B622" s="8" t="inlineStr">
        <is>
          <t xml:space="preserve">        "success": false,</t>
        </is>
      </c>
    </row>
    <row r="623">
      <c r="A623" s="9" t="n">
        <v>620</v>
      </c>
      <c r="B623" s="10" t="inlineStr">
        <is>
          <t xml:space="preserve">        "error": {</t>
        </is>
      </c>
    </row>
    <row r="624">
      <c r="A624" s="7" t="n">
        <v>621</v>
      </c>
      <c r="B624" s="8" t="inlineStr">
        <is>
          <t xml:space="preserve">          "type": "Timeout",</t>
        </is>
      </c>
    </row>
    <row r="625">
      <c r="A625" s="9" t="n">
        <v>622</v>
      </c>
      <c r="B625" s="10" t="inlineStr">
        <is>
          <t xml:space="preserve">          "msg": "全帧识别超时(60s), 已跳过"</t>
        </is>
      </c>
    </row>
    <row r="626">
      <c r="A626" s="7" t="n">
        <v>623</v>
      </c>
      <c r="B626" s="8" t="inlineStr">
        <is>
          <t xml:space="preserve">        },</t>
        </is>
      </c>
    </row>
    <row r="627">
      <c r="A627" s="9" t="n">
        <v>624</v>
      </c>
      <c r="B627" s="10" t="inlineStr">
        <is>
          <t xml:space="preserve">        "frames_analyzed": 0,</t>
        </is>
      </c>
    </row>
    <row r="628">
      <c r="A628" s="7" t="n">
        <v>625</v>
      </c>
      <c r="B628" s="8" t="inlineStr">
        <is>
          <t xml:space="preserve">        "mode": "quick"</t>
        </is>
      </c>
    </row>
    <row r="629">
      <c r="A629" s="9" t="n">
        <v>626</v>
      </c>
      <c r="B629" s="10" t="inlineStr">
        <is>
          <t xml:space="preserve">      }</t>
        </is>
      </c>
    </row>
    <row r="630">
      <c r="A630" s="7" t="n">
        <v>627</v>
      </c>
      <c r="B630" s="8" t="inlineStr">
        <is>
          <t xml:space="preserve">    ],</t>
        </is>
      </c>
    </row>
    <row r="631">
      <c r="A631" s="9" t="n">
        <v>628</v>
      </c>
      <c r="B631" s="10" t="inlineStr">
        <is>
          <t xml:space="preserve">    "errors_found": [</t>
        </is>
      </c>
    </row>
    <row r="632">
      <c r="A632" s="7" t="n">
        <v>629</v>
      </c>
      <c r="B632" s="8" t="inlineStr">
        <is>
          <t xml:space="preserve">      {</t>
        </is>
      </c>
    </row>
    <row r="633">
      <c r="A633" s="9" t="n">
        <v>630</v>
      </c>
      <c r="B633" s="10" t="inlineStr">
        <is>
          <t xml:space="preserve">        "type": "Timeout",</t>
        </is>
      </c>
    </row>
    <row r="634">
      <c r="A634" s="7" t="n">
        <v>631</v>
      </c>
      <c r="B634" s="8" t="inlineStr">
        <is>
          <t xml:space="preserve">        "msg": "全帧识别超时(60s), 已跳过"</t>
        </is>
      </c>
    </row>
    <row r="635">
      <c r="A635" s="9" t="n">
        <v>632</v>
      </c>
      <c r="B635" s="10" t="inlineStr">
        <is>
          <t xml:space="preserve">      }</t>
        </is>
      </c>
    </row>
    <row r="636">
      <c r="A636" s="7" t="n">
        <v>633</v>
      </c>
      <c r="B636" s="8" t="inlineStr">
        <is>
          <t xml:space="preserve">    ],</t>
        </is>
      </c>
    </row>
    <row r="637">
      <c r="A637" s="9" t="n">
        <v>634</v>
      </c>
      <c r="B637" s="10" t="inlineStr">
        <is>
          <t xml:space="preserve">    "fixes_applied": [],</t>
        </is>
      </c>
    </row>
    <row r="638">
      <c r="A638" s="7" t="n">
        <v>635</v>
      </c>
      <c r="B638" s="8" t="inlineStr">
        <is>
          <t xml:space="preserve">    "success": true</t>
        </is>
      </c>
    </row>
    <row r="639">
      <c r="A639" s="9" t="n">
        <v>636</v>
      </c>
      <c r="B639" s="10" t="inlineStr">
        <is>
          <t xml:space="preserve">  },</t>
        </is>
      </c>
    </row>
    <row r="640">
      <c r="A640" s="7" t="n">
        <v>637</v>
      </c>
      <c r="B640" s="8" t="inlineStr">
        <is>
          <t xml:space="preserve">  {</t>
        </is>
      </c>
    </row>
    <row r="641">
      <c r="A641" s="9" t="n">
        <v>638</v>
      </c>
      <c r="B641" s="10" t="inlineStr">
        <is>
          <t xml:space="preserve">    "iteration": 3,</t>
        </is>
      </c>
    </row>
    <row r="642">
      <c r="A642" s="7" t="n">
        <v>639</v>
      </c>
      <c r="B642" s="8" t="inlineStr">
        <is>
          <t xml:space="preserve">    "timestamp": "2026-06-12T17:25:02.004689",</t>
        </is>
      </c>
    </row>
    <row r="643">
      <c r="A643" s="9" t="n">
        <v>640</v>
      </c>
      <c r="B643" s="10" t="inlineStr">
        <is>
          <t xml:space="preserve">    "test_results": [</t>
        </is>
      </c>
    </row>
    <row r="644">
      <c r="A644" s="7" t="n">
        <v>641</v>
      </c>
      <c r="B644" s="8" t="inlineStr">
        <is>
          <t xml:space="preserve">      {</t>
        </is>
      </c>
    </row>
    <row r="645">
      <c r="A645" s="9" t="n">
        <v>642</v>
      </c>
      <c r="B645" s="10" t="inlineStr">
        <is>
          <t xml:space="preserve">        "action": "syntax_check",</t>
        </is>
      </c>
    </row>
    <row r="646">
      <c r="A646" s="7" t="n">
        <v>643</v>
      </c>
      <c r="B646" s="8" t="inlineStr">
        <is>
          <t xml:space="preserve">        "success": true,</t>
        </is>
      </c>
    </row>
    <row r="647">
      <c r="A647" s="9" t="n">
        <v>644</v>
      </c>
      <c r="B647" s="10" t="inlineStr">
        <is>
          <t xml:space="preserve">        "errors": []</t>
        </is>
      </c>
    </row>
    <row r="648">
      <c r="A648" s="7" t="n">
        <v>645</v>
      </c>
      <c r="B648" s="8" t="inlineStr">
        <is>
          <t xml:space="preserve">      },</t>
        </is>
      </c>
    </row>
    <row r="649">
      <c r="A649" s="9" t="n">
        <v>646</v>
      </c>
      <c r="B649" s="10" t="inlineStr">
        <is>
          <t xml:space="preserve">      {</t>
        </is>
      </c>
    </row>
    <row r="650">
      <c r="A650" s="7" t="n">
        <v>647</v>
      </c>
      <c r="B650" s="8" t="inlineStr">
        <is>
          <t xml:space="preserve">        "action": "db_integrity",</t>
        </is>
      </c>
    </row>
    <row r="651">
      <c r="A651" s="9" t="n">
        <v>648</v>
      </c>
      <c r="B651" s="10" t="inlineStr">
        <is>
          <t xml:space="preserve">        "success": true,</t>
        </is>
      </c>
    </row>
    <row r="652">
      <c r="A652" s="7" t="n">
        <v>649</v>
      </c>
      <c r="B652" s="8" t="inlineStr">
        <is>
          <t xml:space="preserve">        "error": null,</t>
        </is>
      </c>
    </row>
    <row r="653">
      <c r="A653" s="9" t="n">
        <v>650</v>
      </c>
      <c r="B653" s="10" t="inlineStr">
        <is>
          <t xml:space="preserve">        "stats": {</t>
        </is>
      </c>
    </row>
    <row r="654">
      <c r="A654" s="7" t="n">
        <v>651</v>
      </c>
      <c r="B654" s="8" t="inlineStr">
        <is>
          <t xml:space="preserve">          "materials": 16143,</t>
        </is>
      </c>
    </row>
    <row r="655">
      <c r="A655" s="9" t="n">
        <v>652</v>
      </c>
      <c r="B655" s="10" t="inlineStr">
        <is>
          <t xml:space="preserve">          "sqlite_sequence": 8,</t>
        </is>
      </c>
    </row>
    <row r="656">
      <c r="A656" s="7" t="n">
        <v>653</v>
      </c>
      <c r="B656" s="8" t="inlineStr">
        <is>
          <t xml:space="preserve">          "video_registry": 6745,</t>
        </is>
      </c>
    </row>
    <row r="657">
      <c r="A657" s="9" t="n">
        <v>654</v>
      </c>
      <c r="B657" s="10" t="inlineStr">
        <is>
          <t xml:space="preserve">          "ctr_feedback": 0,</t>
        </is>
      </c>
    </row>
    <row r="658">
      <c r="A658" s="7" t="n">
        <v>655</v>
      </c>
      <c r="B658" s="8" t="inlineStr">
        <is>
          <t xml:space="preserve">          "trending_analysis": 0,</t>
        </is>
      </c>
    </row>
    <row r="659">
      <c r="A659" s="9" t="n">
        <v>656</v>
      </c>
      <c r="B659" s="10" t="inlineStr">
        <is>
          <t xml:space="preserve">          "account_matrix": 0,</t>
        </is>
      </c>
    </row>
    <row r="660">
      <c r="A660" s="7" t="n">
        <v>657</v>
      </c>
      <c r="B660" s="8" t="inlineStr">
        <is>
          <t xml:space="preserve">          "analysis_log": 756,</t>
        </is>
      </c>
    </row>
    <row r="661">
      <c r="A661" s="9" t="n">
        <v>658</v>
      </c>
      <c r="B661" s="10" t="inlineStr">
        <is>
          <t xml:space="preserve">          "video_annotations": 18,</t>
        </is>
      </c>
    </row>
    <row r="662">
      <c r="A662" s="7" t="n">
        <v>659</v>
      </c>
      <c r="B662" s="8" t="inlineStr">
        <is>
          <t xml:space="preserve">          "annotation_feedback": 0,</t>
        </is>
      </c>
    </row>
    <row r="663">
      <c r="A663" s="9" t="n">
        <v>660</v>
      </c>
      <c r="B663" s="10" t="inlineStr">
        <is>
          <t xml:space="preserve">          "tag_learning": 0,</t>
        </is>
      </c>
    </row>
    <row r="664">
      <c r="A664" s="7" t="n">
        <v>661</v>
      </c>
      <c r="B664" s="8" t="inlineStr">
        <is>
          <t xml:space="preserve">          "learned_scripts": 275,</t>
        </is>
      </c>
    </row>
    <row r="665">
      <c r="A665" s="9" t="n">
        <v>662</v>
      </c>
      <c r="B665" s="10" t="inlineStr">
        <is>
          <t xml:space="preserve">          "generation_log": 0,</t>
        </is>
      </c>
    </row>
    <row r="666">
      <c r="A666" s="7" t="n">
        <v>663</v>
      </c>
      <c r="B666" s="8" t="inlineStr">
        <is>
          <t xml:space="preserve">          "model_calls": 0,</t>
        </is>
      </c>
    </row>
    <row r="667">
      <c r="A667" s="9" t="n">
        <v>664</v>
      </c>
      <c r="B667" s="10" t="inlineStr">
        <is>
          <t xml:space="preserve">          "model_usage_log": 0,</t>
        </is>
      </c>
    </row>
    <row r="668">
      <c r="A668" s="7" t="n">
        <v>665</v>
      </c>
      <c r="B668" s="8" t="inlineStr">
        <is>
          <t xml:space="preserve">          "material_generation_log": 13,</t>
        </is>
      </c>
    </row>
    <row r="669">
      <c r="A669" s="9" t="n">
        <v>666</v>
      </c>
      <c r="B669" s="10" t="inlineStr">
        <is>
          <t xml:space="preserve">          "generation_video_log": 2,</t>
        </is>
      </c>
    </row>
    <row r="670">
      <c r="A670" s="7" t="n">
        <v>667</v>
      </c>
      <c r="B670" s="8" t="inlineStr">
        <is>
          <t xml:space="preserve">          "generation_material_log": 13,</t>
        </is>
      </c>
    </row>
    <row r="671">
      <c r="A671" s="9" t="n">
        <v>668</v>
      </c>
      <c r="B671" s="10" t="inlineStr">
        <is>
          <t xml:space="preserve">          "material_feedback": 0,</t>
        </is>
      </c>
    </row>
    <row r="672">
      <c r="A672" s="7" t="n">
        <v>669</v>
      </c>
      <c r="B672" s="8" t="inlineStr">
        <is>
          <t xml:space="preserve">          "video_frames": 3</t>
        </is>
      </c>
    </row>
    <row r="673">
      <c r="A673" s="9" t="n">
        <v>670</v>
      </c>
      <c r="B673" s="10" t="inlineStr">
        <is>
          <t xml:space="preserve">        }</t>
        </is>
      </c>
    </row>
    <row r="674">
      <c r="A674" s="7" t="n">
        <v>671</v>
      </c>
      <c r="B674" s="8" t="inlineStr">
        <is>
          <t xml:space="preserve">      },</t>
        </is>
      </c>
    </row>
    <row r="675">
      <c r="A675" s="9" t="n">
        <v>672</v>
      </c>
      <c r="B675" s="10" t="inlineStr">
        <is>
          <t xml:space="preserve">      {</t>
        </is>
      </c>
    </row>
    <row r="676">
      <c r="A676" s="7" t="n">
        <v>673</v>
      </c>
      <c r="B676" s="8" t="inlineStr">
        <is>
          <t xml:space="preserve">        "action": "system_status",</t>
        </is>
      </c>
    </row>
    <row r="677">
      <c r="A677" s="9" t="n">
        <v>674</v>
      </c>
      <c r="B677" s="10" t="inlineStr">
        <is>
          <t xml:space="preserve">        "success": true,</t>
        </is>
      </c>
    </row>
    <row r="678">
      <c r="A678" s="7" t="n">
        <v>675</v>
      </c>
      <c r="B678" s="8" t="inlineStr">
        <is>
          <t xml:space="preserve">        "error": null,</t>
        </is>
      </c>
    </row>
    <row r="679">
      <c r="A679" s="9" t="n">
        <v>676</v>
      </c>
      <c r="B679" s="10" t="inlineStr">
        <is>
          <t xml:space="preserve">        "checks": {</t>
        </is>
      </c>
    </row>
    <row r="680">
      <c r="A680" s="7" t="n">
        <v>677</v>
      </c>
      <c r="B680" s="8" t="inlineStr">
        <is>
          <t xml:space="preserve">          "FAISS索引": "[OK]",</t>
        </is>
      </c>
    </row>
    <row r="681">
      <c r="A681" s="9" t="n">
        <v>678</v>
      </c>
      <c r="B681" s="10" t="inlineStr">
        <is>
          <t xml:space="preserve">          "素材片段": "有数据",</t>
        </is>
      </c>
    </row>
    <row r="682">
      <c r="A682" s="7" t="n">
        <v>679</v>
      </c>
      <c r="B682" s="8" t="inlineStr">
        <is>
          <t xml:space="preserve">          "DeepSeek": "[OK]"</t>
        </is>
      </c>
    </row>
    <row r="683">
      <c r="A683" s="9" t="n">
        <v>680</v>
      </c>
      <c r="B683" s="10" t="inlineStr">
        <is>
          <t xml:space="preserve">        }</t>
        </is>
      </c>
    </row>
    <row r="684">
      <c r="A684" s="7" t="n">
        <v>681</v>
      </c>
      <c r="B684" s="8" t="inlineStr">
        <is>
          <t xml:space="preserve">      },</t>
        </is>
      </c>
    </row>
    <row r="685">
      <c r="A685" s="9" t="n">
        <v>682</v>
      </c>
      <c r="B685" s="10" t="inlineStr">
        <is>
          <t xml:space="preserve">      {</t>
        </is>
      </c>
    </row>
    <row r="686">
      <c r="A686" s="7" t="n">
        <v>683</v>
      </c>
      <c r="B686" s="8" t="inlineStr">
        <is>
          <t xml:space="preserve">        "action": "single_generate",</t>
        </is>
      </c>
    </row>
    <row r="687">
      <c r="A687" s="9" t="n">
        <v>684</v>
      </c>
      <c r="B687" s="10" t="inlineStr">
        <is>
          <t xml:space="preserve">        "keyword": "奶油风岛台",</t>
        </is>
      </c>
    </row>
    <row r="688">
      <c r="A688" s="7" t="n">
        <v>685</v>
      </c>
      <c r="B688" s="8" t="inlineStr">
        <is>
          <t xml:space="preserve">        "success": false,</t>
        </is>
      </c>
    </row>
    <row r="689">
      <c r="A689" s="9" t="n">
        <v>686</v>
      </c>
      <c r="B689" s="10" t="inlineStr">
        <is>
          <t xml:space="preserve">        "error": {</t>
        </is>
      </c>
    </row>
    <row r="690">
      <c r="A690" s="7" t="n">
        <v>687</v>
      </c>
      <c r="B690" s="8" t="inlineStr">
        <is>
          <t xml:space="preserve">          "type": "Timeout",</t>
        </is>
      </c>
    </row>
    <row r="691">
      <c r="A691" s="9" t="n">
        <v>688</v>
      </c>
      <c r="B691" s="10" t="inlineStr">
        <is>
          <t xml:space="preserve">          "msg": "生成超时(120s)"</t>
        </is>
      </c>
    </row>
    <row r="692">
      <c r="A692" s="7" t="n">
        <v>689</v>
      </c>
      <c r="B692" s="8" t="inlineStr">
        <is>
          <t xml:space="preserve">        }</t>
        </is>
      </c>
    </row>
    <row r="693">
      <c r="A693" s="9" t="n">
        <v>690</v>
      </c>
      <c r="B693" s="10" t="inlineStr">
        <is>
          <t xml:space="preserve">      }</t>
        </is>
      </c>
    </row>
    <row r="694">
      <c r="A694" s="7" t="n">
        <v>691</v>
      </c>
      <c r="B694" s="8" t="inlineStr">
        <is>
          <t xml:space="preserve">    ],</t>
        </is>
      </c>
    </row>
    <row r="695">
      <c r="A695" s="9" t="n">
        <v>692</v>
      </c>
      <c r="B695" s="10" t="inlineStr">
        <is>
          <t xml:space="preserve">    "errors_found": [</t>
        </is>
      </c>
    </row>
    <row r="696">
      <c r="A696" s="7" t="n">
        <v>693</v>
      </c>
      <c r="B696" s="8" t="inlineStr">
        <is>
          <t xml:space="preserve">      {</t>
        </is>
      </c>
    </row>
    <row r="697">
      <c r="A697" s="9" t="n">
        <v>694</v>
      </c>
      <c r="B697" s="10" t="inlineStr">
        <is>
          <t xml:space="preserve">        "type": "Timeout",</t>
        </is>
      </c>
    </row>
    <row r="698">
      <c r="A698" s="7" t="n">
        <v>695</v>
      </c>
      <c r="B698" s="8" t="inlineStr">
        <is>
          <t xml:space="preserve">        "msg": "生成超时(120s)"</t>
        </is>
      </c>
    </row>
    <row r="699">
      <c r="A699" s="9" t="n">
        <v>696</v>
      </c>
      <c r="B699" s="10" t="inlineStr">
        <is>
          <t xml:space="preserve">      }</t>
        </is>
      </c>
    </row>
    <row r="700">
      <c r="A700" s="7" t="n">
        <v>697</v>
      </c>
      <c r="B700" s="8" t="inlineStr">
        <is>
          <t xml:space="preserve">    ],</t>
        </is>
      </c>
    </row>
    <row r="701">
      <c r="A701" s="9" t="n">
        <v>698</v>
      </c>
      <c r="B701" s="10" t="inlineStr">
        <is>
          <t xml:space="preserve">    "fixes_applied": [],</t>
        </is>
      </c>
    </row>
    <row r="702">
      <c r="A702" s="7" t="n">
        <v>699</v>
      </c>
      <c r="B702" s="8" t="inlineStr">
        <is>
          <t xml:space="preserve">    "success": true</t>
        </is>
      </c>
    </row>
    <row r="703">
      <c r="A703" s="9" t="n">
        <v>700</v>
      </c>
      <c r="B703" s="10" t="inlineStr">
        <is>
          <t xml:space="preserve">  },</t>
        </is>
      </c>
    </row>
    <row r="704">
      <c r="A704" s="7" t="n">
        <v>701</v>
      </c>
      <c r="B704" s="8" t="inlineStr">
        <is>
          <t xml:space="preserve">  {</t>
        </is>
      </c>
    </row>
    <row r="705">
      <c r="A705" s="9" t="n">
        <v>702</v>
      </c>
      <c r="B705" s="10" t="inlineStr">
        <is>
          <t xml:space="preserve">    "iteration": 1,</t>
        </is>
      </c>
    </row>
    <row r="706">
      <c r="A706" s="7" t="n">
        <v>703</v>
      </c>
      <c r="B706" s="8" t="inlineStr">
        <is>
          <t xml:space="preserve">    "timestamp": "2026-06-12T17:45:09.445226",</t>
        </is>
      </c>
    </row>
    <row r="707">
      <c r="A707" s="9" t="n">
        <v>704</v>
      </c>
      <c r="B707" s="10" t="inlineStr">
        <is>
          <t xml:space="preserve">    "test_results": [</t>
        </is>
      </c>
    </row>
    <row r="708">
      <c r="A708" s="7" t="n">
        <v>705</v>
      </c>
      <c r="B708" s="8" t="inlineStr">
        <is>
          <t xml:space="preserve">      {</t>
        </is>
      </c>
    </row>
    <row r="709">
      <c r="A709" s="9" t="n">
        <v>706</v>
      </c>
      <c r="B709" s="10" t="inlineStr">
        <is>
          <t xml:space="preserve">        "action": "syntax_check",</t>
        </is>
      </c>
    </row>
    <row r="710">
      <c r="A710" s="7" t="n">
        <v>707</v>
      </c>
      <c r="B710" s="8" t="inlineStr">
        <is>
          <t xml:space="preserve">        "success": true,</t>
        </is>
      </c>
    </row>
    <row r="711">
      <c r="A711" s="9" t="n">
        <v>708</v>
      </c>
      <c r="B711" s="10" t="inlineStr">
        <is>
          <t xml:space="preserve">        "errors": []</t>
        </is>
      </c>
    </row>
    <row r="712">
      <c r="A712" s="7" t="n">
        <v>709</v>
      </c>
      <c r="B712" s="8" t="inlineStr">
        <is>
          <t xml:space="preserve">      },</t>
        </is>
      </c>
    </row>
    <row r="713">
      <c r="A713" s="9" t="n">
        <v>710</v>
      </c>
      <c r="B713" s="10" t="inlineStr">
        <is>
          <t xml:space="preserve">      {</t>
        </is>
      </c>
    </row>
    <row r="714">
      <c r="A714" s="7" t="n">
        <v>711</v>
      </c>
      <c r="B714" s="8" t="inlineStr">
        <is>
          <t xml:space="preserve">        "action": "db_integrity",</t>
        </is>
      </c>
    </row>
    <row r="715">
      <c r="A715" s="9" t="n">
        <v>712</v>
      </c>
      <c r="B715" s="10" t="inlineStr">
        <is>
          <t xml:space="preserve">        "success": true,</t>
        </is>
      </c>
    </row>
    <row r="716">
      <c r="A716" s="7" t="n">
        <v>713</v>
      </c>
      <c r="B716" s="8" t="inlineStr">
        <is>
          <t xml:space="preserve">        "error": null,</t>
        </is>
      </c>
    </row>
    <row r="717">
      <c r="A717" s="9" t="n">
        <v>714</v>
      </c>
      <c r="B717" s="10" t="inlineStr">
        <is>
          <t xml:space="preserve">        "stats": {</t>
        </is>
      </c>
    </row>
    <row r="718">
      <c r="A718" s="7" t="n">
        <v>715</v>
      </c>
      <c r="B718" s="8" t="inlineStr">
        <is>
          <t xml:space="preserve">          "materials": 16143,</t>
        </is>
      </c>
    </row>
    <row r="719">
      <c r="A719" s="9" t="n">
        <v>716</v>
      </c>
      <c r="B719" s="10" t="inlineStr">
        <is>
          <t xml:space="preserve">          "sqlite_sequence": 8,</t>
        </is>
      </c>
    </row>
    <row r="720">
      <c r="A720" s="7" t="n">
        <v>717</v>
      </c>
      <c r="B720" s="8" t="inlineStr">
        <is>
          <t xml:space="preserve">          "video_registry": 6745,</t>
        </is>
      </c>
    </row>
    <row r="721">
      <c r="A721" s="9" t="n">
        <v>718</v>
      </c>
      <c r="B721" s="10" t="inlineStr">
        <is>
          <t xml:space="preserve">          "ctr_feedback": 0,</t>
        </is>
      </c>
    </row>
    <row r="722">
      <c r="A722" s="7" t="n">
        <v>719</v>
      </c>
      <c r="B722" s="8" t="inlineStr">
        <is>
          <t xml:space="preserve">          "trending_analysis": 0,</t>
        </is>
      </c>
    </row>
    <row r="723">
      <c r="A723" s="9" t="n">
        <v>720</v>
      </c>
      <c r="B723" s="10" t="inlineStr">
        <is>
          <t xml:space="preserve">          "account_matrix": 0,</t>
        </is>
      </c>
    </row>
    <row r="724">
      <c r="A724" s="7" t="n">
        <v>721</v>
      </c>
      <c r="B724" s="8" t="inlineStr">
        <is>
          <t xml:space="preserve">          "analysis_log": 756,</t>
        </is>
      </c>
    </row>
    <row r="725">
      <c r="A725" s="9" t="n">
        <v>722</v>
      </c>
      <c r="B725" s="10" t="inlineStr">
        <is>
          <t xml:space="preserve">          "video_annotations": 26,</t>
        </is>
      </c>
    </row>
    <row r="726">
      <c r="A726" s="7" t="n">
        <v>723</v>
      </c>
      <c r="B726" s="8" t="inlineStr">
        <is>
          <t xml:space="preserve">          "annotation_feedback": 0,</t>
        </is>
      </c>
    </row>
    <row r="727">
      <c r="A727" s="9" t="n">
        <v>724</v>
      </c>
      <c r="B727" s="10" t="inlineStr">
        <is>
          <t xml:space="preserve">          "tag_learning": 0,</t>
        </is>
      </c>
    </row>
    <row r="728">
      <c r="A728" s="7" t="n">
        <v>725</v>
      </c>
      <c r="B728" s="8" t="inlineStr">
        <is>
          <t xml:space="preserve">          "learned_scripts": 275,</t>
        </is>
      </c>
    </row>
    <row r="729">
      <c r="A729" s="9" t="n">
        <v>726</v>
      </c>
      <c r="B729" s="10" t="inlineStr">
        <is>
          <t xml:space="preserve">          "generation_log": 0,</t>
        </is>
      </c>
    </row>
    <row r="730">
      <c r="A730" s="7" t="n">
        <v>727</v>
      </c>
      <c r="B730" s="8" t="inlineStr">
        <is>
          <t xml:space="preserve">          "model_calls": 0,</t>
        </is>
      </c>
    </row>
    <row r="731">
      <c r="A731" s="9" t="n">
        <v>728</v>
      </c>
      <c r="B731" s="10" t="inlineStr">
        <is>
          <t xml:space="preserve">          "model_usage_log": 0,</t>
        </is>
      </c>
    </row>
    <row r="732">
      <c r="A732" s="7" t="n">
        <v>729</v>
      </c>
      <c r="B732" s="8" t="inlineStr">
        <is>
          <t xml:space="preserve">          "material_generation_log": 13,</t>
        </is>
      </c>
    </row>
    <row r="733">
      <c r="A733" s="9" t="n">
        <v>730</v>
      </c>
      <c r="B733" s="10" t="inlineStr">
        <is>
          <t xml:space="preserve">          "generation_video_log": 2,</t>
        </is>
      </c>
    </row>
    <row r="734">
      <c r="A734" s="7" t="n">
        <v>731</v>
      </c>
      <c r="B734" s="8" t="inlineStr">
        <is>
          <t xml:space="preserve">          "generation_material_log": 13,</t>
        </is>
      </c>
    </row>
    <row r="735">
      <c r="A735" s="9" t="n">
        <v>732</v>
      </c>
      <c r="B735" s="10" t="inlineStr">
        <is>
          <t xml:space="preserve">          "material_feedback": 0,</t>
        </is>
      </c>
    </row>
    <row r="736">
      <c r="A736" s="7" t="n">
        <v>733</v>
      </c>
      <c r="B736" s="8" t="inlineStr">
        <is>
          <t xml:space="preserve">          "video_frames": 11</t>
        </is>
      </c>
    </row>
    <row r="737">
      <c r="A737" s="9" t="n">
        <v>734</v>
      </c>
      <c r="B737" s="10" t="inlineStr">
        <is>
          <t xml:space="preserve">        }</t>
        </is>
      </c>
    </row>
    <row r="738">
      <c r="A738" s="7" t="n">
        <v>735</v>
      </c>
      <c r="B738" s="8" t="inlineStr">
        <is>
          <t xml:space="preserve">      },</t>
        </is>
      </c>
    </row>
    <row r="739">
      <c r="A739" s="9" t="n">
        <v>736</v>
      </c>
      <c r="B739" s="10" t="inlineStr">
        <is>
          <t xml:space="preserve">      {</t>
        </is>
      </c>
    </row>
    <row r="740">
      <c r="A740" s="7" t="n">
        <v>737</v>
      </c>
      <c r="B740" s="8" t="inlineStr">
        <is>
          <t xml:space="preserve">        "action": "system_status",</t>
        </is>
      </c>
    </row>
    <row r="741">
      <c r="A741" s="9" t="n">
        <v>738</v>
      </c>
      <c r="B741" s="10" t="inlineStr">
        <is>
          <t xml:space="preserve">        "success": true,</t>
        </is>
      </c>
    </row>
    <row r="742">
      <c r="A742" s="7" t="n">
        <v>739</v>
      </c>
      <c r="B742" s="8" t="inlineStr">
        <is>
          <t xml:space="preserve">        "error": null,</t>
        </is>
      </c>
    </row>
    <row r="743">
      <c r="A743" s="9" t="n">
        <v>740</v>
      </c>
      <c r="B743" s="10" t="inlineStr">
        <is>
          <t xml:space="preserve">        "checks": {</t>
        </is>
      </c>
    </row>
    <row r="744">
      <c r="A744" s="7" t="n">
        <v>741</v>
      </c>
      <c r="B744" s="8" t="inlineStr">
        <is>
          <t xml:space="preserve">          "FAISS索引": "[OK]",</t>
        </is>
      </c>
    </row>
    <row r="745">
      <c r="A745" s="9" t="n">
        <v>742</v>
      </c>
      <c r="B745" s="10" t="inlineStr">
        <is>
          <t xml:space="preserve">          "素材片段": "有数据",</t>
        </is>
      </c>
    </row>
    <row r="746">
      <c r="A746" s="7" t="n">
        <v>743</v>
      </c>
      <c r="B746" s="8" t="inlineStr">
        <is>
          <t xml:space="preserve">          "DeepSeek": "[OK]"</t>
        </is>
      </c>
    </row>
    <row r="747">
      <c r="A747" s="9" t="n">
        <v>744</v>
      </c>
      <c r="B747" s="10" t="inlineStr">
        <is>
          <t xml:space="preserve">        }</t>
        </is>
      </c>
    </row>
    <row r="748">
      <c r="A748" s="7" t="n">
        <v>745</v>
      </c>
      <c r="B748" s="8" t="inlineStr">
        <is>
          <t xml:space="preserve">      }</t>
        </is>
      </c>
    </row>
    <row r="749">
      <c r="A749" s="9" t="n">
        <v>746</v>
      </c>
      <c r="B749" s="10" t="inlineStr">
        <is>
          <t xml:space="preserve">    ],</t>
        </is>
      </c>
    </row>
    <row r="750">
      <c r="A750" s="7" t="n">
        <v>747</v>
      </c>
      <c r="B750" s="8" t="inlineStr">
        <is>
          <t xml:space="preserve">    "errors_found": [],</t>
        </is>
      </c>
    </row>
    <row r="751">
      <c r="A751" s="9" t="n">
        <v>748</v>
      </c>
      <c r="B751" s="10" t="inlineStr">
        <is>
          <t xml:space="preserve">    "fixes_applied": [],</t>
        </is>
      </c>
    </row>
    <row r="752">
      <c r="A752" s="7" t="n">
        <v>749</v>
      </c>
      <c r="B752" s="8" t="inlineStr">
        <is>
          <t xml:space="preserve">    "success": true</t>
        </is>
      </c>
    </row>
    <row r="753">
      <c r="A753" s="9" t="n">
        <v>750</v>
      </c>
      <c r="B753" s="10" t="inlineStr">
        <is>
          <t xml:space="preserve">  },</t>
        </is>
      </c>
    </row>
    <row r="754">
      <c r="A754" s="7" t="n">
        <v>751</v>
      </c>
      <c r="B754" s="8" t="inlineStr">
        <is>
          <t xml:space="preserve">  {</t>
        </is>
      </c>
    </row>
    <row r="755">
      <c r="A755" s="9" t="n">
        <v>752</v>
      </c>
      <c r="B755" s="10" t="inlineStr">
        <is>
          <t xml:space="preserve">    "iteration": 2,</t>
        </is>
      </c>
    </row>
    <row r="756">
      <c r="A756" s="7" t="n">
        <v>753</v>
      </c>
      <c r="B756" s="8" t="inlineStr">
        <is>
          <t xml:space="preserve">    "timestamp": "2026-06-12T17:49:27.727051",</t>
        </is>
      </c>
    </row>
    <row r="757">
      <c r="A757" s="9" t="n">
        <v>754</v>
      </c>
      <c r="B757" s="10" t="inlineStr">
        <is>
          <t xml:space="preserve">    "test_results": [</t>
        </is>
      </c>
    </row>
    <row r="758">
      <c r="A758" s="7" t="n">
        <v>755</v>
      </c>
      <c r="B758" s="8" t="inlineStr">
        <is>
          <t xml:space="preserve">      {</t>
        </is>
      </c>
    </row>
    <row r="759">
      <c r="A759" s="9" t="n">
        <v>756</v>
      </c>
      <c r="B759" s="10" t="inlineStr">
        <is>
          <t xml:space="preserve">        "action": "syntax_check",</t>
        </is>
      </c>
    </row>
    <row r="760">
      <c r="A760" s="7" t="n">
        <v>757</v>
      </c>
      <c r="B760" s="8" t="inlineStr">
        <is>
          <t xml:space="preserve">        "success": true,</t>
        </is>
      </c>
    </row>
    <row r="761">
      <c r="A761" s="9" t="n">
        <v>758</v>
      </c>
      <c r="B761" s="10" t="inlineStr">
        <is>
          <t xml:space="preserve">        "errors": []</t>
        </is>
      </c>
    </row>
    <row r="762">
      <c r="A762" s="7" t="n">
        <v>759</v>
      </c>
      <c r="B762" s="8" t="inlineStr">
        <is>
          <t xml:space="preserve">      },</t>
        </is>
      </c>
    </row>
    <row r="763">
      <c r="A763" s="9" t="n">
        <v>760</v>
      </c>
      <c r="B763" s="10" t="inlineStr">
        <is>
          <t xml:space="preserve">      {</t>
        </is>
      </c>
    </row>
    <row r="764">
      <c r="A764" s="7" t="n">
        <v>761</v>
      </c>
      <c r="B764" s="8" t="inlineStr">
        <is>
          <t xml:space="preserve">        "action": "db_integrity",</t>
        </is>
      </c>
    </row>
    <row r="765">
      <c r="A765" s="9" t="n">
        <v>762</v>
      </c>
      <c r="B765" s="10" t="inlineStr">
        <is>
          <t xml:space="preserve">        "success": true,</t>
        </is>
      </c>
    </row>
    <row r="766">
      <c r="A766" s="7" t="n">
        <v>763</v>
      </c>
      <c r="B766" s="8" t="inlineStr">
        <is>
          <t xml:space="preserve">        "error": null,</t>
        </is>
      </c>
    </row>
    <row r="767">
      <c r="A767" s="9" t="n">
        <v>764</v>
      </c>
      <c r="B767" s="10" t="inlineStr">
        <is>
          <t xml:space="preserve">        "stats": {</t>
        </is>
      </c>
    </row>
    <row r="768">
      <c r="A768" s="7" t="n">
        <v>765</v>
      </c>
      <c r="B768" s="8" t="inlineStr">
        <is>
          <t xml:space="preserve">          "materials": 16143,</t>
        </is>
      </c>
    </row>
    <row r="769">
      <c r="A769" s="9" t="n">
        <v>766</v>
      </c>
      <c r="B769" s="10" t="inlineStr">
        <is>
          <t xml:space="preserve">          "sqlite_sequence": 8,</t>
        </is>
      </c>
    </row>
    <row r="770">
      <c r="A770" s="7" t="n">
        <v>767</v>
      </c>
      <c r="B770" s="8" t="inlineStr">
        <is>
          <t xml:space="preserve">          "video_registry": 6745,</t>
        </is>
      </c>
    </row>
    <row r="771">
      <c r="A771" s="9" t="n">
        <v>768</v>
      </c>
      <c r="B771" s="10" t="inlineStr">
        <is>
          <t xml:space="preserve">          "ctr_feedback": 0,</t>
        </is>
      </c>
    </row>
    <row r="772">
      <c r="A772" s="7" t="n">
        <v>769</v>
      </c>
      <c r="B772" s="8" t="inlineStr">
        <is>
          <t xml:space="preserve">          "trending_analysis": 0,</t>
        </is>
      </c>
    </row>
    <row r="773">
      <c r="A773" s="9" t="n">
        <v>770</v>
      </c>
      <c r="B773" s="10" t="inlineStr">
        <is>
          <t xml:space="preserve">          "account_matrix": 0,</t>
        </is>
      </c>
    </row>
    <row r="774">
      <c r="A774" s="7" t="n">
        <v>771</v>
      </c>
      <c r="B774" s="8" t="inlineStr">
        <is>
          <t xml:space="preserve">          "analysis_log": 756,</t>
        </is>
      </c>
    </row>
    <row r="775">
      <c r="A775" s="9" t="n">
        <v>772</v>
      </c>
      <c r="B775" s="10" t="inlineStr">
        <is>
          <t xml:space="preserve">          "video_annotations": 26,</t>
        </is>
      </c>
    </row>
    <row r="776">
      <c r="A776" s="7" t="n">
        <v>773</v>
      </c>
      <c r="B776" s="8" t="inlineStr">
        <is>
          <t xml:space="preserve">          "annotation_feedback": 0,</t>
        </is>
      </c>
    </row>
    <row r="777">
      <c r="A777" s="9" t="n">
        <v>774</v>
      </c>
      <c r="B777" s="10" t="inlineStr">
        <is>
          <t xml:space="preserve">          "tag_learning": 0,</t>
        </is>
      </c>
    </row>
    <row r="778">
      <c r="A778" s="7" t="n">
        <v>775</v>
      </c>
      <c r="B778" s="8" t="inlineStr">
        <is>
          <t xml:space="preserve">          "learned_scripts": 275,</t>
        </is>
      </c>
    </row>
    <row r="779">
      <c r="A779" s="9" t="n">
        <v>776</v>
      </c>
      <c r="B779" s="10" t="inlineStr">
        <is>
          <t xml:space="preserve">          "generation_log": 0,</t>
        </is>
      </c>
    </row>
    <row r="780">
      <c r="A780" s="7" t="n">
        <v>777</v>
      </c>
      <c r="B780" s="8" t="inlineStr">
        <is>
          <t xml:space="preserve">          "model_calls": 0,</t>
        </is>
      </c>
    </row>
    <row r="781">
      <c r="A781" s="9" t="n">
        <v>778</v>
      </c>
      <c r="B781" s="10" t="inlineStr">
        <is>
          <t xml:space="preserve">          "model_usage_log": 0,</t>
        </is>
      </c>
    </row>
    <row r="782">
      <c r="A782" s="7" t="n">
        <v>779</v>
      </c>
      <c r="B782" s="8" t="inlineStr">
        <is>
          <t xml:space="preserve">          "material_generation_log": 13,</t>
        </is>
      </c>
    </row>
    <row r="783">
      <c r="A783" s="9" t="n">
        <v>780</v>
      </c>
      <c r="B783" s="10" t="inlineStr">
        <is>
          <t xml:space="preserve">          "generation_video_log": 2,</t>
        </is>
      </c>
    </row>
    <row r="784">
      <c r="A784" s="7" t="n">
        <v>781</v>
      </c>
      <c r="B784" s="8" t="inlineStr">
        <is>
          <t xml:space="preserve">          "generation_material_log": 13,</t>
        </is>
      </c>
    </row>
    <row r="785">
      <c r="A785" s="9" t="n">
        <v>782</v>
      </c>
      <c r="B785" s="10" t="inlineStr">
        <is>
          <t xml:space="preserve">          "material_feedback": 0,</t>
        </is>
      </c>
    </row>
    <row r="786">
      <c r="A786" s="7" t="n">
        <v>783</v>
      </c>
      <c r="B786" s="8" t="inlineStr">
        <is>
          <t xml:space="preserve">          "video_frames": 11</t>
        </is>
      </c>
    </row>
    <row r="787">
      <c r="A787" s="9" t="n">
        <v>784</v>
      </c>
      <c r="B787" s="10" t="inlineStr">
        <is>
          <t xml:space="preserve">        }</t>
        </is>
      </c>
    </row>
    <row r="788">
      <c r="A788" s="7" t="n">
        <v>785</v>
      </c>
      <c r="B788" s="8" t="inlineStr">
        <is>
          <t xml:space="preserve">      },</t>
        </is>
      </c>
    </row>
    <row r="789">
      <c r="A789" s="9" t="n">
        <v>786</v>
      </c>
      <c r="B789" s="10" t="inlineStr">
        <is>
          <t xml:space="preserve">      {</t>
        </is>
      </c>
    </row>
    <row r="790">
      <c r="A790" s="7" t="n">
        <v>787</v>
      </c>
      <c r="B790" s="8" t="inlineStr">
        <is>
          <t xml:space="preserve">        "action": "system_status",</t>
        </is>
      </c>
    </row>
    <row r="791">
      <c r="A791" s="9" t="n">
        <v>788</v>
      </c>
      <c r="B791" s="10" t="inlineStr">
        <is>
          <t xml:space="preserve">        "success": true,</t>
        </is>
      </c>
    </row>
    <row r="792">
      <c r="A792" s="7" t="n">
        <v>789</v>
      </c>
      <c r="B792" s="8" t="inlineStr">
        <is>
          <t xml:space="preserve">        "error": null,</t>
        </is>
      </c>
    </row>
    <row r="793">
      <c r="A793" s="9" t="n">
        <v>790</v>
      </c>
      <c r="B793" s="10" t="inlineStr">
        <is>
          <t xml:space="preserve">        "checks": {</t>
        </is>
      </c>
    </row>
    <row r="794">
      <c r="A794" s="7" t="n">
        <v>791</v>
      </c>
      <c r="B794" s="8" t="inlineStr">
        <is>
          <t xml:space="preserve">          "FAISS索引": "[OK]",</t>
        </is>
      </c>
    </row>
    <row r="795">
      <c r="A795" s="9" t="n">
        <v>792</v>
      </c>
      <c r="B795" s="10" t="inlineStr">
        <is>
          <t xml:space="preserve">          "素材片段": "有数据",</t>
        </is>
      </c>
    </row>
    <row r="796">
      <c r="A796" s="7" t="n">
        <v>793</v>
      </c>
      <c r="B796" s="8" t="inlineStr">
        <is>
          <t xml:space="preserve">          "DeepSeek": "[OK]"</t>
        </is>
      </c>
    </row>
    <row r="797">
      <c r="A797" s="9" t="n">
        <v>794</v>
      </c>
      <c r="B797" s="10" t="inlineStr">
        <is>
          <t xml:space="preserve">        }</t>
        </is>
      </c>
    </row>
    <row r="798">
      <c r="A798" s="7" t="n">
        <v>795</v>
      </c>
      <c r="B798" s="8" t="inlineStr">
        <is>
          <t xml:space="preserve">      },</t>
        </is>
      </c>
    </row>
    <row r="799">
      <c r="A799" s="9" t="n">
        <v>796</v>
      </c>
      <c r="B799" s="10" t="inlineStr">
        <is>
          <t xml:space="preserve">      {</t>
        </is>
      </c>
    </row>
    <row r="800">
      <c r="A800" s="7" t="n">
        <v>797</v>
      </c>
      <c r="B800" s="8" t="inlineStr">
        <is>
          <t xml:space="preserve">        "action": "frame_annotation",</t>
        </is>
      </c>
    </row>
    <row r="801">
      <c r="A801" s="9" t="n">
        <v>798</v>
      </c>
      <c r="B801" s="10" t="inlineStr">
        <is>
          <t xml:space="preserve">        "success": false,</t>
        </is>
      </c>
    </row>
    <row r="802">
      <c r="A802" s="7" t="n">
        <v>799</v>
      </c>
      <c r="B802" s="8" t="inlineStr">
        <is>
          <t xml:space="preserve">        "error": {</t>
        </is>
      </c>
    </row>
    <row r="803">
      <c r="A803" s="9" t="n">
        <v>800</v>
      </c>
      <c r="B803" s="10" t="inlineStr">
        <is>
          <t xml:space="preserve">          "type": "Timeout",</t>
        </is>
      </c>
    </row>
    <row r="804">
      <c r="A804" s="7" t="n">
        <v>801</v>
      </c>
      <c r="B804" s="8" t="inlineStr">
        <is>
          <t xml:space="preserve">          "msg": "全帧识别(CPU)超时, 流水线代码正常"</t>
        </is>
      </c>
    </row>
    <row r="805">
      <c r="A805" s="9" t="n">
        <v>802</v>
      </c>
      <c r="B805" s="10" t="inlineStr">
        <is>
          <t xml:space="preserve">        },</t>
        </is>
      </c>
    </row>
    <row r="806">
      <c r="A806" s="7" t="n">
        <v>803</v>
      </c>
      <c r="B806" s="8" t="inlineStr">
        <is>
          <t xml:space="preserve">        "frames_found": 0,</t>
        </is>
      </c>
    </row>
    <row r="807">
      <c r="A807" s="9" t="n">
        <v>804</v>
      </c>
      <c r="B807" s="10" t="inlineStr">
        <is>
          <t xml:space="preserve">        "mode": "single_frame"</t>
        </is>
      </c>
    </row>
    <row r="808">
      <c r="A808" s="7" t="n">
        <v>805</v>
      </c>
      <c r="B808" s="8" t="inlineStr">
        <is>
          <t xml:space="preserve">      }</t>
        </is>
      </c>
    </row>
    <row r="809">
      <c r="A809" s="9" t="n">
        <v>806</v>
      </c>
      <c r="B809" s="10" t="inlineStr">
        <is>
          <t xml:space="preserve">    ],</t>
        </is>
      </c>
    </row>
    <row r="810">
      <c r="A810" s="7" t="n">
        <v>807</v>
      </c>
      <c r="B810" s="8" t="inlineStr">
        <is>
          <t xml:space="preserve">    "errors_found": [</t>
        </is>
      </c>
    </row>
    <row r="811">
      <c r="A811" s="9" t="n">
        <v>808</v>
      </c>
      <c r="B811" s="10" t="inlineStr">
        <is>
          <t xml:space="preserve">      {</t>
        </is>
      </c>
    </row>
    <row r="812">
      <c r="A812" s="7" t="n">
        <v>809</v>
      </c>
      <c r="B812" s="8" t="inlineStr">
        <is>
          <t xml:space="preserve">        "type": "Timeout",</t>
        </is>
      </c>
    </row>
    <row r="813">
      <c r="A813" s="9" t="n">
        <v>810</v>
      </c>
      <c r="B813" s="10" t="inlineStr">
        <is>
          <t xml:space="preserve">        "msg": "全帧识别(CPU)超时, 流水线代码正常"</t>
        </is>
      </c>
    </row>
    <row r="814">
      <c r="A814" s="7" t="n">
        <v>811</v>
      </c>
      <c r="B814" s="8" t="inlineStr">
        <is>
          <t xml:space="preserve">      }</t>
        </is>
      </c>
    </row>
    <row r="815">
      <c r="A815" s="9" t="n">
        <v>812</v>
      </c>
      <c r="B815" s="10" t="inlineStr">
        <is>
          <t xml:space="preserve">    ],</t>
        </is>
      </c>
    </row>
    <row r="816">
      <c r="A816" s="7" t="n">
        <v>813</v>
      </c>
      <c r="B816" s="8" t="inlineStr">
        <is>
          <t xml:space="preserve">    "fixes_applied": [],</t>
        </is>
      </c>
    </row>
    <row r="817">
      <c r="A817" s="9" t="n">
        <v>814</v>
      </c>
      <c r="B817" s="10" t="inlineStr">
        <is>
          <t xml:space="preserve">    "success": true</t>
        </is>
      </c>
    </row>
    <row r="818">
      <c r="A818" s="7" t="n">
        <v>815</v>
      </c>
      <c r="B818" s="8" t="inlineStr">
        <is>
          <t xml:space="preserve">  },</t>
        </is>
      </c>
    </row>
    <row r="819">
      <c r="A819" s="9" t="n">
        <v>816</v>
      </c>
      <c r="B819" s="10" t="inlineStr">
        <is>
          <t xml:space="preserve">  {</t>
        </is>
      </c>
    </row>
    <row r="820">
      <c r="A820" s="7" t="n">
        <v>817</v>
      </c>
      <c r="B820" s="8" t="inlineStr">
        <is>
          <t xml:space="preserve">    "iteration": 3,</t>
        </is>
      </c>
    </row>
    <row r="821">
      <c r="A821" s="9" t="n">
        <v>818</v>
      </c>
      <c r="B821" s="10" t="inlineStr">
        <is>
          <t xml:space="preserve">    "timestamp": "2026-06-12T17:53:49.083082",</t>
        </is>
      </c>
    </row>
    <row r="822">
      <c r="A822" s="7" t="n">
        <v>819</v>
      </c>
      <c r="B822" s="8" t="inlineStr">
        <is>
          <t xml:space="preserve">    "test_results": [</t>
        </is>
      </c>
    </row>
    <row r="823">
      <c r="A823" s="9" t="n">
        <v>820</v>
      </c>
      <c r="B823" s="10" t="inlineStr">
        <is>
          <t xml:space="preserve">      {</t>
        </is>
      </c>
    </row>
    <row r="824">
      <c r="A824" s="7" t="n">
        <v>821</v>
      </c>
      <c r="B824" s="8" t="inlineStr">
        <is>
          <t xml:space="preserve">        "action": "syntax_check",</t>
        </is>
      </c>
    </row>
    <row r="825">
      <c r="A825" s="9" t="n">
        <v>822</v>
      </c>
      <c r="B825" s="10" t="inlineStr">
        <is>
          <t xml:space="preserve">        "success": true,</t>
        </is>
      </c>
    </row>
    <row r="826">
      <c r="A826" s="7" t="n">
        <v>823</v>
      </c>
      <c r="B826" s="8" t="inlineStr">
        <is>
          <t xml:space="preserve">        "errors": []</t>
        </is>
      </c>
    </row>
    <row r="827">
      <c r="A827" s="9" t="n">
        <v>824</v>
      </c>
      <c r="B827" s="10" t="inlineStr">
        <is>
          <t xml:space="preserve">      },</t>
        </is>
      </c>
    </row>
    <row r="828">
      <c r="A828" s="7" t="n">
        <v>825</v>
      </c>
      <c r="B828" s="8" t="inlineStr">
        <is>
          <t xml:space="preserve">      {</t>
        </is>
      </c>
    </row>
    <row r="829">
      <c r="A829" s="9" t="n">
        <v>826</v>
      </c>
      <c r="B829" s="10" t="inlineStr">
        <is>
          <t xml:space="preserve">        "action": "db_integrity",</t>
        </is>
      </c>
    </row>
    <row r="830">
      <c r="A830" s="7" t="n">
        <v>827</v>
      </c>
      <c r="B830" s="8" t="inlineStr">
        <is>
          <t xml:space="preserve">        "success": true,</t>
        </is>
      </c>
    </row>
    <row r="831">
      <c r="A831" s="9" t="n">
        <v>828</v>
      </c>
      <c r="B831" s="10" t="inlineStr">
        <is>
          <t xml:space="preserve">        "error": null,</t>
        </is>
      </c>
    </row>
    <row r="832">
      <c r="A832" s="7" t="n">
        <v>829</v>
      </c>
      <c r="B832" s="8" t="inlineStr">
        <is>
          <t xml:space="preserve">        "stats": {</t>
        </is>
      </c>
    </row>
    <row r="833">
      <c r="A833" s="9" t="n">
        <v>830</v>
      </c>
      <c r="B833" s="10" t="inlineStr">
        <is>
          <t xml:space="preserve">          "materials": 16143,</t>
        </is>
      </c>
    </row>
    <row r="834">
      <c r="A834" s="7" t="n">
        <v>831</v>
      </c>
      <c r="B834" s="8" t="inlineStr">
        <is>
          <t xml:space="preserve">          "sqlite_sequence": 8,</t>
        </is>
      </c>
    </row>
    <row r="835">
      <c r="A835" s="9" t="n">
        <v>832</v>
      </c>
      <c r="B835" s="10" t="inlineStr">
        <is>
          <t xml:space="preserve">          "video_registry": 6745,</t>
        </is>
      </c>
    </row>
    <row r="836">
      <c r="A836" s="7" t="n">
        <v>833</v>
      </c>
      <c r="B836" s="8" t="inlineStr">
        <is>
          <t xml:space="preserve">          "ctr_feedback": 0,</t>
        </is>
      </c>
    </row>
    <row r="837">
      <c r="A837" s="9" t="n">
        <v>834</v>
      </c>
      <c r="B837" s="10" t="inlineStr">
        <is>
          <t xml:space="preserve">          "trending_analysis": 0,</t>
        </is>
      </c>
    </row>
    <row r="838">
      <c r="A838" s="7" t="n">
        <v>835</v>
      </c>
      <c r="B838" s="8" t="inlineStr">
        <is>
          <t xml:space="preserve">          "account_matrix": 0,</t>
        </is>
      </c>
    </row>
    <row r="839">
      <c r="A839" s="9" t="n">
        <v>836</v>
      </c>
      <c r="B839" s="10" t="inlineStr">
        <is>
          <t xml:space="preserve">          "analysis_log": 756,</t>
        </is>
      </c>
    </row>
    <row r="840">
      <c r="A840" s="7" t="n">
        <v>837</v>
      </c>
      <c r="B840" s="8" t="inlineStr">
        <is>
          <t xml:space="preserve">          "video_annotations": 26,</t>
        </is>
      </c>
    </row>
    <row r="841">
      <c r="A841" s="9" t="n">
        <v>838</v>
      </c>
      <c r="B841" s="10" t="inlineStr">
        <is>
          <t xml:space="preserve">          "annotation_feedback": 0,</t>
        </is>
      </c>
    </row>
    <row r="842">
      <c r="A842" s="7" t="n">
        <v>839</v>
      </c>
      <c r="B842" s="8" t="inlineStr">
        <is>
          <t xml:space="preserve">          "tag_learning": 0,</t>
        </is>
      </c>
    </row>
    <row r="843">
      <c r="A843" s="9" t="n">
        <v>840</v>
      </c>
      <c r="B843" s="10" t="inlineStr">
        <is>
          <t xml:space="preserve">          "learned_scripts": 275,</t>
        </is>
      </c>
    </row>
    <row r="844">
      <c r="A844" s="7" t="n">
        <v>841</v>
      </c>
      <c r="B844" s="8" t="inlineStr">
        <is>
          <t xml:space="preserve">          "generation_log": 0,</t>
        </is>
      </c>
    </row>
    <row r="845">
      <c r="A845" s="9" t="n">
        <v>842</v>
      </c>
      <c r="B845" s="10" t="inlineStr">
        <is>
          <t xml:space="preserve">          "model_calls": 0,</t>
        </is>
      </c>
    </row>
    <row r="846">
      <c r="A846" s="7" t="n">
        <v>843</v>
      </c>
      <c r="B846" s="8" t="inlineStr">
        <is>
          <t xml:space="preserve">          "model_usage_log": 0,</t>
        </is>
      </c>
    </row>
    <row r="847">
      <c r="A847" s="9" t="n">
        <v>844</v>
      </c>
      <c r="B847" s="10" t="inlineStr">
        <is>
          <t xml:space="preserve">          "material_generation_log": 13,</t>
        </is>
      </c>
    </row>
    <row r="848">
      <c r="A848" s="7" t="n">
        <v>845</v>
      </c>
      <c r="B848" s="8" t="inlineStr">
        <is>
          <t xml:space="preserve">          "generation_video_log": 2,</t>
        </is>
      </c>
    </row>
    <row r="849">
      <c r="A849" s="9" t="n">
        <v>846</v>
      </c>
      <c r="B849" s="10" t="inlineStr">
        <is>
          <t xml:space="preserve">          "generation_material_log": 13,</t>
        </is>
      </c>
    </row>
    <row r="850">
      <c r="A850" s="7" t="n">
        <v>847</v>
      </c>
      <c r="B850" s="8" t="inlineStr">
        <is>
          <t xml:space="preserve">          "material_feedback": 0,</t>
        </is>
      </c>
    </row>
    <row r="851">
      <c r="A851" s="9" t="n">
        <v>848</v>
      </c>
      <c r="B851" s="10" t="inlineStr">
        <is>
          <t xml:space="preserve">          "video_frames": 11</t>
        </is>
      </c>
    </row>
    <row r="852">
      <c r="A852" s="7" t="n">
        <v>849</v>
      </c>
      <c r="B852" s="8" t="inlineStr">
        <is>
          <t xml:space="preserve">        }</t>
        </is>
      </c>
    </row>
    <row r="853">
      <c r="A853" s="9" t="n">
        <v>850</v>
      </c>
      <c r="B853" s="10" t="inlineStr">
        <is>
          <t xml:space="preserve">      },</t>
        </is>
      </c>
    </row>
    <row r="854">
      <c r="A854" s="7" t="n">
        <v>851</v>
      </c>
      <c r="B854" s="8" t="inlineStr">
        <is>
          <t xml:space="preserve">      {</t>
        </is>
      </c>
    </row>
    <row r="855">
      <c r="A855" s="9" t="n">
        <v>852</v>
      </c>
      <c r="B855" s="10" t="inlineStr">
        <is>
          <t xml:space="preserve">        "action": "system_status",</t>
        </is>
      </c>
    </row>
    <row r="856">
      <c r="A856" s="7" t="n">
        <v>853</v>
      </c>
      <c r="B856" s="8" t="inlineStr">
        <is>
          <t xml:space="preserve">        "success": true,</t>
        </is>
      </c>
    </row>
    <row r="857">
      <c r="A857" s="9" t="n">
        <v>854</v>
      </c>
      <c r="B857" s="10" t="inlineStr">
        <is>
          <t xml:space="preserve">        "error": null,</t>
        </is>
      </c>
    </row>
    <row r="858">
      <c r="A858" s="7" t="n">
        <v>855</v>
      </c>
      <c r="B858" s="8" t="inlineStr">
        <is>
          <t xml:space="preserve">        "checks": {</t>
        </is>
      </c>
    </row>
    <row r="859">
      <c r="A859" s="9" t="n">
        <v>856</v>
      </c>
      <c r="B859" s="10" t="inlineStr">
        <is>
          <t xml:space="preserve">          "FAISS索引": "[OK]",</t>
        </is>
      </c>
    </row>
    <row r="860">
      <c r="A860" s="7" t="n">
        <v>857</v>
      </c>
      <c r="B860" s="8" t="inlineStr">
        <is>
          <t xml:space="preserve">          "素材片段": "有数据",</t>
        </is>
      </c>
    </row>
    <row r="861">
      <c r="A861" s="9" t="n">
        <v>858</v>
      </c>
      <c r="B861" s="10" t="inlineStr">
        <is>
          <t xml:space="preserve">          "DeepSeek": "[OK]"</t>
        </is>
      </c>
    </row>
    <row r="862">
      <c r="A862" s="7" t="n">
        <v>859</v>
      </c>
      <c r="B862" s="8" t="inlineStr">
        <is>
          <t xml:space="preserve">        }</t>
        </is>
      </c>
    </row>
    <row r="863">
      <c r="A863" s="9" t="n">
        <v>860</v>
      </c>
      <c r="B863" s="10" t="inlineStr">
        <is>
          <t xml:space="preserve">      },</t>
        </is>
      </c>
    </row>
    <row r="864">
      <c r="A864" s="7" t="n">
        <v>861</v>
      </c>
      <c r="B864" s="8" t="inlineStr">
        <is>
          <t xml:space="preserve">      {</t>
        </is>
      </c>
    </row>
    <row r="865">
      <c r="A865" s="9" t="n">
        <v>862</v>
      </c>
      <c r="B865" s="10" t="inlineStr">
        <is>
          <t xml:space="preserve">        "action": "single_generate",</t>
        </is>
      </c>
    </row>
    <row r="866">
      <c r="A866" s="7" t="n">
        <v>863</v>
      </c>
      <c r="B866" s="8" t="inlineStr">
        <is>
          <t xml:space="preserve">        "keyword": "奶油风岛台",</t>
        </is>
      </c>
    </row>
    <row r="867">
      <c r="A867" s="9" t="n">
        <v>864</v>
      </c>
      <c r="B867" s="10" t="inlineStr">
        <is>
          <t xml:space="preserve">        "success": false,</t>
        </is>
      </c>
    </row>
    <row r="868">
      <c r="A868" s="7" t="n">
        <v>865</v>
      </c>
      <c r="B868" s="8" t="inlineStr">
        <is>
          <t xml:space="preserve">        "error": {</t>
        </is>
      </c>
    </row>
    <row r="869">
      <c r="A869" s="9" t="n">
        <v>866</v>
      </c>
      <c r="B869" s="10" t="inlineStr">
        <is>
          <t xml:space="preserve">          "type": "Timeout",</t>
        </is>
      </c>
    </row>
    <row r="870">
      <c r="A870" s="7" t="n">
        <v>867</v>
      </c>
      <c r="B870" s="8" t="inlineStr">
        <is>
          <t xml:space="preserve">          "msg": "生成超时(120s)"</t>
        </is>
      </c>
    </row>
    <row r="871">
      <c r="A871" s="9" t="n">
        <v>868</v>
      </c>
      <c r="B871" s="10" t="inlineStr">
        <is>
          <t xml:space="preserve">        }</t>
        </is>
      </c>
    </row>
    <row r="872">
      <c r="A872" s="7" t="n">
        <v>869</v>
      </c>
      <c r="B872" s="8" t="inlineStr">
        <is>
          <t xml:space="preserve">      }</t>
        </is>
      </c>
    </row>
    <row r="873">
      <c r="A873" s="9" t="n">
        <v>870</v>
      </c>
      <c r="B873" s="10" t="inlineStr">
        <is>
          <t xml:space="preserve">    ],</t>
        </is>
      </c>
    </row>
    <row r="874">
      <c r="A874" s="7" t="n">
        <v>871</v>
      </c>
      <c r="B874" s="8" t="inlineStr">
        <is>
          <t xml:space="preserve">    "errors_found": [</t>
        </is>
      </c>
    </row>
    <row r="875">
      <c r="A875" s="9" t="n">
        <v>872</v>
      </c>
      <c r="B875" s="10" t="inlineStr">
        <is>
          <t xml:space="preserve">      {</t>
        </is>
      </c>
    </row>
    <row r="876">
      <c r="A876" s="7" t="n">
        <v>873</v>
      </c>
      <c r="B876" s="8" t="inlineStr">
        <is>
          <t xml:space="preserve">        "type": "Timeout",</t>
        </is>
      </c>
    </row>
    <row r="877">
      <c r="A877" s="9" t="n">
        <v>874</v>
      </c>
      <c r="B877" s="10" t="inlineStr">
        <is>
          <t xml:space="preserve">        "msg": "生成超时(120s)"</t>
        </is>
      </c>
    </row>
    <row r="878">
      <c r="A878" s="7" t="n">
        <v>875</v>
      </c>
      <c r="B878" s="8" t="inlineStr">
        <is>
          <t xml:space="preserve">      }</t>
        </is>
      </c>
    </row>
    <row r="879">
      <c r="A879" s="9" t="n">
        <v>876</v>
      </c>
      <c r="B879" s="10" t="inlineStr">
        <is>
          <t xml:space="preserve">    ],</t>
        </is>
      </c>
    </row>
    <row r="880">
      <c r="A880" s="7" t="n">
        <v>877</v>
      </c>
      <c r="B880" s="8" t="inlineStr">
        <is>
          <t xml:space="preserve">    "fixes_applied": [],</t>
        </is>
      </c>
    </row>
    <row r="881">
      <c r="A881" s="9" t="n">
        <v>878</v>
      </c>
      <c r="B881" s="10" t="inlineStr">
        <is>
          <t xml:space="preserve">    "success": true</t>
        </is>
      </c>
    </row>
    <row r="882">
      <c r="A882" s="7" t="n">
        <v>879</v>
      </c>
      <c r="B882" s="8" t="inlineStr">
        <is>
          <t xml:space="preserve">  },</t>
        </is>
      </c>
    </row>
    <row r="883">
      <c r="A883" s="9" t="n">
        <v>880</v>
      </c>
      <c r="B883" s="10" t="inlineStr">
        <is>
          <t xml:space="preserve">  {</t>
        </is>
      </c>
    </row>
    <row r="884">
      <c r="A884" s="7" t="n">
        <v>881</v>
      </c>
      <c r="B884" s="8" t="inlineStr">
        <is>
          <t xml:space="preserve">    "iteration": 4,</t>
        </is>
      </c>
    </row>
    <row r="885">
      <c r="A885" s="9" t="n">
        <v>882</v>
      </c>
      <c r="B885" s="10" t="inlineStr">
        <is>
          <t xml:space="preserve">    "timestamp": "2026-06-12T17:58:05.523889",</t>
        </is>
      </c>
    </row>
    <row r="886">
      <c r="A886" s="7" t="n">
        <v>883</v>
      </c>
      <c r="B886" s="8" t="inlineStr">
        <is>
          <t xml:space="preserve">    "test_results": [</t>
        </is>
      </c>
    </row>
    <row r="887">
      <c r="A887" s="9" t="n">
        <v>884</v>
      </c>
      <c r="B887" s="10" t="inlineStr">
        <is>
          <t xml:space="preserve">      {</t>
        </is>
      </c>
    </row>
    <row r="888">
      <c r="A888" s="7" t="n">
        <v>885</v>
      </c>
      <c r="B888" s="8" t="inlineStr">
        <is>
          <t xml:space="preserve">        "action": "syntax_check",</t>
        </is>
      </c>
    </row>
    <row r="889">
      <c r="A889" s="9" t="n">
        <v>886</v>
      </c>
      <c r="B889" s="10" t="inlineStr">
        <is>
          <t xml:space="preserve">        "success": true,</t>
        </is>
      </c>
    </row>
    <row r="890">
      <c r="A890" s="7" t="n">
        <v>887</v>
      </c>
      <c r="B890" s="8" t="inlineStr">
        <is>
          <t xml:space="preserve">        "errors": []</t>
        </is>
      </c>
    </row>
    <row r="891">
      <c r="A891" s="9" t="n">
        <v>888</v>
      </c>
      <c r="B891" s="10" t="inlineStr">
        <is>
          <t xml:space="preserve">      },</t>
        </is>
      </c>
    </row>
    <row r="892">
      <c r="A892" s="7" t="n">
        <v>889</v>
      </c>
      <c r="B892" s="8" t="inlineStr">
        <is>
          <t xml:space="preserve">      {</t>
        </is>
      </c>
    </row>
    <row r="893">
      <c r="A893" s="9" t="n">
        <v>890</v>
      </c>
      <c r="B893" s="10" t="inlineStr">
        <is>
          <t xml:space="preserve">        "action": "db_integrity",</t>
        </is>
      </c>
    </row>
    <row r="894">
      <c r="A894" s="7" t="n">
        <v>891</v>
      </c>
      <c r="B894" s="8" t="inlineStr">
        <is>
          <t xml:space="preserve">        "success": true,</t>
        </is>
      </c>
    </row>
    <row r="895">
      <c r="A895" s="9" t="n">
        <v>892</v>
      </c>
      <c r="B895" s="10" t="inlineStr">
        <is>
          <t xml:space="preserve">        "error": null,</t>
        </is>
      </c>
    </row>
    <row r="896">
      <c r="A896" s="7" t="n">
        <v>893</v>
      </c>
      <c r="B896" s="8" t="inlineStr">
        <is>
          <t xml:space="preserve">        "stats": {</t>
        </is>
      </c>
    </row>
    <row r="897">
      <c r="A897" s="9" t="n">
        <v>894</v>
      </c>
      <c r="B897" s="10" t="inlineStr">
        <is>
          <t xml:space="preserve">          "materials": 16143,</t>
        </is>
      </c>
    </row>
    <row r="898">
      <c r="A898" s="7" t="n">
        <v>895</v>
      </c>
      <c r="B898" s="8" t="inlineStr">
        <is>
          <t xml:space="preserve">          "sqlite_sequence": 8,</t>
        </is>
      </c>
    </row>
    <row r="899">
      <c r="A899" s="9" t="n">
        <v>896</v>
      </c>
      <c r="B899" s="10" t="inlineStr">
        <is>
          <t xml:space="preserve">          "video_registry": 6745,</t>
        </is>
      </c>
    </row>
    <row r="900">
      <c r="A900" s="7" t="n">
        <v>897</v>
      </c>
      <c r="B900" s="8" t="inlineStr">
        <is>
          <t xml:space="preserve">          "ctr_feedback": 0,</t>
        </is>
      </c>
    </row>
    <row r="901">
      <c r="A901" s="9" t="n">
        <v>898</v>
      </c>
      <c r="B901" s="10" t="inlineStr">
        <is>
          <t xml:space="preserve">          "trending_analysis": 0,</t>
        </is>
      </c>
    </row>
    <row r="902">
      <c r="A902" s="7" t="n">
        <v>899</v>
      </c>
      <c r="B902" s="8" t="inlineStr">
        <is>
          <t xml:space="preserve">          "account_matrix": 0,</t>
        </is>
      </c>
    </row>
    <row r="903">
      <c r="A903" s="9" t="n">
        <v>900</v>
      </c>
      <c r="B903" s="10" t="inlineStr">
        <is>
          <t xml:space="preserve">          "analysis_log": 756,</t>
        </is>
      </c>
    </row>
    <row r="904">
      <c r="A904" s="7" t="n">
        <v>901</v>
      </c>
      <c r="B904" s="8" t="inlineStr">
        <is>
          <t xml:space="preserve">          "video_annotations": 26,</t>
        </is>
      </c>
    </row>
    <row r="905">
      <c r="A905" s="9" t="n">
        <v>902</v>
      </c>
      <c r="B905" s="10" t="inlineStr">
        <is>
          <t xml:space="preserve">          "annotation_feedback": 0,</t>
        </is>
      </c>
    </row>
    <row r="906">
      <c r="A906" s="7" t="n">
        <v>903</v>
      </c>
      <c r="B906" s="8" t="inlineStr">
        <is>
          <t xml:space="preserve">          "tag_learning": 0,</t>
        </is>
      </c>
    </row>
    <row r="907">
      <c r="A907" s="9" t="n">
        <v>904</v>
      </c>
      <c r="B907" s="10" t="inlineStr">
        <is>
          <t xml:space="preserve">          "learned_scripts": 275,</t>
        </is>
      </c>
    </row>
    <row r="908">
      <c r="A908" s="7" t="n">
        <v>905</v>
      </c>
      <c r="B908" s="8" t="inlineStr">
        <is>
          <t xml:space="preserve">          "generation_log": 0,</t>
        </is>
      </c>
    </row>
    <row r="909">
      <c r="A909" s="9" t="n">
        <v>906</v>
      </c>
      <c r="B909" s="10" t="inlineStr">
        <is>
          <t xml:space="preserve">          "model_calls": 0,</t>
        </is>
      </c>
    </row>
    <row r="910">
      <c r="A910" s="7" t="n">
        <v>907</v>
      </c>
      <c r="B910" s="8" t="inlineStr">
        <is>
          <t xml:space="preserve">          "model_usage_log": 0,</t>
        </is>
      </c>
    </row>
    <row r="911">
      <c r="A911" s="9" t="n">
        <v>908</v>
      </c>
      <c r="B911" s="10" t="inlineStr">
        <is>
          <t xml:space="preserve">          "material_generation_log": 13,</t>
        </is>
      </c>
    </row>
    <row r="912">
      <c r="A912" s="7" t="n">
        <v>909</v>
      </c>
      <c r="B912" s="8" t="inlineStr">
        <is>
          <t xml:space="preserve">          "generation_video_log": 2,</t>
        </is>
      </c>
    </row>
    <row r="913">
      <c r="A913" s="9" t="n">
        <v>910</v>
      </c>
      <c r="B913" s="10" t="inlineStr">
        <is>
          <t xml:space="preserve">          "generation_material_log": 13,</t>
        </is>
      </c>
    </row>
    <row r="914">
      <c r="A914" s="7" t="n">
        <v>911</v>
      </c>
      <c r="B914" s="8" t="inlineStr">
        <is>
          <t xml:space="preserve">          "material_feedback": 0,</t>
        </is>
      </c>
    </row>
    <row r="915">
      <c r="A915" s="9" t="n">
        <v>912</v>
      </c>
      <c r="B915" s="10" t="inlineStr">
        <is>
          <t xml:space="preserve">          "video_frames": 11</t>
        </is>
      </c>
    </row>
    <row r="916">
      <c r="A916" s="7" t="n">
        <v>913</v>
      </c>
      <c r="B916" s="8" t="inlineStr">
        <is>
          <t xml:space="preserve">        }</t>
        </is>
      </c>
    </row>
    <row r="917">
      <c r="A917" s="9" t="n">
        <v>914</v>
      </c>
      <c r="B917" s="10" t="inlineStr">
        <is>
          <t xml:space="preserve">      },</t>
        </is>
      </c>
    </row>
    <row r="918">
      <c r="A918" s="7" t="n">
        <v>915</v>
      </c>
      <c r="B918" s="8" t="inlineStr">
        <is>
          <t xml:space="preserve">      {</t>
        </is>
      </c>
    </row>
    <row r="919">
      <c r="A919" s="9" t="n">
        <v>916</v>
      </c>
      <c r="B919" s="10" t="inlineStr">
        <is>
          <t xml:space="preserve">        "action": "system_status",</t>
        </is>
      </c>
    </row>
    <row r="920">
      <c r="A920" s="7" t="n">
        <v>917</v>
      </c>
      <c r="B920" s="8" t="inlineStr">
        <is>
          <t xml:space="preserve">        "success": true,</t>
        </is>
      </c>
    </row>
    <row r="921">
      <c r="A921" s="9" t="n">
        <v>918</v>
      </c>
      <c r="B921" s="10" t="inlineStr">
        <is>
          <t xml:space="preserve">        "error": null,</t>
        </is>
      </c>
    </row>
    <row r="922">
      <c r="A922" s="7" t="n">
        <v>919</v>
      </c>
      <c r="B922" s="8" t="inlineStr">
        <is>
          <t xml:space="preserve">        "checks": {</t>
        </is>
      </c>
    </row>
    <row r="923">
      <c r="A923" s="9" t="n">
        <v>920</v>
      </c>
      <c r="B923" s="10" t="inlineStr">
        <is>
          <t xml:space="preserve">          "FAISS索引": "[OK]",</t>
        </is>
      </c>
    </row>
    <row r="924">
      <c r="A924" s="7" t="n">
        <v>921</v>
      </c>
      <c r="B924" s="8" t="inlineStr">
        <is>
          <t xml:space="preserve">          "素材片段": "有数据",</t>
        </is>
      </c>
    </row>
    <row r="925">
      <c r="A925" s="9" t="n">
        <v>922</v>
      </c>
      <c r="B925" s="10" t="inlineStr">
        <is>
          <t xml:space="preserve">          "DeepSeek": "[OK]"</t>
        </is>
      </c>
    </row>
    <row r="926">
      <c r="A926" s="7" t="n">
        <v>923</v>
      </c>
      <c r="B926" s="8" t="inlineStr">
        <is>
          <t xml:space="preserve">        }</t>
        </is>
      </c>
    </row>
    <row r="927">
      <c r="A927" s="9" t="n">
        <v>924</v>
      </c>
      <c r="B927" s="10" t="inlineStr">
        <is>
          <t xml:space="preserve">      },</t>
        </is>
      </c>
    </row>
    <row r="928">
      <c r="A928" s="7" t="n">
        <v>925</v>
      </c>
      <c r="B928" s="8" t="inlineStr">
        <is>
          <t xml:space="preserve">      {</t>
        </is>
      </c>
    </row>
    <row r="929">
      <c r="A929" s="9" t="n">
        <v>926</v>
      </c>
      <c r="B929" s="10" t="inlineStr">
        <is>
          <t xml:space="preserve">        "action": "frame_annotation",</t>
        </is>
      </c>
    </row>
    <row r="930">
      <c r="A930" s="7" t="n">
        <v>927</v>
      </c>
      <c r="B930" s="8" t="inlineStr">
        <is>
          <t xml:space="preserve">        "success": false,</t>
        </is>
      </c>
    </row>
    <row r="931">
      <c r="A931" s="9" t="n">
        <v>928</v>
      </c>
      <c r="B931" s="10" t="inlineStr">
        <is>
          <t xml:space="preserve">        "error": {</t>
        </is>
      </c>
    </row>
    <row r="932">
      <c r="A932" s="7" t="n">
        <v>929</v>
      </c>
      <c r="B932" s="8" t="inlineStr">
        <is>
          <t xml:space="preserve">          "type": "Timeout",</t>
        </is>
      </c>
    </row>
    <row r="933">
      <c r="A933" s="9" t="n">
        <v>930</v>
      </c>
      <c r="B933" s="10" t="inlineStr">
        <is>
          <t xml:space="preserve">          "msg": "全帧识别(CPU)超时, 流水线代码正常"</t>
        </is>
      </c>
    </row>
    <row r="934">
      <c r="A934" s="7" t="n">
        <v>931</v>
      </c>
      <c r="B934" s="8" t="inlineStr">
        <is>
          <t xml:space="preserve">        },</t>
        </is>
      </c>
    </row>
    <row r="935">
      <c r="A935" s="9" t="n">
        <v>932</v>
      </c>
      <c r="B935" s="10" t="inlineStr">
        <is>
          <t xml:space="preserve">        "frames_found": 0,</t>
        </is>
      </c>
    </row>
    <row r="936">
      <c r="A936" s="7" t="n">
        <v>933</v>
      </c>
      <c r="B936" s="8" t="inlineStr">
        <is>
          <t xml:space="preserve">        "mode": "single_frame"</t>
        </is>
      </c>
    </row>
    <row r="937">
      <c r="A937" s="9" t="n">
        <v>934</v>
      </c>
      <c r="B937" s="10" t="inlineStr">
        <is>
          <t xml:space="preserve">      }</t>
        </is>
      </c>
    </row>
    <row r="938">
      <c r="A938" s="7" t="n">
        <v>935</v>
      </c>
      <c r="B938" s="8" t="inlineStr">
        <is>
          <t xml:space="preserve">    ],</t>
        </is>
      </c>
    </row>
    <row r="939">
      <c r="A939" s="9" t="n">
        <v>936</v>
      </c>
      <c r="B939" s="10" t="inlineStr">
        <is>
          <t xml:space="preserve">    "errors_found": [</t>
        </is>
      </c>
    </row>
    <row r="940">
      <c r="A940" s="7" t="n">
        <v>937</v>
      </c>
      <c r="B940" s="8" t="inlineStr">
        <is>
          <t xml:space="preserve">      {</t>
        </is>
      </c>
    </row>
    <row r="941">
      <c r="A941" s="9" t="n">
        <v>938</v>
      </c>
      <c r="B941" s="10" t="inlineStr">
        <is>
          <t xml:space="preserve">        "type": "Timeout",</t>
        </is>
      </c>
    </row>
    <row r="942">
      <c r="A942" s="7" t="n">
        <v>939</v>
      </c>
      <c r="B942" s="8" t="inlineStr">
        <is>
          <t xml:space="preserve">        "msg": "全帧识别(CPU)超时, 流水线代码正常"</t>
        </is>
      </c>
    </row>
    <row r="943">
      <c r="A943" s="9" t="n">
        <v>940</v>
      </c>
      <c r="B943" s="10" t="inlineStr">
        <is>
          <t xml:space="preserve">      }</t>
        </is>
      </c>
    </row>
    <row r="944">
      <c r="A944" s="7" t="n">
        <v>941</v>
      </c>
      <c r="B944" s="8" t="inlineStr">
        <is>
          <t xml:space="preserve">    ],</t>
        </is>
      </c>
    </row>
    <row r="945">
      <c r="A945" s="9" t="n">
        <v>942</v>
      </c>
      <c r="B945" s="10" t="inlineStr">
        <is>
          <t xml:space="preserve">    "fixes_applied": [],</t>
        </is>
      </c>
    </row>
    <row r="946">
      <c r="A946" s="7" t="n">
        <v>943</v>
      </c>
      <c r="B946" s="8" t="inlineStr">
        <is>
          <t xml:space="preserve">    "success": true</t>
        </is>
      </c>
    </row>
    <row r="947">
      <c r="A947" s="9" t="n">
        <v>944</v>
      </c>
      <c r="B947" s="10" t="inlineStr">
        <is>
          <t xml:space="preserve">  },</t>
        </is>
      </c>
    </row>
    <row r="948">
      <c r="A948" s="7" t="n">
        <v>945</v>
      </c>
      <c r="B948" s="8" t="inlineStr">
        <is>
          <t xml:space="preserve">  {</t>
        </is>
      </c>
    </row>
    <row r="949">
      <c r="A949" s="9" t="n">
        <v>946</v>
      </c>
      <c r="B949" s="10" t="inlineStr">
        <is>
          <t xml:space="preserve">    "iteration": 5,</t>
        </is>
      </c>
    </row>
    <row r="950">
      <c r="A950" s="7" t="n">
        <v>947</v>
      </c>
      <c r="B950" s="8" t="inlineStr">
        <is>
          <t xml:space="preserve">    "timestamp": "2026-06-12T18:04:33.682546",</t>
        </is>
      </c>
    </row>
    <row r="951">
      <c r="A951" s="9" t="n">
        <v>948</v>
      </c>
      <c r="B951" s="10" t="inlineStr">
        <is>
          <t xml:space="preserve">    "test_results": [</t>
        </is>
      </c>
    </row>
    <row r="952">
      <c r="A952" s="7" t="n">
        <v>949</v>
      </c>
      <c r="B952" s="8" t="inlineStr">
        <is>
          <t xml:space="preserve">      {</t>
        </is>
      </c>
    </row>
    <row r="953">
      <c r="A953" s="9" t="n">
        <v>950</v>
      </c>
      <c r="B953" s="10" t="inlineStr">
        <is>
          <t xml:space="preserve">        "action": "syntax_check",</t>
        </is>
      </c>
    </row>
    <row r="954">
      <c r="A954" s="7" t="n">
        <v>951</v>
      </c>
      <c r="B954" s="8" t="inlineStr">
        <is>
          <t xml:space="preserve">        "success": true,</t>
        </is>
      </c>
    </row>
    <row r="955">
      <c r="A955" s="9" t="n">
        <v>952</v>
      </c>
      <c r="B955" s="10" t="inlineStr">
        <is>
          <t xml:space="preserve">        "errors": []</t>
        </is>
      </c>
    </row>
    <row r="956">
      <c r="A956" s="7" t="n">
        <v>953</v>
      </c>
      <c r="B956" s="8" t="inlineStr">
        <is>
          <t xml:space="preserve">      },</t>
        </is>
      </c>
    </row>
    <row r="957">
      <c r="A957" s="9" t="n">
        <v>954</v>
      </c>
      <c r="B957" s="10" t="inlineStr">
        <is>
          <t xml:space="preserve">      {</t>
        </is>
      </c>
    </row>
    <row r="958">
      <c r="A958" s="7" t="n">
        <v>955</v>
      </c>
      <c r="B958" s="8" t="inlineStr">
        <is>
          <t xml:space="preserve">        "action": "db_integrity",</t>
        </is>
      </c>
    </row>
    <row r="959">
      <c r="A959" s="9" t="n">
        <v>956</v>
      </c>
      <c r="B959" s="10" t="inlineStr">
        <is>
          <t xml:space="preserve">        "success": true,</t>
        </is>
      </c>
    </row>
    <row r="960">
      <c r="A960" s="7" t="n">
        <v>957</v>
      </c>
      <c r="B960" s="8" t="inlineStr">
        <is>
          <t xml:space="preserve">        "error": null,</t>
        </is>
      </c>
    </row>
    <row r="961">
      <c r="A961" s="9" t="n">
        <v>958</v>
      </c>
      <c r="B961" s="10" t="inlineStr">
        <is>
          <t xml:space="preserve">        "stats": {</t>
        </is>
      </c>
    </row>
    <row r="962">
      <c r="A962" s="7" t="n">
        <v>959</v>
      </c>
      <c r="B962" s="8" t="inlineStr">
        <is>
          <t xml:space="preserve">          "materials": 16143,</t>
        </is>
      </c>
    </row>
    <row r="963">
      <c r="A963" s="9" t="n">
        <v>960</v>
      </c>
      <c r="B963" s="10" t="inlineStr">
        <is>
          <t xml:space="preserve">          "sqlite_sequence": 8,</t>
        </is>
      </c>
    </row>
    <row r="964">
      <c r="A964" s="7" t="n">
        <v>961</v>
      </c>
      <c r="B964" s="8" t="inlineStr">
        <is>
          <t xml:space="preserve">          "video_registry": 6745,</t>
        </is>
      </c>
    </row>
    <row r="965">
      <c r="A965" s="9" t="n">
        <v>962</v>
      </c>
      <c r="B965" s="10" t="inlineStr">
        <is>
          <t xml:space="preserve">          "ctr_feedback": 0,</t>
        </is>
      </c>
    </row>
    <row r="966">
      <c r="A966" s="7" t="n">
        <v>963</v>
      </c>
      <c r="B966" s="8" t="inlineStr">
        <is>
          <t xml:space="preserve">          "trending_analysis": 0,</t>
        </is>
      </c>
    </row>
    <row r="967">
      <c r="A967" s="9" t="n">
        <v>964</v>
      </c>
      <c r="B967" s="10" t="inlineStr">
        <is>
          <t xml:space="preserve">          "account_matrix": 0,</t>
        </is>
      </c>
    </row>
    <row r="968">
      <c r="A968" s="7" t="n">
        <v>965</v>
      </c>
      <c r="B968" s="8" t="inlineStr">
        <is>
          <t xml:space="preserve">          "analysis_log": 756,</t>
        </is>
      </c>
    </row>
    <row r="969">
      <c r="A969" s="9" t="n">
        <v>966</v>
      </c>
      <c r="B969" s="10" t="inlineStr">
        <is>
          <t xml:space="preserve">          "video_annotations": 26,</t>
        </is>
      </c>
    </row>
    <row r="970">
      <c r="A970" s="7" t="n">
        <v>967</v>
      </c>
      <c r="B970" s="8" t="inlineStr">
        <is>
          <t xml:space="preserve">          "annotation_feedback": 0,</t>
        </is>
      </c>
    </row>
    <row r="971">
      <c r="A971" s="9" t="n">
        <v>968</v>
      </c>
      <c r="B971" s="10" t="inlineStr">
        <is>
          <t xml:space="preserve">          "tag_learning": 0,</t>
        </is>
      </c>
    </row>
    <row r="972">
      <c r="A972" s="7" t="n">
        <v>969</v>
      </c>
      <c r="B972" s="8" t="inlineStr">
        <is>
          <t xml:space="preserve">          "learned_scripts": 275,</t>
        </is>
      </c>
    </row>
    <row r="973">
      <c r="A973" s="9" t="n">
        <v>970</v>
      </c>
      <c r="B973" s="10" t="inlineStr">
        <is>
          <t xml:space="preserve">          "generation_log": 0,</t>
        </is>
      </c>
    </row>
    <row r="974">
      <c r="A974" s="7" t="n">
        <v>971</v>
      </c>
      <c r="B974" s="8" t="inlineStr">
        <is>
          <t xml:space="preserve">          "model_calls": 0,</t>
        </is>
      </c>
    </row>
    <row r="975">
      <c r="A975" s="9" t="n">
        <v>972</v>
      </c>
      <c r="B975" s="10" t="inlineStr">
        <is>
          <t xml:space="preserve">          "model_usage_log": 0,</t>
        </is>
      </c>
    </row>
    <row r="976">
      <c r="A976" s="7" t="n">
        <v>973</v>
      </c>
      <c r="B976" s="8" t="inlineStr">
        <is>
          <t xml:space="preserve">          "material_generation_log": 13,</t>
        </is>
      </c>
    </row>
    <row r="977">
      <c r="A977" s="9" t="n">
        <v>974</v>
      </c>
      <c r="B977" s="10" t="inlineStr">
        <is>
          <t xml:space="preserve">          "generation_video_log": 2,</t>
        </is>
      </c>
    </row>
    <row r="978">
      <c r="A978" s="7" t="n">
        <v>975</v>
      </c>
      <c r="B978" s="8" t="inlineStr">
        <is>
          <t xml:space="preserve">          "generation_material_log": 13,</t>
        </is>
      </c>
    </row>
    <row r="979">
      <c r="A979" s="9" t="n">
        <v>976</v>
      </c>
      <c r="B979" s="10" t="inlineStr">
        <is>
          <t xml:space="preserve">          "material_feedback": 0,</t>
        </is>
      </c>
    </row>
    <row r="980">
      <c r="A980" s="7" t="n">
        <v>977</v>
      </c>
      <c r="B980" s="8" t="inlineStr">
        <is>
          <t xml:space="preserve">          "video_frames": 11</t>
        </is>
      </c>
    </row>
    <row r="981">
      <c r="A981" s="9" t="n">
        <v>978</v>
      </c>
      <c r="B981" s="10" t="inlineStr">
        <is>
          <t xml:space="preserve">        }</t>
        </is>
      </c>
    </row>
    <row r="982">
      <c r="A982" s="7" t="n">
        <v>979</v>
      </c>
      <c r="B982" s="8" t="inlineStr">
        <is>
          <t xml:space="preserve">      },</t>
        </is>
      </c>
    </row>
    <row r="983">
      <c r="A983" s="9" t="n">
        <v>980</v>
      </c>
      <c r="B983" s="10" t="inlineStr">
        <is>
          <t xml:space="preserve">      {</t>
        </is>
      </c>
    </row>
    <row r="984">
      <c r="A984" s="7" t="n">
        <v>981</v>
      </c>
      <c r="B984" s="8" t="inlineStr">
        <is>
          <t xml:space="preserve">        "action": "system_status",</t>
        </is>
      </c>
    </row>
    <row r="985">
      <c r="A985" s="9" t="n">
        <v>982</v>
      </c>
      <c r="B985" s="10" t="inlineStr">
        <is>
          <t xml:space="preserve">        "success": true,</t>
        </is>
      </c>
    </row>
    <row r="986">
      <c r="A986" s="7" t="n">
        <v>983</v>
      </c>
      <c r="B986" s="8" t="inlineStr">
        <is>
          <t xml:space="preserve">        "error": null,</t>
        </is>
      </c>
    </row>
    <row r="987">
      <c r="A987" s="9" t="n">
        <v>984</v>
      </c>
      <c r="B987" s="10" t="inlineStr">
        <is>
          <t xml:space="preserve">        "checks": {</t>
        </is>
      </c>
    </row>
    <row r="988">
      <c r="A988" s="7" t="n">
        <v>985</v>
      </c>
      <c r="B988" s="8" t="inlineStr">
        <is>
          <t xml:space="preserve">          "FAISS索引": "[OK]",</t>
        </is>
      </c>
    </row>
    <row r="989">
      <c r="A989" s="9" t="n">
        <v>986</v>
      </c>
      <c r="B989" s="10" t="inlineStr">
        <is>
          <t xml:space="preserve">          "素材片段": "有数据",</t>
        </is>
      </c>
    </row>
    <row r="990">
      <c r="A990" s="7" t="n">
        <v>987</v>
      </c>
      <c r="B990" s="8" t="inlineStr">
        <is>
          <t xml:space="preserve">          "DeepSeek": "[OK]"</t>
        </is>
      </c>
    </row>
    <row r="991">
      <c r="A991" s="9" t="n">
        <v>988</v>
      </c>
      <c r="B991" s="10" t="inlineStr">
        <is>
          <t xml:space="preserve">        }</t>
        </is>
      </c>
    </row>
    <row r="992">
      <c r="A992" s="7" t="n">
        <v>989</v>
      </c>
      <c r="B992" s="8" t="inlineStr">
        <is>
          <t xml:space="preserve">      },</t>
        </is>
      </c>
    </row>
    <row r="993">
      <c r="A993" s="9" t="n">
        <v>990</v>
      </c>
      <c r="B993" s="10" t="inlineStr">
        <is>
          <t xml:space="preserve">      {</t>
        </is>
      </c>
    </row>
    <row r="994">
      <c r="A994" s="7" t="n">
        <v>991</v>
      </c>
      <c r="B994" s="8" t="inlineStr">
        <is>
          <t xml:space="preserve">        "action": "batch_generate",</t>
        </is>
      </c>
    </row>
    <row r="995">
      <c r="A995" s="9" t="n">
        <v>992</v>
      </c>
      <c r="B995" s="10" t="inlineStr">
        <is>
          <t xml:space="preserve">        "count": 2,</t>
        </is>
      </c>
    </row>
    <row r="996">
      <c r="A996" s="7" t="n">
        <v>993</v>
      </c>
      <c r="B996" s="8" t="inlineStr">
        <is>
          <t xml:space="preserve">        "success": true,</t>
        </is>
      </c>
    </row>
    <row r="997">
      <c r="A997" s="9" t="n">
        <v>994</v>
      </c>
      <c r="B997" s="10" t="inlineStr">
        <is>
          <t xml:space="preserve">        "error": null</t>
        </is>
      </c>
    </row>
    <row r="998">
      <c r="A998" s="7" t="n">
        <v>995</v>
      </c>
      <c r="B998" s="8" t="inlineStr">
        <is>
          <t xml:space="preserve">      }</t>
        </is>
      </c>
    </row>
    <row r="999">
      <c r="A999" s="9" t="n">
        <v>996</v>
      </c>
      <c r="B999" s="10" t="inlineStr">
        <is>
          <t xml:space="preserve">    ],</t>
        </is>
      </c>
    </row>
    <row r="1000">
      <c r="A1000" s="7" t="n">
        <v>997</v>
      </c>
      <c r="B1000" s="8" t="inlineStr">
        <is>
          <t xml:space="preserve">    "errors_found": [],</t>
        </is>
      </c>
    </row>
    <row r="1001">
      <c r="A1001" s="9" t="n">
        <v>998</v>
      </c>
      <c r="B1001" s="10" t="inlineStr">
        <is>
          <t xml:space="preserve">    "fixes_applied": [],</t>
        </is>
      </c>
    </row>
    <row r="1002">
      <c r="A1002" s="7" t="n">
        <v>999</v>
      </c>
      <c r="B1002" s="8" t="inlineStr">
        <is>
          <t xml:space="preserve">    "success": true</t>
        </is>
      </c>
    </row>
    <row r="1003">
      <c r="A1003" s="9" t="n">
        <v>1000</v>
      </c>
      <c r="B1003" s="10" t="inlineStr">
        <is>
          <t xml:space="preserve">  },</t>
        </is>
      </c>
    </row>
    <row r="1004">
      <c r="A1004" s="7" t="n">
        <v>1001</v>
      </c>
      <c r="B1004" s="8" t="inlineStr">
        <is>
          <t xml:space="preserve">  {</t>
        </is>
      </c>
    </row>
    <row r="1005">
      <c r="A1005" s="9" t="n">
        <v>1002</v>
      </c>
      <c r="B1005" s="10" t="inlineStr">
        <is>
          <t xml:space="preserve">    "iteration": 1,</t>
        </is>
      </c>
    </row>
    <row r="1006">
      <c r="A1006" s="7" t="n">
        <v>1003</v>
      </c>
      <c r="B1006" s="8" t="inlineStr">
        <is>
          <t xml:space="preserve">    "timestamp": "2026-06-12T22:15:02.778010",</t>
        </is>
      </c>
    </row>
    <row r="1007">
      <c r="A1007" s="9" t="n">
        <v>1004</v>
      </c>
      <c r="B1007" s="10" t="inlineStr">
        <is>
          <t xml:space="preserve">    "test_results": [</t>
        </is>
      </c>
    </row>
    <row r="1008">
      <c r="A1008" s="7" t="n">
        <v>1005</v>
      </c>
      <c r="B1008" s="8" t="inlineStr">
        <is>
          <t xml:space="preserve">      {</t>
        </is>
      </c>
    </row>
    <row r="1009">
      <c r="A1009" s="9" t="n">
        <v>1006</v>
      </c>
      <c r="B1009" s="10" t="inlineStr">
        <is>
          <t xml:space="preserve">        "action": "syntax_check",</t>
        </is>
      </c>
    </row>
    <row r="1010">
      <c r="A1010" s="7" t="n">
        <v>1007</v>
      </c>
      <c r="B1010" s="8" t="inlineStr">
        <is>
          <t xml:space="preserve">        "success": true,</t>
        </is>
      </c>
    </row>
    <row r="1011">
      <c r="A1011" s="9" t="n">
        <v>1008</v>
      </c>
      <c r="B1011" s="10" t="inlineStr">
        <is>
          <t xml:space="preserve">        "errors": []</t>
        </is>
      </c>
    </row>
    <row r="1012">
      <c r="A1012" s="7" t="n">
        <v>1009</v>
      </c>
      <c r="B1012" s="8" t="inlineStr">
        <is>
          <t xml:space="preserve">      },</t>
        </is>
      </c>
    </row>
    <row r="1013">
      <c r="A1013" s="9" t="n">
        <v>1010</v>
      </c>
      <c r="B1013" s="10" t="inlineStr">
        <is>
          <t xml:space="preserve">      {</t>
        </is>
      </c>
    </row>
    <row r="1014">
      <c r="A1014" s="7" t="n">
        <v>1011</v>
      </c>
      <c r="B1014" s="8" t="inlineStr">
        <is>
          <t xml:space="preserve">        "action": "db_integrity",</t>
        </is>
      </c>
    </row>
    <row r="1015">
      <c r="A1015" s="9" t="n">
        <v>1012</v>
      </c>
      <c r="B1015" s="10" t="inlineStr">
        <is>
          <t xml:space="preserve">        "success": true,</t>
        </is>
      </c>
    </row>
    <row r="1016">
      <c r="A1016" s="7" t="n">
        <v>1013</v>
      </c>
      <c r="B1016" s="8" t="inlineStr">
        <is>
          <t xml:space="preserve">        "error": null,</t>
        </is>
      </c>
    </row>
    <row r="1017">
      <c r="A1017" s="9" t="n">
        <v>1014</v>
      </c>
      <c r="B1017" s="10" t="inlineStr">
        <is>
          <t xml:space="preserve">        "stats": {</t>
        </is>
      </c>
    </row>
    <row r="1018">
      <c r="A1018" s="7" t="n">
        <v>1015</v>
      </c>
      <c r="B1018" s="8" t="inlineStr">
        <is>
          <t xml:space="preserve">          "materials": 16143,</t>
        </is>
      </c>
    </row>
    <row r="1019">
      <c r="A1019" s="9" t="n">
        <v>1016</v>
      </c>
      <c r="B1019" s="10" t="inlineStr">
        <is>
          <t xml:space="preserve">          "sqlite_sequence": 8,</t>
        </is>
      </c>
    </row>
    <row r="1020">
      <c r="A1020" s="7" t="n">
        <v>1017</v>
      </c>
      <c r="B1020" s="8" t="inlineStr">
        <is>
          <t xml:space="preserve">          "video_registry": 6745,</t>
        </is>
      </c>
    </row>
    <row r="1021">
      <c r="A1021" s="9" t="n">
        <v>1018</v>
      </c>
      <c r="B1021" s="10" t="inlineStr">
        <is>
          <t xml:space="preserve">          "ctr_feedback": 0,</t>
        </is>
      </c>
    </row>
    <row r="1022">
      <c r="A1022" s="7" t="n">
        <v>1019</v>
      </c>
      <c r="B1022" s="8" t="inlineStr">
        <is>
          <t xml:space="preserve">          "trending_analysis": 0,</t>
        </is>
      </c>
    </row>
    <row r="1023">
      <c r="A1023" s="9" t="n">
        <v>1020</v>
      </c>
      <c r="B1023" s="10" t="inlineStr">
        <is>
          <t xml:space="preserve">          "account_matrix": 0,</t>
        </is>
      </c>
    </row>
    <row r="1024">
      <c r="A1024" s="7" t="n">
        <v>1021</v>
      </c>
      <c r="B1024" s="8" t="inlineStr">
        <is>
          <t xml:space="preserve">          "analysis_log": 756,</t>
        </is>
      </c>
    </row>
    <row r="1025">
      <c r="A1025" s="9" t="n">
        <v>1022</v>
      </c>
      <c r="B1025" s="10" t="inlineStr">
        <is>
          <t xml:space="preserve">          "video_annotations": 39,</t>
        </is>
      </c>
    </row>
    <row r="1026">
      <c r="A1026" s="7" t="n">
        <v>1023</v>
      </c>
      <c r="B1026" s="8" t="inlineStr">
        <is>
          <t xml:space="preserve">          "annotation_feedback": 0,</t>
        </is>
      </c>
    </row>
    <row r="1027">
      <c r="A1027" s="9" t="n">
        <v>1024</v>
      </c>
      <c r="B1027" s="10" t="inlineStr">
        <is>
          <t xml:space="preserve">          "tag_learning": 0,</t>
        </is>
      </c>
    </row>
    <row r="1028">
      <c r="A1028" s="7" t="n">
        <v>1025</v>
      </c>
      <c r="B1028" s="8" t="inlineStr">
        <is>
          <t xml:space="preserve">          "learned_scripts": 275,</t>
        </is>
      </c>
    </row>
    <row r="1029">
      <c r="A1029" s="9" t="n">
        <v>1026</v>
      </c>
      <c r="B1029" s="10" t="inlineStr">
        <is>
          <t xml:space="preserve">          "generation_log": 0,</t>
        </is>
      </c>
    </row>
    <row r="1030">
      <c r="A1030" s="7" t="n">
        <v>1027</v>
      </c>
      <c r="B1030" s="8" t="inlineStr">
        <is>
          <t xml:space="preserve">          "model_calls": 0,</t>
        </is>
      </c>
    </row>
    <row r="1031">
      <c r="A1031" s="9" t="n">
        <v>1028</v>
      </c>
      <c r="B1031" s="10" t="inlineStr">
        <is>
          <t xml:space="preserve">          "model_usage_log": 0,</t>
        </is>
      </c>
    </row>
    <row r="1032">
      <c r="A1032" s="7" t="n">
        <v>1029</v>
      </c>
      <c r="B1032" s="8" t="inlineStr">
        <is>
          <t xml:space="preserve">          "material_generation_log": 24,</t>
        </is>
      </c>
    </row>
    <row r="1033">
      <c r="A1033" s="9" t="n">
        <v>1030</v>
      </c>
      <c r="B1033" s="10" t="inlineStr">
        <is>
          <t xml:space="preserve">          "generation_video_log": 4,</t>
        </is>
      </c>
    </row>
    <row r="1034">
      <c r="A1034" s="7" t="n">
        <v>1031</v>
      </c>
      <c r="B1034" s="8" t="inlineStr">
        <is>
          <t xml:space="preserve">          "generation_material_log": 24,</t>
        </is>
      </c>
    </row>
    <row r="1035">
      <c r="A1035" s="9" t="n">
        <v>1032</v>
      </c>
      <c r="B1035" s="10" t="inlineStr">
        <is>
          <t xml:space="preserve">          "material_feedback": 0,</t>
        </is>
      </c>
    </row>
    <row r="1036">
      <c r="A1036" s="7" t="n">
        <v>1033</v>
      </c>
      <c r="B1036" s="8" t="inlineStr">
        <is>
          <t xml:space="preserve">          "video_frames": 20</t>
        </is>
      </c>
    </row>
    <row r="1037">
      <c r="A1037" s="9" t="n">
        <v>1034</v>
      </c>
      <c r="B1037" s="10" t="inlineStr">
        <is>
          <t xml:space="preserve">        }</t>
        </is>
      </c>
    </row>
    <row r="1038">
      <c r="A1038" s="7" t="n">
        <v>1035</v>
      </c>
      <c r="B1038" s="8" t="inlineStr">
        <is>
          <t xml:space="preserve">      },</t>
        </is>
      </c>
    </row>
    <row r="1039">
      <c r="A1039" s="9" t="n">
        <v>1036</v>
      </c>
      <c r="B1039" s="10" t="inlineStr">
        <is>
          <t xml:space="preserve">      {</t>
        </is>
      </c>
    </row>
    <row r="1040">
      <c r="A1040" s="7" t="n">
        <v>1037</v>
      </c>
      <c r="B1040" s="8" t="inlineStr">
        <is>
          <t xml:space="preserve">        "action": "system_status",</t>
        </is>
      </c>
    </row>
    <row r="1041">
      <c r="A1041" s="9" t="n">
        <v>1038</v>
      </c>
      <c r="B1041" s="10" t="inlineStr">
        <is>
          <t xml:space="preserve">        "success": true,</t>
        </is>
      </c>
    </row>
    <row r="1042">
      <c r="A1042" s="7" t="n">
        <v>1039</v>
      </c>
      <c r="B1042" s="8" t="inlineStr">
        <is>
          <t xml:space="preserve">        "error": null,</t>
        </is>
      </c>
    </row>
    <row r="1043">
      <c r="A1043" s="9" t="n">
        <v>1040</v>
      </c>
      <c r="B1043" s="10" t="inlineStr">
        <is>
          <t xml:space="preserve">        "checks": {</t>
        </is>
      </c>
    </row>
    <row r="1044">
      <c r="A1044" s="7" t="n">
        <v>1041</v>
      </c>
      <c r="B1044" s="8" t="inlineStr">
        <is>
          <t xml:space="preserve">          "FAISS索引": "[OK]",</t>
        </is>
      </c>
    </row>
    <row r="1045">
      <c r="A1045" s="9" t="n">
        <v>1042</v>
      </c>
      <c r="B1045" s="10" t="inlineStr">
        <is>
          <t xml:space="preserve">          "素材片段": "有数据",</t>
        </is>
      </c>
    </row>
    <row r="1046">
      <c r="A1046" s="7" t="n">
        <v>1043</v>
      </c>
      <c r="B1046" s="8" t="inlineStr">
        <is>
          <t xml:space="preserve">          "DeepSeek": "[OK]"</t>
        </is>
      </c>
    </row>
    <row r="1047">
      <c r="A1047" s="9" t="n">
        <v>1044</v>
      </c>
      <c r="B1047" s="10" t="inlineStr">
        <is>
          <t xml:space="preserve">        }</t>
        </is>
      </c>
    </row>
    <row r="1048">
      <c r="A1048" s="7" t="n">
        <v>1045</v>
      </c>
      <c r="B1048" s="8" t="inlineStr">
        <is>
          <t xml:space="preserve">      }</t>
        </is>
      </c>
    </row>
    <row r="1049">
      <c r="A1049" s="9" t="n">
        <v>1046</v>
      </c>
      <c r="B1049" s="10" t="inlineStr">
        <is>
          <t xml:space="preserve">    ],</t>
        </is>
      </c>
    </row>
    <row r="1050">
      <c r="A1050" s="7" t="n">
        <v>1047</v>
      </c>
      <c r="B1050" s="8" t="inlineStr">
        <is>
          <t xml:space="preserve">    "errors_found": [],</t>
        </is>
      </c>
    </row>
    <row r="1051">
      <c r="A1051" s="9" t="n">
        <v>1048</v>
      </c>
      <c r="B1051" s="10" t="inlineStr">
        <is>
          <t xml:space="preserve">    "fixes_applied": [],</t>
        </is>
      </c>
    </row>
    <row r="1052">
      <c r="A1052" s="7" t="n">
        <v>1049</v>
      </c>
      <c r="B1052" s="8" t="inlineStr">
        <is>
          <t xml:space="preserve">    "success": true</t>
        </is>
      </c>
    </row>
    <row r="1053">
      <c r="A1053" s="9" t="n">
        <v>1050</v>
      </c>
      <c r="B1053" s="10" t="inlineStr">
        <is>
          <t xml:space="preserve">  },</t>
        </is>
      </c>
    </row>
    <row r="1054">
      <c r="A1054" s="7" t="n">
        <v>1051</v>
      </c>
      <c r="B1054" s="8" t="inlineStr">
        <is>
          <t xml:space="preserve">  {</t>
        </is>
      </c>
    </row>
    <row r="1055">
      <c r="A1055" s="9" t="n">
        <v>1052</v>
      </c>
      <c r="B1055" s="10" t="inlineStr">
        <is>
          <t xml:space="preserve">    "iteration": 1,</t>
        </is>
      </c>
    </row>
    <row r="1056">
      <c r="A1056" s="7" t="n">
        <v>1053</v>
      </c>
      <c r="B1056" s="8" t="inlineStr">
        <is>
          <t xml:space="preserve">    "timestamp": "2026-06-12T22:40:59.722057",</t>
        </is>
      </c>
    </row>
    <row r="1057">
      <c r="A1057" s="9" t="n">
        <v>1054</v>
      </c>
      <c r="B1057" s="10" t="inlineStr">
        <is>
          <t xml:space="preserve">    "test_results": [</t>
        </is>
      </c>
    </row>
    <row r="1058">
      <c r="A1058" s="7" t="n">
        <v>1055</v>
      </c>
      <c r="B1058" s="8" t="inlineStr">
        <is>
          <t xml:space="preserve">      {</t>
        </is>
      </c>
    </row>
    <row r="1059">
      <c r="A1059" s="9" t="n">
        <v>1056</v>
      </c>
      <c r="B1059" s="10" t="inlineStr">
        <is>
          <t xml:space="preserve">        "action": "syntax_check",</t>
        </is>
      </c>
    </row>
    <row r="1060">
      <c r="A1060" s="7" t="n">
        <v>1057</v>
      </c>
      <c r="B1060" s="8" t="inlineStr">
        <is>
          <t xml:space="preserve">        "success": true,</t>
        </is>
      </c>
    </row>
    <row r="1061">
      <c r="A1061" s="9" t="n">
        <v>1058</v>
      </c>
      <c r="B1061" s="10" t="inlineStr">
        <is>
          <t xml:space="preserve">        "errors": []</t>
        </is>
      </c>
    </row>
    <row r="1062">
      <c r="A1062" s="7" t="n">
        <v>1059</v>
      </c>
      <c r="B1062" s="8" t="inlineStr">
        <is>
          <t xml:space="preserve">      },</t>
        </is>
      </c>
    </row>
    <row r="1063">
      <c r="A1063" s="9" t="n">
        <v>1060</v>
      </c>
      <c r="B1063" s="10" t="inlineStr">
        <is>
          <t xml:space="preserve">      {</t>
        </is>
      </c>
    </row>
    <row r="1064">
      <c r="A1064" s="7" t="n">
        <v>1061</v>
      </c>
      <c r="B1064" s="8" t="inlineStr">
        <is>
          <t xml:space="preserve">        "action": "db_integrity",</t>
        </is>
      </c>
    </row>
    <row r="1065">
      <c r="A1065" s="9" t="n">
        <v>1062</v>
      </c>
      <c r="B1065" s="10" t="inlineStr">
        <is>
          <t xml:space="preserve">        "success": true,</t>
        </is>
      </c>
    </row>
    <row r="1066">
      <c r="A1066" s="7" t="n">
        <v>1063</v>
      </c>
      <c r="B1066" s="8" t="inlineStr">
        <is>
          <t xml:space="preserve">        "error": null,</t>
        </is>
      </c>
    </row>
    <row r="1067">
      <c r="A1067" s="9" t="n">
        <v>1064</v>
      </c>
      <c r="B1067" s="10" t="inlineStr">
        <is>
          <t xml:space="preserve">        "stats": {</t>
        </is>
      </c>
    </row>
    <row r="1068">
      <c r="A1068" s="7" t="n">
        <v>1065</v>
      </c>
      <c r="B1068" s="8" t="inlineStr">
        <is>
          <t xml:space="preserve">          "materials": 16143,</t>
        </is>
      </c>
    </row>
    <row r="1069">
      <c r="A1069" s="9" t="n">
        <v>1066</v>
      </c>
      <c r="B1069" s="10" t="inlineStr">
        <is>
          <t xml:space="preserve">          "sqlite_sequence": 8,</t>
        </is>
      </c>
    </row>
    <row r="1070">
      <c r="A1070" s="7" t="n">
        <v>1067</v>
      </c>
      <c r="B1070" s="8" t="inlineStr">
        <is>
          <t xml:space="preserve">          "video_registry": 6745,</t>
        </is>
      </c>
    </row>
    <row r="1071">
      <c r="A1071" s="9" t="n">
        <v>1068</v>
      </c>
      <c r="B1071" s="10" t="inlineStr">
        <is>
          <t xml:space="preserve">          "ctr_feedback": 0,</t>
        </is>
      </c>
    </row>
    <row r="1072">
      <c r="A1072" s="7" t="n">
        <v>1069</v>
      </c>
      <c r="B1072" s="8" t="inlineStr">
        <is>
          <t xml:space="preserve">          "trending_analysis": 0,</t>
        </is>
      </c>
    </row>
    <row r="1073">
      <c r="A1073" s="9" t="n">
        <v>1070</v>
      </c>
      <c r="B1073" s="10" t="inlineStr">
        <is>
          <t xml:space="preserve">          "account_matrix": 0,</t>
        </is>
      </c>
    </row>
    <row r="1074">
      <c r="A1074" s="7" t="n">
        <v>1071</v>
      </c>
      <c r="B1074" s="8" t="inlineStr">
        <is>
          <t xml:space="preserve">          "analysis_log": 756,</t>
        </is>
      </c>
    </row>
    <row r="1075">
      <c r="A1075" s="9" t="n">
        <v>1072</v>
      </c>
      <c r="B1075" s="10" t="inlineStr">
        <is>
          <t xml:space="preserve">          "video_annotations": 39,</t>
        </is>
      </c>
    </row>
    <row r="1076">
      <c r="A1076" s="7" t="n">
        <v>1073</v>
      </c>
      <c r="B1076" s="8" t="inlineStr">
        <is>
          <t xml:space="preserve">          "annotation_feedback": 0,</t>
        </is>
      </c>
    </row>
    <row r="1077">
      <c r="A1077" s="9" t="n">
        <v>1074</v>
      </c>
      <c r="B1077" s="10" t="inlineStr">
        <is>
          <t xml:space="preserve">          "tag_learning": 0,</t>
        </is>
      </c>
    </row>
    <row r="1078">
      <c r="A1078" s="7" t="n">
        <v>1075</v>
      </c>
      <c r="B1078" s="8" t="inlineStr">
        <is>
          <t xml:space="preserve">          "learned_scripts": 275,</t>
        </is>
      </c>
    </row>
    <row r="1079">
      <c r="A1079" s="9" t="n">
        <v>1076</v>
      </c>
      <c r="B1079" s="10" t="inlineStr">
        <is>
          <t xml:space="preserve">          "generation_log": 0,</t>
        </is>
      </c>
    </row>
    <row r="1080">
      <c r="A1080" s="7" t="n">
        <v>1077</v>
      </c>
      <c r="B1080" s="8" t="inlineStr">
        <is>
          <t xml:space="preserve">          "model_calls": 0,</t>
        </is>
      </c>
    </row>
    <row r="1081">
      <c r="A1081" s="9" t="n">
        <v>1078</v>
      </c>
      <c r="B1081" s="10" t="inlineStr">
        <is>
          <t xml:space="preserve">          "model_usage_log": 0,</t>
        </is>
      </c>
    </row>
    <row r="1082">
      <c r="A1082" s="7" t="n">
        <v>1079</v>
      </c>
      <c r="B1082" s="8" t="inlineStr">
        <is>
          <t xml:space="preserve">          "material_generation_log": 24,</t>
        </is>
      </c>
    </row>
    <row r="1083">
      <c r="A1083" s="9" t="n">
        <v>1080</v>
      </c>
      <c r="B1083" s="10" t="inlineStr">
        <is>
          <t xml:space="preserve">          "generation_video_log": 4,</t>
        </is>
      </c>
    </row>
    <row r="1084">
      <c r="A1084" s="7" t="n">
        <v>1081</v>
      </c>
      <c r="B1084" s="8" t="inlineStr">
        <is>
          <t xml:space="preserve">          "generation_material_log": 24,</t>
        </is>
      </c>
    </row>
    <row r="1085">
      <c r="A1085" s="9" t="n">
        <v>1082</v>
      </c>
      <c r="B1085" s="10" t="inlineStr">
        <is>
          <t xml:space="preserve">          "material_feedback": 0,</t>
        </is>
      </c>
    </row>
    <row r="1086">
      <c r="A1086" s="7" t="n">
        <v>1083</v>
      </c>
      <c r="B1086" s="8" t="inlineStr">
        <is>
          <t xml:space="preserve">          "video_frames": 20</t>
        </is>
      </c>
    </row>
    <row r="1087">
      <c r="A1087" s="9" t="n">
        <v>1084</v>
      </c>
      <c r="B1087" s="10" t="inlineStr">
        <is>
          <t xml:space="preserve">        }</t>
        </is>
      </c>
    </row>
    <row r="1088">
      <c r="A1088" s="7" t="n">
        <v>1085</v>
      </c>
      <c r="B1088" s="8" t="inlineStr">
        <is>
          <t xml:space="preserve">      },</t>
        </is>
      </c>
    </row>
    <row r="1089">
      <c r="A1089" s="9" t="n">
        <v>1086</v>
      </c>
      <c r="B1089" s="10" t="inlineStr">
        <is>
          <t xml:space="preserve">      {</t>
        </is>
      </c>
    </row>
    <row r="1090">
      <c r="A1090" s="7" t="n">
        <v>1087</v>
      </c>
      <c r="B1090" s="8" t="inlineStr">
        <is>
          <t xml:space="preserve">        "action": "system_status",</t>
        </is>
      </c>
    </row>
    <row r="1091">
      <c r="A1091" s="9" t="n">
        <v>1088</v>
      </c>
      <c r="B1091" s="10" t="inlineStr">
        <is>
          <t xml:space="preserve">        "success": true,</t>
        </is>
      </c>
    </row>
    <row r="1092">
      <c r="A1092" s="7" t="n">
        <v>1089</v>
      </c>
      <c r="B1092" s="8" t="inlineStr">
        <is>
          <t xml:space="preserve">        "error": null,</t>
        </is>
      </c>
    </row>
    <row r="1093">
      <c r="A1093" s="9" t="n">
        <v>1090</v>
      </c>
      <c r="B1093" s="10" t="inlineStr">
        <is>
          <t xml:space="preserve">        "checks": {</t>
        </is>
      </c>
    </row>
    <row r="1094">
      <c r="A1094" s="7" t="n">
        <v>1091</v>
      </c>
      <c r="B1094" s="8" t="inlineStr">
        <is>
          <t xml:space="preserve">          "FAISS索引": "[OK]",</t>
        </is>
      </c>
    </row>
    <row r="1095">
      <c r="A1095" s="9" t="n">
        <v>1092</v>
      </c>
      <c r="B1095" s="10" t="inlineStr">
        <is>
          <t xml:space="preserve">          "素材片段": "有数据",</t>
        </is>
      </c>
    </row>
    <row r="1096">
      <c r="A1096" s="7" t="n">
        <v>1093</v>
      </c>
      <c r="B1096" s="8" t="inlineStr">
        <is>
          <t xml:space="preserve">          "DeepSeek": "[OK]"</t>
        </is>
      </c>
    </row>
    <row r="1097">
      <c r="A1097" s="9" t="n">
        <v>1094</v>
      </c>
      <c r="B1097" s="10" t="inlineStr">
        <is>
          <t xml:space="preserve">        }</t>
        </is>
      </c>
    </row>
    <row r="1098">
      <c r="A1098" s="7" t="n">
        <v>1095</v>
      </c>
      <c r="B1098" s="8" t="inlineStr">
        <is>
          <t xml:space="preserve">      }</t>
        </is>
      </c>
    </row>
    <row r="1099">
      <c r="A1099" s="9" t="n">
        <v>1096</v>
      </c>
      <c r="B1099" s="10" t="inlineStr">
        <is>
          <t xml:space="preserve">    ],</t>
        </is>
      </c>
    </row>
    <row r="1100">
      <c r="A1100" s="7" t="n">
        <v>1097</v>
      </c>
      <c r="B1100" s="8" t="inlineStr">
        <is>
          <t xml:space="preserve">    "errors_found": [],</t>
        </is>
      </c>
    </row>
    <row r="1101">
      <c r="A1101" s="9" t="n">
        <v>1098</v>
      </c>
      <c r="B1101" s="10" t="inlineStr">
        <is>
          <t xml:space="preserve">    "fixes_applied": [],</t>
        </is>
      </c>
    </row>
    <row r="1102">
      <c r="A1102" s="7" t="n">
        <v>1099</v>
      </c>
      <c r="B1102" s="8" t="inlineStr">
        <is>
          <t xml:space="preserve">    "success": true</t>
        </is>
      </c>
    </row>
    <row r="1103">
      <c r="A1103" s="9" t="n">
        <v>1100</v>
      </c>
      <c r="B1103" s="10" t="inlineStr">
        <is>
          <t xml:space="preserve">  },</t>
        </is>
      </c>
    </row>
    <row r="1104">
      <c r="A1104" s="7" t="n">
        <v>1101</v>
      </c>
      <c r="B1104" s="8" t="inlineStr">
        <is>
          <t xml:space="preserve">  {</t>
        </is>
      </c>
    </row>
    <row r="1105">
      <c r="A1105" s="9" t="n">
        <v>1102</v>
      </c>
      <c r="B1105" s="10" t="inlineStr">
        <is>
          <t xml:space="preserve">    "iteration": 1,</t>
        </is>
      </c>
    </row>
    <row r="1106">
      <c r="A1106" s="7" t="n">
        <v>1103</v>
      </c>
      <c r="B1106" s="8" t="inlineStr">
        <is>
          <t xml:space="preserve">    "timestamp": "2026-06-12T23:27:39.149681",</t>
        </is>
      </c>
    </row>
    <row r="1107">
      <c r="A1107" s="9" t="n">
        <v>1104</v>
      </c>
      <c r="B1107" s="10" t="inlineStr">
        <is>
          <t xml:space="preserve">    "test_results": [</t>
        </is>
      </c>
    </row>
    <row r="1108">
      <c r="A1108" s="7" t="n">
        <v>1105</v>
      </c>
      <c r="B1108" s="8" t="inlineStr">
        <is>
          <t xml:space="preserve">      {</t>
        </is>
      </c>
    </row>
    <row r="1109">
      <c r="A1109" s="9" t="n">
        <v>1106</v>
      </c>
      <c r="B1109" s="10" t="inlineStr">
        <is>
          <t xml:space="preserve">        "action": "syntax_check",</t>
        </is>
      </c>
    </row>
    <row r="1110">
      <c r="A1110" s="7" t="n">
        <v>1107</v>
      </c>
      <c r="B1110" s="8" t="inlineStr">
        <is>
          <t xml:space="preserve">        "success": true,</t>
        </is>
      </c>
    </row>
    <row r="1111">
      <c r="A1111" s="9" t="n">
        <v>1108</v>
      </c>
      <c r="B1111" s="10" t="inlineStr">
        <is>
          <t xml:space="preserve">        "errors": []</t>
        </is>
      </c>
    </row>
    <row r="1112">
      <c r="A1112" s="7" t="n">
        <v>1109</v>
      </c>
      <c r="B1112" s="8" t="inlineStr">
        <is>
          <t xml:space="preserve">      },</t>
        </is>
      </c>
    </row>
    <row r="1113">
      <c r="A1113" s="9" t="n">
        <v>1110</v>
      </c>
      <c r="B1113" s="10" t="inlineStr">
        <is>
          <t xml:space="preserve">      {</t>
        </is>
      </c>
    </row>
    <row r="1114">
      <c r="A1114" s="7" t="n">
        <v>1111</v>
      </c>
      <c r="B1114" s="8" t="inlineStr">
        <is>
          <t xml:space="preserve">        "action": "db_integrity",</t>
        </is>
      </c>
    </row>
    <row r="1115">
      <c r="A1115" s="9" t="n">
        <v>1112</v>
      </c>
      <c r="B1115" s="10" t="inlineStr">
        <is>
          <t xml:space="preserve">        "success": true,</t>
        </is>
      </c>
    </row>
    <row r="1116">
      <c r="A1116" s="7" t="n">
        <v>1113</v>
      </c>
      <c r="B1116" s="8" t="inlineStr">
        <is>
          <t xml:space="preserve">        "error": null,</t>
        </is>
      </c>
    </row>
    <row r="1117">
      <c r="A1117" s="9" t="n">
        <v>1114</v>
      </c>
      <c r="B1117" s="10" t="inlineStr">
        <is>
          <t xml:space="preserve">        "stats": {</t>
        </is>
      </c>
    </row>
    <row r="1118">
      <c r="A1118" s="7" t="n">
        <v>1115</v>
      </c>
      <c r="B1118" s="8" t="inlineStr">
        <is>
          <t xml:space="preserve">          "materials": 16143,</t>
        </is>
      </c>
    </row>
    <row r="1119">
      <c r="A1119" s="9" t="n">
        <v>1116</v>
      </c>
      <c r="B1119" s="10" t="inlineStr">
        <is>
          <t xml:space="preserve">          "sqlite_sequence": 8,</t>
        </is>
      </c>
    </row>
    <row r="1120">
      <c r="A1120" s="7" t="n">
        <v>1117</v>
      </c>
      <c r="B1120" s="8" t="inlineStr">
        <is>
          <t xml:space="preserve">          "video_registry": 6745,</t>
        </is>
      </c>
    </row>
    <row r="1121">
      <c r="A1121" s="9" t="n">
        <v>1118</v>
      </c>
      <c r="B1121" s="10" t="inlineStr">
        <is>
          <t xml:space="preserve">          "ctr_feedback": 0,</t>
        </is>
      </c>
    </row>
    <row r="1122">
      <c r="A1122" s="7" t="n">
        <v>1119</v>
      </c>
      <c r="B1122" s="8" t="inlineStr">
        <is>
          <t xml:space="preserve">          "trending_analysis": 0,</t>
        </is>
      </c>
    </row>
    <row r="1123">
      <c r="A1123" s="9" t="n">
        <v>1120</v>
      </c>
      <c r="B1123" s="10" t="inlineStr">
        <is>
          <t xml:space="preserve">          "account_matrix": 0,</t>
        </is>
      </c>
    </row>
    <row r="1124">
      <c r="A1124" s="7" t="n">
        <v>1121</v>
      </c>
      <c r="B1124" s="8" t="inlineStr">
        <is>
          <t xml:space="preserve">          "analysis_log": 756,</t>
        </is>
      </c>
    </row>
    <row r="1125">
      <c r="A1125" s="9" t="n">
        <v>1122</v>
      </c>
      <c r="B1125" s="10" t="inlineStr">
        <is>
          <t xml:space="preserve">          "video_annotations": 39,</t>
        </is>
      </c>
    </row>
    <row r="1126">
      <c r="A1126" s="7" t="n">
        <v>1123</v>
      </c>
      <c r="B1126" s="8" t="inlineStr">
        <is>
          <t xml:space="preserve">          "annotation_feedback": 0,</t>
        </is>
      </c>
    </row>
    <row r="1127">
      <c r="A1127" s="9" t="n">
        <v>1124</v>
      </c>
      <c r="B1127" s="10" t="inlineStr">
        <is>
          <t xml:space="preserve">          "tag_learning": 0,</t>
        </is>
      </c>
    </row>
    <row r="1128">
      <c r="A1128" s="7" t="n">
        <v>1125</v>
      </c>
      <c r="B1128" s="8" t="inlineStr">
        <is>
          <t xml:space="preserve">          "learned_scripts": 275,</t>
        </is>
      </c>
    </row>
    <row r="1129">
      <c r="A1129" s="9" t="n">
        <v>1126</v>
      </c>
      <c r="B1129" s="10" t="inlineStr">
        <is>
          <t xml:space="preserve">          "generation_log": 0,</t>
        </is>
      </c>
    </row>
    <row r="1130">
      <c r="A1130" s="7" t="n">
        <v>1127</v>
      </c>
      <c r="B1130" s="8" t="inlineStr">
        <is>
          <t xml:space="preserve">          "model_calls": 0,</t>
        </is>
      </c>
    </row>
    <row r="1131">
      <c r="A1131" s="9" t="n">
        <v>1128</v>
      </c>
      <c r="B1131" s="10" t="inlineStr">
        <is>
          <t xml:space="preserve">          "model_usage_log": 0,</t>
        </is>
      </c>
    </row>
    <row r="1132">
      <c r="A1132" s="7" t="n">
        <v>1129</v>
      </c>
      <c r="B1132" s="8" t="inlineStr">
        <is>
          <t xml:space="preserve">          "material_generation_log": 24,</t>
        </is>
      </c>
    </row>
    <row r="1133">
      <c r="A1133" s="9" t="n">
        <v>1130</v>
      </c>
      <c r="B1133" s="10" t="inlineStr">
        <is>
          <t xml:space="preserve">          "generation_video_log": 4,</t>
        </is>
      </c>
    </row>
    <row r="1134">
      <c r="A1134" s="7" t="n">
        <v>1131</v>
      </c>
      <c r="B1134" s="8" t="inlineStr">
        <is>
          <t xml:space="preserve">          "generation_material_log": 24,</t>
        </is>
      </c>
    </row>
    <row r="1135">
      <c r="A1135" s="9" t="n">
        <v>1132</v>
      </c>
      <c r="B1135" s="10" t="inlineStr">
        <is>
          <t xml:space="preserve">          "material_feedback": 0,</t>
        </is>
      </c>
    </row>
    <row r="1136">
      <c r="A1136" s="7" t="n">
        <v>1133</v>
      </c>
      <c r="B1136" s="8" t="inlineStr">
        <is>
          <t xml:space="preserve">          "video_frames": 20,</t>
        </is>
      </c>
    </row>
    <row r="1137">
      <c r="A1137" s="9" t="n">
        <v>1134</v>
      </c>
      <c r="B1137" s="10" t="inlineStr">
        <is>
          <t xml:space="preserve">          "script_material_preference": 0</t>
        </is>
      </c>
    </row>
    <row r="1138">
      <c r="A1138" s="7" t="n">
        <v>1135</v>
      </c>
      <c r="B1138" s="8" t="inlineStr">
        <is>
          <t xml:space="preserve">        }</t>
        </is>
      </c>
    </row>
    <row r="1139">
      <c r="A1139" s="9" t="n">
        <v>1136</v>
      </c>
      <c r="B1139" s="10" t="inlineStr">
        <is>
          <t xml:space="preserve">      },</t>
        </is>
      </c>
    </row>
    <row r="1140">
      <c r="A1140" s="7" t="n">
        <v>1137</v>
      </c>
      <c r="B1140" s="8" t="inlineStr">
        <is>
          <t xml:space="preserve">      {</t>
        </is>
      </c>
    </row>
    <row r="1141">
      <c r="A1141" s="9" t="n">
        <v>1138</v>
      </c>
      <c r="B1141" s="10" t="inlineStr">
        <is>
          <t xml:space="preserve">        "action": "system_status",</t>
        </is>
      </c>
    </row>
    <row r="1142">
      <c r="A1142" s="7" t="n">
        <v>1139</v>
      </c>
      <c r="B1142" s="8" t="inlineStr">
        <is>
          <t xml:space="preserve">        "success": true,</t>
        </is>
      </c>
    </row>
    <row r="1143">
      <c r="A1143" s="9" t="n">
        <v>1140</v>
      </c>
      <c r="B1143" s="10" t="inlineStr">
        <is>
          <t xml:space="preserve">        "error": null,</t>
        </is>
      </c>
    </row>
    <row r="1144">
      <c r="A1144" s="7" t="n">
        <v>1141</v>
      </c>
      <c r="B1144" s="8" t="inlineStr">
        <is>
          <t xml:space="preserve">        "checks": {</t>
        </is>
      </c>
    </row>
    <row r="1145">
      <c r="A1145" s="9" t="n">
        <v>1142</v>
      </c>
      <c r="B1145" s="10" t="inlineStr">
        <is>
          <t xml:space="preserve">          "FAISS索引": "[OK]",</t>
        </is>
      </c>
    </row>
    <row r="1146">
      <c r="A1146" s="7" t="n">
        <v>1143</v>
      </c>
      <c r="B1146" s="8" t="inlineStr">
        <is>
          <t xml:space="preserve">          "素材片段": "有数据",</t>
        </is>
      </c>
    </row>
    <row r="1147">
      <c r="A1147" s="9" t="n">
        <v>1144</v>
      </c>
      <c r="B1147" s="10" t="inlineStr">
        <is>
          <t xml:space="preserve">          "DeepSeek": "[OK]"</t>
        </is>
      </c>
    </row>
    <row r="1148">
      <c r="A1148" s="7" t="n">
        <v>1145</v>
      </c>
      <c r="B1148" s="8" t="inlineStr">
        <is>
          <t xml:space="preserve">        }</t>
        </is>
      </c>
    </row>
    <row r="1149">
      <c r="A1149" s="9" t="n">
        <v>1146</v>
      </c>
      <c r="B1149" s="10" t="inlineStr">
        <is>
          <t xml:space="preserve">      }</t>
        </is>
      </c>
    </row>
    <row r="1150">
      <c r="A1150" s="7" t="n">
        <v>1147</v>
      </c>
      <c r="B1150" s="8" t="inlineStr">
        <is>
          <t xml:space="preserve">    ],</t>
        </is>
      </c>
    </row>
    <row r="1151">
      <c r="A1151" s="9" t="n">
        <v>1148</v>
      </c>
      <c r="B1151" s="10" t="inlineStr">
        <is>
          <t xml:space="preserve">    "errors_found": [],</t>
        </is>
      </c>
    </row>
    <row r="1152">
      <c r="A1152" s="7" t="n">
        <v>1149</v>
      </c>
      <c r="B1152" s="8" t="inlineStr">
        <is>
          <t xml:space="preserve">    "fixes_applied": [],</t>
        </is>
      </c>
    </row>
    <row r="1153">
      <c r="A1153" s="9" t="n">
        <v>1150</v>
      </c>
      <c r="B1153" s="10" t="inlineStr">
        <is>
          <t xml:space="preserve">    "success": true</t>
        </is>
      </c>
    </row>
    <row r="1154">
      <c r="A1154" s="7" t="n">
        <v>1151</v>
      </c>
      <c r="B1154" s="8" t="inlineStr">
        <is>
          <t xml:space="preserve">  }</t>
        </is>
      </c>
    </row>
    <row r="1155">
      <c r="A1155" s="9" t="n">
        <v>1152</v>
      </c>
      <c r="B1155" s="10" t="inlineStr">
        <is>
          <t>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2026-06-25T06:52:24Z</dcterms:created>
  <dcterms:modified xmlns:dcterms="http://purl.org/dc/terms/" xmlns:xsi="http://www.w3.org/2001/XMLSchema-instance" xsi:type="dcterms:W3CDTF">2026-06-25T06:52:26Z</dcterms:modified>
</cp:coreProperties>
</file>